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1. Planning\"/>
    </mc:Choice>
  </mc:AlternateContent>
  <xr:revisionPtr revIDLastSave="0" documentId="13_ncr:1_{D6532418-C8B3-4930-9F48-71B043406945}" xr6:coauthVersionLast="47" xr6:coauthVersionMax="47" xr10:uidLastSave="{00000000-0000-0000-0000-000000000000}"/>
  <bookViews>
    <workbookView xWindow="-120" yWindow="-120" windowWidth="29040" windowHeight="15720" activeTab="1" xr2:uid="{BEDF7A35-3D3E-4A3B-A922-797D68903376}"/>
  </bookViews>
  <sheets>
    <sheet name="UWS" sheetId="1" r:id="rId1"/>
    <sheet name="UWS2" sheetId="2" r:id="rId2"/>
    <sheet name="Flexibilit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55" i="2" l="1" a="1"/>
  <c r="N455" i="2" s="1"/>
  <c r="N454" i="2" a="1"/>
  <c r="N454" i="2" s="1"/>
  <c r="N453" i="2" a="1"/>
  <c r="N453" i="2" s="1"/>
  <c r="N452" i="2" a="1"/>
  <c r="N452" i="2" s="1"/>
  <c r="N451" i="2" a="1"/>
  <c r="N451" i="2" s="1"/>
  <c r="N450" i="2" a="1"/>
  <c r="N450" i="2" s="1"/>
  <c r="N449" i="2" a="1"/>
  <c r="N449" i="2" s="1"/>
  <c r="N448" i="2" a="1"/>
  <c r="N448" i="2" s="1"/>
  <c r="N447" i="2" a="1"/>
  <c r="N447" i="2" s="1"/>
  <c r="N446" i="2" a="1"/>
  <c r="N446" i="2" s="1"/>
  <c r="N445" i="2" a="1"/>
  <c r="N445" i="2" s="1"/>
  <c r="N444" i="2" a="1"/>
  <c r="N444" i="2" s="1"/>
  <c r="N443" i="2" a="1"/>
  <c r="N443" i="2" s="1"/>
  <c r="N442" i="2" a="1"/>
  <c r="N442" i="2" s="1"/>
  <c r="N441" i="2" a="1"/>
  <c r="N441" i="2" s="1"/>
  <c r="N440" i="2" a="1"/>
  <c r="N440" i="2" s="1"/>
  <c r="N439" i="2" a="1"/>
  <c r="N439" i="2" s="1"/>
  <c r="N438" i="2" a="1"/>
  <c r="N438" i="2" s="1"/>
  <c r="N437" i="2" a="1"/>
  <c r="N437" i="2" s="1"/>
  <c r="N436" i="2" a="1"/>
  <c r="N436" i="2" s="1"/>
  <c r="N435" i="2" a="1"/>
  <c r="N435" i="2" s="1"/>
  <c r="N434" i="2" a="1"/>
  <c r="N434" i="2" s="1"/>
  <c r="N433" i="2" a="1"/>
  <c r="N433" i="2" s="1"/>
  <c r="N432" i="2" a="1"/>
  <c r="N432" i="2" s="1"/>
  <c r="N431" i="2" a="1"/>
  <c r="N431" i="2" s="1"/>
  <c r="N430" i="2" a="1"/>
  <c r="N430" i="2" s="1"/>
  <c r="N429" i="2" a="1"/>
  <c r="N429" i="2" s="1"/>
  <c r="N428" i="2" a="1"/>
  <c r="N428" i="2" s="1"/>
  <c r="N427" i="2" a="1"/>
  <c r="N427" i="2" s="1"/>
  <c r="N426" i="2" a="1"/>
  <c r="N426" i="2" s="1"/>
  <c r="N425" i="2" a="1"/>
  <c r="N425" i="2" s="1"/>
  <c r="N424" i="2" a="1"/>
  <c r="N424" i="2" s="1"/>
  <c r="N423" i="2" a="1"/>
  <c r="N423" i="2" s="1"/>
  <c r="N422" i="2" a="1"/>
  <c r="N422" i="2" s="1"/>
  <c r="N421" i="2" a="1"/>
  <c r="N421" i="2" s="1"/>
  <c r="N420" i="2" a="1"/>
  <c r="N420" i="2" s="1"/>
  <c r="N419" i="2" a="1"/>
  <c r="N419" i="2" s="1"/>
  <c r="N418" i="2" a="1"/>
  <c r="N418" i="2" s="1"/>
  <c r="N417" i="2" a="1"/>
  <c r="N417" i="2" s="1"/>
  <c r="N416" i="2" a="1"/>
  <c r="N416" i="2" s="1"/>
  <c r="N415" i="2" a="1"/>
  <c r="N415" i="2" s="1"/>
  <c r="N414" i="2" a="1"/>
  <c r="N414" i="2" s="1"/>
  <c r="N413" i="2" a="1"/>
  <c r="N413" i="2" s="1"/>
  <c r="N412" i="2" a="1"/>
  <c r="N412" i="2" s="1"/>
  <c r="N411" i="2" a="1"/>
  <c r="N411" i="2" s="1"/>
  <c r="N410" i="2" a="1"/>
  <c r="N410" i="2" s="1"/>
  <c r="N409" i="2" a="1"/>
  <c r="N409" i="2" s="1"/>
  <c r="N408" i="2" a="1"/>
  <c r="N408" i="2" s="1"/>
  <c r="N407" i="2" a="1"/>
  <c r="N407" i="2" s="1"/>
  <c r="N406" i="2" a="1"/>
  <c r="N406" i="2" s="1"/>
  <c r="N405" i="2" a="1"/>
  <c r="N405" i="2" s="1"/>
  <c r="N404" i="2" a="1"/>
  <c r="N404" i="2" s="1"/>
  <c r="N403" i="2" a="1"/>
  <c r="N403" i="2" s="1"/>
  <c r="N402" i="2" a="1"/>
  <c r="N402" i="2" s="1"/>
  <c r="N401" i="2" a="1"/>
  <c r="N401" i="2" s="1"/>
  <c r="N400" i="2" a="1"/>
  <c r="N400" i="2" s="1"/>
  <c r="N399" i="2" a="1"/>
  <c r="N399" i="2" s="1"/>
  <c r="N398" i="2" a="1"/>
  <c r="N398" i="2" s="1"/>
  <c r="N397" i="2" a="1"/>
  <c r="N397" i="2" s="1"/>
  <c r="N396" i="2" a="1"/>
  <c r="N396" i="2" s="1"/>
  <c r="N395" i="2" a="1"/>
  <c r="N395" i="2" s="1"/>
  <c r="N394" i="2" a="1"/>
  <c r="N394" i="2" s="1"/>
  <c r="N393" i="2" a="1"/>
  <c r="N393" i="2" s="1"/>
  <c r="N392" i="2" a="1"/>
  <c r="N392" i="2" s="1"/>
  <c r="N391" i="2" a="1"/>
  <c r="N391" i="2" s="1"/>
  <c r="N390" i="2" a="1"/>
  <c r="N390" i="2" s="1"/>
  <c r="N389" i="2" a="1"/>
  <c r="N389" i="2" s="1"/>
  <c r="N388" i="2" a="1"/>
  <c r="N388" i="2" s="1"/>
  <c r="N387" i="2" a="1"/>
  <c r="N387" i="2" s="1"/>
  <c r="N386" i="2" a="1"/>
  <c r="N386" i="2" s="1"/>
  <c r="N385" i="2" a="1"/>
  <c r="N385" i="2" s="1"/>
  <c r="N384" i="2" a="1"/>
  <c r="N384" i="2" s="1"/>
  <c r="N383" i="2" a="1"/>
  <c r="N383" i="2" s="1"/>
  <c r="N382" i="2" a="1"/>
  <c r="N382" i="2" s="1"/>
  <c r="N381" i="2" a="1"/>
  <c r="N381" i="2" s="1"/>
  <c r="N380" i="2" a="1"/>
  <c r="N380" i="2" s="1"/>
  <c r="N379" i="2" a="1"/>
  <c r="N379" i="2" s="1"/>
  <c r="N378" i="2" a="1"/>
  <c r="N378" i="2" s="1"/>
  <c r="N377" i="2" a="1"/>
  <c r="N377" i="2" s="1"/>
  <c r="N376" i="2" a="1"/>
  <c r="N376" i="2" s="1"/>
  <c r="N375" i="2" a="1"/>
  <c r="N375" i="2" s="1"/>
  <c r="N374" i="2" a="1"/>
  <c r="N374" i="2" s="1"/>
  <c r="N373" i="2" a="1"/>
  <c r="N373" i="2" s="1"/>
  <c r="N372" i="2" a="1"/>
  <c r="N372" i="2" s="1"/>
  <c r="N371" i="2" a="1"/>
  <c r="N371" i="2" s="1"/>
  <c r="N370" i="2" a="1"/>
  <c r="N370" i="2" s="1"/>
  <c r="N369" i="2" a="1"/>
  <c r="N369" i="2" s="1"/>
  <c r="N368" i="2" a="1"/>
  <c r="N368" i="2" s="1"/>
  <c r="N367" i="2" a="1"/>
  <c r="N367" i="2" s="1"/>
  <c r="N366" i="2" a="1"/>
  <c r="N366" i="2" s="1"/>
  <c r="N365" i="2" a="1"/>
  <c r="N365" i="2" s="1"/>
  <c r="N364" i="2" a="1"/>
  <c r="N364" i="2" s="1"/>
  <c r="N363" i="2" a="1"/>
  <c r="N363" i="2" s="1"/>
  <c r="N362" i="2" a="1"/>
  <c r="N362" i="2" s="1"/>
  <c r="N361" i="2" a="1"/>
  <c r="N361" i="2" s="1"/>
  <c r="N360" i="2" a="1"/>
  <c r="N360" i="2" s="1"/>
  <c r="N359" i="2" a="1"/>
  <c r="N359" i="2" s="1"/>
  <c r="N358" i="2" a="1"/>
  <c r="N358" i="2" s="1"/>
  <c r="N357" i="2" a="1"/>
  <c r="N357" i="2" s="1"/>
  <c r="N356" i="2" a="1"/>
  <c r="N356" i="2" s="1"/>
  <c r="N355" i="2" a="1"/>
  <c r="N355" i="2" s="1"/>
  <c r="N354" i="2" a="1"/>
  <c r="N354" i="2" s="1"/>
  <c r="N353" i="2" a="1"/>
  <c r="N353" i="2" s="1"/>
  <c r="N352" i="2" a="1"/>
  <c r="N352" i="2" s="1"/>
  <c r="N351" i="2" a="1"/>
  <c r="N351" i="2" s="1"/>
  <c r="N350" i="2" a="1"/>
  <c r="N350" i="2" s="1"/>
  <c r="N349" i="2" a="1"/>
  <c r="N349" i="2" s="1"/>
  <c r="N348" i="2" a="1"/>
  <c r="N348" i="2" s="1"/>
  <c r="N347" i="2" a="1"/>
  <c r="N347" i="2" s="1"/>
  <c r="N346" i="2" a="1"/>
  <c r="N346" i="2" s="1"/>
  <c r="N345" i="2" a="1"/>
  <c r="N345" i="2" s="1"/>
  <c r="N344" i="2" a="1"/>
  <c r="N344" i="2" s="1"/>
  <c r="N343" i="2" a="1"/>
  <c r="N343" i="2" s="1"/>
  <c r="N342" i="2" a="1"/>
  <c r="N342" i="2" s="1"/>
  <c r="N341" i="2" a="1"/>
  <c r="N341" i="2" s="1"/>
  <c r="N340" i="2" a="1"/>
  <c r="N340" i="2" s="1"/>
  <c r="N339" i="2" a="1"/>
  <c r="N339" i="2" s="1"/>
  <c r="N338" i="2" a="1"/>
  <c r="N338" i="2" s="1"/>
  <c r="N337" i="2" a="1"/>
  <c r="N337" i="2" s="1"/>
  <c r="N336" i="2" a="1"/>
  <c r="N336" i="2" s="1"/>
  <c r="N335" i="2" a="1"/>
  <c r="N335" i="2" s="1"/>
  <c r="N334" i="2" a="1"/>
  <c r="N334" i="2" s="1"/>
  <c r="N333" i="2" a="1"/>
  <c r="N333" i="2" s="1"/>
  <c r="N332" i="2" a="1"/>
  <c r="N332" i="2" s="1"/>
  <c r="N331" i="2" a="1"/>
  <c r="N331" i="2" s="1"/>
  <c r="N330" i="2" a="1"/>
  <c r="N330" i="2" s="1"/>
  <c r="N329" i="2" a="1"/>
  <c r="N329" i="2" s="1"/>
  <c r="N328" i="2" a="1"/>
  <c r="N328" i="2" s="1"/>
  <c r="N327" i="2" a="1"/>
  <c r="N327" i="2" s="1"/>
  <c r="N326" i="2" a="1"/>
  <c r="N326" i="2" s="1"/>
  <c r="N325" i="2" a="1"/>
  <c r="N325" i="2" s="1"/>
  <c r="N324" i="2" a="1"/>
  <c r="N324" i="2" s="1"/>
  <c r="N323" i="2" a="1"/>
  <c r="N323" i="2" s="1"/>
  <c r="N322" i="2" a="1"/>
  <c r="N322" i="2" s="1"/>
  <c r="N321" i="2" a="1"/>
  <c r="N321" i="2" s="1"/>
  <c r="N320" i="2" a="1"/>
  <c r="N320" i="2" s="1"/>
  <c r="N319" i="2" a="1"/>
  <c r="N319" i="2" s="1"/>
  <c r="N318" i="2" a="1"/>
  <c r="N318" i="2" s="1"/>
  <c r="N317" i="2" a="1"/>
  <c r="N317" i="2" s="1"/>
  <c r="N316" i="2" a="1"/>
  <c r="N316" i="2" s="1"/>
  <c r="N315" i="2" a="1"/>
  <c r="N315" i="2" s="1"/>
  <c r="N314" i="2" a="1"/>
  <c r="N314" i="2" s="1"/>
  <c r="N313" i="2" a="1"/>
  <c r="N313" i="2" s="1"/>
  <c r="N312" i="2" a="1"/>
  <c r="N312" i="2" s="1"/>
  <c r="N311" i="2" a="1"/>
  <c r="N311" i="2" s="1"/>
  <c r="N310" i="2" a="1"/>
  <c r="N310" i="2" s="1"/>
  <c r="N309" i="2" a="1"/>
  <c r="N309" i="2" s="1"/>
  <c r="N308" i="2" a="1"/>
  <c r="N308" i="2" s="1"/>
  <c r="N307" i="2" a="1"/>
  <c r="N307" i="2" s="1"/>
  <c r="N306" i="2" a="1"/>
  <c r="N306" i="2" s="1"/>
  <c r="N305" i="2" a="1"/>
  <c r="N305" i="2" s="1"/>
  <c r="N304" i="2" a="1"/>
  <c r="N304" i="2" s="1"/>
  <c r="N303" i="2" a="1"/>
  <c r="N303" i="2" s="1"/>
  <c r="N302" i="2" a="1"/>
  <c r="N302" i="2" s="1"/>
  <c r="N301" i="2" a="1"/>
  <c r="N301" i="2" s="1"/>
  <c r="N300" i="2" a="1"/>
  <c r="N300" i="2" s="1"/>
  <c r="N299" i="2" a="1"/>
  <c r="N299" i="2" s="1"/>
  <c r="N298" i="2" a="1"/>
  <c r="N298" i="2" s="1"/>
  <c r="N297" i="2" a="1"/>
  <c r="N297" i="2" s="1"/>
  <c r="N296" i="2" a="1"/>
  <c r="N296" i="2" s="1"/>
  <c r="N295" i="2" a="1"/>
  <c r="N295" i="2" s="1"/>
  <c r="N294" i="2" a="1"/>
  <c r="N294" i="2" s="1"/>
  <c r="N293" i="2" a="1"/>
  <c r="N293" i="2" s="1"/>
  <c r="N292" i="2" a="1"/>
  <c r="N292" i="2" s="1"/>
  <c r="N291" i="2" a="1"/>
  <c r="N291" i="2" s="1"/>
  <c r="N290" i="2" a="1"/>
  <c r="N290" i="2" s="1"/>
  <c r="N289" i="2" a="1"/>
  <c r="N289" i="2" s="1"/>
  <c r="N288" i="2" a="1"/>
  <c r="N288" i="2" s="1"/>
  <c r="N287" i="2" a="1"/>
  <c r="N287" i="2" s="1"/>
  <c r="N286" i="2" a="1"/>
  <c r="N286" i="2" s="1"/>
  <c r="N285" i="2" a="1"/>
  <c r="N285" i="2" s="1"/>
  <c r="N284" i="2" a="1"/>
  <c r="N284" i="2" s="1"/>
  <c r="N283" i="2" a="1"/>
  <c r="N283" i="2" s="1"/>
  <c r="N282" i="2" a="1"/>
  <c r="N282" i="2" s="1"/>
  <c r="N281" i="2" a="1"/>
  <c r="N281" i="2" s="1"/>
  <c r="N280" i="2" a="1"/>
  <c r="N280" i="2" s="1"/>
  <c r="N279" i="2" a="1"/>
  <c r="N279" i="2" s="1"/>
  <c r="N278" i="2" a="1"/>
  <c r="N278" i="2" s="1"/>
  <c r="N277" i="2" a="1"/>
  <c r="N277" i="2" s="1"/>
  <c r="N276" i="2" a="1"/>
  <c r="N276" i="2" s="1"/>
  <c r="N275" i="2" a="1"/>
  <c r="N275" i="2" s="1"/>
  <c r="N274" i="2" a="1"/>
  <c r="N274" i="2" s="1"/>
  <c r="N273" i="2" a="1"/>
  <c r="N273" i="2" s="1"/>
  <c r="N272" i="2" a="1"/>
  <c r="N272" i="2" s="1"/>
  <c r="N271" i="2" a="1"/>
  <c r="N271" i="2" s="1"/>
  <c r="N270" i="2" a="1"/>
  <c r="N270" i="2" s="1"/>
  <c r="N269" i="2" a="1"/>
  <c r="N269" i="2" s="1"/>
  <c r="N268" i="2" a="1"/>
  <c r="N268" i="2" s="1"/>
  <c r="N267" i="2" a="1"/>
  <c r="N267" i="2" s="1"/>
  <c r="N266" i="2" a="1"/>
  <c r="N266" i="2" s="1"/>
  <c r="N265" i="2" a="1"/>
  <c r="N265" i="2" s="1"/>
  <c r="N264" i="2" a="1"/>
  <c r="N264" i="2" s="1"/>
  <c r="N263" i="2" a="1"/>
  <c r="N263" i="2" s="1"/>
  <c r="N262" i="2" a="1"/>
  <c r="N262" i="2" s="1"/>
  <c r="N261" i="2" a="1"/>
  <c r="N261" i="2" s="1"/>
  <c r="N260" i="2" a="1"/>
  <c r="N260" i="2" s="1"/>
  <c r="N259" i="2" a="1"/>
  <c r="N259" i="2" s="1"/>
  <c r="N258" i="2" a="1"/>
  <c r="N258" i="2" s="1"/>
  <c r="N257" i="2" a="1"/>
  <c r="N257" i="2" s="1"/>
  <c r="N256" i="2" a="1"/>
  <c r="N256" i="2" s="1"/>
  <c r="N255" i="2" a="1"/>
  <c r="N255" i="2" s="1"/>
  <c r="N254" i="2" a="1"/>
  <c r="N254" i="2" s="1"/>
  <c r="N253" i="2" a="1"/>
  <c r="N253" i="2" s="1"/>
  <c r="N252" i="2" a="1"/>
  <c r="N252" i="2" s="1"/>
  <c r="N251" i="2" a="1"/>
  <c r="N251" i="2" s="1"/>
  <c r="N250" i="2" a="1"/>
  <c r="N250" i="2" s="1"/>
  <c r="N249" i="2" a="1"/>
  <c r="N249" i="2" s="1"/>
  <c r="N248" i="2" a="1"/>
  <c r="N248" i="2" s="1"/>
  <c r="N247" i="2" a="1"/>
  <c r="N247" i="2" s="1"/>
  <c r="N246" i="2" a="1"/>
  <c r="N246" i="2" s="1"/>
  <c r="N245" i="2" a="1"/>
  <c r="N245" i="2" s="1"/>
  <c r="N244" i="2" a="1"/>
  <c r="N244" i="2" s="1"/>
  <c r="N243" i="2" a="1"/>
  <c r="N243" i="2" s="1"/>
  <c r="N242" i="2" a="1"/>
  <c r="N242" i="2" s="1"/>
  <c r="N241" i="2" a="1"/>
  <c r="N241" i="2" s="1"/>
  <c r="N240" i="2" a="1"/>
  <c r="N240" i="2" s="1"/>
  <c r="N239" i="2" a="1"/>
  <c r="N239" i="2" s="1"/>
  <c r="N238" i="2" a="1"/>
  <c r="N238" i="2" s="1"/>
  <c r="N237" i="2" a="1"/>
  <c r="N237" i="2" s="1"/>
  <c r="N236" i="2" a="1"/>
  <c r="N236" i="2" s="1"/>
  <c r="N235" i="2" a="1"/>
  <c r="N235" i="2" s="1"/>
  <c r="N234" i="2" a="1"/>
  <c r="N234" i="2" s="1"/>
  <c r="N233" i="2" a="1"/>
  <c r="N233" i="2" s="1"/>
  <c r="N232" i="2" a="1"/>
  <c r="N232" i="2" s="1"/>
  <c r="N231" i="2" a="1"/>
  <c r="N231" i="2" s="1"/>
  <c r="N230" i="2" a="1"/>
  <c r="N230" i="2" s="1"/>
  <c r="N229" i="2" a="1"/>
  <c r="N229" i="2" s="1"/>
  <c r="N228" i="2" a="1"/>
  <c r="N228" i="2" s="1"/>
  <c r="N227" i="2" a="1"/>
  <c r="N227" i="2" s="1"/>
  <c r="N226" i="2" a="1"/>
  <c r="N226" i="2" s="1"/>
  <c r="N225" i="2" a="1"/>
  <c r="N225" i="2" s="1"/>
  <c r="N224" i="2" a="1"/>
  <c r="N224" i="2" s="1"/>
  <c r="N223" i="2" a="1"/>
  <c r="N223" i="2" s="1"/>
  <c r="N222" i="2" a="1"/>
  <c r="N222" i="2" s="1"/>
  <c r="N221" i="2" a="1"/>
  <c r="N221" i="2" s="1"/>
  <c r="N220" i="2" a="1"/>
  <c r="N220" i="2" s="1"/>
  <c r="N219" i="2" a="1"/>
  <c r="N219" i="2" s="1"/>
  <c r="N218" i="2" a="1"/>
  <c r="N218" i="2" s="1"/>
  <c r="N217" i="2" a="1"/>
  <c r="N217" i="2" s="1"/>
  <c r="N216" i="2" a="1"/>
  <c r="N216" i="2" s="1"/>
  <c r="N215" i="2" a="1"/>
  <c r="N215" i="2" s="1"/>
  <c r="N214" i="2" a="1"/>
  <c r="N214" i="2" s="1"/>
  <c r="N213" i="2" a="1"/>
  <c r="N213" i="2" s="1"/>
  <c r="N212" i="2" a="1"/>
  <c r="N212" i="2" s="1"/>
  <c r="N211" i="2" a="1"/>
  <c r="N211" i="2" s="1"/>
  <c r="N210" i="2" a="1"/>
  <c r="N210" i="2" s="1"/>
  <c r="N209" i="2" a="1"/>
  <c r="N209" i="2" s="1"/>
  <c r="N208" i="2" a="1"/>
  <c r="N208" i="2" s="1"/>
  <c r="N207" i="2" a="1"/>
  <c r="N207" i="2" s="1"/>
  <c r="N206" i="2" a="1"/>
  <c r="N206" i="2" s="1"/>
  <c r="N205" i="2" a="1"/>
  <c r="N205" i="2" s="1"/>
  <c r="N204" i="2" a="1"/>
  <c r="N204" i="2" s="1"/>
  <c r="N203" i="2" a="1"/>
  <c r="N203" i="2" s="1"/>
  <c r="N202" i="2" a="1"/>
  <c r="N202" i="2" s="1"/>
  <c r="N201" i="2" a="1"/>
  <c r="N201" i="2" s="1"/>
  <c r="N200" i="2" a="1"/>
  <c r="N200" i="2" s="1"/>
  <c r="N199" i="2" a="1"/>
  <c r="N199" i="2" s="1"/>
  <c r="N198" i="2" a="1"/>
  <c r="N198" i="2" s="1"/>
  <c r="N197" i="2" a="1"/>
  <c r="N197" i="2" s="1"/>
  <c r="N196" i="2" a="1"/>
  <c r="N196" i="2" s="1"/>
  <c r="N195" i="2" a="1"/>
  <c r="N195" i="2" s="1"/>
  <c r="N194" i="2" a="1"/>
  <c r="N194" i="2" s="1"/>
  <c r="N193" i="2" a="1"/>
  <c r="N193" i="2" s="1"/>
  <c r="N192" i="2" a="1"/>
  <c r="N192" i="2" s="1"/>
  <c r="N191" i="2" a="1"/>
  <c r="N191" i="2" s="1"/>
  <c r="N190" i="2" a="1"/>
  <c r="N190" i="2" s="1"/>
  <c r="N189" i="2" a="1"/>
  <c r="N189" i="2" s="1"/>
  <c r="N188" i="2" a="1"/>
  <c r="N188" i="2" s="1"/>
  <c r="N187" i="2" a="1"/>
  <c r="N187" i="2" s="1"/>
  <c r="N186" i="2" a="1"/>
  <c r="N186" i="2" s="1"/>
  <c r="N185" i="2" a="1"/>
  <c r="N185" i="2" s="1"/>
  <c r="N184" i="2" a="1"/>
  <c r="N184" i="2" s="1"/>
  <c r="N183" i="2" a="1"/>
  <c r="N183" i="2" s="1"/>
  <c r="N182" i="2" a="1"/>
  <c r="N182" i="2" s="1"/>
  <c r="N181" i="2" a="1"/>
  <c r="N181" i="2" s="1"/>
  <c r="N180" i="2" a="1"/>
  <c r="N180" i="2" s="1"/>
  <c r="N179" i="2" a="1"/>
  <c r="N179" i="2" s="1"/>
  <c r="N178" i="2" a="1"/>
  <c r="N178" i="2" s="1"/>
  <c r="N177" i="2" a="1"/>
  <c r="N177" i="2" s="1"/>
  <c r="N176" i="2" a="1"/>
  <c r="N176" i="2" s="1"/>
  <c r="N175" i="2" a="1"/>
  <c r="N175" i="2" s="1"/>
  <c r="N174" i="2" a="1"/>
  <c r="N174" i="2" s="1"/>
  <c r="N173" i="2" a="1"/>
  <c r="N173" i="2" s="1"/>
  <c r="N172" i="2" a="1"/>
  <c r="N172" i="2" s="1"/>
  <c r="N171" i="2" a="1"/>
  <c r="N171" i="2" s="1"/>
  <c r="N170" i="2" a="1"/>
  <c r="N170" i="2" s="1"/>
  <c r="N169" i="2" a="1"/>
  <c r="N169" i="2" s="1"/>
  <c r="N168" i="2" a="1"/>
  <c r="N168" i="2" s="1"/>
  <c r="N167" i="2" a="1"/>
  <c r="N167" i="2" s="1"/>
  <c r="N166" i="2" a="1"/>
  <c r="N166" i="2" s="1"/>
  <c r="N165" i="2" a="1"/>
  <c r="N165" i="2" s="1"/>
  <c r="N164" i="2" a="1"/>
  <c r="N164" i="2" s="1"/>
  <c r="N163" i="2" a="1"/>
  <c r="N163" i="2" s="1"/>
  <c r="N162" i="2" a="1"/>
  <c r="N162" i="2" s="1"/>
  <c r="N161" i="2" a="1"/>
  <c r="N161" i="2" s="1"/>
  <c r="N160" i="2" a="1"/>
  <c r="N160" i="2" s="1"/>
  <c r="N159" i="2" a="1"/>
  <c r="N159" i="2" s="1"/>
  <c r="N158" i="2" a="1"/>
  <c r="N158" i="2" s="1"/>
  <c r="N157" i="2" a="1"/>
  <c r="N157" i="2" s="1"/>
  <c r="N156" i="2" a="1"/>
  <c r="N156" i="2" s="1"/>
  <c r="N155" i="2" a="1"/>
  <c r="N155" i="2" s="1"/>
  <c r="N154" i="2" a="1"/>
  <c r="N154" i="2" s="1"/>
  <c r="N153" i="2" a="1"/>
  <c r="N153" i="2" s="1"/>
  <c r="N152" i="2" a="1"/>
  <c r="N152" i="2" s="1"/>
  <c r="N151" i="2" a="1"/>
  <c r="N151" i="2" s="1"/>
  <c r="N150" i="2" a="1"/>
  <c r="N150" i="2" s="1"/>
  <c r="N149" i="2" a="1"/>
  <c r="N149" i="2" s="1"/>
  <c r="N148" i="2" a="1"/>
  <c r="N148" i="2" s="1"/>
  <c r="N147" i="2" a="1"/>
  <c r="N147" i="2" s="1"/>
  <c r="N146" i="2" a="1"/>
  <c r="N146" i="2" s="1"/>
  <c r="N145" i="2" a="1"/>
  <c r="N145" i="2" s="1"/>
  <c r="N144" i="2" a="1"/>
  <c r="N144" i="2" s="1"/>
  <c r="N143" i="2" a="1"/>
  <c r="N143" i="2" s="1"/>
  <c r="N142" i="2" a="1"/>
  <c r="N142" i="2" s="1"/>
  <c r="N141" i="2" a="1"/>
  <c r="N141" i="2" s="1"/>
  <c r="N140" i="2" a="1"/>
  <c r="N140" i="2" s="1"/>
  <c r="N139" i="2" a="1"/>
  <c r="N139" i="2" s="1"/>
  <c r="N138" i="2" a="1"/>
  <c r="N138" i="2" s="1"/>
  <c r="N137" i="2" a="1"/>
  <c r="N137" i="2" s="1"/>
  <c r="N136" i="2" a="1"/>
  <c r="N136" i="2" s="1"/>
  <c r="N135" i="2" a="1"/>
  <c r="N135" i="2" s="1"/>
  <c r="N134" i="2" a="1"/>
  <c r="N134" i="2" s="1"/>
  <c r="N133" i="2" a="1"/>
  <c r="N133" i="2" s="1"/>
  <c r="N132" i="2" a="1"/>
  <c r="N132" i="2" s="1"/>
  <c r="N131" i="2" a="1"/>
  <c r="N131" i="2" s="1"/>
  <c r="N130" i="2" a="1"/>
  <c r="N130" i="2" s="1"/>
  <c r="N129" i="2" a="1"/>
  <c r="N129" i="2" s="1"/>
  <c r="N128" i="2" a="1"/>
  <c r="N128" i="2" s="1"/>
  <c r="N127" i="2" a="1"/>
  <c r="N127" i="2" s="1"/>
  <c r="N126" i="2" a="1"/>
  <c r="N126" i="2" s="1"/>
  <c r="N125" i="2" a="1"/>
  <c r="N125" i="2" s="1"/>
  <c r="N124" i="2" a="1"/>
  <c r="N124" i="2" s="1"/>
  <c r="N123" i="2" a="1"/>
  <c r="N123" i="2" s="1"/>
  <c r="N122" i="2" a="1"/>
  <c r="N122" i="2" s="1"/>
  <c r="N121" i="2" a="1"/>
  <c r="N121" i="2" s="1"/>
  <c r="N120" i="2" a="1"/>
  <c r="N120" i="2" s="1"/>
  <c r="N119" i="2" a="1"/>
  <c r="N119" i="2" s="1"/>
  <c r="N118" i="2" a="1"/>
  <c r="N118" i="2" s="1"/>
  <c r="N117" i="2" a="1"/>
  <c r="N117" i="2" s="1"/>
  <c r="N116" i="2" a="1"/>
  <c r="N116" i="2" s="1"/>
  <c r="N115" i="2"/>
  <c r="N115" i="2" a="1"/>
  <c r="N114" i="2" a="1"/>
  <c r="N114" i="2" s="1"/>
  <c r="N113" i="2"/>
  <c r="N113" i="2" a="1"/>
  <c r="N112" i="2" a="1"/>
  <c r="N112" i="2" s="1"/>
  <c r="N111" i="2" a="1"/>
  <c r="N111" i="2" s="1"/>
  <c r="N110" i="2" a="1"/>
  <c r="N110" i="2" s="1"/>
  <c r="N109" i="2" a="1"/>
  <c r="N109" i="2" s="1"/>
  <c r="N108" i="2" a="1"/>
  <c r="N108" i="2" s="1"/>
  <c r="N107" i="2" a="1"/>
  <c r="N107" i="2" s="1"/>
  <c r="N106" i="2" a="1"/>
  <c r="N106" i="2" s="1"/>
  <c r="N105" i="2" a="1"/>
  <c r="N105" i="2" s="1"/>
  <c r="N104" i="2" a="1"/>
  <c r="N104" i="2" s="1"/>
  <c r="N103" i="2" a="1"/>
  <c r="N103" i="2" s="1"/>
  <c r="N102" i="2" a="1"/>
  <c r="N102" i="2" s="1"/>
  <c r="N101" i="2"/>
  <c r="N101" i="2" a="1"/>
  <c r="N100" i="2" a="1"/>
  <c r="N100" i="2" s="1"/>
  <c r="N99" i="2"/>
  <c r="N99" i="2" a="1"/>
  <c r="N98" i="2" a="1"/>
  <c r="N98" i="2" s="1"/>
  <c r="N97" i="2" a="1"/>
  <c r="N97" i="2" s="1"/>
  <c r="N96" i="2" a="1"/>
  <c r="N96" i="2" s="1"/>
  <c r="N95" i="2" a="1"/>
  <c r="N95" i="2" s="1"/>
  <c r="N94" i="2" a="1"/>
  <c r="N94" i="2" s="1"/>
  <c r="N93" i="2" a="1"/>
  <c r="N93" i="2" s="1"/>
  <c r="N92" i="2" a="1"/>
  <c r="N92" i="2" s="1"/>
  <c r="N91" i="2" a="1"/>
  <c r="N91" i="2" s="1"/>
  <c r="N90" i="2" a="1"/>
  <c r="N90" i="2" s="1"/>
  <c r="N89" i="2" a="1"/>
  <c r="N89" i="2" s="1"/>
  <c r="N88" i="2" a="1"/>
  <c r="N88" i="2" s="1"/>
  <c r="N87" i="2" a="1"/>
  <c r="N87" i="2" s="1"/>
  <c r="N86" i="2" a="1"/>
  <c r="N86" i="2" s="1"/>
  <c r="N85" i="2" a="1"/>
  <c r="N85" i="2" s="1"/>
  <c r="N84" i="2" a="1"/>
  <c r="N84" i="2" s="1"/>
  <c r="N83" i="2" a="1"/>
  <c r="N83" i="2" s="1"/>
  <c r="N82" i="2" a="1"/>
  <c r="N82" i="2" s="1"/>
  <c r="N81" i="2" a="1"/>
  <c r="N81" i="2" s="1"/>
  <c r="N80" i="2" a="1"/>
  <c r="N80" i="2" s="1"/>
  <c r="N79" i="2" a="1"/>
  <c r="N79" i="2" s="1"/>
  <c r="N78" i="2" a="1"/>
  <c r="N78" i="2" s="1"/>
  <c r="N77" i="2" a="1"/>
  <c r="N77" i="2" s="1"/>
  <c r="N76" i="2" a="1"/>
  <c r="N76" i="2" s="1"/>
  <c r="N75" i="2" a="1"/>
  <c r="N75" i="2" s="1"/>
  <c r="N74" i="2" a="1"/>
  <c r="N74" i="2" s="1"/>
  <c r="N73" i="2" a="1"/>
  <c r="N73" i="2" s="1"/>
  <c r="N72" i="2" a="1"/>
  <c r="N72" i="2" s="1"/>
  <c r="N71" i="2" a="1"/>
  <c r="N71" i="2" s="1"/>
  <c r="N70" i="2" a="1"/>
  <c r="N70" i="2" s="1"/>
  <c r="N69" i="2" a="1"/>
  <c r="N69" i="2" s="1"/>
  <c r="N68" i="2" a="1"/>
  <c r="N68" i="2" s="1"/>
  <c r="N67" i="2" a="1"/>
  <c r="N67" i="2" s="1"/>
  <c r="N66" i="2" a="1"/>
  <c r="N66" i="2" s="1"/>
  <c r="N65" i="2" a="1"/>
  <c r="N65" i="2" s="1"/>
  <c r="L455" i="2" a="1"/>
  <c r="L455" i="2" s="1"/>
  <c r="L454" i="2" a="1"/>
  <c r="L454" i="2" s="1"/>
  <c r="L453" i="2" a="1"/>
  <c r="L453" i="2" s="1"/>
  <c r="L452" i="2" a="1"/>
  <c r="L452" i="2" s="1"/>
  <c r="L451" i="2" a="1"/>
  <c r="L451" i="2" s="1"/>
  <c r="L450" i="2" a="1"/>
  <c r="L450" i="2" s="1"/>
  <c r="L449" i="2" a="1"/>
  <c r="L449" i="2" s="1"/>
  <c r="L448" i="2" a="1"/>
  <c r="L448" i="2" s="1"/>
  <c r="L447" i="2" a="1"/>
  <c r="L447" i="2" s="1"/>
  <c r="L446" i="2" a="1"/>
  <c r="L446" i="2" s="1"/>
  <c r="L445" i="2" a="1"/>
  <c r="L445" i="2" s="1"/>
  <c r="L444" i="2" a="1"/>
  <c r="L444" i="2" s="1"/>
  <c r="L443" i="2" a="1"/>
  <c r="L443" i="2" s="1"/>
  <c r="L442" i="2" a="1"/>
  <c r="L442" i="2" s="1"/>
  <c r="L441" i="2" a="1"/>
  <c r="L441" i="2" s="1"/>
  <c r="L440" i="2" a="1"/>
  <c r="L440" i="2" s="1"/>
  <c r="L439" i="2" a="1"/>
  <c r="L439" i="2" s="1"/>
  <c r="L438" i="2" a="1"/>
  <c r="L438" i="2" s="1"/>
  <c r="L437" i="2" a="1"/>
  <c r="L437" i="2" s="1"/>
  <c r="L436" i="2" a="1"/>
  <c r="L436" i="2" s="1"/>
  <c r="L435" i="2" a="1"/>
  <c r="L435" i="2" s="1"/>
  <c r="L434" i="2" a="1"/>
  <c r="L434" i="2" s="1"/>
  <c r="L433" i="2" a="1"/>
  <c r="L433" i="2" s="1"/>
  <c r="L432" i="2" a="1"/>
  <c r="L432" i="2" s="1"/>
  <c r="L431" i="2" a="1"/>
  <c r="L431" i="2" s="1"/>
  <c r="L430" i="2" a="1"/>
  <c r="L430" i="2" s="1"/>
  <c r="L429" i="2" a="1"/>
  <c r="L429" i="2" s="1"/>
  <c r="L428" i="2" a="1"/>
  <c r="L428" i="2" s="1"/>
  <c r="L427" i="2" a="1"/>
  <c r="L427" i="2" s="1"/>
  <c r="L426" i="2" a="1"/>
  <c r="L426" i="2" s="1"/>
  <c r="L425" i="2" a="1"/>
  <c r="L425" i="2" s="1"/>
  <c r="L424" i="2" a="1"/>
  <c r="L424" i="2" s="1"/>
  <c r="L423" i="2" a="1"/>
  <c r="L423" i="2" s="1"/>
  <c r="L422" i="2" a="1"/>
  <c r="L422" i="2" s="1"/>
  <c r="L421" i="2" a="1"/>
  <c r="L421" i="2" s="1"/>
  <c r="L420" i="2" a="1"/>
  <c r="L420" i="2" s="1"/>
  <c r="L419" i="2" a="1"/>
  <c r="L419" i="2" s="1"/>
  <c r="L418" i="2" a="1"/>
  <c r="L418" i="2" s="1"/>
  <c r="L417" i="2" a="1"/>
  <c r="L417" i="2" s="1"/>
  <c r="L416" i="2" a="1"/>
  <c r="L416" i="2" s="1"/>
  <c r="L415" i="2" a="1"/>
  <c r="L415" i="2" s="1"/>
  <c r="L414" i="2" a="1"/>
  <c r="L414" i="2" s="1"/>
  <c r="L413" i="2" a="1"/>
  <c r="L413" i="2" s="1"/>
  <c r="L412" i="2" a="1"/>
  <c r="L412" i="2" s="1"/>
  <c r="L411" i="2" a="1"/>
  <c r="L411" i="2" s="1"/>
  <c r="L410" i="2" a="1"/>
  <c r="L410" i="2" s="1"/>
  <c r="L409" i="2" a="1"/>
  <c r="L409" i="2" s="1"/>
  <c r="L408" i="2" a="1"/>
  <c r="L408" i="2" s="1"/>
  <c r="L407" i="2" a="1"/>
  <c r="L407" i="2" s="1"/>
  <c r="L406" i="2" a="1"/>
  <c r="L406" i="2" s="1"/>
  <c r="L405" i="2" a="1"/>
  <c r="L405" i="2" s="1"/>
  <c r="L404" i="2" a="1"/>
  <c r="L404" i="2" s="1"/>
  <c r="L403" i="2" a="1"/>
  <c r="L403" i="2" s="1"/>
  <c r="L402" i="2" a="1"/>
  <c r="L402" i="2" s="1"/>
  <c r="L401" i="2" a="1"/>
  <c r="L401" i="2" s="1"/>
  <c r="L400" i="2" a="1"/>
  <c r="L400" i="2" s="1"/>
  <c r="L399" i="2" a="1"/>
  <c r="L399" i="2" s="1"/>
  <c r="L398" i="2" a="1"/>
  <c r="L398" i="2" s="1"/>
  <c r="L397" i="2" a="1"/>
  <c r="L397" i="2" s="1"/>
  <c r="L396" i="2" a="1"/>
  <c r="L396" i="2" s="1"/>
  <c r="L395" i="2" a="1"/>
  <c r="L395" i="2" s="1"/>
  <c r="L394" i="2" a="1"/>
  <c r="L394" i="2" s="1"/>
  <c r="L393" i="2" a="1"/>
  <c r="L393" i="2" s="1"/>
  <c r="L392" i="2" a="1"/>
  <c r="L392" i="2" s="1"/>
  <c r="L391" i="2" a="1"/>
  <c r="L391" i="2" s="1"/>
  <c r="L390" i="2" a="1"/>
  <c r="L390" i="2" s="1"/>
  <c r="L389" i="2" a="1"/>
  <c r="L389" i="2" s="1"/>
  <c r="L388" i="2" a="1"/>
  <c r="L388" i="2" s="1"/>
  <c r="L387" i="2" a="1"/>
  <c r="L387" i="2" s="1"/>
  <c r="L386" i="2" a="1"/>
  <c r="L386" i="2" s="1"/>
  <c r="L385" i="2" a="1"/>
  <c r="L385" i="2" s="1"/>
  <c r="L384" i="2" a="1"/>
  <c r="L384" i="2" s="1"/>
  <c r="L383" i="2" a="1"/>
  <c r="L383" i="2" s="1"/>
  <c r="L382" i="2" a="1"/>
  <c r="L382" i="2" s="1"/>
  <c r="L381" i="2" a="1"/>
  <c r="L381" i="2" s="1"/>
  <c r="L380" i="2" a="1"/>
  <c r="L380" i="2" s="1"/>
  <c r="L379" i="2" a="1"/>
  <c r="L379" i="2" s="1"/>
  <c r="L378" i="2" a="1"/>
  <c r="L378" i="2" s="1"/>
  <c r="L377" i="2" a="1"/>
  <c r="L377" i="2" s="1"/>
  <c r="L376" i="2" a="1"/>
  <c r="L376" i="2" s="1"/>
  <c r="L375" i="2" a="1"/>
  <c r="L375" i="2" s="1"/>
  <c r="L374" i="2" a="1"/>
  <c r="L374" i="2" s="1"/>
  <c r="L373" i="2" a="1"/>
  <c r="L373" i="2" s="1"/>
  <c r="L372" i="2" a="1"/>
  <c r="L372" i="2" s="1"/>
  <c r="L371" i="2" a="1"/>
  <c r="L371" i="2" s="1"/>
  <c r="L370" i="2" a="1"/>
  <c r="L370" i="2" s="1"/>
  <c r="L369" i="2" a="1"/>
  <c r="L369" i="2" s="1"/>
  <c r="L368" i="2" a="1"/>
  <c r="L368" i="2" s="1"/>
  <c r="L367" i="2" a="1"/>
  <c r="L367" i="2" s="1"/>
  <c r="L366" i="2" a="1"/>
  <c r="L366" i="2" s="1"/>
  <c r="L365" i="2" a="1"/>
  <c r="L365" i="2" s="1"/>
  <c r="L364" i="2" a="1"/>
  <c r="L364" i="2" s="1"/>
  <c r="L363" i="2" a="1"/>
  <c r="L363" i="2" s="1"/>
  <c r="L362" i="2" a="1"/>
  <c r="L362" i="2" s="1"/>
  <c r="L361" i="2" a="1"/>
  <c r="L361" i="2" s="1"/>
  <c r="L360" i="2" a="1"/>
  <c r="L360" i="2" s="1"/>
  <c r="L359" i="2" a="1"/>
  <c r="L359" i="2" s="1"/>
  <c r="L358" i="2" a="1"/>
  <c r="L358" i="2" s="1"/>
  <c r="L357" i="2" a="1"/>
  <c r="L357" i="2" s="1"/>
  <c r="L356" i="2" a="1"/>
  <c r="L356" i="2" s="1"/>
  <c r="L355" i="2" a="1"/>
  <c r="L355" i="2" s="1"/>
  <c r="L354" i="2" a="1"/>
  <c r="L354" i="2" s="1"/>
  <c r="L353" i="2" a="1"/>
  <c r="L353" i="2" s="1"/>
  <c r="L352" i="2" a="1"/>
  <c r="L352" i="2" s="1"/>
  <c r="L351" i="2" a="1"/>
  <c r="L351" i="2" s="1"/>
  <c r="L350" i="2" a="1"/>
  <c r="L350" i="2" s="1"/>
  <c r="L349" i="2" a="1"/>
  <c r="L349" i="2" s="1"/>
  <c r="L348" i="2" a="1"/>
  <c r="L348" i="2" s="1"/>
  <c r="L347" i="2" a="1"/>
  <c r="L347" i="2" s="1"/>
  <c r="L346" i="2" a="1"/>
  <c r="L346" i="2" s="1"/>
  <c r="L345" i="2" a="1"/>
  <c r="L345" i="2" s="1"/>
  <c r="L344" i="2" a="1"/>
  <c r="L344" i="2" s="1"/>
  <c r="L343" i="2" a="1"/>
  <c r="L343" i="2" s="1"/>
  <c r="L342" i="2" a="1"/>
  <c r="L342" i="2" s="1"/>
  <c r="L341" i="2" a="1"/>
  <c r="L341" i="2" s="1"/>
  <c r="L340" i="2" a="1"/>
  <c r="L340" i="2" s="1"/>
  <c r="L339" i="2" a="1"/>
  <c r="L339" i="2" s="1"/>
  <c r="L338" i="2" a="1"/>
  <c r="L338" i="2" s="1"/>
  <c r="L337" i="2" a="1"/>
  <c r="L337" i="2" s="1"/>
  <c r="L336" i="2" a="1"/>
  <c r="L336" i="2" s="1"/>
  <c r="L335" i="2" a="1"/>
  <c r="L335" i="2" s="1"/>
  <c r="L334" i="2" a="1"/>
  <c r="L334" i="2" s="1"/>
  <c r="L333" i="2" a="1"/>
  <c r="L333" i="2" s="1"/>
  <c r="L332" i="2" a="1"/>
  <c r="L332" i="2" s="1"/>
  <c r="L331" i="2" a="1"/>
  <c r="L331" i="2" s="1"/>
  <c r="L330" i="2" a="1"/>
  <c r="L330" i="2" s="1"/>
  <c r="L329" i="2" a="1"/>
  <c r="L329" i="2" s="1"/>
  <c r="L328" i="2" a="1"/>
  <c r="L328" i="2" s="1"/>
  <c r="L327" i="2" a="1"/>
  <c r="L327" i="2" s="1"/>
  <c r="L326" i="2" a="1"/>
  <c r="L326" i="2" s="1"/>
  <c r="L325" i="2" a="1"/>
  <c r="L325" i="2" s="1"/>
  <c r="L324" i="2" a="1"/>
  <c r="L324" i="2" s="1"/>
  <c r="L323" i="2" a="1"/>
  <c r="L323" i="2" s="1"/>
  <c r="L322" i="2" a="1"/>
  <c r="L322" i="2" s="1"/>
  <c r="L321" i="2" a="1"/>
  <c r="L321" i="2" s="1"/>
  <c r="L320" i="2" a="1"/>
  <c r="L320" i="2" s="1"/>
  <c r="L319" i="2" a="1"/>
  <c r="L319" i="2" s="1"/>
  <c r="L318" i="2" a="1"/>
  <c r="L318" i="2" s="1"/>
  <c r="L317" i="2" a="1"/>
  <c r="L317" i="2" s="1"/>
  <c r="L316" i="2" a="1"/>
  <c r="L316" i="2" s="1"/>
  <c r="L315" i="2" a="1"/>
  <c r="L315" i="2" s="1"/>
  <c r="L314" i="2" a="1"/>
  <c r="L314" i="2" s="1"/>
  <c r="L313" i="2" a="1"/>
  <c r="L313" i="2" s="1"/>
  <c r="L312" i="2" a="1"/>
  <c r="L312" i="2" s="1"/>
  <c r="L311" i="2" a="1"/>
  <c r="L311" i="2" s="1"/>
  <c r="L310" i="2" a="1"/>
  <c r="L310" i="2" s="1"/>
  <c r="L309" i="2" a="1"/>
  <c r="L309" i="2" s="1"/>
  <c r="L308" i="2" a="1"/>
  <c r="L308" i="2" s="1"/>
  <c r="L307" i="2" a="1"/>
  <c r="L307" i="2" s="1"/>
  <c r="L306" i="2" a="1"/>
  <c r="L306" i="2" s="1"/>
  <c r="L305" i="2" a="1"/>
  <c r="L305" i="2" s="1"/>
  <c r="L304" i="2" a="1"/>
  <c r="L304" i="2" s="1"/>
  <c r="L303" i="2" a="1"/>
  <c r="L303" i="2" s="1"/>
  <c r="L302" i="2" a="1"/>
  <c r="L302" i="2" s="1"/>
  <c r="L301" i="2" a="1"/>
  <c r="L301" i="2" s="1"/>
  <c r="L300" i="2" a="1"/>
  <c r="L300" i="2" s="1"/>
  <c r="L299" i="2" a="1"/>
  <c r="L299" i="2" s="1"/>
  <c r="L298" i="2" a="1"/>
  <c r="L298" i="2" s="1"/>
  <c r="L297" i="2" a="1"/>
  <c r="L297" i="2" s="1"/>
  <c r="L296" i="2" a="1"/>
  <c r="L296" i="2" s="1"/>
  <c r="L295" i="2" a="1"/>
  <c r="L295" i="2" s="1"/>
  <c r="L294" i="2" a="1"/>
  <c r="L294" i="2" s="1"/>
  <c r="L293" i="2" a="1"/>
  <c r="L293" i="2" s="1"/>
  <c r="L292" i="2" a="1"/>
  <c r="L292" i="2" s="1"/>
  <c r="L291" i="2" a="1"/>
  <c r="L291" i="2" s="1"/>
  <c r="L290" i="2" a="1"/>
  <c r="L290" i="2" s="1"/>
  <c r="L289" i="2" a="1"/>
  <c r="L289" i="2" s="1"/>
  <c r="L288" i="2" a="1"/>
  <c r="L288" i="2" s="1"/>
  <c r="L287" i="2" a="1"/>
  <c r="L287" i="2" s="1"/>
  <c r="L286" i="2" a="1"/>
  <c r="L286" i="2" s="1"/>
  <c r="L285" i="2" a="1"/>
  <c r="L285" i="2" s="1"/>
  <c r="L284" i="2" a="1"/>
  <c r="L284" i="2" s="1"/>
  <c r="L283" i="2" a="1"/>
  <c r="L283" i="2" s="1"/>
  <c r="L282" i="2" a="1"/>
  <c r="L282" i="2" s="1"/>
  <c r="L281" i="2" a="1"/>
  <c r="L281" i="2" s="1"/>
  <c r="L280" i="2" a="1"/>
  <c r="L280" i="2" s="1"/>
  <c r="L279" i="2" a="1"/>
  <c r="L279" i="2" s="1"/>
  <c r="L278" i="2" a="1"/>
  <c r="L278" i="2" s="1"/>
  <c r="L277" i="2" a="1"/>
  <c r="L277" i="2" s="1"/>
  <c r="L276" i="2" a="1"/>
  <c r="L276" i="2" s="1"/>
  <c r="L275" i="2" a="1"/>
  <c r="L275" i="2" s="1"/>
  <c r="L274" i="2" a="1"/>
  <c r="L274" i="2" s="1"/>
  <c r="L273" i="2" a="1"/>
  <c r="L273" i="2" s="1"/>
  <c r="L272" i="2" a="1"/>
  <c r="L272" i="2" s="1"/>
  <c r="L271" i="2" a="1"/>
  <c r="L271" i="2" s="1"/>
  <c r="L270" i="2" a="1"/>
  <c r="L270" i="2" s="1"/>
  <c r="L269" i="2" a="1"/>
  <c r="L269" i="2" s="1"/>
  <c r="L268" i="2" a="1"/>
  <c r="L268" i="2" s="1"/>
  <c r="L267" i="2" a="1"/>
  <c r="L267" i="2" s="1"/>
  <c r="L266" i="2" a="1"/>
  <c r="L266" i="2" s="1"/>
  <c r="L265" i="2" a="1"/>
  <c r="L265" i="2" s="1"/>
  <c r="L264" i="2" a="1"/>
  <c r="L264" i="2" s="1"/>
  <c r="L263" i="2" a="1"/>
  <c r="L263" i="2" s="1"/>
  <c r="L262" i="2" a="1"/>
  <c r="L262" i="2" s="1"/>
  <c r="L261" i="2" a="1"/>
  <c r="L261" i="2" s="1"/>
  <c r="L260" i="2" a="1"/>
  <c r="L260" i="2" s="1"/>
  <c r="L259" i="2" a="1"/>
  <c r="L259" i="2" s="1"/>
  <c r="L258" i="2" a="1"/>
  <c r="L258" i="2" s="1"/>
  <c r="L257" i="2" a="1"/>
  <c r="L257" i="2" s="1"/>
  <c r="L256" i="2" a="1"/>
  <c r="L256" i="2" s="1"/>
  <c r="L255" i="2" a="1"/>
  <c r="L255" i="2" s="1"/>
  <c r="L254" i="2" a="1"/>
  <c r="L254" i="2" s="1"/>
  <c r="L253" i="2" a="1"/>
  <c r="L253" i="2" s="1"/>
  <c r="L252" i="2" a="1"/>
  <c r="L252" i="2" s="1"/>
  <c r="L251" i="2" a="1"/>
  <c r="L251" i="2" s="1"/>
  <c r="L250" i="2" a="1"/>
  <c r="L250" i="2" s="1"/>
  <c r="L249" i="2" a="1"/>
  <c r="L249" i="2" s="1"/>
  <c r="L248" i="2" a="1"/>
  <c r="L248" i="2" s="1"/>
  <c r="L247" i="2" a="1"/>
  <c r="L247" i="2" s="1"/>
  <c r="L246" i="2" a="1"/>
  <c r="L246" i="2" s="1"/>
  <c r="L245" i="2" a="1"/>
  <c r="L245" i="2" s="1"/>
  <c r="L244" i="2" a="1"/>
  <c r="L244" i="2" s="1"/>
  <c r="L243" i="2" a="1"/>
  <c r="L243" i="2" s="1"/>
  <c r="L242" i="2" a="1"/>
  <c r="L242" i="2" s="1"/>
  <c r="L241" i="2" a="1"/>
  <c r="L241" i="2" s="1"/>
  <c r="L240" i="2" a="1"/>
  <c r="L240" i="2" s="1"/>
  <c r="L239" i="2" a="1"/>
  <c r="L239" i="2" s="1"/>
  <c r="L238" i="2" a="1"/>
  <c r="L238" i="2" s="1"/>
  <c r="L237" i="2" a="1"/>
  <c r="L237" i="2" s="1"/>
  <c r="L236" i="2" a="1"/>
  <c r="L236" i="2" s="1"/>
  <c r="L235" i="2" a="1"/>
  <c r="L235" i="2" s="1"/>
  <c r="L234" i="2" a="1"/>
  <c r="L234" i="2" s="1"/>
  <c r="L233" i="2" a="1"/>
  <c r="L233" i="2" s="1"/>
  <c r="L232" i="2" a="1"/>
  <c r="L232" i="2" s="1"/>
  <c r="L231" i="2" a="1"/>
  <c r="L231" i="2" s="1"/>
  <c r="L230" i="2" a="1"/>
  <c r="L230" i="2" s="1"/>
  <c r="L229" i="2" a="1"/>
  <c r="L229" i="2" s="1"/>
  <c r="L228" i="2" a="1"/>
  <c r="L228" i="2" s="1"/>
  <c r="L227" i="2" a="1"/>
  <c r="L227" i="2" s="1"/>
  <c r="L226" i="2" a="1"/>
  <c r="L226" i="2" s="1"/>
  <c r="L225" i="2" a="1"/>
  <c r="L225" i="2" s="1"/>
  <c r="L224" i="2" a="1"/>
  <c r="L224" i="2" s="1"/>
  <c r="L223" i="2" a="1"/>
  <c r="L223" i="2" s="1"/>
  <c r="L222" i="2" a="1"/>
  <c r="L222" i="2" s="1"/>
  <c r="L221" i="2" a="1"/>
  <c r="L221" i="2" s="1"/>
  <c r="L220" i="2" a="1"/>
  <c r="L220" i="2" s="1"/>
  <c r="L219" i="2" a="1"/>
  <c r="L219" i="2" s="1"/>
  <c r="L218" i="2" a="1"/>
  <c r="L218" i="2" s="1"/>
  <c r="L217" i="2" a="1"/>
  <c r="L217" i="2" s="1"/>
  <c r="L216" i="2" a="1"/>
  <c r="L216" i="2" s="1"/>
  <c r="L215" i="2" a="1"/>
  <c r="L215" i="2" s="1"/>
  <c r="L214" i="2" a="1"/>
  <c r="L214" i="2" s="1"/>
  <c r="L213" i="2" a="1"/>
  <c r="L213" i="2" s="1"/>
  <c r="L212" i="2" a="1"/>
  <c r="L212" i="2" s="1"/>
  <c r="L211" i="2" a="1"/>
  <c r="L211" i="2" s="1"/>
  <c r="L210" i="2" a="1"/>
  <c r="L210" i="2" s="1"/>
  <c r="L209" i="2" a="1"/>
  <c r="L209" i="2" s="1"/>
  <c r="L208" i="2" a="1"/>
  <c r="L208" i="2" s="1"/>
  <c r="L207" i="2" a="1"/>
  <c r="L207" i="2" s="1"/>
  <c r="L206" i="2" a="1"/>
  <c r="L206" i="2" s="1"/>
  <c r="L205" i="2" a="1"/>
  <c r="L205" i="2" s="1"/>
  <c r="L204" i="2" a="1"/>
  <c r="L204" i="2" s="1"/>
  <c r="L203" i="2" a="1"/>
  <c r="L203" i="2" s="1"/>
  <c r="L202" i="2" a="1"/>
  <c r="L202" i="2" s="1"/>
  <c r="L201" i="2" a="1"/>
  <c r="L201" i="2" s="1"/>
  <c r="L200" i="2" a="1"/>
  <c r="L200" i="2" s="1"/>
  <c r="L199" i="2" a="1"/>
  <c r="L199" i="2" s="1"/>
  <c r="L198" i="2" a="1"/>
  <c r="L198" i="2" s="1"/>
  <c r="L197" i="2" a="1"/>
  <c r="L197" i="2" s="1"/>
  <c r="L196" i="2" a="1"/>
  <c r="L196" i="2" s="1"/>
  <c r="L195" i="2" a="1"/>
  <c r="L195" i="2" s="1"/>
  <c r="L194" i="2" a="1"/>
  <c r="L194" i="2" s="1"/>
  <c r="L193" i="2" a="1"/>
  <c r="L193" i="2" s="1"/>
  <c r="L192" i="2" a="1"/>
  <c r="L192" i="2" s="1"/>
  <c r="L191" i="2" a="1"/>
  <c r="L191" i="2" s="1"/>
  <c r="L190" i="2" a="1"/>
  <c r="L190" i="2" s="1"/>
  <c r="L189" i="2" a="1"/>
  <c r="L189" i="2" s="1"/>
  <c r="L188" i="2" a="1"/>
  <c r="L188" i="2" s="1"/>
  <c r="L187" i="2" a="1"/>
  <c r="L187" i="2" s="1"/>
  <c r="L186" i="2" a="1"/>
  <c r="L186" i="2" s="1"/>
  <c r="L185" i="2" a="1"/>
  <c r="L185" i="2" s="1"/>
  <c r="L184" i="2" a="1"/>
  <c r="L184" i="2" s="1"/>
  <c r="L183" i="2" a="1"/>
  <c r="L183" i="2" s="1"/>
  <c r="L182" i="2" a="1"/>
  <c r="L182" i="2" s="1"/>
  <c r="L181" i="2" a="1"/>
  <c r="L181" i="2" s="1"/>
  <c r="L180" i="2" a="1"/>
  <c r="L180" i="2" s="1"/>
  <c r="L179" i="2" a="1"/>
  <c r="L179" i="2" s="1"/>
  <c r="L178" i="2" a="1"/>
  <c r="L178" i="2" s="1"/>
  <c r="L177" i="2" a="1"/>
  <c r="L177" i="2" s="1"/>
  <c r="L176" i="2" a="1"/>
  <c r="L176" i="2" s="1"/>
  <c r="L175" i="2" a="1"/>
  <c r="L175" i="2" s="1"/>
  <c r="L174" i="2" a="1"/>
  <c r="L174" i="2" s="1"/>
  <c r="L173" i="2" a="1"/>
  <c r="L173" i="2" s="1"/>
  <c r="L172" i="2" a="1"/>
  <c r="L172" i="2" s="1"/>
  <c r="L171" i="2" a="1"/>
  <c r="L171" i="2" s="1"/>
  <c r="L170" i="2" a="1"/>
  <c r="L170" i="2" s="1"/>
  <c r="L169" i="2" a="1"/>
  <c r="L169" i="2" s="1"/>
  <c r="L168" i="2" a="1"/>
  <c r="L168" i="2" s="1"/>
  <c r="L167" i="2" a="1"/>
  <c r="L167" i="2" s="1"/>
  <c r="L166" i="2" a="1"/>
  <c r="L166" i="2" s="1"/>
  <c r="L165" i="2" a="1"/>
  <c r="L165" i="2" s="1"/>
  <c r="L164" i="2" a="1"/>
  <c r="L164" i="2" s="1"/>
  <c r="L163" i="2" a="1"/>
  <c r="L163" i="2" s="1"/>
  <c r="L162" i="2" a="1"/>
  <c r="L162" i="2" s="1"/>
  <c r="L161" i="2" a="1"/>
  <c r="L161" i="2" s="1"/>
  <c r="L160" i="2" a="1"/>
  <c r="L160" i="2" s="1"/>
  <c r="L159" i="2" a="1"/>
  <c r="L159" i="2" s="1"/>
  <c r="L158" i="2" a="1"/>
  <c r="L158" i="2" s="1"/>
  <c r="L157" i="2" a="1"/>
  <c r="L157" i="2" s="1"/>
  <c r="L156" i="2" a="1"/>
  <c r="L156" i="2" s="1"/>
  <c r="L155" i="2" a="1"/>
  <c r="L155" i="2" s="1"/>
  <c r="L154" i="2" a="1"/>
  <c r="L154" i="2" s="1"/>
  <c r="L153" i="2" a="1"/>
  <c r="L153" i="2" s="1"/>
  <c r="L152" i="2" a="1"/>
  <c r="L152" i="2" s="1"/>
  <c r="L151" i="2" a="1"/>
  <c r="L151" i="2" s="1"/>
  <c r="L150" i="2" a="1"/>
  <c r="L150" i="2" s="1"/>
  <c r="L149" i="2" a="1"/>
  <c r="L149" i="2" s="1"/>
  <c r="L148" i="2" a="1"/>
  <c r="L148" i="2" s="1"/>
  <c r="L147" i="2" a="1"/>
  <c r="L147" i="2" s="1"/>
  <c r="L146" i="2" a="1"/>
  <c r="L146" i="2" s="1"/>
  <c r="L145" i="2" a="1"/>
  <c r="L145" i="2" s="1"/>
  <c r="L144" i="2" a="1"/>
  <c r="L144" i="2" s="1"/>
  <c r="L143" i="2" a="1"/>
  <c r="L143" i="2" s="1"/>
  <c r="L142" i="2" a="1"/>
  <c r="L142" i="2" s="1"/>
  <c r="L141" i="2" a="1"/>
  <c r="L141" i="2" s="1"/>
  <c r="L140" i="2" a="1"/>
  <c r="L140" i="2" s="1"/>
  <c r="L139" i="2" a="1"/>
  <c r="L139" i="2" s="1"/>
  <c r="L138" i="2" a="1"/>
  <c r="L138" i="2" s="1"/>
  <c r="L137" i="2" a="1"/>
  <c r="L137" i="2" s="1"/>
  <c r="L136" i="2" a="1"/>
  <c r="L136" i="2" s="1"/>
  <c r="L135" i="2" a="1"/>
  <c r="L135" i="2" s="1"/>
  <c r="L134" i="2" a="1"/>
  <c r="L134" i="2" s="1"/>
  <c r="L133" i="2" a="1"/>
  <c r="L133" i="2" s="1"/>
  <c r="L132" i="2" a="1"/>
  <c r="L132" i="2" s="1"/>
  <c r="L131" i="2" a="1"/>
  <c r="L131" i="2" s="1"/>
  <c r="L130" i="2" a="1"/>
  <c r="L130" i="2" s="1"/>
  <c r="L129" i="2" a="1"/>
  <c r="L129" i="2" s="1"/>
  <c r="L128" i="2" a="1"/>
  <c r="L128" i="2" s="1"/>
  <c r="L127" i="2" a="1"/>
  <c r="L127" i="2" s="1"/>
  <c r="L126" i="2" a="1"/>
  <c r="L126" i="2" s="1"/>
  <c r="L125" i="2" a="1"/>
  <c r="L125" i="2" s="1"/>
  <c r="L124" i="2" a="1"/>
  <c r="L124" i="2" s="1"/>
  <c r="L123" i="2" a="1"/>
  <c r="L123" i="2" s="1"/>
  <c r="L122" i="2" a="1"/>
  <c r="L122" i="2" s="1"/>
  <c r="L121" i="2" a="1"/>
  <c r="L121" i="2" s="1"/>
  <c r="L120" i="2" a="1"/>
  <c r="L120" i="2" s="1"/>
  <c r="L119" i="2" a="1"/>
  <c r="L119" i="2" s="1"/>
  <c r="L118" i="2" a="1"/>
  <c r="L118" i="2" s="1"/>
  <c r="L117" i="2" a="1"/>
  <c r="L117" i="2" s="1"/>
  <c r="L116" i="2" a="1"/>
  <c r="L116" i="2" s="1"/>
  <c r="L115" i="2" a="1"/>
  <c r="L115" i="2" s="1"/>
  <c r="L114" i="2" a="1"/>
  <c r="L114" i="2" s="1"/>
  <c r="L113" i="2"/>
  <c r="L113" i="2" a="1"/>
  <c r="L112" i="2" a="1"/>
  <c r="L112" i="2" s="1"/>
  <c r="L111" i="2" a="1"/>
  <c r="L111" i="2" s="1"/>
  <c r="L110" i="2" a="1"/>
  <c r="L110" i="2" s="1"/>
  <c r="L109" i="2" a="1"/>
  <c r="L109" i="2" s="1"/>
  <c r="L108" i="2" a="1"/>
  <c r="L108" i="2" s="1"/>
  <c r="L107" i="2" a="1"/>
  <c r="L107" i="2" s="1"/>
  <c r="L106" i="2"/>
  <c r="L106" i="2" a="1"/>
  <c r="L105" i="2" a="1"/>
  <c r="L105" i="2" s="1"/>
  <c r="L104" i="2" a="1"/>
  <c r="L104" i="2" s="1"/>
  <c r="L103" i="2" a="1"/>
  <c r="L103" i="2" s="1"/>
  <c r="L102" i="2"/>
  <c r="L102" i="2" a="1"/>
  <c r="L101" i="2" a="1"/>
  <c r="L101" i="2" s="1"/>
  <c r="L100" i="2" a="1"/>
  <c r="L100" i="2" s="1"/>
  <c r="L99" i="2" a="1"/>
  <c r="L99" i="2" s="1"/>
  <c r="L98" i="2" a="1"/>
  <c r="L98" i="2" s="1"/>
  <c r="L97" i="2"/>
  <c r="L97" i="2" a="1"/>
  <c r="L96" i="2" a="1"/>
  <c r="L96" i="2" s="1"/>
  <c r="L95" i="2" a="1"/>
  <c r="L95" i="2" s="1"/>
  <c r="L94" i="2" a="1"/>
  <c r="L94" i="2" s="1"/>
  <c r="L93" i="2" a="1"/>
  <c r="L93" i="2" s="1"/>
  <c r="L92" i="2" a="1"/>
  <c r="L92" i="2" s="1"/>
  <c r="L91" i="2" a="1"/>
  <c r="L91" i="2" s="1"/>
  <c r="L90" i="2" a="1"/>
  <c r="L90" i="2" s="1"/>
  <c r="L89" i="2" a="1"/>
  <c r="L89" i="2" s="1"/>
  <c r="L88" i="2" a="1"/>
  <c r="L88" i="2" s="1"/>
  <c r="L87" i="2" a="1"/>
  <c r="L87" i="2" s="1"/>
  <c r="L86" i="2"/>
  <c r="L86" i="2" a="1"/>
  <c r="L85" i="2" a="1"/>
  <c r="L85" i="2" s="1"/>
  <c r="L84" i="2" a="1"/>
  <c r="L84" i="2" s="1"/>
  <c r="L83" i="2" a="1"/>
  <c r="L83" i="2" s="1"/>
  <c r="L82" i="2" a="1"/>
  <c r="L82" i="2" s="1"/>
  <c r="L81" i="2"/>
  <c r="L81" i="2" a="1"/>
  <c r="L80" i="2" a="1"/>
  <c r="L80" i="2" s="1"/>
  <c r="L79" i="2" a="1"/>
  <c r="L79" i="2" s="1"/>
  <c r="L78" i="2" a="1"/>
  <c r="L78" i="2" s="1"/>
  <c r="L77" i="2" a="1"/>
  <c r="L77" i="2" s="1"/>
  <c r="L76" i="2" a="1"/>
  <c r="L76" i="2" s="1"/>
  <c r="L75" i="2" a="1"/>
  <c r="L75" i="2" s="1"/>
  <c r="L74" i="2" a="1"/>
  <c r="L74" i="2" s="1"/>
  <c r="L73" i="2" a="1"/>
  <c r="L73" i="2" s="1"/>
  <c r="L72" i="2" a="1"/>
  <c r="L72" i="2" s="1"/>
  <c r="L71" i="2" a="1"/>
  <c r="L71" i="2" s="1"/>
  <c r="L70" i="2"/>
  <c r="L70" i="2" a="1"/>
  <c r="L69" i="2" a="1"/>
  <c r="L69" i="2" s="1"/>
  <c r="L68" i="2" a="1"/>
  <c r="L68" i="2" s="1"/>
  <c r="L67" i="2" a="1"/>
  <c r="L67" i="2" s="1"/>
  <c r="L66" i="2" a="1"/>
  <c r="L66" i="2" s="1"/>
  <c r="L65" i="2" a="1"/>
  <c r="L65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N5" i="2" a="1"/>
  <c r="N5" i="2" s="1"/>
  <c r="L60" i="2" a="1"/>
  <c r="L60" i="2" s="1"/>
  <c r="L59" i="2" a="1"/>
  <c r="L59" i="2" s="1"/>
  <c r="L58" i="2" a="1"/>
  <c r="L58" i="2" s="1"/>
  <c r="L57" i="2"/>
  <c r="L57" i="2" a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/>
  <c r="L41" i="2" a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/>
  <c r="L29" i="2" a="1"/>
  <c r="L28" i="2" a="1"/>
  <c r="L28" i="2" s="1"/>
  <c r="L27" i="2" a="1"/>
  <c r="L27" i="2" s="1"/>
  <c r="L26" i="2" a="1"/>
  <c r="L26" i="2" s="1"/>
  <c r="L25" i="2"/>
  <c r="L25" i="2" a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/>
  <c r="L9" i="2" a="1"/>
  <c r="L8" i="2" a="1"/>
  <c r="L8" i="2" s="1"/>
  <c r="L7" i="2" a="1"/>
  <c r="L7" i="2" s="1"/>
  <c r="L6" i="2" a="1"/>
  <c r="L6" i="2" s="1"/>
  <c r="L5" i="2" a="1"/>
  <c r="L5" i="2" s="1"/>
  <c r="N64" i="2" a="1"/>
  <c r="N64" i="2" s="1"/>
  <c r="N63" i="2" a="1"/>
  <c r="N63" i="2" s="1"/>
  <c r="N62" i="2" a="1"/>
  <c r="N62" i="2" s="1"/>
  <c r="L64" i="2" a="1"/>
  <c r="L64" i="2" s="1"/>
  <c r="L63" i="2" a="1"/>
  <c r="L63" i="2" s="1"/>
  <c r="L62" i="2" a="1"/>
  <c r="L62" i="2" s="1"/>
  <c r="L61" i="2" a="1"/>
  <c r="L61" i="2" s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5" i="3"/>
  <c r="CT455" i="2"/>
  <c r="CS455" i="2"/>
  <c r="CR455" i="2"/>
  <c r="CQ455" i="2"/>
  <c r="CP455" i="2"/>
  <c r="CO455" i="2"/>
  <c r="CN455" i="2"/>
  <c r="CM455" i="2"/>
  <c r="CL455" i="2"/>
  <c r="CK455" i="2"/>
  <c r="CJ455" i="2"/>
  <c r="CI455" i="2"/>
  <c r="CH455" i="2"/>
  <c r="CG455" i="2"/>
  <c r="CF455" i="2"/>
  <c r="CE455" i="2"/>
  <c r="CD455" i="2"/>
  <c r="CC455" i="2"/>
  <c r="CB455" i="2"/>
  <c r="CA455" i="2"/>
  <c r="I455" i="2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A454" i="2"/>
  <c r="I454" i="2"/>
  <c r="CT453" i="2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A453" i="2"/>
  <c r="I453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A452" i="2"/>
  <c r="I452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A451" i="2"/>
  <c r="I451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A450" i="2"/>
  <c r="I450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A449" i="2"/>
  <c r="I449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A448" i="2"/>
  <c r="I448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A447" i="2"/>
  <c r="I447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A446" i="2"/>
  <c r="I446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I445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A444" i="2"/>
  <c r="I444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A443" i="2"/>
  <c r="I443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A442" i="2"/>
  <c r="I442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A441" i="2"/>
  <c r="I441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A440" i="2"/>
  <c r="I440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A439" i="2"/>
  <c r="I439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A438" i="2"/>
  <c r="I438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I437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I436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I435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I434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I433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A432" i="2"/>
  <c r="I432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A431" i="2"/>
  <c r="I431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A430" i="2"/>
  <c r="I430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A429" i="2"/>
  <c r="I429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A428" i="2"/>
  <c r="I428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A427" i="2"/>
  <c r="I427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A426" i="2"/>
  <c r="I426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A425" i="2"/>
  <c r="I425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A424" i="2"/>
  <c r="I424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A423" i="2"/>
  <c r="I423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A422" i="2"/>
  <c r="I422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A421" i="2"/>
  <c r="I421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I420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A419" i="2"/>
  <c r="I419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A418" i="2"/>
  <c r="I418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A417" i="2"/>
  <c r="I417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A416" i="2"/>
  <c r="I416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A415" i="2"/>
  <c r="I415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A414" i="2"/>
  <c r="I414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A413" i="2"/>
  <c r="I413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A412" i="2"/>
  <c r="I412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A411" i="2"/>
  <c r="I411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A410" i="2"/>
  <c r="I410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A409" i="2"/>
  <c r="I409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A408" i="2"/>
  <c r="I408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A407" i="2"/>
  <c r="I407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A406" i="2"/>
  <c r="I406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A405" i="2"/>
  <c r="I405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A404" i="2"/>
  <c r="I404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A403" i="2"/>
  <c r="I403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A402" i="2"/>
  <c r="I402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A401" i="2"/>
  <c r="I401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A400" i="2"/>
  <c r="I400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A399" i="2"/>
  <c r="I399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A398" i="2"/>
  <c r="I398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A397" i="2"/>
  <c r="I397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A396" i="2"/>
  <c r="I396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A395" i="2"/>
  <c r="I395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A394" i="2"/>
  <c r="I394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A393" i="2"/>
  <c r="I393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A392" i="2"/>
  <c r="I392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A391" i="2"/>
  <c r="I391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A390" i="2"/>
  <c r="I390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A389" i="2"/>
  <c r="I389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A388" i="2"/>
  <c r="I388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A387" i="2"/>
  <c r="I387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A386" i="2"/>
  <c r="I386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A385" i="2"/>
  <c r="I385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A384" i="2"/>
  <c r="I384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A383" i="2"/>
  <c r="I383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A382" i="2"/>
  <c r="I382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I381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A380" i="2"/>
  <c r="I380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A379" i="2"/>
  <c r="I379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A378" i="2"/>
  <c r="I378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A377" i="2"/>
  <c r="I377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A376" i="2"/>
  <c r="I376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A375" i="2"/>
  <c r="I375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A374" i="2"/>
  <c r="I374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A373" i="2"/>
  <c r="I373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I372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I371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A370" i="2"/>
  <c r="I370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A369" i="2"/>
  <c r="I369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A368" i="2"/>
  <c r="I368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A367" i="2"/>
  <c r="I367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A366" i="2"/>
  <c r="I366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A365" i="2"/>
  <c r="I365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A364" i="2"/>
  <c r="I364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A363" i="2"/>
  <c r="I363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A362" i="2"/>
  <c r="I362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A361" i="2"/>
  <c r="I361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A360" i="2"/>
  <c r="I360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A359" i="2"/>
  <c r="I359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A358" i="2"/>
  <c r="I358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A357" i="2"/>
  <c r="I357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I356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A355" i="2"/>
  <c r="I355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A354" i="2"/>
  <c r="I354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A353" i="2"/>
  <c r="I353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A352" i="2"/>
  <c r="I352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A351" i="2"/>
  <c r="I351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A350" i="2"/>
  <c r="I350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A349" i="2"/>
  <c r="I349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A348" i="2"/>
  <c r="I348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A347" i="2"/>
  <c r="I347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A346" i="2"/>
  <c r="I346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A345" i="2"/>
  <c r="I345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A344" i="2"/>
  <c r="I344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A343" i="2"/>
  <c r="I343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A342" i="2"/>
  <c r="I342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A341" i="2"/>
  <c r="I341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A340" i="2"/>
  <c r="I340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A339" i="2"/>
  <c r="I339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I338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A337" i="2"/>
  <c r="I337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A336" i="2"/>
  <c r="I336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A335" i="2"/>
  <c r="I335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A334" i="2"/>
  <c r="I334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A333" i="2"/>
  <c r="I333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A332" i="2"/>
  <c r="I332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A331" i="2"/>
  <c r="I331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A330" i="2"/>
  <c r="I330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A329" i="2"/>
  <c r="I329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A328" i="2"/>
  <c r="I328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A327" i="2"/>
  <c r="I327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A326" i="2"/>
  <c r="I326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A325" i="2"/>
  <c r="I325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A324" i="2"/>
  <c r="I324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A323" i="2"/>
  <c r="I323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A322" i="2"/>
  <c r="I322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A321" i="2"/>
  <c r="I321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A320" i="2"/>
  <c r="I320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A319" i="2"/>
  <c r="I319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A318" i="2"/>
  <c r="I318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A317" i="2"/>
  <c r="I317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A316" i="2"/>
  <c r="I316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I315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A314" i="2"/>
  <c r="I314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A313" i="2"/>
  <c r="I313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A312" i="2"/>
  <c r="I312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I311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A310" i="2"/>
  <c r="I310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A309" i="2"/>
  <c r="I309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A308" i="2"/>
  <c r="I308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A307" i="2"/>
  <c r="I307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A306" i="2"/>
  <c r="I306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A305" i="2"/>
  <c r="I305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A304" i="2"/>
  <c r="I304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A303" i="2"/>
  <c r="I303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A302" i="2"/>
  <c r="I302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A301" i="2"/>
  <c r="I301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A300" i="2"/>
  <c r="I300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A299" i="2"/>
  <c r="I299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I298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A297" i="2"/>
  <c r="I297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A296" i="2"/>
  <c r="I296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A295" i="2"/>
  <c r="I295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A294" i="2"/>
  <c r="I294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A293" i="2"/>
  <c r="I293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A292" i="2"/>
  <c r="I292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A291" i="2"/>
  <c r="I291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I290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A289" i="2"/>
  <c r="I289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A288" i="2"/>
  <c r="I288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A287" i="2"/>
  <c r="I287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A286" i="2"/>
  <c r="I286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A285" i="2"/>
  <c r="I285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A284" i="2"/>
  <c r="I284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A283" i="2"/>
  <c r="I283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A282" i="2"/>
  <c r="I282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I281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A280" i="2"/>
  <c r="I280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A279" i="2"/>
  <c r="I279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A278" i="2"/>
  <c r="I278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I277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A276" i="2"/>
  <c r="I276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A275" i="2"/>
  <c r="I275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I274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A273" i="2"/>
  <c r="I273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A272" i="2"/>
  <c r="I272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A271" i="2"/>
  <c r="I271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A270" i="2"/>
  <c r="I270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A269" i="2"/>
  <c r="I269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A268" i="2"/>
  <c r="I268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A267" i="2"/>
  <c r="I267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A266" i="2"/>
  <c r="I266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A265" i="2"/>
  <c r="I265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A264" i="2"/>
  <c r="I264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A263" i="2"/>
  <c r="I263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A262" i="2"/>
  <c r="I262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A261" i="2"/>
  <c r="I261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A260" i="2"/>
  <c r="I260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A259" i="2"/>
  <c r="I259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A258" i="2"/>
  <c r="I258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A257" i="2"/>
  <c r="I257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A256" i="2"/>
  <c r="I256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A255" i="2"/>
  <c r="I255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A254" i="2"/>
  <c r="I254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I253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A252" i="2"/>
  <c r="I252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A251" i="2"/>
  <c r="I251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A250" i="2"/>
  <c r="I250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I249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A248" i="2"/>
  <c r="I248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A247" i="2"/>
  <c r="I247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A246" i="2"/>
  <c r="I246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A245" i="2"/>
  <c r="I245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A244" i="2"/>
  <c r="I244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A243" i="2"/>
  <c r="I243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A242" i="2"/>
  <c r="I242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A241" i="2"/>
  <c r="I241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A240" i="2"/>
  <c r="I240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A239" i="2"/>
  <c r="I239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A238" i="2"/>
  <c r="I238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I237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I236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A235" i="2"/>
  <c r="I235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A234" i="2"/>
  <c r="I234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I233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A232" i="2"/>
  <c r="I232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A231" i="2"/>
  <c r="I231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A230" i="2"/>
  <c r="I230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A229" i="2"/>
  <c r="I229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A228" i="2"/>
  <c r="I228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A227" i="2"/>
  <c r="I227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A226" i="2"/>
  <c r="I226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A225" i="2"/>
  <c r="I225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I224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A223" i="2"/>
  <c r="I223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A222" i="2"/>
  <c r="I222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A221" i="2"/>
  <c r="I221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A220" i="2"/>
  <c r="I220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A219" i="2"/>
  <c r="I219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I218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A217" i="2"/>
  <c r="I217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I216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A215" i="2"/>
  <c r="I215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I214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A213" i="2"/>
  <c r="I213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A212" i="2"/>
  <c r="I212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A211" i="2"/>
  <c r="I211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A210" i="2"/>
  <c r="I210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I209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I208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I207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I206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A205" i="2"/>
  <c r="I205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A204" i="2"/>
  <c r="I204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A203" i="2"/>
  <c r="I203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I202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I201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I200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I199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I198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I197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I196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I195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I194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I193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I192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I191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I190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I189" i="2"/>
  <c r="CT188" i="2"/>
  <c r="CS188" i="2"/>
  <c r="CR188" i="2"/>
  <c r="CQ188" i="2"/>
  <c r="CP188" i="2"/>
  <c r="CO188" i="2"/>
  <c r="CN188" i="2"/>
  <c r="CM188" i="2"/>
  <c r="CL188" i="2"/>
  <c r="CK188" i="2"/>
  <c r="CJ188" i="2"/>
  <c r="CI188" i="2"/>
  <c r="CH188" i="2"/>
  <c r="CG188" i="2"/>
  <c r="CF188" i="2"/>
  <c r="CE188" i="2"/>
  <c r="CD188" i="2"/>
  <c r="CC188" i="2"/>
  <c r="CB188" i="2"/>
  <c r="CA188" i="2"/>
  <c r="I188" i="2"/>
  <c r="CT187" i="2"/>
  <c r="CS187" i="2"/>
  <c r="CR187" i="2"/>
  <c r="CQ187" i="2"/>
  <c r="CP187" i="2"/>
  <c r="CO187" i="2"/>
  <c r="CN187" i="2"/>
  <c r="CM187" i="2"/>
  <c r="CL187" i="2"/>
  <c r="CK187" i="2"/>
  <c r="CJ187" i="2"/>
  <c r="CI187" i="2"/>
  <c r="CH187" i="2"/>
  <c r="CG187" i="2"/>
  <c r="CF187" i="2"/>
  <c r="CE187" i="2"/>
  <c r="CD187" i="2"/>
  <c r="CC187" i="2"/>
  <c r="CB187" i="2"/>
  <c r="CA187" i="2"/>
  <c r="I187" i="2"/>
  <c r="CT186" i="2"/>
  <c r="CS186" i="2"/>
  <c r="CR186" i="2"/>
  <c r="CQ186" i="2"/>
  <c r="CP186" i="2"/>
  <c r="CO186" i="2"/>
  <c r="CN186" i="2"/>
  <c r="CM186" i="2"/>
  <c r="CL186" i="2"/>
  <c r="CK186" i="2"/>
  <c r="CJ186" i="2"/>
  <c r="CI186" i="2"/>
  <c r="CH186" i="2"/>
  <c r="CG186" i="2"/>
  <c r="CF186" i="2"/>
  <c r="CE186" i="2"/>
  <c r="CD186" i="2"/>
  <c r="CC186" i="2"/>
  <c r="CB186" i="2"/>
  <c r="CA186" i="2"/>
  <c r="I186" i="2"/>
  <c r="CT185" i="2"/>
  <c r="CS185" i="2"/>
  <c r="CR185" i="2"/>
  <c r="CQ185" i="2"/>
  <c r="CP185" i="2"/>
  <c r="CO185" i="2"/>
  <c r="CN185" i="2"/>
  <c r="CM185" i="2"/>
  <c r="CL185" i="2"/>
  <c r="CK185" i="2"/>
  <c r="CJ185" i="2"/>
  <c r="CI185" i="2"/>
  <c r="CH185" i="2"/>
  <c r="CG185" i="2"/>
  <c r="CF185" i="2"/>
  <c r="CE185" i="2"/>
  <c r="CD185" i="2"/>
  <c r="CC185" i="2"/>
  <c r="CB185" i="2"/>
  <c r="CA185" i="2"/>
  <c r="I185" i="2"/>
  <c r="CT184" i="2"/>
  <c r="CS184" i="2"/>
  <c r="CR184" i="2"/>
  <c r="CQ184" i="2"/>
  <c r="CP184" i="2"/>
  <c r="CO184" i="2"/>
  <c r="CN184" i="2"/>
  <c r="CM184" i="2"/>
  <c r="CL184" i="2"/>
  <c r="CK184" i="2"/>
  <c r="CJ184" i="2"/>
  <c r="CI184" i="2"/>
  <c r="CH184" i="2"/>
  <c r="CG184" i="2"/>
  <c r="CF184" i="2"/>
  <c r="CE184" i="2"/>
  <c r="CD184" i="2"/>
  <c r="CC184" i="2"/>
  <c r="CB184" i="2"/>
  <c r="CA184" i="2"/>
  <c r="I184" i="2"/>
  <c r="CT183" i="2"/>
  <c r="CS183" i="2"/>
  <c r="CR183" i="2"/>
  <c r="CQ183" i="2"/>
  <c r="CP183" i="2"/>
  <c r="CO183" i="2"/>
  <c r="CN183" i="2"/>
  <c r="CM183" i="2"/>
  <c r="CL183" i="2"/>
  <c r="CK183" i="2"/>
  <c r="CJ183" i="2"/>
  <c r="CI183" i="2"/>
  <c r="CH183" i="2"/>
  <c r="CG183" i="2"/>
  <c r="CF183" i="2"/>
  <c r="CE183" i="2"/>
  <c r="CD183" i="2"/>
  <c r="CC183" i="2"/>
  <c r="CB183" i="2"/>
  <c r="CA183" i="2"/>
  <c r="I183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A182" i="2"/>
  <c r="I182" i="2"/>
  <c r="CT181" i="2"/>
  <c r="CS181" i="2"/>
  <c r="CR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I181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A180" i="2"/>
  <c r="I180" i="2"/>
  <c r="CT179" i="2"/>
  <c r="CS179" i="2"/>
  <c r="CR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I179" i="2"/>
  <c r="CT178" i="2"/>
  <c r="CS178" i="2"/>
  <c r="CR178" i="2"/>
  <c r="CQ178" i="2"/>
  <c r="CP178" i="2"/>
  <c r="CO178" i="2"/>
  <c r="CN178" i="2"/>
  <c r="CM178" i="2"/>
  <c r="CL178" i="2"/>
  <c r="CK178" i="2"/>
  <c r="CJ178" i="2"/>
  <c r="CI178" i="2"/>
  <c r="CH178" i="2"/>
  <c r="CG178" i="2"/>
  <c r="CF178" i="2"/>
  <c r="CE178" i="2"/>
  <c r="CD178" i="2"/>
  <c r="CC178" i="2"/>
  <c r="CB178" i="2"/>
  <c r="CA178" i="2"/>
  <c r="I178" i="2"/>
  <c r="CT177" i="2"/>
  <c r="CS177" i="2"/>
  <c r="CR177" i="2"/>
  <c r="CQ177" i="2"/>
  <c r="CP177" i="2"/>
  <c r="CO177" i="2"/>
  <c r="CN177" i="2"/>
  <c r="CM177" i="2"/>
  <c r="CL177" i="2"/>
  <c r="CK177" i="2"/>
  <c r="CJ177" i="2"/>
  <c r="CI177" i="2"/>
  <c r="CH177" i="2"/>
  <c r="CG177" i="2"/>
  <c r="CF177" i="2"/>
  <c r="CE177" i="2"/>
  <c r="CD177" i="2"/>
  <c r="CC177" i="2"/>
  <c r="CB177" i="2"/>
  <c r="CA177" i="2"/>
  <c r="I177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A176" i="2"/>
  <c r="I176" i="2"/>
  <c r="CT175" i="2"/>
  <c r="CS175" i="2"/>
  <c r="CR175" i="2"/>
  <c r="CQ175" i="2"/>
  <c r="CP175" i="2"/>
  <c r="CO175" i="2"/>
  <c r="CN175" i="2"/>
  <c r="CM175" i="2"/>
  <c r="CL175" i="2"/>
  <c r="CK175" i="2"/>
  <c r="CJ175" i="2"/>
  <c r="CI175" i="2"/>
  <c r="CH175" i="2"/>
  <c r="CG175" i="2"/>
  <c r="CF175" i="2"/>
  <c r="CE175" i="2"/>
  <c r="CD175" i="2"/>
  <c r="CC175" i="2"/>
  <c r="CB175" i="2"/>
  <c r="CA175" i="2"/>
  <c r="I175" i="2"/>
  <c r="CT174" i="2"/>
  <c r="CS174" i="2"/>
  <c r="CR174" i="2"/>
  <c r="CQ174" i="2"/>
  <c r="CP174" i="2"/>
  <c r="CO174" i="2"/>
  <c r="CN174" i="2"/>
  <c r="CM174" i="2"/>
  <c r="CL174" i="2"/>
  <c r="CK174" i="2"/>
  <c r="CJ174" i="2"/>
  <c r="CI174" i="2"/>
  <c r="CH174" i="2"/>
  <c r="CG174" i="2"/>
  <c r="CF174" i="2"/>
  <c r="CE174" i="2"/>
  <c r="CD174" i="2"/>
  <c r="CC174" i="2"/>
  <c r="CB174" i="2"/>
  <c r="CA174" i="2"/>
  <c r="I174" i="2"/>
  <c r="CT173" i="2"/>
  <c r="CS173" i="2"/>
  <c r="CR173" i="2"/>
  <c r="CQ173" i="2"/>
  <c r="CP173" i="2"/>
  <c r="CO173" i="2"/>
  <c r="CN173" i="2"/>
  <c r="CM173" i="2"/>
  <c r="CL173" i="2"/>
  <c r="CK173" i="2"/>
  <c r="CJ173" i="2"/>
  <c r="CI173" i="2"/>
  <c r="CH173" i="2"/>
  <c r="CG173" i="2"/>
  <c r="CF173" i="2"/>
  <c r="CE173" i="2"/>
  <c r="CD173" i="2"/>
  <c r="CC173" i="2"/>
  <c r="CB173" i="2"/>
  <c r="CA173" i="2"/>
  <c r="I173" i="2"/>
  <c r="CT172" i="2"/>
  <c r="CS172" i="2"/>
  <c r="CR172" i="2"/>
  <c r="CQ172" i="2"/>
  <c r="CP172" i="2"/>
  <c r="CO172" i="2"/>
  <c r="CN172" i="2"/>
  <c r="CM172" i="2"/>
  <c r="CL172" i="2"/>
  <c r="CK172" i="2"/>
  <c r="CJ172" i="2"/>
  <c r="CI172" i="2"/>
  <c r="CH172" i="2"/>
  <c r="CG172" i="2"/>
  <c r="CF172" i="2"/>
  <c r="CE172" i="2"/>
  <c r="CD172" i="2"/>
  <c r="CC172" i="2"/>
  <c r="CB172" i="2"/>
  <c r="CA172" i="2"/>
  <c r="I172" i="2"/>
  <c r="CT171" i="2"/>
  <c r="CS171" i="2"/>
  <c r="CR171" i="2"/>
  <c r="CQ171" i="2"/>
  <c r="CP171" i="2"/>
  <c r="CO171" i="2"/>
  <c r="CN171" i="2"/>
  <c r="CM171" i="2"/>
  <c r="CL171" i="2"/>
  <c r="CK171" i="2"/>
  <c r="CJ171" i="2"/>
  <c r="CI171" i="2"/>
  <c r="CH171" i="2"/>
  <c r="CG171" i="2"/>
  <c r="CF171" i="2"/>
  <c r="CE171" i="2"/>
  <c r="CD171" i="2"/>
  <c r="CC171" i="2"/>
  <c r="CB171" i="2"/>
  <c r="CA171" i="2"/>
  <c r="I171" i="2"/>
  <c r="CT170" i="2"/>
  <c r="CS170" i="2"/>
  <c r="CR170" i="2"/>
  <c r="CQ170" i="2"/>
  <c r="CP170" i="2"/>
  <c r="CO170" i="2"/>
  <c r="CN170" i="2"/>
  <c r="CM170" i="2"/>
  <c r="CL170" i="2"/>
  <c r="CK170" i="2"/>
  <c r="CJ170" i="2"/>
  <c r="CI170" i="2"/>
  <c r="CH170" i="2"/>
  <c r="CG170" i="2"/>
  <c r="CF170" i="2"/>
  <c r="CE170" i="2"/>
  <c r="CD170" i="2"/>
  <c r="CC170" i="2"/>
  <c r="CB170" i="2"/>
  <c r="CA170" i="2"/>
  <c r="I170" i="2"/>
  <c r="CT169" i="2"/>
  <c r="CS169" i="2"/>
  <c r="CR169" i="2"/>
  <c r="CQ169" i="2"/>
  <c r="CP169" i="2"/>
  <c r="CO169" i="2"/>
  <c r="CN169" i="2"/>
  <c r="CM169" i="2"/>
  <c r="CL169" i="2"/>
  <c r="CK169" i="2"/>
  <c r="CJ169" i="2"/>
  <c r="CI169" i="2"/>
  <c r="CH169" i="2"/>
  <c r="CG169" i="2"/>
  <c r="CF169" i="2"/>
  <c r="CE169" i="2"/>
  <c r="CD169" i="2"/>
  <c r="CC169" i="2"/>
  <c r="CB169" i="2"/>
  <c r="CA169" i="2"/>
  <c r="I169" i="2"/>
  <c r="CT168" i="2"/>
  <c r="CS168" i="2"/>
  <c r="CR168" i="2"/>
  <c r="CQ168" i="2"/>
  <c r="CP168" i="2"/>
  <c r="CO168" i="2"/>
  <c r="CN168" i="2"/>
  <c r="CM168" i="2"/>
  <c r="CL168" i="2"/>
  <c r="CK168" i="2"/>
  <c r="CJ168" i="2"/>
  <c r="CI168" i="2"/>
  <c r="CH168" i="2"/>
  <c r="CG168" i="2"/>
  <c r="CF168" i="2"/>
  <c r="CE168" i="2"/>
  <c r="CD168" i="2"/>
  <c r="CC168" i="2"/>
  <c r="CB168" i="2"/>
  <c r="CA168" i="2"/>
  <c r="I168" i="2"/>
  <c r="CT167" i="2"/>
  <c r="CS167" i="2"/>
  <c r="CR167" i="2"/>
  <c r="CQ167" i="2"/>
  <c r="CP167" i="2"/>
  <c r="CO167" i="2"/>
  <c r="CN167" i="2"/>
  <c r="CM167" i="2"/>
  <c r="CL167" i="2"/>
  <c r="CK167" i="2"/>
  <c r="CJ167" i="2"/>
  <c r="CI167" i="2"/>
  <c r="CH167" i="2"/>
  <c r="CG167" i="2"/>
  <c r="CF167" i="2"/>
  <c r="CE167" i="2"/>
  <c r="CD167" i="2"/>
  <c r="CC167" i="2"/>
  <c r="CB167" i="2"/>
  <c r="CA167" i="2"/>
  <c r="I167" i="2"/>
  <c r="CT166" i="2"/>
  <c r="CS166" i="2"/>
  <c r="CR166" i="2"/>
  <c r="CQ166" i="2"/>
  <c r="CP166" i="2"/>
  <c r="CO166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A166" i="2"/>
  <c r="I166" i="2"/>
  <c r="CT165" i="2"/>
  <c r="CS165" i="2"/>
  <c r="CR165" i="2"/>
  <c r="CQ165" i="2"/>
  <c r="CP165" i="2"/>
  <c r="CO165" i="2"/>
  <c r="CN165" i="2"/>
  <c r="CM165" i="2"/>
  <c r="CL165" i="2"/>
  <c r="CK165" i="2"/>
  <c r="CJ165" i="2"/>
  <c r="CI165" i="2"/>
  <c r="CH165" i="2"/>
  <c r="CG165" i="2"/>
  <c r="CF165" i="2"/>
  <c r="CE165" i="2"/>
  <c r="CD165" i="2"/>
  <c r="CC165" i="2"/>
  <c r="CB165" i="2"/>
  <c r="CA165" i="2"/>
  <c r="I165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A164" i="2"/>
  <c r="I164" i="2"/>
  <c r="CT163" i="2"/>
  <c r="CS163" i="2"/>
  <c r="CR163" i="2"/>
  <c r="CQ163" i="2"/>
  <c r="CP163" i="2"/>
  <c r="CO163" i="2"/>
  <c r="CN163" i="2"/>
  <c r="CM163" i="2"/>
  <c r="CL163" i="2"/>
  <c r="CK163" i="2"/>
  <c r="CJ163" i="2"/>
  <c r="CI163" i="2"/>
  <c r="CH163" i="2"/>
  <c r="CG163" i="2"/>
  <c r="CF163" i="2"/>
  <c r="CE163" i="2"/>
  <c r="CD163" i="2"/>
  <c r="CC163" i="2"/>
  <c r="CB163" i="2"/>
  <c r="CA163" i="2"/>
  <c r="I163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I162" i="2"/>
  <c r="CT161" i="2"/>
  <c r="CS161" i="2"/>
  <c r="CR161" i="2"/>
  <c r="CQ161" i="2"/>
  <c r="CP161" i="2"/>
  <c r="CO161" i="2"/>
  <c r="CN161" i="2"/>
  <c r="CM161" i="2"/>
  <c r="CL161" i="2"/>
  <c r="CK161" i="2"/>
  <c r="CJ161" i="2"/>
  <c r="CI161" i="2"/>
  <c r="CH161" i="2"/>
  <c r="CG161" i="2"/>
  <c r="CF161" i="2"/>
  <c r="CE161" i="2"/>
  <c r="CD161" i="2"/>
  <c r="CC161" i="2"/>
  <c r="CB161" i="2"/>
  <c r="CA161" i="2"/>
  <c r="I161" i="2"/>
  <c r="CT160" i="2"/>
  <c r="CS160" i="2"/>
  <c r="CR160" i="2"/>
  <c r="CQ160" i="2"/>
  <c r="CP160" i="2"/>
  <c r="CO160" i="2"/>
  <c r="CN160" i="2"/>
  <c r="CM160" i="2"/>
  <c r="CL160" i="2"/>
  <c r="CK160" i="2"/>
  <c r="CJ160" i="2"/>
  <c r="CI160" i="2"/>
  <c r="CH160" i="2"/>
  <c r="CG160" i="2"/>
  <c r="CF160" i="2"/>
  <c r="CE160" i="2"/>
  <c r="CD160" i="2"/>
  <c r="CC160" i="2"/>
  <c r="CB160" i="2"/>
  <c r="CA160" i="2"/>
  <c r="I160" i="2"/>
  <c r="CT159" i="2"/>
  <c r="CS159" i="2"/>
  <c r="CR159" i="2"/>
  <c r="CQ159" i="2"/>
  <c r="CP159" i="2"/>
  <c r="CO159" i="2"/>
  <c r="CN159" i="2"/>
  <c r="CM159" i="2"/>
  <c r="CL159" i="2"/>
  <c r="CK159" i="2"/>
  <c r="CJ159" i="2"/>
  <c r="CI159" i="2"/>
  <c r="CH159" i="2"/>
  <c r="CG159" i="2"/>
  <c r="CF159" i="2"/>
  <c r="CE159" i="2"/>
  <c r="CD159" i="2"/>
  <c r="CC159" i="2"/>
  <c r="CB159" i="2"/>
  <c r="CA159" i="2"/>
  <c r="I159" i="2"/>
  <c r="CT158" i="2"/>
  <c r="CS158" i="2"/>
  <c r="CR158" i="2"/>
  <c r="CQ158" i="2"/>
  <c r="CP158" i="2"/>
  <c r="CO158" i="2"/>
  <c r="CN158" i="2"/>
  <c r="CM158" i="2"/>
  <c r="CL158" i="2"/>
  <c r="CK158" i="2"/>
  <c r="CJ158" i="2"/>
  <c r="CI158" i="2"/>
  <c r="CH158" i="2"/>
  <c r="CG158" i="2"/>
  <c r="CF158" i="2"/>
  <c r="CE158" i="2"/>
  <c r="CD158" i="2"/>
  <c r="CC158" i="2"/>
  <c r="CB158" i="2"/>
  <c r="CA158" i="2"/>
  <c r="I158" i="2"/>
  <c r="CT157" i="2"/>
  <c r="CS157" i="2"/>
  <c r="CR157" i="2"/>
  <c r="CQ157" i="2"/>
  <c r="CP157" i="2"/>
  <c r="CO157" i="2"/>
  <c r="CN157" i="2"/>
  <c r="CM157" i="2"/>
  <c r="CL157" i="2"/>
  <c r="CK157" i="2"/>
  <c r="CJ157" i="2"/>
  <c r="CI157" i="2"/>
  <c r="CH157" i="2"/>
  <c r="CG157" i="2"/>
  <c r="CF157" i="2"/>
  <c r="CE157" i="2"/>
  <c r="CD157" i="2"/>
  <c r="CC157" i="2"/>
  <c r="CB157" i="2"/>
  <c r="CA157" i="2"/>
  <c r="I157" i="2"/>
  <c r="CT156" i="2"/>
  <c r="CS156" i="2"/>
  <c r="CR156" i="2"/>
  <c r="CQ156" i="2"/>
  <c r="CP156" i="2"/>
  <c r="CO156" i="2"/>
  <c r="CN156" i="2"/>
  <c r="CM156" i="2"/>
  <c r="CL156" i="2"/>
  <c r="CK156" i="2"/>
  <c r="CJ156" i="2"/>
  <c r="CI156" i="2"/>
  <c r="CH156" i="2"/>
  <c r="CG156" i="2"/>
  <c r="CF156" i="2"/>
  <c r="CE156" i="2"/>
  <c r="CD156" i="2"/>
  <c r="CC156" i="2"/>
  <c r="CB156" i="2"/>
  <c r="CA156" i="2"/>
  <c r="I156" i="2"/>
  <c r="CT155" i="2"/>
  <c r="CS155" i="2"/>
  <c r="CR155" i="2"/>
  <c r="CQ155" i="2"/>
  <c r="CP155" i="2"/>
  <c r="CO155" i="2"/>
  <c r="CN155" i="2"/>
  <c r="CM155" i="2"/>
  <c r="CL155" i="2"/>
  <c r="CK155" i="2"/>
  <c r="CJ155" i="2"/>
  <c r="CI155" i="2"/>
  <c r="CH155" i="2"/>
  <c r="CG155" i="2"/>
  <c r="CF155" i="2"/>
  <c r="CE155" i="2"/>
  <c r="CD155" i="2"/>
  <c r="CC155" i="2"/>
  <c r="CB155" i="2"/>
  <c r="CA155" i="2"/>
  <c r="I155" i="2"/>
  <c r="CT154" i="2"/>
  <c r="CS154" i="2"/>
  <c r="CR154" i="2"/>
  <c r="CQ154" i="2"/>
  <c r="CP154" i="2"/>
  <c r="CO154" i="2"/>
  <c r="CN154" i="2"/>
  <c r="CM154" i="2"/>
  <c r="CL154" i="2"/>
  <c r="CK154" i="2"/>
  <c r="CJ154" i="2"/>
  <c r="CI154" i="2"/>
  <c r="CH154" i="2"/>
  <c r="CG154" i="2"/>
  <c r="CF154" i="2"/>
  <c r="CE154" i="2"/>
  <c r="CD154" i="2"/>
  <c r="CC154" i="2"/>
  <c r="CB154" i="2"/>
  <c r="CA154" i="2"/>
  <c r="I154" i="2"/>
  <c r="CT153" i="2"/>
  <c r="CS153" i="2"/>
  <c r="CR153" i="2"/>
  <c r="CQ153" i="2"/>
  <c r="CP153" i="2"/>
  <c r="CO153" i="2"/>
  <c r="CN153" i="2"/>
  <c r="CM153" i="2"/>
  <c r="CL153" i="2"/>
  <c r="CK153" i="2"/>
  <c r="CJ153" i="2"/>
  <c r="CI153" i="2"/>
  <c r="CH153" i="2"/>
  <c r="CG153" i="2"/>
  <c r="CF153" i="2"/>
  <c r="CE153" i="2"/>
  <c r="CD153" i="2"/>
  <c r="CC153" i="2"/>
  <c r="CB153" i="2"/>
  <c r="CA153" i="2"/>
  <c r="I153" i="2"/>
  <c r="CT152" i="2"/>
  <c r="CS152" i="2"/>
  <c r="CR152" i="2"/>
  <c r="CQ152" i="2"/>
  <c r="CP152" i="2"/>
  <c r="CO152" i="2"/>
  <c r="CN152" i="2"/>
  <c r="CM152" i="2"/>
  <c r="CL152" i="2"/>
  <c r="CK152" i="2"/>
  <c r="CJ152" i="2"/>
  <c r="CI152" i="2"/>
  <c r="CH152" i="2"/>
  <c r="CG152" i="2"/>
  <c r="CF152" i="2"/>
  <c r="CE152" i="2"/>
  <c r="CD152" i="2"/>
  <c r="CC152" i="2"/>
  <c r="CB152" i="2"/>
  <c r="CA152" i="2"/>
  <c r="I152" i="2"/>
  <c r="CT151" i="2"/>
  <c r="CS151" i="2"/>
  <c r="CR151" i="2"/>
  <c r="CQ151" i="2"/>
  <c r="CP151" i="2"/>
  <c r="CO151" i="2"/>
  <c r="CN151" i="2"/>
  <c r="CM151" i="2"/>
  <c r="CL151" i="2"/>
  <c r="CK151" i="2"/>
  <c r="CJ151" i="2"/>
  <c r="CI151" i="2"/>
  <c r="CH151" i="2"/>
  <c r="CG151" i="2"/>
  <c r="CF151" i="2"/>
  <c r="CE151" i="2"/>
  <c r="CD151" i="2"/>
  <c r="CC151" i="2"/>
  <c r="CB151" i="2"/>
  <c r="CA151" i="2"/>
  <c r="I151" i="2"/>
  <c r="CT150" i="2"/>
  <c r="CS150" i="2"/>
  <c r="CR150" i="2"/>
  <c r="CQ150" i="2"/>
  <c r="CP150" i="2"/>
  <c r="CO150" i="2"/>
  <c r="CN150" i="2"/>
  <c r="CM150" i="2"/>
  <c r="CL150" i="2"/>
  <c r="CK150" i="2"/>
  <c r="CJ150" i="2"/>
  <c r="CI150" i="2"/>
  <c r="CH150" i="2"/>
  <c r="CG150" i="2"/>
  <c r="CF150" i="2"/>
  <c r="CE150" i="2"/>
  <c r="CD150" i="2"/>
  <c r="CC150" i="2"/>
  <c r="CB150" i="2"/>
  <c r="CA150" i="2"/>
  <c r="I150" i="2"/>
  <c r="CT149" i="2"/>
  <c r="CS149" i="2"/>
  <c r="CR149" i="2"/>
  <c r="CQ149" i="2"/>
  <c r="CP149" i="2"/>
  <c r="CO149" i="2"/>
  <c r="CN149" i="2"/>
  <c r="CM149" i="2"/>
  <c r="CL149" i="2"/>
  <c r="CK149" i="2"/>
  <c r="CJ149" i="2"/>
  <c r="CI149" i="2"/>
  <c r="CH149" i="2"/>
  <c r="CG149" i="2"/>
  <c r="CF149" i="2"/>
  <c r="CE149" i="2"/>
  <c r="CD149" i="2"/>
  <c r="CC149" i="2"/>
  <c r="CB149" i="2"/>
  <c r="CA149" i="2"/>
  <c r="I149" i="2"/>
  <c r="CT148" i="2"/>
  <c r="CS148" i="2"/>
  <c r="CR148" i="2"/>
  <c r="CQ148" i="2"/>
  <c r="CP148" i="2"/>
  <c r="CO148" i="2"/>
  <c r="CN148" i="2"/>
  <c r="CM148" i="2"/>
  <c r="CL148" i="2"/>
  <c r="CK148" i="2"/>
  <c r="CJ148" i="2"/>
  <c r="CI148" i="2"/>
  <c r="CH148" i="2"/>
  <c r="CG148" i="2"/>
  <c r="CF148" i="2"/>
  <c r="CE148" i="2"/>
  <c r="CD148" i="2"/>
  <c r="CC148" i="2"/>
  <c r="CB148" i="2"/>
  <c r="CA148" i="2"/>
  <c r="I148" i="2"/>
  <c r="CT147" i="2"/>
  <c r="CS147" i="2"/>
  <c r="CR147" i="2"/>
  <c r="CQ147" i="2"/>
  <c r="CP147" i="2"/>
  <c r="CO147" i="2"/>
  <c r="CN147" i="2"/>
  <c r="CM147" i="2"/>
  <c r="CL147" i="2"/>
  <c r="CK147" i="2"/>
  <c r="CJ147" i="2"/>
  <c r="CI147" i="2"/>
  <c r="CH147" i="2"/>
  <c r="CG147" i="2"/>
  <c r="CF147" i="2"/>
  <c r="CE147" i="2"/>
  <c r="CD147" i="2"/>
  <c r="CC147" i="2"/>
  <c r="CB147" i="2"/>
  <c r="CA147" i="2"/>
  <c r="I147" i="2"/>
  <c r="CT146" i="2"/>
  <c r="CS146" i="2"/>
  <c r="CR146" i="2"/>
  <c r="CQ146" i="2"/>
  <c r="CP146" i="2"/>
  <c r="CO146" i="2"/>
  <c r="CN146" i="2"/>
  <c r="CM146" i="2"/>
  <c r="CL146" i="2"/>
  <c r="CK146" i="2"/>
  <c r="CJ146" i="2"/>
  <c r="CI146" i="2"/>
  <c r="CH146" i="2"/>
  <c r="CG146" i="2"/>
  <c r="CF146" i="2"/>
  <c r="CE146" i="2"/>
  <c r="CD146" i="2"/>
  <c r="CC146" i="2"/>
  <c r="CB146" i="2"/>
  <c r="CA146" i="2"/>
  <c r="I146" i="2"/>
  <c r="CT145" i="2"/>
  <c r="CS145" i="2"/>
  <c r="CR145" i="2"/>
  <c r="CQ145" i="2"/>
  <c r="CP145" i="2"/>
  <c r="CO145" i="2"/>
  <c r="CN145" i="2"/>
  <c r="CM145" i="2"/>
  <c r="CL145" i="2"/>
  <c r="CK145" i="2"/>
  <c r="CJ145" i="2"/>
  <c r="CI145" i="2"/>
  <c r="CH145" i="2"/>
  <c r="CG145" i="2"/>
  <c r="CF145" i="2"/>
  <c r="CE145" i="2"/>
  <c r="CD145" i="2"/>
  <c r="CC145" i="2"/>
  <c r="CB145" i="2"/>
  <c r="CA145" i="2"/>
  <c r="I145" i="2"/>
  <c r="CT144" i="2"/>
  <c r="CS144" i="2"/>
  <c r="CR144" i="2"/>
  <c r="CQ144" i="2"/>
  <c r="CP144" i="2"/>
  <c r="CO144" i="2"/>
  <c r="CN144" i="2"/>
  <c r="CM144" i="2"/>
  <c r="CL144" i="2"/>
  <c r="CK144" i="2"/>
  <c r="CJ144" i="2"/>
  <c r="CI144" i="2"/>
  <c r="CH144" i="2"/>
  <c r="CG144" i="2"/>
  <c r="CF144" i="2"/>
  <c r="CE144" i="2"/>
  <c r="CD144" i="2"/>
  <c r="CC144" i="2"/>
  <c r="CB144" i="2"/>
  <c r="CA144" i="2"/>
  <c r="I144" i="2"/>
  <c r="CT143" i="2"/>
  <c r="CS143" i="2"/>
  <c r="CR143" i="2"/>
  <c r="CQ143" i="2"/>
  <c r="CP143" i="2"/>
  <c r="CO143" i="2"/>
  <c r="CN143" i="2"/>
  <c r="CM143" i="2"/>
  <c r="CL143" i="2"/>
  <c r="CK143" i="2"/>
  <c r="CJ143" i="2"/>
  <c r="CI143" i="2"/>
  <c r="CH143" i="2"/>
  <c r="CG143" i="2"/>
  <c r="CF143" i="2"/>
  <c r="CE143" i="2"/>
  <c r="CD143" i="2"/>
  <c r="CC143" i="2"/>
  <c r="CB143" i="2"/>
  <c r="CA143" i="2"/>
  <c r="I143" i="2"/>
  <c r="CT142" i="2"/>
  <c r="CS142" i="2"/>
  <c r="CR142" i="2"/>
  <c r="CQ142" i="2"/>
  <c r="CP142" i="2"/>
  <c r="CO142" i="2"/>
  <c r="CN142" i="2"/>
  <c r="CM142" i="2"/>
  <c r="CL142" i="2"/>
  <c r="CK142" i="2"/>
  <c r="CJ142" i="2"/>
  <c r="CI142" i="2"/>
  <c r="CH142" i="2"/>
  <c r="CG142" i="2"/>
  <c r="CF142" i="2"/>
  <c r="CE142" i="2"/>
  <c r="CD142" i="2"/>
  <c r="CC142" i="2"/>
  <c r="CB142" i="2"/>
  <c r="CA142" i="2"/>
  <c r="I142" i="2"/>
  <c r="CT141" i="2"/>
  <c r="CS141" i="2"/>
  <c r="CR141" i="2"/>
  <c r="CQ141" i="2"/>
  <c r="CP141" i="2"/>
  <c r="CO141" i="2"/>
  <c r="CN141" i="2"/>
  <c r="CM141" i="2"/>
  <c r="CL141" i="2"/>
  <c r="CK141" i="2"/>
  <c r="CJ141" i="2"/>
  <c r="CI141" i="2"/>
  <c r="CH141" i="2"/>
  <c r="CG141" i="2"/>
  <c r="CF141" i="2"/>
  <c r="CE141" i="2"/>
  <c r="CD141" i="2"/>
  <c r="CC141" i="2"/>
  <c r="CB141" i="2"/>
  <c r="CA141" i="2"/>
  <c r="I141" i="2"/>
  <c r="CT140" i="2"/>
  <c r="CS140" i="2"/>
  <c r="CR140" i="2"/>
  <c r="CQ140" i="2"/>
  <c r="CP140" i="2"/>
  <c r="CO140" i="2"/>
  <c r="CN140" i="2"/>
  <c r="CM140" i="2"/>
  <c r="CL140" i="2"/>
  <c r="CK140" i="2"/>
  <c r="CJ140" i="2"/>
  <c r="CI140" i="2"/>
  <c r="CH140" i="2"/>
  <c r="CG140" i="2"/>
  <c r="CF140" i="2"/>
  <c r="CE140" i="2"/>
  <c r="CD140" i="2"/>
  <c r="CC140" i="2"/>
  <c r="CB140" i="2"/>
  <c r="CA140" i="2"/>
  <c r="I140" i="2"/>
  <c r="CT139" i="2"/>
  <c r="CS139" i="2"/>
  <c r="CR139" i="2"/>
  <c r="CQ139" i="2"/>
  <c r="CP139" i="2"/>
  <c r="CO139" i="2"/>
  <c r="CN139" i="2"/>
  <c r="CM139" i="2"/>
  <c r="CL139" i="2"/>
  <c r="CK139" i="2"/>
  <c r="CJ139" i="2"/>
  <c r="CI139" i="2"/>
  <c r="CH139" i="2"/>
  <c r="CG139" i="2"/>
  <c r="CF139" i="2"/>
  <c r="CE139" i="2"/>
  <c r="CD139" i="2"/>
  <c r="CC139" i="2"/>
  <c r="CB139" i="2"/>
  <c r="CA139" i="2"/>
  <c r="I139" i="2"/>
  <c r="CT138" i="2"/>
  <c r="CS138" i="2"/>
  <c r="CR138" i="2"/>
  <c r="CQ138" i="2"/>
  <c r="CP138" i="2"/>
  <c r="CO138" i="2"/>
  <c r="CN138" i="2"/>
  <c r="CM138" i="2"/>
  <c r="CL138" i="2"/>
  <c r="CK138" i="2"/>
  <c r="CJ138" i="2"/>
  <c r="CI138" i="2"/>
  <c r="CH138" i="2"/>
  <c r="CG138" i="2"/>
  <c r="CF138" i="2"/>
  <c r="CE138" i="2"/>
  <c r="CD138" i="2"/>
  <c r="CC138" i="2"/>
  <c r="CB138" i="2"/>
  <c r="CA138" i="2"/>
  <c r="I138" i="2"/>
  <c r="CT137" i="2"/>
  <c r="CS137" i="2"/>
  <c r="CR137" i="2"/>
  <c r="CQ137" i="2"/>
  <c r="CP137" i="2"/>
  <c r="CO137" i="2"/>
  <c r="CN137" i="2"/>
  <c r="CM137" i="2"/>
  <c r="CL137" i="2"/>
  <c r="CK137" i="2"/>
  <c r="CJ137" i="2"/>
  <c r="CI137" i="2"/>
  <c r="CH137" i="2"/>
  <c r="CG137" i="2"/>
  <c r="CF137" i="2"/>
  <c r="CE137" i="2"/>
  <c r="CD137" i="2"/>
  <c r="CC137" i="2"/>
  <c r="CB137" i="2"/>
  <c r="CA137" i="2"/>
  <c r="I137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I136" i="2"/>
  <c r="CT135" i="2"/>
  <c r="CS135" i="2"/>
  <c r="CR135" i="2"/>
  <c r="CQ135" i="2"/>
  <c r="CP135" i="2"/>
  <c r="CO135" i="2"/>
  <c r="CN135" i="2"/>
  <c r="CM135" i="2"/>
  <c r="CL135" i="2"/>
  <c r="CK135" i="2"/>
  <c r="CJ135" i="2"/>
  <c r="CI135" i="2"/>
  <c r="CH135" i="2"/>
  <c r="CG135" i="2"/>
  <c r="CF135" i="2"/>
  <c r="CE135" i="2"/>
  <c r="CD135" i="2"/>
  <c r="CC135" i="2"/>
  <c r="CB135" i="2"/>
  <c r="CA135" i="2"/>
  <c r="I135" i="2"/>
  <c r="CT134" i="2"/>
  <c r="CS134" i="2"/>
  <c r="CR134" i="2"/>
  <c r="CQ134" i="2"/>
  <c r="CP134" i="2"/>
  <c r="CO134" i="2"/>
  <c r="CN134" i="2"/>
  <c r="CM134" i="2"/>
  <c r="CL134" i="2"/>
  <c r="CK134" i="2"/>
  <c r="CJ134" i="2"/>
  <c r="CI134" i="2"/>
  <c r="CH134" i="2"/>
  <c r="CG134" i="2"/>
  <c r="CF134" i="2"/>
  <c r="CE134" i="2"/>
  <c r="CD134" i="2"/>
  <c r="CC134" i="2"/>
  <c r="CB134" i="2"/>
  <c r="CA134" i="2"/>
  <c r="I134" i="2"/>
  <c r="CT133" i="2"/>
  <c r="CS133" i="2"/>
  <c r="CR133" i="2"/>
  <c r="CQ133" i="2"/>
  <c r="CP133" i="2"/>
  <c r="CO133" i="2"/>
  <c r="CN133" i="2"/>
  <c r="CM133" i="2"/>
  <c r="CL133" i="2"/>
  <c r="CK133" i="2"/>
  <c r="CJ133" i="2"/>
  <c r="CI133" i="2"/>
  <c r="CH133" i="2"/>
  <c r="CG133" i="2"/>
  <c r="CF133" i="2"/>
  <c r="CE133" i="2"/>
  <c r="CD133" i="2"/>
  <c r="CC133" i="2"/>
  <c r="CB133" i="2"/>
  <c r="CA133" i="2"/>
  <c r="I133" i="2"/>
  <c r="CT132" i="2"/>
  <c r="CS132" i="2"/>
  <c r="CR132" i="2"/>
  <c r="CQ132" i="2"/>
  <c r="CP132" i="2"/>
  <c r="CO132" i="2"/>
  <c r="CN132" i="2"/>
  <c r="CM132" i="2"/>
  <c r="CL132" i="2"/>
  <c r="CK132" i="2"/>
  <c r="CJ132" i="2"/>
  <c r="CI132" i="2"/>
  <c r="CH132" i="2"/>
  <c r="CG132" i="2"/>
  <c r="CF132" i="2"/>
  <c r="CE132" i="2"/>
  <c r="CD132" i="2"/>
  <c r="CC132" i="2"/>
  <c r="CB132" i="2"/>
  <c r="CA132" i="2"/>
  <c r="I132" i="2"/>
  <c r="CT131" i="2"/>
  <c r="CS131" i="2"/>
  <c r="CR131" i="2"/>
  <c r="CQ131" i="2"/>
  <c r="CP131" i="2"/>
  <c r="CO131" i="2"/>
  <c r="CN131" i="2"/>
  <c r="CM131" i="2"/>
  <c r="CL131" i="2"/>
  <c r="CK131" i="2"/>
  <c r="CJ131" i="2"/>
  <c r="CI131" i="2"/>
  <c r="CH131" i="2"/>
  <c r="CG131" i="2"/>
  <c r="CF131" i="2"/>
  <c r="CE131" i="2"/>
  <c r="CD131" i="2"/>
  <c r="CC131" i="2"/>
  <c r="CB131" i="2"/>
  <c r="CA131" i="2"/>
  <c r="I131" i="2"/>
  <c r="CT130" i="2"/>
  <c r="CS130" i="2"/>
  <c r="CR130" i="2"/>
  <c r="CQ130" i="2"/>
  <c r="CP130" i="2"/>
  <c r="CO130" i="2"/>
  <c r="CN130" i="2"/>
  <c r="CM130" i="2"/>
  <c r="CL130" i="2"/>
  <c r="CK130" i="2"/>
  <c r="CJ130" i="2"/>
  <c r="CI130" i="2"/>
  <c r="CH130" i="2"/>
  <c r="CG130" i="2"/>
  <c r="CF130" i="2"/>
  <c r="CE130" i="2"/>
  <c r="CD130" i="2"/>
  <c r="CC130" i="2"/>
  <c r="CB130" i="2"/>
  <c r="CA130" i="2"/>
  <c r="I130" i="2"/>
  <c r="CT129" i="2"/>
  <c r="CS129" i="2"/>
  <c r="CR129" i="2"/>
  <c r="CQ129" i="2"/>
  <c r="CP129" i="2"/>
  <c r="CO129" i="2"/>
  <c r="CN129" i="2"/>
  <c r="CM129" i="2"/>
  <c r="CL129" i="2"/>
  <c r="CK129" i="2"/>
  <c r="CJ129" i="2"/>
  <c r="CI129" i="2"/>
  <c r="CH129" i="2"/>
  <c r="CG129" i="2"/>
  <c r="CF129" i="2"/>
  <c r="CE129" i="2"/>
  <c r="CD129" i="2"/>
  <c r="CC129" i="2"/>
  <c r="CB129" i="2"/>
  <c r="CA129" i="2"/>
  <c r="I129" i="2"/>
  <c r="CT128" i="2"/>
  <c r="CS128" i="2"/>
  <c r="CR128" i="2"/>
  <c r="CQ128" i="2"/>
  <c r="CP128" i="2"/>
  <c r="CO128" i="2"/>
  <c r="CN128" i="2"/>
  <c r="CM128" i="2"/>
  <c r="CL128" i="2"/>
  <c r="CK128" i="2"/>
  <c r="CJ128" i="2"/>
  <c r="CI128" i="2"/>
  <c r="CH128" i="2"/>
  <c r="CG128" i="2"/>
  <c r="CF128" i="2"/>
  <c r="CE128" i="2"/>
  <c r="CD128" i="2"/>
  <c r="CC128" i="2"/>
  <c r="CB128" i="2"/>
  <c r="CA128" i="2"/>
  <c r="I128" i="2"/>
  <c r="CT127" i="2"/>
  <c r="CS127" i="2"/>
  <c r="CR127" i="2"/>
  <c r="CQ127" i="2"/>
  <c r="CP127" i="2"/>
  <c r="CO127" i="2"/>
  <c r="CN127" i="2"/>
  <c r="CM127" i="2"/>
  <c r="CL127" i="2"/>
  <c r="CK127" i="2"/>
  <c r="CJ127" i="2"/>
  <c r="CI127" i="2"/>
  <c r="CH127" i="2"/>
  <c r="CG127" i="2"/>
  <c r="CF127" i="2"/>
  <c r="CE127" i="2"/>
  <c r="CD127" i="2"/>
  <c r="CC127" i="2"/>
  <c r="CB127" i="2"/>
  <c r="CA127" i="2"/>
  <c r="I127" i="2"/>
  <c r="CT126" i="2"/>
  <c r="CS126" i="2"/>
  <c r="CR126" i="2"/>
  <c r="CQ126" i="2"/>
  <c r="CP126" i="2"/>
  <c r="CO126" i="2"/>
  <c r="CN126" i="2"/>
  <c r="CM126" i="2"/>
  <c r="CL126" i="2"/>
  <c r="CK126" i="2"/>
  <c r="CJ126" i="2"/>
  <c r="CI126" i="2"/>
  <c r="CH126" i="2"/>
  <c r="CG126" i="2"/>
  <c r="CF126" i="2"/>
  <c r="CE126" i="2"/>
  <c r="CD126" i="2"/>
  <c r="CC126" i="2"/>
  <c r="CB126" i="2"/>
  <c r="CA126" i="2"/>
  <c r="I126" i="2"/>
  <c r="CT125" i="2"/>
  <c r="CS125" i="2"/>
  <c r="CR125" i="2"/>
  <c r="CQ125" i="2"/>
  <c r="CP125" i="2"/>
  <c r="CO125" i="2"/>
  <c r="CN125" i="2"/>
  <c r="CM125" i="2"/>
  <c r="CL125" i="2"/>
  <c r="CK125" i="2"/>
  <c r="CJ125" i="2"/>
  <c r="CI125" i="2"/>
  <c r="CH125" i="2"/>
  <c r="CG125" i="2"/>
  <c r="CF125" i="2"/>
  <c r="CE125" i="2"/>
  <c r="CD125" i="2"/>
  <c r="CC125" i="2"/>
  <c r="CB125" i="2"/>
  <c r="CA125" i="2"/>
  <c r="I125" i="2"/>
  <c r="CT124" i="2"/>
  <c r="CS124" i="2"/>
  <c r="CR124" i="2"/>
  <c r="CQ124" i="2"/>
  <c r="CP124" i="2"/>
  <c r="CO124" i="2"/>
  <c r="CN124" i="2"/>
  <c r="CM124" i="2"/>
  <c r="CL124" i="2"/>
  <c r="CK124" i="2"/>
  <c r="CJ124" i="2"/>
  <c r="CI124" i="2"/>
  <c r="CH124" i="2"/>
  <c r="CG124" i="2"/>
  <c r="CF124" i="2"/>
  <c r="CE124" i="2"/>
  <c r="CD124" i="2"/>
  <c r="CC124" i="2"/>
  <c r="CB124" i="2"/>
  <c r="CA124" i="2"/>
  <c r="I124" i="2"/>
  <c r="CT123" i="2"/>
  <c r="CS123" i="2"/>
  <c r="CR123" i="2"/>
  <c r="CQ123" i="2"/>
  <c r="CP123" i="2"/>
  <c r="CO123" i="2"/>
  <c r="CN123" i="2"/>
  <c r="CM123" i="2"/>
  <c r="CL123" i="2"/>
  <c r="CK123" i="2"/>
  <c r="CJ123" i="2"/>
  <c r="CI123" i="2"/>
  <c r="CH123" i="2"/>
  <c r="CG123" i="2"/>
  <c r="CF123" i="2"/>
  <c r="CE123" i="2"/>
  <c r="CD123" i="2"/>
  <c r="CC123" i="2"/>
  <c r="CB123" i="2"/>
  <c r="CA123" i="2"/>
  <c r="I123" i="2"/>
  <c r="CT122" i="2"/>
  <c r="CS122" i="2"/>
  <c r="CR122" i="2"/>
  <c r="CQ122" i="2"/>
  <c r="CP122" i="2"/>
  <c r="CO122" i="2"/>
  <c r="CN122" i="2"/>
  <c r="CM122" i="2"/>
  <c r="CL122" i="2"/>
  <c r="CK122" i="2"/>
  <c r="CJ122" i="2"/>
  <c r="CI122" i="2"/>
  <c r="CH122" i="2"/>
  <c r="CG122" i="2"/>
  <c r="CF122" i="2"/>
  <c r="CE122" i="2"/>
  <c r="CD122" i="2"/>
  <c r="CC122" i="2"/>
  <c r="CB122" i="2"/>
  <c r="CA122" i="2"/>
  <c r="I122" i="2"/>
  <c r="CT121" i="2"/>
  <c r="CS121" i="2"/>
  <c r="CR121" i="2"/>
  <c r="CQ121" i="2"/>
  <c r="CP121" i="2"/>
  <c r="CO121" i="2"/>
  <c r="CN121" i="2"/>
  <c r="CM121" i="2"/>
  <c r="CL121" i="2"/>
  <c r="CK121" i="2"/>
  <c r="CJ121" i="2"/>
  <c r="CI121" i="2"/>
  <c r="CH121" i="2"/>
  <c r="CG121" i="2"/>
  <c r="CF121" i="2"/>
  <c r="CE121" i="2"/>
  <c r="CD121" i="2"/>
  <c r="CC121" i="2"/>
  <c r="CB121" i="2"/>
  <c r="CA121" i="2"/>
  <c r="I121" i="2"/>
  <c r="CT120" i="2"/>
  <c r="CS120" i="2"/>
  <c r="CR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E120" i="2"/>
  <c r="CD120" i="2"/>
  <c r="CC120" i="2"/>
  <c r="CB120" i="2"/>
  <c r="CA120" i="2"/>
  <c r="I120" i="2"/>
  <c r="CT119" i="2"/>
  <c r="CS119" i="2"/>
  <c r="CR119" i="2"/>
  <c r="CQ119" i="2"/>
  <c r="CP119" i="2"/>
  <c r="CO119" i="2"/>
  <c r="CN119" i="2"/>
  <c r="CM119" i="2"/>
  <c r="CL119" i="2"/>
  <c r="CK119" i="2"/>
  <c r="CJ119" i="2"/>
  <c r="CI119" i="2"/>
  <c r="CH119" i="2"/>
  <c r="CG119" i="2"/>
  <c r="CF119" i="2"/>
  <c r="CE119" i="2"/>
  <c r="CD119" i="2"/>
  <c r="CC119" i="2"/>
  <c r="CB119" i="2"/>
  <c r="CA119" i="2"/>
  <c r="I119" i="2"/>
  <c r="CT118" i="2"/>
  <c r="CS118" i="2"/>
  <c r="CR118" i="2"/>
  <c r="CQ118" i="2"/>
  <c r="CP118" i="2"/>
  <c r="CO118" i="2"/>
  <c r="CN118" i="2"/>
  <c r="CM118" i="2"/>
  <c r="CL118" i="2"/>
  <c r="CK118" i="2"/>
  <c r="CJ118" i="2"/>
  <c r="CI118" i="2"/>
  <c r="CH118" i="2"/>
  <c r="CG118" i="2"/>
  <c r="CF118" i="2"/>
  <c r="CE118" i="2"/>
  <c r="CD118" i="2"/>
  <c r="CC118" i="2"/>
  <c r="CB118" i="2"/>
  <c r="CA118" i="2"/>
  <c r="I118" i="2"/>
  <c r="CT117" i="2"/>
  <c r="CS117" i="2"/>
  <c r="CR117" i="2"/>
  <c r="CQ117" i="2"/>
  <c r="CP117" i="2"/>
  <c r="CO117" i="2"/>
  <c r="CN117" i="2"/>
  <c r="CM117" i="2"/>
  <c r="CL117" i="2"/>
  <c r="CK117" i="2"/>
  <c r="CJ117" i="2"/>
  <c r="CI117" i="2"/>
  <c r="CH117" i="2"/>
  <c r="CG117" i="2"/>
  <c r="CF117" i="2"/>
  <c r="CE117" i="2"/>
  <c r="CD117" i="2"/>
  <c r="CC117" i="2"/>
  <c r="CB117" i="2"/>
  <c r="CA117" i="2"/>
  <c r="I117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F116" i="2"/>
  <c r="CE116" i="2"/>
  <c r="CD116" i="2"/>
  <c r="CC116" i="2"/>
  <c r="CB116" i="2"/>
  <c r="CA116" i="2"/>
  <c r="I116" i="2"/>
  <c r="CT115" i="2"/>
  <c r="CS115" i="2"/>
  <c r="CR115" i="2"/>
  <c r="CQ115" i="2"/>
  <c r="CP115" i="2"/>
  <c r="CO115" i="2"/>
  <c r="CN115" i="2"/>
  <c r="CM115" i="2"/>
  <c r="CL115" i="2"/>
  <c r="CK115" i="2"/>
  <c r="CJ115" i="2"/>
  <c r="CI115" i="2"/>
  <c r="CH115" i="2"/>
  <c r="CG115" i="2"/>
  <c r="CF115" i="2"/>
  <c r="CE115" i="2"/>
  <c r="CD115" i="2"/>
  <c r="CC115" i="2"/>
  <c r="CB115" i="2"/>
  <c r="CA115" i="2"/>
  <c r="I115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I114" i="2"/>
  <c r="CT113" i="2"/>
  <c r="CS113" i="2"/>
  <c r="CR113" i="2"/>
  <c r="CQ113" i="2"/>
  <c r="CP113" i="2"/>
  <c r="CO113" i="2"/>
  <c r="CN113" i="2"/>
  <c r="CM113" i="2"/>
  <c r="CL113" i="2"/>
  <c r="CK113" i="2"/>
  <c r="CJ113" i="2"/>
  <c r="CI113" i="2"/>
  <c r="CH113" i="2"/>
  <c r="CG113" i="2"/>
  <c r="CF113" i="2"/>
  <c r="CE113" i="2"/>
  <c r="CD113" i="2"/>
  <c r="CC113" i="2"/>
  <c r="CB113" i="2"/>
  <c r="CA113" i="2"/>
  <c r="I113" i="2"/>
  <c r="CT112" i="2"/>
  <c r="CS112" i="2"/>
  <c r="CR112" i="2"/>
  <c r="CQ112" i="2"/>
  <c r="CP112" i="2"/>
  <c r="CO112" i="2"/>
  <c r="CN112" i="2"/>
  <c r="CM112" i="2"/>
  <c r="CL112" i="2"/>
  <c r="CK112" i="2"/>
  <c r="CJ112" i="2"/>
  <c r="CI112" i="2"/>
  <c r="CH112" i="2"/>
  <c r="CG112" i="2"/>
  <c r="CF112" i="2"/>
  <c r="CE112" i="2"/>
  <c r="CD112" i="2"/>
  <c r="CC112" i="2"/>
  <c r="CB112" i="2"/>
  <c r="CA112" i="2"/>
  <c r="I112" i="2"/>
  <c r="CT111" i="2"/>
  <c r="CS111" i="2"/>
  <c r="CR111" i="2"/>
  <c r="CQ111" i="2"/>
  <c r="CP111" i="2"/>
  <c r="CO111" i="2"/>
  <c r="CN111" i="2"/>
  <c r="CM111" i="2"/>
  <c r="CL111" i="2"/>
  <c r="CK111" i="2"/>
  <c r="CJ111" i="2"/>
  <c r="CI111" i="2"/>
  <c r="CH111" i="2"/>
  <c r="CG111" i="2"/>
  <c r="CF111" i="2"/>
  <c r="CE111" i="2"/>
  <c r="CD111" i="2"/>
  <c r="CC111" i="2"/>
  <c r="CB111" i="2"/>
  <c r="CA111" i="2"/>
  <c r="I111" i="2"/>
  <c r="CT110" i="2"/>
  <c r="CS110" i="2"/>
  <c r="CR110" i="2"/>
  <c r="CQ110" i="2"/>
  <c r="CP110" i="2"/>
  <c r="CO110" i="2"/>
  <c r="CN110" i="2"/>
  <c r="CM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I110" i="2"/>
  <c r="CT109" i="2"/>
  <c r="CS109" i="2"/>
  <c r="CR109" i="2"/>
  <c r="CQ109" i="2"/>
  <c r="CP109" i="2"/>
  <c r="CO109" i="2"/>
  <c r="CN109" i="2"/>
  <c r="CM109" i="2"/>
  <c r="CL109" i="2"/>
  <c r="CK109" i="2"/>
  <c r="CJ109" i="2"/>
  <c r="CI109" i="2"/>
  <c r="CH109" i="2"/>
  <c r="CG109" i="2"/>
  <c r="CF109" i="2"/>
  <c r="CE109" i="2"/>
  <c r="CD109" i="2"/>
  <c r="CC109" i="2"/>
  <c r="CB109" i="2"/>
  <c r="CA109" i="2"/>
  <c r="I109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I108" i="2"/>
  <c r="CT107" i="2"/>
  <c r="CS107" i="2"/>
  <c r="CR107" i="2"/>
  <c r="CQ107" i="2"/>
  <c r="CP107" i="2"/>
  <c r="CO107" i="2"/>
  <c r="CN107" i="2"/>
  <c r="CM107" i="2"/>
  <c r="CL107" i="2"/>
  <c r="CK107" i="2"/>
  <c r="CJ107" i="2"/>
  <c r="CI107" i="2"/>
  <c r="CH107" i="2"/>
  <c r="CG107" i="2"/>
  <c r="CF107" i="2"/>
  <c r="CE107" i="2"/>
  <c r="CD107" i="2"/>
  <c r="CC107" i="2"/>
  <c r="CB107" i="2"/>
  <c r="CA107" i="2"/>
  <c r="I107" i="2"/>
  <c r="CT106" i="2"/>
  <c r="CS106" i="2"/>
  <c r="CR106" i="2"/>
  <c r="CQ106" i="2"/>
  <c r="CP106" i="2"/>
  <c r="CO106" i="2"/>
  <c r="CN106" i="2"/>
  <c r="CM106" i="2"/>
  <c r="CL106" i="2"/>
  <c r="CK106" i="2"/>
  <c r="CJ106" i="2"/>
  <c r="CI106" i="2"/>
  <c r="CH106" i="2"/>
  <c r="CG106" i="2"/>
  <c r="CF106" i="2"/>
  <c r="CE106" i="2"/>
  <c r="CD106" i="2"/>
  <c r="CC106" i="2"/>
  <c r="CB106" i="2"/>
  <c r="CA106" i="2"/>
  <c r="I106" i="2"/>
  <c r="CT105" i="2"/>
  <c r="CS105" i="2"/>
  <c r="CR105" i="2"/>
  <c r="CQ105" i="2"/>
  <c r="CP105" i="2"/>
  <c r="CO105" i="2"/>
  <c r="CN105" i="2"/>
  <c r="CM105" i="2"/>
  <c r="CL105" i="2"/>
  <c r="CK105" i="2"/>
  <c r="CJ105" i="2"/>
  <c r="CI105" i="2"/>
  <c r="CH105" i="2"/>
  <c r="CG105" i="2"/>
  <c r="CF105" i="2"/>
  <c r="CE105" i="2"/>
  <c r="CD105" i="2"/>
  <c r="CC105" i="2"/>
  <c r="CB105" i="2"/>
  <c r="CA105" i="2"/>
  <c r="I105" i="2"/>
  <c r="CT104" i="2"/>
  <c r="CS104" i="2"/>
  <c r="CR104" i="2"/>
  <c r="CQ104" i="2"/>
  <c r="CP104" i="2"/>
  <c r="CO104" i="2"/>
  <c r="CN104" i="2"/>
  <c r="CM104" i="2"/>
  <c r="CL104" i="2"/>
  <c r="CK104" i="2"/>
  <c r="CJ104" i="2"/>
  <c r="CI104" i="2"/>
  <c r="CH104" i="2"/>
  <c r="CG104" i="2"/>
  <c r="CF104" i="2"/>
  <c r="CE104" i="2"/>
  <c r="CD104" i="2"/>
  <c r="CC104" i="2"/>
  <c r="CB104" i="2"/>
  <c r="CA104" i="2"/>
  <c r="I104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I103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I102" i="2"/>
  <c r="CT101" i="2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CG101" i="2"/>
  <c r="CF101" i="2"/>
  <c r="CE101" i="2"/>
  <c r="CD101" i="2"/>
  <c r="CC101" i="2"/>
  <c r="CB101" i="2"/>
  <c r="CA101" i="2"/>
  <c r="I101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I100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I99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I98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I97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I96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I95" i="2"/>
  <c r="CT94" i="2"/>
  <c r="CS94" i="2"/>
  <c r="CR94" i="2"/>
  <c r="CQ94" i="2"/>
  <c r="CP94" i="2"/>
  <c r="CO94" i="2"/>
  <c r="CN94" i="2"/>
  <c r="CM94" i="2"/>
  <c r="CL94" i="2"/>
  <c r="CK94" i="2"/>
  <c r="CJ94" i="2"/>
  <c r="CI94" i="2"/>
  <c r="CH94" i="2"/>
  <c r="CG94" i="2"/>
  <c r="CF94" i="2"/>
  <c r="CE94" i="2"/>
  <c r="CD94" i="2"/>
  <c r="CC94" i="2"/>
  <c r="CB94" i="2"/>
  <c r="CA94" i="2"/>
  <c r="I94" i="2"/>
  <c r="CT93" i="2"/>
  <c r="CS93" i="2"/>
  <c r="CR93" i="2"/>
  <c r="CQ93" i="2"/>
  <c r="CP93" i="2"/>
  <c r="CO93" i="2"/>
  <c r="CN93" i="2"/>
  <c r="CM93" i="2"/>
  <c r="CL93" i="2"/>
  <c r="CK93" i="2"/>
  <c r="CJ93" i="2"/>
  <c r="CI93" i="2"/>
  <c r="CH93" i="2"/>
  <c r="CG93" i="2"/>
  <c r="CF93" i="2"/>
  <c r="CE93" i="2"/>
  <c r="CD93" i="2"/>
  <c r="CC93" i="2"/>
  <c r="CB93" i="2"/>
  <c r="CA93" i="2"/>
  <c r="I93" i="2"/>
  <c r="CT92" i="2"/>
  <c r="CS92" i="2"/>
  <c r="CR92" i="2"/>
  <c r="CQ92" i="2"/>
  <c r="CP92" i="2"/>
  <c r="CO92" i="2"/>
  <c r="CN92" i="2"/>
  <c r="CM92" i="2"/>
  <c r="CL92" i="2"/>
  <c r="CK92" i="2"/>
  <c r="CJ92" i="2"/>
  <c r="CI92" i="2"/>
  <c r="CH92" i="2"/>
  <c r="CG92" i="2"/>
  <c r="CF92" i="2"/>
  <c r="CE92" i="2"/>
  <c r="CD92" i="2"/>
  <c r="CC92" i="2"/>
  <c r="CB92" i="2"/>
  <c r="CA92" i="2"/>
  <c r="I92" i="2"/>
  <c r="CT91" i="2"/>
  <c r="CS91" i="2"/>
  <c r="CR91" i="2"/>
  <c r="CQ91" i="2"/>
  <c r="CP91" i="2"/>
  <c r="CO91" i="2"/>
  <c r="CN91" i="2"/>
  <c r="CM91" i="2"/>
  <c r="CL91" i="2"/>
  <c r="CK91" i="2"/>
  <c r="CJ91" i="2"/>
  <c r="CI91" i="2"/>
  <c r="CH91" i="2"/>
  <c r="CG91" i="2"/>
  <c r="CF91" i="2"/>
  <c r="CE91" i="2"/>
  <c r="CD91" i="2"/>
  <c r="CC91" i="2"/>
  <c r="CB91" i="2"/>
  <c r="CA91" i="2"/>
  <c r="I91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I90" i="2"/>
  <c r="CT89" i="2"/>
  <c r="CS89" i="2"/>
  <c r="CR89" i="2"/>
  <c r="CQ89" i="2"/>
  <c r="CP89" i="2"/>
  <c r="CO89" i="2"/>
  <c r="CN89" i="2"/>
  <c r="CM89" i="2"/>
  <c r="CL89" i="2"/>
  <c r="CK89" i="2"/>
  <c r="CJ89" i="2"/>
  <c r="CI89" i="2"/>
  <c r="CH89" i="2"/>
  <c r="CG89" i="2"/>
  <c r="CF89" i="2"/>
  <c r="CE89" i="2"/>
  <c r="CD89" i="2"/>
  <c r="CC89" i="2"/>
  <c r="CB89" i="2"/>
  <c r="CA89" i="2"/>
  <c r="I89" i="2"/>
  <c r="CT88" i="2"/>
  <c r="CS88" i="2"/>
  <c r="CR88" i="2"/>
  <c r="CQ88" i="2"/>
  <c r="CP88" i="2"/>
  <c r="CO88" i="2"/>
  <c r="CN88" i="2"/>
  <c r="CM88" i="2"/>
  <c r="CL88" i="2"/>
  <c r="CK88" i="2"/>
  <c r="CJ88" i="2"/>
  <c r="CI88" i="2"/>
  <c r="CH88" i="2"/>
  <c r="CG88" i="2"/>
  <c r="CF88" i="2"/>
  <c r="CE88" i="2"/>
  <c r="CD88" i="2"/>
  <c r="CC88" i="2"/>
  <c r="CB88" i="2"/>
  <c r="CA88" i="2"/>
  <c r="I88" i="2"/>
  <c r="CT87" i="2"/>
  <c r="CS87" i="2"/>
  <c r="CR87" i="2"/>
  <c r="CQ87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I87" i="2"/>
  <c r="CT86" i="2"/>
  <c r="CS86" i="2"/>
  <c r="CR86" i="2"/>
  <c r="CQ86" i="2"/>
  <c r="CP86" i="2"/>
  <c r="CO86" i="2"/>
  <c r="CN86" i="2"/>
  <c r="CM86" i="2"/>
  <c r="CL86" i="2"/>
  <c r="CK86" i="2"/>
  <c r="CJ86" i="2"/>
  <c r="CI86" i="2"/>
  <c r="CH86" i="2"/>
  <c r="CG86" i="2"/>
  <c r="CF86" i="2"/>
  <c r="CE86" i="2"/>
  <c r="CD86" i="2"/>
  <c r="CC86" i="2"/>
  <c r="CB86" i="2"/>
  <c r="CA86" i="2"/>
  <c r="I86" i="2"/>
  <c r="CT85" i="2"/>
  <c r="CS85" i="2"/>
  <c r="CR85" i="2"/>
  <c r="CQ85" i="2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I85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I84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I83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I82" i="2"/>
  <c r="CT81" i="2"/>
  <c r="CS81" i="2"/>
  <c r="CR81" i="2"/>
  <c r="CQ81" i="2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I81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CG80" i="2"/>
  <c r="CF80" i="2"/>
  <c r="CE80" i="2"/>
  <c r="CD80" i="2"/>
  <c r="CC80" i="2"/>
  <c r="CB80" i="2"/>
  <c r="CA80" i="2"/>
  <c r="I80" i="2"/>
  <c r="CT79" i="2"/>
  <c r="CS79" i="2"/>
  <c r="CR79" i="2"/>
  <c r="CQ79" i="2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I79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I78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I77" i="2"/>
  <c r="CT76" i="2"/>
  <c r="CS76" i="2"/>
  <c r="CR76" i="2"/>
  <c r="CQ76" i="2"/>
  <c r="CP76" i="2"/>
  <c r="CO76" i="2"/>
  <c r="CN76" i="2"/>
  <c r="CM76" i="2"/>
  <c r="CL76" i="2"/>
  <c r="CK76" i="2"/>
  <c r="CJ76" i="2"/>
  <c r="CI76" i="2"/>
  <c r="CH76" i="2"/>
  <c r="CG76" i="2"/>
  <c r="CF76" i="2"/>
  <c r="CE76" i="2"/>
  <c r="CD76" i="2"/>
  <c r="CC76" i="2"/>
  <c r="CB76" i="2"/>
  <c r="CA76" i="2"/>
  <c r="I76" i="2"/>
  <c r="CT75" i="2"/>
  <c r="CS75" i="2"/>
  <c r="CR75" i="2"/>
  <c r="CQ75" i="2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I75" i="2"/>
  <c r="CT74" i="2"/>
  <c r="CS74" i="2"/>
  <c r="CR74" i="2"/>
  <c r="CQ74" i="2"/>
  <c r="CP74" i="2"/>
  <c r="CO74" i="2"/>
  <c r="CN74" i="2"/>
  <c r="CM74" i="2"/>
  <c r="CL74" i="2"/>
  <c r="CK74" i="2"/>
  <c r="CJ74" i="2"/>
  <c r="CI74" i="2"/>
  <c r="CH74" i="2"/>
  <c r="CG74" i="2"/>
  <c r="CF74" i="2"/>
  <c r="CE74" i="2"/>
  <c r="CD74" i="2"/>
  <c r="CC74" i="2"/>
  <c r="CB74" i="2"/>
  <c r="CA74" i="2"/>
  <c r="I74" i="2"/>
  <c r="CT73" i="2"/>
  <c r="CS73" i="2"/>
  <c r="CR73" i="2"/>
  <c r="CQ73" i="2"/>
  <c r="CP73" i="2"/>
  <c r="CO73" i="2"/>
  <c r="CN73" i="2"/>
  <c r="CM73" i="2"/>
  <c r="CL73" i="2"/>
  <c r="CK73" i="2"/>
  <c r="CJ73" i="2"/>
  <c r="CI73" i="2"/>
  <c r="CH73" i="2"/>
  <c r="CG73" i="2"/>
  <c r="CF73" i="2"/>
  <c r="CE73" i="2"/>
  <c r="CD73" i="2"/>
  <c r="CC73" i="2"/>
  <c r="CB73" i="2"/>
  <c r="CA73" i="2"/>
  <c r="I73" i="2"/>
  <c r="CT72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G72" i="2"/>
  <c r="CF72" i="2"/>
  <c r="CE72" i="2"/>
  <c r="CD72" i="2"/>
  <c r="CC72" i="2"/>
  <c r="CB72" i="2"/>
  <c r="CA72" i="2"/>
  <c r="I72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I71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I70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I69" i="2"/>
  <c r="CT68" i="2"/>
  <c r="CS68" i="2"/>
  <c r="CR68" i="2"/>
  <c r="CQ68" i="2"/>
  <c r="CP68" i="2"/>
  <c r="CO68" i="2"/>
  <c r="CN68" i="2"/>
  <c r="CM68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I68" i="2"/>
  <c r="CT67" i="2"/>
  <c r="CS67" i="2"/>
  <c r="CR67" i="2"/>
  <c r="CQ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I67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H2" i="2"/>
  <c r="C1" i="2" a="1"/>
  <c r="C1" i="2" s="1"/>
  <c r="C455" i="2" a="1"/>
  <c r="C455" i="2" s="1"/>
  <c r="C454" i="2" a="1"/>
  <c r="C454" i="2" s="1"/>
  <c r="C453" i="2" a="1"/>
  <c r="C453" i="2" s="1"/>
  <c r="C452" i="2" a="1"/>
  <c r="C452" i="2" s="1"/>
  <c r="C451" i="2" a="1"/>
  <c r="C451" i="2" s="1"/>
  <c r="C450" i="2" a="1"/>
  <c r="C450" i="2" s="1"/>
  <c r="C449" i="2" a="1"/>
  <c r="C449" i="2" s="1"/>
  <c r="C448" i="2" a="1"/>
  <c r="C448" i="2" s="1"/>
  <c r="C447" i="2" a="1"/>
  <c r="C447" i="2" s="1"/>
  <c r="C446" i="2" a="1"/>
  <c r="C446" i="2" s="1"/>
  <c r="C445" i="2" a="1"/>
  <c r="C445" i="2" s="1"/>
  <c r="C444" i="2" a="1"/>
  <c r="C444" i="2" s="1"/>
  <c r="C443" i="2" a="1"/>
  <c r="C443" i="2" s="1"/>
  <c r="C442" i="2" a="1"/>
  <c r="C442" i="2" s="1"/>
  <c r="C441" i="2" a="1"/>
  <c r="C441" i="2" s="1"/>
  <c r="C440" i="2" a="1"/>
  <c r="C440" i="2" s="1"/>
  <c r="C439" i="2" a="1"/>
  <c r="C439" i="2" s="1"/>
  <c r="C438" i="2" a="1"/>
  <c r="C438" i="2" s="1"/>
  <c r="C437" i="2" a="1"/>
  <c r="C437" i="2" s="1"/>
  <c r="C436" i="2" a="1"/>
  <c r="C436" i="2" s="1"/>
  <c r="C435" i="2" a="1"/>
  <c r="C435" i="2" s="1"/>
  <c r="C434" i="2" a="1"/>
  <c r="C434" i="2" s="1"/>
  <c r="C433" i="2" a="1"/>
  <c r="C433" i="2" s="1"/>
  <c r="C432" i="2" a="1"/>
  <c r="C432" i="2" s="1"/>
  <c r="C431" i="2" a="1"/>
  <c r="C431" i="2" s="1"/>
  <c r="C430" i="2" a="1"/>
  <c r="C430" i="2" s="1"/>
  <c r="C429" i="2" a="1"/>
  <c r="C429" i="2" s="1"/>
  <c r="C428" i="2" a="1"/>
  <c r="C428" i="2" s="1"/>
  <c r="C427" i="2" a="1"/>
  <c r="C427" i="2" s="1"/>
  <c r="C426" i="2" a="1"/>
  <c r="C426" i="2" s="1"/>
  <c r="C425" i="2" a="1"/>
  <c r="C425" i="2" s="1"/>
  <c r="C424" i="2" a="1"/>
  <c r="C424" i="2" s="1"/>
  <c r="C423" i="2" a="1"/>
  <c r="C423" i="2" s="1"/>
  <c r="C422" i="2" a="1"/>
  <c r="C422" i="2" s="1"/>
  <c r="C421" i="2" a="1"/>
  <c r="C421" i="2" s="1"/>
  <c r="C420" i="2" a="1"/>
  <c r="C420" i="2" s="1"/>
  <c r="C419" i="2" a="1"/>
  <c r="C419" i="2" s="1"/>
  <c r="C418" i="2" a="1"/>
  <c r="C418" i="2" s="1"/>
  <c r="C417" i="2" a="1"/>
  <c r="C417" i="2" s="1"/>
  <c r="C416" i="2" a="1"/>
  <c r="C416" i="2" s="1"/>
  <c r="C415" i="2" a="1"/>
  <c r="C415" i="2" s="1"/>
  <c r="C414" i="2" a="1"/>
  <c r="C414" i="2" s="1"/>
  <c r="C413" i="2" a="1"/>
  <c r="C413" i="2" s="1"/>
  <c r="C412" i="2" a="1"/>
  <c r="C412" i="2" s="1"/>
  <c r="C411" i="2" a="1"/>
  <c r="C411" i="2" s="1"/>
  <c r="C410" i="2" a="1"/>
  <c r="C410" i="2" s="1"/>
  <c r="C409" i="2" a="1"/>
  <c r="C409" i="2" s="1"/>
  <c r="C408" i="2" a="1"/>
  <c r="C408" i="2" s="1"/>
  <c r="C407" i="2" a="1"/>
  <c r="C407" i="2" s="1"/>
  <c r="C406" i="2" a="1"/>
  <c r="C406" i="2" s="1"/>
  <c r="C405" i="2" a="1"/>
  <c r="C405" i="2" s="1"/>
  <c r="C404" i="2" a="1"/>
  <c r="C404" i="2" s="1"/>
  <c r="C403" i="2" a="1"/>
  <c r="C403" i="2" s="1"/>
  <c r="C402" i="2" a="1"/>
  <c r="C402" i="2" s="1"/>
  <c r="C401" i="2" a="1"/>
  <c r="C401" i="2" s="1"/>
  <c r="C400" i="2" a="1"/>
  <c r="C400" i="2" s="1"/>
  <c r="C399" i="2" a="1"/>
  <c r="C399" i="2" s="1"/>
  <c r="C398" i="2" a="1"/>
  <c r="C398" i="2" s="1"/>
  <c r="C397" i="2" a="1"/>
  <c r="C397" i="2" s="1"/>
  <c r="C396" i="2" a="1"/>
  <c r="C396" i="2" s="1"/>
  <c r="C395" i="2" a="1"/>
  <c r="C395" i="2" s="1"/>
  <c r="C394" i="2" a="1"/>
  <c r="C394" i="2" s="1"/>
  <c r="C393" i="2" a="1"/>
  <c r="C393" i="2" s="1"/>
  <c r="C392" i="2" a="1"/>
  <c r="C392" i="2" s="1"/>
  <c r="C391" i="2" a="1"/>
  <c r="C391" i="2" s="1"/>
  <c r="C390" i="2" a="1"/>
  <c r="C390" i="2" s="1"/>
  <c r="C389" i="2" a="1"/>
  <c r="C389" i="2" s="1"/>
  <c r="C388" i="2" a="1"/>
  <c r="C388" i="2" s="1"/>
  <c r="C387" i="2" a="1"/>
  <c r="C387" i="2" s="1"/>
  <c r="C386" i="2" a="1"/>
  <c r="C386" i="2" s="1"/>
  <c r="C385" i="2" a="1"/>
  <c r="C385" i="2" s="1"/>
  <c r="C384" i="2" a="1"/>
  <c r="C384" i="2" s="1"/>
  <c r="C383" i="2" a="1"/>
  <c r="C383" i="2" s="1"/>
  <c r="C382" i="2" a="1"/>
  <c r="C382" i="2" s="1"/>
  <c r="C381" i="2" a="1"/>
  <c r="C381" i="2" s="1"/>
  <c r="C380" i="2" a="1"/>
  <c r="C380" i="2" s="1"/>
  <c r="C379" i="2" a="1"/>
  <c r="C379" i="2" s="1"/>
  <c r="C378" i="2" a="1"/>
  <c r="C378" i="2" s="1"/>
  <c r="C377" i="2" a="1"/>
  <c r="C377" i="2" s="1"/>
  <c r="C376" i="2" a="1"/>
  <c r="C376" i="2" s="1"/>
  <c r="C375" i="2" a="1"/>
  <c r="C375" i="2" s="1"/>
  <c r="C374" i="2" a="1"/>
  <c r="C374" i="2" s="1"/>
  <c r="C373" i="2" a="1"/>
  <c r="C373" i="2" s="1"/>
  <c r="C372" i="2" a="1"/>
  <c r="C372" i="2" s="1"/>
  <c r="C371" i="2" a="1"/>
  <c r="C371" i="2" s="1"/>
  <c r="C370" i="2" a="1"/>
  <c r="C370" i="2" s="1"/>
  <c r="C369" i="2" a="1"/>
  <c r="C369" i="2" s="1"/>
  <c r="C368" i="2" a="1"/>
  <c r="C368" i="2" s="1"/>
  <c r="C367" i="2" a="1"/>
  <c r="C367" i="2" s="1"/>
  <c r="C366" i="2" a="1"/>
  <c r="C366" i="2" s="1"/>
  <c r="C365" i="2" a="1"/>
  <c r="C365" i="2" s="1"/>
  <c r="C364" i="2" a="1"/>
  <c r="C364" i="2" s="1"/>
  <c r="C363" i="2" a="1"/>
  <c r="C363" i="2" s="1"/>
  <c r="C362" i="2" a="1"/>
  <c r="C362" i="2" s="1"/>
  <c r="C361" i="2" a="1"/>
  <c r="C361" i="2" s="1"/>
  <c r="C360" i="2" a="1"/>
  <c r="C360" i="2" s="1"/>
  <c r="C359" i="2" a="1"/>
  <c r="C359" i="2" s="1"/>
  <c r="C358" i="2" a="1"/>
  <c r="C358" i="2" s="1"/>
  <c r="C357" i="2" a="1"/>
  <c r="C357" i="2" s="1"/>
  <c r="C356" i="2" a="1"/>
  <c r="C356" i="2" s="1"/>
  <c r="C355" i="2" a="1"/>
  <c r="C355" i="2" s="1"/>
  <c r="C354" i="2" a="1"/>
  <c r="C354" i="2" s="1"/>
  <c r="C353" i="2" a="1"/>
  <c r="C353" i="2" s="1"/>
  <c r="C352" i="2" a="1"/>
  <c r="C352" i="2" s="1"/>
  <c r="C351" i="2" a="1"/>
  <c r="C351" i="2" s="1"/>
  <c r="C350" i="2" a="1"/>
  <c r="C350" i="2" s="1"/>
  <c r="C349" i="2" a="1"/>
  <c r="C349" i="2" s="1"/>
  <c r="C348" i="2" a="1"/>
  <c r="C348" i="2" s="1"/>
  <c r="C347" i="2" a="1"/>
  <c r="C347" i="2" s="1"/>
  <c r="C346" i="2" a="1"/>
  <c r="C346" i="2" s="1"/>
  <c r="C345" i="2" a="1"/>
  <c r="C345" i="2" s="1"/>
  <c r="C344" i="2" a="1"/>
  <c r="C344" i="2" s="1"/>
  <c r="C343" i="2" a="1"/>
  <c r="C343" i="2" s="1"/>
  <c r="C342" i="2" a="1"/>
  <c r="C342" i="2" s="1"/>
  <c r="C341" i="2" a="1"/>
  <c r="C341" i="2" s="1"/>
  <c r="C340" i="2" a="1"/>
  <c r="C340" i="2" s="1"/>
  <c r="C339" i="2" a="1"/>
  <c r="C339" i="2" s="1"/>
  <c r="C338" i="2" a="1"/>
  <c r="C338" i="2" s="1"/>
  <c r="C337" i="2" a="1"/>
  <c r="C337" i="2" s="1"/>
  <c r="C336" i="2" a="1"/>
  <c r="C336" i="2" s="1"/>
  <c r="C335" i="2" a="1"/>
  <c r="C335" i="2" s="1"/>
  <c r="C334" i="2" a="1"/>
  <c r="C334" i="2" s="1"/>
  <c r="C333" i="2" a="1"/>
  <c r="C333" i="2" s="1"/>
  <c r="C332" i="2" a="1"/>
  <c r="C332" i="2" s="1"/>
  <c r="C331" i="2" a="1"/>
  <c r="C331" i="2" s="1"/>
  <c r="C330" i="2" a="1"/>
  <c r="C330" i="2" s="1"/>
  <c r="C329" i="2" a="1"/>
  <c r="C329" i="2" s="1"/>
  <c r="C328" i="2" a="1"/>
  <c r="C328" i="2" s="1"/>
  <c r="C327" i="2" a="1"/>
  <c r="C327" i="2" s="1"/>
  <c r="C326" i="2" a="1"/>
  <c r="C326" i="2" s="1"/>
  <c r="C325" i="2" a="1"/>
  <c r="C325" i="2" s="1"/>
  <c r="C324" i="2" a="1"/>
  <c r="C324" i="2" s="1"/>
  <c r="C323" i="2" a="1"/>
  <c r="C323" i="2" s="1"/>
  <c r="C322" i="2" a="1"/>
  <c r="C322" i="2" s="1"/>
  <c r="C321" i="2" a="1"/>
  <c r="C321" i="2" s="1"/>
  <c r="C320" i="2" a="1"/>
  <c r="C320" i="2" s="1"/>
  <c r="C319" i="2" a="1"/>
  <c r="C319" i="2" s="1"/>
  <c r="C318" i="2" a="1"/>
  <c r="C318" i="2" s="1"/>
  <c r="C317" i="2" a="1"/>
  <c r="C317" i="2" s="1"/>
  <c r="C316" i="2" a="1"/>
  <c r="C316" i="2" s="1"/>
  <c r="C315" i="2" a="1"/>
  <c r="C315" i="2" s="1"/>
  <c r="C314" i="2" a="1"/>
  <c r="C314" i="2" s="1"/>
  <c r="C313" i="2" a="1"/>
  <c r="C313" i="2" s="1"/>
  <c r="C312" i="2" a="1"/>
  <c r="C312" i="2" s="1"/>
  <c r="C311" i="2" a="1"/>
  <c r="C311" i="2" s="1"/>
  <c r="C310" i="2" a="1"/>
  <c r="C310" i="2" s="1"/>
  <c r="C309" i="2" a="1"/>
  <c r="C309" i="2" s="1"/>
  <c r="C308" i="2" a="1"/>
  <c r="C308" i="2" s="1"/>
  <c r="C307" i="2" a="1"/>
  <c r="C307" i="2" s="1"/>
  <c r="C306" i="2" a="1"/>
  <c r="C306" i="2" s="1"/>
  <c r="C305" i="2" a="1"/>
  <c r="C305" i="2" s="1"/>
  <c r="C304" i="2" a="1"/>
  <c r="C304" i="2" s="1"/>
  <c r="C303" i="2" a="1"/>
  <c r="C303" i="2" s="1"/>
  <c r="C302" i="2" a="1"/>
  <c r="C302" i="2" s="1"/>
  <c r="C301" i="2" a="1"/>
  <c r="C301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C295" i="2" a="1"/>
  <c r="C295" i="2" s="1"/>
  <c r="C294" i="2" a="1"/>
  <c r="C294" i="2" s="1"/>
  <c r="C293" i="2" a="1"/>
  <c r="C293" i="2" s="1"/>
  <c r="C292" i="2" a="1"/>
  <c r="C292" i="2" s="1"/>
  <c r="C291" i="2" a="1"/>
  <c r="C291" i="2" s="1"/>
  <c r="C290" i="2" a="1"/>
  <c r="C290" i="2" s="1"/>
  <c r="C289" i="2" a="1"/>
  <c r="C289" i="2" s="1"/>
  <c r="C288" i="2" a="1"/>
  <c r="C288" i="2" s="1"/>
  <c r="C287" i="2" a="1"/>
  <c r="C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C279" i="2" a="1"/>
  <c r="C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C272" i="2" a="1"/>
  <c r="C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C264" i="2" a="1"/>
  <c r="C264" i="2" s="1"/>
  <c r="C263" i="2" a="1"/>
  <c r="C263" i="2" s="1"/>
  <c r="C262" i="2" a="1"/>
  <c r="C262" i="2" s="1"/>
  <c r="C261" i="2" a="1"/>
  <c r="C261" i="2" s="1"/>
  <c r="C260" i="2" a="1"/>
  <c r="C260" i="2" s="1"/>
  <c r="C259" i="2" a="1"/>
  <c r="C259" i="2" s="1"/>
  <c r="C258" i="2" a="1"/>
  <c r="C258" i="2" s="1"/>
  <c r="C257" i="2" a="1"/>
  <c r="C257" i="2" s="1"/>
  <c r="C256" i="2" a="1"/>
  <c r="C256" i="2" s="1"/>
  <c r="C255" i="2" a="1"/>
  <c r="C255" i="2" s="1"/>
  <c r="C254" i="2" a="1"/>
  <c r="C254" i="2" s="1"/>
  <c r="C253" i="2" a="1"/>
  <c r="C253" i="2" s="1"/>
  <c r="C252" i="2" a="1"/>
  <c r="C252" i="2" s="1"/>
  <c r="C251" i="2" a="1"/>
  <c r="C251" i="2" s="1"/>
  <c r="C250" i="2" a="1"/>
  <c r="C250" i="2" s="1"/>
  <c r="C249" i="2" a="1"/>
  <c r="C249" i="2" s="1"/>
  <c r="C248" i="2" a="1"/>
  <c r="C248" i="2" s="1"/>
  <c r="C247" i="2" a="1"/>
  <c r="C247" i="2" s="1"/>
  <c r="C246" i="2" a="1"/>
  <c r="C246" i="2" s="1"/>
  <c r="C245" i="2" a="1"/>
  <c r="C245" i="2" s="1"/>
  <c r="C244" i="2" a="1"/>
  <c r="C244" i="2" s="1"/>
  <c r="C243" i="2" a="1"/>
  <c r="C243" i="2" s="1"/>
  <c r="C242" i="2" a="1"/>
  <c r="C242" i="2" s="1"/>
  <c r="C241" i="2" a="1"/>
  <c r="C241" i="2" s="1"/>
  <c r="C240" i="2" a="1"/>
  <c r="C240" i="2" s="1"/>
  <c r="C239" i="2" a="1"/>
  <c r="C239" i="2" s="1"/>
  <c r="C238" i="2" a="1"/>
  <c r="C238" i="2" s="1"/>
  <c r="C237" i="2" a="1"/>
  <c r="C237" i="2" s="1"/>
  <c r="C236" i="2" a="1"/>
  <c r="C236" i="2" s="1"/>
  <c r="C235" i="2" a="1"/>
  <c r="C235" i="2" s="1"/>
  <c r="C234" i="2" a="1"/>
  <c r="C234" i="2" s="1"/>
  <c r="C233" i="2" a="1"/>
  <c r="C233" i="2" s="1"/>
  <c r="C232" i="2" a="1"/>
  <c r="C232" i="2" s="1"/>
  <c r="C231" i="2" a="1"/>
  <c r="C231" i="2" s="1"/>
  <c r="C230" i="2" a="1"/>
  <c r="C230" i="2" s="1"/>
  <c r="C229" i="2" a="1"/>
  <c r="C229" i="2" s="1"/>
  <c r="C228" i="2" a="1"/>
  <c r="C228" i="2" s="1"/>
  <c r="C227" i="2" a="1"/>
  <c r="C227" i="2" s="1"/>
  <c r="C226" i="2" a="1"/>
  <c r="C226" i="2" s="1"/>
  <c r="C225" i="2" a="1"/>
  <c r="C225" i="2" s="1"/>
  <c r="C224" i="2" a="1"/>
  <c r="C224" i="2" s="1"/>
  <c r="C223" i="2" a="1"/>
  <c r="C223" i="2" s="1"/>
  <c r="C222" i="2" a="1"/>
  <c r="C222" i="2" s="1"/>
  <c r="C221" i="2" a="1"/>
  <c r="C221" i="2" s="1"/>
  <c r="C220" i="2" a="1"/>
  <c r="C220" i="2" s="1"/>
  <c r="C219" i="2" a="1"/>
  <c r="C219" i="2" s="1"/>
  <c r="C218" i="2" a="1"/>
  <c r="C218" i="2" s="1"/>
  <c r="C217" i="2" a="1"/>
  <c r="C217" i="2" s="1"/>
  <c r="C216" i="2" a="1"/>
  <c r="C216" i="2" s="1"/>
  <c r="C215" i="2" a="1"/>
  <c r="C215" i="2" s="1"/>
  <c r="AE215" i="2" s="1"/>
  <c r="C214" i="2" a="1"/>
  <c r="C214" i="2" s="1"/>
  <c r="C213" i="2" a="1"/>
  <c r="C213" i="2" s="1"/>
  <c r="C212" i="2" a="1"/>
  <c r="C212" i="2" s="1"/>
  <c r="C211" i="2" a="1"/>
  <c r="C211" i="2" s="1"/>
  <c r="C210" i="2" a="1"/>
  <c r="C210" i="2" s="1"/>
  <c r="C209" i="2" a="1"/>
  <c r="C209" i="2" s="1"/>
  <c r="C208" i="2" a="1"/>
  <c r="C208" i="2" s="1"/>
  <c r="C207" i="2" a="1"/>
  <c r="C207" i="2" s="1"/>
  <c r="C206" i="2" a="1"/>
  <c r="C206" i="2" s="1"/>
  <c r="C205" i="2" a="1"/>
  <c r="C205" i="2" s="1"/>
  <c r="C204" i="2" a="1"/>
  <c r="C204" i="2" s="1"/>
  <c r="C203" i="2" a="1"/>
  <c r="C203" i="2" s="1"/>
  <c r="C202" i="2" a="1"/>
  <c r="C202" i="2" s="1"/>
  <c r="C201" i="2" a="1"/>
  <c r="C201" i="2" s="1"/>
  <c r="C200" i="2" a="1"/>
  <c r="C200" i="2" s="1"/>
  <c r="C199" i="2" a="1"/>
  <c r="C199" i="2" s="1"/>
  <c r="C198" i="2" a="1"/>
  <c r="C198" i="2" s="1"/>
  <c r="C197" i="2" a="1"/>
  <c r="C197" i="2" s="1"/>
  <c r="C196" i="2" a="1"/>
  <c r="C196" i="2" s="1"/>
  <c r="C195" i="2" a="1"/>
  <c r="C195" i="2" s="1"/>
  <c r="C194" i="2" a="1"/>
  <c r="C194" i="2" s="1"/>
  <c r="C193" i="2" a="1"/>
  <c r="C193" i="2" s="1"/>
  <c r="C192" i="2" a="1"/>
  <c r="C192" i="2" s="1"/>
  <c r="C191" i="2" a="1"/>
  <c r="C191" i="2" s="1"/>
  <c r="C190" i="2" a="1"/>
  <c r="C190" i="2" s="1"/>
  <c r="C189" i="2" a="1"/>
  <c r="C189" i="2" s="1"/>
  <c r="C188" i="2" a="1"/>
  <c r="C188" i="2" s="1"/>
  <c r="C187" i="2" a="1"/>
  <c r="C187" i="2" s="1"/>
  <c r="C186" i="2" a="1"/>
  <c r="C186" i="2" s="1"/>
  <c r="C185" i="2" a="1"/>
  <c r="C185" i="2" s="1"/>
  <c r="C184" i="2" a="1"/>
  <c r="C184" i="2" s="1"/>
  <c r="C183" i="2" a="1"/>
  <c r="C183" i="2" s="1"/>
  <c r="C182" i="2" a="1"/>
  <c r="C182" i="2" s="1"/>
  <c r="C181" i="2" a="1"/>
  <c r="C181" i="2" s="1"/>
  <c r="C180" i="2" a="1"/>
  <c r="C180" i="2" s="1"/>
  <c r="C179" i="2" a="1"/>
  <c r="C179" i="2" s="1"/>
  <c r="C178" i="2" a="1"/>
  <c r="C178" i="2" s="1"/>
  <c r="C177" i="2" a="1"/>
  <c r="C177" i="2" s="1"/>
  <c r="C176" i="2" a="1"/>
  <c r="C176" i="2" s="1"/>
  <c r="C175" i="2" a="1"/>
  <c r="C175" i="2" s="1"/>
  <c r="C174" i="2" a="1"/>
  <c r="C174" i="2" s="1"/>
  <c r="C173" i="2" a="1"/>
  <c r="C173" i="2" s="1"/>
  <c r="C172" i="2" a="1"/>
  <c r="C172" i="2" s="1"/>
  <c r="C171" i="2" a="1"/>
  <c r="C171" i="2" s="1"/>
  <c r="C170" i="2" a="1"/>
  <c r="C170" i="2" s="1"/>
  <c r="U170" i="2" s="1"/>
  <c r="C169" i="2" a="1"/>
  <c r="C169" i="2" s="1"/>
  <c r="C168" i="2" a="1"/>
  <c r="C168" i="2" s="1"/>
  <c r="C167" i="2" a="1"/>
  <c r="C167" i="2" s="1"/>
  <c r="AA167" i="2" s="1"/>
  <c r="C166" i="2" a="1"/>
  <c r="C166" i="2" s="1"/>
  <c r="C165" i="2" a="1"/>
  <c r="C165" i="2" s="1"/>
  <c r="C164" i="2" a="1"/>
  <c r="C164" i="2" s="1"/>
  <c r="C163" i="2" a="1"/>
  <c r="C163" i="2" s="1"/>
  <c r="C162" i="2" a="1"/>
  <c r="C162" i="2" s="1"/>
  <c r="C161" i="2" a="1"/>
  <c r="C161" i="2" s="1"/>
  <c r="C160" i="2" a="1"/>
  <c r="C160" i="2" s="1"/>
  <c r="C159" i="2" a="1"/>
  <c r="C159" i="2" s="1"/>
  <c r="H159" i="2" s="1"/>
  <c r="C158" i="2" a="1"/>
  <c r="C158" i="2" s="1"/>
  <c r="C157" i="2" a="1"/>
  <c r="C157" i="2" s="1"/>
  <c r="C156" i="2" a="1"/>
  <c r="C156" i="2" s="1"/>
  <c r="C155" i="2" a="1"/>
  <c r="C155" i="2" s="1"/>
  <c r="C154" i="2" a="1"/>
  <c r="C154" i="2" s="1"/>
  <c r="C153" i="2" a="1"/>
  <c r="C153" i="2" s="1"/>
  <c r="C152" i="2" a="1"/>
  <c r="C152" i="2" s="1"/>
  <c r="C151" i="2" a="1"/>
  <c r="C151" i="2" s="1"/>
  <c r="AI151" i="2" s="1"/>
  <c r="C150" i="2" a="1"/>
  <c r="C150" i="2" s="1"/>
  <c r="C149" i="2" a="1"/>
  <c r="C149" i="2" s="1"/>
  <c r="C148" i="2" a="1"/>
  <c r="C148" i="2" s="1"/>
  <c r="C147" i="2" a="1"/>
  <c r="C147" i="2" s="1"/>
  <c r="C146" i="2" a="1"/>
  <c r="C146" i="2" s="1"/>
  <c r="C145" i="2" a="1"/>
  <c r="C145" i="2" s="1"/>
  <c r="C144" i="2" a="1"/>
  <c r="C144" i="2" s="1"/>
  <c r="C143" i="2" a="1"/>
  <c r="C143" i="2" s="1"/>
  <c r="Q143" i="2" s="1"/>
  <c r="C142" i="2" a="1"/>
  <c r="C142" i="2" s="1"/>
  <c r="C141" i="2" a="1"/>
  <c r="C141" i="2" s="1"/>
  <c r="C140" i="2" a="1"/>
  <c r="C140" i="2" s="1"/>
  <c r="C139" i="2" a="1"/>
  <c r="C139" i="2" s="1"/>
  <c r="C138" i="2" a="1"/>
  <c r="C138" i="2" s="1"/>
  <c r="C137" i="2" a="1"/>
  <c r="C137" i="2" s="1"/>
  <c r="C136" i="2" a="1"/>
  <c r="C136" i="2" s="1"/>
  <c r="AI136" i="2" s="1"/>
  <c r="C135" i="2" a="1"/>
  <c r="C135" i="2" s="1"/>
  <c r="AI135" i="2" s="1"/>
  <c r="C134" i="2" a="1"/>
  <c r="C134" i="2" s="1"/>
  <c r="C133" i="2" a="1"/>
  <c r="C133" i="2" s="1"/>
  <c r="C132" i="2" a="1"/>
  <c r="C132" i="2" s="1"/>
  <c r="C131" i="2" a="1"/>
  <c r="C131" i="2" s="1"/>
  <c r="C130" i="2" a="1"/>
  <c r="C130" i="2" s="1"/>
  <c r="C129" i="2" a="1"/>
  <c r="C129" i="2" s="1"/>
  <c r="C128" i="2" a="1"/>
  <c r="C128" i="2" s="1"/>
  <c r="C127" i="2" a="1"/>
  <c r="C127" i="2" s="1"/>
  <c r="C126" i="2" a="1"/>
  <c r="C126" i="2" s="1"/>
  <c r="C125" i="2" a="1"/>
  <c r="C125" i="2" s="1"/>
  <c r="C124" i="2" a="1"/>
  <c r="C124" i="2" s="1"/>
  <c r="C123" i="2" a="1"/>
  <c r="C123" i="2" s="1"/>
  <c r="C122" i="2" a="1"/>
  <c r="C122" i="2" s="1"/>
  <c r="C121" i="2" a="1"/>
  <c r="C121" i="2" s="1"/>
  <c r="C120" i="2" a="1"/>
  <c r="C120" i="2" s="1"/>
  <c r="C119" i="2" a="1"/>
  <c r="C119" i="2" s="1"/>
  <c r="W119" i="2" s="1"/>
  <c r="C118" i="2" a="1"/>
  <c r="C118" i="2" s="1"/>
  <c r="C117" i="2" a="1"/>
  <c r="C117" i="2" s="1"/>
  <c r="S117" i="2" s="1"/>
  <c r="C116" i="2" a="1"/>
  <c r="C116" i="2" s="1"/>
  <c r="Y116" i="2" s="1"/>
  <c r="C115" i="2" a="1"/>
  <c r="C115" i="2" s="1"/>
  <c r="C114" i="2" a="1"/>
  <c r="C114" i="2" s="1"/>
  <c r="U114" i="2" s="1"/>
  <c r="C113" i="2" a="1"/>
  <c r="C113" i="2" s="1"/>
  <c r="AA113" i="2" s="1"/>
  <c r="C112" i="2" a="1"/>
  <c r="C112" i="2" s="1"/>
  <c r="C111" i="2" a="1"/>
  <c r="C111" i="2" s="1"/>
  <c r="W111" i="2" s="1"/>
  <c r="C110" i="2" a="1"/>
  <c r="C110" i="2" s="1"/>
  <c r="AC110" i="2" s="1"/>
  <c r="C109" i="2" a="1"/>
  <c r="C109" i="2" s="1"/>
  <c r="C108" i="2" a="1"/>
  <c r="C108" i="2" s="1"/>
  <c r="AB108" i="2" s="1"/>
  <c r="C107" i="2" a="1"/>
  <c r="C107" i="2" s="1"/>
  <c r="R107" i="2" s="1"/>
  <c r="C106" i="2" a="1"/>
  <c r="C106" i="2" s="1"/>
  <c r="C105" i="2" a="1"/>
  <c r="C105" i="2" s="1"/>
  <c r="C104" i="2" a="1"/>
  <c r="C104" i="2" s="1"/>
  <c r="Y104" i="2" s="1"/>
  <c r="C103" i="2" a="1"/>
  <c r="C103" i="2" s="1"/>
  <c r="AH103" i="2" s="1"/>
  <c r="C102" i="2" a="1"/>
  <c r="C102" i="2" s="1"/>
  <c r="U102" i="2" s="1"/>
  <c r="C101" i="2" a="1"/>
  <c r="C101" i="2" s="1"/>
  <c r="AI101" i="2" s="1"/>
  <c r="C100" i="2" a="1"/>
  <c r="C100" i="2" s="1"/>
  <c r="C99" i="2" a="1"/>
  <c r="C99" i="2" s="1"/>
  <c r="Z99" i="2" s="1"/>
  <c r="C98" i="2" a="1"/>
  <c r="C98" i="2" s="1"/>
  <c r="AH98" i="2" s="1"/>
  <c r="C97" i="2" a="1"/>
  <c r="C97" i="2" s="1"/>
  <c r="AA97" i="2" s="1"/>
  <c r="C96" i="2" a="1"/>
  <c r="C96" i="2" s="1"/>
  <c r="AC96" i="2" s="1"/>
  <c r="C95" i="2" a="1"/>
  <c r="C95" i="2" s="1"/>
  <c r="AG95" i="2" s="1"/>
  <c r="C94" i="2" a="1"/>
  <c r="C94" i="2" s="1"/>
  <c r="AF94" i="2" s="1"/>
  <c r="C93" i="2" a="1"/>
  <c r="C93" i="2" s="1"/>
  <c r="AD93" i="2" s="1"/>
  <c r="C92" i="2" a="1"/>
  <c r="C92" i="2" s="1"/>
  <c r="AG92" i="2" s="1"/>
  <c r="C91" i="2" a="1"/>
  <c r="C91" i="2" s="1"/>
  <c r="Z91" i="2" s="1"/>
  <c r="C90" i="2" a="1"/>
  <c r="C90" i="2" s="1"/>
  <c r="AF90" i="2" s="1"/>
  <c r="C89" i="2" a="1"/>
  <c r="C89" i="2" s="1"/>
  <c r="C88" i="2" a="1"/>
  <c r="C88" i="2" s="1"/>
  <c r="C87" i="2" a="1"/>
  <c r="C87" i="2" s="1"/>
  <c r="AE87" i="2" s="1"/>
  <c r="C86" i="2" a="1"/>
  <c r="C86" i="2" s="1"/>
  <c r="AF86" i="2" s="1"/>
  <c r="C85" i="2" a="1"/>
  <c r="C85" i="2" s="1"/>
  <c r="AD85" i="2" s="1"/>
  <c r="C84" i="2" a="1"/>
  <c r="C84" i="2" s="1"/>
  <c r="AG84" i="2" s="1"/>
  <c r="C83" i="2" a="1"/>
  <c r="C83" i="2" s="1"/>
  <c r="Z83" i="2" s="1"/>
  <c r="C82" i="2" a="1"/>
  <c r="C82" i="2" s="1"/>
  <c r="AF82" i="2" s="1"/>
  <c r="C81" i="2" a="1"/>
  <c r="C81" i="2" s="1"/>
  <c r="C80" i="2" a="1"/>
  <c r="C80" i="2" s="1"/>
  <c r="C79" i="2" a="1"/>
  <c r="C79" i="2" s="1"/>
  <c r="AE79" i="2" s="1"/>
  <c r="C78" i="2" a="1"/>
  <c r="C78" i="2" s="1"/>
  <c r="AF78" i="2" s="1"/>
  <c r="C77" i="2" a="1"/>
  <c r="C77" i="2" s="1"/>
  <c r="AD77" i="2" s="1"/>
  <c r="C76" i="2" a="1"/>
  <c r="C76" i="2" s="1"/>
  <c r="AG76" i="2" s="1"/>
  <c r="C75" i="2" a="1"/>
  <c r="C75" i="2" s="1"/>
  <c r="Z75" i="2" s="1"/>
  <c r="C74" i="2" a="1"/>
  <c r="C74" i="2" s="1"/>
  <c r="AF74" i="2" s="1"/>
  <c r="C73" i="2" a="1"/>
  <c r="C73" i="2" s="1"/>
  <c r="C72" i="2" a="1"/>
  <c r="C72" i="2" s="1"/>
  <c r="C71" i="2" a="1"/>
  <c r="C71" i="2" s="1"/>
  <c r="AE71" i="2" s="1"/>
  <c r="C70" i="2" a="1"/>
  <c r="C70" i="2" s="1"/>
  <c r="AF70" i="2" s="1"/>
  <c r="C69" i="2" a="1"/>
  <c r="C69" i="2" s="1"/>
  <c r="AD69" i="2" s="1"/>
  <c r="C68" i="2" a="1"/>
  <c r="C68" i="2" s="1"/>
  <c r="AG68" i="2" s="1"/>
  <c r="C67" i="2" a="1"/>
  <c r="C67" i="2" s="1"/>
  <c r="Z67" i="2" s="1"/>
  <c r="C66" i="2" a="1"/>
  <c r="C66" i="2" s="1"/>
  <c r="AF66" i="2" s="1"/>
  <c r="C65" i="2" a="1"/>
  <c r="C65" i="2" s="1"/>
  <c r="T65" i="2" s="1"/>
  <c r="C64" i="2" a="1"/>
  <c r="C64" i="2" s="1"/>
  <c r="AB64" i="2" s="1"/>
  <c r="C63" i="2" a="1"/>
  <c r="C63" i="2" s="1"/>
  <c r="AE63" i="2" s="1"/>
  <c r="C62" i="2" a="1"/>
  <c r="C62" i="2" s="1"/>
  <c r="AF62" i="2" s="1"/>
  <c r="C61" i="2" a="1"/>
  <c r="C61" i="2" s="1"/>
  <c r="AD61" i="2" s="1"/>
  <c r="C60" i="2" a="1"/>
  <c r="C60" i="2" s="1"/>
  <c r="AG60" i="2" s="1"/>
  <c r="C59" i="2" a="1"/>
  <c r="C59" i="2" s="1"/>
  <c r="Z59" i="2" s="1"/>
  <c r="C58" i="2" a="1"/>
  <c r="C58" i="2" s="1"/>
  <c r="AF58" i="2" s="1"/>
  <c r="C57" i="2" a="1"/>
  <c r="C57" i="2" s="1"/>
  <c r="T57" i="2" s="1"/>
  <c r="C56" i="2" a="1"/>
  <c r="C56" i="2" s="1"/>
  <c r="AB56" i="2" s="1"/>
  <c r="C55" i="2" a="1"/>
  <c r="C55" i="2" s="1"/>
  <c r="AI55" i="2" s="1"/>
  <c r="C54" i="2" a="1"/>
  <c r="C54" i="2" s="1"/>
  <c r="AC54" i="2" s="1"/>
  <c r="C53" i="2" a="1"/>
  <c r="C53" i="2" s="1"/>
  <c r="AE53" i="2" s="1"/>
  <c r="C52" i="2" a="1"/>
  <c r="C52" i="2" s="1"/>
  <c r="AG52" i="2" s="1"/>
  <c r="C51" i="2" a="1"/>
  <c r="C51" i="2" s="1"/>
  <c r="AH51" i="2" s="1"/>
  <c r="C50" i="2" a="1"/>
  <c r="C50" i="2" s="1"/>
  <c r="AI50" i="2" s="1"/>
  <c r="C49" i="2" a="1"/>
  <c r="C49" i="2" s="1"/>
  <c r="AC49" i="2" s="1"/>
  <c r="C48" i="2" a="1"/>
  <c r="C48" i="2" s="1"/>
  <c r="AE48" i="2" s="1"/>
  <c r="C47" i="2" a="1"/>
  <c r="C47" i="2" s="1"/>
  <c r="AG47" i="2" s="1"/>
  <c r="C46" i="2" a="1"/>
  <c r="C46" i="2" s="1"/>
  <c r="J46" i="2" s="1"/>
  <c r="C45" i="2" a="1"/>
  <c r="C45" i="2" s="1"/>
  <c r="AG45" i="2" s="1"/>
  <c r="C44" i="2" a="1"/>
  <c r="C44" i="2" s="1"/>
  <c r="AG44" i="2" s="1"/>
  <c r="C43" i="2" a="1"/>
  <c r="C43" i="2" s="1"/>
  <c r="C42" i="2" a="1"/>
  <c r="C42" i="2" s="1"/>
  <c r="T42" i="2" s="1"/>
  <c r="C41" i="2" a="1"/>
  <c r="C41" i="2" s="1"/>
  <c r="C40" i="2" a="1"/>
  <c r="C40" i="2" s="1"/>
  <c r="AB40" i="2" s="1"/>
  <c r="C39" i="2" a="1"/>
  <c r="C39" i="2" s="1"/>
  <c r="C38" i="2" a="1"/>
  <c r="C38" i="2" s="1"/>
  <c r="AD38" i="2" s="1"/>
  <c r="C37" i="2" a="1"/>
  <c r="C37" i="2" s="1"/>
  <c r="AE37" i="2" s="1"/>
  <c r="C36" i="2" a="1"/>
  <c r="C36" i="2" s="1"/>
  <c r="AC36" i="2" s="1"/>
  <c r="C35" i="2" a="1"/>
  <c r="C35" i="2" s="1"/>
  <c r="AI35" i="2" s="1"/>
  <c r="C34" i="2" a="1"/>
  <c r="C34" i="2" s="1"/>
  <c r="AB34" i="2" s="1"/>
  <c r="C33" i="2" a="1"/>
  <c r="C33" i="2" s="1"/>
  <c r="AH33" i="2" s="1"/>
  <c r="C32" i="2" a="1"/>
  <c r="C32" i="2" s="1"/>
  <c r="AH32" i="2" s="1"/>
  <c r="C31" i="2" a="1"/>
  <c r="C31" i="2" s="1"/>
  <c r="AH31" i="2" s="1"/>
  <c r="C30" i="2" a="1"/>
  <c r="C30" i="2" s="1"/>
  <c r="AI30" i="2" s="1"/>
  <c r="C29" i="2" a="1"/>
  <c r="C29" i="2" s="1"/>
  <c r="AH29" i="2" s="1"/>
  <c r="C28" i="2" a="1"/>
  <c r="C28" i="2" s="1"/>
  <c r="AE28" i="2" s="1"/>
  <c r="C27" i="2" a="1"/>
  <c r="C27" i="2" s="1"/>
  <c r="AI27" i="2" s="1"/>
  <c r="C26" i="2" a="1"/>
  <c r="C26" i="2" s="1"/>
  <c r="AE26" i="2" s="1"/>
  <c r="C25" i="2" a="1"/>
  <c r="C25" i="2" s="1"/>
  <c r="J25" i="2" s="1"/>
  <c r="C24" i="2" a="1"/>
  <c r="C24" i="2" s="1"/>
  <c r="AC24" i="2" s="1"/>
  <c r="C23" i="2" a="1"/>
  <c r="C23" i="2" s="1"/>
  <c r="AF23" i="2" s="1"/>
  <c r="C22" i="2" a="1"/>
  <c r="C22" i="2" s="1"/>
  <c r="AB22" i="2" s="1"/>
  <c r="C21" i="2" a="1"/>
  <c r="C21" i="2" s="1"/>
  <c r="J21" i="2" s="1"/>
  <c r="C20" i="2" a="1"/>
  <c r="C20" i="2" s="1"/>
  <c r="AE20" i="2" s="1"/>
  <c r="C19" i="2" a="1"/>
  <c r="C19" i="2" s="1"/>
  <c r="AI19" i="2" s="1"/>
  <c r="C17" i="2" a="1"/>
  <c r="C17" i="2" s="1"/>
  <c r="AI17" i="2" s="1"/>
  <c r="C16" i="2" a="1"/>
  <c r="C16" i="2" s="1"/>
  <c r="AB16" i="2" s="1"/>
  <c r="C15" i="2" a="1"/>
  <c r="C15" i="2" s="1"/>
  <c r="AE15" i="2" s="1"/>
  <c r="C14" i="2" a="1"/>
  <c r="C14" i="2" s="1"/>
  <c r="AB14" i="2" s="1"/>
  <c r="C13" i="2" a="1"/>
  <c r="C13" i="2" s="1"/>
  <c r="AC13" i="2" s="1"/>
  <c r="C12" i="2" a="1"/>
  <c r="C12" i="2" s="1"/>
  <c r="AD12" i="2" s="1"/>
  <c r="C11" i="2" a="1"/>
  <c r="C11" i="2" s="1"/>
  <c r="AF11" i="2" s="1"/>
  <c r="C10" i="2" a="1"/>
  <c r="C10" i="2" s="1"/>
  <c r="AI10" i="2" s="1"/>
  <c r="C9" i="2" a="1"/>
  <c r="C9" i="2" s="1"/>
  <c r="AI9" i="2" s="1"/>
  <c r="C8" i="2" a="1"/>
  <c r="C8" i="2" s="1"/>
  <c r="AB8" i="2" s="1"/>
  <c r="C7" i="2" a="1"/>
  <c r="C7" i="2" s="1"/>
  <c r="AE7" i="2" s="1"/>
  <c r="C6" i="2" a="1"/>
  <c r="C6" i="2" s="1"/>
  <c r="AF6" i="2" s="1"/>
  <c r="C5" i="2" a="1"/>
  <c r="C5" i="2" s="1"/>
  <c r="AC5" i="2" s="1"/>
  <c r="C18" i="2" a="1"/>
  <c r="C18" i="2" s="1"/>
  <c r="AE18" i="2" s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B41" i="1"/>
  <c r="I20" i="2"/>
  <c r="I21" i="2"/>
  <c r="I22" i="2"/>
  <c r="I23" i="2"/>
  <c r="I24" i="2"/>
  <c r="I25" i="2"/>
  <c r="I26" i="2"/>
  <c r="I27" i="2"/>
  <c r="I28" i="2"/>
  <c r="I11" i="2"/>
  <c r="I12" i="2"/>
  <c r="I13" i="2"/>
  <c r="I14" i="2"/>
  <c r="I15" i="2"/>
  <c r="I16" i="2"/>
  <c r="I17" i="2"/>
  <c r="I18" i="2"/>
  <c r="I19" i="2"/>
  <c r="I10" i="2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D76" i="2" l="1"/>
  <c r="T93" i="2"/>
  <c r="T76" i="2"/>
  <c r="AB92" i="2"/>
  <c r="X98" i="2"/>
  <c r="P67" i="2"/>
  <c r="R71" i="2"/>
  <c r="G92" i="2"/>
  <c r="AD70" i="2"/>
  <c r="G76" i="2"/>
  <c r="Z92" i="2"/>
  <c r="AB84" i="2"/>
  <c r="D87" i="2"/>
  <c r="R68" i="2"/>
  <c r="AH84" i="2"/>
  <c r="AD90" i="2"/>
  <c r="AE111" i="2"/>
  <c r="AB68" i="2"/>
  <c r="AD62" i="2"/>
  <c r="AH63" i="2"/>
  <c r="P71" i="2"/>
  <c r="D79" i="2"/>
  <c r="AH87" i="2"/>
  <c r="J111" i="2"/>
  <c r="V66" i="2"/>
  <c r="T68" i="2"/>
  <c r="X71" i="2"/>
  <c r="P79" i="2"/>
  <c r="D84" i="2"/>
  <c r="AH92" i="2"/>
  <c r="D95" i="2"/>
  <c r="P63" i="2"/>
  <c r="AD66" i="2"/>
  <c r="Z68" i="2"/>
  <c r="T69" i="2"/>
  <c r="Z71" i="2"/>
  <c r="P75" i="2"/>
  <c r="R76" i="2"/>
  <c r="AD78" i="2"/>
  <c r="R79" i="2"/>
  <c r="G84" i="2"/>
  <c r="P87" i="2"/>
  <c r="D92" i="2"/>
  <c r="W97" i="2"/>
  <c r="D103" i="2"/>
  <c r="R63" i="2"/>
  <c r="AF71" i="2"/>
  <c r="X79" i="2"/>
  <c r="R87" i="2"/>
  <c r="R95" i="2"/>
  <c r="J119" i="2"/>
  <c r="X63" i="2"/>
  <c r="AH68" i="2"/>
  <c r="AH71" i="2"/>
  <c r="AD74" i="2"/>
  <c r="Z76" i="2"/>
  <c r="T77" i="2"/>
  <c r="Z79" i="2"/>
  <c r="P83" i="2"/>
  <c r="R84" i="2"/>
  <c r="X87" i="2"/>
  <c r="T95" i="2"/>
  <c r="AE103" i="2"/>
  <c r="Y135" i="2"/>
  <c r="T61" i="2"/>
  <c r="Z63" i="2"/>
  <c r="D68" i="2"/>
  <c r="D71" i="2"/>
  <c r="AB76" i="2"/>
  <c r="AF79" i="2"/>
  <c r="T84" i="2"/>
  <c r="Z87" i="2"/>
  <c r="P91" i="2"/>
  <c r="R92" i="2"/>
  <c r="AB95" i="2"/>
  <c r="AF63" i="2"/>
  <c r="G68" i="2"/>
  <c r="AH76" i="2"/>
  <c r="AH79" i="2"/>
  <c r="AD82" i="2"/>
  <c r="Z84" i="2"/>
  <c r="T85" i="2"/>
  <c r="AF87" i="2"/>
  <c r="T92" i="2"/>
  <c r="AE95" i="2"/>
  <c r="AD143" i="2"/>
  <c r="R60" i="2"/>
  <c r="T60" i="2"/>
  <c r="Z60" i="2"/>
  <c r="AB60" i="2"/>
  <c r="AH60" i="2"/>
  <c r="G60" i="2"/>
  <c r="P59" i="2"/>
  <c r="V58" i="2"/>
  <c r="AD58" i="2"/>
  <c r="AG56" i="2"/>
  <c r="Y56" i="2"/>
  <c r="Q56" i="2"/>
  <c r="AF56" i="2"/>
  <c r="X56" i="2"/>
  <c r="P56" i="2"/>
  <c r="AE56" i="2"/>
  <c r="W56" i="2"/>
  <c r="J56" i="2"/>
  <c r="AD56" i="2"/>
  <c r="V56" i="2"/>
  <c r="AC56" i="2"/>
  <c r="U56" i="2"/>
  <c r="H56" i="2"/>
  <c r="AI56" i="2"/>
  <c r="AA56" i="2"/>
  <c r="S56" i="2"/>
  <c r="AG64" i="2"/>
  <c r="Y64" i="2"/>
  <c r="Q64" i="2"/>
  <c r="AF64" i="2"/>
  <c r="X64" i="2"/>
  <c r="P64" i="2"/>
  <c r="AE64" i="2"/>
  <c r="W64" i="2"/>
  <c r="J64" i="2"/>
  <c r="AD64" i="2"/>
  <c r="V64" i="2"/>
  <c r="AC64" i="2"/>
  <c r="U64" i="2"/>
  <c r="H64" i="2"/>
  <c r="AI64" i="2"/>
  <c r="AA64" i="2"/>
  <c r="S64" i="2"/>
  <c r="AG72" i="2"/>
  <c r="Y72" i="2"/>
  <c r="Q72" i="2"/>
  <c r="AF72" i="2"/>
  <c r="X72" i="2"/>
  <c r="P72" i="2"/>
  <c r="AE72" i="2"/>
  <c r="W72" i="2"/>
  <c r="J72" i="2"/>
  <c r="AD72" i="2"/>
  <c r="V72" i="2"/>
  <c r="AC72" i="2"/>
  <c r="U72" i="2"/>
  <c r="H72" i="2"/>
  <c r="AI72" i="2"/>
  <c r="AA72" i="2"/>
  <c r="S72" i="2"/>
  <c r="E72" i="2"/>
  <c r="AG80" i="2"/>
  <c r="Y80" i="2"/>
  <c r="Q80" i="2"/>
  <c r="AF80" i="2"/>
  <c r="X80" i="2"/>
  <c r="P80" i="2"/>
  <c r="AE80" i="2"/>
  <c r="W80" i="2"/>
  <c r="J80" i="2"/>
  <c r="AD80" i="2"/>
  <c r="V80" i="2"/>
  <c r="AC80" i="2"/>
  <c r="U80" i="2"/>
  <c r="H80" i="2"/>
  <c r="AI80" i="2"/>
  <c r="AA80" i="2"/>
  <c r="S80" i="2"/>
  <c r="E80" i="2"/>
  <c r="AG88" i="2"/>
  <c r="Y88" i="2"/>
  <c r="Q88" i="2"/>
  <c r="AF88" i="2"/>
  <c r="X88" i="2"/>
  <c r="P88" i="2"/>
  <c r="AE88" i="2"/>
  <c r="W88" i="2"/>
  <c r="J88" i="2"/>
  <c r="AD88" i="2"/>
  <c r="V88" i="2"/>
  <c r="AC88" i="2"/>
  <c r="U88" i="2"/>
  <c r="H88" i="2"/>
  <c r="AI88" i="2"/>
  <c r="AA88" i="2"/>
  <c r="S88" i="2"/>
  <c r="E88" i="2"/>
  <c r="AE96" i="2"/>
  <c r="W96" i="2"/>
  <c r="J96" i="2"/>
  <c r="AH96" i="2"/>
  <c r="Z96" i="2"/>
  <c r="R96" i="2"/>
  <c r="D96" i="2"/>
  <c r="AB96" i="2"/>
  <c r="Q96" i="2"/>
  <c r="AA96" i="2"/>
  <c r="P96" i="2"/>
  <c r="Y96" i="2"/>
  <c r="AI96" i="2"/>
  <c r="X96" i="2"/>
  <c r="H96" i="2"/>
  <c r="AG96" i="2"/>
  <c r="V96" i="2"/>
  <c r="G96" i="2"/>
  <c r="AD96" i="2"/>
  <c r="T96" i="2"/>
  <c r="AE104" i="2"/>
  <c r="W104" i="2"/>
  <c r="J104" i="2"/>
  <c r="AD104" i="2"/>
  <c r="V104" i="2"/>
  <c r="AC104" i="2"/>
  <c r="U104" i="2"/>
  <c r="H104" i="2"/>
  <c r="AI104" i="2"/>
  <c r="AA104" i="2"/>
  <c r="S104" i="2"/>
  <c r="E104" i="2"/>
  <c r="AH104" i="2"/>
  <c r="Z104" i="2"/>
  <c r="R104" i="2"/>
  <c r="D104" i="2"/>
  <c r="AF104" i="2"/>
  <c r="X104" i="2"/>
  <c r="P104" i="2"/>
  <c r="G104" i="2"/>
  <c r="AG104" i="2"/>
  <c r="AB104" i="2"/>
  <c r="T104" i="2"/>
  <c r="AE112" i="2"/>
  <c r="W112" i="2"/>
  <c r="J112" i="2"/>
  <c r="AD112" i="2"/>
  <c r="V112" i="2"/>
  <c r="AC112" i="2"/>
  <c r="U112" i="2"/>
  <c r="H112" i="2"/>
  <c r="AB112" i="2"/>
  <c r="T112" i="2"/>
  <c r="G112" i="2"/>
  <c r="AI112" i="2"/>
  <c r="AA112" i="2"/>
  <c r="S112" i="2"/>
  <c r="E112" i="2"/>
  <c r="AH112" i="2"/>
  <c r="Z112" i="2"/>
  <c r="R112" i="2"/>
  <c r="D112" i="2"/>
  <c r="AF112" i="2"/>
  <c r="X112" i="2"/>
  <c r="P112" i="2"/>
  <c r="Y112" i="2"/>
  <c r="AE120" i="2"/>
  <c r="W120" i="2"/>
  <c r="J120" i="2"/>
  <c r="AD120" i="2"/>
  <c r="V120" i="2"/>
  <c r="AC120" i="2"/>
  <c r="U120" i="2"/>
  <c r="H120" i="2"/>
  <c r="AB120" i="2"/>
  <c r="T120" i="2"/>
  <c r="G120" i="2"/>
  <c r="AI120" i="2"/>
  <c r="AA120" i="2"/>
  <c r="S120" i="2"/>
  <c r="E120" i="2"/>
  <c r="AH120" i="2"/>
  <c r="Z120" i="2"/>
  <c r="R120" i="2"/>
  <c r="D120" i="2"/>
  <c r="AF120" i="2"/>
  <c r="X120" i="2"/>
  <c r="P120" i="2"/>
  <c r="AG120" i="2"/>
  <c r="Y120" i="2"/>
  <c r="AE128" i="2"/>
  <c r="W128" i="2"/>
  <c r="J128" i="2"/>
  <c r="AD128" i="2"/>
  <c r="V128" i="2"/>
  <c r="AC128" i="2"/>
  <c r="U128" i="2"/>
  <c r="H128" i="2"/>
  <c r="AB128" i="2"/>
  <c r="T128" i="2"/>
  <c r="G128" i="2"/>
  <c r="AI128" i="2"/>
  <c r="AA128" i="2"/>
  <c r="S128" i="2"/>
  <c r="E128" i="2"/>
  <c r="AH128" i="2"/>
  <c r="Z128" i="2"/>
  <c r="R128" i="2"/>
  <c r="D128" i="2"/>
  <c r="AF128" i="2"/>
  <c r="X128" i="2"/>
  <c r="P128" i="2"/>
  <c r="AG128" i="2"/>
  <c r="Y128" i="2"/>
  <c r="Q128" i="2"/>
  <c r="AD136" i="2"/>
  <c r="V136" i="2"/>
  <c r="AH136" i="2"/>
  <c r="Z136" i="2"/>
  <c r="R136" i="2"/>
  <c r="D136" i="2"/>
  <c r="AF136" i="2"/>
  <c r="U136" i="2"/>
  <c r="G136" i="2"/>
  <c r="AE136" i="2"/>
  <c r="T136" i="2"/>
  <c r="E136" i="2"/>
  <c r="AC136" i="2"/>
  <c r="S136" i="2"/>
  <c r="AB136" i="2"/>
  <c r="Q136" i="2"/>
  <c r="AA136" i="2"/>
  <c r="P136" i="2"/>
  <c r="Y136" i="2"/>
  <c r="J136" i="2"/>
  <c r="AG136" i="2"/>
  <c r="W136" i="2"/>
  <c r="H136" i="2"/>
  <c r="X136" i="2"/>
  <c r="AD144" i="2"/>
  <c r="V144" i="2"/>
  <c r="AB144" i="2"/>
  <c r="T144" i="2"/>
  <c r="G144" i="2"/>
  <c r="AH144" i="2"/>
  <c r="Z144" i="2"/>
  <c r="R144" i="2"/>
  <c r="D144" i="2"/>
  <c r="AG144" i="2"/>
  <c r="Y144" i="2"/>
  <c r="Q144" i="2"/>
  <c r="U144" i="2"/>
  <c r="AI144" i="2"/>
  <c r="S144" i="2"/>
  <c r="AF144" i="2"/>
  <c r="P144" i="2"/>
  <c r="AE144" i="2"/>
  <c r="J144" i="2"/>
  <c r="AC144" i="2"/>
  <c r="AA144" i="2"/>
  <c r="H144" i="2"/>
  <c r="W144" i="2"/>
  <c r="E144" i="2"/>
  <c r="X144" i="2"/>
  <c r="AD152" i="2"/>
  <c r="V152" i="2"/>
  <c r="AB152" i="2"/>
  <c r="T152" i="2"/>
  <c r="G152" i="2"/>
  <c r="AH152" i="2"/>
  <c r="Z152" i="2"/>
  <c r="R152" i="2"/>
  <c r="D152" i="2"/>
  <c r="AG152" i="2"/>
  <c r="Y152" i="2"/>
  <c r="Q152" i="2"/>
  <c r="AF152" i="2"/>
  <c r="X152" i="2"/>
  <c r="P152" i="2"/>
  <c r="AE152" i="2"/>
  <c r="H152" i="2"/>
  <c r="AC152" i="2"/>
  <c r="E152" i="2"/>
  <c r="AA152" i="2"/>
  <c r="W152" i="2"/>
  <c r="U152" i="2"/>
  <c r="S152" i="2"/>
  <c r="AI152" i="2"/>
  <c r="J152" i="2"/>
  <c r="AD160" i="2"/>
  <c r="V160" i="2"/>
  <c r="AB160" i="2"/>
  <c r="T160" i="2"/>
  <c r="G160" i="2"/>
  <c r="AI160" i="2"/>
  <c r="AA160" i="2"/>
  <c r="S160" i="2"/>
  <c r="E160" i="2"/>
  <c r="AH160" i="2"/>
  <c r="Z160" i="2"/>
  <c r="R160" i="2"/>
  <c r="D160" i="2"/>
  <c r="AG160" i="2"/>
  <c r="Y160" i="2"/>
  <c r="Q160" i="2"/>
  <c r="AF160" i="2"/>
  <c r="X160" i="2"/>
  <c r="P160" i="2"/>
  <c r="U160" i="2"/>
  <c r="J160" i="2"/>
  <c r="H160" i="2"/>
  <c r="AE160" i="2"/>
  <c r="W160" i="2"/>
  <c r="AD168" i="2"/>
  <c r="V168" i="2"/>
  <c r="AC168" i="2"/>
  <c r="U168" i="2"/>
  <c r="AB168" i="2"/>
  <c r="T168" i="2"/>
  <c r="G168" i="2"/>
  <c r="AH168" i="2"/>
  <c r="Z168" i="2"/>
  <c r="R168" i="2"/>
  <c r="D168" i="2"/>
  <c r="AF168" i="2"/>
  <c r="P168" i="2"/>
  <c r="AA168" i="2"/>
  <c r="Y168" i="2"/>
  <c r="H168" i="2"/>
  <c r="X168" i="2"/>
  <c r="E168" i="2"/>
  <c r="W168" i="2"/>
  <c r="AI168" i="2"/>
  <c r="S168" i="2"/>
  <c r="AG168" i="2"/>
  <c r="AE168" i="2"/>
  <c r="Q168" i="2"/>
  <c r="J168" i="2"/>
  <c r="AD176" i="2"/>
  <c r="V176" i="2"/>
  <c r="AC176" i="2"/>
  <c r="U176" i="2"/>
  <c r="H176" i="2"/>
  <c r="AB176" i="2"/>
  <c r="T176" i="2"/>
  <c r="G176" i="2"/>
  <c r="AH176" i="2"/>
  <c r="Z176" i="2"/>
  <c r="R176" i="2"/>
  <c r="D176" i="2"/>
  <c r="AI176" i="2"/>
  <c r="S176" i="2"/>
  <c r="AG176" i="2"/>
  <c r="Q176" i="2"/>
  <c r="AF176" i="2"/>
  <c r="P176" i="2"/>
  <c r="AE176" i="2"/>
  <c r="J176" i="2"/>
  <c r="AA176" i="2"/>
  <c r="Y176" i="2"/>
  <c r="E176" i="2"/>
  <c r="X176" i="2"/>
  <c r="W176" i="2"/>
  <c r="AD184" i="2"/>
  <c r="V184" i="2"/>
  <c r="AC184" i="2"/>
  <c r="U184" i="2"/>
  <c r="H184" i="2"/>
  <c r="AB184" i="2"/>
  <c r="T184" i="2"/>
  <c r="G184" i="2"/>
  <c r="AH184" i="2"/>
  <c r="Z184" i="2"/>
  <c r="R184" i="2"/>
  <c r="D184" i="2"/>
  <c r="X184" i="2"/>
  <c r="W184" i="2"/>
  <c r="AI184" i="2"/>
  <c r="S184" i="2"/>
  <c r="AG184" i="2"/>
  <c r="Q184" i="2"/>
  <c r="AF184" i="2"/>
  <c r="P184" i="2"/>
  <c r="AE184" i="2"/>
  <c r="J184" i="2"/>
  <c r="AA184" i="2"/>
  <c r="Y184" i="2"/>
  <c r="E184" i="2"/>
  <c r="AE192" i="2"/>
  <c r="W192" i="2"/>
  <c r="J192" i="2"/>
  <c r="AD192" i="2"/>
  <c r="V192" i="2"/>
  <c r="AC192" i="2"/>
  <c r="U192" i="2"/>
  <c r="H192" i="2"/>
  <c r="AB192" i="2"/>
  <c r="T192" i="2"/>
  <c r="G192" i="2"/>
  <c r="AI192" i="2"/>
  <c r="AA192" i="2"/>
  <c r="S192" i="2"/>
  <c r="E192" i="2"/>
  <c r="AH192" i="2"/>
  <c r="Z192" i="2"/>
  <c r="R192" i="2"/>
  <c r="D192" i="2"/>
  <c r="AG192" i="2"/>
  <c r="AF192" i="2"/>
  <c r="Y192" i="2"/>
  <c r="X192" i="2"/>
  <c r="Q192" i="2"/>
  <c r="P192" i="2"/>
  <c r="AE200" i="2"/>
  <c r="W200" i="2"/>
  <c r="J200" i="2"/>
  <c r="AD200" i="2"/>
  <c r="V200" i="2"/>
  <c r="AC200" i="2"/>
  <c r="U200" i="2"/>
  <c r="H200" i="2"/>
  <c r="AB200" i="2"/>
  <c r="T200" i="2"/>
  <c r="G200" i="2"/>
  <c r="AI200" i="2"/>
  <c r="AA200" i="2"/>
  <c r="S200" i="2"/>
  <c r="E200" i="2"/>
  <c r="AH200" i="2"/>
  <c r="Z200" i="2"/>
  <c r="R200" i="2"/>
  <c r="D200" i="2"/>
  <c r="Y200" i="2"/>
  <c r="X200" i="2"/>
  <c r="Q200" i="2"/>
  <c r="P200" i="2"/>
  <c r="AG200" i="2"/>
  <c r="AF200" i="2"/>
  <c r="AF208" i="2"/>
  <c r="X208" i="2"/>
  <c r="P208" i="2"/>
  <c r="AC208" i="2"/>
  <c r="U208" i="2"/>
  <c r="H208" i="2"/>
  <c r="AI208" i="2"/>
  <c r="AA208" i="2"/>
  <c r="S208" i="2"/>
  <c r="E208" i="2"/>
  <c r="AH208" i="2"/>
  <c r="Z208" i="2"/>
  <c r="R208" i="2"/>
  <c r="D208" i="2"/>
  <c r="AE208" i="2"/>
  <c r="J208" i="2"/>
  <c r="AD208" i="2"/>
  <c r="AB208" i="2"/>
  <c r="G208" i="2"/>
  <c r="Y208" i="2"/>
  <c r="W208" i="2"/>
  <c r="V208" i="2"/>
  <c r="AG208" i="2"/>
  <c r="T208" i="2"/>
  <c r="Q208" i="2"/>
  <c r="AF216" i="2"/>
  <c r="X216" i="2"/>
  <c r="P216" i="2"/>
  <c r="AE216" i="2"/>
  <c r="W216" i="2"/>
  <c r="J216" i="2"/>
  <c r="AC216" i="2"/>
  <c r="U216" i="2"/>
  <c r="H216" i="2"/>
  <c r="AB216" i="2"/>
  <c r="T216" i="2"/>
  <c r="G216" i="2"/>
  <c r="AI216" i="2"/>
  <c r="AA216" i="2"/>
  <c r="S216" i="2"/>
  <c r="E216" i="2"/>
  <c r="AH216" i="2"/>
  <c r="Z216" i="2"/>
  <c r="R216" i="2"/>
  <c r="D216" i="2"/>
  <c r="Q216" i="2"/>
  <c r="AG216" i="2"/>
  <c r="AD216" i="2"/>
  <c r="Y216" i="2"/>
  <c r="V216" i="2"/>
  <c r="AF224" i="2"/>
  <c r="X224" i="2"/>
  <c r="P224" i="2"/>
  <c r="AE224" i="2"/>
  <c r="W224" i="2"/>
  <c r="J224" i="2"/>
  <c r="AC224" i="2"/>
  <c r="U224" i="2"/>
  <c r="H224" i="2"/>
  <c r="AB224" i="2"/>
  <c r="T224" i="2"/>
  <c r="G224" i="2"/>
  <c r="AI224" i="2"/>
  <c r="AA224" i="2"/>
  <c r="S224" i="2"/>
  <c r="E224" i="2"/>
  <c r="AH224" i="2"/>
  <c r="Z224" i="2"/>
  <c r="R224" i="2"/>
  <c r="D224" i="2"/>
  <c r="AG224" i="2"/>
  <c r="AD224" i="2"/>
  <c r="Y224" i="2"/>
  <c r="V224" i="2"/>
  <c r="Q224" i="2"/>
  <c r="AF232" i="2"/>
  <c r="X232" i="2"/>
  <c r="P232" i="2"/>
  <c r="AE232" i="2"/>
  <c r="W232" i="2"/>
  <c r="J232" i="2"/>
  <c r="AC232" i="2"/>
  <c r="U232" i="2"/>
  <c r="H232" i="2"/>
  <c r="AB232" i="2"/>
  <c r="T232" i="2"/>
  <c r="G232" i="2"/>
  <c r="AI232" i="2"/>
  <c r="AA232" i="2"/>
  <c r="S232" i="2"/>
  <c r="E232" i="2"/>
  <c r="AH232" i="2"/>
  <c r="Z232" i="2"/>
  <c r="R232" i="2"/>
  <c r="D232" i="2"/>
  <c r="AG232" i="2"/>
  <c r="AD232" i="2"/>
  <c r="Y232" i="2"/>
  <c r="V232" i="2"/>
  <c r="Q232" i="2"/>
  <c r="AE240" i="2"/>
  <c r="W240" i="2"/>
  <c r="J240" i="2"/>
  <c r="AH240" i="2"/>
  <c r="Z240" i="2"/>
  <c r="R240" i="2"/>
  <c r="D240" i="2"/>
  <c r="AI240" i="2"/>
  <c r="X240" i="2"/>
  <c r="H240" i="2"/>
  <c r="AG240" i="2"/>
  <c r="V240" i="2"/>
  <c r="G240" i="2"/>
  <c r="AD240" i="2"/>
  <c r="T240" i="2"/>
  <c r="AC240" i="2"/>
  <c r="S240" i="2"/>
  <c r="AB240" i="2"/>
  <c r="Q240" i="2"/>
  <c r="AA240" i="2"/>
  <c r="P240" i="2"/>
  <c r="U240" i="2"/>
  <c r="E240" i="2"/>
  <c r="AF240" i="2"/>
  <c r="Y240" i="2"/>
  <c r="AE248" i="2"/>
  <c r="W248" i="2"/>
  <c r="J248" i="2"/>
  <c r="AB248" i="2"/>
  <c r="T248" i="2"/>
  <c r="G248" i="2"/>
  <c r="AH248" i="2"/>
  <c r="Z248" i="2"/>
  <c r="R248" i="2"/>
  <c r="D248" i="2"/>
  <c r="X248" i="2"/>
  <c r="E248" i="2"/>
  <c r="AI248" i="2"/>
  <c r="V248" i="2"/>
  <c r="AF248" i="2"/>
  <c r="S248" i="2"/>
  <c r="AD248" i="2"/>
  <c r="Q248" i="2"/>
  <c r="AC248" i="2"/>
  <c r="P248" i="2"/>
  <c r="AA248" i="2"/>
  <c r="AG248" i="2"/>
  <c r="Y248" i="2"/>
  <c r="U248" i="2"/>
  <c r="H248" i="2"/>
  <c r="AE256" i="2"/>
  <c r="W256" i="2"/>
  <c r="J256" i="2"/>
  <c r="AC256" i="2"/>
  <c r="U256" i="2"/>
  <c r="H256" i="2"/>
  <c r="AB256" i="2"/>
  <c r="T256" i="2"/>
  <c r="G256" i="2"/>
  <c r="AH256" i="2"/>
  <c r="Z256" i="2"/>
  <c r="R256" i="2"/>
  <c r="D256" i="2"/>
  <c r="Y256" i="2"/>
  <c r="X256" i="2"/>
  <c r="AI256" i="2"/>
  <c r="S256" i="2"/>
  <c r="AG256" i="2"/>
  <c r="Q256" i="2"/>
  <c r="AF256" i="2"/>
  <c r="P256" i="2"/>
  <c r="AD256" i="2"/>
  <c r="AA256" i="2"/>
  <c r="V256" i="2"/>
  <c r="E256" i="2"/>
  <c r="AG264" i="2"/>
  <c r="Y264" i="2"/>
  <c r="Q264" i="2"/>
  <c r="AF264" i="2"/>
  <c r="X264" i="2"/>
  <c r="P264" i="2"/>
  <c r="AH264" i="2"/>
  <c r="V264" i="2"/>
  <c r="G264" i="2"/>
  <c r="AD264" i="2"/>
  <c r="T264" i="2"/>
  <c r="D264" i="2"/>
  <c r="AC264" i="2"/>
  <c r="S264" i="2"/>
  <c r="AA264" i="2"/>
  <c r="J264" i="2"/>
  <c r="W264" i="2"/>
  <c r="U264" i="2"/>
  <c r="AI264" i="2"/>
  <c r="H264" i="2"/>
  <c r="AE264" i="2"/>
  <c r="E264" i="2"/>
  <c r="AB264" i="2"/>
  <c r="Z264" i="2"/>
  <c r="R264" i="2"/>
  <c r="AD272" i="2"/>
  <c r="V272" i="2"/>
  <c r="AG272" i="2"/>
  <c r="Y272" i="2"/>
  <c r="Q272" i="2"/>
  <c r="AF272" i="2"/>
  <c r="X272" i="2"/>
  <c r="P272" i="2"/>
  <c r="AI272" i="2"/>
  <c r="U272" i="2"/>
  <c r="E272" i="2"/>
  <c r="AE272" i="2"/>
  <c r="S272" i="2"/>
  <c r="AC272" i="2"/>
  <c r="R272" i="2"/>
  <c r="AA272" i="2"/>
  <c r="J272" i="2"/>
  <c r="H272" i="2"/>
  <c r="AH272" i="2"/>
  <c r="G272" i="2"/>
  <c r="AB272" i="2"/>
  <c r="D272" i="2"/>
  <c r="Z272" i="2"/>
  <c r="W272" i="2"/>
  <c r="T272" i="2"/>
  <c r="AD280" i="2"/>
  <c r="V280" i="2"/>
  <c r="AI280" i="2"/>
  <c r="AA280" i="2"/>
  <c r="S280" i="2"/>
  <c r="E280" i="2"/>
  <c r="AG280" i="2"/>
  <c r="Y280" i="2"/>
  <c r="Q280" i="2"/>
  <c r="AF280" i="2"/>
  <c r="X280" i="2"/>
  <c r="P280" i="2"/>
  <c r="Z280" i="2"/>
  <c r="G280" i="2"/>
  <c r="U280" i="2"/>
  <c r="T280" i="2"/>
  <c r="AH280" i="2"/>
  <c r="R280" i="2"/>
  <c r="AE280" i="2"/>
  <c r="J280" i="2"/>
  <c r="AC280" i="2"/>
  <c r="AB280" i="2"/>
  <c r="W280" i="2"/>
  <c r="H280" i="2"/>
  <c r="D280" i="2"/>
  <c r="AD288" i="2"/>
  <c r="V288" i="2"/>
  <c r="AC288" i="2"/>
  <c r="U288" i="2"/>
  <c r="H288" i="2"/>
  <c r="AI288" i="2"/>
  <c r="AA288" i="2"/>
  <c r="S288" i="2"/>
  <c r="E288" i="2"/>
  <c r="AG288" i="2"/>
  <c r="Y288" i="2"/>
  <c r="Q288" i="2"/>
  <c r="AF288" i="2"/>
  <c r="X288" i="2"/>
  <c r="P288" i="2"/>
  <c r="R288" i="2"/>
  <c r="J288" i="2"/>
  <c r="AH288" i="2"/>
  <c r="AE288" i="2"/>
  <c r="G288" i="2"/>
  <c r="AB288" i="2"/>
  <c r="D288" i="2"/>
  <c r="Z288" i="2"/>
  <c r="W288" i="2"/>
  <c r="T288" i="2"/>
  <c r="AI296" i="2"/>
  <c r="AA296" i="2"/>
  <c r="S296" i="2"/>
  <c r="E296" i="2"/>
  <c r="AG296" i="2"/>
  <c r="Y296" i="2"/>
  <c r="Q296" i="2"/>
  <c r="AE296" i="2"/>
  <c r="W296" i="2"/>
  <c r="J296" i="2"/>
  <c r="AC296" i="2"/>
  <c r="U296" i="2"/>
  <c r="H296" i="2"/>
  <c r="AB296" i="2"/>
  <c r="G296" i="2"/>
  <c r="Z296" i="2"/>
  <c r="D296" i="2"/>
  <c r="V296" i="2"/>
  <c r="AH296" i="2"/>
  <c r="R296" i="2"/>
  <c r="AF296" i="2"/>
  <c r="P296" i="2"/>
  <c r="AD296" i="2"/>
  <c r="X296" i="2"/>
  <c r="T296" i="2"/>
  <c r="AI304" i="2"/>
  <c r="AA304" i="2"/>
  <c r="S304" i="2"/>
  <c r="E304" i="2"/>
  <c r="AG304" i="2"/>
  <c r="Y304" i="2"/>
  <c r="Q304" i="2"/>
  <c r="AE304" i="2"/>
  <c r="W304" i="2"/>
  <c r="J304" i="2"/>
  <c r="AC304" i="2"/>
  <c r="U304" i="2"/>
  <c r="H304" i="2"/>
  <c r="AB304" i="2"/>
  <c r="G304" i="2"/>
  <c r="Z304" i="2"/>
  <c r="D304" i="2"/>
  <c r="V304" i="2"/>
  <c r="AH304" i="2"/>
  <c r="R304" i="2"/>
  <c r="AF304" i="2"/>
  <c r="P304" i="2"/>
  <c r="AD304" i="2"/>
  <c r="X304" i="2"/>
  <c r="T304" i="2"/>
  <c r="AI312" i="2"/>
  <c r="AA312" i="2"/>
  <c r="S312" i="2"/>
  <c r="E312" i="2"/>
  <c r="AG312" i="2"/>
  <c r="Y312" i="2"/>
  <c r="Q312" i="2"/>
  <c r="AE312" i="2"/>
  <c r="W312" i="2"/>
  <c r="J312" i="2"/>
  <c r="AC312" i="2"/>
  <c r="U312" i="2"/>
  <c r="H312" i="2"/>
  <c r="AB312" i="2"/>
  <c r="G312" i="2"/>
  <c r="Z312" i="2"/>
  <c r="D312" i="2"/>
  <c r="V312" i="2"/>
  <c r="AH312" i="2"/>
  <c r="R312" i="2"/>
  <c r="AF312" i="2"/>
  <c r="P312" i="2"/>
  <c r="AD312" i="2"/>
  <c r="X312" i="2"/>
  <c r="T312" i="2"/>
  <c r="AI320" i="2"/>
  <c r="AA320" i="2"/>
  <c r="S320" i="2"/>
  <c r="E320" i="2"/>
  <c r="AG320" i="2"/>
  <c r="Y320" i="2"/>
  <c r="Q320" i="2"/>
  <c r="AE320" i="2"/>
  <c r="W320" i="2"/>
  <c r="J320" i="2"/>
  <c r="AD320" i="2"/>
  <c r="V320" i="2"/>
  <c r="AC320" i="2"/>
  <c r="U320" i="2"/>
  <c r="H320" i="2"/>
  <c r="AH320" i="2"/>
  <c r="AF320" i="2"/>
  <c r="G320" i="2"/>
  <c r="Z320" i="2"/>
  <c r="T320" i="2"/>
  <c r="R320" i="2"/>
  <c r="X320" i="2"/>
  <c r="P320" i="2"/>
  <c r="D320" i="2"/>
  <c r="AB320" i="2"/>
  <c r="AH328" i="2"/>
  <c r="Z328" i="2"/>
  <c r="R328" i="2"/>
  <c r="D328" i="2"/>
  <c r="AF328" i="2"/>
  <c r="X328" i="2"/>
  <c r="P328" i="2"/>
  <c r="AG328" i="2"/>
  <c r="V328" i="2"/>
  <c r="G328" i="2"/>
  <c r="AD328" i="2"/>
  <c r="T328" i="2"/>
  <c r="AB328" i="2"/>
  <c r="Q328" i="2"/>
  <c r="AA328" i="2"/>
  <c r="J328" i="2"/>
  <c r="Y328" i="2"/>
  <c r="H328" i="2"/>
  <c r="AE328" i="2"/>
  <c r="W328" i="2"/>
  <c r="U328" i="2"/>
  <c r="E328" i="2"/>
  <c r="AI328" i="2"/>
  <c r="AC328" i="2"/>
  <c r="S328" i="2"/>
  <c r="AB336" i="2"/>
  <c r="T336" i="2"/>
  <c r="G336" i="2"/>
  <c r="AH336" i="2"/>
  <c r="Z336" i="2"/>
  <c r="R336" i="2"/>
  <c r="D336" i="2"/>
  <c r="AF336" i="2"/>
  <c r="X336" i="2"/>
  <c r="P336" i="2"/>
  <c r="AC336" i="2"/>
  <c r="U336" i="2"/>
  <c r="H336" i="2"/>
  <c r="AI336" i="2"/>
  <c r="S336" i="2"/>
  <c r="AE336" i="2"/>
  <c r="J336" i="2"/>
  <c r="AA336" i="2"/>
  <c r="E336" i="2"/>
  <c r="Y336" i="2"/>
  <c r="W336" i="2"/>
  <c r="AG336" i="2"/>
  <c r="V336" i="2"/>
  <c r="Q336" i="2"/>
  <c r="AD336" i="2"/>
  <c r="AB344" i="2"/>
  <c r="T344" i="2"/>
  <c r="G344" i="2"/>
  <c r="AH344" i="2"/>
  <c r="Z344" i="2"/>
  <c r="R344" i="2"/>
  <c r="D344" i="2"/>
  <c r="AF344" i="2"/>
  <c r="X344" i="2"/>
  <c r="P344" i="2"/>
  <c r="AC344" i="2"/>
  <c r="U344" i="2"/>
  <c r="H344" i="2"/>
  <c r="W344" i="2"/>
  <c r="AI344" i="2"/>
  <c r="S344" i="2"/>
  <c r="AE344" i="2"/>
  <c r="J344" i="2"/>
  <c r="AD344" i="2"/>
  <c r="AA344" i="2"/>
  <c r="E344" i="2"/>
  <c r="Y344" i="2"/>
  <c r="V344" i="2"/>
  <c r="Q344" i="2"/>
  <c r="AG344" i="2"/>
  <c r="AB352" i="2"/>
  <c r="AF352" i="2"/>
  <c r="AA352" i="2"/>
  <c r="S352" i="2"/>
  <c r="E352" i="2"/>
  <c r="Z352" i="2"/>
  <c r="R352" i="2"/>
  <c r="D352" i="2"/>
  <c r="AH352" i="2"/>
  <c r="X352" i="2"/>
  <c r="P352" i="2"/>
  <c r="Y352" i="2"/>
  <c r="H352" i="2"/>
  <c r="V352" i="2"/>
  <c r="AG352" i="2"/>
  <c r="T352" i="2"/>
  <c r="AC352" i="2"/>
  <c r="Q352" i="2"/>
  <c r="AI352" i="2"/>
  <c r="G352" i="2"/>
  <c r="AE352" i="2"/>
  <c r="AD352" i="2"/>
  <c r="W352" i="2"/>
  <c r="U352" i="2"/>
  <c r="J352" i="2"/>
  <c r="AB360" i="2"/>
  <c r="T360" i="2"/>
  <c r="G360" i="2"/>
  <c r="AI360" i="2"/>
  <c r="AA360" i="2"/>
  <c r="AF360" i="2"/>
  <c r="X360" i="2"/>
  <c r="P360" i="2"/>
  <c r="AD360" i="2"/>
  <c r="R360" i="2"/>
  <c r="AC360" i="2"/>
  <c r="Q360" i="2"/>
  <c r="Z360" i="2"/>
  <c r="J360" i="2"/>
  <c r="Y360" i="2"/>
  <c r="W360" i="2"/>
  <c r="H360" i="2"/>
  <c r="AG360" i="2"/>
  <c r="V360" i="2"/>
  <c r="S360" i="2"/>
  <c r="AH360" i="2"/>
  <c r="D360" i="2"/>
  <c r="AE360" i="2"/>
  <c r="U360" i="2"/>
  <c r="E360" i="2"/>
  <c r="AB368" i="2"/>
  <c r="T368" i="2"/>
  <c r="G368" i="2"/>
  <c r="AI368" i="2"/>
  <c r="AA368" i="2"/>
  <c r="S368" i="2"/>
  <c r="E368" i="2"/>
  <c r="AF368" i="2"/>
  <c r="X368" i="2"/>
  <c r="P368" i="2"/>
  <c r="AG368" i="2"/>
  <c r="U368" i="2"/>
  <c r="AE368" i="2"/>
  <c r="R368" i="2"/>
  <c r="AD368" i="2"/>
  <c r="Q368" i="2"/>
  <c r="AC368" i="2"/>
  <c r="J368" i="2"/>
  <c r="Z368" i="2"/>
  <c r="AH368" i="2"/>
  <c r="W368" i="2"/>
  <c r="H368" i="2"/>
  <c r="Y368" i="2"/>
  <c r="V368" i="2"/>
  <c r="D368" i="2"/>
  <c r="AC376" i="2"/>
  <c r="U376" i="2"/>
  <c r="H376" i="2"/>
  <c r="AB376" i="2"/>
  <c r="T376" i="2"/>
  <c r="G376" i="2"/>
  <c r="AG376" i="2"/>
  <c r="Y376" i="2"/>
  <c r="Q376" i="2"/>
  <c r="AA376" i="2"/>
  <c r="J376" i="2"/>
  <c r="Z376" i="2"/>
  <c r="AH376" i="2"/>
  <c r="V376" i="2"/>
  <c r="AD376" i="2"/>
  <c r="D376" i="2"/>
  <c r="X376" i="2"/>
  <c r="W376" i="2"/>
  <c r="S376" i="2"/>
  <c r="R376" i="2"/>
  <c r="AI376" i="2"/>
  <c r="P376" i="2"/>
  <c r="AF376" i="2"/>
  <c r="E376" i="2"/>
  <c r="AE376" i="2"/>
  <c r="AC384" i="2"/>
  <c r="U384" i="2"/>
  <c r="H384" i="2"/>
  <c r="AB384" i="2"/>
  <c r="T384" i="2"/>
  <c r="G384" i="2"/>
  <c r="AG384" i="2"/>
  <c r="Y384" i="2"/>
  <c r="Q384" i="2"/>
  <c r="AH384" i="2"/>
  <c r="V384" i="2"/>
  <c r="AF384" i="2"/>
  <c r="S384" i="2"/>
  <c r="AA384" i="2"/>
  <c r="J384" i="2"/>
  <c r="P384" i="2"/>
  <c r="AI384" i="2"/>
  <c r="AE384" i="2"/>
  <c r="E384" i="2"/>
  <c r="AD384" i="2"/>
  <c r="D384" i="2"/>
  <c r="Z384" i="2"/>
  <c r="X384" i="2"/>
  <c r="R384" i="2"/>
  <c r="W384" i="2"/>
  <c r="AI392" i="2"/>
  <c r="AA392" i="2"/>
  <c r="S392" i="2"/>
  <c r="E392" i="2"/>
  <c r="AH392" i="2"/>
  <c r="AE392" i="2"/>
  <c r="W392" i="2"/>
  <c r="J392" i="2"/>
  <c r="AB392" i="2"/>
  <c r="Q392" i="2"/>
  <c r="Z392" i="2"/>
  <c r="P392" i="2"/>
  <c r="AG392" i="2"/>
  <c r="V392" i="2"/>
  <c r="G392" i="2"/>
  <c r="Y392" i="2"/>
  <c r="X392" i="2"/>
  <c r="R392" i="2"/>
  <c r="D392" i="2"/>
  <c r="AF392" i="2"/>
  <c r="AD392" i="2"/>
  <c r="AC392" i="2"/>
  <c r="U392" i="2"/>
  <c r="T392" i="2"/>
  <c r="H392" i="2"/>
  <c r="AC400" i="2"/>
  <c r="U400" i="2"/>
  <c r="H400" i="2"/>
  <c r="AB400" i="2"/>
  <c r="T400" i="2"/>
  <c r="G400" i="2"/>
  <c r="AI400" i="2"/>
  <c r="AA400" i="2"/>
  <c r="S400" i="2"/>
  <c r="E400" i="2"/>
  <c r="AH400" i="2"/>
  <c r="Z400" i="2"/>
  <c r="R400" i="2"/>
  <c r="D400" i="2"/>
  <c r="AG400" i="2"/>
  <c r="Y400" i="2"/>
  <c r="Q400" i="2"/>
  <c r="AF400" i="2"/>
  <c r="X400" i="2"/>
  <c r="P400" i="2"/>
  <c r="AE400" i="2"/>
  <c r="W400" i="2"/>
  <c r="J400" i="2"/>
  <c r="AD400" i="2"/>
  <c r="V400" i="2"/>
  <c r="AH408" i="2"/>
  <c r="Z408" i="2"/>
  <c r="R408" i="2"/>
  <c r="D408" i="2"/>
  <c r="AD408" i="2"/>
  <c r="V408" i="2"/>
  <c r="AF408" i="2"/>
  <c r="U408" i="2"/>
  <c r="G408" i="2"/>
  <c r="AE408" i="2"/>
  <c r="T408" i="2"/>
  <c r="E408" i="2"/>
  <c r="AC408" i="2"/>
  <c r="S408" i="2"/>
  <c r="AB408" i="2"/>
  <c r="Q408" i="2"/>
  <c r="AA408" i="2"/>
  <c r="P408" i="2"/>
  <c r="Y408" i="2"/>
  <c r="J408" i="2"/>
  <c r="AI408" i="2"/>
  <c r="X408" i="2"/>
  <c r="AG408" i="2"/>
  <c r="H408" i="2"/>
  <c r="W408" i="2"/>
  <c r="AI416" i="2"/>
  <c r="AA416" i="2"/>
  <c r="S416" i="2"/>
  <c r="E416" i="2"/>
  <c r="AH416" i="2"/>
  <c r="Z416" i="2"/>
  <c r="R416" i="2"/>
  <c r="D416" i="2"/>
  <c r="AG416" i="2"/>
  <c r="Y416" i="2"/>
  <c r="Q416" i="2"/>
  <c r="AD416" i="2"/>
  <c r="V416" i="2"/>
  <c r="T416" i="2"/>
  <c r="AF416" i="2"/>
  <c r="P416" i="2"/>
  <c r="AE416" i="2"/>
  <c r="J416" i="2"/>
  <c r="AC416" i="2"/>
  <c r="AB416" i="2"/>
  <c r="H416" i="2"/>
  <c r="X416" i="2"/>
  <c r="G416" i="2"/>
  <c r="W416" i="2"/>
  <c r="U416" i="2"/>
  <c r="AI424" i="2"/>
  <c r="AA424" i="2"/>
  <c r="S424" i="2"/>
  <c r="E424" i="2"/>
  <c r="AH424" i="2"/>
  <c r="Z424" i="2"/>
  <c r="R424" i="2"/>
  <c r="D424" i="2"/>
  <c r="AG424" i="2"/>
  <c r="Y424" i="2"/>
  <c r="Q424" i="2"/>
  <c r="AF424" i="2"/>
  <c r="X424" i="2"/>
  <c r="P424" i="2"/>
  <c r="AE424" i="2"/>
  <c r="W424" i="2"/>
  <c r="J424" i="2"/>
  <c r="AD424" i="2"/>
  <c r="V424" i="2"/>
  <c r="AC424" i="2"/>
  <c r="AB424" i="2"/>
  <c r="U424" i="2"/>
  <c r="T424" i="2"/>
  <c r="H424" i="2"/>
  <c r="G424" i="2"/>
  <c r="AG432" i="2"/>
  <c r="Y432" i="2"/>
  <c r="Q432" i="2"/>
  <c r="AC432" i="2"/>
  <c r="U432" i="2"/>
  <c r="H432" i="2"/>
  <c r="AI432" i="2"/>
  <c r="AA432" i="2"/>
  <c r="S432" i="2"/>
  <c r="E432" i="2"/>
  <c r="AH432" i="2"/>
  <c r="Z432" i="2"/>
  <c r="R432" i="2"/>
  <c r="D432" i="2"/>
  <c r="AD432" i="2"/>
  <c r="AB432" i="2"/>
  <c r="G432" i="2"/>
  <c r="X432" i="2"/>
  <c r="W432" i="2"/>
  <c r="V432" i="2"/>
  <c r="T432" i="2"/>
  <c r="AF432" i="2"/>
  <c r="AE432" i="2"/>
  <c r="P432" i="2"/>
  <c r="J432" i="2"/>
  <c r="AG440" i="2"/>
  <c r="Y440" i="2"/>
  <c r="Q440" i="2"/>
  <c r="AF440" i="2"/>
  <c r="X440" i="2"/>
  <c r="P440" i="2"/>
  <c r="AE440" i="2"/>
  <c r="W440" i="2"/>
  <c r="J440" i="2"/>
  <c r="AD440" i="2"/>
  <c r="V440" i="2"/>
  <c r="AC440" i="2"/>
  <c r="U440" i="2"/>
  <c r="H440" i="2"/>
  <c r="AB440" i="2"/>
  <c r="T440" i="2"/>
  <c r="G440" i="2"/>
  <c r="AI440" i="2"/>
  <c r="AA440" i="2"/>
  <c r="S440" i="2"/>
  <c r="E440" i="2"/>
  <c r="AH440" i="2"/>
  <c r="Z440" i="2"/>
  <c r="R440" i="2"/>
  <c r="D440" i="2"/>
  <c r="AG448" i="2"/>
  <c r="Y448" i="2"/>
  <c r="Q448" i="2"/>
  <c r="AF448" i="2"/>
  <c r="X448" i="2"/>
  <c r="P448" i="2"/>
  <c r="AE448" i="2"/>
  <c r="W448" i="2"/>
  <c r="J448" i="2"/>
  <c r="AD448" i="2"/>
  <c r="V448" i="2"/>
  <c r="AC448" i="2"/>
  <c r="U448" i="2"/>
  <c r="H448" i="2"/>
  <c r="AB448" i="2"/>
  <c r="T448" i="2"/>
  <c r="G448" i="2"/>
  <c r="AI448" i="2"/>
  <c r="AA448" i="2"/>
  <c r="S448" i="2"/>
  <c r="E448" i="2"/>
  <c r="AH448" i="2"/>
  <c r="Z448" i="2"/>
  <c r="R448" i="2"/>
  <c r="D448" i="2"/>
  <c r="R56" i="2"/>
  <c r="R59" i="2"/>
  <c r="V61" i="2"/>
  <c r="P62" i="2"/>
  <c r="R64" i="2"/>
  <c r="R67" i="2"/>
  <c r="V69" i="2"/>
  <c r="P70" i="2"/>
  <c r="R72" i="2"/>
  <c r="R75" i="2"/>
  <c r="V77" i="2"/>
  <c r="P78" i="2"/>
  <c r="R80" i="2"/>
  <c r="R83" i="2"/>
  <c r="V85" i="2"/>
  <c r="P86" i="2"/>
  <c r="R88" i="2"/>
  <c r="R91" i="2"/>
  <c r="V93" i="2"/>
  <c r="P94" i="2"/>
  <c r="AF96" i="2"/>
  <c r="E117" i="2"/>
  <c r="AH41" i="2"/>
  <c r="AB41" i="2"/>
  <c r="T41" i="2"/>
  <c r="G41" i="2"/>
  <c r="AI57" i="2"/>
  <c r="AA57" i="2"/>
  <c r="S57" i="2"/>
  <c r="AH57" i="2"/>
  <c r="Z57" i="2"/>
  <c r="R57" i="2"/>
  <c r="AG57" i="2"/>
  <c r="Y57" i="2"/>
  <c r="Q57" i="2"/>
  <c r="AF57" i="2"/>
  <c r="X57" i="2"/>
  <c r="P57" i="2"/>
  <c r="AE57" i="2"/>
  <c r="W57" i="2"/>
  <c r="J57" i="2"/>
  <c r="AC57" i="2"/>
  <c r="U57" i="2"/>
  <c r="H57" i="2"/>
  <c r="AI65" i="2"/>
  <c r="AA65" i="2"/>
  <c r="S65" i="2"/>
  <c r="AH65" i="2"/>
  <c r="Z65" i="2"/>
  <c r="R65" i="2"/>
  <c r="AG65" i="2"/>
  <c r="Y65" i="2"/>
  <c r="Q65" i="2"/>
  <c r="AF65" i="2"/>
  <c r="X65" i="2"/>
  <c r="P65" i="2"/>
  <c r="AE65" i="2"/>
  <c r="W65" i="2"/>
  <c r="J65" i="2"/>
  <c r="AC65" i="2"/>
  <c r="U65" i="2"/>
  <c r="H65" i="2"/>
  <c r="AI73" i="2"/>
  <c r="AA73" i="2"/>
  <c r="S73" i="2"/>
  <c r="E73" i="2"/>
  <c r="AH73" i="2"/>
  <c r="Z73" i="2"/>
  <c r="R73" i="2"/>
  <c r="D73" i="2"/>
  <c r="AG73" i="2"/>
  <c r="Y73" i="2"/>
  <c r="Q73" i="2"/>
  <c r="AF73" i="2"/>
  <c r="X73" i="2"/>
  <c r="P73" i="2"/>
  <c r="AE73" i="2"/>
  <c r="W73" i="2"/>
  <c r="J73" i="2"/>
  <c r="AC73" i="2"/>
  <c r="U73" i="2"/>
  <c r="H73" i="2"/>
  <c r="AI81" i="2"/>
  <c r="AA81" i="2"/>
  <c r="S81" i="2"/>
  <c r="E81" i="2"/>
  <c r="AH81" i="2"/>
  <c r="Z81" i="2"/>
  <c r="R81" i="2"/>
  <c r="D81" i="2"/>
  <c r="AG81" i="2"/>
  <c r="Y81" i="2"/>
  <c r="Q81" i="2"/>
  <c r="AF81" i="2"/>
  <c r="X81" i="2"/>
  <c r="P81" i="2"/>
  <c r="AE81" i="2"/>
  <c r="W81" i="2"/>
  <c r="J81" i="2"/>
  <c r="AC81" i="2"/>
  <c r="U81" i="2"/>
  <c r="H81" i="2"/>
  <c r="AI89" i="2"/>
  <c r="AA89" i="2"/>
  <c r="S89" i="2"/>
  <c r="E89" i="2"/>
  <c r="AH89" i="2"/>
  <c r="Z89" i="2"/>
  <c r="R89" i="2"/>
  <c r="D89" i="2"/>
  <c r="AG89" i="2"/>
  <c r="Y89" i="2"/>
  <c r="Q89" i="2"/>
  <c r="AF89" i="2"/>
  <c r="X89" i="2"/>
  <c r="P89" i="2"/>
  <c r="AE89" i="2"/>
  <c r="W89" i="2"/>
  <c r="J89" i="2"/>
  <c r="AC89" i="2"/>
  <c r="U89" i="2"/>
  <c r="H89" i="2"/>
  <c r="AG97" i="2"/>
  <c r="Y97" i="2"/>
  <c r="Q97" i="2"/>
  <c r="AC97" i="2"/>
  <c r="U97" i="2"/>
  <c r="H97" i="2"/>
  <c r="AB97" i="2"/>
  <c r="T97" i="2"/>
  <c r="G97" i="2"/>
  <c r="AH97" i="2"/>
  <c r="Z97" i="2"/>
  <c r="R97" i="2"/>
  <c r="V97" i="2"/>
  <c r="AI97" i="2"/>
  <c r="S97" i="2"/>
  <c r="AF97" i="2"/>
  <c r="P97" i="2"/>
  <c r="AE97" i="2"/>
  <c r="J97" i="2"/>
  <c r="AD97" i="2"/>
  <c r="X97" i="2"/>
  <c r="D97" i="2"/>
  <c r="AG105" i="2"/>
  <c r="Y105" i="2"/>
  <c r="Q105" i="2"/>
  <c r="AF105" i="2"/>
  <c r="X105" i="2"/>
  <c r="P105" i="2"/>
  <c r="AE105" i="2"/>
  <c r="W105" i="2"/>
  <c r="J105" i="2"/>
  <c r="AC105" i="2"/>
  <c r="U105" i="2"/>
  <c r="H105" i="2"/>
  <c r="AB105" i="2"/>
  <c r="T105" i="2"/>
  <c r="G105" i="2"/>
  <c r="AH105" i="2"/>
  <c r="Z105" i="2"/>
  <c r="R105" i="2"/>
  <c r="D105" i="2"/>
  <c r="AI105" i="2"/>
  <c r="AD105" i="2"/>
  <c r="AA105" i="2"/>
  <c r="V105" i="2"/>
  <c r="S105" i="2"/>
  <c r="E105" i="2"/>
  <c r="AG113" i="2"/>
  <c r="Y113" i="2"/>
  <c r="Q113" i="2"/>
  <c r="AF113" i="2"/>
  <c r="X113" i="2"/>
  <c r="P113" i="2"/>
  <c r="AE113" i="2"/>
  <c r="W113" i="2"/>
  <c r="J113" i="2"/>
  <c r="AD113" i="2"/>
  <c r="V113" i="2"/>
  <c r="AC113" i="2"/>
  <c r="U113" i="2"/>
  <c r="H113" i="2"/>
  <c r="AB113" i="2"/>
  <c r="T113" i="2"/>
  <c r="G113" i="2"/>
  <c r="AH113" i="2"/>
  <c r="Z113" i="2"/>
  <c r="R113" i="2"/>
  <c r="D113" i="2"/>
  <c r="E113" i="2"/>
  <c r="AI113" i="2"/>
  <c r="S113" i="2"/>
  <c r="AG121" i="2"/>
  <c r="Y121" i="2"/>
  <c r="Q121" i="2"/>
  <c r="AF121" i="2"/>
  <c r="X121" i="2"/>
  <c r="P121" i="2"/>
  <c r="AE121" i="2"/>
  <c r="W121" i="2"/>
  <c r="J121" i="2"/>
  <c r="AD121" i="2"/>
  <c r="V121" i="2"/>
  <c r="AC121" i="2"/>
  <c r="U121" i="2"/>
  <c r="H121" i="2"/>
  <c r="AB121" i="2"/>
  <c r="T121" i="2"/>
  <c r="G121" i="2"/>
  <c r="AH121" i="2"/>
  <c r="Z121" i="2"/>
  <c r="R121" i="2"/>
  <c r="D121" i="2"/>
  <c r="AI121" i="2"/>
  <c r="AA121" i="2"/>
  <c r="S121" i="2"/>
  <c r="E121" i="2"/>
  <c r="AG129" i="2"/>
  <c r="Y129" i="2"/>
  <c r="Q129" i="2"/>
  <c r="AF129" i="2"/>
  <c r="X129" i="2"/>
  <c r="P129" i="2"/>
  <c r="AE129" i="2"/>
  <c r="W129" i="2"/>
  <c r="J129" i="2"/>
  <c r="AD129" i="2"/>
  <c r="V129" i="2"/>
  <c r="AC129" i="2"/>
  <c r="U129" i="2"/>
  <c r="H129" i="2"/>
  <c r="AB129" i="2"/>
  <c r="T129" i="2"/>
  <c r="G129" i="2"/>
  <c r="AH129" i="2"/>
  <c r="Z129" i="2"/>
  <c r="R129" i="2"/>
  <c r="D129" i="2"/>
  <c r="AI129" i="2"/>
  <c r="AA129" i="2"/>
  <c r="S129" i="2"/>
  <c r="E129" i="2"/>
  <c r="AF137" i="2"/>
  <c r="X137" i="2"/>
  <c r="P137" i="2"/>
  <c r="AB137" i="2"/>
  <c r="T137" i="2"/>
  <c r="G137" i="2"/>
  <c r="AG137" i="2"/>
  <c r="V137" i="2"/>
  <c r="E137" i="2"/>
  <c r="AE137" i="2"/>
  <c r="U137" i="2"/>
  <c r="D137" i="2"/>
  <c r="AD137" i="2"/>
  <c r="S137" i="2"/>
  <c r="AC137" i="2"/>
  <c r="R137" i="2"/>
  <c r="AA137" i="2"/>
  <c r="Q137" i="2"/>
  <c r="Z137" i="2"/>
  <c r="J137" i="2"/>
  <c r="AH137" i="2"/>
  <c r="W137" i="2"/>
  <c r="H137" i="2"/>
  <c r="AI137" i="2"/>
  <c r="AF145" i="2"/>
  <c r="X145" i="2"/>
  <c r="P145" i="2"/>
  <c r="AD145" i="2"/>
  <c r="V145" i="2"/>
  <c r="AB145" i="2"/>
  <c r="T145" i="2"/>
  <c r="G145" i="2"/>
  <c r="AI145" i="2"/>
  <c r="AA145" i="2"/>
  <c r="S145" i="2"/>
  <c r="E145" i="2"/>
  <c r="AG145" i="2"/>
  <c r="Q145" i="2"/>
  <c r="AE145" i="2"/>
  <c r="J145" i="2"/>
  <c r="AC145" i="2"/>
  <c r="Z145" i="2"/>
  <c r="H145" i="2"/>
  <c r="Y145" i="2"/>
  <c r="D145" i="2"/>
  <c r="W145" i="2"/>
  <c r="AH145" i="2"/>
  <c r="R145" i="2"/>
  <c r="U145" i="2"/>
  <c r="AF153" i="2"/>
  <c r="X153" i="2"/>
  <c r="P153" i="2"/>
  <c r="AD153" i="2"/>
  <c r="V153" i="2"/>
  <c r="AB153" i="2"/>
  <c r="T153" i="2"/>
  <c r="G153" i="2"/>
  <c r="AI153" i="2"/>
  <c r="AA153" i="2"/>
  <c r="S153" i="2"/>
  <c r="E153" i="2"/>
  <c r="AH153" i="2"/>
  <c r="Z153" i="2"/>
  <c r="R153" i="2"/>
  <c r="D153" i="2"/>
  <c r="J153" i="2"/>
  <c r="AG153" i="2"/>
  <c r="AE153" i="2"/>
  <c r="H153" i="2"/>
  <c r="AC153" i="2"/>
  <c r="Y153" i="2"/>
  <c r="W153" i="2"/>
  <c r="Q153" i="2"/>
  <c r="U153" i="2"/>
  <c r="AF161" i="2"/>
  <c r="X161" i="2"/>
  <c r="P161" i="2"/>
  <c r="AD161" i="2"/>
  <c r="V161" i="2"/>
  <c r="AC161" i="2"/>
  <c r="U161" i="2"/>
  <c r="H161" i="2"/>
  <c r="AB161" i="2"/>
  <c r="T161" i="2"/>
  <c r="G161" i="2"/>
  <c r="AI161" i="2"/>
  <c r="AA161" i="2"/>
  <c r="S161" i="2"/>
  <c r="E161" i="2"/>
  <c r="AH161" i="2"/>
  <c r="Z161" i="2"/>
  <c r="R161" i="2"/>
  <c r="D161" i="2"/>
  <c r="AG161" i="2"/>
  <c r="AE161" i="2"/>
  <c r="Y161" i="2"/>
  <c r="W161" i="2"/>
  <c r="J161" i="2"/>
  <c r="Q161" i="2"/>
  <c r="AF169" i="2"/>
  <c r="X169" i="2"/>
  <c r="P169" i="2"/>
  <c r="AE169" i="2"/>
  <c r="W169" i="2"/>
  <c r="J169" i="2"/>
  <c r="AD169" i="2"/>
  <c r="V169" i="2"/>
  <c r="AB169" i="2"/>
  <c r="T169" i="2"/>
  <c r="G169" i="2"/>
  <c r="Z169" i="2"/>
  <c r="E169" i="2"/>
  <c r="Y169" i="2"/>
  <c r="D169" i="2"/>
  <c r="U169" i="2"/>
  <c r="AI169" i="2"/>
  <c r="S169" i="2"/>
  <c r="AH169" i="2"/>
  <c r="R169" i="2"/>
  <c r="AG169" i="2"/>
  <c r="Q169" i="2"/>
  <c r="AC169" i="2"/>
  <c r="AA169" i="2"/>
  <c r="H169" i="2"/>
  <c r="AF177" i="2"/>
  <c r="X177" i="2"/>
  <c r="P177" i="2"/>
  <c r="AE177" i="2"/>
  <c r="W177" i="2"/>
  <c r="J177" i="2"/>
  <c r="AD177" i="2"/>
  <c r="V177" i="2"/>
  <c r="AB177" i="2"/>
  <c r="T177" i="2"/>
  <c r="G177" i="2"/>
  <c r="AC177" i="2"/>
  <c r="AA177" i="2"/>
  <c r="H177" i="2"/>
  <c r="Z177" i="2"/>
  <c r="E177" i="2"/>
  <c r="Y177" i="2"/>
  <c r="D177" i="2"/>
  <c r="U177" i="2"/>
  <c r="AI177" i="2"/>
  <c r="S177" i="2"/>
  <c r="AH177" i="2"/>
  <c r="R177" i="2"/>
  <c r="AG177" i="2"/>
  <c r="Q177" i="2"/>
  <c r="AG185" i="2"/>
  <c r="Y185" i="2"/>
  <c r="Q185" i="2"/>
  <c r="AF185" i="2"/>
  <c r="X185" i="2"/>
  <c r="P185" i="2"/>
  <c r="AE185" i="2"/>
  <c r="W185" i="2"/>
  <c r="J185" i="2"/>
  <c r="AD185" i="2"/>
  <c r="V185" i="2"/>
  <c r="AC185" i="2"/>
  <c r="U185" i="2"/>
  <c r="H185" i="2"/>
  <c r="AB185" i="2"/>
  <c r="T185" i="2"/>
  <c r="G185" i="2"/>
  <c r="Z185" i="2"/>
  <c r="S185" i="2"/>
  <c r="R185" i="2"/>
  <c r="E185" i="2"/>
  <c r="AI185" i="2"/>
  <c r="D185" i="2"/>
  <c r="AH185" i="2"/>
  <c r="AA185" i="2"/>
  <c r="AG193" i="2"/>
  <c r="Y193" i="2"/>
  <c r="Q193" i="2"/>
  <c r="AF193" i="2"/>
  <c r="X193" i="2"/>
  <c r="P193" i="2"/>
  <c r="AE193" i="2"/>
  <c r="W193" i="2"/>
  <c r="J193" i="2"/>
  <c r="AD193" i="2"/>
  <c r="V193" i="2"/>
  <c r="AC193" i="2"/>
  <c r="U193" i="2"/>
  <c r="H193" i="2"/>
  <c r="AB193" i="2"/>
  <c r="T193" i="2"/>
  <c r="G193" i="2"/>
  <c r="R193" i="2"/>
  <c r="E193" i="2"/>
  <c r="AI193" i="2"/>
  <c r="D193" i="2"/>
  <c r="AH193" i="2"/>
  <c r="AA193" i="2"/>
  <c r="Z193" i="2"/>
  <c r="AG201" i="2"/>
  <c r="Y201" i="2"/>
  <c r="Q201" i="2"/>
  <c r="AF201" i="2"/>
  <c r="X201" i="2"/>
  <c r="P201" i="2"/>
  <c r="AE201" i="2"/>
  <c r="W201" i="2"/>
  <c r="J201" i="2"/>
  <c r="AD201" i="2"/>
  <c r="V201" i="2"/>
  <c r="AC201" i="2"/>
  <c r="U201" i="2"/>
  <c r="H201" i="2"/>
  <c r="AB201" i="2"/>
  <c r="T201" i="2"/>
  <c r="G201" i="2"/>
  <c r="E201" i="2"/>
  <c r="AI201" i="2"/>
  <c r="D201" i="2"/>
  <c r="AH201" i="2"/>
  <c r="AA201" i="2"/>
  <c r="Z201" i="2"/>
  <c r="S201" i="2"/>
  <c r="R201" i="2"/>
  <c r="AH209" i="2"/>
  <c r="Z209" i="2"/>
  <c r="R209" i="2"/>
  <c r="D209" i="2"/>
  <c r="AE209" i="2"/>
  <c r="W209" i="2"/>
  <c r="J209" i="2"/>
  <c r="AC209" i="2"/>
  <c r="U209" i="2"/>
  <c r="H209" i="2"/>
  <c r="AB209" i="2"/>
  <c r="T209" i="2"/>
  <c r="G209" i="2"/>
  <c r="AF209" i="2"/>
  <c r="P209" i="2"/>
  <c r="AD209" i="2"/>
  <c r="AA209" i="2"/>
  <c r="E209" i="2"/>
  <c r="Y209" i="2"/>
  <c r="X209" i="2"/>
  <c r="V209" i="2"/>
  <c r="AI209" i="2"/>
  <c r="AG209" i="2"/>
  <c r="S209" i="2"/>
  <c r="Q209" i="2"/>
  <c r="T56" i="2"/>
  <c r="G57" i="2"/>
  <c r="X59" i="2"/>
  <c r="AB61" i="2"/>
  <c r="V62" i="2"/>
  <c r="T64" i="2"/>
  <c r="G65" i="2"/>
  <c r="X67" i="2"/>
  <c r="AB69" i="2"/>
  <c r="V70" i="2"/>
  <c r="T72" i="2"/>
  <c r="G73" i="2"/>
  <c r="X75" i="2"/>
  <c r="AB77" i="2"/>
  <c r="V78" i="2"/>
  <c r="T80" i="2"/>
  <c r="G81" i="2"/>
  <c r="X83" i="2"/>
  <c r="AB85" i="2"/>
  <c r="V86" i="2"/>
  <c r="T88" i="2"/>
  <c r="G89" i="2"/>
  <c r="X91" i="2"/>
  <c r="AB93" i="2"/>
  <c r="V94" i="2"/>
  <c r="Q112" i="2"/>
  <c r="AG42" i="2"/>
  <c r="S42" i="2"/>
  <c r="G42" i="2"/>
  <c r="AI42" i="2"/>
  <c r="AA42" i="2"/>
  <c r="AC58" i="2"/>
  <c r="U58" i="2"/>
  <c r="H58" i="2"/>
  <c r="AB58" i="2"/>
  <c r="T58" i="2"/>
  <c r="G58" i="2"/>
  <c r="AI58" i="2"/>
  <c r="AA58" i="2"/>
  <c r="S58" i="2"/>
  <c r="AH58" i="2"/>
  <c r="Z58" i="2"/>
  <c r="R58" i="2"/>
  <c r="AG58" i="2"/>
  <c r="Y58" i="2"/>
  <c r="Q58" i="2"/>
  <c r="AE58" i="2"/>
  <c r="W58" i="2"/>
  <c r="J58" i="2"/>
  <c r="AC66" i="2"/>
  <c r="U66" i="2"/>
  <c r="H66" i="2"/>
  <c r="AB66" i="2"/>
  <c r="T66" i="2"/>
  <c r="G66" i="2"/>
  <c r="AI66" i="2"/>
  <c r="AA66" i="2"/>
  <c r="S66" i="2"/>
  <c r="E66" i="2"/>
  <c r="AH66" i="2"/>
  <c r="Z66" i="2"/>
  <c r="R66" i="2"/>
  <c r="D66" i="2"/>
  <c r="AG66" i="2"/>
  <c r="Y66" i="2"/>
  <c r="Q66" i="2"/>
  <c r="AE66" i="2"/>
  <c r="W66" i="2"/>
  <c r="J66" i="2"/>
  <c r="AC74" i="2"/>
  <c r="U74" i="2"/>
  <c r="H74" i="2"/>
  <c r="AB74" i="2"/>
  <c r="T74" i="2"/>
  <c r="G74" i="2"/>
  <c r="AI74" i="2"/>
  <c r="AA74" i="2"/>
  <c r="S74" i="2"/>
  <c r="E74" i="2"/>
  <c r="AH74" i="2"/>
  <c r="Z74" i="2"/>
  <c r="R74" i="2"/>
  <c r="D74" i="2"/>
  <c r="AG74" i="2"/>
  <c r="Y74" i="2"/>
  <c r="Q74" i="2"/>
  <c r="AE74" i="2"/>
  <c r="W74" i="2"/>
  <c r="J74" i="2"/>
  <c r="AC82" i="2"/>
  <c r="U82" i="2"/>
  <c r="H82" i="2"/>
  <c r="AB82" i="2"/>
  <c r="T82" i="2"/>
  <c r="G82" i="2"/>
  <c r="AI82" i="2"/>
  <c r="AA82" i="2"/>
  <c r="S82" i="2"/>
  <c r="E82" i="2"/>
  <c r="AH82" i="2"/>
  <c r="Z82" i="2"/>
  <c r="R82" i="2"/>
  <c r="D82" i="2"/>
  <c r="AG82" i="2"/>
  <c r="Y82" i="2"/>
  <c r="Q82" i="2"/>
  <c r="AE82" i="2"/>
  <c r="W82" i="2"/>
  <c r="J82" i="2"/>
  <c r="AC90" i="2"/>
  <c r="U90" i="2"/>
  <c r="H90" i="2"/>
  <c r="AB90" i="2"/>
  <c r="T90" i="2"/>
  <c r="G90" i="2"/>
  <c r="AI90" i="2"/>
  <c r="AA90" i="2"/>
  <c r="S90" i="2"/>
  <c r="E90" i="2"/>
  <c r="AH90" i="2"/>
  <c r="Z90" i="2"/>
  <c r="R90" i="2"/>
  <c r="D90" i="2"/>
  <c r="AG90" i="2"/>
  <c r="Y90" i="2"/>
  <c r="Q90" i="2"/>
  <c r="AE90" i="2"/>
  <c r="W90" i="2"/>
  <c r="J90" i="2"/>
  <c r="AI98" i="2"/>
  <c r="AA98" i="2"/>
  <c r="S98" i="2"/>
  <c r="E98" i="2"/>
  <c r="AE98" i="2"/>
  <c r="W98" i="2"/>
  <c r="J98" i="2"/>
  <c r="AD98" i="2"/>
  <c r="V98" i="2"/>
  <c r="AB98" i="2"/>
  <c r="T98" i="2"/>
  <c r="G98" i="2"/>
  <c r="AG98" i="2"/>
  <c r="Q98" i="2"/>
  <c r="AF98" i="2"/>
  <c r="P98" i="2"/>
  <c r="AC98" i="2"/>
  <c r="Z98" i="2"/>
  <c r="H98" i="2"/>
  <c r="Y98" i="2"/>
  <c r="D98" i="2"/>
  <c r="U98" i="2"/>
  <c r="AI106" i="2"/>
  <c r="AA106" i="2"/>
  <c r="S106" i="2"/>
  <c r="E106" i="2"/>
  <c r="AH106" i="2"/>
  <c r="Z106" i="2"/>
  <c r="R106" i="2"/>
  <c r="D106" i="2"/>
  <c r="AG106" i="2"/>
  <c r="Y106" i="2"/>
  <c r="Q106" i="2"/>
  <c r="AE106" i="2"/>
  <c r="W106" i="2"/>
  <c r="J106" i="2"/>
  <c r="AD106" i="2"/>
  <c r="V106" i="2"/>
  <c r="AB106" i="2"/>
  <c r="T106" i="2"/>
  <c r="G106" i="2"/>
  <c r="U106" i="2"/>
  <c r="P106" i="2"/>
  <c r="H106" i="2"/>
  <c r="AC106" i="2"/>
  <c r="AI114" i="2"/>
  <c r="AA114" i="2"/>
  <c r="S114" i="2"/>
  <c r="E114" i="2"/>
  <c r="AH114" i="2"/>
  <c r="Z114" i="2"/>
  <c r="R114" i="2"/>
  <c r="D114" i="2"/>
  <c r="AG114" i="2"/>
  <c r="Y114" i="2"/>
  <c r="Q114" i="2"/>
  <c r="AF114" i="2"/>
  <c r="X114" i="2"/>
  <c r="P114" i="2"/>
  <c r="AE114" i="2"/>
  <c r="W114" i="2"/>
  <c r="J114" i="2"/>
  <c r="AD114" i="2"/>
  <c r="V114" i="2"/>
  <c r="AB114" i="2"/>
  <c r="T114" i="2"/>
  <c r="G114" i="2"/>
  <c r="AC114" i="2"/>
  <c r="AI122" i="2"/>
  <c r="AA122" i="2"/>
  <c r="S122" i="2"/>
  <c r="E122" i="2"/>
  <c r="AH122" i="2"/>
  <c r="Z122" i="2"/>
  <c r="R122" i="2"/>
  <c r="D122" i="2"/>
  <c r="AG122" i="2"/>
  <c r="Y122" i="2"/>
  <c r="Q122" i="2"/>
  <c r="AF122" i="2"/>
  <c r="X122" i="2"/>
  <c r="P122" i="2"/>
  <c r="AE122" i="2"/>
  <c r="W122" i="2"/>
  <c r="J122" i="2"/>
  <c r="AD122" i="2"/>
  <c r="V122" i="2"/>
  <c r="AB122" i="2"/>
  <c r="T122" i="2"/>
  <c r="G122" i="2"/>
  <c r="AC122" i="2"/>
  <c r="U122" i="2"/>
  <c r="AI130" i="2"/>
  <c r="AA130" i="2"/>
  <c r="S130" i="2"/>
  <c r="E130" i="2"/>
  <c r="AH130" i="2"/>
  <c r="Z130" i="2"/>
  <c r="R130" i="2"/>
  <c r="D130" i="2"/>
  <c r="AG130" i="2"/>
  <c r="Y130" i="2"/>
  <c r="Q130" i="2"/>
  <c r="AF130" i="2"/>
  <c r="X130" i="2"/>
  <c r="P130" i="2"/>
  <c r="AE130" i="2"/>
  <c r="W130" i="2"/>
  <c r="J130" i="2"/>
  <c r="AD130" i="2"/>
  <c r="V130" i="2"/>
  <c r="AB130" i="2"/>
  <c r="T130" i="2"/>
  <c r="G130" i="2"/>
  <c r="AC130" i="2"/>
  <c r="U130" i="2"/>
  <c r="H130" i="2"/>
  <c r="AH138" i="2"/>
  <c r="Z138" i="2"/>
  <c r="R138" i="2"/>
  <c r="D138" i="2"/>
  <c r="AD138" i="2"/>
  <c r="V138" i="2"/>
  <c r="AF138" i="2"/>
  <c r="U138" i="2"/>
  <c r="G138" i="2"/>
  <c r="AE138" i="2"/>
  <c r="T138" i="2"/>
  <c r="E138" i="2"/>
  <c r="AC138" i="2"/>
  <c r="S138" i="2"/>
  <c r="AB138" i="2"/>
  <c r="Q138" i="2"/>
  <c r="AA138" i="2"/>
  <c r="P138" i="2"/>
  <c r="Y138" i="2"/>
  <c r="J138" i="2"/>
  <c r="AG138" i="2"/>
  <c r="W138" i="2"/>
  <c r="H138" i="2"/>
  <c r="X138" i="2"/>
  <c r="AH146" i="2"/>
  <c r="Z146" i="2"/>
  <c r="R146" i="2"/>
  <c r="D146" i="2"/>
  <c r="AF146" i="2"/>
  <c r="X146" i="2"/>
  <c r="P146" i="2"/>
  <c r="AD146" i="2"/>
  <c r="V146" i="2"/>
  <c r="AC146" i="2"/>
  <c r="U146" i="2"/>
  <c r="H146" i="2"/>
  <c r="AB146" i="2"/>
  <c r="T146" i="2"/>
  <c r="G146" i="2"/>
  <c r="AI146" i="2"/>
  <c r="J146" i="2"/>
  <c r="AG146" i="2"/>
  <c r="AE146" i="2"/>
  <c r="E146" i="2"/>
  <c r="AA146" i="2"/>
  <c r="Y146" i="2"/>
  <c r="W146" i="2"/>
  <c r="Q146" i="2"/>
  <c r="S146" i="2"/>
  <c r="AH154" i="2"/>
  <c r="Z154" i="2"/>
  <c r="R154" i="2"/>
  <c r="D154" i="2"/>
  <c r="AF154" i="2"/>
  <c r="X154" i="2"/>
  <c r="P154" i="2"/>
  <c r="AD154" i="2"/>
  <c r="V154" i="2"/>
  <c r="AC154" i="2"/>
  <c r="U154" i="2"/>
  <c r="H154" i="2"/>
  <c r="AB154" i="2"/>
  <c r="T154" i="2"/>
  <c r="G154" i="2"/>
  <c r="S154" i="2"/>
  <c r="Q154" i="2"/>
  <c r="AI154" i="2"/>
  <c r="J154" i="2"/>
  <c r="AG154" i="2"/>
  <c r="AE154" i="2"/>
  <c r="E154" i="2"/>
  <c r="AA154" i="2"/>
  <c r="W154" i="2"/>
  <c r="Y154" i="2"/>
  <c r="AH162" i="2"/>
  <c r="Z162" i="2"/>
  <c r="R162" i="2"/>
  <c r="D162" i="2"/>
  <c r="AF162" i="2"/>
  <c r="X162" i="2"/>
  <c r="P162" i="2"/>
  <c r="AE162" i="2"/>
  <c r="W162" i="2"/>
  <c r="J162" i="2"/>
  <c r="AD162" i="2"/>
  <c r="V162" i="2"/>
  <c r="AC162" i="2"/>
  <c r="U162" i="2"/>
  <c r="H162" i="2"/>
  <c r="AB162" i="2"/>
  <c r="T162" i="2"/>
  <c r="G162" i="2"/>
  <c r="AA162" i="2"/>
  <c r="Y162" i="2"/>
  <c r="S162" i="2"/>
  <c r="Q162" i="2"/>
  <c r="E162" i="2"/>
  <c r="AG162" i="2"/>
  <c r="AI162" i="2"/>
  <c r="AH170" i="2"/>
  <c r="Z170" i="2"/>
  <c r="R170" i="2"/>
  <c r="D170" i="2"/>
  <c r="AG170" i="2"/>
  <c r="Y170" i="2"/>
  <c r="Q170" i="2"/>
  <c r="AF170" i="2"/>
  <c r="X170" i="2"/>
  <c r="P170" i="2"/>
  <c r="AD170" i="2"/>
  <c r="V170" i="2"/>
  <c r="T170" i="2"/>
  <c r="AI170" i="2"/>
  <c r="S170" i="2"/>
  <c r="AE170" i="2"/>
  <c r="J170" i="2"/>
  <c r="AC170" i="2"/>
  <c r="AB170" i="2"/>
  <c r="H170" i="2"/>
  <c r="AA170" i="2"/>
  <c r="G170" i="2"/>
  <c r="W170" i="2"/>
  <c r="E170" i="2"/>
  <c r="AH178" i="2"/>
  <c r="Z178" i="2"/>
  <c r="R178" i="2"/>
  <c r="D178" i="2"/>
  <c r="AG178" i="2"/>
  <c r="Y178" i="2"/>
  <c r="Q178" i="2"/>
  <c r="AF178" i="2"/>
  <c r="X178" i="2"/>
  <c r="P178" i="2"/>
  <c r="AD178" i="2"/>
  <c r="V178" i="2"/>
  <c r="W178" i="2"/>
  <c r="E178" i="2"/>
  <c r="U178" i="2"/>
  <c r="T178" i="2"/>
  <c r="AI178" i="2"/>
  <c r="S178" i="2"/>
  <c r="AE178" i="2"/>
  <c r="J178" i="2"/>
  <c r="AC178" i="2"/>
  <c r="AB178" i="2"/>
  <c r="H178" i="2"/>
  <c r="AA178" i="2"/>
  <c r="G178" i="2"/>
  <c r="AI186" i="2"/>
  <c r="AA186" i="2"/>
  <c r="S186" i="2"/>
  <c r="E186" i="2"/>
  <c r="AH186" i="2"/>
  <c r="Z186" i="2"/>
  <c r="R186" i="2"/>
  <c r="D186" i="2"/>
  <c r="AG186" i="2"/>
  <c r="Y186" i="2"/>
  <c r="Q186" i="2"/>
  <c r="AF186" i="2"/>
  <c r="X186" i="2"/>
  <c r="P186" i="2"/>
  <c r="AE186" i="2"/>
  <c r="W186" i="2"/>
  <c r="J186" i="2"/>
  <c r="AD186" i="2"/>
  <c r="V186" i="2"/>
  <c r="G186" i="2"/>
  <c r="AC186" i="2"/>
  <c r="AB186" i="2"/>
  <c r="U186" i="2"/>
  <c r="T186" i="2"/>
  <c r="H186" i="2"/>
  <c r="AI194" i="2"/>
  <c r="AA194" i="2"/>
  <c r="S194" i="2"/>
  <c r="E194" i="2"/>
  <c r="AH194" i="2"/>
  <c r="Z194" i="2"/>
  <c r="R194" i="2"/>
  <c r="D194" i="2"/>
  <c r="AG194" i="2"/>
  <c r="Y194" i="2"/>
  <c r="Q194" i="2"/>
  <c r="AF194" i="2"/>
  <c r="X194" i="2"/>
  <c r="P194" i="2"/>
  <c r="AE194" i="2"/>
  <c r="W194" i="2"/>
  <c r="J194" i="2"/>
  <c r="AD194" i="2"/>
  <c r="V194" i="2"/>
  <c r="AC194" i="2"/>
  <c r="AB194" i="2"/>
  <c r="U194" i="2"/>
  <c r="T194" i="2"/>
  <c r="H194" i="2"/>
  <c r="G194" i="2"/>
  <c r="AI202" i="2"/>
  <c r="AA202" i="2"/>
  <c r="S202" i="2"/>
  <c r="E202" i="2"/>
  <c r="AH202" i="2"/>
  <c r="Z202" i="2"/>
  <c r="R202" i="2"/>
  <c r="D202" i="2"/>
  <c r="AG202" i="2"/>
  <c r="Y202" i="2"/>
  <c r="Q202" i="2"/>
  <c r="AF202" i="2"/>
  <c r="X202" i="2"/>
  <c r="P202" i="2"/>
  <c r="AE202" i="2"/>
  <c r="W202" i="2"/>
  <c r="J202" i="2"/>
  <c r="AD202" i="2"/>
  <c r="V202" i="2"/>
  <c r="U202" i="2"/>
  <c r="T202" i="2"/>
  <c r="H202" i="2"/>
  <c r="G202" i="2"/>
  <c r="AC202" i="2"/>
  <c r="AB202" i="2"/>
  <c r="AB210" i="2"/>
  <c r="T210" i="2"/>
  <c r="G210" i="2"/>
  <c r="AG210" i="2"/>
  <c r="Y210" i="2"/>
  <c r="Q210" i="2"/>
  <c r="AE210" i="2"/>
  <c r="W210" i="2"/>
  <c r="J210" i="2"/>
  <c r="AD210" i="2"/>
  <c r="V210" i="2"/>
  <c r="Z210" i="2"/>
  <c r="E210" i="2"/>
  <c r="X210" i="2"/>
  <c r="D210" i="2"/>
  <c r="U210" i="2"/>
  <c r="AI210" i="2"/>
  <c r="S210" i="2"/>
  <c r="AH210" i="2"/>
  <c r="R210" i="2"/>
  <c r="AF210" i="2"/>
  <c r="P210" i="2"/>
  <c r="AC210" i="2"/>
  <c r="AA210" i="2"/>
  <c r="H210" i="2"/>
  <c r="AB42" i="2"/>
  <c r="Z56" i="2"/>
  <c r="X62" i="2"/>
  <c r="Z64" i="2"/>
  <c r="X70" i="2"/>
  <c r="Z72" i="2"/>
  <c r="X78" i="2"/>
  <c r="Z80" i="2"/>
  <c r="X86" i="2"/>
  <c r="Z88" i="2"/>
  <c r="X94" i="2"/>
  <c r="AA101" i="2"/>
  <c r="X106" i="2"/>
  <c r="AG112" i="2"/>
  <c r="AE43" i="2"/>
  <c r="Y43" i="2"/>
  <c r="R43" i="2"/>
  <c r="Q43" i="2"/>
  <c r="AG43" i="2"/>
  <c r="AE59" i="2"/>
  <c r="W59" i="2"/>
  <c r="J59" i="2"/>
  <c r="AD59" i="2"/>
  <c r="V59" i="2"/>
  <c r="AC59" i="2"/>
  <c r="U59" i="2"/>
  <c r="H59" i="2"/>
  <c r="AB59" i="2"/>
  <c r="T59" i="2"/>
  <c r="G59" i="2"/>
  <c r="AI59" i="2"/>
  <c r="AA59" i="2"/>
  <c r="S59" i="2"/>
  <c r="AG59" i="2"/>
  <c r="Y59" i="2"/>
  <c r="Q59" i="2"/>
  <c r="AE67" i="2"/>
  <c r="W67" i="2"/>
  <c r="J67" i="2"/>
  <c r="AD67" i="2"/>
  <c r="V67" i="2"/>
  <c r="AC67" i="2"/>
  <c r="U67" i="2"/>
  <c r="H67" i="2"/>
  <c r="AB67" i="2"/>
  <c r="T67" i="2"/>
  <c r="G67" i="2"/>
  <c r="AI67" i="2"/>
  <c r="AA67" i="2"/>
  <c r="S67" i="2"/>
  <c r="E67" i="2"/>
  <c r="AG67" i="2"/>
  <c r="Y67" i="2"/>
  <c r="Q67" i="2"/>
  <c r="AE75" i="2"/>
  <c r="W75" i="2"/>
  <c r="J75" i="2"/>
  <c r="AD75" i="2"/>
  <c r="V75" i="2"/>
  <c r="AC75" i="2"/>
  <c r="U75" i="2"/>
  <c r="H75" i="2"/>
  <c r="AB75" i="2"/>
  <c r="T75" i="2"/>
  <c r="G75" i="2"/>
  <c r="AI75" i="2"/>
  <c r="AA75" i="2"/>
  <c r="S75" i="2"/>
  <c r="E75" i="2"/>
  <c r="AG75" i="2"/>
  <c r="Y75" i="2"/>
  <c r="Q75" i="2"/>
  <c r="AE83" i="2"/>
  <c r="W83" i="2"/>
  <c r="J83" i="2"/>
  <c r="AD83" i="2"/>
  <c r="V83" i="2"/>
  <c r="AC83" i="2"/>
  <c r="U83" i="2"/>
  <c r="H83" i="2"/>
  <c r="AB83" i="2"/>
  <c r="T83" i="2"/>
  <c r="G83" i="2"/>
  <c r="AI83" i="2"/>
  <c r="AA83" i="2"/>
  <c r="S83" i="2"/>
  <c r="E83" i="2"/>
  <c r="AG83" i="2"/>
  <c r="Y83" i="2"/>
  <c r="Q83" i="2"/>
  <c r="AE91" i="2"/>
  <c r="W91" i="2"/>
  <c r="J91" i="2"/>
  <c r="AD91" i="2"/>
  <c r="V91" i="2"/>
  <c r="AC91" i="2"/>
  <c r="U91" i="2"/>
  <c r="H91" i="2"/>
  <c r="AB91" i="2"/>
  <c r="T91" i="2"/>
  <c r="G91" i="2"/>
  <c r="AI91" i="2"/>
  <c r="AA91" i="2"/>
  <c r="S91" i="2"/>
  <c r="E91" i="2"/>
  <c r="AG91" i="2"/>
  <c r="Y91" i="2"/>
  <c r="Q91" i="2"/>
  <c r="AC99" i="2"/>
  <c r="U99" i="2"/>
  <c r="H99" i="2"/>
  <c r="AB99" i="2"/>
  <c r="T99" i="2"/>
  <c r="G99" i="2"/>
  <c r="AI99" i="2"/>
  <c r="AA99" i="2"/>
  <c r="S99" i="2"/>
  <c r="E99" i="2"/>
  <c r="AG99" i="2"/>
  <c r="Y99" i="2"/>
  <c r="Q99" i="2"/>
  <c r="AF99" i="2"/>
  <c r="X99" i="2"/>
  <c r="P99" i="2"/>
  <c r="AD99" i="2"/>
  <c r="V99" i="2"/>
  <c r="J99" i="2"/>
  <c r="D99" i="2"/>
  <c r="AH99" i="2"/>
  <c r="AE99" i="2"/>
  <c r="W99" i="2"/>
  <c r="AC107" i="2"/>
  <c r="U107" i="2"/>
  <c r="H107" i="2"/>
  <c r="AB107" i="2"/>
  <c r="T107" i="2"/>
  <c r="G107" i="2"/>
  <c r="AI107" i="2"/>
  <c r="AA107" i="2"/>
  <c r="S107" i="2"/>
  <c r="E107" i="2"/>
  <c r="AG107" i="2"/>
  <c r="Y107" i="2"/>
  <c r="Q107" i="2"/>
  <c r="AF107" i="2"/>
  <c r="X107" i="2"/>
  <c r="P107" i="2"/>
  <c r="AD107" i="2"/>
  <c r="V107" i="2"/>
  <c r="D107" i="2"/>
  <c r="AH107" i="2"/>
  <c r="AE107" i="2"/>
  <c r="Z107" i="2"/>
  <c r="W107" i="2"/>
  <c r="J107" i="2"/>
  <c r="AC115" i="2"/>
  <c r="U115" i="2"/>
  <c r="H115" i="2"/>
  <c r="AB115" i="2"/>
  <c r="T115" i="2"/>
  <c r="G115" i="2"/>
  <c r="AI115" i="2"/>
  <c r="AA115" i="2"/>
  <c r="S115" i="2"/>
  <c r="E115" i="2"/>
  <c r="AH115" i="2"/>
  <c r="Z115" i="2"/>
  <c r="R115" i="2"/>
  <c r="D115" i="2"/>
  <c r="AG115" i="2"/>
  <c r="Y115" i="2"/>
  <c r="Q115" i="2"/>
  <c r="AF115" i="2"/>
  <c r="X115" i="2"/>
  <c r="P115" i="2"/>
  <c r="AD115" i="2"/>
  <c r="V115" i="2"/>
  <c r="AE115" i="2"/>
  <c r="J115" i="2"/>
  <c r="AC123" i="2"/>
  <c r="U123" i="2"/>
  <c r="H123" i="2"/>
  <c r="AB123" i="2"/>
  <c r="T123" i="2"/>
  <c r="G123" i="2"/>
  <c r="AI123" i="2"/>
  <c r="AA123" i="2"/>
  <c r="S123" i="2"/>
  <c r="E123" i="2"/>
  <c r="AH123" i="2"/>
  <c r="Z123" i="2"/>
  <c r="R123" i="2"/>
  <c r="D123" i="2"/>
  <c r="AG123" i="2"/>
  <c r="Y123" i="2"/>
  <c r="Q123" i="2"/>
  <c r="AF123" i="2"/>
  <c r="X123" i="2"/>
  <c r="P123" i="2"/>
  <c r="AD123" i="2"/>
  <c r="V123" i="2"/>
  <c r="AE123" i="2"/>
  <c r="W123" i="2"/>
  <c r="J123" i="2"/>
  <c r="AB131" i="2"/>
  <c r="T131" i="2"/>
  <c r="AF131" i="2"/>
  <c r="X131" i="2"/>
  <c r="AG131" i="2"/>
  <c r="V131" i="2"/>
  <c r="H131" i="2"/>
  <c r="AE131" i="2"/>
  <c r="U131" i="2"/>
  <c r="G131" i="2"/>
  <c r="AD131" i="2"/>
  <c r="S131" i="2"/>
  <c r="E131" i="2"/>
  <c r="AC131" i="2"/>
  <c r="R131" i="2"/>
  <c r="D131" i="2"/>
  <c r="AA131" i="2"/>
  <c r="Q131" i="2"/>
  <c r="Z131" i="2"/>
  <c r="P131" i="2"/>
  <c r="AH131" i="2"/>
  <c r="W131" i="2"/>
  <c r="AI131" i="2"/>
  <c r="Y131" i="2"/>
  <c r="J131" i="2"/>
  <c r="AB139" i="2"/>
  <c r="T139" i="2"/>
  <c r="G139" i="2"/>
  <c r="AF139" i="2"/>
  <c r="X139" i="2"/>
  <c r="P139" i="2"/>
  <c r="AG139" i="2"/>
  <c r="V139" i="2"/>
  <c r="E139" i="2"/>
  <c r="AE139" i="2"/>
  <c r="U139" i="2"/>
  <c r="D139" i="2"/>
  <c r="AD139" i="2"/>
  <c r="S139" i="2"/>
  <c r="AC139" i="2"/>
  <c r="R139" i="2"/>
  <c r="AA139" i="2"/>
  <c r="Q139" i="2"/>
  <c r="Z139" i="2"/>
  <c r="J139" i="2"/>
  <c r="AH139" i="2"/>
  <c r="W139" i="2"/>
  <c r="H139" i="2"/>
  <c r="AI139" i="2"/>
  <c r="Y139" i="2"/>
  <c r="AB147" i="2"/>
  <c r="T147" i="2"/>
  <c r="G147" i="2"/>
  <c r="AH147" i="2"/>
  <c r="Z147" i="2"/>
  <c r="R147" i="2"/>
  <c r="D147" i="2"/>
  <c r="AF147" i="2"/>
  <c r="X147" i="2"/>
  <c r="P147" i="2"/>
  <c r="AE147" i="2"/>
  <c r="W147" i="2"/>
  <c r="J147" i="2"/>
  <c r="AD147" i="2"/>
  <c r="V147" i="2"/>
  <c r="Q147" i="2"/>
  <c r="AI147" i="2"/>
  <c r="AG147" i="2"/>
  <c r="H147" i="2"/>
  <c r="AC147" i="2"/>
  <c r="E147" i="2"/>
  <c r="AA147" i="2"/>
  <c r="Y147" i="2"/>
  <c r="S147" i="2"/>
  <c r="U147" i="2"/>
  <c r="AB155" i="2"/>
  <c r="T155" i="2"/>
  <c r="G155" i="2"/>
  <c r="AH155" i="2"/>
  <c r="Z155" i="2"/>
  <c r="R155" i="2"/>
  <c r="D155" i="2"/>
  <c r="AG155" i="2"/>
  <c r="Y155" i="2"/>
  <c r="Q155" i="2"/>
  <c r="AF155" i="2"/>
  <c r="X155" i="2"/>
  <c r="P155" i="2"/>
  <c r="AE155" i="2"/>
  <c r="W155" i="2"/>
  <c r="J155" i="2"/>
  <c r="AD155" i="2"/>
  <c r="V155" i="2"/>
  <c r="AA155" i="2"/>
  <c r="U155" i="2"/>
  <c r="S155" i="2"/>
  <c r="H155" i="2"/>
  <c r="E155" i="2"/>
  <c r="AC155" i="2"/>
  <c r="AI155" i="2"/>
  <c r="AB163" i="2"/>
  <c r="T163" i="2"/>
  <c r="G163" i="2"/>
  <c r="AH163" i="2"/>
  <c r="Z163" i="2"/>
  <c r="R163" i="2"/>
  <c r="D163" i="2"/>
  <c r="AG163" i="2"/>
  <c r="Y163" i="2"/>
  <c r="Q163" i="2"/>
  <c r="AF163" i="2"/>
  <c r="X163" i="2"/>
  <c r="P163" i="2"/>
  <c r="AE163" i="2"/>
  <c r="W163" i="2"/>
  <c r="J163" i="2"/>
  <c r="AD163" i="2"/>
  <c r="V163" i="2"/>
  <c r="H163" i="2"/>
  <c r="E163" i="2"/>
  <c r="AI163" i="2"/>
  <c r="AC163" i="2"/>
  <c r="AA163" i="2"/>
  <c r="U163" i="2"/>
  <c r="AB171" i="2"/>
  <c r="T171" i="2"/>
  <c r="G171" i="2"/>
  <c r="AI171" i="2"/>
  <c r="AA171" i="2"/>
  <c r="S171" i="2"/>
  <c r="E171" i="2"/>
  <c r="AH171" i="2"/>
  <c r="Z171" i="2"/>
  <c r="R171" i="2"/>
  <c r="D171" i="2"/>
  <c r="AF171" i="2"/>
  <c r="X171" i="2"/>
  <c r="P171" i="2"/>
  <c r="U171" i="2"/>
  <c r="AG171" i="2"/>
  <c r="Q171" i="2"/>
  <c r="AE171" i="2"/>
  <c r="J171" i="2"/>
  <c r="AD171" i="2"/>
  <c r="AC171" i="2"/>
  <c r="H171" i="2"/>
  <c r="Y171" i="2"/>
  <c r="W171" i="2"/>
  <c r="V171" i="2"/>
  <c r="AB179" i="2"/>
  <c r="T179" i="2"/>
  <c r="G179" i="2"/>
  <c r="AI179" i="2"/>
  <c r="AA179" i="2"/>
  <c r="S179" i="2"/>
  <c r="E179" i="2"/>
  <c r="AH179" i="2"/>
  <c r="Z179" i="2"/>
  <c r="R179" i="2"/>
  <c r="D179" i="2"/>
  <c r="AF179" i="2"/>
  <c r="X179" i="2"/>
  <c r="P179" i="2"/>
  <c r="W179" i="2"/>
  <c r="V179" i="2"/>
  <c r="U179" i="2"/>
  <c r="AG179" i="2"/>
  <c r="Q179" i="2"/>
  <c r="AE179" i="2"/>
  <c r="J179" i="2"/>
  <c r="AD179" i="2"/>
  <c r="AC179" i="2"/>
  <c r="H179" i="2"/>
  <c r="Y179" i="2"/>
  <c r="AC187" i="2"/>
  <c r="U187" i="2"/>
  <c r="H187" i="2"/>
  <c r="AB187" i="2"/>
  <c r="T187" i="2"/>
  <c r="G187" i="2"/>
  <c r="AI187" i="2"/>
  <c r="AA187" i="2"/>
  <c r="S187" i="2"/>
  <c r="E187" i="2"/>
  <c r="AH187" i="2"/>
  <c r="Z187" i="2"/>
  <c r="R187" i="2"/>
  <c r="D187" i="2"/>
  <c r="AG187" i="2"/>
  <c r="Y187" i="2"/>
  <c r="Q187" i="2"/>
  <c r="AF187" i="2"/>
  <c r="X187" i="2"/>
  <c r="P187" i="2"/>
  <c r="AE187" i="2"/>
  <c r="AD187" i="2"/>
  <c r="W187" i="2"/>
  <c r="V187" i="2"/>
  <c r="J187" i="2"/>
  <c r="AC195" i="2"/>
  <c r="U195" i="2"/>
  <c r="H195" i="2"/>
  <c r="AB195" i="2"/>
  <c r="T195" i="2"/>
  <c r="G195" i="2"/>
  <c r="AI195" i="2"/>
  <c r="AA195" i="2"/>
  <c r="S195" i="2"/>
  <c r="E195" i="2"/>
  <c r="AH195" i="2"/>
  <c r="Z195" i="2"/>
  <c r="R195" i="2"/>
  <c r="D195" i="2"/>
  <c r="AG195" i="2"/>
  <c r="Y195" i="2"/>
  <c r="Q195" i="2"/>
  <c r="AF195" i="2"/>
  <c r="X195" i="2"/>
  <c r="P195" i="2"/>
  <c r="W195" i="2"/>
  <c r="V195" i="2"/>
  <c r="J195" i="2"/>
  <c r="AE195" i="2"/>
  <c r="AD195" i="2"/>
  <c r="AC203" i="2"/>
  <c r="U203" i="2"/>
  <c r="H203" i="2"/>
  <c r="AB203" i="2"/>
  <c r="T203" i="2"/>
  <c r="G203" i="2"/>
  <c r="AI203" i="2"/>
  <c r="AA203" i="2"/>
  <c r="S203" i="2"/>
  <c r="E203" i="2"/>
  <c r="AH203" i="2"/>
  <c r="Z203" i="2"/>
  <c r="R203" i="2"/>
  <c r="D203" i="2"/>
  <c r="AG203" i="2"/>
  <c r="Y203" i="2"/>
  <c r="Q203" i="2"/>
  <c r="AF203" i="2"/>
  <c r="X203" i="2"/>
  <c r="P203" i="2"/>
  <c r="J203" i="2"/>
  <c r="AE203" i="2"/>
  <c r="AD203" i="2"/>
  <c r="W203" i="2"/>
  <c r="V203" i="2"/>
  <c r="AD211" i="2"/>
  <c r="V211" i="2"/>
  <c r="AI211" i="2"/>
  <c r="AA211" i="2"/>
  <c r="S211" i="2"/>
  <c r="E211" i="2"/>
  <c r="AG211" i="2"/>
  <c r="Y211" i="2"/>
  <c r="Q211" i="2"/>
  <c r="AF211" i="2"/>
  <c r="X211" i="2"/>
  <c r="P211" i="2"/>
  <c r="T211" i="2"/>
  <c r="AH211" i="2"/>
  <c r="R211" i="2"/>
  <c r="AE211" i="2"/>
  <c r="J211" i="2"/>
  <c r="AC211" i="2"/>
  <c r="AB211" i="2"/>
  <c r="H211" i="2"/>
  <c r="Z211" i="2"/>
  <c r="G211" i="2"/>
  <c r="W211" i="2"/>
  <c r="U211" i="2"/>
  <c r="D211" i="2"/>
  <c r="AD219" i="2"/>
  <c r="V219" i="2"/>
  <c r="AC219" i="2"/>
  <c r="U219" i="2"/>
  <c r="H219" i="2"/>
  <c r="AI219" i="2"/>
  <c r="AA219" i="2"/>
  <c r="S219" i="2"/>
  <c r="E219" i="2"/>
  <c r="AH219" i="2"/>
  <c r="Z219" i="2"/>
  <c r="R219" i="2"/>
  <c r="D219" i="2"/>
  <c r="AG219" i="2"/>
  <c r="Y219" i="2"/>
  <c r="Q219" i="2"/>
  <c r="AF219" i="2"/>
  <c r="X219" i="2"/>
  <c r="P219" i="2"/>
  <c r="AE219" i="2"/>
  <c r="AB219" i="2"/>
  <c r="W219" i="2"/>
  <c r="T219" i="2"/>
  <c r="J219" i="2"/>
  <c r="G219" i="2"/>
  <c r="AD227" i="2"/>
  <c r="V227" i="2"/>
  <c r="AC227" i="2"/>
  <c r="U227" i="2"/>
  <c r="H227" i="2"/>
  <c r="AI227" i="2"/>
  <c r="AA227" i="2"/>
  <c r="S227" i="2"/>
  <c r="E227" i="2"/>
  <c r="AH227" i="2"/>
  <c r="Z227" i="2"/>
  <c r="R227" i="2"/>
  <c r="D227" i="2"/>
  <c r="AG227" i="2"/>
  <c r="Y227" i="2"/>
  <c r="Q227" i="2"/>
  <c r="AF227" i="2"/>
  <c r="X227" i="2"/>
  <c r="P227" i="2"/>
  <c r="AB227" i="2"/>
  <c r="W227" i="2"/>
  <c r="T227" i="2"/>
  <c r="J227" i="2"/>
  <c r="G227" i="2"/>
  <c r="AE227" i="2"/>
  <c r="AC235" i="2"/>
  <c r="U235" i="2"/>
  <c r="H235" i="2"/>
  <c r="AF235" i="2"/>
  <c r="X235" i="2"/>
  <c r="P235" i="2"/>
  <c r="AG235" i="2"/>
  <c r="V235" i="2"/>
  <c r="E235" i="2"/>
  <c r="AE235" i="2"/>
  <c r="T235" i="2"/>
  <c r="D235" i="2"/>
  <c r="AB235" i="2"/>
  <c r="R235" i="2"/>
  <c r="AA235" i="2"/>
  <c r="Q235" i="2"/>
  <c r="Z235" i="2"/>
  <c r="J235" i="2"/>
  <c r="AI235" i="2"/>
  <c r="Y235" i="2"/>
  <c r="AD235" i="2"/>
  <c r="W235" i="2"/>
  <c r="S235" i="2"/>
  <c r="G235" i="2"/>
  <c r="AH235" i="2"/>
  <c r="AC243" i="2"/>
  <c r="U243" i="2"/>
  <c r="H243" i="2"/>
  <c r="AF243" i="2"/>
  <c r="X243" i="2"/>
  <c r="P243" i="2"/>
  <c r="AI243" i="2"/>
  <c r="Y243" i="2"/>
  <c r="AH243" i="2"/>
  <c r="W243" i="2"/>
  <c r="G243" i="2"/>
  <c r="AE243" i="2"/>
  <c r="T243" i="2"/>
  <c r="D243" i="2"/>
  <c r="AD243" i="2"/>
  <c r="S243" i="2"/>
  <c r="AB243" i="2"/>
  <c r="R243" i="2"/>
  <c r="AA243" i="2"/>
  <c r="Q243" i="2"/>
  <c r="AG243" i="2"/>
  <c r="Z243" i="2"/>
  <c r="V243" i="2"/>
  <c r="J243" i="2"/>
  <c r="E243" i="2"/>
  <c r="AC251" i="2"/>
  <c r="U251" i="2"/>
  <c r="H251" i="2"/>
  <c r="AH251" i="2"/>
  <c r="Z251" i="2"/>
  <c r="R251" i="2"/>
  <c r="D251" i="2"/>
  <c r="AF251" i="2"/>
  <c r="X251" i="2"/>
  <c r="P251" i="2"/>
  <c r="Y251" i="2"/>
  <c r="G251" i="2"/>
  <c r="W251" i="2"/>
  <c r="E251" i="2"/>
  <c r="AG251" i="2"/>
  <c r="T251" i="2"/>
  <c r="AE251" i="2"/>
  <c r="S251" i="2"/>
  <c r="AD251" i="2"/>
  <c r="Q251" i="2"/>
  <c r="AB251" i="2"/>
  <c r="J251" i="2"/>
  <c r="AA251" i="2"/>
  <c r="V251" i="2"/>
  <c r="AI251" i="2"/>
  <c r="AC259" i="2"/>
  <c r="U259" i="2"/>
  <c r="H259" i="2"/>
  <c r="AI259" i="2"/>
  <c r="AA259" i="2"/>
  <c r="S259" i="2"/>
  <c r="E259" i="2"/>
  <c r="AH259" i="2"/>
  <c r="Z259" i="2"/>
  <c r="R259" i="2"/>
  <c r="D259" i="2"/>
  <c r="AF259" i="2"/>
  <c r="X259" i="2"/>
  <c r="P259" i="2"/>
  <c r="AD259" i="2"/>
  <c r="AB259" i="2"/>
  <c r="G259" i="2"/>
  <c r="W259" i="2"/>
  <c r="V259" i="2"/>
  <c r="T259" i="2"/>
  <c r="AG259" i="2"/>
  <c r="Q259" i="2"/>
  <c r="AE259" i="2"/>
  <c r="Y259" i="2"/>
  <c r="J259" i="2"/>
  <c r="AB267" i="2"/>
  <c r="T267" i="2"/>
  <c r="G267" i="2"/>
  <c r="AE267" i="2"/>
  <c r="W267" i="2"/>
  <c r="J267" i="2"/>
  <c r="AD267" i="2"/>
  <c r="V267" i="2"/>
  <c r="Y267" i="2"/>
  <c r="H267" i="2"/>
  <c r="AH267" i="2"/>
  <c r="U267" i="2"/>
  <c r="D267" i="2"/>
  <c r="AG267" i="2"/>
  <c r="S267" i="2"/>
  <c r="AC267" i="2"/>
  <c r="Q267" i="2"/>
  <c r="Z267" i="2"/>
  <c r="X267" i="2"/>
  <c r="P267" i="2"/>
  <c r="AI267" i="2"/>
  <c r="E267" i="2"/>
  <c r="AF267" i="2"/>
  <c r="R267" i="2"/>
  <c r="AA267" i="2"/>
  <c r="AB275" i="2"/>
  <c r="T275" i="2"/>
  <c r="G275" i="2"/>
  <c r="AG275" i="2"/>
  <c r="Y275" i="2"/>
  <c r="Q275" i="2"/>
  <c r="AE275" i="2"/>
  <c r="W275" i="2"/>
  <c r="J275" i="2"/>
  <c r="AD275" i="2"/>
  <c r="V275" i="2"/>
  <c r="AA275" i="2"/>
  <c r="H275" i="2"/>
  <c r="X275" i="2"/>
  <c r="D275" i="2"/>
  <c r="U275" i="2"/>
  <c r="AH275" i="2"/>
  <c r="R275" i="2"/>
  <c r="E275" i="2"/>
  <c r="AI275" i="2"/>
  <c r="AF275" i="2"/>
  <c r="AC275" i="2"/>
  <c r="Z275" i="2"/>
  <c r="S275" i="2"/>
  <c r="P275" i="2"/>
  <c r="AB283" i="2"/>
  <c r="T283" i="2"/>
  <c r="G283" i="2"/>
  <c r="AG283" i="2"/>
  <c r="Y283" i="2"/>
  <c r="Q283" i="2"/>
  <c r="AE283" i="2"/>
  <c r="W283" i="2"/>
  <c r="J283" i="2"/>
  <c r="AD283" i="2"/>
  <c r="V283" i="2"/>
  <c r="AI283" i="2"/>
  <c r="S283" i="2"/>
  <c r="AH283" i="2"/>
  <c r="R283" i="2"/>
  <c r="AF283" i="2"/>
  <c r="P283" i="2"/>
  <c r="AC283" i="2"/>
  <c r="AA283" i="2"/>
  <c r="H283" i="2"/>
  <c r="Z283" i="2"/>
  <c r="E283" i="2"/>
  <c r="U283" i="2"/>
  <c r="D283" i="2"/>
  <c r="X283" i="2"/>
  <c r="AB291" i="2"/>
  <c r="T291" i="2"/>
  <c r="G291" i="2"/>
  <c r="AI291" i="2"/>
  <c r="AA291" i="2"/>
  <c r="S291" i="2"/>
  <c r="E291" i="2"/>
  <c r="AG291" i="2"/>
  <c r="Y291" i="2"/>
  <c r="Q291" i="2"/>
  <c r="AE291" i="2"/>
  <c r="W291" i="2"/>
  <c r="J291" i="2"/>
  <c r="AD291" i="2"/>
  <c r="V291" i="2"/>
  <c r="AH291" i="2"/>
  <c r="AF291" i="2"/>
  <c r="H291" i="2"/>
  <c r="AC291" i="2"/>
  <c r="D291" i="2"/>
  <c r="Z291" i="2"/>
  <c r="X291" i="2"/>
  <c r="U291" i="2"/>
  <c r="R291" i="2"/>
  <c r="P291" i="2"/>
  <c r="AG299" i="2"/>
  <c r="Y299" i="2"/>
  <c r="Q299" i="2"/>
  <c r="AE299" i="2"/>
  <c r="W299" i="2"/>
  <c r="J299" i="2"/>
  <c r="AC299" i="2"/>
  <c r="U299" i="2"/>
  <c r="H299" i="2"/>
  <c r="AI299" i="2"/>
  <c r="AA299" i="2"/>
  <c r="S299" i="2"/>
  <c r="E299" i="2"/>
  <c r="V299" i="2"/>
  <c r="T299" i="2"/>
  <c r="AF299" i="2"/>
  <c r="P299" i="2"/>
  <c r="AB299" i="2"/>
  <c r="G299" i="2"/>
  <c r="Z299" i="2"/>
  <c r="D299" i="2"/>
  <c r="AD299" i="2"/>
  <c r="X299" i="2"/>
  <c r="R299" i="2"/>
  <c r="AH299" i="2"/>
  <c r="AG307" i="2"/>
  <c r="Y307" i="2"/>
  <c r="Q307" i="2"/>
  <c r="AE307" i="2"/>
  <c r="W307" i="2"/>
  <c r="J307" i="2"/>
  <c r="AC307" i="2"/>
  <c r="U307" i="2"/>
  <c r="H307" i="2"/>
  <c r="AI307" i="2"/>
  <c r="AA307" i="2"/>
  <c r="S307" i="2"/>
  <c r="E307" i="2"/>
  <c r="V307" i="2"/>
  <c r="T307" i="2"/>
  <c r="AF307" i="2"/>
  <c r="P307" i="2"/>
  <c r="AB307" i="2"/>
  <c r="G307" i="2"/>
  <c r="Z307" i="2"/>
  <c r="D307" i="2"/>
  <c r="AH307" i="2"/>
  <c r="AD307" i="2"/>
  <c r="X307" i="2"/>
  <c r="R307" i="2"/>
  <c r="AG315" i="2"/>
  <c r="Y315" i="2"/>
  <c r="Q315" i="2"/>
  <c r="AE315" i="2"/>
  <c r="W315" i="2"/>
  <c r="J315" i="2"/>
  <c r="AC315" i="2"/>
  <c r="U315" i="2"/>
  <c r="H315" i="2"/>
  <c r="AI315" i="2"/>
  <c r="AA315" i="2"/>
  <c r="S315" i="2"/>
  <c r="E315" i="2"/>
  <c r="V315" i="2"/>
  <c r="T315" i="2"/>
  <c r="AF315" i="2"/>
  <c r="P315" i="2"/>
  <c r="AB315" i="2"/>
  <c r="G315" i="2"/>
  <c r="Z315" i="2"/>
  <c r="D315" i="2"/>
  <c r="AD315" i="2"/>
  <c r="X315" i="2"/>
  <c r="R315" i="2"/>
  <c r="AH315" i="2"/>
  <c r="AG323" i="2"/>
  <c r="Y323" i="2"/>
  <c r="Q323" i="2"/>
  <c r="AE323" i="2"/>
  <c r="W323" i="2"/>
  <c r="J323" i="2"/>
  <c r="AC323" i="2"/>
  <c r="U323" i="2"/>
  <c r="H323" i="2"/>
  <c r="AB323" i="2"/>
  <c r="T323" i="2"/>
  <c r="G323" i="2"/>
  <c r="AI323" i="2"/>
  <c r="AA323" i="2"/>
  <c r="S323" i="2"/>
  <c r="E323" i="2"/>
  <c r="AF323" i="2"/>
  <c r="D323" i="2"/>
  <c r="AD323" i="2"/>
  <c r="X323" i="2"/>
  <c r="R323" i="2"/>
  <c r="P323" i="2"/>
  <c r="Z323" i="2"/>
  <c r="V323" i="2"/>
  <c r="AH323" i="2"/>
  <c r="AF331" i="2"/>
  <c r="X331" i="2"/>
  <c r="P331" i="2"/>
  <c r="AD331" i="2"/>
  <c r="V331" i="2"/>
  <c r="AG331" i="2"/>
  <c r="U331" i="2"/>
  <c r="G331" i="2"/>
  <c r="AC331" i="2"/>
  <c r="S331" i="2"/>
  <c r="D331" i="2"/>
  <c r="AA331" i="2"/>
  <c r="Q331" i="2"/>
  <c r="Z331" i="2"/>
  <c r="J331" i="2"/>
  <c r="AI331" i="2"/>
  <c r="Y331" i="2"/>
  <c r="R331" i="2"/>
  <c r="AH331" i="2"/>
  <c r="E331" i="2"/>
  <c r="AB331" i="2"/>
  <c r="W331" i="2"/>
  <c r="T331" i="2"/>
  <c r="H331" i="2"/>
  <c r="AE331" i="2"/>
  <c r="AH339" i="2"/>
  <c r="Z339" i="2"/>
  <c r="R339" i="2"/>
  <c r="D339" i="2"/>
  <c r="AF339" i="2"/>
  <c r="X339" i="2"/>
  <c r="P339" i="2"/>
  <c r="AD339" i="2"/>
  <c r="V339" i="2"/>
  <c r="AI339" i="2"/>
  <c r="AA339" i="2"/>
  <c r="S339" i="2"/>
  <c r="E339" i="2"/>
  <c r="U339" i="2"/>
  <c r="AG339" i="2"/>
  <c r="Q339" i="2"/>
  <c r="AC339" i="2"/>
  <c r="AB339" i="2"/>
  <c r="H339" i="2"/>
  <c r="Y339" i="2"/>
  <c r="G339" i="2"/>
  <c r="J339" i="2"/>
  <c r="AE339" i="2"/>
  <c r="W339" i="2"/>
  <c r="T339" i="2"/>
  <c r="AF347" i="2"/>
  <c r="X347" i="2"/>
  <c r="P347" i="2"/>
  <c r="AD347" i="2"/>
  <c r="V347" i="2"/>
  <c r="AB347" i="2"/>
  <c r="R347" i="2"/>
  <c r="Z347" i="2"/>
  <c r="J347" i="2"/>
  <c r="AH347" i="2"/>
  <c r="W347" i="2"/>
  <c r="H347" i="2"/>
  <c r="AC347" i="2"/>
  <c r="S347" i="2"/>
  <c r="D347" i="2"/>
  <c r="AA347" i="2"/>
  <c r="U347" i="2"/>
  <c r="T347" i="2"/>
  <c r="Q347" i="2"/>
  <c r="AI347" i="2"/>
  <c r="AG347" i="2"/>
  <c r="G347" i="2"/>
  <c r="Y347" i="2"/>
  <c r="AE347" i="2"/>
  <c r="E347" i="2"/>
  <c r="AH355" i="2"/>
  <c r="Z355" i="2"/>
  <c r="R355" i="2"/>
  <c r="D355" i="2"/>
  <c r="AD355" i="2"/>
  <c r="V355" i="2"/>
  <c r="AB355" i="2"/>
  <c r="Q355" i="2"/>
  <c r="AA355" i="2"/>
  <c r="P355" i="2"/>
  <c r="Y355" i="2"/>
  <c r="J355" i="2"/>
  <c r="AG355" i="2"/>
  <c r="W355" i="2"/>
  <c r="H355" i="2"/>
  <c r="T355" i="2"/>
  <c r="AI355" i="2"/>
  <c r="AE355" i="2"/>
  <c r="E355" i="2"/>
  <c r="U355" i="2"/>
  <c r="AF355" i="2"/>
  <c r="AC355" i="2"/>
  <c r="X355" i="2"/>
  <c r="S355" i="2"/>
  <c r="G355" i="2"/>
  <c r="AH363" i="2"/>
  <c r="Z363" i="2"/>
  <c r="R363" i="2"/>
  <c r="D363" i="2"/>
  <c r="AG363" i="2"/>
  <c r="Y363" i="2"/>
  <c r="Q363" i="2"/>
  <c r="AD363" i="2"/>
  <c r="V363" i="2"/>
  <c r="AE363" i="2"/>
  <c r="S363" i="2"/>
  <c r="AC363" i="2"/>
  <c r="P363" i="2"/>
  <c r="AB363" i="2"/>
  <c r="J363" i="2"/>
  <c r="AA363" i="2"/>
  <c r="X363" i="2"/>
  <c r="H363" i="2"/>
  <c r="W363" i="2"/>
  <c r="T363" i="2"/>
  <c r="G363" i="2"/>
  <c r="AF363" i="2"/>
  <c r="AI363" i="2"/>
  <c r="U363" i="2"/>
  <c r="E363" i="2"/>
  <c r="AH371" i="2"/>
  <c r="Z371" i="2"/>
  <c r="R371" i="2"/>
  <c r="D371" i="2"/>
  <c r="AG371" i="2"/>
  <c r="Y371" i="2"/>
  <c r="Q371" i="2"/>
  <c r="AD371" i="2"/>
  <c r="V371" i="2"/>
  <c r="AI371" i="2"/>
  <c r="U371" i="2"/>
  <c r="E371" i="2"/>
  <c r="AF371" i="2"/>
  <c r="T371" i="2"/>
  <c r="AE371" i="2"/>
  <c r="S371" i="2"/>
  <c r="AC371" i="2"/>
  <c r="P371" i="2"/>
  <c r="AB371" i="2"/>
  <c r="J371" i="2"/>
  <c r="X371" i="2"/>
  <c r="G371" i="2"/>
  <c r="AA371" i="2"/>
  <c r="W371" i="2"/>
  <c r="H371" i="2"/>
  <c r="AI379" i="2"/>
  <c r="AA379" i="2"/>
  <c r="S379" i="2"/>
  <c r="E379" i="2"/>
  <c r="AH379" i="2"/>
  <c r="Z379" i="2"/>
  <c r="R379" i="2"/>
  <c r="D379" i="2"/>
  <c r="AE379" i="2"/>
  <c r="W379" i="2"/>
  <c r="J379" i="2"/>
  <c r="AD379" i="2"/>
  <c r="Q379" i="2"/>
  <c r="AC379" i="2"/>
  <c r="P379" i="2"/>
  <c r="X379" i="2"/>
  <c r="G379" i="2"/>
  <c r="U379" i="2"/>
  <c r="T379" i="2"/>
  <c r="AG379" i="2"/>
  <c r="H379" i="2"/>
  <c r="AF379" i="2"/>
  <c r="Y379" i="2"/>
  <c r="AB379" i="2"/>
  <c r="V379" i="2"/>
  <c r="AI387" i="2"/>
  <c r="AA387" i="2"/>
  <c r="S387" i="2"/>
  <c r="E387" i="2"/>
  <c r="AH387" i="2"/>
  <c r="Z387" i="2"/>
  <c r="R387" i="2"/>
  <c r="D387" i="2"/>
  <c r="AE387" i="2"/>
  <c r="W387" i="2"/>
  <c r="J387" i="2"/>
  <c r="X387" i="2"/>
  <c r="G387" i="2"/>
  <c r="V387" i="2"/>
  <c r="AD387" i="2"/>
  <c r="Q387" i="2"/>
  <c r="AB387" i="2"/>
  <c r="Y387" i="2"/>
  <c r="U387" i="2"/>
  <c r="T387" i="2"/>
  <c r="P387" i="2"/>
  <c r="AC387" i="2"/>
  <c r="H387" i="2"/>
  <c r="AF387" i="2"/>
  <c r="AG387" i="2"/>
  <c r="AH395" i="2"/>
  <c r="Z395" i="2"/>
  <c r="R395" i="2"/>
  <c r="D395" i="2"/>
  <c r="AG395" i="2"/>
  <c r="Y395" i="2"/>
  <c r="Q395" i="2"/>
  <c r="AF395" i="2"/>
  <c r="X395" i="2"/>
  <c r="P395" i="2"/>
  <c r="AC395" i="2"/>
  <c r="U395" i="2"/>
  <c r="H395" i="2"/>
  <c r="AD395" i="2"/>
  <c r="AB395" i="2"/>
  <c r="G395" i="2"/>
  <c r="V395" i="2"/>
  <c r="W395" i="2"/>
  <c r="T395" i="2"/>
  <c r="AI395" i="2"/>
  <c r="AE395" i="2"/>
  <c r="AA395" i="2"/>
  <c r="S395" i="2"/>
  <c r="J395" i="2"/>
  <c r="E395" i="2"/>
  <c r="AI403" i="2"/>
  <c r="AA403" i="2"/>
  <c r="S403" i="2"/>
  <c r="E403" i="2"/>
  <c r="AH403" i="2"/>
  <c r="Z403" i="2"/>
  <c r="R403" i="2"/>
  <c r="D403" i="2"/>
  <c r="AG403" i="2"/>
  <c r="Y403" i="2"/>
  <c r="Q403" i="2"/>
  <c r="AF403" i="2"/>
  <c r="X403" i="2"/>
  <c r="P403" i="2"/>
  <c r="AE403" i="2"/>
  <c r="W403" i="2"/>
  <c r="J403" i="2"/>
  <c r="AD403" i="2"/>
  <c r="V403" i="2"/>
  <c r="AC403" i="2"/>
  <c r="U403" i="2"/>
  <c r="H403" i="2"/>
  <c r="AB403" i="2"/>
  <c r="G403" i="2"/>
  <c r="T403" i="2"/>
  <c r="AF411" i="2"/>
  <c r="X411" i="2"/>
  <c r="P411" i="2"/>
  <c r="AB411" i="2"/>
  <c r="T411" i="2"/>
  <c r="G411" i="2"/>
  <c r="AG411" i="2"/>
  <c r="V411" i="2"/>
  <c r="E411" i="2"/>
  <c r="AE411" i="2"/>
  <c r="U411" i="2"/>
  <c r="D411" i="2"/>
  <c r="AD411" i="2"/>
  <c r="S411" i="2"/>
  <c r="AC411" i="2"/>
  <c r="R411" i="2"/>
  <c r="AA411" i="2"/>
  <c r="Q411" i="2"/>
  <c r="Z411" i="2"/>
  <c r="J411" i="2"/>
  <c r="AI411" i="2"/>
  <c r="Y411" i="2"/>
  <c r="AH411" i="2"/>
  <c r="H411" i="2"/>
  <c r="W411" i="2"/>
  <c r="AG419" i="2"/>
  <c r="Y419" i="2"/>
  <c r="Q419" i="2"/>
  <c r="AF419" i="2"/>
  <c r="X419" i="2"/>
  <c r="P419" i="2"/>
  <c r="AE419" i="2"/>
  <c r="W419" i="2"/>
  <c r="J419" i="2"/>
  <c r="AD419" i="2"/>
  <c r="V419" i="2"/>
  <c r="AB419" i="2"/>
  <c r="T419" i="2"/>
  <c r="G419" i="2"/>
  <c r="AI419" i="2"/>
  <c r="AH419" i="2"/>
  <c r="H419" i="2"/>
  <c r="AC419" i="2"/>
  <c r="E419" i="2"/>
  <c r="AA419" i="2"/>
  <c r="D419" i="2"/>
  <c r="Z419" i="2"/>
  <c r="U419" i="2"/>
  <c r="S419" i="2"/>
  <c r="R419" i="2"/>
  <c r="AG427" i="2"/>
  <c r="Y427" i="2"/>
  <c r="Q427" i="2"/>
  <c r="AF427" i="2"/>
  <c r="X427" i="2"/>
  <c r="P427" i="2"/>
  <c r="AE427" i="2"/>
  <c r="W427" i="2"/>
  <c r="J427" i="2"/>
  <c r="AD427" i="2"/>
  <c r="V427" i="2"/>
  <c r="AC427" i="2"/>
  <c r="U427" i="2"/>
  <c r="H427" i="2"/>
  <c r="AB427" i="2"/>
  <c r="T427" i="2"/>
  <c r="G427" i="2"/>
  <c r="AA427" i="2"/>
  <c r="Z427" i="2"/>
  <c r="S427" i="2"/>
  <c r="R427" i="2"/>
  <c r="E427" i="2"/>
  <c r="AI427" i="2"/>
  <c r="D427" i="2"/>
  <c r="AH427" i="2"/>
  <c r="AE435" i="2"/>
  <c r="W435" i="2"/>
  <c r="J435" i="2"/>
  <c r="AI435" i="2"/>
  <c r="AA435" i="2"/>
  <c r="S435" i="2"/>
  <c r="E435" i="2"/>
  <c r="AG435" i="2"/>
  <c r="Y435" i="2"/>
  <c r="Q435" i="2"/>
  <c r="AF435" i="2"/>
  <c r="X435" i="2"/>
  <c r="P435" i="2"/>
  <c r="U435" i="2"/>
  <c r="T435" i="2"/>
  <c r="AH435" i="2"/>
  <c r="R435" i="2"/>
  <c r="AD435" i="2"/>
  <c r="AC435" i="2"/>
  <c r="H435" i="2"/>
  <c r="AB435" i="2"/>
  <c r="G435" i="2"/>
  <c r="Z435" i="2"/>
  <c r="D435" i="2"/>
  <c r="V435" i="2"/>
  <c r="AE443" i="2"/>
  <c r="W443" i="2"/>
  <c r="J443" i="2"/>
  <c r="AD443" i="2"/>
  <c r="V443" i="2"/>
  <c r="AC443" i="2"/>
  <c r="U443" i="2"/>
  <c r="H443" i="2"/>
  <c r="AB443" i="2"/>
  <c r="T443" i="2"/>
  <c r="G443" i="2"/>
  <c r="AI443" i="2"/>
  <c r="AA443" i="2"/>
  <c r="S443" i="2"/>
  <c r="E443" i="2"/>
  <c r="AH443" i="2"/>
  <c r="Z443" i="2"/>
  <c r="R443" i="2"/>
  <c r="D443" i="2"/>
  <c r="AG443" i="2"/>
  <c r="Y443" i="2"/>
  <c r="Q443" i="2"/>
  <c r="AF443" i="2"/>
  <c r="X443" i="2"/>
  <c r="P443" i="2"/>
  <c r="AE451" i="2"/>
  <c r="W451" i="2"/>
  <c r="J451" i="2"/>
  <c r="AD451" i="2"/>
  <c r="V451" i="2"/>
  <c r="AC451" i="2"/>
  <c r="U451" i="2"/>
  <c r="H451" i="2"/>
  <c r="AB451" i="2"/>
  <c r="T451" i="2"/>
  <c r="G451" i="2"/>
  <c r="AI451" i="2"/>
  <c r="AA451" i="2"/>
  <c r="S451" i="2"/>
  <c r="E451" i="2"/>
  <c r="AH451" i="2"/>
  <c r="Z451" i="2"/>
  <c r="R451" i="2"/>
  <c r="D451" i="2"/>
  <c r="AG451" i="2"/>
  <c r="Y451" i="2"/>
  <c r="Q451" i="2"/>
  <c r="AF451" i="2"/>
  <c r="X451" i="2"/>
  <c r="P451" i="2"/>
  <c r="AF59" i="2"/>
  <c r="AF67" i="2"/>
  <c r="AB72" i="2"/>
  <c r="T73" i="2"/>
  <c r="AF75" i="2"/>
  <c r="AB80" i="2"/>
  <c r="T81" i="2"/>
  <c r="AF83" i="2"/>
  <c r="AD86" i="2"/>
  <c r="AB88" i="2"/>
  <c r="T89" i="2"/>
  <c r="AF91" i="2"/>
  <c r="AD94" i="2"/>
  <c r="E96" i="2"/>
  <c r="AF106" i="2"/>
  <c r="Q120" i="2"/>
  <c r="AI138" i="2"/>
  <c r="AC160" i="2"/>
  <c r="S163" i="2"/>
  <c r="AE44" i="2"/>
  <c r="Z44" i="2"/>
  <c r="Y44" i="2"/>
  <c r="R44" i="2"/>
  <c r="Q44" i="2"/>
  <c r="AH44" i="2"/>
  <c r="Z43" i="2"/>
  <c r="AH56" i="2"/>
  <c r="BC56" i="2" s="1"/>
  <c r="V57" i="2"/>
  <c r="P58" i="2"/>
  <c r="AH59" i="2"/>
  <c r="AH64" i="2"/>
  <c r="V65" i="2"/>
  <c r="P66" i="2"/>
  <c r="AH67" i="2"/>
  <c r="AH72" i="2"/>
  <c r="V73" i="2"/>
  <c r="P74" i="2"/>
  <c r="AH75" i="2"/>
  <c r="AH80" i="2"/>
  <c r="V81" i="2"/>
  <c r="P82" i="2"/>
  <c r="AH83" i="2"/>
  <c r="AH88" i="2"/>
  <c r="V89" i="2"/>
  <c r="P90" i="2"/>
  <c r="AH91" i="2"/>
  <c r="S193" i="2"/>
  <c r="AC39" i="2"/>
  <c r="AF39" i="2"/>
  <c r="AE39" i="2"/>
  <c r="X39" i="2"/>
  <c r="W39" i="2"/>
  <c r="P39" i="2"/>
  <c r="AD45" i="2"/>
  <c r="AF45" i="2"/>
  <c r="Y45" i="2"/>
  <c r="X45" i="2"/>
  <c r="Q45" i="2"/>
  <c r="P45" i="2"/>
  <c r="AI61" i="2"/>
  <c r="AA61" i="2"/>
  <c r="S61" i="2"/>
  <c r="AH61" i="2"/>
  <c r="Z61" i="2"/>
  <c r="R61" i="2"/>
  <c r="AG61" i="2"/>
  <c r="Y61" i="2"/>
  <c r="Q61" i="2"/>
  <c r="AF61" i="2"/>
  <c r="X61" i="2"/>
  <c r="P61" i="2"/>
  <c r="AE61" i="2"/>
  <c r="W61" i="2"/>
  <c r="J61" i="2"/>
  <c r="AC61" i="2"/>
  <c r="U61" i="2"/>
  <c r="H61" i="2"/>
  <c r="AI69" i="2"/>
  <c r="AA69" i="2"/>
  <c r="S69" i="2"/>
  <c r="E69" i="2"/>
  <c r="AH69" i="2"/>
  <c r="Z69" i="2"/>
  <c r="R69" i="2"/>
  <c r="D69" i="2"/>
  <c r="AG69" i="2"/>
  <c r="Y69" i="2"/>
  <c r="Q69" i="2"/>
  <c r="AF69" i="2"/>
  <c r="X69" i="2"/>
  <c r="P69" i="2"/>
  <c r="AE69" i="2"/>
  <c r="W69" i="2"/>
  <c r="J69" i="2"/>
  <c r="AC69" i="2"/>
  <c r="U69" i="2"/>
  <c r="H69" i="2"/>
  <c r="AI77" i="2"/>
  <c r="AA77" i="2"/>
  <c r="S77" i="2"/>
  <c r="E77" i="2"/>
  <c r="AH77" i="2"/>
  <c r="Z77" i="2"/>
  <c r="R77" i="2"/>
  <c r="D77" i="2"/>
  <c r="AG77" i="2"/>
  <c r="Y77" i="2"/>
  <c r="Q77" i="2"/>
  <c r="AF77" i="2"/>
  <c r="X77" i="2"/>
  <c r="P77" i="2"/>
  <c r="AE77" i="2"/>
  <c r="W77" i="2"/>
  <c r="J77" i="2"/>
  <c r="AC77" i="2"/>
  <c r="U77" i="2"/>
  <c r="H77" i="2"/>
  <c r="AI85" i="2"/>
  <c r="AA85" i="2"/>
  <c r="S85" i="2"/>
  <c r="E85" i="2"/>
  <c r="AH85" i="2"/>
  <c r="Z85" i="2"/>
  <c r="R85" i="2"/>
  <c r="D85" i="2"/>
  <c r="AG85" i="2"/>
  <c r="Y85" i="2"/>
  <c r="Q85" i="2"/>
  <c r="AF85" i="2"/>
  <c r="X85" i="2"/>
  <c r="P85" i="2"/>
  <c r="AE85" i="2"/>
  <c r="W85" i="2"/>
  <c r="J85" i="2"/>
  <c r="AC85" i="2"/>
  <c r="U85" i="2"/>
  <c r="H85" i="2"/>
  <c r="AI93" i="2"/>
  <c r="AA93" i="2"/>
  <c r="S93" i="2"/>
  <c r="E93" i="2"/>
  <c r="AH93" i="2"/>
  <c r="Z93" i="2"/>
  <c r="R93" i="2"/>
  <c r="D93" i="2"/>
  <c r="AG93" i="2"/>
  <c r="Y93" i="2"/>
  <c r="Q93" i="2"/>
  <c r="AF93" i="2"/>
  <c r="X93" i="2"/>
  <c r="P93" i="2"/>
  <c r="AE93" i="2"/>
  <c r="W93" i="2"/>
  <c r="J93" i="2"/>
  <c r="AC93" i="2"/>
  <c r="U93" i="2"/>
  <c r="H93" i="2"/>
  <c r="AG101" i="2"/>
  <c r="Y101" i="2"/>
  <c r="Q101" i="2"/>
  <c r="AF101" i="2"/>
  <c r="X101" i="2"/>
  <c r="P101" i="2"/>
  <c r="AE101" i="2"/>
  <c r="W101" i="2"/>
  <c r="J101" i="2"/>
  <c r="AC101" i="2"/>
  <c r="U101" i="2"/>
  <c r="H101" i="2"/>
  <c r="AB101" i="2"/>
  <c r="T101" i="2"/>
  <c r="G101" i="2"/>
  <c r="AH101" i="2"/>
  <c r="Z101" i="2"/>
  <c r="R101" i="2"/>
  <c r="D101" i="2"/>
  <c r="V101" i="2"/>
  <c r="S101" i="2"/>
  <c r="E101" i="2"/>
  <c r="AD101" i="2"/>
  <c r="AG109" i="2"/>
  <c r="Y109" i="2"/>
  <c r="Q109" i="2"/>
  <c r="AF109" i="2"/>
  <c r="X109" i="2"/>
  <c r="P109" i="2"/>
  <c r="AE109" i="2"/>
  <c r="W109" i="2"/>
  <c r="J109" i="2"/>
  <c r="AD109" i="2"/>
  <c r="V109" i="2"/>
  <c r="AC109" i="2"/>
  <c r="U109" i="2"/>
  <c r="H109" i="2"/>
  <c r="AB109" i="2"/>
  <c r="T109" i="2"/>
  <c r="G109" i="2"/>
  <c r="AH109" i="2"/>
  <c r="Z109" i="2"/>
  <c r="R109" i="2"/>
  <c r="D109" i="2"/>
  <c r="E109" i="2"/>
  <c r="AA109" i="2"/>
  <c r="AG117" i="2"/>
  <c r="Y117" i="2"/>
  <c r="Q117" i="2"/>
  <c r="AF117" i="2"/>
  <c r="X117" i="2"/>
  <c r="P117" i="2"/>
  <c r="AE117" i="2"/>
  <c r="W117" i="2"/>
  <c r="J117" i="2"/>
  <c r="AD117" i="2"/>
  <c r="V117" i="2"/>
  <c r="AC117" i="2"/>
  <c r="U117" i="2"/>
  <c r="H117" i="2"/>
  <c r="AB117" i="2"/>
  <c r="T117" i="2"/>
  <c r="G117" i="2"/>
  <c r="AH117" i="2"/>
  <c r="Z117" i="2"/>
  <c r="R117" i="2"/>
  <c r="D117" i="2"/>
  <c r="AI117" i="2"/>
  <c r="AA117" i="2"/>
  <c r="AG125" i="2"/>
  <c r="Y125" i="2"/>
  <c r="Q125" i="2"/>
  <c r="AF125" i="2"/>
  <c r="X125" i="2"/>
  <c r="P125" i="2"/>
  <c r="AE125" i="2"/>
  <c r="W125" i="2"/>
  <c r="J125" i="2"/>
  <c r="AD125" i="2"/>
  <c r="V125" i="2"/>
  <c r="AC125" i="2"/>
  <c r="U125" i="2"/>
  <c r="H125" i="2"/>
  <c r="AB125" i="2"/>
  <c r="T125" i="2"/>
  <c r="G125" i="2"/>
  <c r="AH125" i="2"/>
  <c r="Z125" i="2"/>
  <c r="R125" i="2"/>
  <c r="D125" i="2"/>
  <c r="AI125" i="2"/>
  <c r="AA125" i="2"/>
  <c r="S125" i="2"/>
  <c r="AF133" i="2"/>
  <c r="X133" i="2"/>
  <c r="P133" i="2"/>
  <c r="AB133" i="2"/>
  <c r="T133" i="2"/>
  <c r="G133" i="2"/>
  <c r="AG133" i="2"/>
  <c r="V133" i="2"/>
  <c r="E133" i="2"/>
  <c r="AE133" i="2"/>
  <c r="U133" i="2"/>
  <c r="D133" i="2"/>
  <c r="AD133" i="2"/>
  <c r="S133" i="2"/>
  <c r="AC133" i="2"/>
  <c r="R133" i="2"/>
  <c r="AA133" i="2"/>
  <c r="Q133" i="2"/>
  <c r="Z133" i="2"/>
  <c r="J133" i="2"/>
  <c r="AH133" i="2"/>
  <c r="W133" i="2"/>
  <c r="H133" i="2"/>
  <c r="AI133" i="2"/>
  <c r="Y133" i="2"/>
  <c r="AF141" i="2"/>
  <c r="X141" i="2"/>
  <c r="P141" i="2"/>
  <c r="AB141" i="2"/>
  <c r="T141" i="2"/>
  <c r="G141" i="2"/>
  <c r="AG141" i="2"/>
  <c r="V141" i="2"/>
  <c r="E141" i="2"/>
  <c r="AE141" i="2"/>
  <c r="U141" i="2"/>
  <c r="D141" i="2"/>
  <c r="AD141" i="2"/>
  <c r="S141" i="2"/>
  <c r="AC141" i="2"/>
  <c r="R141" i="2"/>
  <c r="AA141" i="2"/>
  <c r="Q141" i="2"/>
  <c r="Z141" i="2"/>
  <c r="J141" i="2"/>
  <c r="AH141" i="2"/>
  <c r="W141" i="2"/>
  <c r="H141" i="2"/>
  <c r="AI141" i="2"/>
  <c r="Y141" i="2"/>
  <c r="AF149" i="2"/>
  <c r="X149" i="2"/>
  <c r="P149" i="2"/>
  <c r="AD149" i="2"/>
  <c r="V149" i="2"/>
  <c r="AB149" i="2"/>
  <c r="T149" i="2"/>
  <c r="G149" i="2"/>
  <c r="AI149" i="2"/>
  <c r="AA149" i="2"/>
  <c r="S149" i="2"/>
  <c r="E149" i="2"/>
  <c r="AH149" i="2"/>
  <c r="Z149" i="2"/>
  <c r="R149" i="2"/>
  <c r="D149" i="2"/>
  <c r="W149" i="2"/>
  <c r="U149" i="2"/>
  <c r="Q149" i="2"/>
  <c r="J149" i="2"/>
  <c r="AG149" i="2"/>
  <c r="AE149" i="2"/>
  <c r="H149" i="2"/>
  <c r="Y149" i="2"/>
  <c r="AC149" i="2"/>
  <c r="AF157" i="2"/>
  <c r="X157" i="2"/>
  <c r="P157" i="2"/>
  <c r="AD157" i="2"/>
  <c r="V157" i="2"/>
  <c r="AC157" i="2"/>
  <c r="U157" i="2"/>
  <c r="H157" i="2"/>
  <c r="AB157" i="2"/>
  <c r="T157" i="2"/>
  <c r="G157" i="2"/>
  <c r="AI157" i="2"/>
  <c r="AA157" i="2"/>
  <c r="S157" i="2"/>
  <c r="E157" i="2"/>
  <c r="AH157" i="2"/>
  <c r="Z157" i="2"/>
  <c r="R157" i="2"/>
  <c r="D157" i="2"/>
  <c r="AG157" i="2"/>
  <c r="AE157" i="2"/>
  <c r="Y157" i="2"/>
  <c r="W157" i="2"/>
  <c r="Q157" i="2"/>
  <c r="J157" i="2"/>
  <c r="AF165" i="2"/>
  <c r="X165" i="2"/>
  <c r="P165" i="2"/>
  <c r="AD165" i="2"/>
  <c r="V165" i="2"/>
  <c r="AC165" i="2"/>
  <c r="U165" i="2"/>
  <c r="H165" i="2"/>
  <c r="AB165" i="2"/>
  <c r="T165" i="2"/>
  <c r="G165" i="2"/>
  <c r="AI165" i="2"/>
  <c r="AA165" i="2"/>
  <c r="S165" i="2"/>
  <c r="E165" i="2"/>
  <c r="AH165" i="2"/>
  <c r="Z165" i="2"/>
  <c r="R165" i="2"/>
  <c r="D165" i="2"/>
  <c r="Q165" i="2"/>
  <c r="J165" i="2"/>
  <c r="AG165" i="2"/>
  <c r="AE165" i="2"/>
  <c r="W165" i="2"/>
  <c r="Y165" i="2"/>
  <c r="AF173" i="2"/>
  <c r="X173" i="2"/>
  <c r="P173" i="2"/>
  <c r="AE173" i="2"/>
  <c r="W173" i="2"/>
  <c r="J173" i="2"/>
  <c r="AD173" i="2"/>
  <c r="V173" i="2"/>
  <c r="AB173" i="2"/>
  <c r="T173" i="2"/>
  <c r="G173" i="2"/>
  <c r="AA173" i="2"/>
  <c r="H173" i="2"/>
  <c r="Z173" i="2"/>
  <c r="E173" i="2"/>
  <c r="Y173" i="2"/>
  <c r="D173" i="2"/>
  <c r="U173" i="2"/>
  <c r="AI173" i="2"/>
  <c r="S173" i="2"/>
  <c r="AH173" i="2"/>
  <c r="R173" i="2"/>
  <c r="AG173" i="2"/>
  <c r="Q173" i="2"/>
  <c r="AC173" i="2"/>
  <c r="AF181" i="2"/>
  <c r="X181" i="2"/>
  <c r="P181" i="2"/>
  <c r="AE181" i="2"/>
  <c r="W181" i="2"/>
  <c r="J181" i="2"/>
  <c r="AD181" i="2"/>
  <c r="V181" i="2"/>
  <c r="AB181" i="2"/>
  <c r="T181" i="2"/>
  <c r="G181" i="2"/>
  <c r="AG181" i="2"/>
  <c r="Q181" i="2"/>
  <c r="AC181" i="2"/>
  <c r="AA181" i="2"/>
  <c r="H181" i="2"/>
  <c r="Z181" i="2"/>
  <c r="E181" i="2"/>
  <c r="Y181" i="2"/>
  <c r="D181" i="2"/>
  <c r="U181" i="2"/>
  <c r="AI181" i="2"/>
  <c r="S181" i="2"/>
  <c r="R181" i="2"/>
  <c r="AH181" i="2"/>
  <c r="AG189" i="2"/>
  <c r="Y189" i="2"/>
  <c r="Q189" i="2"/>
  <c r="AF189" i="2"/>
  <c r="X189" i="2"/>
  <c r="P189" i="2"/>
  <c r="AE189" i="2"/>
  <c r="W189" i="2"/>
  <c r="J189" i="2"/>
  <c r="AD189" i="2"/>
  <c r="V189" i="2"/>
  <c r="AC189" i="2"/>
  <c r="U189" i="2"/>
  <c r="H189" i="2"/>
  <c r="AB189" i="2"/>
  <c r="T189" i="2"/>
  <c r="G189" i="2"/>
  <c r="AI189" i="2"/>
  <c r="D189" i="2"/>
  <c r="AH189" i="2"/>
  <c r="AA189" i="2"/>
  <c r="Z189" i="2"/>
  <c r="S189" i="2"/>
  <c r="R189" i="2"/>
  <c r="E189" i="2"/>
  <c r="AG197" i="2"/>
  <c r="Y197" i="2"/>
  <c r="Q197" i="2"/>
  <c r="AF197" i="2"/>
  <c r="X197" i="2"/>
  <c r="P197" i="2"/>
  <c r="AE197" i="2"/>
  <c r="W197" i="2"/>
  <c r="J197" i="2"/>
  <c r="AD197" i="2"/>
  <c r="V197" i="2"/>
  <c r="AC197" i="2"/>
  <c r="U197" i="2"/>
  <c r="H197" i="2"/>
  <c r="AB197" i="2"/>
  <c r="T197" i="2"/>
  <c r="G197" i="2"/>
  <c r="AA197" i="2"/>
  <c r="Z197" i="2"/>
  <c r="S197" i="2"/>
  <c r="R197" i="2"/>
  <c r="E197" i="2"/>
  <c r="AI197" i="2"/>
  <c r="D197" i="2"/>
  <c r="AH197" i="2"/>
  <c r="AG205" i="2"/>
  <c r="Y205" i="2"/>
  <c r="Q205" i="2"/>
  <c r="AF205" i="2"/>
  <c r="X205" i="2"/>
  <c r="P205" i="2"/>
  <c r="AE205" i="2"/>
  <c r="W205" i="2"/>
  <c r="J205" i="2"/>
  <c r="AD205" i="2"/>
  <c r="V205" i="2"/>
  <c r="AC205" i="2"/>
  <c r="U205" i="2"/>
  <c r="H205" i="2"/>
  <c r="AB205" i="2"/>
  <c r="T205" i="2"/>
  <c r="G205" i="2"/>
  <c r="S205" i="2"/>
  <c r="R205" i="2"/>
  <c r="E205" i="2"/>
  <c r="AI205" i="2"/>
  <c r="D205" i="2"/>
  <c r="AH205" i="2"/>
  <c r="AA205" i="2"/>
  <c r="Z205" i="2"/>
  <c r="AH213" i="2"/>
  <c r="Z213" i="2"/>
  <c r="R213" i="2"/>
  <c r="D213" i="2"/>
  <c r="AE213" i="2"/>
  <c r="W213" i="2"/>
  <c r="J213" i="2"/>
  <c r="AC213" i="2"/>
  <c r="U213" i="2"/>
  <c r="H213" i="2"/>
  <c r="AB213" i="2"/>
  <c r="T213" i="2"/>
  <c r="G213" i="2"/>
  <c r="AI213" i="2"/>
  <c r="S213" i="2"/>
  <c r="AG213" i="2"/>
  <c r="Q213" i="2"/>
  <c r="AF213" i="2"/>
  <c r="P213" i="2"/>
  <c r="AD213" i="2"/>
  <c r="AA213" i="2"/>
  <c r="E213" i="2"/>
  <c r="Y213" i="2"/>
  <c r="X213" i="2"/>
  <c r="V213" i="2"/>
  <c r="AH221" i="2"/>
  <c r="Z221" i="2"/>
  <c r="R221" i="2"/>
  <c r="D221" i="2"/>
  <c r="AG221" i="2"/>
  <c r="Y221" i="2"/>
  <c r="Q221" i="2"/>
  <c r="AE221" i="2"/>
  <c r="W221" i="2"/>
  <c r="J221" i="2"/>
  <c r="AD221" i="2"/>
  <c r="V221" i="2"/>
  <c r="AC221" i="2"/>
  <c r="U221" i="2"/>
  <c r="H221" i="2"/>
  <c r="AB221" i="2"/>
  <c r="T221" i="2"/>
  <c r="G221" i="2"/>
  <c r="P221" i="2"/>
  <c r="E221" i="2"/>
  <c r="AI221" i="2"/>
  <c r="AF221" i="2"/>
  <c r="AA221" i="2"/>
  <c r="X221" i="2"/>
  <c r="S221" i="2"/>
  <c r="AH229" i="2"/>
  <c r="Z229" i="2"/>
  <c r="R229" i="2"/>
  <c r="D229" i="2"/>
  <c r="AG229" i="2"/>
  <c r="Y229" i="2"/>
  <c r="Q229" i="2"/>
  <c r="AE229" i="2"/>
  <c r="W229" i="2"/>
  <c r="J229" i="2"/>
  <c r="AD229" i="2"/>
  <c r="V229" i="2"/>
  <c r="AC229" i="2"/>
  <c r="U229" i="2"/>
  <c r="H229" i="2"/>
  <c r="AB229" i="2"/>
  <c r="T229" i="2"/>
  <c r="G229" i="2"/>
  <c r="E229" i="2"/>
  <c r="AI229" i="2"/>
  <c r="AF229" i="2"/>
  <c r="AA229" i="2"/>
  <c r="X229" i="2"/>
  <c r="S229" i="2"/>
  <c r="P229" i="2"/>
  <c r="AG237" i="2"/>
  <c r="Y237" i="2"/>
  <c r="Q237" i="2"/>
  <c r="AB237" i="2"/>
  <c r="T237" i="2"/>
  <c r="G237" i="2"/>
  <c r="AH237" i="2"/>
  <c r="W237" i="2"/>
  <c r="H237" i="2"/>
  <c r="AF237" i="2"/>
  <c r="V237" i="2"/>
  <c r="E237" i="2"/>
  <c r="AD237" i="2"/>
  <c r="S237" i="2"/>
  <c r="AC237" i="2"/>
  <c r="R237" i="2"/>
  <c r="AA237" i="2"/>
  <c r="P237" i="2"/>
  <c r="Z237" i="2"/>
  <c r="J237" i="2"/>
  <c r="D237" i="2"/>
  <c r="AI237" i="2"/>
  <c r="AE237" i="2"/>
  <c r="X237" i="2"/>
  <c r="U237" i="2"/>
  <c r="AG245" i="2"/>
  <c r="Y245" i="2"/>
  <c r="Q245" i="2"/>
  <c r="AB245" i="2"/>
  <c r="T245" i="2"/>
  <c r="G245" i="2"/>
  <c r="Z245" i="2"/>
  <c r="J245" i="2"/>
  <c r="AI245" i="2"/>
  <c r="X245" i="2"/>
  <c r="AF245" i="2"/>
  <c r="V245" i="2"/>
  <c r="E245" i="2"/>
  <c r="AE245" i="2"/>
  <c r="U245" i="2"/>
  <c r="D245" i="2"/>
  <c r="AD245" i="2"/>
  <c r="S245" i="2"/>
  <c r="AC245" i="2"/>
  <c r="R245" i="2"/>
  <c r="H245" i="2"/>
  <c r="AH245" i="2"/>
  <c r="AA245" i="2"/>
  <c r="W245" i="2"/>
  <c r="P245" i="2"/>
  <c r="AG253" i="2"/>
  <c r="Y253" i="2"/>
  <c r="Q253" i="2"/>
  <c r="AD253" i="2"/>
  <c r="V253" i="2"/>
  <c r="AB253" i="2"/>
  <c r="T253" i="2"/>
  <c r="G253" i="2"/>
  <c r="AI253" i="2"/>
  <c r="W253" i="2"/>
  <c r="E253" i="2"/>
  <c r="AH253" i="2"/>
  <c r="U253" i="2"/>
  <c r="D253" i="2"/>
  <c r="AE253" i="2"/>
  <c r="R253" i="2"/>
  <c r="AC253" i="2"/>
  <c r="P253" i="2"/>
  <c r="AA253" i="2"/>
  <c r="J253" i="2"/>
  <c r="Z253" i="2"/>
  <c r="H253" i="2"/>
  <c r="AF253" i="2"/>
  <c r="S253" i="2"/>
  <c r="X253" i="2"/>
  <c r="AG261" i="2"/>
  <c r="Y261" i="2"/>
  <c r="Q261" i="2"/>
  <c r="AE261" i="2"/>
  <c r="W261" i="2"/>
  <c r="J261" i="2"/>
  <c r="AD261" i="2"/>
  <c r="V261" i="2"/>
  <c r="AB261" i="2"/>
  <c r="T261" i="2"/>
  <c r="G261" i="2"/>
  <c r="X261" i="2"/>
  <c r="D261" i="2"/>
  <c r="U261" i="2"/>
  <c r="AH261" i="2"/>
  <c r="R261" i="2"/>
  <c r="AF261" i="2"/>
  <c r="P261" i="2"/>
  <c r="AC261" i="2"/>
  <c r="AA261" i="2"/>
  <c r="H261" i="2"/>
  <c r="AI261" i="2"/>
  <c r="Z261" i="2"/>
  <c r="S261" i="2"/>
  <c r="E261" i="2"/>
  <c r="AF269" i="2"/>
  <c r="X269" i="2"/>
  <c r="P269" i="2"/>
  <c r="AI269" i="2"/>
  <c r="AA269" i="2"/>
  <c r="S269" i="2"/>
  <c r="E269" i="2"/>
  <c r="AH269" i="2"/>
  <c r="Z269" i="2"/>
  <c r="R269" i="2"/>
  <c r="D269" i="2"/>
  <c r="AG269" i="2"/>
  <c r="U269" i="2"/>
  <c r="AD269" i="2"/>
  <c r="Q269" i="2"/>
  <c r="AC269" i="2"/>
  <c r="J269" i="2"/>
  <c r="Y269" i="2"/>
  <c r="H269" i="2"/>
  <c r="T269" i="2"/>
  <c r="AE269" i="2"/>
  <c r="AB269" i="2"/>
  <c r="W269" i="2"/>
  <c r="G269" i="2"/>
  <c r="V269" i="2"/>
  <c r="AF277" i="2"/>
  <c r="X277" i="2"/>
  <c r="P277" i="2"/>
  <c r="AC277" i="2"/>
  <c r="U277" i="2"/>
  <c r="H277" i="2"/>
  <c r="AI277" i="2"/>
  <c r="AA277" i="2"/>
  <c r="S277" i="2"/>
  <c r="E277" i="2"/>
  <c r="AH277" i="2"/>
  <c r="Z277" i="2"/>
  <c r="R277" i="2"/>
  <c r="D277" i="2"/>
  <c r="V277" i="2"/>
  <c r="AG277" i="2"/>
  <c r="Q277" i="2"/>
  <c r="AE277" i="2"/>
  <c r="J277" i="2"/>
  <c r="AB277" i="2"/>
  <c r="G277" i="2"/>
  <c r="W277" i="2"/>
  <c r="T277" i="2"/>
  <c r="AD277" i="2"/>
  <c r="Y277" i="2"/>
  <c r="AF285" i="2"/>
  <c r="X285" i="2"/>
  <c r="P285" i="2"/>
  <c r="AC285" i="2"/>
  <c r="U285" i="2"/>
  <c r="H285" i="2"/>
  <c r="AI285" i="2"/>
  <c r="AA285" i="2"/>
  <c r="S285" i="2"/>
  <c r="E285" i="2"/>
  <c r="AH285" i="2"/>
  <c r="Z285" i="2"/>
  <c r="R285" i="2"/>
  <c r="D285" i="2"/>
  <c r="AD285" i="2"/>
  <c r="AB285" i="2"/>
  <c r="G285" i="2"/>
  <c r="Y285" i="2"/>
  <c r="W285" i="2"/>
  <c r="V285" i="2"/>
  <c r="T285" i="2"/>
  <c r="J285" i="2"/>
  <c r="AG285" i="2"/>
  <c r="AE285" i="2"/>
  <c r="Q285" i="2"/>
  <c r="AF293" i="2"/>
  <c r="X293" i="2"/>
  <c r="P293" i="2"/>
  <c r="AE293" i="2"/>
  <c r="W293" i="2"/>
  <c r="J293" i="2"/>
  <c r="AC293" i="2"/>
  <c r="U293" i="2"/>
  <c r="H293" i="2"/>
  <c r="AI293" i="2"/>
  <c r="AA293" i="2"/>
  <c r="S293" i="2"/>
  <c r="E293" i="2"/>
  <c r="AH293" i="2"/>
  <c r="Z293" i="2"/>
  <c r="R293" i="2"/>
  <c r="D293" i="2"/>
  <c r="V293" i="2"/>
  <c r="T293" i="2"/>
  <c r="Q293" i="2"/>
  <c r="AG293" i="2"/>
  <c r="G293" i="2"/>
  <c r="AD293" i="2"/>
  <c r="AB293" i="2"/>
  <c r="Y293" i="2"/>
  <c r="AC301" i="2"/>
  <c r="U301" i="2"/>
  <c r="H301" i="2"/>
  <c r="AI301" i="2"/>
  <c r="AA301" i="2"/>
  <c r="S301" i="2"/>
  <c r="E301" i="2"/>
  <c r="AG301" i="2"/>
  <c r="Y301" i="2"/>
  <c r="Q301" i="2"/>
  <c r="AE301" i="2"/>
  <c r="W301" i="2"/>
  <c r="J301" i="2"/>
  <c r="AH301" i="2"/>
  <c r="R301" i="2"/>
  <c r="AF301" i="2"/>
  <c r="P301" i="2"/>
  <c r="AB301" i="2"/>
  <c r="G301" i="2"/>
  <c r="X301" i="2"/>
  <c r="V301" i="2"/>
  <c r="D301" i="2"/>
  <c r="AD301" i="2"/>
  <c r="Z301" i="2"/>
  <c r="T301" i="2"/>
  <c r="AC309" i="2"/>
  <c r="U309" i="2"/>
  <c r="H309" i="2"/>
  <c r="AI309" i="2"/>
  <c r="AA309" i="2"/>
  <c r="S309" i="2"/>
  <c r="E309" i="2"/>
  <c r="AG309" i="2"/>
  <c r="Y309" i="2"/>
  <c r="Q309" i="2"/>
  <c r="AE309" i="2"/>
  <c r="W309" i="2"/>
  <c r="J309" i="2"/>
  <c r="AH309" i="2"/>
  <c r="R309" i="2"/>
  <c r="AF309" i="2"/>
  <c r="P309" i="2"/>
  <c r="AB309" i="2"/>
  <c r="G309" i="2"/>
  <c r="X309" i="2"/>
  <c r="V309" i="2"/>
  <c r="AD309" i="2"/>
  <c r="Z309" i="2"/>
  <c r="T309" i="2"/>
  <c r="D309" i="2"/>
  <c r="AC317" i="2"/>
  <c r="U317" i="2"/>
  <c r="H317" i="2"/>
  <c r="AI317" i="2"/>
  <c r="AA317" i="2"/>
  <c r="S317" i="2"/>
  <c r="E317" i="2"/>
  <c r="AG317" i="2"/>
  <c r="Y317" i="2"/>
  <c r="Q317" i="2"/>
  <c r="AE317" i="2"/>
  <c r="W317" i="2"/>
  <c r="J317" i="2"/>
  <c r="AH317" i="2"/>
  <c r="R317" i="2"/>
  <c r="AF317" i="2"/>
  <c r="P317" i="2"/>
  <c r="AB317" i="2"/>
  <c r="G317" i="2"/>
  <c r="X317" i="2"/>
  <c r="V317" i="2"/>
  <c r="D317" i="2"/>
  <c r="AD317" i="2"/>
  <c r="Z317" i="2"/>
  <c r="T317" i="2"/>
  <c r="AC325" i="2"/>
  <c r="U325" i="2"/>
  <c r="H325" i="2"/>
  <c r="AI325" i="2"/>
  <c r="AA325" i="2"/>
  <c r="S325" i="2"/>
  <c r="E325" i="2"/>
  <c r="AG325" i="2"/>
  <c r="Y325" i="2"/>
  <c r="Q325" i="2"/>
  <c r="AF325" i="2"/>
  <c r="X325" i="2"/>
  <c r="P325" i="2"/>
  <c r="AE325" i="2"/>
  <c r="W325" i="2"/>
  <c r="J325" i="2"/>
  <c r="R325" i="2"/>
  <c r="AD325" i="2"/>
  <c r="D325" i="2"/>
  <c r="Z325" i="2"/>
  <c r="V325" i="2"/>
  <c r="G325" i="2"/>
  <c r="AH325" i="2"/>
  <c r="T325" i="2"/>
  <c r="AB325" i="2"/>
  <c r="AD333" i="2"/>
  <c r="V333" i="2"/>
  <c r="AB333" i="2"/>
  <c r="T333" i="2"/>
  <c r="G333" i="2"/>
  <c r="AH333" i="2"/>
  <c r="Z333" i="2"/>
  <c r="R333" i="2"/>
  <c r="D333" i="2"/>
  <c r="AE333" i="2"/>
  <c r="Q333" i="2"/>
  <c r="AA333" i="2"/>
  <c r="J333" i="2"/>
  <c r="X333" i="2"/>
  <c r="H333" i="2"/>
  <c r="AI333" i="2"/>
  <c r="W333" i="2"/>
  <c r="E333" i="2"/>
  <c r="AG333" i="2"/>
  <c r="U333" i="2"/>
  <c r="AC333" i="2"/>
  <c r="Y333" i="2"/>
  <c r="P333" i="2"/>
  <c r="AF333" i="2"/>
  <c r="S333" i="2"/>
  <c r="AD341" i="2"/>
  <c r="V341" i="2"/>
  <c r="AB341" i="2"/>
  <c r="T341" i="2"/>
  <c r="G341" i="2"/>
  <c r="AH341" i="2"/>
  <c r="Z341" i="2"/>
  <c r="R341" i="2"/>
  <c r="D341" i="2"/>
  <c r="AE341" i="2"/>
  <c r="W341" i="2"/>
  <c r="J341" i="2"/>
  <c r="AG341" i="2"/>
  <c r="Q341" i="2"/>
  <c r="AC341" i="2"/>
  <c r="Y341" i="2"/>
  <c r="E341" i="2"/>
  <c r="X341" i="2"/>
  <c r="U341" i="2"/>
  <c r="AI341" i="2"/>
  <c r="AF341" i="2"/>
  <c r="S341" i="2"/>
  <c r="H341" i="2"/>
  <c r="AA341" i="2"/>
  <c r="P341" i="2"/>
  <c r="AC349" i="2"/>
  <c r="U349" i="2"/>
  <c r="H349" i="2"/>
  <c r="AB349" i="2"/>
  <c r="T349" i="2"/>
  <c r="G349" i="2"/>
  <c r="AH349" i="2"/>
  <c r="Z349" i="2"/>
  <c r="R349" i="2"/>
  <c r="D349" i="2"/>
  <c r="Y349" i="2"/>
  <c r="AI349" i="2"/>
  <c r="W349" i="2"/>
  <c r="AF349" i="2"/>
  <c r="S349" i="2"/>
  <c r="AA349" i="2"/>
  <c r="J349" i="2"/>
  <c r="Q349" i="2"/>
  <c r="AG349" i="2"/>
  <c r="E349" i="2"/>
  <c r="AE349" i="2"/>
  <c r="AD349" i="2"/>
  <c r="X349" i="2"/>
  <c r="V349" i="2"/>
  <c r="P349" i="2"/>
  <c r="AD357" i="2"/>
  <c r="V357" i="2"/>
  <c r="AH357" i="2"/>
  <c r="Z357" i="2"/>
  <c r="R357" i="2"/>
  <c r="D357" i="2"/>
  <c r="AB357" i="2"/>
  <c r="Q357" i="2"/>
  <c r="AA357" i="2"/>
  <c r="P357" i="2"/>
  <c r="Y357" i="2"/>
  <c r="J357" i="2"/>
  <c r="AI357" i="2"/>
  <c r="X357" i="2"/>
  <c r="AG357" i="2"/>
  <c r="W357" i="2"/>
  <c r="H357" i="2"/>
  <c r="AC357" i="2"/>
  <c r="T357" i="2"/>
  <c r="AE357" i="2"/>
  <c r="S357" i="2"/>
  <c r="G357" i="2"/>
  <c r="E357" i="2"/>
  <c r="AF357" i="2"/>
  <c r="U357" i="2"/>
  <c r="AD365" i="2"/>
  <c r="V365" i="2"/>
  <c r="AC365" i="2"/>
  <c r="U365" i="2"/>
  <c r="H365" i="2"/>
  <c r="AH365" i="2"/>
  <c r="Z365" i="2"/>
  <c r="R365" i="2"/>
  <c r="D365" i="2"/>
  <c r="AE365" i="2"/>
  <c r="Q365" i="2"/>
  <c r="AB365" i="2"/>
  <c r="P365" i="2"/>
  <c r="AA365" i="2"/>
  <c r="J365" i="2"/>
  <c r="Y365" i="2"/>
  <c r="X365" i="2"/>
  <c r="G365" i="2"/>
  <c r="AI365" i="2"/>
  <c r="AF365" i="2"/>
  <c r="T365" i="2"/>
  <c r="E365" i="2"/>
  <c r="AG365" i="2"/>
  <c r="W365" i="2"/>
  <c r="S365" i="2"/>
  <c r="AE373" i="2"/>
  <c r="W373" i="2"/>
  <c r="J373" i="2"/>
  <c r="AI373" i="2"/>
  <c r="AA373" i="2"/>
  <c r="AH373" i="2"/>
  <c r="X373" i="2"/>
  <c r="AG373" i="2"/>
  <c r="V373" i="2"/>
  <c r="H373" i="2"/>
  <c r="AC373" i="2"/>
  <c r="S373" i="2"/>
  <c r="D373" i="2"/>
  <c r="U373" i="2"/>
  <c r="T373" i="2"/>
  <c r="R373" i="2"/>
  <c r="AF373" i="2"/>
  <c r="Q373" i="2"/>
  <c r="AD373" i="2"/>
  <c r="P373" i="2"/>
  <c r="AB373" i="2"/>
  <c r="Y373" i="2"/>
  <c r="E373" i="2"/>
  <c r="G373" i="2"/>
  <c r="Z373" i="2"/>
  <c r="AE381" i="2"/>
  <c r="W381" i="2"/>
  <c r="J381" i="2"/>
  <c r="AD381" i="2"/>
  <c r="V381" i="2"/>
  <c r="AI381" i="2"/>
  <c r="AA381" i="2"/>
  <c r="S381" i="2"/>
  <c r="E381" i="2"/>
  <c r="AB381" i="2"/>
  <c r="P381" i="2"/>
  <c r="Z381" i="2"/>
  <c r="AH381" i="2"/>
  <c r="U381" i="2"/>
  <c r="D381" i="2"/>
  <c r="AC381" i="2"/>
  <c r="G381" i="2"/>
  <c r="Y381" i="2"/>
  <c r="X381" i="2"/>
  <c r="T381" i="2"/>
  <c r="R381" i="2"/>
  <c r="AF381" i="2"/>
  <c r="AG381" i="2"/>
  <c r="Q381" i="2"/>
  <c r="H381" i="2"/>
  <c r="AE389" i="2"/>
  <c r="W389" i="2"/>
  <c r="J389" i="2"/>
  <c r="AD389" i="2"/>
  <c r="V389" i="2"/>
  <c r="AI389" i="2"/>
  <c r="AA389" i="2"/>
  <c r="S389" i="2"/>
  <c r="E389" i="2"/>
  <c r="AH389" i="2"/>
  <c r="U389" i="2"/>
  <c r="D389" i="2"/>
  <c r="AG389" i="2"/>
  <c r="T389" i="2"/>
  <c r="AB389" i="2"/>
  <c r="P389" i="2"/>
  <c r="AF389" i="2"/>
  <c r="H389" i="2"/>
  <c r="AC389" i="2"/>
  <c r="G389" i="2"/>
  <c r="Z389" i="2"/>
  <c r="Y389" i="2"/>
  <c r="X389" i="2"/>
  <c r="R389" i="2"/>
  <c r="Q389" i="2"/>
  <c r="AE397" i="2"/>
  <c r="W397" i="2"/>
  <c r="J397" i="2"/>
  <c r="AD397" i="2"/>
  <c r="V397" i="2"/>
  <c r="AC397" i="2"/>
  <c r="U397" i="2"/>
  <c r="H397" i="2"/>
  <c r="AB397" i="2"/>
  <c r="T397" i="2"/>
  <c r="G397" i="2"/>
  <c r="AH397" i="2"/>
  <c r="Z397" i="2"/>
  <c r="R397" i="2"/>
  <c r="D397" i="2"/>
  <c r="AG397" i="2"/>
  <c r="Y397" i="2"/>
  <c r="Q397" i="2"/>
  <c r="AI397" i="2"/>
  <c r="AF397" i="2"/>
  <c r="S397" i="2"/>
  <c r="E397" i="2"/>
  <c r="AA397" i="2"/>
  <c r="X397" i="2"/>
  <c r="P397" i="2"/>
  <c r="AE405" i="2"/>
  <c r="W405" i="2"/>
  <c r="J405" i="2"/>
  <c r="AD405" i="2"/>
  <c r="V405" i="2"/>
  <c r="AC405" i="2"/>
  <c r="U405" i="2"/>
  <c r="H405" i="2"/>
  <c r="AB405" i="2"/>
  <c r="T405" i="2"/>
  <c r="G405" i="2"/>
  <c r="AI405" i="2"/>
  <c r="AA405" i="2"/>
  <c r="S405" i="2"/>
  <c r="E405" i="2"/>
  <c r="AH405" i="2"/>
  <c r="Z405" i="2"/>
  <c r="R405" i="2"/>
  <c r="D405" i="2"/>
  <c r="AG405" i="2"/>
  <c r="Y405" i="2"/>
  <c r="Q405" i="2"/>
  <c r="P405" i="2"/>
  <c r="X405" i="2"/>
  <c r="AF405" i="2"/>
  <c r="AC413" i="2"/>
  <c r="AB413" i="2"/>
  <c r="T413" i="2"/>
  <c r="G413" i="2"/>
  <c r="AF413" i="2"/>
  <c r="X413" i="2"/>
  <c r="P413" i="2"/>
  <c r="AH413" i="2"/>
  <c r="V413" i="2"/>
  <c r="E413" i="2"/>
  <c r="AG413" i="2"/>
  <c r="U413" i="2"/>
  <c r="D413" i="2"/>
  <c r="AE413" i="2"/>
  <c r="S413" i="2"/>
  <c r="AD413" i="2"/>
  <c r="R413" i="2"/>
  <c r="AA413" i="2"/>
  <c r="Q413" i="2"/>
  <c r="Z413" i="2"/>
  <c r="J413" i="2"/>
  <c r="Y413" i="2"/>
  <c r="AI413" i="2"/>
  <c r="H413" i="2"/>
  <c r="W413" i="2"/>
  <c r="AC421" i="2"/>
  <c r="U421" i="2"/>
  <c r="H421" i="2"/>
  <c r="AB421" i="2"/>
  <c r="T421" i="2"/>
  <c r="G421" i="2"/>
  <c r="AI421" i="2"/>
  <c r="AA421" i="2"/>
  <c r="S421" i="2"/>
  <c r="E421" i="2"/>
  <c r="AH421" i="2"/>
  <c r="Z421" i="2"/>
  <c r="R421" i="2"/>
  <c r="D421" i="2"/>
  <c r="AG421" i="2"/>
  <c r="Y421" i="2"/>
  <c r="Q421" i="2"/>
  <c r="AF421" i="2"/>
  <c r="X421" i="2"/>
  <c r="P421" i="2"/>
  <c r="AE421" i="2"/>
  <c r="AD421" i="2"/>
  <c r="W421" i="2"/>
  <c r="V421" i="2"/>
  <c r="J421" i="2"/>
  <c r="AC429" i="2"/>
  <c r="U429" i="2"/>
  <c r="H429" i="2"/>
  <c r="AB429" i="2"/>
  <c r="T429" i="2"/>
  <c r="G429" i="2"/>
  <c r="AI429" i="2"/>
  <c r="AA429" i="2"/>
  <c r="S429" i="2"/>
  <c r="E429" i="2"/>
  <c r="AH429" i="2"/>
  <c r="Z429" i="2"/>
  <c r="R429" i="2"/>
  <c r="D429" i="2"/>
  <c r="AG429" i="2"/>
  <c r="Y429" i="2"/>
  <c r="Q429" i="2"/>
  <c r="AF429" i="2"/>
  <c r="X429" i="2"/>
  <c r="P429" i="2"/>
  <c r="AE429" i="2"/>
  <c r="AD429" i="2"/>
  <c r="W429" i="2"/>
  <c r="V429" i="2"/>
  <c r="J429" i="2"/>
  <c r="AI437" i="2"/>
  <c r="AA437" i="2"/>
  <c r="S437" i="2"/>
  <c r="E437" i="2"/>
  <c r="AE437" i="2"/>
  <c r="W437" i="2"/>
  <c r="J437" i="2"/>
  <c r="AC437" i="2"/>
  <c r="U437" i="2"/>
  <c r="H437" i="2"/>
  <c r="AB437" i="2"/>
  <c r="T437" i="2"/>
  <c r="G437" i="2"/>
  <c r="V437" i="2"/>
  <c r="AH437" i="2"/>
  <c r="R437" i="2"/>
  <c r="AG437" i="2"/>
  <c r="Q437" i="2"/>
  <c r="AF437" i="2"/>
  <c r="P437" i="2"/>
  <c r="AD437" i="2"/>
  <c r="Z437" i="2"/>
  <c r="D437" i="2"/>
  <c r="Y437" i="2"/>
  <c r="X437" i="2"/>
  <c r="AI445" i="2"/>
  <c r="AA445" i="2"/>
  <c r="S445" i="2"/>
  <c r="E445" i="2"/>
  <c r="AH445" i="2"/>
  <c r="Z445" i="2"/>
  <c r="R445" i="2"/>
  <c r="D445" i="2"/>
  <c r="AG445" i="2"/>
  <c r="Y445" i="2"/>
  <c r="Q445" i="2"/>
  <c r="AF445" i="2"/>
  <c r="X445" i="2"/>
  <c r="P445" i="2"/>
  <c r="AE445" i="2"/>
  <c r="W445" i="2"/>
  <c r="J445" i="2"/>
  <c r="AD445" i="2"/>
  <c r="V445" i="2"/>
  <c r="AC445" i="2"/>
  <c r="U445" i="2"/>
  <c r="H445" i="2"/>
  <c r="AB445" i="2"/>
  <c r="T445" i="2"/>
  <c r="G445" i="2"/>
  <c r="AI453" i="2"/>
  <c r="AA453" i="2"/>
  <c r="S453" i="2"/>
  <c r="E453" i="2"/>
  <c r="AH453" i="2"/>
  <c r="Z453" i="2"/>
  <c r="R453" i="2"/>
  <c r="D453" i="2"/>
  <c r="AG453" i="2"/>
  <c r="Y453" i="2"/>
  <c r="Q453" i="2"/>
  <c r="AF453" i="2"/>
  <c r="X453" i="2"/>
  <c r="P453" i="2"/>
  <c r="AE453" i="2"/>
  <c r="W453" i="2"/>
  <c r="J453" i="2"/>
  <c r="AD453" i="2"/>
  <c r="V453" i="2"/>
  <c r="AC453" i="2"/>
  <c r="U453" i="2"/>
  <c r="H453" i="2"/>
  <c r="AB453" i="2"/>
  <c r="T453" i="2"/>
  <c r="G453" i="2"/>
  <c r="J39" i="2"/>
  <c r="AH43" i="2"/>
  <c r="AB57" i="2"/>
  <c r="G61" i="2"/>
  <c r="AB65" i="2"/>
  <c r="D67" i="2"/>
  <c r="G69" i="2"/>
  <c r="D72" i="2"/>
  <c r="AB73" i="2"/>
  <c r="V74" i="2"/>
  <c r="D75" i="2"/>
  <c r="G77" i="2"/>
  <c r="D80" i="2"/>
  <c r="AB81" i="2"/>
  <c r="V82" i="2"/>
  <c r="D83" i="2"/>
  <c r="G85" i="2"/>
  <c r="D88" i="2"/>
  <c r="AB89" i="2"/>
  <c r="V90" i="2"/>
  <c r="D91" i="2"/>
  <c r="G93" i="2"/>
  <c r="S96" i="2"/>
  <c r="E97" i="2"/>
  <c r="S109" i="2"/>
  <c r="H114" i="2"/>
  <c r="W115" i="2"/>
  <c r="H122" i="2"/>
  <c r="E125" i="2"/>
  <c r="Y137" i="2"/>
  <c r="AB46" i="2"/>
  <c r="AE46" i="2"/>
  <c r="AD46" i="2"/>
  <c r="W46" i="2"/>
  <c r="V46" i="2"/>
  <c r="AC62" i="2"/>
  <c r="U62" i="2"/>
  <c r="H62" i="2"/>
  <c r="AB62" i="2"/>
  <c r="T62" i="2"/>
  <c r="G62" i="2"/>
  <c r="AI62" i="2"/>
  <c r="AA62" i="2"/>
  <c r="S62" i="2"/>
  <c r="AH62" i="2"/>
  <c r="Z62" i="2"/>
  <c r="R62" i="2"/>
  <c r="AG62" i="2"/>
  <c r="Y62" i="2"/>
  <c r="Q62" i="2"/>
  <c r="AE62" i="2"/>
  <c r="W62" i="2"/>
  <c r="J62" i="2"/>
  <c r="AC70" i="2"/>
  <c r="U70" i="2"/>
  <c r="H70" i="2"/>
  <c r="AB70" i="2"/>
  <c r="T70" i="2"/>
  <c r="G70" i="2"/>
  <c r="AI70" i="2"/>
  <c r="AA70" i="2"/>
  <c r="S70" i="2"/>
  <c r="E70" i="2"/>
  <c r="AH70" i="2"/>
  <c r="Z70" i="2"/>
  <c r="R70" i="2"/>
  <c r="D70" i="2"/>
  <c r="AG70" i="2"/>
  <c r="Y70" i="2"/>
  <c r="Q70" i="2"/>
  <c r="AE70" i="2"/>
  <c r="W70" i="2"/>
  <c r="J70" i="2"/>
  <c r="AC78" i="2"/>
  <c r="U78" i="2"/>
  <c r="H78" i="2"/>
  <c r="AB78" i="2"/>
  <c r="T78" i="2"/>
  <c r="G78" i="2"/>
  <c r="AI78" i="2"/>
  <c r="AA78" i="2"/>
  <c r="S78" i="2"/>
  <c r="E78" i="2"/>
  <c r="AH78" i="2"/>
  <c r="Z78" i="2"/>
  <c r="R78" i="2"/>
  <c r="D78" i="2"/>
  <c r="AG78" i="2"/>
  <c r="Y78" i="2"/>
  <c r="Q78" i="2"/>
  <c r="AE78" i="2"/>
  <c r="W78" i="2"/>
  <c r="J78" i="2"/>
  <c r="AC86" i="2"/>
  <c r="U86" i="2"/>
  <c r="H86" i="2"/>
  <c r="AB86" i="2"/>
  <c r="T86" i="2"/>
  <c r="G86" i="2"/>
  <c r="AI86" i="2"/>
  <c r="AA86" i="2"/>
  <c r="S86" i="2"/>
  <c r="E86" i="2"/>
  <c r="AH86" i="2"/>
  <c r="Z86" i="2"/>
  <c r="R86" i="2"/>
  <c r="D86" i="2"/>
  <c r="AG86" i="2"/>
  <c r="Y86" i="2"/>
  <c r="Q86" i="2"/>
  <c r="AE86" i="2"/>
  <c r="W86" i="2"/>
  <c r="J86" i="2"/>
  <c r="AC94" i="2"/>
  <c r="U94" i="2"/>
  <c r="H94" i="2"/>
  <c r="AB94" i="2"/>
  <c r="T94" i="2"/>
  <c r="G94" i="2"/>
  <c r="AI94" i="2"/>
  <c r="AA94" i="2"/>
  <c r="S94" i="2"/>
  <c r="E94" i="2"/>
  <c r="AH94" i="2"/>
  <c r="Z94" i="2"/>
  <c r="R94" i="2"/>
  <c r="D94" i="2"/>
  <c r="AG94" i="2"/>
  <c r="Y94" i="2"/>
  <c r="Q94" i="2"/>
  <c r="AE94" i="2"/>
  <c r="W94" i="2"/>
  <c r="J94" i="2"/>
  <c r="AI102" i="2"/>
  <c r="AA102" i="2"/>
  <c r="S102" i="2"/>
  <c r="E102" i="2"/>
  <c r="AH102" i="2"/>
  <c r="Z102" i="2"/>
  <c r="R102" i="2"/>
  <c r="D102" i="2"/>
  <c r="AG102" i="2"/>
  <c r="Y102" i="2"/>
  <c r="Q102" i="2"/>
  <c r="AE102" i="2"/>
  <c r="W102" i="2"/>
  <c r="J102" i="2"/>
  <c r="AD102" i="2"/>
  <c r="V102" i="2"/>
  <c r="AB102" i="2"/>
  <c r="T102" i="2"/>
  <c r="G102" i="2"/>
  <c r="H102" i="2"/>
  <c r="AF102" i="2"/>
  <c r="AC102" i="2"/>
  <c r="X102" i="2"/>
  <c r="P102" i="2"/>
  <c r="AI110" i="2"/>
  <c r="AA110" i="2"/>
  <c r="S110" i="2"/>
  <c r="E110" i="2"/>
  <c r="AH110" i="2"/>
  <c r="Z110" i="2"/>
  <c r="R110" i="2"/>
  <c r="D110" i="2"/>
  <c r="AG110" i="2"/>
  <c r="Y110" i="2"/>
  <c r="Q110" i="2"/>
  <c r="AF110" i="2"/>
  <c r="X110" i="2"/>
  <c r="P110" i="2"/>
  <c r="AE110" i="2"/>
  <c r="W110" i="2"/>
  <c r="J110" i="2"/>
  <c r="AD110" i="2"/>
  <c r="V110" i="2"/>
  <c r="AB110" i="2"/>
  <c r="T110" i="2"/>
  <c r="G110" i="2"/>
  <c r="H110" i="2"/>
  <c r="U110" i="2"/>
  <c r="AI118" i="2"/>
  <c r="AA118" i="2"/>
  <c r="S118" i="2"/>
  <c r="E118" i="2"/>
  <c r="AH118" i="2"/>
  <c r="Z118" i="2"/>
  <c r="R118" i="2"/>
  <c r="D118" i="2"/>
  <c r="AG118" i="2"/>
  <c r="Y118" i="2"/>
  <c r="Q118" i="2"/>
  <c r="AF118" i="2"/>
  <c r="X118" i="2"/>
  <c r="P118" i="2"/>
  <c r="AE118" i="2"/>
  <c r="W118" i="2"/>
  <c r="J118" i="2"/>
  <c r="AD118" i="2"/>
  <c r="V118" i="2"/>
  <c r="AB118" i="2"/>
  <c r="T118" i="2"/>
  <c r="G118" i="2"/>
  <c r="AC118" i="2"/>
  <c r="U118" i="2"/>
  <c r="H118" i="2"/>
  <c r="AI126" i="2"/>
  <c r="AA126" i="2"/>
  <c r="S126" i="2"/>
  <c r="E126" i="2"/>
  <c r="AH126" i="2"/>
  <c r="Z126" i="2"/>
  <c r="R126" i="2"/>
  <c r="D126" i="2"/>
  <c r="AG126" i="2"/>
  <c r="Y126" i="2"/>
  <c r="Q126" i="2"/>
  <c r="AF126" i="2"/>
  <c r="X126" i="2"/>
  <c r="P126" i="2"/>
  <c r="AE126" i="2"/>
  <c r="W126" i="2"/>
  <c r="J126" i="2"/>
  <c r="AD126" i="2"/>
  <c r="V126" i="2"/>
  <c r="AB126" i="2"/>
  <c r="T126" i="2"/>
  <c r="G126" i="2"/>
  <c r="AC126" i="2"/>
  <c r="U126" i="2"/>
  <c r="H126" i="2"/>
  <c r="AH134" i="2"/>
  <c r="Z134" i="2"/>
  <c r="R134" i="2"/>
  <c r="D134" i="2"/>
  <c r="AD134" i="2"/>
  <c r="V134" i="2"/>
  <c r="AF134" i="2"/>
  <c r="U134" i="2"/>
  <c r="G134" i="2"/>
  <c r="AE134" i="2"/>
  <c r="T134" i="2"/>
  <c r="E134" i="2"/>
  <c r="AC134" i="2"/>
  <c r="S134" i="2"/>
  <c r="AB134" i="2"/>
  <c r="Q134" i="2"/>
  <c r="AA134" i="2"/>
  <c r="P134" i="2"/>
  <c r="Y134" i="2"/>
  <c r="J134" i="2"/>
  <c r="AG134" i="2"/>
  <c r="W134" i="2"/>
  <c r="H134" i="2"/>
  <c r="AI134" i="2"/>
  <c r="X134" i="2"/>
  <c r="AH142" i="2"/>
  <c r="Z142" i="2"/>
  <c r="R142" i="2"/>
  <c r="D142" i="2"/>
  <c r="AF142" i="2"/>
  <c r="AD142" i="2"/>
  <c r="V142" i="2"/>
  <c r="AG142" i="2"/>
  <c r="U142" i="2"/>
  <c r="G142" i="2"/>
  <c r="AE142" i="2"/>
  <c r="T142" i="2"/>
  <c r="E142" i="2"/>
  <c r="AC142" i="2"/>
  <c r="S142" i="2"/>
  <c r="AB142" i="2"/>
  <c r="Q142" i="2"/>
  <c r="AA142" i="2"/>
  <c r="P142" i="2"/>
  <c r="Y142" i="2"/>
  <c r="J142" i="2"/>
  <c r="AI142" i="2"/>
  <c r="W142" i="2"/>
  <c r="H142" i="2"/>
  <c r="X142" i="2"/>
  <c r="AH150" i="2"/>
  <c r="Z150" i="2"/>
  <c r="R150" i="2"/>
  <c r="D150" i="2"/>
  <c r="AF150" i="2"/>
  <c r="X150" i="2"/>
  <c r="P150" i="2"/>
  <c r="AD150" i="2"/>
  <c r="V150" i="2"/>
  <c r="AC150" i="2"/>
  <c r="U150" i="2"/>
  <c r="H150" i="2"/>
  <c r="AB150" i="2"/>
  <c r="T150" i="2"/>
  <c r="G150" i="2"/>
  <c r="AA150" i="2"/>
  <c r="Y150" i="2"/>
  <c r="W150" i="2"/>
  <c r="S150" i="2"/>
  <c r="Q150" i="2"/>
  <c r="AI150" i="2"/>
  <c r="J150" i="2"/>
  <c r="AE150" i="2"/>
  <c r="E150" i="2"/>
  <c r="AG150" i="2"/>
  <c r="AH158" i="2"/>
  <c r="Z158" i="2"/>
  <c r="R158" i="2"/>
  <c r="D158" i="2"/>
  <c r="AF158" i="2"/>
  <c r="X158" i="2"/>
  <c r="P158" i="2"/>
  <c r="AE158" i="2"/>
  <c r="W158" i="2"/>
  <c r="J158" i="2"/>
  <c r="AD158" i="2"/>
  <c r="V158" i="2"/>
  <c r="AC158" i="2"/>
  <c r="U158" i="2"/>
  <c r="H158" i="2"/>
  <c r="AB158" i="2"/>
  <c r="T158" i="2"/>
  <c r="G158" i="2"/>
  <c r="S158" i="2"/>
  <c r="Q158" i="2"/>
  <c r="E158" i="2"/>
  <c r="AI158" i="2"/>
  <c r="AG158" i="2"/>
  <c r="Y158" i="2"/>
  <c r="AA158" i="2"/>
  <c r="AH166" i="2"/>
  <c r="Z166" i="2"/>
  <c r="R166" i="2"/>
  <c r="D166" i="2"/>
  <c r="AF166" i="2"/>
  <c r="X166" i="2"/>
  <c r="P166" i="2"/>
  <c r="AE166" i="2"/>
  <c r="W166" i="2"/>
  <c r="J166" i="2"/>
  <c r="AD166" i="2"/>
  <c r="V166" i="2"/>
  <c r="AC166" i="2"/>
  <c r="U166" i="2"/>
  <c r="H166" i="2"/>
  <c r="AB166" i="2"/>
  <c r="T166" i="2"/>
  <c r="G166" i="2"/>
  <c r="AI166" i="2"/>
  <c r="AG166" i="2"/>
  <c r="AA166" i="2"/>
  <c r="Y166" i="2"/>
  <c r="S166" i="2"/>
  <c r="Q166" i="2"/>
  <c r="E166" i="2"/>
  <c r="AH174" i="2"/>
  <c r="Z174" i="2"/>
  <c r="R174" i="2"/>
  <c r="D174" i="2"/>
  <c r="AG174" i="2"/>
  <c r="Y174" i="2"/>
  <c r="Q174" i="2"/>
  <c r="AF174" i="2"/>
  <c r="X174" i="2"/>
  <c r="P174" i="2"/>
  <c r="AD174" i="2"/>
  <c r="V174" i="2"/>
  <c r="U174" i="2"/>
  <c r="T174" i="2"/>
  <c r="AI174" i="2"/>
  <c r="S174" i="2"/>
  <c r="AE174" i="2"/>
  <c r="J174" i="2"/>
  <c r="AC174" i="2"/>
  <c r="AB174" i="2"/>
  <c r="H174" i="2"/>
  <c r="AA174" i="2"/>
  <c r="G174" i="2"/>
  <c r="W174" i="2"/>
  <c r="E174" i="2"/>
  <c r="AH182" i="2"/>
  <c r="Z182" i="2"/>
  <c r="R182" i="2"/>
  <c r="D182" i="2"/>
  <c r="AG182" i="2"/>
  <c r="Y182" i="2"/>
  <c r="Q182" i="2"/>
  <c r="AF182" i="2"/>
  <c r="X182" i="2"/>
  <c r="P182" i="2"/>
  <c r="AD182" i="2"/>
  <c r="V182" i="2"/>
  <c r="AA182" i="2"/>
  <c r="G182" i="2"/>
  <c r="W182" i="2"/>
  <c r="E182" i="2"/>
  <c r="U182" i="2"/>
  <c r="T182" i="2"/>
  <c r="AI182" i="2"/>
  <c r="S182" i="2"/>
  <c r="AE182" i="2"/>
  <c r="J182" i="2"/>
  <c r="AC182" i="2"/>
  <c r="AB182" i="2"/>
  <c r="H182" i="2"/>
  <c r="AI190" i="2"/>
  <c r="AA190" i="2"/>
  <c r="S190" i="2"/>
  <c r="E190" i="2"/>
  <c r="AH190" i="2"/>
  <c r="Z190" i="2"/>
  <c r="R190" i="2"/>
  <c r="D190" i="2"/>
  <c r="AG190" i="2"/>
  <c r="Y190" i="2"/>
  <c r="Q190" i="2"/>
  <c r="AF190" i="2"/>
  <c r="X190" i="2"/>
  <c r="P190" i="2"/>
  <c r="AE190" i="2"/>
  <c r="W190" i="2"/>
  <c r="J190" i="2"/>
  <c r="AD190" i="2"/>
  <c r="V190" i="2"/>
  <c r="T190" i="2"/>
  <c r="H190" i="2"/>
  <c r="G190" i="2"/>
  <c r="AC190" i="2"/>
  <c r="AB190" i="2"/>
  <c r="U190" i="2"/>
  <c r="AI198" i="2"/>
  <c r="AA198" i="2"/>
  <c r="S198" i="2"/>
  <c r="E198" i="2"/>
  <c r="AH198" i="2"/>
  <c r="Z198" i="2"/>
  <c r="R198" i="2"/>
  <c r="D198" i="2"/>
  <c r="AG198" i="2"/>
  <c r="Y198" i="2"/>
  <c r="Q198" i="2"/>
  <c r="AF198" i="2"/>
  <c r="X198" i="2"/>
  <c r="P198" i="2"/>
  <c r="AE198" i="2"/>
  <c r="W198" i="2"/>
  <c r="J198" i="2"/>
  <c r="AD198" i="2"/>
  <c r="V198" i="2"/>
  <c r="H198" i="2"/>
  <c r="G198" i="2"/>
  <c r="AC198" i="2"/>
  <c r="AB198" i="2"/>
  <c r="U198" i="2"/>
  <c r="T198" i="2"/>
  <c r="AB206" i="2"/>
  <c r="T206" i="2"/>
  <c r="G206" i="2"/>
  <c r="AG206" i="2"/>
  <c r="AE206" i="2"/>
  <c r="W206" i="2"/>
  <c r="J206" i="2"/>
  <c r="AD206" i="2"/>
  <c r="V206" i="2"/>
  <c r="X206" i="2"/>
  <c r="E206" i="2"/>
  <c r="AI206" i="2"/>
  <c r="U206" i="2"/>
  <c r="D206" i="2"/>
  <c r="AH206" i="2"/>
  <c r="S206" i="2"/>
  <c r="AF206" i="2"/>
  <c r="R206" i="2"/>
  <c r="AC206" i="2"/>
  <c r="Q206" i="2"/>
  <c r="AA206" i="2"/>
  <c r="P206" i="2"/>
  <c r="Z206" i="2"/>
  <c r="Y206" i="2"/>
  <c r="H206" i="2"/>
  <c r="G56" i="2"/>
  <c r="AD57" i="2"/>
  <c r="X58" i="2"/>
  <c r="G64" i="2"/>
  <c r="AD65" i="2"/>
  <c r="X66" i="2"/>
  <c r="G72" i="2"/>
  <c r="AD73" i="2"/>
  <c r="X74" i="2"/>
  <c r="G80" i="2"/>
  <c r="AD81" i="2"/>
  <c r="X82" i="2"/>
  <c r="G88" i="2"/>
  <c r="AD89" i="2"/>
  <c r="X90" i="2"/>
  <c r="U96" i="2"/>
  <c r="R98" i="2"/>
  <c r="R99" i="2"/>
  <c r="Q104" i="2"/>
  <c r="AI109" i="2"/>
  <c r="AE100" i="2"/>
  <c r="W100" i="2"/>
  <c r="J100" i="2"/>
  <c r="AD100" i="2"/>
  <c r="V100" i="2"/>
  <c r="AC100" i="2"/>
  <c r="U100" i="2"/>
  <c r="H100" i="2"/>
  <c r="AI100" i="2"/>
  <c r="AA100" i="2"/>
  <c r="S100" i="2"/>
  <c r="E100" i="2"/>
  <c r="AH100" i="2"/>
  <c r="Z100" i="2"/>
  <c r="R100" i="2"/>
  <c r="D100" i="2"/>
  <c r="AF100" i="2"/>
  <c r="X100" i="2"/>
  <c r="P100" i="2"/>
  <c r="AE108" i="2"/>
  <c r="W108" i="2"/>
  <c r="J108" i="2"/>
  <c r="AD108" i="2"/>
  <c r="V108" i="2"/>
  <c r="AC108" i="2"/>
  <c r="U108" i="2"/>
  <c r="H108" i="2"/>
  <c r="AI108" i="2"/>
  <c r="AA108" i="2"/>
  <c r="S108" i="2"/>
  <c r="E108" i="2"/>
  <c r="AH108" i="2"/>
  <c r="Z108" i="2"/>
  <c r="R108" i="2"/>
  <c r="D108" i="2"/>
  <c r="AF108" i="2"/>
  <c r="X108" i="2"/>
  <c r="P108" i="2"/>
  <c r="AE116" i="2"/>
  <c r="W116" i="2"/>
  <c r="J116" i="2"/>
  <c r="AD116" i="2"/>
  <c r="V116" i="2"/>
  <c r="AC116" i="2"/>
  <c r="U116" i="2"/>
  <c r="H116" i="2"/>
  <c r="AB116" i="2"/>
  <c r="T116" i="2"/>
  <c r="G116" i="2"/>
  <c r="AI116" i="2"/>
  <c r="AA116" i="2"/>
  <c r="S116" i="2"/>
  <c r="E116" i="2"/>
  <c r="AH116" i="2"/>
  <c r="Z116" i="2"/>
  <c r="R116" i="2"/>
  <c r="D116" i="2"/>
  <c r="AF116" i="2"/>
  <c r="X116" i="2"/>
  <c r="P116" i="2"/>
  <c r="AE124" i="2"/>
  <c r="W124" i="2"/>
  <c r="J124" i="2"/>
  <c r="AD124" i="2"/>
  <c r="V124" i="2"/>
  <c r="AC124" i="2"/>
  <c r="U124" i="2"/>
  <c r="H124" i="2"/>
  <c r="AB124" i="2"/>
  <c r="T124" i="2"/>
  <c r="G124" i="2"/>
  <c r="AI124" i="2"/>
  <c r="AA124" i="2"/>
  <c r="S124" i="2"/>
  <c r="E124" i="2"/>
  <c r="AH124" i="2"/>
  <c r="Z124" i="2"/>
  <c r="R124" i="2"/>
  <c r="D124" i="2"/>
  <c r="AF124" i="2"/>
  <c r="X124" i="2"/>
  <c r="P124" i="2"/>
  <c r="AD132" i="2"/>
  <c r="V132" i="2"/>
  <c r="AH132" i="2"/>
  <c r="Z132" i="2"/>
  <c r="R132" i="2"/>
  <c r="D132" i="2"/>
  <c r="AF132" i="2"/>
  <c r="U132" i="2"/>
  <c r="G132" i="2"/>
  <c r="AE132" i="2"/>
  <c r="T132" i="2"/>
  <c r="E132" i="2"/>
  <c r="AC132" i="2"/>
  <c r="S132" i="2"/>
  <c r="AB132" i="2"/>
  <c r="Q132" i="2"/>
  <c r="AA132" i="2"/>
  <c r="P132" i="2"/>
  <c r="Y132" i="2"/>
  <c r="J132" i="2"/>
  <c r="AG132" i="2"/>
  <c r="W132" i="2"/>
  <c r="H132" i="2"/>
  <c r="AD140" i="2"/>
  <c r="V140" i="2"/>
  <c r="AH140" i="2"/>
  <c r="Z140" i="2"/>
  <c r="R140" i="2"/>
  <c r="D140" i="2"/>
  <c r="AF140" i="2"/>
  <c r="U140" i="2"/>
  <c r="G140" i="2"/>
  <c r="AE140" i="2"/>
  <c r="T140" i="2"/>
  <c r="E140" i="2"/>
  <c r="AC140" i="2"/>
  <c r="S140" i="2"/>
  <c r="AB140" i="2"/>
  <c r="Q140" i="2"/>
  <c r="AA140" i="2"/>
  <c r="P140" i="2"/>
  <c r="Y140" i="2"/>
  <c r="J140" i="2"/>
  <c r="AG140" i="2"/>
  <c r="W140" i="2"/>
  <c r="H140" i="2"/>
  <c r="AD148" i="2"/>
  <c r="V148" i="2"/>
  <c r="AB148" i="2"/>
  <c r="T148" i="2"/>
  <c r="G148" i="2"/>
  <c r="AH148" i="2"/>
  <c r="Z148" i="2"/>
  <c r="R148" i="2"/>
  <c r="D148" i="2"/>
  <c r="AG148" i="2"/>
  <c r="Y148" i="2"/>
  <c r="Q148" i="2"/>
  <c r="AF148" i="2"/>
  <c r="X148" i="2"/>
  <c r="P148" i="2"/>
  <c r="S148" i="2"/>
  <c r="J148" i="2"/>
  <c r="AI148" i="2"/>
  <c r="AE148" i="2"/>
  <c r="H148" i="2"/>
  <c r="AC148" i="2"/>
  <c r="E148" i="2"/>
  <c r="AA148" i="2"/>
  <c r="U148" i="2"/>
  <c r="AD156" i="2"/>
  <c r="V156" i="2"/>
  <c r="AB156" i="2"/>
  <c r="T156" i="2"/>
  <c r="G156" i="2"/>
  <c r="AI156" i="2"/>
  <c r="AA156" i="2"/>
  <c r="S156" i="2"/>
  <c r="E156" i="2"/>
  <c r="AH156" i="2"/>
  <c r="Z156" i="2"/>
  <c r="R156" i="2"/>
  <c r="D156" i="2"/>
  <c r="AG156" i="2"/>
  <c r="Y156" i="2"/>
  <c r="Q156" i="2"/>
  <c r="AF156" i="2"/>
  <c r="X156" i="2"/>
  <c r="P156" i="2"/>
  <c r="H156" i="2"/>
  <c r="AE156" i="2"/>
  <c r="AC156" i="2"/>
  <c r="W156" i="2"/>
  <c r="J156" i="2"/>
  <c r="AD164" i="2"/>
  <c r="V164" i="2"/>
  <c r="AB164" i="2"/>
  <c r="T164" i="2"/>
  <c r="G164" i="2"/>
  <c r="AI164" i="2"/>
  <c r="AA164" i="2"/>
  <c r="S164" i="2"/>
  <c r="E164" i="2"/>
  <c r="AH164" i="2"/>
  <c r="Z164" i="2"/>
  <c r="R164" i="2"/>
  <c r="D164" i="2"/>
  <c r="AG164" i="2"/>
  <c r="Y164" i="2"/>
  <c r="Q164" i="2"/>
  <c r="AF164" i="2"/>
  <c r="X164" i="2"/>
  <c r="P164" i="2"/>
  <c r="AC164" i="2"/>
  <c r="W164" i="2"/>
  <c r="U164" i="2"/>
  <c r="J164" i="2"/>
  <c r="H164" i="2"/>
  <c r="AE164" i="2"/>
  <c r="AD172" i="2"/>
  <c r="V172" i="2"/>
  <c r="AC172" i="2"/>
  <c r="U172" i="2"/>
  <c r="H172" i="2"/>
  <c r="AB172" i="2"/>
  <c r="T172" i="2"/>
  <c r="G172" i="2"/>
  <c r="AH172" i="2"/>
  <c r="Z172" i="2"/>
  <c r="R172" i="2"/>
  <c r="D172" i="2"/>
  <c r="AG172" i="2"/>
  <c r="Q172" i="2"/>
  <c r="AF172" i="2"/>
  <c r="P172" i="2"/>
  <c r="AE172" i="2"/>
  <c r="J172" i="2"/>
  <c r="AA172" i="2"/>
  <c r="Y172" i="2"/>
  <c r="E172" i="2"/>
  <c r="X172" i="2"/>
  <c r="W172" i="2"/>
  <c r="AI172" i="2"/>
  <c r="S172" i="2"/>
  <c r="AD180" i="2"/>
  <c r="V180" i="2"/>
  <c r="AC180" i="2"/>
  <c r="U180" i="2"/>
  <c r="H180" i="2"/>
  <c r="AB180" i="2"/>
  <c r="T180" i="2"/>
  <c r="G180" i="2"/>
  <c r="AH180" i="2"/>
  <c r="Z180" i="2"/>
  <c r="R180" i="2"/>
  <c r="D180" i="2"/>
  <c r="W180" i="2"/>
  <c r="AI180" i="2"/>
  <c r="S180" i="2"/>
  <c r="AG180" i="2"/>
  <c r="Q180" i="2"/>
  <c r="AF180" i="2"/>
  <c r="P180" i="2"/>
  <c r="AE180" i="2"/>
  <c r="J180" i="2"/>
  <c r="AA180" i="2"/>
  <c r="Y180" i="2"/>
  <c r="E180" i="2"/>
  <c r="AE188" i="2"/>
  <c r="W188" i="2"/>
  <c r="J188" i="2"/>
  <c r="AD188" i="2"/>
  <c r="V188" i="2"/>
  <c r="AC188" i="2"/>
  <c r="U188" i="2"/>
  <c r="H188" i="2"/>
  <c r="AB188" i="2"/>
  <c r="T188" i="2"/>
  <c r="G188" i="2"/>
  <c r="AI188" i="2"/>
  <c r="AA188" i="2"/>
  <c r="S188" i="2"/>
  <c r="E188" i="2"/>
  <c r="AH188" i="2"/>
  <c r="Z188" i="2"/>
  <c r="R188" i="2"/>
  <c r="D188" i="2"/>
  <c r="X188" i="2"/>
  <c r="Q188" i="2"/>
  <c r="P188" i="2"/>
  <c r="AG188" i="2"/>
  <c r="AF188" i="2"/>
  <c r="Y188" i="2"/>
  <c r="AE196" i="2"/>
  <c r="W196" i="2"/>
  <c r="J196" i="2"/>
  <c r="AD196" i="2"/>
  <c r="V196" i="2"/>
  <c r="AC196" i="2"/>
  <c r="U196" i="2"/>
  <c r="H196" i="2"/>
  <c r="AB196" i="2"/>
  <c r="T196" i="2"/>
  <c r="G196" i="2"/>
  <c r="AI196" i="2"/>
  <c r="AA196" i="2"/>
  <c r="S196" i="2"/>
  <c r="E196" i="2"/>
  <c r="AH196" i="2"/>
  <c r="Z196" i="2"/>
  <c r="R196" i="2"/>
  <c r="D196" i="2"/>
  <c r="P196" i="2"/>
  <c r="AG196" i="2"/>
  <c r="AF196" i="2"/>
  <c r="Y196" i="2"/>
  <c r="X196" i="2"/>
  <c r="Q196" i="2"/>
  <c r="AE204" i="2"/>
  <c r="W204" i="2"/>
  <c r="J204" i="2"/>
  <c r="AD204" i="2"/>
  <c r="V204" i="2"/>
  <c r="AC204" i="2"/>
  <c r="U204" i="2"/>
  <c r="H204" i="2"/>
  <c r="AB204" i="2"/>
  <c r="T204" i="2"/>
  <c r="G204" i="2"/>
  <c r="AI204" i="2"/>
  <c r="AA204" i="2"/>
  <c r="S204" i="2"/>
  <c r="E204" i="2"/>
  <c r="AH204" i="2"/>
  <c r="Z204" i="2"/>
  <c r="R204" i="2"/>
  <c r="D204" i="2"/>
  <c r="AG204" i="2"/>
  <c r="AF204" i="2"/>
  <c r="Y204" i="2"/>
  <c r="X204" i="2"/>
  <c r="Q204" i="2"/>
  <c r="P204" i="2"/>
  <c r="AF212" i="2"/>
  <c r="X212" i="2"/>
  <c r="P212" i="2"/>
  <c r="AC212" i="2"/>
  <c r="U212" i="2"/>
  <c r="H212" i="2"/>
  <c r="AI212" i="2"/>
  <c r="AA212" i="2"/>
  <c r="S212" i="2"/>
  <c r="E212" i="2"/>
  <c r="AH212" i="2"/>
  <c r="Z212" i="2"/>
  <c r="R212" i="2"/>
  <c r="D212" i="2"/>
  <c r="T212" i="2"/>
  <c r="AG212" i="2"/>
  <c r="Q212" i="2"/>
  <c r="AE212" i="2"/>
  <c r="J212" i="2"/>
  <c r="AD212" i="2"/>
  <c r="AB212" i="2"/>
  <c r="G212" i="2"/>
  <c r="Y212" i="2"/>
  <c r="W212" i="2"/>
  <c r="V212" i="2"/>
  <c r="AF220" i="2"/>
  <c r="X220" i="2"/>
  <c r="P220" i="2"/>
  <c r="AE220" i="2"/>
  <c r="W220" i="2"/>
  <c r="J220" i="2"/>
  <c r="AC220" i="2"/>
  <c r="U220" i="2"/>
  <c r="H220" i="2"/>
  <c r="AB220" i="2"/>
  <c r="T220" i="2"/>
  <c r="G220" i="2"/>
  <c r="AI220" i="2"/>
  <c r="AA220" i="2"/>
  <c r="S220" i="2"/>
  <c r="E220" i="2"/>
  <c r="AH220" i="2"/>
  <c r="Z220" i="2"/>
  <c r="R220" i="2"/>
  <c r="D220" i="2"/>
  <c r="AD220" i="2"/>
  <c r="Y220" i="2"/>
  <c r="V220" i="2"/>
  <c r="Q220" i="2"/>
  <c r="AG220" i="2"/>
  <c r="AF228" i="2"/>
  <c r="X228" i="2"/>
  <c r="P228" i="2"/>
  <c r="AE228" i="2"/>
  <c r="W228" i="2"/>
  <c r="J228" i="2"/>
  <c r="AC228" i="2"/>
  <c r="U228" i="2"/>
  <c r="H228" i="2"/>
  <c r="AB228" i="2"/>
  <c r="T228" i="2"/>
  <c r="G228" i="2"/>
  <c r="AI228" i="2"/>
  <c r="AA228" i="2"/>
  <c r="S228" i="2"/>
  <c r="E228" i="2"/>
  <c r="AH228" i="2"/>
  <c r="Z228" i="2"/>
  <c r="R228" i="2"/>
  <c r="D228" i="2"/>
  <c r="V228" i="2"/>
  <c r="Q228" i="2"/>
  <c r="AG228" i="2"/>
  <c r="AD228" i="2"/>
  <c r="Y228" i="2"/>
  <c r="AE236" i="2"/>
  <c r="W236" i="2"/>
  <c r="J236" i="2"/>
  <c r="AH236" i="2"/>
  <c r="Z236" i="2"/>
  <c r="R236" i="2"/>
  <c r="D236" i="2"/>
  <c r="AG236" i="2"/>
  <c r="V236" i="2"/>
  <c r="G236" i="2"/>
  <c r="AF236" i="2"/>
  <c r="U236" i="2"/>
  <c r="E236" i="2"/>
  <c r="AC236" i="2"/>
  <c r="S236" i="2"/>
  <c r="AB236" i="2"/>
  <c r="Q236" i="2"/>
  <c r="AA236" i="2"/>
  <c r="P236" i="2"/>
  <c r="Y236" i="2"/>
  <c r="T236" i="2"/>
  <c r="H236" i="2"/>
  <c r="AI236" i="2"/>
  <c r="X236" i="2"/>
  <c r="AD236" i="2"/>
  <c r="AE244" i="2"/>
  <c r="W244" i="2"/>
  <c r="J244" i="2"/>
  <c r="AH244" i="2"/>
  <c r="Z244" i="2"/>
  <c r="R244" i="2"/>
  <c r="D244" i="2"/>
  <c r="Y244" i="2"/>
  <c r="AI244" i="2"/>
  <c r="X244" i="2"/>
  <c r="H244" i="2"/>
  <c r="AF244" i="2"/>
  <c r="U244" i="2"/>
  <c r="E244" i="2"/>
  <c r="AD244" i="2"/>
  <c r="T244" i="2"/>
  <c r="AC244" i="2"/>
  <c r="S244" i="2"/>
  <c r="AB244" i="2"/>
  <c r="Q244" i="2"/>
  <c r="V244" i="2"/>
  <c r="P244" i="2"/>
  <c r="G244" i="2"/>
  <c r="AG244" i="2"/>
  <c r="AA244" i="2"/>
  <c r="AE252" i="2"/>
  <c r="W252" i="2"/>
  <c r="J252" i="2"/>
  <c r="AB252" i="2"/>
  <c r="T252" i="2"/>
  <c r="G252" i="2"/>
  <c r="AH252" i="2"/>
  <c r="Z252" i="2"/>
  <c r="R252" i="2"/>
  <c r="D252" i="2"/>
  <c r="AF252" i="2"/>
  <c r="S252" i="2"/>
  <c r="AD252" i="2"/>
  <c r="Q252" i="2"/>
  <c r="AA252" i="2"/>
  <c r="Y252" i="2"/>
  <c r="H252" i="2"/>
  <c r="X252" i="2"/>
  <c r="E252" i="2"/>
  <c r="AI252" i="2"/>
  <c r="V252" i="2"/>
  <c r="U252" i="2"/>
  <c r="P252" i="2"/>
  <c r="AG252" i="2"/>
  <c r="AC252" i="2"/>
  <c r="AE260" i="2"/>
  <c r="W260" i="2"/>
  <c r="J260" i="2"/>
  <c r="AC260" i="2"/>
  <c r="U260" i="2"/>
  <c r="H260" i="2"/>
  <c r="AB260" i="2"/>
  <c r="T260" i="2"/>
  <c r="G260" i="2"/>
  <c r="AH260" i="2"/>
  <c r="Z260" i="2"/>
  <c r="R260" i="2"/>
  <c r="D260" i="2"/>
  <c r="AD260" i="2"/>
  <c r="AA260" i="2"/>
  <c r="E260" i="2"/>
  <c r="X260" i="2"/>
  <c r="V260" i="2"/>
  <c r="AI260" i="2"/>
  <c r="S260" i="2"/>
  <c r="AG260" i="2"/>
  <c r="Q260" i="2"/>
  <c r="AF260" i="2"/>
  <c r="Y260" i="2"/>
  <c r="P260" i="2"/>
  <c r="AD268" i="2"/>
  <c r="V268" i="2"/>
  <c r="AG268" i="2"/>
  <c r="Y268" i="2"/>
  <c r="Q268" i="2"/>
  <c r="AF268" i="2"/>
  <c r="X268" i="2"/>
  <c r="P268" i="2"/>
  <c r="AA268" i="2"/>
  <c r="W268" i="2"/>
  <c r="G268" i="2"/>
  <c r="AI268" i="2"/>
  <c r="U268" i="2"/>
  <c r="E268" i="2"/>
  <c r="AE268" i="2"/>
  <c r="S268" i="2"/>
  <c r="AC268" i="2"/>
  <c r="D268" i="2"/>
  <c r="AB268" i="2"/>
  <c r="T268" i="2"/>
  <c r="R268" i="2"/>
  <c r="J268" i="2"/>
  <c r="H268" i="2"/>
  <c r="Z268" i="2"/>
  <c r="AH268" i="2"/>
  <c r="AD276" i="2"/>
  <c r="V276" i="2"/>
  <c r="AI276" i="2"/>
  <c r="AA276" i="2"/>
  <c r="S276" i="2"/>
  <c r="E276" i="2"/>
  <c r="AG276" i="2"/>
  <c r="Y276" i="2"/>
  <c r="Q276" i="2"/>
  <c r="AF276" i="2"/>
  <c r="X276" i="2"/>
  <c r="P276" i="2"/>
  <c r="U276" i="2"/>
  <c r="AH276" i="2"/>
  <c r="R276" i="2"/>
  <c r="AE276" i="2"/>
  <c r="J276" i="2"/>
  <c r="AB276" i="2"/>
  <c r="H276" i="2"/>
  <c r="Z276" i="2"/>
  <c r="W276" i="2"/>
  <c r="T276" i="2"/>
  <c r="G276" i="2"/>
  <c r="D276" i="2"/>
  <c r="AC276" i="2"/>
  <c r="AD284" i="2"/>
  <c r="V284" i="2"/>
  <c r="AI284" i="2"/>
  <c r="AA284" i="2"/>
  <c r="S284" i="2"/>
  <c r="E284" i="2"/>
  <c r="AG284" i="2"/>
  <c r="Y284" i="2"/>
  <c r="Q284" i="2"/>
  <c r="AF284" i="2"/>
  <c r="X284" i="2"/>
  <c r="P284" i="2"/>
  <c r="AC284" i="2"/>
  <c r="AB284" i="2"/>
  <c r="H284" i="2"/>
  <c r="Z284" i="2"/>
  <c r="G284" i="2"/>
  <c r="W284" i="2"/>
  <c r="D284" i="2"/>
  <c r="U284" i="2"/>
  <c r="T284" i="2"/>
  <c r="R284" i="2"/>
  <c r="J284" i="2"/>
  <c r="AH284" i="2"/>
  <c r="AE284" i="2"/>
  <c r="AD292" i="2"/>
  <c r="V292" i="2"/>
  <c r="AC292" i="2"/>
  <c r="U292" i="2"/>
  <c r="H292" i="2"/>
  <c r="AI292" i="2"/>
  <c r="AA292" i="2"/>
  <c r="S292" i="2"/>
  <c r="E292" i="2"/>
  <c r="AG292" i="2"/>
  <c r="Y292" i="2"/>
  <c r="Q292" i="2"/>
  <c r="AF292" i="2"/>
  <c r="X292" i="2"/>
  <c r="P292" i="2"/>
  <c r="J292" i="2"/>
  <c r="AH292" i="2"/>
  <c r="AE292" i="2"/>
  <c r="G292" i="2"/>
  <c r="AB292" i="2"/>
  <c r="D292" i="2"/>
  <c r="Z292" i="2"/>
  <c r="W292" i="2"/>
  <c r="T292" i="2"/>
  <c r="R292" i="2"/>
  <c r="AI300" i="2"/>
  <c r="AA300" i="2"/>
  <c r="S300" i="2"/>
  <c r="E300" i="2"/>
  <c r="AG300" i="2"/>
  <c r="Y300" i="2"/>
  <c r="Q300" i="2"/>
  <c r="AE300" i="2"/>
  <c r="W300" i="2"/>
  <c r="J300" i="2"/>
  <c r="AC300" i="2"/>
  <c r="U300" i="2"/>
  <c r="H300" i="2"/>
  <c r="T300" i="2"/>
  <c r="AH300" i="2"/>
  <c r="R300" i="2"/>
  <c r="AD300" i="2"/>
  <c r="Z300" i="2"/>
  <c r="D300" i="2"/>
  <c r="X300" i="2"/>
  <c r="P300" i="2"/>
  <c r="G300" i="2"/>
  <c r="AF300" i="2"/>
  <c r="AB300" i="2"/>
  <c r="V300" i="2"/>
  <c r="AI308" i="2"/>
  <c r="AA308" i="2"/>
  <c r="S308" i="2"/>
  <c r="E308" i="2"/>
  <c r="AG308" i="2"/>
  <c r="Y308" i="2"/>
  <c r="Q308" i="2"/>
  <c r="AE308" i="2"/>
  <c r="W308" i="2"/>
  <c r="J308" i="2"/>
  <c r="AC308" i="2"/>
  <c r="U308" i="2"/>
  <c r="H308" i="2"/>
  <c r="T308" i="2"/>
  <c r="AH308" i="2"/>
  <c r="R308" i="2"/>
  <c r="AD308" i="2"/>
  <c r="Z308" i="2"/>
  <c r="D308" i="2"/>
  <c r="X308" i="2"/>
  <c r="AF308" i="2"/>
  <c r="AB308" i="2"/>
  <c r="V308" i="2"/>
  <c r="P308" i="2"/>
  <c r="G308" i="2"/>
  <c r="AI316" i="2"/>
  <c r="AA316" i="2"/>
  <c r="S316" i="2"/>
  <c r="E316" i="2"/>
  <c r="AG316" i="2"/>
  <c r="Y316" i="2"/>
  <c r="Q316" i="2"/>
  <c r="AE316" i="2"/>
  <c r="W316" i="2"/>
  <c r="J316" i="2"/>
  <c r="AC316" i="2"/>
  <c r="U316" i="2"/>
  <c r="H316" i="2"/>
  <c r="T316" i="2"/>
  <c r="AH316" i="2"/>
  <c r="R316" i="2"/>
  <c r="AD316" i="2"/>
  <c r="Z316" i="2"/>
  <c r="D316" i="2"/>
  <c r="X316" i="2"/>
  <c r="P316" i="2"/>
  <c r="G316" i="2"/>
  <c r="AF316" i="2"/>
  <c r="V316" i="2"/>
  <c r="AB316" i="2"/>
  <c r="AI324" i="2"/>
  <c r="AA324" i="2"/>
  <c r="S324" i="2"/>
  <c r="E324" i="2"/>
  <c r="AG324" i="2"/>
  <c r="Y324" i="2"/>
  <c r="Q324" i="2"/>
  <c r="AE324" i="2"/>
  <c r="W324" i="2"/>
  <c r="J324" i="2"/>
  <c r="AD324" i="2"/>
  <c r="V324" i="2"/>
  <c r="AC324" i="2"/>
  <c r="U324" i="2"/>
  <c r="H324" i="2"/>
  <c r="AH324" i="2"/>
  <c r="AF324" i="2"/>
  <c r="G324" i="2"/>
  <c r="Z324" i="2"/>
  <c r="T324" i="2"/>
  <c r="R324" i="2"/>
  <c r="P324" i="2"/>
  <c r="D324" i="2"/>
  <c r="AB324" i="2"/>
  <c r="X324" i="2"/>
  <c r="AB332" i="2"/>
  <c r="T332" i="2"/>
  <c r="G332" i="2"/>
  <c r="AH332" i="2"/>
  <c r="Z332" i="2"/>
  <c r="R332" i="2"/>
  <c r="D332" i="2"/>
  <c r="AF332" i="2"/>
  <c r="X332" i="2"/>
  <c r="P332" i="2"/>
  <c r="Y332" i="2"/>
  <c r="H332" i="2"/>
  <c r="AI332" i="2"/>
  <c r="V332" i="2"/>
  <c r="AE332" i="2"/>
  <c r="S332" i="2"/>
  <c r="AD332" i="2"/>
  <c r="Q332" i="2"/>
  <c r="AC332" i="2"/>
  <c r="J332" i="2"/>
  <c r="AG332" i="2"/>
  <c r="W332" i="2"/>
  <c r="E332" i="2"/>
  <c r="AA332" i="2"/>
  <c r="U332" i="2"/>
  <c r="AB340" i="2"/>
  <c r="T340" i="2"/>
  <c r="G340" i="2"/>
  <c r="AH340" i="2"/>
  <c r="Z340" i="2"/>
  <c r="R340" i="2"/>
  <c r="D340" i="2"/>
  <c r="AF340" i="2"/>
  <c r="X340" i="2"/>
  <c r="P340" i="2"/>
  <c r="AC340" i="2"/>
  <c r="U340" i="2"/>
  <c r="H340" i="2"/>
  <c r="V340" i="2"/>
  <c r="AG340" i="2"/>
  <c r="Q340" i="2"/>
  <c r="AD340" i="2"/>
  <c r="AA340" i="2"/>
  <c r="E340" i="2"/>
  <c r="Y340" i="2"/>
  <c r="AI340" i="2"/>
  <c r="W340" i="2"/>
  <c r="S340" i="2"/>
  <c r="AE340" i="2"/>
  <c r="J340" i="2"/>
  <c r="AI348" i="2"/>
  <c r="AA348" i="2"/>
  <c r="AH348" i="2"/>
  <c r="Z348" i="2"/>
  <c r="R348" i="2"/>
  <c r="D348" i="2"/>
  <c r="AF348" i="2"/>
  <c r="X348" i="2"/>
  <c r="P348" i="2"/>
  <c r="AD348" i="2"/>
  <c r="S348" i="2"/>
  <c r="AB348" i="2"/>
  <c r="J348" i="2"/>
  <c r="W348" i="2"/>
  <c r="H348" i="2"/>
  <c r="AE348" i="2"/>
  <c r="T348" i="2"/>
  <c r="AG348" i="2"/>
  <c r="E348" i="2"/>
  <c r="Y348" i="2"/>
  <c r="V348" i="2"/>
  <c r="U348" i="2"/>
  <c r="Q348" i="2"/>
  <c r="AC348" i="2"/>
  <c r="G348" i="2"/>
  <c r="AB356" i="2"/>
  <c r="T356" i="2"/>
  <c r="G356" i="2"/>
  <c r="AF356" i="2"/>
  <c r="X356" i="2"/>
  <c r="P356" i="2"/>
  <c r="AC356" i="2"/>
  <c r="R356" i="2"/>
  <c r="AA356" i="2"/>
  <c r="Q356" i="2"/>
  <c r="Z356" i="2"/>
  <c r="J356" i="2"/>
  <c r="AH356" i="2"/>
  <c r="W356" i="2"/>
  <c r="H356" i="2"/>
  <c r="V356" i="2"/>
  <c r="S356" i="2"/>
  <c r="AG356" i="2"/>
  <c r="E356" i="2"/>
  <c r="Y356" i="2"/>
  <c r="AI356" i="2"/>
  <c r="AD356" i="2"/>
  <c r="U356" i="2"/>
  <c r="D356" i="2"/>
  <c r="AE356" i="2"/>
  <c r="AB364" i="2"/>
  <c r="T364" i="2"/>
  <c r="G364" i="2"/>
  <c r="AI364" i="2"/>
  <c r="AA364" i="2"/>
  <c r="S364" i="2"/>
  <c r="E364" i="2"/>
  <c r="AF364" i="2"/>
  <c r="X364" i="2"/>
  <c r="P364" i="2"/>
  <c r="Y364" i="2"/>
  <c r="H364" i="2"/>
  <c r="W364" i="2"/>
  <c r="D364" i="2"/>
  <c r="AH364" i="2"/>
  <c r="V364" i="2"/>
  <c r="AG364" i="2"/>
  <c r="U364" i="2"/>
  <c r="AE364" i="2"/>
  <c r="R364" i="2"/>
  <c r="J364" i="2"/>
  <c r="AD364" i="2"/>
  <c r="Q364" i="2"/>
  <c r="AC364" i="2"/>
  <c r="Z364" i="2"/>
  <c r="AB372" i="2"/>
  <c r="T372" i="2"/>
  <c r="G372" i="2"/>
  <c r="AI372" i="2"/>
  <c r="AA372" i="2"/>
  <c r="S372" i="2"/>
  <c r="E372" i="2"/>
  <c r="AF372" i="2"/>
  <c r="X372" i="2"/>
  <c r="P372" i="2"/>
  <c r="AC372" i="2"/>
  <c r="J372" i="2"/>
  <c r="Z372" i="2"/>
  <c r="Y372" i="2"/>
  <c r="H372" i="2"/>
  <c r="W372" i="2"/>
  <c r="D372" i="2"/>
  <c r="AH372" i="2"/>
  <c r="V372" i="2"/>
  <c r="R372" i="2"/>
  <c r="AG372" i="2"/>
  <c r="U372" i="2"/>
  <c r="AE372" i="2"/>
  <c r="AD372" i="2"/>
  <c r="Q372" i="2"/>
  <c r="AC380" i="2"/>
  <c r="U380" i="2"/>
  <c r="H380" i="2"/>
  <c r="AB380" i="2"/>
  <c r="T380" i="2"/>
  <c r="G380" i="2"/>
  <c r="AG380" i="2"/>
  <c r="Y380" i="2"/>
  <c r="Q380" i="2"/>
  <c r="X380" i="2"/>
  <c r="E380" i="2"/>
  <c r="AI380" i="2"/>
  <c r="W380" i="2"/>
  <c r="D380" i="2"/>
  <c r="AE380" i="2"/>
  <c r="R380" i="2"/>
  <c r="AA380" i="2"/>
  <c r="Z380" i="2"/>
  <c r="V380" i="2"/>
  <c r="S380" i="2"/>
  <c r="P380" i="2"/>
  <c r="AH380" i="2"/>
  <c r="AD380" i="2"/>
  <c r="AF380" i="2"/>
  <c r="J380" i="2"/>
  <c r="AC388" i="2"/>
  <c r="U388" i="2"/>
  <c r="H388" i="2"/>
  <c r="AB388" i="2"/>
  <c r="T388" i="2"/>
  <c r="G388" i="2"/>
  <c r="AG388" i="2"/>
  <c r="Y388" i="2"/>
  <c r="Q388" i="2"/>
  <c r="AE388" i="2"/>
  <c r="R388" i="2"/>
  <c r="AD388" i="2"/>
  <c r="P388" i="2"/>
  <c r="X388" i="2"/>
  <c r="E388" i="2"/>
  <c r="AF388" i="2"/>
  <c r="D388" i="2"/>
  <c r="AA388" i="2"/>
  <c r="Z388" i="2"/>
  <c r="W388" i="2"/>
  <c r="V388" i="2"/>
  <c r="J388" i="2"/>
  <c r="S388" i="2"/>
  <c r="AI388" i="2"/>
  <c r="AH388" i="2"/>
  <c r="AC396" i="2"/>
  <c r="U396" i="2"/>
  <c r="H396" i="2"/>
  <c r="AB396" i="2"/>
  <c r="T396" i="2"/>
  <c r="G396" i="2"/>
  <c r="AI396" i="2"/>
  <c r="AA396" i="2"/>
  <c r="S396" i="2"/>
  <c r="E396" i="2"/>
  <c r="AH396" i="2"/>
  <c r="Z396" i="2"/>
  <c r="R396" i="2"/>
  <c r="D396" i="2"/>
  <c r="AF396" i="2"/>
  <c r="X396" i="2"/>
  <c r="P396" i="2"/>
  <c r="AE396" i="2"/>
  <c r="W396" i="2"/>
  <c r="J396" i="2"/>
  <c r="Q396" i="2"/>
  <c r="AG396" i="2"/>
  <c r="AD396" i="2"/>
  <c r="Y396" i="2"/>
  <c r="V396" i="2"/>
  <c r="AC404" i="2"/>
  <c r="U404" i="2"/>
  <c r="H404" i="2"/>
  <c r="AB404" i="2"/>
  <c r="T404" i="2"/>
  <c r="G404" i="2"/>
  <c r="AI404" i="2"/>
  <c r="AA404" i="2"/>
  <c r="S404" i="2"/>
  <c r="E404" i="2"/>
  <c r="AH404" i="2"/>
  <c r="Z404" i="2"/>
  <c r="R404" i="2"/>
  <c r="D404" i="2"/>
  <c r="AG404" i="2"/>
  <c r="Y404" i="2"/>
  <c r="Q404" i="2"/>
  <c r="AF404" i="2"/>
  <c r="X404" i="2"/>
  <c r="P404" i="2"/>
  <c r="AE404" i="2"/>
  <c r="W404" i="2"/>
  <c r="J404" i="2"/>
  <c r="AD404" i="2"/>
  <c r="V404" i="2"/>
  <c r="AH412" i="2"/>
  <c r="Z412" i="2"/>
  <c r="R412" i="2"/>
  <c r="D412" i="2"/>
  <c r="AD412" i="2"/>
  <c r="V412" i="2"/>
  <c r="AF412" i="2"/>
  <c r="U412" i="2"/>
  <c r="G412" i="2"/>
  <c r="AE412" i="2"/>
  <c r="T412" i="2"/>
  <c r="E412" i="2"/>
  <c r="AC412" i="2"/>
  <c r="S412" i="2"/>
  <c r="AB412" i="2"/>
  <c r="Q412" i="2"/>
  <c r="AA412" i="2"/>
  <c r="P412" i="2"/>
  <c r="Y412" i="2"/>
  <c r="J412" i="2"/>
  <c r="AI412" i="2"/>
  <c r="X412" i="2"/>
  <c r="AG412" i="2"/>
  <c r="H412" i="2"/>
  <c r="W412" i="2"/>
  <c r="AI420" i="2"/>
  <c r="AA420" i="2"/>
  <c r="S420" i="2"/>
  <c r="E420" i="2"/>
  <c r="AH420" i="2"/>
  <c r="Z420" i="2"/>
  <c r="R420" i="2"/>
  <c r="D420" i="2"/>
  <c r="AG420" i="2"/>
  <c r="Y420" i="2"/>
  <c r="Q420" i="2"/>
  <c r="AF420" i="2"/>
  <c r="X420" i="2"/>
  <c r="P420" i="2"/>
  <c r="AE420" i="2"/>
  <c r="W420" i="2"/>
  <c r="J420" i="2"/>
  <c r="AD420" i="2"/>
  <c r="V420" i="2"/>
  <c r="T420" i="2"/>
  <c r="H420" i="2"/>
  <c r="G420" i="2"/>
  <c r="AC420" i="2"/>
  <c r="AB420" i="2"/>
  <c r="U420" i="2"/>
  <c r="AI428" i="2"/>
  <c r="AA428" i="2"/>
  <c r="S428" i="2"/>
  <c r="E428" i="2"/>
  <c r="AH428" i="2"/>
  <c r="Z428" i="2"/>
  <c r="R428" i="2"/>
  <c r="D428" i="2"/>
  <c r="AG428" i="2"/>
  <c r="Y428" i="2"/>
  <c r="Q428" i="2"/>
  <c r="AF428" i="2"/>
  <c r="X428" i="2"/>
  <c r="P428" i="2"/>
  <c r="AE428" i="2"/>
  <c r="W428" i="2"/>
  <c r="J428" i="2"/>
  <c r="AD428" i="2"/>
  <c r="V428" i="2"/>
  <c r="H428" i="2"/>
  <c r="G428" i="2"/>
  <c r="AC428" i="2"/>
  <c r="AB428" i="2"/>
  <c r="U428" i="2"/>
  <c r="T428" i="2"/>
  <c r="AG436" i="2"/>
  <c r="Y436" i="2"/>
  <c r="Q436" i="2"/>
  <c r="AC436" i="2"/>
  <c r="U436" i="2"/>
  <c r="H436" i="2"/>
  <c r="AI436" i="2"/>
  <c r="AA436" i="2"/>
  <c r="S436" i="2"/>
  <c r="E436" i="2"/>
  <c r="AH436" i="2"/>
  <c r="Z436" i="2"/>
  <c r="R436" i="2"/>
  <c r="D436" i="2"/>
  <c r="V436" i="2"/>
  <c r="T436" i="2"/>
  <c r="AF436" i="2"/>
  <c r="P436" i="2"/>
  <c r="AE436" i="2"/>
  <c r="J436" i="2"/>
  <c r="AD436" i="2"/>
  <c r="AB436" i="2"/>
  <c r="G436" i="2"/>
  <c r="X436" i="2"/>
  <c r="W436" i="2"/>
  <c r="AG444" i="2"/>
  <c r="Y444" i="2"/>
  <c r="Q444" i="2"/>
  <c r="AF444" i="2"/>
  <c r="X444" i="2"/>
  <c r="P444" i="2"/>
  <c r="AE444" i="2"/>
  <c r="W444" i="2"/>
  <c r="J444" i="2"/>
  <c r="AD444" i="2"/>
  <c r="V444" i="2"/>
  <c r="AC444" i="2"/>
  <c r="U444" i="2"/>
  <c r="H444" i="2"/>
  <c r="AB444" i="2"/>
  <c r="T444" i="2"/>
  <c r="G444" i="2"/>
  <c r="AI444" i="2"/>
  <c r="AA444" i="2"/>
  <c r="S444" i="2"/>
  <c r="E444" i="2"/>
  <c r="AH444" i="2"/>
  <c r="Z444" i="2"/>
  <c r="R444" i="2"/>
  <c r="D444" i="2"/>
  <c r="AG452" i="2"/>
  <c r="Y452" i="2"/>
  <c r="Q452" i="2"/>
  <c r="AF452" i="2"/>
  <c r="X452" i="2"/>
  <c r="P452" i="2"/>
  <c r="AE452" i="2"/>
  <c r="W452" i="2"/>
  <c r="J452" i="2"/>
  <c r="AD452" i="2"/>
  <c r="V452" i="2"/>
  <c r="AC452" i="2"/>
  <c r="U452" i="2"/>
  <c r="H452" i="2"/>
  <c r="AB452" i="2"/>
  <c r="T452" i="2"/>
  <c r="G452" i="2"/>
  <c r="AI452" i="2"/>
  <c r="AA452" i="2"/>
  <c r="S452" i="2"/>
  <c r="E452" i="2"/>
  <c r="AH452" i="2"/>
  <c r="Z452" i="2"/>
  <c r="R452" i="2"/>
  <c r="D452" i="2"/>
  <c r="S60" i="2"/>
  <c r="AA60" i="2"/>
  <c r="AI60" i="2"/>
  <c r="Q63" i="2"/>
  <c r="Y63" i="2"/>
  <c r="AG63" i="2"/>
  <c r="E68" i="2"/>
  <c r="S68" i="2"/>
  <c r="AA68" i="2"/>
  <c r="AI68" i="2"/>
  <c r="Q71" i="2"/>
  <c r="Y71" i="2"/>
  <c r="AG71" i="2"/>
  <c r="E76" i="2"/>
  <c r="S76" i="2"/>
  <c r="AA76" i="2"/>
  <c r="AI76" i="2"/>
  <c r="Q79" i="2"/>
  <c r="Y79" i="2"/>
  <c r="AG79" i="2"/>
  <c r="E84" i="2"/>
  <c r="S84" i="2"/>
  <c r="AA84" i="2"/>
  <c r="AI84" i="2"/>
  <c r="Q87" i="2"/>
  <c r="Y87" i="2"/>
  <c r="AG87" i="2"/>
  <c r="E92" i="2"/>
  <c r="S92" i="2"/>
  <c r="AA92" i="2"/>
  <c r="AI92" i="2"/>
  <c r="S95" i="2"/>
  <c r="AD95" i="2"/>
  <c r="G100" i="2"/>
  <c r="AG108" i="2"/>
  <c r="Q116" i="2"/>
  <c r="W148" i="2"/>
  <c r="U156" i="2"/>
  <c r="AB214" i="2"/>
  <c r="T214" i="2"/>
  <c r="G214" i="2"/>
  <c r="AI214" i="2"/>
  <c r="AA214" i="2"/>
  <c r="S214" i="2"/>
  <c r="E214" i="2"/>
  <c r="AG214" i="2"/>
  <c r="Y214" i="2"/>
  <c r="Q214" i="2"/>
  <c r="AE214" i="2"/>
  <c r="W214" i="2"/>
  <c r="J214" i="2"/>
  <c r="AD214" i="2"/>
  <c r="V214" i="2"/>
  <c r="P214" i="2"/>
  <c r="AH214" i="2"/>
  <c r="AF214" i="2"/>
  <c r="H214" i="2"/>
  <c r="AC214" i="2"/>
  <c r="D214" i="2"/>
  <c r="Z214" i="2"/>
  <c r="X214" i="2"/>
  <c r="U214" i="2"/>
  <c r="R214" i="2"/>
  <c r="AB222" i="2"/>
  <c r="T222" i="2"/>
  <c r="G222" i="2"/>
  <c r="AI222" i="2"/>
  <c r="AA222" i="2"/>
  <c r="S222" i="2"/>
  <c r="E222" i="2"/>
  <c r="AG222" i="2"/>
  <c r="Y222" i="2"/>
  <c r="Q222" i="2"/>
  <c r="AF222" i="2"/>
  <c r="X222" i="2"/>
  <c r="P222" i="2"/>
  <c r="AE222" i="2"/>
  <c r="W222" i="2"/>
  <c r="J222" i="2"/>
  <c r="AD222" i="2"/>
  <c r="V222" i="2"/>
  <c r="AC222" i="2"/>
  <c r="Z222" i="2"/>
  <c r="U222" i="2"/>
  <c r="R222" i="2"/>
  <c r="H222" i="2"/>
  <c r="AH222" i="2"/>
  <c r="D222" i="2"/>
  <c r="AB230" i="2"/>
  <c r="T230" i="2"/>
  <c r="G230" i="2"/>
  <c r="AI230" i="2"/>
  <c r="AA230" i="2"/>
  <c r="S230" i="2"/>
  <c r="E230" i="2"/>
  <c r="AG230" i="2"/>
  <c r="Y230" i="2"/>
  <c r="Q230" i="2"/>
  <c r="AF230" i="2"/>
  <c r="X230" i="2"/>
  <c r="P230" i="2"/>
  <c r="AE230" i="2"/>
  <c r="W230" i="2"/>
  <c r="J230" i="2"/>
  <c r="AD230" i="2"/>
  <c r="V230" i="2"/>
  <c r="U230" i="2"/>
  <c r="R230" i="2"/>
  <c r="H230" i="2"/>
  <c r="D230" i="2"/>
  <c r="AH230" i="2"/>
  <c r="AC230" i="2"/>
  <c r="Z230" i="2"/>
  <c r="AI238" i="2"/>
  <c r="AA238" i="2"/>
  <c r="S238" i="2"/>
  <c r="E238" i="2"/>
  <c r="AD238" i="2"/>
  <c r="V238" i="2"/>
  <c r="AG238" i="2"/>
  <c r="W238" i="2"/>
  <c r="H238" i="2"/>
  <c r="AF238" i="2"/>
  <c r="U238" i="2"/>
  <c r="G238" i="2"/>
  <c r="AC238" i="2"/>
  <c r="R238" i="2"/>
  <c r="AB238" i="2"/>
  <c r="Q238" i="2"/>
  <c r="Z238" i="2"/>
  <c r="P238" i="2"/>
  <c r="Y238" i="2"/>
  <c r="J238" i="2"/>
  <c r="AH238" i="2"/>
  <c r="AE238" i="2"/>
  <c r="X238" i="2"/>
  <c r="T238" i="2"/>
  <c r="D238" i="2"/>
  <c r="AI246" i="2"/>
  <c r="AA246" i="2"/>
  <c r="S246" i="2"/>
  <c r="E246" i="2"/>
  <c r="AD246" i="2"/>
  <c r="V246" i="2"/>
  <c r="Y246" i="2"/>
  <c r="J246" i="2"/>
  <c r="AH246" i="2"/>
  <c r="X246" i="2"/>
  <c r="AF246" i="2"/>
  <c r="U246" i="2"/>
  <c r="G246" i="2"/>
  <c r="AE246" i="2"/>
  <c r="T246" i="2"/>
  <c r="D246" i="2"/>
  <c r="AC246" i="2"/>
  <c r="R246" i="2"/>
  <c r="AB246" i="2"/>
  <c r="Q246" i="2"/>
  <c r="AG246" i="2"/>
  <c r="Z246" i="2"/>
  <c r="W246" i="2"/>
  <c r="P246" i="2"/>
  <c r="H246" i="2"/>
  <c r="AI254" i="2"/>
  <c r="AA254" i="2"/>
  <c r="S254" i="2"/>
  <c r="E254" i="2"/>
  <c r="AG254" i="2"/>
  <c r="AF254" i="2"/>
  <c r="X254" i="2"/>
  <c r="P254" i="2"/>
  <c r="AD254" i="2"/>
  <c r="V254" i="2"/>
  <c r="Z254" i="2"/>
  <c r="Y254" i="2"/>
  <c r="H254" i="2"/>
  <c r="U254" i="2"/>
  <c r="D254" i="2"/>
  <c r="AH254" i="2"/>
  <c r="T254" i="2"/>
  <c r="AE254" i="2"/>
  <c r="R254" i="2"/>
  <c r="AC254" i="2"/>
  <c r="Q254" i="2"/>
  <c r="G254" i="2"/>
  <c r="AB254" i="2"/>
  <c r="W254" i="2"/>
  <c r="J254" i="2"/>
  <c r="AI262" i="2"/>
  <c r="AA262" i="2"/>
  <c r="S262" i="2"/>
  <c r="E262" i="2"/>
  <c r="AG262" i="2"/>
  <c r="Y262" i="2"/>
  <c r="Q262" i="2"/>
  <c r="AF262" i="2"/>
  <c r="X262" i="2"/>
  <c r="P262" i="2"/>
  <c r="AD262" i="2"/>
  <c r="V262" i="2"/>
  <c r="AH262" i="2"/>
  <c r="R262" i="2"/>
  <c r="AE262" i="2"/>
  <c r="J262" i="2"/>
  <c r="AB262" i="2"/>
  <c r="H262" i="2"/>
  <c r="Z262" i="2"/>
  <c r="G262" i="2"/>
  <c r="W262" i="2"/>
  <c r="D262" i="2"/>
  <c r="U262" i="2"/>
  <c r="AC262" i="2"/>
  <c r="T262" i="2"/>
  <c r="AH270" i="2"/>
  <c r="Z270" i="2"/>
  <c r="R270" i="2"/>
  <c r="D270" i="2"/>
  <c r="AC270" i="2"/>
  <c r="U270" i="2"/>
  <c r="H270" i="2"/>
  <c r="AB270" i="2"/>
  <c r="T270" i="2"/>
  <c r="G270" i="2"/>
  <c r="AD270" i="2"/>
  <c r="P270" i="2"/>
  <c r="Y270" i="2"/>
  <c r="X270" i="2"/>
  <c r="E270" i="2"/>
  <c r="AG270" i="2"/>
  <c r="V270" i="2"/>
  <c r="AF270" i="2"/>
  <c r="AE270" i="2"/>
  <c r="W270" i="2"/>
  <c r="S270" i="2"/>
  <c r="Q270" i="2"/>
  <c r="J270" i="2"/>
  <c r="AI270" i="2"/>
  <c r="AA270" i="2"/>
  <c r="AH278" i="2"/>
  <c r="Z278" i="2"/>
  <c r="R278" i="2"/>
  <c r="D278" i="2"/>
  <c r="AE278" i="2"/>
  <c r="W278" i="2"/>
  <c r="J278" i="2"/>
  <c r="AC278" i="2"/>
  <c r="U278" i="2"/>
  <c r="H278" i="2"/>
  <c r="AB278" i="2"/>
  <c r="T278" i="2"/>
  <c r="G278" i="2"/>
  <c r="V278" i="2"/>
  <c r="AG278" i="2"/>
  <c r="Q278" i="2"/>
  <c r="AF278" i="2"/>
  <c r="P278" i="2"/>
  <c r="AA278" i="2"/>
  <c r="E278" i="2"/>
  <c r="S278" i="2"/>
  <c r="AI278" i="2"/>
  <c r="AD278" i="2"/>
  <c r="Y278" i="2"/>
  <c r="X278" i="2"/>
  <c r="AH286" i="2"/>
  <c r="Z286" i="2"/>
  <c r="R286" i="2"/>
  <c r="D286" i="2"/>
  <c r="AG286" i="2"/>
  <c r="Y286" i="2"/>
  <c r="Q286" i="2"/>
  <c r="AE286" i="2"/>
  <c r="W286" i="2"/>
  <c r="J286" i="2"/>
  <c r="AC286" i="2"/>
  <c r="U286" i="2"/>
  <c r="H286" i="2"/>
  <c r="AB286" i="2"/>
  <c r="T286" i="2"/>
  <c r="G286" i="2"/>
  <c r="AI286" i="2"/>
  <c r="AF286" i="2"/>
  <c r="E286" i="2"/>
  <c r="AD286" i="2"/>
  <c r="AA286" i="2"/>
  <c r="X286" i="2"/>
  <c r="V286" i="2"/>
  <c r="S286" i="2"/>
  <c r="P286" i="2"/>
  <c r="AH294" i="2"/>
  <c r="Z294" i="2"/>
  <c r="R294" i="2"/>
  <c r="D294" i="2"/>
  <c r="AG294" i="2"/>
  <c r="Y294" i="2"/>
  <c r="Q294" i="2"/>
  <c r="AE294" i="2"/>
  <c r="W294" i="2"/>
  <c r="J294" i="2"/>
  <c r="AC294" i="2"/>
  <c r="U294" i="2"/>
  <c r="H294" i="2"/>
  <c r="AB294" i="2"/>
  <c r="T294" i="2"/>
  <c r="G294" i="2"/>
  <c r="AD294" i="2"/>
  <c r="AA294" i="2"/>
  <c r="X294" i="2"/>
  <c r="V294" i="2"/>
  <c r="S294" i="2"/>
  <c r="P294" i="2"/>
  <c r="E294" i="2"/>
  <c r="AI294" i="2"/>
  <c r="AF294" i="2"/>
  <c r="AE302" i="2"/>
  <c r="W302" i="2"/>
  <c r="J302" i="2"/>
  <c r="AC302" i="2"/>
  <c r="U302" i="2"/>
  <c r="H302" i="2"/>
  <c r="AI302" i="2"/>
  <c r="AA302" i="2"/>
  <c r="S302" i="2"/>
  <c r="E302" i="2"/>
  <c r="AG302" i="2"/>
  <c r="Y302" i="2"/>
  <c r="Q302" i="2"/>
  <c r="AF302" i="2"/>
  <c r="P302" i="2"/>
  <c r="AD302" i="2"/>
  <c r="Z302" i="2"/>
  <c r="D302" i="2"/>
  <c r="V302" i="2"/>
  <c r="T302" i="2"/>
  <c r="AH302" i="2"/>
  <c r="AB302" i="2"/>
  <c r="X302" i="2"/>
  <c r="R302" i="2"/>
  <c r="G302" i="2"/>
  <c r="AE310" i="2"/>
  <c r="W310" i="2"/>
  <c r="J310" i="2"/>
  <c r="AC310" i="2"/>
  <c r="U310" i="2"/>
  <c r="H310" i="2"/>
  <c r="AI310" i="2"/>
  <c r="AA310" i="2"/>
  <c r="S310" i="2"/>
  <c r="E310" i="2"/>
  <c r="AG310" i="2"/>
  <c r="Y310" i="2"/>
  <c r="Q310" i="2"/>
  <c r="AF310" i="2"/>
  <c r="P310" i="2"/>
  <c r="AD310" i="2"/>
  <c r="Z310" i="2"/>
  <c r="D310" i="2"/>
  <c r="V310" i="2"/>
  <c r="T310" i="2"/>
  <c r="X310" i="2"/>
  <c r="R310" i="2"/>
  <c r="G310" i="2"/>
  <c r="AH310" i="2"/>
  <c r="AB310" i="2"/>
  <c r="AE318" i="2"/>
  <c r="W318" i="2"/>
  <c r="J318" i="2"/>
  <c r="AC318" i="2"/>
  <c r="U318" i="2"/>
  <c r="H318" i="2"/>
  <c r="AI318" i="2"/>
  <c r="AA318" i="2"/>
  <c r="S318" i="2"/>
  <c r="E318" i="2"/>
  <c r="AG318" i="2"/>
  <c r="Y318" i="2"/>
  <c r="Q318" i="2"/>
  <c r="AF318" i="2"/>
  <c r="P318" i="2"/>
  <c r="AD318" i="2"/>
  <c r="Z318" i="2"/>
  <c r="D318" i="2"/>
  <c r="V318" i="2"/>
  <c r="T318" i="2"/>
  <c r="AH318" i="2"/>
  <c r="AB318" i="2"/>
  <c r="X318" i="2"/>
  <c r="R318" i="2"/>
  <c r="G318" i="2"/>
  <c r="AE326" i="2"/>
  <c r="W326" i="2"/>
  <c r="J326" i="2"/>
  <c r="AC326" i="2"/>
  <c r="U326" i="2"/>
  <c r="H326" i="2"/>
  <c r="AI326" i="2"/>
  <c r="AA326" i="2"/>
  <c r="S326" i="2"/>
  <c r="E326" i="2"/>
  <c r="AH326" i="2"/>
  <c r="Z326" i="2"/>
  <c r="R326" i="2"/>
  <c r="D326" i="2"/>
  <c r="AG326" i="2"/>
  <c r="Y326" i="2"/>
  <c r="Q326" i="2"/>
  <c r="X326" i="2"/>
  <c r="V326" i="2"/>
  <c r="P326" i="2"/>
  <c r="AF326" i="2"/>
  <c r="G326" i="2"/>
  <c r="AD326" i="2"/>
  <c r="AB326" i="2"/>
  <c r="T326" i="2"/>
  <c r="AF334" i="2"/>
  <c r="X334" i="2"/>
  <c r="P334" i="2"/>
  <c r="AD334" i="2"/>
  <c r="V334" i="2"/>
  <c r="AB334" i="2"/>
  <c r="T334" i="2"/>
  <c r="G334" i="2"/>
  <c r="AG334" i="2"/>
  <c r="Y334" i="2"/>
  <c r="Q334" i="2"/>
  <c r="W334" i="2"/>
  <c r="D334" i="2"/>
  <c r="AI334" i="2"/>
  <c r="S334" i="2"/>
  <c r="AE334" i="2"/>
  <c r="J334" i="2"/>
  <c r="AC334" i="2"/>
  <c r="AA334" i="2"/>
  <c r="H334" i="2"/>
  <c r="R334" i="2"/>
  <c r="AH334" i="2"/>
  <c r="Z334" i="2"/>
  <c r="U334" i="2"/>
  <c r="E334" i="2"/>
  <c r="AF342" i="2"/>
  <c r="X342" i="2"/>
  <c r="P342" i="2"/>
  <c r="AD342" i="2"/>
  <c r="V342" i="2"/>
  <c r="AB342" i="2"/>
  <c r="T342" i="2"/>
  <c r="G342" i="2"/>
  <c r="AG342" i="2"/>
  <c r="Y342" i="2"/>
  <c r="Q342" i="2"/>
  <c r="AA342" i="2"/>
  <c r="H342" i="2"/>
  <c r="W342" i="2"/>
  <c r="D342" i="2"/>
  <c r="AI342" i="2"/>
  <c r="S342" i="2"/>
  <c r="AH342" i="2"/>
  <c r="R342" i="2"/>
  <c r="AE342" i="2"/>
  <c r="J342" i="2"/>
  <c r="Z342" i="2"/>
  <c r="U342" i="2"/>
  <c r="E342" i="2"/>
  <c r="AC342" i="2"/>
  <c r="AE350" i="2"/>
  <c r="W350" i="2"/>
  <c r="J350" i="2"/>
  <c r="AD350" i="2"/>
  <c r="V350" i="2"/>
  <c r="AB350" i="2"/>
  <c r="T350" i="2"/>
  <c r="G350" i="2"/>
  <c r="AC350" i="2"/>
  <c r="Q350" i="2"/>
  <c r="Z350" i="2"/>
  <c r="AI350" i="2"/>
  <c r="X350" i="2"/>
  <c r="E350" i="2"/>
  <c r="AF350" i="2"/>
  <c r="R350" i="2"/>
  <c r="Y350" i="2"/>
  <c r="S350" i="2"/>
  <c r="P350" i="2"/>
  <c r="AH350" i="2"/>
  <c r="H350" i="2"/>
  <c r="AG350" i="2"/>
  <c r="D350" i="2"/>
  <c r="U350" i="2"/>
  <c r="AA350" i="2"/>
  <c r="AF358" i="2"/>
  <c r="X358" i="2"/>
  <c r="P358" i="2"/>
  <c r="AB358" i="2"/>
  <c r="T358" i="2"/>
  <c r="G358" i="2"/>
  <c r="AC358" i="2"/>
  <c r="R358" i="2"/>
  <c r="AA358" i="2"/>
  <c r="Q358" i="2"/>
  <c r="Z358" i="2"/>
  <c r="J358" i="2"/>
  <c r="AI358" i="2"/>
  <c r="Y358" i="2"/>
  <c r="AH358" i="2"/>
  <c r="W358" i="2"/>
  <c r="H358" i="2"/>
  <c r="E358" i="2"/>
  <c r="AE358" i="2"/>
  <c r="V358" i="2"/>
  <c r="AG358" i="2"/>
  <c r="AD358" i="2"/>
  <c r="U358" i="2"/>
  <c r="S358" i="2"/>
  <c r="D358" i="2"/>
  <c r="AF366" i="2"/>
  <c r="X366" i="2"/>
  <c r="P366" i="2"/>
  <c r="AE366" i="2"/>
  <c r="W366" i="2"/>
  <c r="J366" i="2"/>
  <c r="AB366" i="2"/>
  <c r="T366" i="2"/>
  <c r="G366" i="2"/>
  <c r="AI366" i="2"/>
  <c r="V366" i="2"/>
  <c r="D366" i="2"/>
  <c r="AH366" i="2"/>
  <c r="U366" i="2"/>
  <c r="AG366" i="2"/>
  <c r="S366" i="2"/>
  <c r="AD366" i="2"/>
  <c r="R366" i="2"/>
  <c r="AC366" i="2"/>
  <c r="Q366" i="2"/>
  <c r="Y366" i="2"/>
  <c r="H366" i="2"/>
  <c r="Z366" i="2"/>
  <c r="E366" i="2"/>
  <c r="AA366" i="2"/>
  <c r="AG374" i="2"/>
  <c r="Y374" i="2"/>
  <c r="Q374" i="2"/>
  <c r="AF374" i="2"/>
  <c r="X374" i="2"/>
  <c r="P374" i="2"/>
  <c r="AC374" i="2"/>
  <c r="U374" i="2"/>
  <c r="H374" i="2"/>
  <c r="AA374" i="2"/>
  <c r="Z374" i="2"/>
  <c r="G374" i="2"/>
  <c r="AH374" i="2"/>
  <c r="T374" i="2"/>
  <c r="V374" i="2"/>
  <c r="S374" i="2"/>
  <c r="R374" i="2"/>
  <c r="AI374" i="2"/>
  <c r="J374" i="2"/>
  <c r="AE374" i="2"/>
  <c r="AD374" i="2"/>
  <c r="W374" i="2"/>
  <c r="E374" i="2"/>
  <c r="AB374" i="2"/>
  <c r="D374" i="2"/>
  <c r="AG382" i="2"/>
  <c r="Y382" i="2"/>
  <c r="Q382" i="2"/>
  <c r="AF382" i="2"/>
  <c r="X382" i="2"/>
  <c r="P382" i="2"/>
  <c r="AC382" i="2"/>
  <c r="U382" i="2"/>
  <c r="H382" i="2"/>
  <c r="AH382" i="2"/>
  <c r="T382" i="2"/>
  <c r="AE382" i="2"/>
  <c r="S382" i="2"/>
  <c r="AA382" i="2"/>
  <c r="AB382" i="2"/>
  <c r="E382" i="2"/>
  <c r="Z382" i="2"/>
  <c r="D382" i="2"/>
  <c r="W382" i="2"/>
  <c r="V382" i="2"/>
  <c r="R382" i="2"/>
  <c r="AI382" i="2"/>
  <c r="J382" i="2"/>
  <c r="G382" i="2"/>
  <c r="AD382" i="2"/>
  <c r="AE390" i="2"/>
  <c r="W390" i="2"/>
  <c r="AI390" i="2"/>
  <c r="AA390" i="2"/>
  <c r="Z390" i="2"/>
  <c r="Q390" i="2"/>
  <c r="Y390" i="2"/>
  <c r="P390" i="2"/>
  <c r="AF390" i="2"/>
  <c r="U390" i="2"/>
  <c r="H390" i="2"/>
  <c r="AC390" i="2"/>
  <c r="AB390" i="2"/>
  <c r="G390" i="2"/>
  <c r="T390" i="2"/>
  <c r="J390" i="2"/>
  <c r="AH390" i="2"/>
  <c r="AG390" i="2"/>
  <c r="E390" i="2"/>
  <c r="AD390" i="2"/>
  <c r="D390" i="2"/>
  <c r="X390" i="2"/>
  <c r="V390" i="2"/>
  <c r="S390" i="2"/>
  <c r="R390" i="2"/>
  <c r="AG398" i="2"/>
  <c r="Y398" i="2"/>
  <c r="Q398" i="2"/>
  <c r="AF398" i="2"/>
  <c r="X398" i="2"/>
  <c r="P398" i="2"/>
  <c r="AE398" i="2"/>
  <c r="W398" i="2"/>
  <c r="J398" i="2"/>
  <c r="AD398" i="2"/>
  <c r="V398" i="2"/>
  <c r="AB398" i="2"/>
  <c r="T398" i="2"/>
  <c r="G398" i="2"/>
  <c r="AI398" i="2"/>
  <c r="AA398" i="2"/>
  <c r="S398" i="2"/>
  <c r="E398" i="2"/>
  <c r="R398" i="2"/>
  <c r="AH398" i="2"/>
  <c r="U398" i="2"/>
  <c r="AC398" i="2"/>
  <c r="Z398" i="2"/>
  <c r="H398" i="2"/>
  <c r="D398" i="2"/>
  <c r="AG406" i="2"/>
  <c r="Y406" i="2"/>
  <c r="Q406" i="2"/>
  <c r="AF406" i="2"/>
  <c r="X406" i="2"/>
  <c r="P406" i="2"/>
  <c r="AE406" i="2"/>
  <c r="W406" i="2"/>
  <c r="J406" i="2"/>
  <c r="AD406" i="2"/>
  <c r="V406" i="2"/>
  <c r="AC406" i="2"/>
  <c r="U406" i="2"/>
  <c r="H406" i="2"/>
  <c r="AB406" i="2"/>
  <c r="T406" i="2"/>
  <c r="G406" i="2"/>
  <c r="AI406" i="2"/>
  <c r="AA406" i="2"/>
  <c r="S406" i="2"/>
  <c r="E406" i="2"/>
  <c r="AH406" i="2"/>
  <c r="R406" i="2"/>
  <c r="Z406" i="2"/>
  <c r="D406" i="2"/>
  <c r="AE414" i="2"/>
  <c r="W414" i="2"/>
  <c r="J414" i="2"/>
  <c r="AD414" i="2"/>
  <c r="V414" i="2"/>
  <c r="AC414" i="2"/>
  <c r="U414" i="2"/>
  <c r="AH414" i="2"/>
  <c r="Z414" i="2"/>
  <c r="R414" i="2"/>
  <c r="D414" i="2"/>
  <c r="AA414" i="2"/>
  <c r="H414" i="2"/>
  <c r="Y414" i="2"/>
  <c r="G414" i="2"/>
  <c r="X414" i="2"/>
  <c r="E414" i="2"/>
  <c r="T414" i="2"/>
  <c r="AI414" i="2"/>
  <c r="S414" i="2"/>
  <c r="AG414" i="2"/>
  <c r="Q414" i="2"/>
  <c r="AF414" i="2"/>
  <c r="P414" i="2"/>
  <c r="AB414" i="2"/>
  <c r="AE422" i="2"/>
  <c r="W422" i="2"/>
  <c r="J422" i="2"/>
  <c r="AD422" i="2"/>
  <c r="V422" i="2"/>
  <c r="AC422" i="2"/>
  <c r="U422" i="2"/>
  <c r="H422" i="2"/>
  <c r="AB422" i="2"/>
  <c r="T422" i="2"/>
  <c r="G422" i="2"/>
  <c r="AI422" i="2"/>
  <c r="AA422" i="2"/>
  <c r="S422" i="2"/>
  <c r="E422" i="2"/>
  <c r="AH422" i="2"/>
  <c r="Z422" i="2"/>
  <c r="R422" i="2"/>
  <c r="D422" i="2"/>
  <c r="AG422" i="2"/>
  <c r="AF422" i="2"/>
  <c r="Y422" i="2"/>
  <c r="X422" i="2"/>
  <c r="Q422" i="2"/>
  <c r="P422" i="2"/>
  <c r="AC430" i="2"/>
  <c r="U430" i="2"/>
  <c r="H430" i="2"/>
  <c r="AG430" i="2"/>
  <c r="Y430" i="2"/>
  <c r="Q430" i="2"/>
  <c r="AE430" i="2"/>
  <c r="W430" i="2"/>
  <c r="J430" i="2"/>
  <c r="AD430" i="2"/>
  <c r="V430" i="2"/>
  <c r="AH430" i="2"/>
  <c r="R430" i="2"/>
  <c r="AF430" i="2"/>
  <c r="P430" i="2"/>
  <c r="AB430" i="2"/>
  <c r="AA430" i="2"/>
  <c r="G430" i="2"/>
  <c r="Z430" i="2"/>
  <c r="E430" i="2"/>
  <c r="X430" i="2"/>
  <c r="D430" i="2"/>
  <c r="AI430" i="2"/>
  <c r="T430" i="2"/>
  <c r="S430" i="2"/>
  <c r="AC438" i="2"/>
  <c r="U438" i="2"/>
  <c r="H438" i="2"/>
  <c r="AB438" i="2"/>
  <c r="T438" i="2"/>
  <c r="G438" i="2"/>
  <c r="AI438" i="2"/>
  <c r="AA438" i="2"/>
  <c r="AH438" i="2"/>
  <c r="Z438" i="2"/>
  <c r="R438" i="2"/>
  <c r="AG438" i="2"/>
  <c r="Y438" i="2"/>
  <c r="Q438" i="2"/>
  <c r="AF438" i="2"/>
  <c r="X438" i="2"/>
  <c r="P438" i="2"/>
  <c r="AE438" i="2"/>
  <c r="W438" i="2"/>
  <c r="J438" i="2"/>
  <c r="AD438" i="2"/>
  <c r="V438" i="2"/>
  <c r="S438" i="2"/>
  <c r="E438" i="2"/>
  <c r="D438" i="2"/>
  <c r="AC446" i="2"/>
  <c r="U446" i="2"/>
  <c r="H446" i="2"/>
  <c r="AB446" i="2"/>
  <c r="T446" i="2"/>
  <c r="G446" i="2"/>
  <c r="AI446" i="2"/>
  <c r="AA446" i="2"/>
  <c r="S446" i="2"/>
  <c r="E446" i="2"/>
  <c r="AH446" i="2"/>
  <c r="Z446" i="2"/>
  <c r="R446" i="2"/>
  <c r="D446" i="2"/>
  <c r="AG446" i="2"/>
  <c r="Y446" i="2"/>
  <c r="Q446" i="2"/>
  <c r="AF446" i="2"/>
  <c r="X446" i="2"/>
  <c r="P446" i="2"/>
  <c r="AE446" i="2"/>
  <c r="W446" i="2"/>
  <c r="J446" i="2"/>
  <c r="AD446" i="2"/>
  <c r="V446" i="2"/>
  <c r="AC454" i="2"/>
  <c r="U454" i="2"/>
  <c r="H454" i="2"/>
  <c r="AB454" i="2"/>
  <c r="T454" i="2"/>
  <c r="G454" i="2"/>
  <c r="AI454" i="2"/>
  <c r="AA454" i="2"/>
  <c r="S454" i="2"/>
  <c r="E454" i="2"/>
  <c r="AH454" i="2"/>
  <c r="Z454" i="2"/>
  <c r="R454" i="2"/>
  <c r="D454" i="2"/>
  <c r="AG454" i="2"/>
  <c r="Y454" i="2"/>
  <c r="Q454" i="2"/>
  <c r="AF454" i="2"/>
  <c r="X454" i="2"/>
  <c r="P454" i="2"/>
  <c r="AE454" i="2"/>
  <c r="W454" i="2"/>
  <c r="J454" i="2"/>
  <c r="AD454" i="2"/>
  <c r="V454" i="2"/>
  <c r="H60" i="2"/>
  <c r="U60" i="2"/>
  <c r="AC60" i="2"/>
  <c r="S63" i="2"/>
  <c r="AA63" i="2"/>
  <c r="AI63" i="2"/>
  <c r="H68" i="2"/>
  <c r="U68" i="2"/>
  <c r="AC68" i="2"/>
  <c r="E71" i="2"/>
  <c r="S71" i="2"/>
  <c r="AA71" i="2"/>
  <c r="AI71" i="2"/>
  <c r="H76" i="2"/>
  <c r="U76" i="2"/>
  <c r="AC76" i="2"/>
  <c r="E79" i="2"/>
  <c r="S79" i="2"/>
  <c r="AA79" i="2"/>
  <c r="AI79" i="2"/>
  <c r="H84" i="2"/>
  <c r="U84" i="2"/>
  <c r="AC84" i="2"/>
  <c r="E87" i="2"/>
  <c r="S87" i="2"/>
  <c r="AA87" i="2"/>
  <c r="AI87" i="2"/>
  <c r="H92" i="2"/>
  <c r="U92" i="2"/>
  <c r="AC92" i="2"/>
  <c r="E95" i="2"/>
  <c r="V95" i="2"/>
  <c r="Q100" i="2"/>
  <c r="G108" i="2"/>
  <c r="AG116" i="2"/>
  <c r="Q124" i="2"/>
  <c r="AC95" i="2"/>
  <c r="U95" i="2"/>
  <c r="H95" i="2"/>
  <c r="AF95" i="2"/>
  <c r="X95" i="2"/>
  <c r="P95" i="2"/>
  <c r="AC103" i="2"/>
  <c r="U103" i="2"/>
  <c r="H103" i="2"/>
  <c r="AB103" i="2"/>
  <c r="T103" i="2"/>
  <c r="G103" i="2"/>
  <c r="AI103" i="2"/>
  <c r="AA103" i="2"/>
  <c r="S103" i="2"/>
  <c r="E103" i="2"/>
  <c r="AG103" i="2"/>
  <c r="Y103" i="2"/>
  <c r="Q103" i="2"/>
  <c r="AF103" i="2"/>
  <c r="X103" i="2"/>
  <c r="P103" i="2"/>
  <c r="AD103" i="2"/>
  <c r="V103" i="2"/>
  <c r="AC111" i="2"/>
  <c r="U111" i="2"/>
  <c r="H111" i="2"/>
  <c r="AB111" i="2"/>
  <c r="T111" i="2"/>
  <c r="G111" i="2"/>
  <c r="AI111" i="2"/>
  <c r="AA111" i="2"/>
  <c r="S111" i="2"/>
  <c r="E111" i="2"/>
  <c r="AH111" i="2"/>
  <c r="Z111" i="2"/>
  <c r="R111" i="2"/>
  <c r="D111" i="2"/>
  <c r="AG111" i="2"/>
  <c r="Y111" i="2"/>
  <c r="Q111" i="2"/>
  <c r="AF111" i="2"/>
  <c r="X111" i="2"/>
  <c r="P111" i="2"/>
  <c r="AD111" i="2"/>
  <c r="V111" i="2"/>
  <c r="AC119" i="2"/>
  <c r="U119" i="2"/>
  <c r="H119" i="2"/>
  <c r="AB119" i="2"/>
  <c r="T119" i="2"/>
  <c r="G119" i="2"/>
  <c r="AI119" i="2"/>
  <c r="AA119" i="2"/>
  <c r="S119" i="2"/>
  <c r="E119" i="2"/>
  <c r="AH119" i="2"/>
  <c r="Z119" i="2"/>
  <c r="R119" i="2"/>
  <c r="D119" i="2"/>
  <c r="AG119" i="2"/>
  <c r="Y119" i="2"/>
  <c r="Q119" i="2"/>
  <c r="AF119" i="2"/>
  <c r="X119" i="2"/>
  <c r="P119" i="2"/>
  <c r="AD119" i="2"/>
  <c r="V119" i="2"/>
  <c r="AC127" i="2"/>
  <c r="U127" i="2"/>
  <c r="H127" i="2"/>
  <c r="AB127" i="2"/>
  <c r="T127" i="2"/>
  <c r="G127" i="2"/>
  <c r="AI127" i="2"/>
  <c r="AA127" i="2"/>
  <c r="S127" i="2"/>
  <c r="E127" i="2"/>
  <c r="AH127" i="2"/>
  <c r="Z127" i="2"/>
  <c r="R127" i="2"/>
  <c r="D127" i="2"/>
  <c r="AG127" i="2"/>
  <c r="Y127" i="2"/>
  <c r="Q127" i="2"/>
  <c r="AF127" i="2"/>
  <c r="X127" i="2"/>
  <c r="P127" i="2"/>
  <c r="AD127" i="2"/>
  <c r="V127" i="2"/>
  <c r="AB135" i="2"/>
  <c r="T135" i="2"/>
  <c r="G135" i="2"/>
  <c r="AF135" i="2"/>
  <c r="X135" i="2"/>
  <c r="P135" i="2"/>
  <c r="AG135" i="2"/>
  <c r="V135" i="2"/>
  <c r="E135" i="2"/>
  <c r="AE135" i="2"/>
  <c r="U135" i="2"/>
  <c r="D135" i="2"/>
  <c r="AD135" i="2"/>
  <c r="S135" i="2"/>
  <c r="AC135" i="2"/>
  <c r="R135" i="2"/>
  <c r="AA135" i="2"/>
  <c r="Q135" i="2"/>
  <c r="Z135" i="2"/>
  <c r="J135" i="2"/>
  <c r="AH135" i="2"/>
  <c r="W135" i="2"/>
  <c r="H135" i="2"/>
  <c r="AB143" i="2"/>
  <c r="T143" i="2"/>
  <c r="G143" i="2"/>
  <c r="AH143" i="2"/>
  <c r="Z143" i="2"/>
  <c r="R143" i="2"/>
  <c r="D143" i="2"/>
  <c r="AF143" i="2"/>
  <c r="X143" i="2"/>
  <c r="P143" i="2"/>
  <c r="AA143" i="2"/>
  <c r="Y143" i="2"/>
  <c r="H143" i="2"/>
  <c r="W143" i="2"/>
  <c r="E143" i="2"/>
  <c r="AI143" i="2"/>
  <c r="V143" i="2"/>
  <c r="AG143" i="2"/>
  <c r="U143" i="2"/>
  <c r="AE143" i="2"/>
  <c r="S143" i="2"/>
  <c r="AC143" i="2"/>
  <c r="J143" i="2"/>
  <c r="AB151" i="2"/>
  <c r="T151" i="2"/>
  <c r="G151" i="2"/>
  <c r="AH151" i="2"/>
  <c r="Z151" i="2"/>
  <c r="R151" i="2"/>
  <c r="D151" i="2"/>
  <c r="AF151" i="2"/>
  <c r="X151" i="2"/>
  <c r="P151" i="2"/>
  <c r="AE151" i="2"/>
  <c r="W151" i="2"/>
  <c r="J151" i="2"/>
  <c r="AD151" i="2"/>
  <c r="V151" i="2"/>
  <c r="AC151" i="2"/>
  <c r="E151" i="2"/>
  <c r="AA151" i="2"/>
  <c r="Y151" i="2"/>
  <c r="U151" i="2"/>
  <c r="S151" i="2"/>
  <c r="Q151" i="2"/>
  <c r="AG151" i="2"/>
  <c r="H151" i="2"/>
  <c r="AB159" i="2"/>
  <c r="T159" i="2"/>
  <c r="G159" i="2"/>
  <c r="AH159" i="2"/>
  <c r="Z159" i="2"/>
  <c r="R159" i="2"/>
  <c r="D159" i="2"/>
  <c r="AG159" i="2"/>
  <c r="Y159" i="2"/>
  <c r="Q159" i="2"/>
  <c r="AF159" i="2"/>
  <c r="X159" i="2"/>
  <c r="P159" i="2"/>
  <c r="AE159" i="2"/>
  <c r="W159" i="2"/>
  <c r="J159" i="2"/>
  <c r="AD159" i="2"/>
  <c r="V159" i="2"/>
  <c r="AI159" i="2"/>
  <c r="AC159" i="2"/>
  <c r="AA159" i="2"/>
  <c r="U159" i="2"/>
  <c r="S159" i="2"/>
  <c r="E159" i="2"/>
  <c r="AB167" i="2"/>
  <c r="T167" i="2"/>
  <c r="G167" i="2"/>
  <c r="AH167" i="2"/>
  <c r="Z167" i="2"/>
  <c r="R167" i="2"/>
  <c r="D167" i="2"/>
  <c r="AG167" i="2"/>
  <c r="Y167" i="2"/>
  <c r="Q167" i="2"/>
  <c r="AF167" i="2"/>
  <c r="X167" i="2"/>
  <c r="P167" i="2"/>
  <c r="AE167" i="2"/>
  <c r="W167" i="2"/>
  <c r="J167" i="2"/>
  <c r="AD167" i="2"/>
  <c r="V167" i="2"/>
  <c r="S167" i="2"/>
  <c r="H167" i="2"/>
  <c r="E167" i="2"/>
  <c r="AI167" i="2"/>
  <c r="AC167" i="2"/>
  <c r="U167" i="2"/>
  <c r="AB175" i="2"/>
  <c r="T175" i="2"/>
  <c r="G175" i="2"/>
  <c r="AI175" i="2"/>
  <c r="AA175" i="2"/>
  <c r="S175" i="2"/>
  <c r="E175" i="2"/>
  <c r="AH175" i="2"/>
  <c r="Z175" i="2"/>
  <c r="R175" i="2"/>
  <c r="D175" i="2"/>
  <c r="AF175" i="2"/>
  <c r="X175" i="2"/>
  <c r="P175" i="2"/>
  <c r="V175" i="2"/>
  <c r="U175" i="2"/>
  <c r="AG175" i="2"/>
  <c r="Q175" i="2"/>
  <c r="AE175" i="2"/>
  <c r="J175" i="2"/>
  <c r="AD175" i="2"/>
  <c r="AC175" i="2"/>
  <c r="H175" i="2"/>
  <c r="Y175" i="2"/>
  <c r="AB183" i="2"/>
  <c r="T183" i="2"/>
  <c r="G183" i="2"/>
  <c r="AI183" i="2"/>
  <c r="AA183" i="2"/>
  <c r="S183" i="2"/>
  <c r="E183" i="2"/>
  <c r="AH183" i="2"/>
  <c r="Z183" i="2"/>
  <c r="R183" i="2"/>
  <c r="D183" i="2"/>
  <c r="AF183" i="2"/>
  <c r="X183" i="2"/>
  <c r="P183" i="2"/>
  <c r="Y183" i="2"/>
  <c r="W183" i="2"/>
  <c r="V183" i="2"/>
  <c r="U183" i="2"/>
  <c r="AG183" i="2"/>
  <c r="Q183" i="2"/>
  <c r="AE183" i="2"/>
  <c r="J183" i="2"/>
  <c r="AD183" i="2"/>
  <c r="AC183" i="2"/>
  <c r="H183" i="2"/>
  <c r="AC191" i="2"/>
  <c r="U191" i="2"/>
  <c r="H191" i="2"/>
  <c r="AB191" i="2"/>
  <c r="T191" i="2"/>
  <c r="G191" i="2"/>
  <c r="AI191" i="2"/>
  <c r="AA191" i="2"/>
  <c r="S191" i="2"/>
  <c r="E191" i="2"/>
  <c r="AH191" i="2"/>
  <c r="Z191" i="2"/>
  <c r="R191" i="2"/>
  <c r="D191" i="2"/>
  <c r="AG191" i="2"/>
  <c r="Y191" i="2"/>
  <c r="Q191" i="2"/>
  <c r="AF191" i="2"/>
  <c r="X191" i="2"/>
  <c r="P191" i="2"/>
  <c r="AE191" i="2"/>
  <c r="AD191" i="2"/>
  <c r="W191" i="2"/>
  <c r="V191" i="2"/>
  <c r="J191" i="2"/>
  <c r="AC199" i="2"/>
  <c r="U199" i="2"/>
  <c r="H199" i="2"/>
  <c r="AB199" i="2"/>
  <c r="T199" i="2"/>
  <c r="G199" i="2"/>
  <c r="AI199" i="2"/>
  <c r="AA199" i="2"/>
  <c r="S199" i="2"/>
  <c r="E199" i="2"/>
  <c r="AH199" i="2"/>
  <c r="Z199" i="2"/>
  <c r="R199" i="2"/>
  <c r="D199" i="2"/>
  <c r="AG199" i="2"/>
  <c r="Y199" i="2"/>
  <c r="Q199" i="2"/>
  <c r="AF199" i="2"/>
  <c r="X199" i="2"/>
  <c r="P199" i="2"/>
  <c r="AE199" i="2"/>
  <c r="AD199" i="2"/>
  <c r="W199" i="2"/>
  <c r="V199" i="2"/>
  <c r="J199" i="2"/>
  <c r="AD207" i="2"/>
  <c r="V207" i="2"/>
  <c r="AI207" i="2"/>
  <c r="AA207" i="2"/>
  <c r="S207" i="2"/>
  <c r="E207" i="2"/>
  <c r="AG207" i="2"/>
  <c r="Y207" i="2"/>
  <c r="Q207" i="2"/>
  <c r="AF207" i="2"/>
  <c r="X207" i="2"/>
  <c r="P207" i="2"/>
  <c r="AE207" i="2"/>
  <c r="J207" i="2"/>
  <c r="AC207" i="2"/>
  <c r="AB207" i="2"/>
  <c r="H207" i="2"/>
  <c r="Z207" i="2"/>
  <c r="G207" i="2"/>
  <c r="W207" i="2"/>
  <c r="D207" i="2"/>
  <c r="U207" i="2"/>
  <c r="AH207" i="2"/>
  <c r="T207" i="2"/>
  <c r="R207" i="2"/>
  <c r="AD215" i="2"/>
  <c r="V215" i="2"/>
  <c r="AC215" i="2"/>
  <c r="U215" i="2"/>
  <c r="H215" i="2"/>
  <c r="AI215" i="2"/>
  <c r="AA215" i="2"/>
  <c r="S215" i="2"/>
  <c r="E215" i="2"/>
  <c r="AH215" i="2"/>
  <c r="Z215" i="2"/>
  <c r="R215" i="2"/>
  <c r="D215" i="2"/>
  <c r="AG215" i="2"/>
  <c r="Y215" i="2"/>
  <c r="Q215" i="2"/>
  <c r="AF215" i="2"/>
  <c r="X215" i="2"/>
  <c r="P215" i="2"/>
  <c r="W215" i="2"/>
  <c r="T215" i="2"/>
  <c r="J215" i="2"/>
  <c r="G215" i="2"/>
  <c r="AB215" i="2"/>
  <c r="AD223" i="2"/>
  <c r="V223" i="2"/>
  <c r="AC223" i="2"/>
  <c r="U223" i="2"/>
  <c r="H223" i="2"/>
  <c r="AI223" i="2"/>
  <c r="AA223" i="2"/>
  <c r="S223" i="2"/>
  <c r="E223" i="2"/>
  <c r="AH223" i="2"/>
  <c r="Z223" i="2"/>
  <c r="R223" i="2"/>
  <c r="D223" i="2"/>
  <c r="AG223" i="2"/>
  <c r="Y223" i="2"/>
  <c r="Q223" i="2"/>
  <c r="AF223" i="2"/>
  <c r="X223" i="2"/>
  <c r="P223" i="2"/>
  <c r="J223" i="2"/>
  <c r="G223" i="2"/>
  <c r="AE223" i="2"/>
  <c r="AB223" i="2"/>
  <c r="W223" i="2"/>
  <c r="T223" i="2"/>
  <c r="AD231" i="2"/>
  <c r="V231" i="2"/>
  <c r="AC231" i="2"/>
  <c r="U231" i="2"/>
  <c r="H231" i="2"/>
  <c r="AI231" i="2"/>
  <c r="AA231" i="2"/>
  <c r="S231" i="2"/>
  <c r="E231" i="2"/>
  <c r="AH231" i="2"/>
  <c r="Z231" i="2"/>
  <c r="R231" i="2"/>
  <c r="D231" i="2"/>
  <c r="AG231" i="2"/>
  <c r="Y231" i="2"/>
  <c r="Q231" i="2"/>
  <c r="AF231" i="2"/>
  <c r="X231" i="2"/>
  <c r="P231" i="2"/>
  <c r="G231" i="2"/>
  <c r="AE231" i="2"/>
  <c r="AB231" i="2"/>
  <c r="W231" i="2"/>
  <c r="T231" i="2"/>
  <c r="J231" i="2"/>
  <c r="AC239" i="2"/>
  <c r="U239" i="2"/>
  <c r="H239" i="2"/>
  <c r="AF239" i="2"/>
  <c r="X239" i="2"/>
  <c r="P239" i="2"/>
  <c r="AH239" i="2"/>
  <c r="W239" i="2"/>
  <c r="G239" i="2"/>
  <c r="AG239" i="2"/>
  <c r="V239" i="2"/>
  <c r="E239" i="2"/>
  <c r="AD239" i="2"/>
  <c r="S239" i="2"/>
  <c r="AB239" i="2"/>
  <c r="R239" i="2"/>
  <c r="AA239" i="2"/>
  <c r="Q239" i="2"/>
  <c r="Z239" i="2"/>
  <c r="J239" i="2"/>
  <c r="AE239" i="2"/>
  <c r="Y239" i="2"/>
  <c r="T239" i="2"/>
  <c r="D239" i="2"/>
  <c r="AI239" i="2"/>
  <c r="AC247" i="2"/>
  <c r="U247" i="2"/>
  <c r="H247" i="2"/>
  <c r="AH247" i="2"/>
  <c r="Z247" i="2"/>
  <c r="R247" i="2"/>
  <c r="D247" i="2"/>
  <c r="AF247" i="2"/>
  <c r="X247" i="2"/>
  <c r="P247" i="2"/>
  <c r="AD247" i="2"/>
  <c r="Q247" i="2"/>
  <c r="AB247" i="2"/>
  <c r="J247" i="2"/>
  <c r="Y247" i="2"/>
  <c r="G247" i="2"/>
  <c r="W247" i="2"/>
  <c r="E247" i="2"/>
  <c r="AI247" i="2"/>
  <c r="V247" i="2"/>
  <c r="AG247" i="2"/>
  <c r="T247" i="2"/>
  <c r="AE247" i="2"/>
  <c r="AA247" i="2"/>
  <c r="S247" i="2"/>
  <c r="AC255" i="2"/>
  <c r="U255" i="2"/>
  <c r="H255" i="2"/>
  <c r="AI255" i="2"/>
  <c r="AA255" i="2"/>
  <c r="S255" i="2"/>
  <c r="E255" i="2"/>
  <c r="AH255" i="2"/>
  <c r="Z255" i="2"/>
  <c r="R255" i="2"/>
  <c r="D255" i="2"/>
  <c r="AF255" i="2"/>
  <c r="X255" i="2"/>
  <c r="P255" i="2"/>
  <c r="Y255" i="2"/>
  <c r="W255" i="2"/>
  <c r="T255" i="2"/>
  <c r="AG255" i="2"/>
  <c r="Q255" i="2"/>
  <c r="AE255" i="2"/>
  <c r="J255" i="2"/>
  <c r="AD255" i="2"/>
  <c r="AB255" i="2"/>
  <c r="V255" i="2"/>
  <c r="G255" i="2"/>
  <c r="AE263" i="2"/>
  <c r="W263" i="2"/>
  <c r="J263" i="2"/>
  <c r="AD263" i="2"/>
  <c r="V263" i="2"/>
  <c r="AH263" i="2"/>
  <c r="X263" i="2"/>
  <c r="H263" i="2"/>
  <c r="AF263" i="2"/>
  <c r="T263" i="2"/>
  <c r="E263" i="2"/>
  <c r="AC263" i="2"/>
  <c r="S263" i="2"/>
  <c r="D263" i="2"/>
  <c r="AA263" i="2"/>
  <c r="Q263" i="2"/>
  <c r="R263" i="2"/>
  <c r="P263" i="2"/>
  <c r="AG263" i="2"/>
  <c r="G263" i="2"/>
  <c r="AB263" i="2"/>
  <c r="Z263" i="2"/>
  <c r="Y263" i="2"/>
  <c r="AI263" i="2"/>
  <c r="U263" i="2"/>
  <c r="AB271" i="2"/>
  <c r="T271" i="2"/>
  <c r="G271" i="2"/>
  <c r="AE271" i="2"/>
  <c r="W271" i="2"/>
  <c r="J271" i="2"/>
  <c r="AD271" i="2"/>
  <c r="V271" i="2"/>
  <c r="AG271" i="2"/>
  <c r="S271" i="2"/>
  <c r="AC271" i="2"/>
  <c r="Q271" i="2"/>
  <c r="AA271" i="2"/>
  <c r="P271" i="2"/>
  <c r="Y271" i="2"/>
  <c r="H271" i="2"/>
  <c r="AI271" i="2"/>
  <c r="E271" i="2"/>
  <c r="AH271" i="2"/>
  <c r="D271" i="2"/>
  <c r="AF271" i="2"/>
  <c r="Z271" i="2"/>
  <c r="X271" i="2"/>
  <c r="U271" i="2"/>
  <c r="R271" i="2"/>
  <c r="AB279" i="2"/>
  <c r="T279" i="2"/>
  <c r="G279" i="2"/>
  <c r="AG279" i="2"/>
  <c r="Y279" i="2"/>
  <c r="Q279" i="2"/>
  <c r="AE279" i="2"/>
  <c r="W279" i="2"/>
  <c r="J279" i="2"/>
  <c r="AD279" i="2"/>
  <c r="V279" i="2"/>
  <c r="AF279" i="2"/>
  <c r="P279" i="2"/>
  <c r="AA279" i="2"/>
  <c r="H279" i="2"/>
  <c r="Z279" i="2"/>
  <c r="E279" i="2"/>
  <c r="X279" i="2"/>
  <c r="D279" i="2"/>
  <c r="U279" i="2"/>
  <c r="AI279" i="2"/>
  <c r="AH279" i="2"/>
  <c r="AC279" i="2"/>
  <c r="S279" i="2"/>
  <c r="R279" i="2"/>
  <c r="AB287" i="2"/>
  <c r="T287" i="2"/>
  <c r="G287" i="2"/>
  <c r="AI287" i="2"/>
  <c r="AA287" i="2"/>
  <c r="S287" i="2"/>
  <c r="E287" i="2"/>
  <c r="AG287" i="2"/>
  <c r="Y287" i="2"/>
  <c r="Q287" i="2"/>
  <c r="AE287" i="2"/>
  <c r="W287" i="2"/>
  <c r="J287" i="2"/>
  <c r="AD287" i="2"/>
  <c r="V287" i="2"/>
  <c r="P287" i="2"/>
  <c r="AH287" i="2"/>
  <c r="AF287" i="2"/>
  <c r="H287" i="2"/>
  <c r="AC287" i="2"/>
  <c r="D287" i="2"/>
  <c r="Z287" i="2"/>
  <c r="X287" i="2"/>
  <c r="R287" i="2"/>
  <c r="U287" i="2"/>
  <c r="AG295" i="2"/>
  <c r="Y295" i="2"/>
  <c r="Q295" i="2"/>
  <c r="AE295" i="2"/>
  <c r="W295" i="2"/>
  <c r="J295" i="2"/>
  <c r="AC295" i="2"/>
  <c r="U295" i="2"/>
  <c r="H295" i="2"/>
  <c r="AI295" i="2"/>
  <c r="AA295" i="2"/>
  <c r="S295" i="2"/>
  <c r="E295" i="2"/>
  <c r="AD295" i="2"/>
  <c r="AB295" i="2"/>
  <c r="G295" i="2"/>
  <c r="X295" i="2"/>
  <c r="T295" i="2"/>
  <c r="AH295" i="2"/>
  <c r="R295" i="2"/>
  <c r="D295" i="2"/>
  <c r="AF295" i="2"/>
  <c r="Z295" i="2"/>
  <c r="V295" i="2"/>
  <c r="P295" i="2"/>
  <c r="AG303" i="2"/>
  <c r="Y303" i="2"/>
  <c r="Q303" i="2"/>
  <c r="AE303" i="2"/>
  <c r="W303" i="2"/>
  <c r="J303" i="2"/>
  <c r="AC303" i="2"/>
  <c r="U303" i="2"/>
  <c r="H303" i="2"/>
  <c r="AI303" i="2"/>
  <c r="AA303" i="2"/>
  <c r="S303" i="2"/>
  <c r="E303" i="2"/>
  <c r="AD303" i="2"/>
  <c r="AB303" i="2"/>
  <c r="G303" i="2"/>
  <c r="X303" i="2"/>
  <c r="T303" i="2"/>
  <c r="AH303" i="2"/>
  <c r="R303" i="2"/>
  <c r="AF303" i="2"/>
  <c r="Z303" i="2"/>
  <c r="V303" i="2"/>
  <c r="P303" i="2"/>
  <c r="D303" i="2"/>
  <c r="AG311" i="2"/>
  <c r="Y311" i="2"/>
  <c r="Q311" i="2"/>
  <c r="AE311" i="2"/>
  <c r="W311" i="2"/>
  <c r="J311" i="2"/>
  <c r="AC311" i="2"/>
  <c r="U311" i="2"/>
  <c r="H311" i="2"/>
  <c r="AI311" i="2"/>
  <c r="AA311" i="2"/>
  <c r="S311" i="2"/>
  <c r="E311" i="2"/>
  <c r="AD311" i="2"/>
  <c r="AB311" i="2"/>
  <c r="G311" i="2"/>
  <c r="X311" i="2"/>
  <c r="T311" i="2"/>
  <c r="AH311" i="2"/>
  <c r="R311" i="2"/>
  <c r="D311" i="2"/>
  <c r="AF311" i="2"/>
  <c r="Z311" i="2"/>
  <c r="V311" i="2"/>
  <c r="P311" i="2"/>
  <c r="AG319" i="2"/>
  <c r="Y319" i="2"/>
  <c r="Q319" i="2"/>
  <c r="AE319" i="2"/>
  <c r="W319" i="2"/>
  <c r="J319" i="2"/>
  <c r="AC319" i="2"/>
  <c r="U319" i="2"/>
  <c r="H319" i="2"/>
  <c r="AB319" i="2"/>
  <c r="AI319" i="2"/>
  <c r="AA319" i="2"/>
  <c r="S319" i="2"/>
  <c r="E319" i="2"/>
  <c r="AF319" i="2"/>
  <c r="AD319" i="2"/>
  <c r="G319" i="2"/>
  <c r="X319" i="2"/>
  <c r="T319" i="2"/>
  <c r="R319" i="2"/>
  <c r="AH319" i="2"/>
  <c r="Z319" i="2"/>
  <c r="V319" i="2"/>
  <c r="P319" i="2"/>
  <c r="D319" i="2"/>
  <c r="AG327" i="2"/>
  <c r="Y327" i="2"/>
  <c r="Q327" i="2"/>
  <c r="AE327" i="2"/>
  <c r="W327" i="2"/>
  <c r="J327" i="2"/>
  <c r="AC327" i="2"/>
  <c r="U327" i="2"/>
  <c r="H327" i="2"/>
  <c r="AB327" i="2"/>
  <c r="T327" i="2"/>
  <c r="G327" i="2"/>
  <c r="AI327" i="2"/>
  <c r="AA327" i="2"/>
  <c r="S327" i="2"/>
  <c r="E327" i="2"/>
  <c r="AF327" i="2"/>
  <c r="D327" i="2"/>
  <c r="AD327" i="2"/>
  <c r="X327" i="2"/>
  <c r="R327" i="2"/>
  <c r="P327" i="2"/>
  <c r="V327" i="2"/>
  <c r="AH327" i="2"/>
  <c r="Z327" i="2"/>
  <c r="AH335" i="2"/>
  <c r="Z335" i="2"/>
  <c r="R335" i="2"/>
  <c r="D335" i="2"/>
  <c r="AF335" i="2"/>
  <c r="X335" i="2"/>
  <c r="P335" i="2"/>
  <c r="AD335" i="2"/>
  <c r="V335" i="2"/>
  <c r="AI335" i="2"/>
  <c r="AA335" i="2"/>
  <c r="S335" i="2"/>
  <c r="E335" i="2"/>
  <c r="T335" i="2"/>
  <c r="AE335" i="2"/>
  <c r="J335" i="2"/>
  <c r="AB335" i="2"/>
  <c r="H335" i="2"/>
  <c r="Y335" i="2"/>
  <c r="G335" i="2"/>
  <c r="W335" i="2"/>
  <c r="AC335" i="2"/>
  <c r="U335" i="2"/>
  <c r="AG335" i="2"/>
  <c r="Q335" i="2"/>
  <c r="AH343" i="2"/>
  <c r="Z343" i="2"/>
  <c r="R343" i="2"/>
  <c r="D343" i="2"/>
  <c r="AF343" i="2"/>
  <c r="X343" i="2"/>
  <c r="P343" i="2"/>
  <c r="AD343" i="2"/>
  <c r="V343" i="2"/>
  <c r="AI343" i="2"/>
  <c r="AA343" i="2"/>
  <c r="S343" i="2"/>
  <c r="E343" i="2"/>
  <c r="W343" i="2"/>
  <c r="T343" i="2"/>
  <c r="AE343" i="2"/>
  <c r="J343" i="2"/>
  <c r="AC343" i="2"/>
  <c r="AB343" i="2"/>
  <c r="H343" i="2"/>
  <c r="Q343" i="2"/>
  <c r="AG343" i="2"/>
  <c r="Y343" i="2"/>
  <c r="G343" i="2"/>
  <c r="U343" i="2"/>
  <c r="AG351" i="2"/>
  <c r="Y351" i="2"/>
  <c r="Q351" i="2"/>
  <c r="AF351" i="2"/>
  <c r="X351" i="2"/>
  <c r="P351" i="2"/>
  <c r="AD351" i="2"/>
  <c r="V351" i="2"/>
  <c r="AE351" i="2"/>
  <c r="S351" i="2"/>
  <c r="AB351" i="2"/>
  <c r="J351" i="2"/>
  <c r="Z351" i="2"/>
  <c r="H351" i="2"/>
  <c r="AH351" i="2"/>
  <c r="T351" i="2"/>
  <c r="D351" i="2"/>
  <c r="AI351" i="2"/>
  <c r="E351" i="2"/>
  <c r="AA351" i="2"/>
  <c r="W351" i="2"/>
  <c r="U351" i="2"/>
  <c r="R351" i="2"/>
  <c r="AC351" i="2"/>
  <c r="G351" i="2"/>
  <c r="AH359" i="2"/>
  <c r="Z359" i="2"/>
  <c r="R359" i="2"/>
  <c r="D359" i="2"/>
  <c r="AD359" i="2"/>
  <c r="V359" i="2"/>
  <c r="AB359" i="2"/>
  <c r="Q359" i="2"/>
  <c r="AA359" i="2"/>
  <c r="P359" i="2"/>
  <c r="Y359" i="2"/>
  <c r="J359" i="2"/>
  <c r="AI359" i="2"/>
  <c r="X359" i="2"/>
  <c r="AG359" i="2"/>
  <c r="W359" i="2"/>
  <c r="H359" i="2"/>
  <c r="T359" i="2"/>
  <c r="AF359" i="2"/>
  <c r="E359" i="2"/>
  <c r="U359" i="2"/>
  <c r="AE359" i="2"/>
  <c r="AC359" i="2"/>
  <c r="S359" i="2"/>
  <c r="G359" i="2"/>
  <c r="AH367" i="2"/>
  <c r="Z367" i="2"/>
  <c r="R367" i="2"/>
  <c r="D367" i="2"/>
  <c r="AG367" i="2"/>
  <c r="Y367" i="2"/>
  <c r="Q367" i="2"/>
  <c r="AD367" i="2"/>
  <c r="V367" i="2"/>
  <c r="AA367" i="2"/>
  <c r="X367" i="2"/>
  <c r="H367" i="2"/>
  <c r="W367" i="2"/>
  <c r="G367" i="2"/>
  <c r="AI367" i="2"/>
  <c r="U367" i="2"/>
  <c r="E367" i="2"/>
  <c r="AF367" i="2"/>
  <c r="T367" i="2"/>
  <c r="J367" i="2"/>
  <c r="AC367" i="2"/>
  <c r="P367" i="2"/>
  <c r="S367" i="2"/>
  <c r="AE367" i="2"/>
  <c r="AB367" i="2"/>
  <c r="AI375" i="2"/>
  <c r="AA375" i="2"/>
  <c r="S375" i="2"/>
  <c r="E375" i="2"/>
  <c r="AH375" i="2"/>
  <c r="Z375" i="2"/>
  <c r="R375" i="2"/>
  <c r="D375" i="2"/>
  <c r="AE375" i="2"/>
  <c r="W375" i="2"/>
  <c r="J375" i="2"/>
  <c r="AG375" i="2"/>
  <c r="U375" i="2"/>
  <c r="AF375" i="2"/>
  <c r="T375" i="2"/>
  <c r="AB375" i="2"/>
  <c r="X375" i="2"/>
  <c r="V375" i="2"/>
  <c r="Q375" i="2"/>
  <c r="P375" i="2"/>
  <c r="Y375" i="2"/>
  <c r="H375" i="2"/>
  <c r="AC375" i="2"/>
  <c r="AD375" i="2"/>
  <c r="G375" i="2"/>
  <c r="AI383" i="2"/>
  <c r="AA383" i="2"/>
  <c r="S383" i="2"/>
  <c r="E383" i="2"/>
  <c r="AH383" i="2"/>
  <c r="Z383" i="2"/>
  <c r="R383" i="2"/>
  <c r="D383" i="2"/>
  <c r="AE383" i="2"/>
  <c r="W383" i="2"/>
  <c r="J383" i="2"/>
  <c r="AB383" i="2"/>
  <c r="Y383" i="2"/>
  <c r="H383" i="2"/>
  <c r="AG383" i="2"/>
  <c r="U383" i="2"/>
  <c r="AF383" i="2"/>
  <c r="AD383" i="2"/>
  <c r="G383" i="2"/>
  <c r="AC383" i="2"/>
  <c r="X383" i="2"/>
  <c r="V383" i="2"/>
  <c r="T383" i="2"/>
  <c r="P383" i="2"/>
  <c r="Q383" i="2"/>
  <c r="AG391" i="2"/>
  <c r="Y391" i="2"/>
  <c r="Q391" i="2"/>
  <c r="AC391" i="2"/>
  <c r="U391" i="2"/>
  <c r="H391" i="2"/>
  <c r="AA391" i="2"/>
  <c r="P391" i="2"/>
  <c r="Z391" i="2"/>
  <c r="J391" i="2"/>
  <c r="AF391" i="2"/>
  <c r="V391" i="2"/>
  <c r="E391" i="2"/>
  <c r="AB391" i="2"/>
  <c r="D391" i="2"/>
  <c r="X391" i="2"/>
  <c r="AI391" i="2"/>
  <c r="S391" i="2"/>
  <c r="W391" i="2"/>
  <c r="T391" i="2"/>
  <c r="R391" i="2"/>
  <c r="G391" i="2"/>
  <c r="AH391" i="2"/>
  <c r="AD391" i="2"/>
  <c r="AE391" i="2"/>
  <c r="AI399" i="2"/>
  <c r="AA399" i="2"/>
  <c r="S399" i="2"/>
  <c r="E399" i="2"/>
  <c r="AH399" i="2"/>
  <c r="Z399" i="2"/>
  <c r="R399" i="2"/>
  <c r="D399" i="2"/>
  <c r="AG399" i="2"/>
  <c r="Y399" i="2"/>
  <c r="Q399" i="2"/>
  <c r="AF399" i="2"/>
  <c r="X399" i="2"/>
  <c r="P399" i="2"/>
  <c r="AD399" i="2"/>
  <c r="V399" i="2"/>
  <c r="AC399" i="2"/>
  <c r="U399" i="2"/>
  <c r="H399" i="2"/>
  <c r="AE399" i="2"/>
  <c r="T399" i="2"/>
  <c r="AB399" i="2"/>
  <c r="W399" i="2"/>
  <c r="J399" i="2"/>
  <c r="G399" i="2"/>
  <c r="AF407" i="2"/>
  <c r="X407" i="2"/>
  <c r="P407" i="2"/>
  <c r="AB407" i="2"/>
  <c r="T407" i="2"/>
  <c r="G407" i="2"/>
  <c r="AG407" i="2"/>
  <c r="V407" i="2"/>
  <c r="E407" i="2"/>
  <c r="AE407" i="2"/>
  <c r="U407" i="2"/>
  <c r="D407" i="2"/>
  <c r="AD407" i="2"/>
  <c r="S407" i="2"/>
  <c r="AC407" i="2"/>
  <c r="R407" i="2"/>
  <c r="AA407" i="2"/>
  <c r="Q407" i="2"/>
  <c r="Z407" i="2"/>
  <c r="J407" i="2"/>
  <c r="AI407" i="2"/>
  <c r="Y407" i="2"/>
  <c r="AH407" i="2"/>
  <c r="H407" i="2"/>
  <c r="W407" i="2"/>
  <c r="AG415" i="2"/>
  <c r="Y415" i="2"/>
  <c r="Q415" i="2"/>
  <c r="AF415" i="2"/>
  <c r="X415" i="2"/>
  <c r="P415" i="2"/>
  <c r="AE415" i="2"/>
  <c r="W415" i="2"/>
  <c r="J415" i="2"/>
  <c r="AB415" i="2"/>
  <c r="T415" i="2"/>
  <c r="G415" i="2"/>
  <c r="V415" i="2"/>
  <c r="U415" i="2"/>
  <c r="AI415" i="2"/>
  <c r="S415" i="2"/>
  <c r="AH415" i="2"/>
  <c r="R415" i="2"/>
  <c r="AD415" i="2"/>
  <c r="AC415" i="2"/>
  <c r="H415" i="2"/>
  <c r="AA415" i="2"/>
  <c r="E415" i="2"/>
  <c r="Z415" i="2"/>
  <c r="D415" i="2"/>
  <c r="AG423" i="2"/>
  <c r="Y423" i="2"/>
  <c r="Q423" i="2"/>
  <c r="AF423" i="2"/>
  <c r="X423" i="2"/>
  <c r="P423" i="2"/>
  <c r="AE423" i="2"/>
  <c r="W423" i="2"/>
  <c r="J423" i="2"/>
  <c r="AD423" i="2"/>
  <c r="V423" i="2"/>
  <c r="AC423" i="2"/>
  <c r="U423" i="2"/>
  <c r="H423" i="2"/>
  <c r="AB423" i="2"/>
  <c r="T423" i="2"/>
  <c r="G423" i="2"/>
  <c r="R423" i="2"/>
  <c r="E423" i="2"/>
  <c r="AI423" i="2"/>
  <c r="D423" i="2"/>
  <c r="AH423" i="2"/>
  <c r="AA423" i="2"/>
  <c r="Z423" i="2"/>
  <c r="S423" i="2"/>
  <c r="AE431" i="2"/>
  <c r="W431" i="2"/>
  <c r="J431" i="2"/>
  <c r="AI431" i="2"/>
  <c r="AA431" i="2"/>
  <c r="S431" i="2"/>
  <c r="E431" i="2"/>
  <c r="AG431" i="2"/>
  <c r="Y431" i="2"/>
  <c r="Q431" i="2"/>
  <c r="AF431" i="2"/>
  <c r="X431" i="2"/>
  <c r="P431" i="2"/>
  <c r="AC431" i="2"/>
  <c r="H431" i="2"/>
  <c r="AB431" i="2"/>
  <c r="G431" i="2"/>
  <c r="Z431" i="2"/>
  <c r="D431" i="2"/>
  <c r="V431" i="2"/>
  <c r="U431" i="2"/>
  <c r="T431" i="2"/>
  <c r="AH431" i="2"/>
  <c r="AD431" i="2"/>
  <c r="R431" i="2"/>
  <c r="AE439" i="2"/>
  <c r="W439" i="2"/>
  <c r="J439" i="2"/>
  <c r="AD439" i="2"/>
  <c r="V439" i="2"/>
  <c r="AC439" i="2"/>
  <c r="U439" i="2"/>
  <c r="H439" i="2"/>
  <c r="AB439" i="2"/>
  <c r="T439" i="2"/>
  <c r="G439" i="2"/>
  <c r="AI439" i="2"/>
  <c r="AA439" i="2"/>
  <c r="S439" i="2"/>
  <c r="E439" i="2"/>
  <c r="AH439" i="2"/>
  <c r="Z439" i="2"/>
  <c r="R439" i="2"/>
  <c r="D439" i="2"/>
  <c r="AG439" i="2"/>
  <c r="Y439" i="2"/>
  <c r="Q439" i="2"/>
  <c r="AF439" i="2"/>
  <c r="X439" i="2"/>
  <c r="P439" i="2"/>
  <c r="AE447" i="2"/>
  <c r="W447" i="2"/>
  <c r="J447" i="2"/>
  <c r="AD447" i="2"/>
  <c r="V447" i="2"/>
  <c r="AC447" i="2"/>
  <c r="U447" i="2"/>
  <c r="H447" i="2"/>
  <c r="AB447" i="2"/>
  <c r="T447" i="2"/>
  <c r="G447" i="2"/>
  <c r="AI447" i="2"/>
  <c r="AA447" i="2"/>
  <c r="S447" i="2"/>
  <c r="E447" i="2"/>
  <c r="AH447" i="2"/>
  <c r="Z447" i="2"/>
  <c r="R447" i="2"/>
  <c r="D447" i="2"/>
  <c r="AG447" i="2"/>
  <c r="Y447" i="2"/>
  <c r="Q447" i="2"/>
  <c r="AF447" i="2"/>
  <c r="X447" i="2"/>
  <c r="P447" i="2"/>
  <c r="AE455" i="2"/>
  <c r="W455" i="2"/>
  <c r="J455" i="2"/>
  <c r="AD455" i="2"/>
  <c r="V455" i="2"/>
  <c r="AC455" i="2"/>
  <c r="U455" i="2"/>
  <c r="H455" i="2"/>
  <c r="AB455" i="2"/>
  <c r="T455" i="2"/>
  <c r="G455" i="2"/>
  <c r="AI455" i="2"/>
  <c r="AA455" i="2"/>
  <c r="S455" i="2"/>
  <c r="E455" i="2"/>
  <c r="AH455" i="2"/>
  <c r="Z455" i="2"/>
  <c r="R455" i="2"/>
  <c r="D455" i="2"/>
  <c r="AG455" i="2"/>
  <c r="Y455" i="2"/>
  <c r="Q455" i="2"/>
  <c r="AF455" i="2"/>
  <c r="X455" i="2"/>
  <c r="P455" i="2"/>
  <c r="V60" i="2"/>
  <c r="AD60" i="2"/>
  <c r="G63" i="2"/>
  <c r="T63" i="2"/>
  <c r="AB63" i="2"/>
  <c r="V68" i="2"/>
  <c r="AD68" i="2"/>
  <c r="G71" i="2"/>
  <c r="T71" i="2"/>
  <c r="AB71" i="2"/>
  <c r="V76" i="2"/>
  <c r="AD76" i="2"/>
  <c r="G79" i="2"/>
  <c r="T79" i="2"/>
  <c r="AB79" i="2"/>
  <c r="V84" i="2"/>
  <c r="AD84" i="2"/>
  <c r="G87" i="2"/>
  <c r="T87" i="2"/>
  <c r="AB87" i="2"/>
  <c r="V92" i="2"/>
  <c r="AD92" i="2"/>
  <c r="G95" i="2"/>
  <c r="W95" i="2"/>
  <c r="AH95" i="2"/>
  <c r="T100" i="2"/>
  <c r="J103" i="2"/>
  <c r="AE119" i="2"/>
  <c r="Y124" i="2"/>
  <c r="J127" i="2"/>
  <c r="J60" i="2"/>
  <c r="W60" i="2"/>
  <c r="AE60" i="2"/>
  <c r="H63" i="2"/>
  <c r="U63" i="2"/>
  <c r="AC63" i="2"/>
  <c r="J68" i="2"/>
  <c r="W68" i="2"/>
  <c r="AE68" i="2"/>
  <c r="H71" i="2"/>
  <c r="U71" i="2"/>
  <c r="AC71" i="2"/>
  <c r="J76" i="2"/>
  <c r="W76" i="2"/>
  <c r="AE76" i="2"/>
  <c r="H79" i="2"/>
  <c r="U79" i="2"/>
  <c r="AC79" i="2"/>
  <c r="J84" i="2"/>
  <c r="W84" i="2"/>
  <c r="AE84" i="2"/>
  <c r="H87" i="2"/>
  <c r="U87" i="2"/>
  <c r="AC87" i="2"/>
  <c r="J92" i="2"/>
  <c r="W92" i="2"/>
  <c r="AE92" i="2"/>
  <c r="Y95" i="2"/>
  <c r="AI95" i="2"/>
  <c r="Y100" i="2"/>
  <c r="R103" i="2"/>
  <c r="Q108" i="2"/>
  <c r="AG124" i="2"/>
  <c r="W127" i="2"/>
  <c r="X132" i="2"/>
  <c r="X140" i="2"/>
  <c r="W175" i="2"/>
  <c r="AH217" i="2"/>
  <c r="Z217" i="2"/>
  <c r="R217" i="2"/>
  <c r="D217" i="2"/>
  <c r="AG217" i="2"/>
  <c r="Y217" i="2"/>
  <c r="Q217" i="2"/>
  <c r="AE217" i="2"/>
  <c r="W217" i="2"/>
  <c r="J217" i="2"/>
  <c r="AD217" i="2"/>
  <c r="V217" i="2"/>
  <c r="AC217" i="2"/>
  <c r="U217" i="2"/>
  <c r="H217" i="2"/>
  <c r="AB217" i="2"/>
  <c r="T217" i="2"/>
  <c r="G217" i="2"/>
  <c r="AI217" i="2"/>
  <c r="AF217" i="2"/>
  <c r="AA217" i="2"/>
  <c r="X217" i="2"/>
  <c r="S217" i="2"/>
  <c r="P217" i="2"/>
  <c r="E217" i="2"/>
  <c r="AH225" i="2"/>
  <c r="Z225" i="2"/>
  <c r="R225" i="2"/>
  <c r="D225" i="2"/>
  <c r="AG225" i="2"/>
  <c r="Y225" i="2"/>
  <c r="Q225" i="2"/>
  <c r="AE225" i="2"/>
  <c r="W225" i="2"/>
  <c r="J225" i="2"/>
  <c r="AD225" i="2"/>
  <c r="V225" i="2"/>
  <c r="AC225" i="2"/>
  <c r="U225" i="2"/>
  <c r="H225" i="2"/>
  <c r="AB225" i="2"/>
  <c r="T225" i="2"/>
  <c r="G225" i="2"/>
  <c r="AA225" i="2"/>
  <c r="X225" i="2"/>
  <c r="S225" i="2"/>
  <c r="P225" i="2"/>
  <c r="E225" i="2"/>
  <c r="AI225" i="2"/>
  <c r="AF225" i="2"/>
  <c r="AH233" i="2"/>
  <c r="Z233" i="2"/>
  <c r="R233" i="2"/>
  <c r="D233" i="2"/>
  <c r="AG233" i="2"/>
  <c r="Y233" i="2"/>
  <c r="Q233" i="2"/>
  <c r="AE233" i="2"/>
  <c r="W233" i="2"/>
  <c r="J233" i="2"/>
  <c r="AD233" i="2"/>
  <c r="V233" i="2"/>
  <c r="AC233" i="2"/>
  <c r="U233" i="2"/>
  <c r="H233" i="2"/>
  <c r="AB233" i="2"/>
  <c r="T233" i="2"/>
  <c r="G233" i="2"/>
  <c r="S233" i="2"/>
  <c r="P233" i="2"/>
  <c r="E233" i="2"/>
  <c r="AI233" i="2"/>
  <c r="AF233" i="2"/>
  <c r="AA233" i="2"/>
  <c r="X233" i="2"/>
  <c r="AG241" i="2"/>
  <c r="Y241" i="2"/>
  <c r="Q241" i="2"/>
  <c r="AB241" i="2"/>
  <c r="T241" i="2"/>
  <c r="G241" i="2"/>
  <c r="AI241" i="2"/>
  <c r="X241" i="2"/>
  <c r="AH241" i="2"/>
  <c r="W241" i="2"/>
  <c r="H241" i="2"/>
  <c r="AE241" i="2"/>
  <c r="U241" i="2"/>
  <c r="D241" i="2"/>
  <c r="AD241" i="2"/>
  <c r="S241" i="2"/>
  <c r="AC241" i="2"/>
  <c r="R241" i="2"/>
  <c r="AA241" i="2"/>
  <c r="P241" i="2"/>
  <c r="E241" i="2"/>
  <c r="AF241" i="2"/>
  <c r="Z241" i="2"/>
  <c r="J241" i="2"/>
  <c r="AG249" i="2"/>
  <c r="Y249" i="2"/>
  <c r="Q249" i="2"/>
  <c r="AD249" i="2"/>
  <c r="V249" i="2"/>
  <c r="AB249" i="2"/>
  <c r="T249" i="2"/>
  <c r="G249" i="2"/>
  <c r="AA249" i="2"/>
  <c r="J249" i="2"/>
  <c r="Z249" i="2"/>
  <c r="AI249" i="2"/>
  <c r="W249" i="2"/>
  <c r="E249" i="2"/>
  <c r="AH249" i="2"/>
  <c r="U249" i="2"/>
  <c r="D249" i="2"/>
  <c r="AF249" i="2"/>
  <c r="S249" i="2"/>
  <c r="AE249" i="2"/>
  <c r="R249" i="2"/>
  <c r="AC249" i="2"/>
  <c r="X249" i="2"/>
  <c r="P249" i="2"/>
  <c r="H249" i="2"/>
  <c r="AG257" i="2"/>
  <c r="Y257" i="2"/>
  <c r="Q257" i="2"/>
  <c r="AE257" i="2"/>
  <c r="W257" i="2"/>
  <c r="J257" i="2"/>
  <c r="AD257" i="2"/>
  <c r="V257" i="2"/>
  <c r="AB257" i="2"/>
  <c r="T257" i="2"/>
  <c r="G257" i="2"/>
  <c r="AI257" i="2"/>
  <c r="S257" i="2"/>
  <c r="AH257" i="2"/>
  <c r="R257" i="2"/>
  <c r="AC257" i="2"/>
  <c r="AA257" i="2"/>
  <c r="H257" i="2"/>
  <c r="Z257" i="2"/>
  <c r="E257" i="2"/>
  <c r="X257" i="2"/>
  <c r="D257" i="2"/>
  <c r="AF257" i="2"/>
  <c r="U257" i="2"/>
  <c r="P257" i="2"/>
  <c r="AF265" i="2"/>
  <c r="X265" i="2"/>
  <c r="AI265" i="2"/>
  <c r="AA265" i="2"/>
  <c r="S265" i="2"/>
  <c r="E265" i="2"/>
  <c r="AH265" i="2"/>
  <c r="Z265" i="2"/>
  <c r="R265" i="2"/>
  <c r="D265" i="2"/>
  <c r="Y265" i="2"/>
  <c r="V265" i="2"/>
  <c r="G265" i="2"/>
  <c r="AG265" i="2"/>
  <c r="U265" i="2"/>
  <c r="AD265" i="2"/>
  <c r="Q265" i="2"/>
  <c r="AC265" i="2"/>
  <c r="AB265" i="2"/>
  <c r="T265" i="2"/>
  <c r="P265" i="2"/>
  <c r="J265" i="2"/>
  <c r="H265" i="2"/>
  <c r="AE265" i="2"/>
  <c r="W265" i="2"/>
  <c r="AF273" i="2"/>
  <c r="X273" i="2"/>
  <c r="P273" i="2"/>
  <c r="AC273" i="2"/>
  <c r="U273" i="2"/>
  <c r="H273" i="2"/>
  <c r="AI273" i="2"/>
  <c r="AA273" i="2"/>
  <c r="S273" i="2"/>
  <c r="E273" i="2"/>
  <c r="AH273" i="2"/>
  <c r="Z273" i="2"/>
  <c r="R273" i="2"/>
  <c r="D273" i="2"/>
  <c r="AG273" i="2"/>
  <c r="Q273" i="2"/>
  <c r="AD273" i="2"/>
  <c r="AB273" i="2"/>
  <c r="G273" i="2"/>
  <c r="W273" i="2"/>
  <c r="AE273" i="2"/>
  <c r="Y273" i="2"/>
  <c r="V273" i="2"/>
  <c r="T273" i="2"/>
  <c r="J273" i="2"/>
  <c r="AF281" i="2"/>
  <c r="X281" i="2"/>
  <c r="P281" i="2"/>
  <c r="AC281" i="2"/>
  <c r="U281" i="2"/>
  <c r="H281" i="2"/>
  <c r="AI281" i="2"/>
  <c r="AA281" i="2"/>
  <c r="S281" i="2"/>
  <c r="E281" i="2"/>
  <c r="AH281" i="2"/>
  <c r="Z281" i="2"/>
  <c r="R281" i="2"/>
  <c r="D281" i="2"/>
  <c r="Y281" i="2"/>
  <c r="V281" i="2"/>
  <c r="T281" i="2"/>
  <c r="AG281" i="2"/>
  <c r="Q281" i="2"/>
  <c r="AE281" i="2"/>
  <c r="J281" i="2"/>
  <c r="AB281" i="2"/>
  <c r="W281" i="2"/>
  <c r="G281" i="2"/>
  <c r="AD281" i="2"/>
  <c r="AF289" i="2"/>
  <c r="X289" i="2"/>
  <c r="P289" i="2"/>
  <c r="AE289" i="2"/>
  <c r="W289" i="2"/>
  <c r="J289" i="2"/>
  <c r="AC289" i="2"/>
  <c r="U289" i="2"/>
  <c r="H289" i="2"/>
  <c r="AI289" i="2"/>
  <c r="AA289" i="2"/>
  <c r="S289" i="2"/>
  <c r="E289" i="2"/>
  <c r="AH289" i="2"/>
  <c r="Z289" i="2"/>
  <c r="R289" i="2"/>
  <c r="D289" i="2"/>
  <c r="Y289" i="2"/>
  <c r="V289" i="2"/>
  <c r="T289" i="2"/>
  <c r="Q289" i="2"/>
  <c r="AG289" i="2"/>
  <c r="G289" i="2"/>
  <c r="AD289" i="2"/>
  <c r="AB289" i="2"/>
  <c r="AC297" i="2"/>
  <c r="U297" i="2"/>
  <c r="H297" i="2"/>
  <c r="AI297" i="2"/>
  <c r="AA297" i="2"/>
  <c r="S297" i="2"/>
  <c r="E297" i="2"/>
  <c r="AG297" i="2"/>
  <c r="Y297" i="2"/>
  <c r="Q297" i="2"/>
  <c r="AE297" i="2"/>
  <c r="W297" i="2"/>
  <c r="J297" i="2"/>
  <c r="Z297" i="2"/>
  <c r="D297" i="2"/>
  <c r="X297" i="2"/>
  <c r="T297" i="2"/>
  <c r="AF297" i="2"/>
  <c r="P297" i="2"/>
  <c r="AD297" i="2"/>
  <c r="AH297" i="2"/>
  <c r="AB297" i="2"/>
  <c r="V297" i="2"/>
  <c r="R297" i="2"/>
  <c r="G297" i="2"/>
  <c r="AC305" i="2"/>
  <c r="U305" i="2"/>
  <c r="H305" i="2"/>
  <c r="AI305" i="2"/>
  <c r="AA305" i="2"/>
  <c r="S305" i="2"/>
  <c r="E305" i="2"/>
  <c r="AG305" i="2"/>
  <c r="Y305" i="2"/>
  <c r="Q305" i="2"/>
  <c r="AE305" i="2"/>
  <c r="W305" i="2"/>
  <c r="J305" i="2"/>
  <c r="Z305" i="2"/>
  <c r="D305" i="2"/>
  <c r="X305" i="2"/>
  <c r="T305" i="2"/>
  <c r="AF305" i="2"/>
  <c r="P305" i="2"/>
  <c r="AD305" i="2"/>
  <c r="V305" i="2"/>
  <c r="R305" i="2"/>
  <c r="G305" i="2"/>
  <c r="AH305" i="2"/>
  <c r="AB305" i="2"/>
  <c r="AC313" i="2"/>
  <c r="U313" i="2"/>
  <c r="H313" i="2"/>
  <c r="AI313" i="2"/>
  <c r="AA313" i="2"/>
  <c r="S313" i="2"/>
  <c r="E313" i="2"/>
  <c r="AG313" i="2"/>
  <c r="Y313" i="2"/>
  <c r="Q313" i="2"/>
  <c r="AE313" i="2"/>
  <c r="W313" i="2"/>
  <c r="J313" i="2"/>
  <c r="Z313" i="2"/>
  <c r="D313" i="2"/>
  <c r="X313" i="2"/>
  <c r="T313" i="2"/>
  <c r="AF313" i="2"/>
  <c r="P313" i="2"/>
  <c r="AD313" i="2"/>
  <c r="AH313" i="2"/>
  <c r="AB313" i="2"/>
  <c r="V313" i="2"/>
  <c r="R313" i="2"/>
  <c r="G313" i="2"/>
  <c r="AC321" i="2"/>
  <c r="U321" i="2"/>
  <c r="H321" i="2"/>
  <c r="AI321" i="2"/>
  <c r="AA321" i="2"/>
  <c r="S321" i="2"/>
  <c r="E321" i="2"/>
  <c r="AG321" i="2"/>
  <c r="Y321" i="2"/>
  <c r="Q321" i="2"/>
  <c r="AF321" i="2"/>
  <c r="X321" i="2"/>
  <c r="P321" i="2"/>
  <c r="AE321" i="2"/>
  <c r="W321" i="2"/>
  <c r="J321" i="2"/>
  <c r="R321" i="2"/>
  <c r="AD321" i="2"/>
  <c r="D321" i="2"/>
  <c r="Z321" i="2"/>
  <c r="V321" i="2"/>
  <c r="T321" i="2"/>
  <c r="G321" i="2"/>
  <c r="AH321" i="2"/>
  <c r="AB321" i="2"/>
  <c r="AB329" i="2"/>
  <c r="T329" i="2"/>
  <c r="G329" i="2"/>
  <c r="AH329" i="2"/>
  <c r="Z329" i="2"/>
  <c r="R329" i="2"/>
  <c r="D329" i="2"/>
  <c r="AI329" i="2"/>
  <c r="X329" i="2"/>
  <c r="AF329" i="2"/>
  <c r="V329" i="2"/>
  <c r="E329" i="2"/>
  <c r="AD329" i="2"/>
  <c r="S329" i="2"/>
  <c r="AC329" i="2"/>
  <c r="Q329" i="2"/>
  <c r="AA329" i="2"/>
  <c r="P329" i="2"/>
  <c r="Y329" i="2"/>
  <c r="W329" i="2"/>
  <c r="J329" i="2"/>
  <c r="H329" i="2"/>
  <c r="AG329" i="2"/>
  <c r="AE329" i="2"/>
  <c r="U329" i="2"/>
  <c r="AD337" i="2"/>
  <c r="V337" i="2"/>
  <c r="AB337" i="2"/>
  <c r="T337" i="2"/>
  <c r="G337" i="2"/>
  <c r="AH337" i="2"/>
  <c r="Z337" i="2"/>
  <c r="R337" i="2"/>
  <c r="D337" i="2"/>
  <c r="AE337" i="2"/>
  <c r="W337" i="2"/>
  <c r="J337" i="2"/>
  <c r="AF337" i="2"/>
  <c r="P337" i="2"/>
  <c r="AA337" i="2"/>
  <c r="H337" i="2"/>
  <c r="X337" i="2"/>
  <c r="U337" i="2"/>
  <c r="AI337" i="2"/>
  <c r="S337" i="2"/>
  <c r="AG337" i="2"/>
  <c r="Y337" i="2"/>
  <c r="E337" i="2"/>
  <c r="Q337" i="2"/>
  <c r="AC337" i="2"/>
  <c r="AH345" i="2"/>
  <c r="Z345" i="2"/>
  <c r="R345" i="2"/>
  <c r="D345" i="2"/>
  <c r="AG345" i="2"/>
  <c r="X345" i="2"/>
  <c r="J345" i="2"/>
  <c r="AE345" i="2"/>
  <c r="V345" i="2"/>
  <c r="H345" i="2"/>
  <c r="AC345" i="2"/>
  <c r="T345" i="2"/>
  <c r="E345" i="2"/>
  <c r="AI345" i="2"/>
  <c r="Y345" i="2"/>
  <c r="P345" i="2"/>
  <c r="W345" i="2"/>
  <c r="S345" i="2"/>
  <c r="AF345" i="2"/>
  <c r="AD345" i="2"/>
  <c r="G345" i="2"/>
  <c r="AB345" i="2"/>
  <c r="U345" i="2"/>
  <c r="Q345" i="2"/>
  <c r="AA345" i="2"/>
  <c r="AD353" i="2"/>
  <c r="V353" i="2"/>
  <c r="AH353" i="2"/>
  <c r="Z353" i="2"/>
  <c r="R353" i="2"/>
  <c r="D353" i="2"/>
  <c r="AA353" i="2"/>
  <c r="P353" i="2"/>
  <c r="Y353" i="2"/>
  <c r="J353" i="2"/>
  <c r="AG353" i="2"/>
  <c r="W353" i="2"/>
  <c r="H353" i="2"/>
  <c r="U353" i="2"/>
  <c r="AI353" i="2"/>
  <c r="S353" i="2"/>
  <c r="AE353" i="2"/>
  <c r="X353" i="2"/>
  <c r="AC353" i="2"/>
  <c r="T353" i="2"/>
  <c r="Q353" i="2"/>
  <c r="G353" i="2"/>
  <c r="E353" i="2"/>
  <c r="AB353" i="2"/>
  <c r="AF353" i="2"/>
  <c r="AD361" i="2"/>
  <c r="V361" i="2"/>
  <c r="AC361" i="2"/>
  <c r="U361" i="2"/>
  <c r="H361" i="2"/>
  <c r="AH361" i="2"/>
  <c r="Z361" i="2"/>
  <c r="R361" i="2"/>
  <c r="D361" i="2"/>
  <c r="AI361" i="2"/>
  <c r="W361" i="2"/>
  <c r="E361" i="2"/>
  <c r="AG361" i="2"/>
  <c r="T361" i="2"/>
  <c r="AF361" i="2"/>
  <c r="S361" i="2"/>
  <c r="AE361" i="2"/>
  <c r="Q361" i="2"/>
  <c r="AB361" i="2"/>
  <c r="P361" i="2"/>
  <c r="J361" i="2"/>
  <c r="G361" i="2"/>
  <c r="X361" i="2"/>
  <c r="AA361" i="2"/>
  <c r="Y361" i="2"/>
  <c r="AD369" i="2"/>
  <c r="V369" i="2"/>
  <c r="AC369" i="2"/>
  <c r="U369" i="2"/>
  <c r="H369" i="2"/>
  <c r="AH369" i="2"/>
  <c r="Z369" i="2"/>
  <c r="R369" i="2"/>
  <c r="D369" i="2"/>
  <c r="Y369" i="2"/>
  <c r="X369" i="2"/>
  <c r="G369" i="2"/>
  <c r="AI369" i="2"/>
  <c r="W369" i="2"/>
  <c r="E369" i="2"/>
  <c r="AG369" i="2"/>
  <c r="T369" i="2"/>
  <c r="AF369" i="2"/>
  <c r="S369" i="2"/>
  <c r="Q369" i="2"/>
  <c r="J369" i="2"/>
  <c r="AA369" i="2"/>
  <c r="AE369" i="2"/>
  <c r="AB369" i="2"/>
  <c r="P369" i="2"/>
  <c r="AE377" i="2"/>
  <c r="W377" i="2"/>
  <c r="J377" i="2"/>
  <c r="AD377" i="2"/>
  <c r="V377" i="2"/>
  <c r="AI377" i="2"/>
  <c r="AA377" i="2"/>
  <c r="S377" i="2"/>
  <c r="E377" i="2"/>
  <c r="AF377" i="2"/>
  <c r="R377" i="2"/>
  <c r="AC377" i="2"/>
  <c r="Q377" i="2"/>
  <c r="Y377" i="2"/>
  <c r="H377" i="2"/>
  <c r="AB377" i="2"/>
  <c r="D377" i="2"/>
  <c r="Z377" i="2"/>
  <c r="X377" i="2"/>
  <c r="U377" i="2"/>
  <c r="T377" i="2"/>
  <c r="AG377" i="2"/>
  <c r="G377" i="2"/>
  <c r="P377" i="2"/>
  <c r="AH377" i="2"/>
  <c r="AE385" i="2"/>
  <c r="W385" i="2"/>
  <c r="J385" i="2"/>
  <c r="AD385" i="2"/>
  <c r="V385" i="2"/>
  <c r="AI385" i="2"/>
  <c r="AA385" i="2"/>
  <c r="S385" i="2"/>
  <c r="E385" i="2"/>
  <c r="Y385" i="2"/>
  <c r="H385" i="2"/>
  <c r="X385" i="2"/>
  <c r="G385" i="2"/>
  <c r="AF385" i="2"/>
  <c r="R385" i="2"/>
  <c r="T385" i="2"/>
  <c r="Q385" i="2"/>
  <c r="AH385" i="2"/>
  <c r="P385" i="2"/>
  <c r="AG385" i="2"/>
  <c r="AC385" i="2"/>
  <c r="D385" i="2"/>
  <c r="AB385" i="2"/>
  <c r="U385" i="2"/>
  <c r="Z385" i="2"/>
  <c r="AD393" i="2"/>
  <c r="V393" i="2"/>
  <c r="AC393" i="2"/>
  <c r="U393" i="2"/>
  <c r="H393" i="2"/>
  <c r="AB393" i="2"/>
  <c r="T393" i="2"/>
  <c r="G393" i="2"/>
  <c r="AG393" i="2"/>
  <c r="Y393" i="2"/>
  <c r="Q393" i="2"/>
  <c r="W393" i="2"/>
  <c r="AI393" i="2"/>
  <c r="S393" i="2"/>
  <c r="AE393" i="2"/>
  <c r="J393" i="2"/>
  <c r="AF393" i="2"/>
  <c r="D393" i="2"/>
  <c r="AA393" i="2"/>
  <c r="R393" i="2"/>
  <c r="Z393" i="2"/>
  <c r="X393" i="2"/>
  <c r="P393" i="2"/>
  <c r="E393" i="2"/>
  <c r="AH393" i="2"/>
  <c r="AE401" i="2"/>
  <c r="W401" i="2"/>
  <c r="J401" i="2"/>
  <c r="AD401" i="2"/>
  <c r="V401" i="2"/>
  <c r="AC401" i="2"/>
  <c r="U401" i="2"/>
  <c r="H401" i="2"/>
  <c r="AB401" i="2"/>
  <c r="T401" i="2"/>
  <c r="G401" i="2"/>
  <c r="AI401" i="2"/>
  <c r="AA401" i="2"/>
  <c r="S401" i="2"/>
  <c r="E401" i="2"/>
  <c r="AH401" i="2"/>
  <c r="Z401" i="2"/>
  <c r="R401" i="2"/>
  <c r="D401" i="2"/>
  <c r="AG401" i="2"/>
  <c r="Y401" i="2"/>
  <c r="Q401" i="2"/>
  <c r="P401" i="2"/>
  <c r="X401" i="2"/>
  <c r="AF401" i="2"/>
  <c r="AB409" i="2"/>
  <c r="T409" i="2"/>
  <c r="G409" i="2"/>
  <c r="AF409" i="2"/>
  <c r="X409" i="2"/>
  <c r="P409" i="2"/>
  <c r="AG409" i="2"/>
  <c r="V409" i="2"/>
  <c r="E409" i="2"/>
  <c r="AE409" i="2"/>
  <c r="U409" i="2"/>
  <c r="D409" i="2"/>
  <c r="AD409" i="2"/>
  <c r="S409" i="2"/>
  <c r="AC409" i="2"/>
  <c r="R409" i="2"/>
  <c r="AA409" i="2"/>
  <c r="Q409" i="2"/>
  <c r="Z409" i="2"/>
  <c r="J409" i="2"/>
  <c r="AI409" i="2"/>
  <c r="Y409" i="2"/>
  <c r="AH409" i="2"/>
  <c r="H409" i="2"/>
  <c r="W409" i="2"/>
  <c r="AC417" i="2"/>
  <c r="U417" i="2"/>
  <c r="H417" i="2"/>
  <c r="AB417" i="2"/>
  <c r="T417" i="2"/>
  <c r="G417" i="2"/>
  <c r="AI417" i="2"/>
  <c r="AA417" i="2"/>
  <c r="S417" i="2"/>
  <c r="E417" i="2"/>
  <c r="AF417" i="2"/>
  <c r="X417" i="2"/>
  <c r="P417" i="2"/>
  <c r="AH417" i="2"/>
  <c r="R417" i="2"/>
  <c r="AG417" i="2"/>
  <c r="Q417" i="2"/>
  <c r="AE417" i="2"/>
  <c r="J417" i="2"/>
  <c r="AD417" i="2"/>
  <c r="Z417" i="2"/>
  <c r="D417" i="2"/>
  <c r="Y417" i="2"/>
  <c r="W417" i="2"/>
  <c r="V417" i="2"/>
  <c r="AC425" i="2"/>
  <c r="U425" i="2"/>
  <c r="H425" i="2"/>
  <c r="AB425" i="2"/>
  <c r="T425" i="2"/>
  <c r="G425" i="2"/>
  <c r="AI425" i="2"/>
  <c r="AA425" i="2"/>
  <c r="S425" i="2"/>
  <c r="E425" i="2"/>
  <c r="AH425" i="2"/>
  <c r="Z425" i="2"/>
  <c r="R425" i="2"/>
  <c r="D425" i="2"/>
  <c r="AG425" i="2"/>
  <c r="Y425" i="2"/>
  <c r="Q425" i="2"/>
  <c r="AF425" i="2"/>
  <c r="X425" i="2"/>
  <c r="P425" i="2"/>
  <c r="W425" i="2"/>
  <c r="V425" i="2"/>
  <c r="J425" i="2"/>
  <c r="AE425" i="2"/>
  <c r="AD425" i="2"/>
  <c r="AI433" i="2"/>
  <c r="AA433" i="2"/>
  <c r="S433" i="2"/>
  <c r="E433" i="2"/>
  <c r="AE433" i="2"/>
  <c r="W433" i="2"/>
  <c r="J433" i="2"/>
  <c r="AC433" i="2"/>
  <c r="U433" i="2"/>
  <c r="H433" i="2"/>
  <c r="AB433" i="2"/>
  <c r="T433" i="2"/>
  <c r="G433" i="2"/>
  <c r="AD433" i="2"/>
  <c r="Z433" i="2"/>
  <c r="D433" i="2"/>
  <c r="Y433" i="2"/>
  <c r="X433" i="2"/>
  <c r="V433" i="2"/>
  <c r="AH433" i="2"/>
  <c r="R433" i="2"/>
  <c r="AF433" i="2"/>
  <c r="Q433" i="2"/>
  <c r="P433" i="2"/>
  <c r="AG433" i="2"/>
  <c r="AI441" i="2"/>
  <c r="AA441" i="2"/>
  <c r="S441" i="2"/>
  <c r="E441" i="2"/>
  <c r="AH441" i="2"/>
  <c r="Z441" i="2"/>
  <c r="R441" i="2"/>
  <c r="D441" i="2"/>
  <c r="AG441" i="2"/>
  <c r="Y441" i="2"/>
  <c r="Q441" i="2"/>
  <c r="AF441" i="2"/>
  <c r="X441" i="2"/>
  <c r="P441" i="2"/>
  <c r="AE441" i="2"/>
  <c r="W441" i="2"/>
  <c r="J441" i="2"/>
  <c r="AD441" i="2"/>
  <c r="V441" i="2"/>
  <c r="AC441" i="2"/>
  <c r="U441" i="2"/>
  <c r="H441" i="2"/>
  <c r="AB441" i="2"/>
  <c r="T441" i="2"/>
  <c r="G441" i="2"/>
  <c r="AI449" i="2"/>
  <c r="AA449" i="2"/>
  <c r="S449" i="2"/>
  <c r="E449" i="2"/>
  <c r="AH449" i="2"/>
  <c r="Z449" i="2"/>
  <c r="R449" i="2"/>
  <c r="D449" i="2"/>
  <c r="AG449" i="2"/>
  <c r="Y449" i="2"/>
  <c r="Q449" i="2"/>
  <c r="AF449" i="2"/>
  <c r="X449" i="2"/>
  <c r="P449" i="2"/>
  <c r="AE449" i="2"/>
  <c r="W449" i="2"/>
  <c r="J449" i="2"/>
  <c r="AD449" i="2"/>
  <c r="V449" i="2"/>
  <c r="AC449" i="2"/>
  <c r="U449" i="2"/>
  <c r="H449" i="2"/>
  <c r="AB449" i="2"/>
  <c r="T449" i="2"/>
  <c r="G449" i="2"/>
  <c r="P60" i="2"/>
  <c r="X60" i="2"/>
  <c r="AF60" i="2"/>
  <c r="V63" i="2"/>
  <c r="AD63" i="2"/>
  <c r="P68" i="2"/>
  <c r="X68" i="2"/>
  <c r="AF68" i="2"/>
  <c r="V71" i="2"/>
  <c r="AD71" i="2"/>
  <c r="P76" i="2"/>
  <c r="X76" i="2"/>
  <c r="AF76" i="2"/>
  <c r="V79" i="2"/>
  <c r="AD79" i="2"/>
  <c r="P84" i="2"/>
  <c r="X84" i="2"/>
  <c r="AF84" i="2"/>
  <c r="V87" i="2"/>
  <c r="AD87" i="2"/>
  <c r="P92" i="2"/>
  <c r="X92" i="2"/>
  <c r="AF92" i="2"/>
  <c r="J95" i="2"/>
  <c r="Z95" i="2"/>
  <c r="AB100" i="2"/>
  <c r="W103" i="2"/>
  <c r="T108" i="2"/>
  <c r="AE127" i="2"/>
  <c r="AI132" i="2"/>
  <c r="AI140" i="2"/>
  <c r="V241" i="2"/>
  <c r="AB218" i="2"/>
  <c r="T218" i="2"/>
  <c r="G218" i="2"/>
  <c r="AI218" i="2"/>
  <c r="AA218" i="2"/>
  <c r="S218" i="2"/>
  <c r="E218" i="2"/>
  <c r="AG218" i="2"/>
  <c r="Y218" i="2"/>
  <c r="Q218" i="2"/>
  <c r="AF218" i="2"/>
  <c r="X218" i="2"/>
  <c r="P218" i="2"/>
  <c r="AE218" i="2"/>
  <c r="W218" i="2"/>
  <c r="J218" i="2"/>
  <c r="AD218" i="2"/>
  <c r="V218" i="2"/>
  <c r="R218" i="2"/>
  <c r="H218" i="2"/>
  <c r="D218" i="2"/>
  <c r="AH218" i="2"/>
  <c r="AC218" i="2"/>
  <c r="Z218" i="2"/>
  <c r="U218" i="2"/>
  <c r="AB226" i="2"/>
  <c r="T226" i="2"/>
  <c r="G226" i="2"/>
  <c r="AI226" i="2"/>
  <c r="AA226" i="2"/>
  <c r="S226" i="2"/>
  <c r="E226" i="2"/>
  <c r="AG226" i="2"/>
  <c r="Y226" i="2"/>
  <c r="Q226" i="2"/>
  <c r="AF226" i="2"/>
  <c r="X226" i="2"/>
  <c r="P226" i="2"/>
  <c r="AE226" i="2"/>
  <c r="W226" i="2"/>
  <c r="J226" i="2"/>
  <c r="AD226" i="2"/>
  <c r="V226" i="2"/>
  <c r="H226" i="2"/>
  <c r="D226" i="2"/>
  <c r="AH226" i="2"/>
  <c r="AC226" i="2"/>
  <c r="Z226" i="2"/>
  <c r="U226" i="2"/>
  <c r="R226" i="2"/>
  <c r="AI234" i="2"/>
  <c r="AA234" i="2"/>
  <c r="S234" i="2"/>
  <c r="AD234" i="2"/>
  <c r="V234" i="2"/>
  <c r="AF234" i="2"/>
  <c r="U234" i="2"/>
  <c r="G234" i="2"/>
  <c r="AE234" i="2"/>
  <c r="T234" i="2"/>
  <c r="E234" i="2"/>
  <c r="AB234" i="2"/>
  <c r="Q234" i="2"/>
  <c r="Z234" i="2"/>
  <c r="P234" i="2"/>
  <c r="Y234" i="2"/>
  <c r="J234" i="2"/>
  <c r="AH234" i="2"/>
  <c r="X234" i="2"/>
  <c r="AG234" i="2"/>
  <c r="AC234" i="2"/>
  <c r="W234" i="2"/>
  <c r="R234" i="2"/>
  <c r="H234" i="2"/>
  <c r="D234" i="2"/>
  <c r="AI242" i="2"/>
  <c r="AA242" i="2"/>
  <c r="S242" i="2"/>
  <c r="E242" i="2"/>
  <c r="AD242" i="2"/>
  <c r="V242" i="2"/>
  <c r="AH242" i="2"/>
  <c r="X242" i="2"/>
  <c r="AG242" i="2"/>
  <c r="W242" i="2"/>
  <c r="H242" i="2"/>
  <c r="AE242" i="2"/>
  <c r="T242" i="2"/>
  <c r="D242" i="2"/>
  <c r="AC242" i="2"/>
  <c r="R242" i="2"/>
  <c r="AB242" i="2"/>
  <c r="Q242" i="2"/>
  <c r="Z242" i="2"/>
  <c r="P242" i="2"/>
  <c r="AF242" i="2"/>
  <c r="Y242" i="2"/>
  <c r="U242" i="2"/>
  <c r="J242" i="2"/>
  <c r="G242" i="2"/>
  <c r="AI250" i="2"/>
  <c r="AA250" i="2"/>
  <c r="S250" i="2"/>
  <c r="E250" i="2"/>
  <c r="AF250" i="2"/>
  <c r="X250" i="2"/>
  <c r="P250" i="2"/>
  <c r="AD250" i="2"/>
  <c r="V250" i="2"/>
  <c r="AE250" i="2"/>
  <c r="R250" i="2"/>
  <c r="AC250" i="2"/>
  <c r="Q250" i="2"/>
  <c r="Z250" i="2"/>
  <c r="Y250" i="2"/>
  <c r="H250" i="2"/>
  <c r="W250" i="2"/>
  <c r="G250" i="2"/>
  <c r="AH250" i="2"/>
  <c r="U250" i="2"/>
  <c r="D250" i="2"/>
  <c r="AB250" i="2"/>
  <c r="T250" i="2"/>
  <c r="J250" i="2"/>
  <c r="AG250" i="2"/>
  <c r="AI258" i="2"/>
  <c r="AA258" i="2"/>
  <c r="S258" i="2"/>
  <c r="E258" i="2"/>
  <c r="AG258" i="2"/>
  <c r="Y258" i="2"/>
  <c r="Q258" i="2"/>
  <c r="AF258" i="2"/>
  <c r="X258" i="2"/>
  <c r="P258" i="2"/>
  <c r="AD258" i="2"/>
  <c r="V258" i="2"/>
  <c r="AC258" i="2"/>
  <c r="AB258" i="2"/>
  <c r="H258" i="2"/>
  <c r="W258" i="2"/>
  <c r="D258" i="2"/>
  <c r="U258" i="2"/>
  <c r="T258" i="2"/>
  <c r="AH258" i="2"/>
  <c r="R258" i="2"/>
  <c r="AE258" i="2"/>
  <c r="Z258" i="2"/>
  <c r="J258" i="2"/>
  <c r="G258" i="2"/>
  <c r="AH266" i="2"/>
  <c r="Z266" i="2"/>
  <c r="R266" i="2"/>
  <c r="D266" i="2"/>
  <c r="AC266" i="2"/>
  <c r="U266" i="2"/>
  <c r="H266" i="2"/>
  <c r="AB266" i="2"/>
  <c r="T266" i="2"/>
  <c r="G266" i="2"/>
  <c r="AG266" i="2"/>
  <c r="V266" i="2"/>
  <c r="AE266" i="2"/>
  <c r="Q266" i="2"/>
  <c r="AD266" i="2"/>
  <c r="P266" i="2"/>
  <c r="Y266" i="2"/>
  <c r="J266" i="2"/>
  <c r="AF266" i="2"/>
  <c r="AA266" i="2"/>
  <c r="X266" i="2"/>
  <c r="W266" i="2"/>
  <c r="E266" i="2"/>
  <c r="AI266" i="2"/>
  <c r="S266" i="2"/>
  <c r="AH274" i="2"/>
  <c r="Z274" i="2"/>
  <c r="R274" i="2"/>
  <c r="D274" i="2"/>
  <c r="AE274" i="2"/>
  <c r="W274" i="2"/>
  <c r="J274" i="2"/>
  <c r="AC274" i="2"/>
  <c r="U274" i="2"/>
  <c r="H274" i="2"/>
  <c r="AB274" i="2"/>
  <c r="T274" i="2"/>
  <c r="G274" i="2"/>
  <c r="AG274" i="2"/>
  <c r="Q274" i="2"/>
  <c r="AD274" i="2"/>
  <c r="AA274" i="2"/>
  <c r="E274" i="2"/>
  <c r="X274" i="2"/>
  <c r="Y274" i="2"/>
  <c r="V274" i="2"/>
  <c r="S274" i="2"/>
  <c r="P274" i="2"/>
  <c r="AI274" i="2"/>
  <c r="AF274" i="2"/>
  <c r="AH282" i="2"/>
  <c r="Z282" i="2"/>
  <c r="R282" i="2"/>
  <c r="D282" i="2"/>
  <c r="AE282" i="2"/>
  <c r="W282" i="2"/>
  <c r="J282" i="2"/>
  <c r="AC282" i="2"/>
  <c r="U282" i="2"/>
  <c r="H282" i="2"/>
  <c r="AB282" i="2"/>
  <c r="T282" i="2"/>
  <c r="G282" i="2"/>
  <c r="Y282" i="2"/>
  <c r="X282" i="2"/>
  <c r="V282" i="2"/>
  <c r="AI282" i="2"/>
  <c r="S282" i="2"/>
  <c r="AG282" i="2"/>
  <c r="Q282" i="2"/>
  <c r="AF282" i="2"/>
  <c r="P282" i="2"/>
  <c r="AA282" i="2"/>
  <c r="E282" i="2"/>
  <c r="AD282" i="2"/>
  <c r="AH290" i="2"/>
  <c r="Z290" i="2"/>
  <c r="R290" i="2"/>
  <c r="D290" i="2"/>
  <c r="AG290" i="2"/>
  <c r="Y290" i="2"/>
  <c r="Q290" i="2"/>
  <c r="AE290" i="2"/>
  <c r="W290" i="2"/>
  <c r="J290" i="2"/>
  <c r="AC290" i="2"/>
  <c r="U290" i="2"/>
  <c r="H290" i="2"/>
  <c r="AB290" i="2"/>
  <c r="T290" i="2"/>
  <c r="G290" i="2"/>
  <c r="AF290" i="2"/>
  <c r="E290" i="2"/>
  <c r="AD290" i="2"/>
  <c r="AA290" i="2"/>
  <c r="X290" i="2"/>
  <c r="V290" i="2"/>
  <c r="S290" i="2"/>
  <c r="AI290" i="2"/>
  <c r="P290" i="2"/>
  <c r="AE298" i="2"/>
  <c r="W298" i="2"/>
  <c r="J298" i="2"/>
  <c r="AC298" i="2"/>
  <c r="U298" i="2"/>
  <c r="H298" i="2"/>
  <c r="AI298" i="2"/>
  <c r="AA298" i="2"/>
  <c r="S298" i="2"/>
  <c r="E298" i="2"/>
  <c r="AG298" i="2"/>
  <c r="Y298" i="2"/>
  <c r="Q298" i="2"/>
  <c r="X298" i="2"/>
  <c r="V298" i="2"/>
  <c r="AH298" i="2"/>
  <c r="R298" i="2"/>
  <c r="AD298" i="2"/>
  <c r="AB298" i="2"/>
  <c r="G298" i="2"/>
  <c r="AF298" i="2"/>
  <c r="Z298" i="2"/>
  <c r="T298" i="2"/>
  <c r="P298" i="2"/>
  <c r="D298" i="2"/>
  <c r="AE306" i="2"/>
  <c r="W306" i="2"/>
  <c r="J306" i="2"/>
  <c r="AC306" i="2"/>
  <c r="U306" i="2"/>
  <c r="H306" i="2"/>
  <c r="AI306" i="2"/>
  <c r="AA306" i="2"/>
  <c r="S306" i="2"/>
  <c r="E306" i="2"/>
  <c r="AG306" i="2"/>
  <c r="Y306" i="2"/>
  <c r="Q306" i="2"/>
  <c r="X306" i="2"/>
  <c r="V306" i="2"/>
  <c r="AH306" i="2"/>
  <c r="R306" i="2"/>
  <c r="AD306" i="2"/>
  <c r="AB306" i="2"/>
  <c r="G306" i="2"/>
  <c r="D306" i="2"/>
  <c r="AF306" i="2"/>
  <c r="Z306" i="2"/>
  <c r="T306" i="2"/>
  <c r="P306" i="2"/>
  <c r="AE314" i="2"/>
  <c r="W314" i="2"/>
  <c r="J314" i="2"/>
  <c r="AC314" i="2"/>
  <c r="U314" i="2"/>
  <c r="H314" i="2"/>
  <c r="AI314" i="2"/>
  <c r="AA314" i="2"/>
  <c r="S314" i="2"/>
  <c r="E314" i="2"/>
  <c r="AG314" i="2"/>
  <c r="Y314" i="2"/>
  <c r="Q314" i="2"/>
  <c r="X314" i="2"/>
  <c r="V314" i="2"/>
  <c r="AH314" i="2"/>
  <c r="R314" i="2"/>
  <c r="AD314" i="2"/>
  <c r="AB314" i="2"/>
  <c r="G314" i="2"/>
  <c r="AF314" i="2"/>
  <c r="Z314" i="2"/>
  <c r="T314" i="2"/>
  <c r="P314" i="2"/>
  <c r="D314" i="2"/>
  <c r="AE322" i="2"/>
  <c r="W322" i="2"/>
  <c r="J322" i="2"/>
  <c r="AC322" i="2"/>
  <c r="U322" i="2"/>
  <c r="H322" i="2"/>
  <c r="AI322" i="2"/>
  <c r="AA322" i="2"/>
  <c r="S322" i="2"/>
  <c r="E322" i="2"/>
  <c r="AH322" i="2"/>
  <c r="Z322" i="2"/>
  <c r="R322" i="2"/>
  <c r="D322" i="2"/>
  <c r="AG322" i="2"/>
  <c r="Y322" i="2"/>
  <c r="Q322" i="2"/>
  <c r="X322" i="2"/>
  <c r="V322" i="2"/>
  <c r="P322" i="2"/>
  <c r="AF322" i="2"/>
  <c r="G322" i="2"/>
  <c r="AD322" i="2"/>
  <c r="T322" i="2"/>
  <c r="AB322" i="2"/>
  <c r="AD330" i="2"/>
  <c r="V330" i="2"/>
  <c r="AB330" i="2"/>
  <c r="T330" i="2"/>
  <c r="G330" i="2"/>
  <c r="AH330" i="2"/>
  <c r="X330" i="2"/>
  <c r="AF330" i="2"/>
  <c r="U330" i="2"/>
  <c r="E330" i="2"/>
  <c r="AC330" i="2"/>
  <c r="R330" i="2"/>
  <c r="AA330" i="2"/>
  <c r="Q330" i="2"/>
  <c r="Z330" i="2"/>
  <c r="P330" i="2"/>
  <c r="AI330" i="2"/>
  <c r="H330" i="2"/>
  <c r="AG330" i="2"/>
  <c r="D330" i="2"/>
  <c r="Y330" i="2"/>
  <c r="S330" i="2"/>
  <c r="J330" i="2"/>
  <c r="W330" i="2"/>
  <c r="AE330" i="2"/>
  <c r="AF338" i="2"/>
  <c r="X338" i="2"/>
  <c r="P338" i="2"/>
  <c r="AD338" i="2"/>
  <c r="V338" i="2"/>
  <c r="AB338" i="2"/>
  <c r="T338" i="2"/>
  <c r="G338" i="2"/>
  <c r="AG338" i="2"/>
  <c r="Y338" i="2"/>
  <c r="Q338" i="2"/>
  <c r="Z338" i="2"/>
  <c r="E338" i="2"/>
  <c r="U338" i="2"/>
  <c r="AH338" i="2"/>
  <c r="R338" i="2"/>
  <c r="AE338" i="2"/>
  <c r="J338" i="2"/>
  <c r="AC338" i="2"/>
  <c r="W338" i="2"/>
  <c r="S338" i="2"/>
  <c r="H338" i="2"/>
  <c r="AI338" i="2"/>
  <c r="D338" i="2"/>
  <c r="AA338" i="2"/>
  <c r="AB346" i="2"/>
  <c r="T346" i="2"/>
  <c r="G346" i="2"/>
  <c r="AE346" i="2"/>
  <c r="V346" i="2"/>
  <c r="H346" i="2"/>
  <c r="AC346" i="2"/>
  <c r="S346" i="2"/>
  <c r="D346" i="2"/>
  <c r="AI346" i="2"/>
  <c r="Z346" i="2"/>
  <c r="Q346" i="2"/>
  <c r="AF346" i="2"/>
  <c r="W346" i="2"/>
  <c r="Y346" i="2"/>
  <c r="U346" i="2"/>
  <c r="R346" i="2"/>
  <c r="AH346" i="2"/>
  <c r="P346" i="2"/>
  <c r="AG346" i="2"/>
  <c r="J346" i="2"/>
  <c r="AD346" i="2"/>
  <c r="X346" i="2"/>
  <c r="AA346" i="2"/>
  <c r="E346" i="2"/>
  <c r="AF354" i="2"/>
  <c r="X354" i="2"/>
  <c r="P354" i="2"/>
  <c r="AB354" i="2"/>
  <c r="T354" i="2"/>
  <c r="G354" i="2"/>
  <c r="AA354" i="2"/>
  <c r="Q354" i="2"/>
  <c r="Z354" i="2"/>
  <c r="J354" i="2"/>
  <c r="AH354" i="2"/>
  <c r="W354" i="2"/>
  <c r="H354" i="2"/>
  <c r="U354" i="2"/>
  <c r="AG354" i="2"/>
  <c r="R354" i="2"/>
  <c r="AD354" i="2"/>
  <c r="E354" i="2"/>
  <c r="V354" i="2"/>
  <c r="S354" i="2"/>
  <c r="D354" i="2"/>
  <c r="AI354" i="2"/>
  <c r="AE354" i="2"/>
  <c r="AC354" i="2"/>
  <c r="Y354" i="2"/>
  <c r="AF362" i="2"/>
  <c r="X362" i="2"/>
  <c r="P362" i="2"/>
  <c r="AE362" i="2"/>
  <c r="W362" i="2"/>
  <c r="J362" i="2"/>
  <c r="AB362" i="2"/>
  <c r="T362" i="2"/>
  <c r="G362" i="2"/>
  <c r="AA362" i="2"/>
  <c r="Z362" i="2"/>
  <c r="H362" i="2"/>
  <c r="Y362" i="2"/>
  <c r="E362" i="2"/>
  <c r="AI362" i="2"/>
  <c r="V362" i="2"/>
  <c r="D362" i="2"/>
  <c r="AH362" i="2"/>
  <c r="U362" i="2"/>
  <c r="AG362" i="2"/>
  <c r="AC362" i="2"/>
  <c r="Q362" i="2"/>
  <c r="AD362" i="2"/>
  <c r="S362" i="2"/>
  <c r="R362" i="2"/>
  <c r="AF370" i="2"/>
  <c r="X370" i="2"/>
  <c r="P370" i="2"/>
  <c r="AE370" i="2"/>
  <c r="W370" i="2"/>
  <c r="J370" i="2"/>
  <c r="AB370" i="2"/>
  <c r="T370" i="2"/>
  <c r="G370" i="2"/>
  <c r="AD370" i="2"/>
  <c r="R370" i="2"/>
  <c r="AC370" i="2"/>
  <c r="Q370" i="2"/>
  <c r="AA370" i="2"/>
  <c r="Z370" i="2"/>
  <c r="H370" i="2"/>
  <c r="Y370" i="2"/>
  <c r="E370" i="2"/>
  <c r="D370" i="2"/>
  <c r="AH370" i="2"/>
  <c r="V370" i="2"/>
  <c r="AI370" i="2"/>
  <c r="AG370" i="2"/>
  <c r="U370" i="2"/>
  <c r="S370" i="2"/>
  <c r="AG378" i="2"/>
  <c r="Y378" i="2"/>
  <c r="Q378" i="2"/>
  <c r="AF378" i="2"/>
  <c r="X378" i="2"/>
  <c r="P378" i="2"/>
  <c r="AC378" i="2"/>
  <c r="U378" i="2"/>
  <c r="H378" i="2"/>
  <c r="W378" i="2"/>
  <c r="E378" i="2"/>
  <c r="AI378" i="2"/>
  <c r="V378" i="2"/>
  <c r="D378" i="2"/>
  <c r="AD378" i="2"/>
  <c r="R378" i="2"/>
  <c r="AH378" i="2"/>
  <c r="AE378" i="2"/>
  <c r="G378" i="2"/>
  <c r="AB378" i="2"/>
  <c r="AA378" i="2"/>
  <c r="Z378" i="2"/>
  <c r="S378" i="2"/>
  <c r="T378" i="2"/>
  <c r="J378" i="2"/>
  <c r="AG386" i="2"/>
  <c r="Y386" i="2"/>
  <c r="Q386" i="2"/>
  <c r="AF386" i="2"/>
  <c r="X386" i="2"/>
  <c r="P386" i="2"/>
  <c r="AC386" i="2"/>
  <c r="U386" i="2"/>
  <c r="H386" i="2"/>
  <c r="AD386" i="2"/>
  <c r="R386" i="2"/>
  <c r="AB386" i="2"/>
  <c r="J386" i="2"/>
  <c r="W386" i="2"/>
  <c r="E386" i="2"/>
  <c r="V386" i="2"/>
  <c r="T386" i="2"/>
  <c r="S386" i="2"/>
  <c r="AI386" i="2"/>
  <c r="AH386" i="2"/>
  <c r="G386" i="2"/>
  <c r="AA386" i="2"/>
  <c r="AE386" i="2"/>
  <c r="Z386" i="2"/>
  <c r="D386" i="2"/>
  <c r="AF394" i="2"/>
  <c r="X394" i="2"/>
  <c r="P394" i="2"/>
  <c r="AE394" i="2"/>
  <c r="W394" i="2"/>
  <c r="J394" i="2"/>
  <c r="AD394" i="2"/>
  <c r="V394" i="2"/>
  <c r="AI394" i="2"/>
  <c r="AA394" i="2"/>
  <c r="S394" i="2"/>
  <c r="E394" i="2"/>
  <c r="AG394" i="2"/>
  <c r="Q394" i="2"/>
  <c r="AC394" i="2"/>
  <c r="Y394" i="2"/>
  <c r="D394" i="2"/>
  <c r="H394" i="2"/>
  <c r="Z394" i="2"/>
  <c r="R394" i="2"/>
  <c r="G394" i="2"/>
  <c r="AH394" i="2"/>
  <c r="AB394" i="2"/>
  <c r="T394" i="2"/>
  <c r="U394" i="2"/>
  <c r="AG402" i="2"/>
  <c r="Y402" i="2"/>
  <c r="Q402" i="2"/>
  <c r="AF402" i="2"/>
  <c r="X402" i="2"/>
  <c r="P402" i="2"/>
  <c r="AE402" i="2"/>
  <c r="W402" i="2"/>
  <c r="J402" i="2"/>
  <c r="AD402" i="2"/>
  <c r="V402" i="2"/>
  <c r="AC402" i="2"/>
  <c r="U402" i="2"/>
  <c r="H402" i="2"/>
  <c r="AB402" i="2"/>
  <c r="T402" i="2"/>
  <c r="G402" i="2"/>
  <c r="AI402" i="2"/>
  <c r="AA402" i="2"/>
  <c r="S402" i="2"/>
  <c r="E402" i="2"/>
  <c r="AH402" i="2"/>
  <c r="R402" i="2"/>
  <c r="Z402" i="2"/>
  <c r="D402" i="2"/>
  <c r="AD410" i="2"/>
  <c r="V410" i="2"/>
  <c r="AH410" i="2"/>
  <c r="Z410" i="2"/>
  <c r="R410" i="2"/>
  <c r="D410" i="2"/>
  <c r="AF410" i="2"/>
  <c r="U410" i="2"/>
  <c r="G410" i="2"/>
  <c r="AE410" i="2"/>
  <c r="T410" i="2"/>
  <c r="E410" i="2"/>
  <c r="AC410" i="2"/>
  <c r="S410" i="2"/>
  <c r="AB410" i="2"/>
  <c r="Q410" i="2"/>
  <c r="AA410" i="2"/>
  <c r="P410" i="2"/>
  <c r="Y410" i="2"/>
  <c r="J410" i="2"/>
  <c r="AI410" i="2"/>
  <c r="X410" i="2"/>
  <c r="AG410" i="2"/>
  <c r="H410" i="2"/>
  <c r="W410" i="2"/>
  <c r="AE418" i="2"/>
  <c r="W418" i="2"/>
  <c r="J418" i="2"/>
  <c r="AD418" i="2"/>
  <c r="V418" i="2"/>
  <c r="AC418" i="2"/>
  <c r="U418" i="2"/>
  <c r="H418" i="2"/>
  <c r="AB418" i="2"/>
  <c r="T418" i="2"/>
  <c r="AH418" i="2"/>
  <c r="Z418" i="2"/>
  <c r="R418" i="2"/>
  <c r="D418" i="2"/>
  <c r="AI418" i="2"/>
  <c r="P418" i="2"/>
  <c r="AG418" i="2"/>
  <c r="AF418" i="2"/>
  <c r="G418" i="2"/>
  <c r="AA418" i="2"/>
  <c r="E418" i="2"/>
  <c r="Y418" i="2"/>
  <c r="X418" i="2"/>
  <c r="S418" i="2"/>
  <c r="Q418" i="2"/>
  <c r="AE426" i="2"/>
  <c r="W426" i="2"/>
  <c r="J426" i="2"/>
  <c r="AD426" i="2"/>
  <c r="V426" i="2"/>
  <c r="AC426" i="2"/>
  <c r="U426" i="2"/>
  <c r="H426" i="2"/>
  <c r="AB426" i="2"/>
  <c r="T426" i="2"/>
  <c r="G426" i="2"/>
  <c r="AI426" i="2"/>
  <c r="AA426" i="2"/>
  <c r="S426" i="2"/>
  <c r="E426" i="2"/>
  <c r="AH426" i="2"/>
  <c r="Z426" i="2"/>
  <c r="R426" i="2"/>
  <c r="D426" i="2"/>
  <c r="P426" i="2"/>
  <c r="AG426" i="2"/>
  <c r="AF426" i="2"/>
  <c r="Y426" i="2"/>
  <c r="X426" i="2"/>
  <c r="Q426" i="2"/>
  <c r="AC434" i="2"/>
  <c r="U434" i="2"/>
  <c r="H434" i="2"/>
  <c r="AG434" i="2"/>
  <c r="Y434" i="2"/>
  <c r="Q434" i="2"/>
  <c r="AE434" i="2"/>
  <c r="W434" i="2"/>
  <c r="J434" i="2"/>
  <c r="AD434" i="2"/>
  <c r="V434" i="2"/>
  <c r="Z434" i="2"/>
  <c r="E434" i="2"/>
  <c r="X434" i="2"/>
  <c r="D434" i="2"/>
  <c r="T434" i="2"/>
  <c r="AI434" i="2"/>
  <c r="S434" i="2"/>
  <c r="AH434" i="2"/>
  <c r="R434" i="2"/>
  <c r="AF434" i="2"/>
  <c r="P434" i="2"/>
  <c r="AB434" i="2"/>
  <c r="AA434" i="2"/>
  <c r="G434" i="2"/>
  <c r="AC442" i="2"/>
  <c r="U442" i="2"/>
  <c r="H442" i="2"/>
  <c r="AB442" i="2"/>
  <c r="T442" i="2"/>
  <c r="G442" i="2"/>
  <c r="AI442" i="2"/>
  <c r="AA442" i="2"/>
  <c r="S442" i="2"/>
  <c r="E442" i="2"/>
  <c r="AH442" i="2"/>
  <c r="Z442" i="2"/>
  <c r="R442" i="2"/>
  <c r="D442" i="2"/>
  <c r="AG442" i="2"/>
  <c r="Y442" i="2"/>
  <c r="Q442" i="2"/>
  <c r="AF442" i="2"/>
  <c r="X442" i="2"/>
  <c r="P442" i="2"/>
  <c r="AE442" i="2"/>
  <c r="W442" i="2"/>
  <c r="J442" i="2"/>
  <c r="AD442" i="2"/>
  <c r="V442" i="2"/>
  <c r="AC450" i="2"/>
  <c r="U450" i="2"/>
  <c r="H450" i="2"/>
  <c r="AB450" i="2"/>
  <c r="T450" i="2"/>
  <c r="G450" i="2"/>
  <c r="AI450" i="2"/>
  <c r="AA450" i="2"/>
  <c r="S450" i="2"/>
  <c r="E450" i="2"/>
  <c r="AH450" i="2"/>
  <c r="Z450" i="2"/>
  <c r="R450" i="2"/>
  <c r="D450" i="2"/>
  <c r="AG450" i="2"/>
  <c r="Y450" i="2"/>
  <c r="Q450" i="2"/>
  <c r="AF450" i="2"/>
  <c r="X450" i="2"/>
  <c r="P450" i="2"/>
  <c r="AE450" i="2"/>
  <c r="W450" i="2"/>
  <c r="J450" i="2"/>
  <c r="AD450" i="2"/>
  <c r="V450" i="2"/>
  <c r="Q60" i="2"/>
  <c r="Y60" i="2"/>
  <c r="J63" i="2"/>
  <c r="W63" i="2"/>
  <c r="Q68" i="2"/>
  <c r="Y68" i="2"/>
  <c r="J71" i="2"/>
  <c r="W71" i="2"/>
  <c r="Q76" i="2"/>
  <c r="Y76" i="2"/>
  <c r="J79" i="2"/>
  <c r="W79" i="2"/>
  <c r="Q84" i="2"/>
  <c r="Y84" i="2"/>
  <c r="J87" i="2"/>
  <c r="W87" i="2"/>
  <c r="Q92" i="2"/>
  <c r="Y92" i="2"/>
  <c r="Q95" i="2"/>
  <c r="AA95" i="2"/>
  <c r="AG100" i="2"/>
  <c r="Z103" i="2"/>
  <c r="Y108" i="2"/>
  <c r="X180" i="2"/>
  <c r="G55" i="2"/>
  <c r="T55" i="2"/>
  <c r="AB55" i="2"/>
  <c r="H55" i="2"/>
  <c r="U55" i="2"/>
  <c r="AC55" i="2"/>
  <c r="V55" i="2"/>
  <c r="AD55" i="2"/>
  <c r="J55" i="2"/>
  <c r="W55" i="2"/>
  <c r="AE55" i="2"/>
  <c r="P55" i="2"/>
  <c r="X55" i="2"/>
  <c r="AF55" i="2"/>
  <c r="Q55" i="2"/>
  <c r="Y55" i="2"/>
  <c r="AG55" i="2"/>
  <c r="R55" i="2"/>
  <c r="Z55" i="2"/>
  <c r="AH55" i="2"/>
  <c r="S55" i="2"/>
  <c r="AA55" i="2"/>
  <c r="V54" i="2"/>
  <c r="AD54" i="2"/>
  <c r="J54" i="2"/>
  <c r="W54" i="2"/>
  <c r="AE54" i="2"/>
  <c r="P54" i="2"/>
  <c r="X54" i="2"/>
  <c r="AF54" i="2"/>
  <c r="Q54" i="2"/>
  <c r="Y54" i="2"/>
  <c r="AG54" i="2"/>
  <c r="R54" i="2"/>
  <c r="Z54" i="2"/>
  <c r="AH54" i="2"/>
  <c r="S54" i="2"/>
  <c r="AA54" i="2"/>
  <c r="AI54" i="2"/>
  <c r="G54" i="2"/>
  <c r="T54" i="2"/>
  <c r="AB54" i="2"/>
  <c r="H54" i="2"/>
  <c r="U54" i="2"/>
  <c r="P53" i="2"/>
  <c r="X53" i="2"/>
  <c r="AF53" i="2"/>
  <c r="Q53" i="2"/>
  <c r="Y53" i="2"/>
  <c r="AG53" i="2"/>
  <c r="R53" i="2"/>
  <c r="Z53" i="2"/>
  <c r="AH53" i="2"/>
  <c r="S53" i="2"/>
  <c r="AA53" i="2"/>
  <c r="AI53" i="2"/>
  <c r="G53" i="2"/>
  <c r="T53" i="2"/>
  <c r="AB53" i="2"/>
  <c r="H53" i="2"/>
  <c r="U53" i="2"/>
  <c r="AC53" i="2"/>
  <c r="V53" i="2"/>
  <c r="AD53" i="2"/>
  <c r="J53" i="2"/>
  <c r="W53" i="2"/>
  <c r="AA52" i="2"/>
  <c r="AI52" i="2"/>
  <c r="S52" i="2"/>
  <c r="R52" i="2"/>
  <c r="Z52" i="2"/>
  <c r="AH52" i="2"/>
  <c r="G52" i="2"/>
  <c r="T52" i="2"/>
  <c r="AB52" i="2"/>
  <c r="H52" i="2"/>
  <c r="U52" i="2"/>
  <c r="AC52" i="2"/>
  <c r="V52" i="2"/>
  <c r="AD52" i="2"/>
  <c r="J52" i="2"/>
  <c r="W52" i="2"/>
  <c r="AE52" i="2"/>
  <c r="P52" i="2"/>
  <c r="X52" i="2"/>
  <c r="AF52" i="2"/>
  <c r="Q52" i="2"/>
  <c r="Y52" i="2"/>
  <c r="CV325" i="2"/>
  <c r="CV331" i="2"/>
  <c r="CV335" i="2"/>
  <c r="CV83" i="2"/>
  <c r="CV87" i="2"/>
  <c r="CV89" i="2"/>
  <c r="CV93" i="2"/>
  <c r="CV99" i="2"/>
  <c r="CV107" i="2"/>
  <c r="CV111" i="2"/>
  <c r="CV117" i="2"/>
  <c r="CV161" i="2"/>
  <c r="CV303" i="2"/>
  <c r="CV305" i="2"/>
  <c r="CV349" i="2"/>
  <c r="CV357" i="2"/>
  <c r="CV361" i="2"/>
  <c r="CV362" i="2"/>
  <c r="CV133" i="2"/>
  <c r="CV134" i="2"/>
  <c r="CV142" i="2"/>
  <c r="CV163" i="2"/>
  <c r="CV171" i="2"/>
  <c r="CV175" i="2"/>
  <c r="CV191" i="2"/>
  <c r="CV207" i="2"/>
  <c r="CV213" i="2"/>
  <c r="CV223" i="2"/>
  <c r="CV243" i="2"/>
  <c r="CV251" i="2"/>
  <c r="CV297" i="2"/>
  <c r="CV301" i="2"/>
  <c r="CV366" i="2"/>
  <c r="CV369" i="2"/>
  <c r="CV379" i="2"/>
  <c r="CV405" i="2"/>
  <c r="CV407" i="2"/>
  <c r="CV429" i="2"/>
  <c r="CV431" i="2"/>
  <c r="CV446" i="2"/>
  <c r="J51" i="2"/>
  <c r="CV66" i="2"/>
  <c r="Q51" i="2"/>
  <c r="S51" i="2"/>
  <c r="Y51" i="2"/>
  <c r="CV67" i="2"/>
  <c r="AA51" i="2"/>
  <c r="AG51" i="2"/>
  <c r="AI51" i="2"/>
  <c r="G51" i="2"/>
  <c r="T51" i="2"/>
  <c r="AB51" i="2"/>
  <c r="CV122" i="2"/>
  <c r="CV129" i="2"/>
  <c r="CV130" i="2"/>
  <c r="CV145" i="2"/>
  <c r="CV149" i="2"/>
  <c r="CV157" i="2"/>
  <c r="CV165" i="2"/>
  <c r="CV217" i="2"/>
  <c r="CV225" i="2"/>
  <c r="CV241" i="2"/>
  <c r="CV249" i="2"/>
  <c r="CV253" i="2"/>
  <c r="CV277" i="2"/>
  <c r="CV293" i="2"/>
  <c r="CV381" i="2"/>
  <c r="CV418" i="2"/>
  <c r="H51" i="2"/>
  <c r="U51" i="2"/>
  <c r="AC51" i="2"/>
  <c r="CV74" i="2"/>
  <c r="CV80" i="2"/>
  <c r="CV90" i="2"/>
  <c r="CV94" i="2"/>
  <c r="CV102" i="2"/>
  <c r="CV113" i="2"/>
  <c r="CV116" i="2"/>
  <c r="CV126" i="2"/>
  <c r="CV136" i="2"/>
  <c r="CV152" i="2"/>
  <c r="CV173" i="2"/>
  <c r="CV186" i="2"/>
  <c r="CV193" i="2"/>
  <c r="CV204" i="2"/>
  <c r="CV212" i="2"/>
  <c r="CV214" i="2"/>
  <c r="CV222" i="2"/>
  <c r="CV238" i="2"/>
  <c r="CV240" i="2"/>
  <c r="CV254" i="2"/>
  <c r="CV256" i="2"/>
  <c r="CV264" i="2"/>
  <c r="CV274" i="2"/>
  <c r="CV284" i="2"/>
  <c r="CV290" i="2"/>
  <c r="CV316" i="2"/>
  <c r="CV340" i="2"/>
  <c r="CV354" i="2"/>
  <c r="CV364" i="2"/>
  <c r="CV376" i="2"/>
  <c r="CV378" i="2"/>
  <c r="CV380" i="2"/>
  <c r="CV394" i="2"/>
  <c r="CV400" i="2"/>
  <c r="CV402" i="2"/>
  <c r="CV410" i="2"/>
  <c r="CV412" i="2"/>
  <c r="CV424" i="2"/>
  <c r="CV448" i="2"/>
  <c r="CV452" i="2"/>
  <c r="CV183" i="2"/>
  <c r="CV199" i="2"/>
  <c r="V51" i="2"/>
  <c r="AD51" i="2"/>
  <c r="CV68" i="2"/>
  <c r="CV84" i="2"/>
  <c r="CV104" i="2"/>
  <c r="CV140" i="2"/>
  <c r="CV184" i="2"/>
  <c r="CV220" i="2"/>
  <c r="CV228" i="2"/>
  <c r="CV236" i="2"/>
  <c r="CV244" i="2"/>
  <c r="CV252" i="2"/>
  <c r="CV280" i="2"/>
  <c r="CV288" i="2"/>
  <c r="CV312" i="2"/>
  <c r="CV368" i="2"/>
  <c r="CV377" i="2"/>
  <c r="CV384" i="2"/>
  <c r="CV393" i="2"/>
  <c r="W51" i="2"/>
  <c r="AE51" i="2"/>
  <c r="CV73" i="2"/>
  <c r="CV79" i="2"/>
  <c r="CV85" i="2"/>
  <c r="CV91" i="2"/>
  <c r="CV95" i="2"/>
  <c r="CV97" i="2"/>
  <c r="CV105" i="2"/>
  <c r="CV109" i="2"/>
  <c r="CV121" i="2"/>
  <c r="CV123" i="2"/>
  <c r="CV132" i="2"/>
  <c r="CV137" i="2"/>
  <c r="CV147" i="2"/>
  <c r="CV167" i="2"/>
  <c r="CV179" i="2"/>
  <c r="CV187" i="2"/>
  <c r="CV189" i="2"/>
  <c r="CV195" i="2"/>
  <c r="CV201" i="2"/>
  <c r="CV209" i="2"/>
  <c r="CV211" i="2"/>
  <c r="CV219" i="2"/>
  <c r="CV227" i="2"/>
  <c r="CV231" i="2"/>
  <c r="CV233" i="2"/>
  <c r="CV247" i="2"/>
  <c r="CV263" i="2"/>
  <c r="CV267" i="2"/>
  <c r="CV269" i="2"/>
  <c r="CV273" i="2"/>
  <c r="CV276" i="2"/>
  <c r="CV285" i="2"/>
  <c r="CV291" i="2"/>
  <c r="CV309" i="2"/>
  <c r="CV323" i="2"/>
  <c r="CV327" i="2"/>
  <c r="CV339" i="2"/>
  <c r="CV341" i="2"/>
  <c r="CV343" i="2"/>
  <c r="CV389" i="2"/>
  <c r="CV401" i="2"/>
  <c r="CV403" i="2"/>
  <c r="CV404" i="2"/>
  <c r="CV419" i="2"/>
  <c r="CV421" i="2"/>
  <c r="CV433" i="2"/>
  <c r="CV449" i="2"/>
  <c r="CV451" i="2"/>
  <c r="CV455" i="2"/>
  <c r="P51" i="2"/>
  <c r="X51" i="2"/>
  <c r="AF51" i="2"/>
  <c r="CV192" i="2"/>
  <c r="CV200" i="2"/>
  <c r="CV208" i="2"/>
  <c r="CV255" i="2"/>
  <c r="CV271" i="2"/>
  <c r="CV287" i="2"/>
  <c r="CV299" i="2"/>
  <c r="CV320" i="2"/>
  <c r="CV344" i="2"/>
  <c r="CV367" i="2"/>
  <c r="CV399" i="2"/>
  <c r="CV447" i="2"/>
  <c r="CV70" i="2"/>
  <c r="CV75" i="2"/>
  <c r="CV78" i="2"/>
  <c r="CV86" i="2"/>
  <c r="CV110" i="2"/>
  <c r="CV146" i="2"/>
  <c r="CV148" i="2"/>
  <c r="CV162" i="2"/>
  <c r="CV166" i="2"/>
  <c r="CV218" i="2"/>
  <c r="CV235" i="2"/>
  <c r="CV250" i="2"/>
  <c r="CV260" i="2"/>
  <c r="CV268" i="2"/>
  <c r="CV270" i="2"/>
  <c r="CV272" i="2"/>
  <c r="CV278" i="2"/>
  <c r="CV282" i="2"/>
  <c r="CV294" i="2"/>
  <c r="CV295" i="2"/>
  <c r="CV304" i="2"/>
  <c r="CV311" i="2"/>
  <c r="CV324" i="2"/>
  <c r="CV352" i="2"/>
  <c r="CV388" i="2"/>
  <c r="CV396" i="2"/>
  <c r="CV398" i="2"/>
  <c r="CV406" i="2"/>
  <c r="CV408" i="2"/>
  <c r="CV414" i="2"/>
  <c r="CV422" i="2"/>
  <c r="CV426" i="2"/>
  <c r="CV432" i="2"/>
  <c r="CV436" i="2"/>
  <c r="CV438" i="2"/>
  <c r="CV444" i="2"/>
  <c r="R51" i="2"/>
  <c r="Z51" i="2"/>
  <c r="CV170" i="2"/>
  <c r="CV194" i="2"/>
  <c r="CV230" i="2"/>
  <c r="CV246" i="2"/>
  <c r="CV259" i="2"/>
  <c r="CV306" i="2"/>
  <c r="CV314" i="2"/>
  <c r="CV318" i="2"/>
  <c r="CV326" i="2"/>
  <c r="CV351" i="2"/>
  <c r="CV434" i="2"/>
  <c r="CV69" i="2"/>
  <c r="CV76" i="2"/>
  <c r="CV88" i="2"/>
  <c r="CV82" i="2"/>
  <c r="CV72" i="2"/>
  <c r="CV71" i="2"/>
  <c r="CV96" i="2"/>
  <c r="CV101" i="2"/>
  <c r="CV77" i="2"/>
  <c r="CV81" i="2"/>
  <c r="CV98" i="2"/>
  <c r="CV114" i="2"/>
  <c r="CV106" i="2"/>
  <c r="CV112" i="2"/>
  <c r="CV118" i="2"/>
  <c r="CV120" i="2"/>
  <c r="CV92" i="2"/>
  <c r="CV124" i="2"/>
  <c r="CV100" i="2"/>
  <c r="CV103" i="2"/>
  <c r="CV108" i="2"/>
  <c r="CV119" i="2"/>
  <c r="CV141" i="2"/>
  <c r="CV168" i="2"/>
  <c r="CV127" i="2"/>
  <c r="CV125" i="2"/>
  <c r="CV155" i="2"/>
  <c r="CV128" i="2"/>
  <c r="CV139" i="2"/>
  <c r="CV154" i="2"/>
  <c r="CV160" i="2"/>
  <c r="CV178" i="2"/>
  <c r="CV115" i="2"/>
  <c r="CV135" i="2"/>
  <c r="CV144" i="2"/>
  <c r="CV151" i="2"/>
  <c r="CV158" i="2"/>
  <c r="CV131" i="2"/>
  <c r="CV138" i="2"/>
  <c r="CV143" i="2"/>
  <c r="CV150" i="2"/>
  <c r="CV159" i="2"/>
  <c r="CV156" i="2"/>
  <c r="CV174" i="2"/>
  <c r="CV181" i="2"/>
  <c r="CV169" i="2"/>
  <c r="CV177" i="2"/>
  <c r="CV182" i="2"/>
  <c r="CV180" i="2"/>
  <c r="CV153" i="2"/>
  <c r="CV172" i="2"/>
  <c r="CV185" i="2"/>
  <c r="CV164" i="2"/>
  <c r="CV176" i="2"/>
  <c r="CV203" i="2"/>
  <c r="CV190" i="2"/>
  <c r="CV196" i="2"/>
  <c r="CV198" i="2"/>
  <c r="CV215" i="2"/>
  <c r="CV188" i="2"/>
  <c r="CV202" i="2"/>
  <c r="CV206" i="2"/>
  <c r="CV197" i="2"/>
  <c r="CV205" i="2"/>
  <c r="CV210" i="2"/>
  <c r="CV216" i="2"/>
  <c r="CV221" i="2"/>
  <c r="CV234" i="2"/>
  <c r="CV229" i="2"/>
  <c r="CV242" i="2"/>
  <c r="CV224" i="2"/>
  <c r="CV237" i="2"/>
  <c r="CV226" i="2"/>
  <c r="CV232" i="2"/>
  <c r="CV245" i="2"/>
  <c r="CV261" i="2"/>
  <c r="CV239" i="2"/>
  <c r="CV248" i="2"/>
  <c r="CV258" i="2"/>
  <c r="CV266" i="2"/>
  <c r="CV262" i="2"/>
  <c r="CV265" i="2"/>
  <c r="CV257" i="2"/>
  <c r="CV296" i="2"/>
  <c r="CV279" i="2"/>
  <c r="CV281" i="2"/>
  <c r="CV275" i="2"/>
  <c r="CV283" i="2"/>
  <c r="CV298" i="2"/>
  <c r="CV289" i="2"/>
  <c r="CV286" i="2"/>
  <c r="CV307" i="2"/>
  <c r="CV317" i="2"/>
  <c r="CV302" i="2"/>
  <c r="CV315" i="2"/>
  <c r="CV319" i="2"/>
  <c r="CV310" i="2"/>
  <c r="CV308" i="2"/>
  <c r="CV313" i="2"/>
  <c r="CV300" i="2"/>
  <c r="CV292" i="2"/>
  <c r="CV321" i="2"/>
  <c r="CV328" i="2"/>
  <c r="CV333" i="2"/>
  <c r="CV329" i="2"/>
  <c r="CV338" i="2"/>
  <c r="CV330" i="2"/>
  <c r="CV322" i="2"/>
  <c r="CV347" i="2"/>
  <c r="CV332" i="2"/>
  <c r="CV336" i="2"/>
  <c r="CV334" i="2"/>
  <c r="CV345" i="2"/>
  <c r="CV337" i="2"/>
  <c r="CV350" i="2"/>
  <c r="CV353" i="2"/>
  <c r="CV346" i="2"/>
  <c r="CV342" i="2"/>
  <c r="CV348" i="2"/>
  <c r="CV359" i="2"/>
  <c r="CV356" i="2"/>
  <c r="CV370" i="2"/>
  <c r="CV365" i="2"/>
  <c r="CV355" i="2"/>
  <c r="CV358" i="2"/>
  <c r="CV360" i="2"/>
  <c r="CV363" i="2"/>
  <c r="CV375" i="2"/>
  <c r="CV371" i="2"/>
  <c r="CV372" i="2"/>
  <c r="CV373" i="2"/>
  <c r="CV374" i="2"/>
  <c r="CV385" i="2"/>
  <c r="CV391" i="2"/>
  <c r="CV382" i="2"/>
  <c r="CV392" i="2"/>
  <c r="CV383" i="2"/>
  <c r="CV386" i="2"/>
  <c r="CV387" i="2"/>
  <c r="CV390" i="2"/>
  <c r="CV409" i="2"/>
  <c r="CV397" i="2"/>
  <c r="CV395" i="2"/>
  <c r="CV415" i="2"/>
  <c r="CV413" i="2"/>
  <c r="CV411" i="2"/>
  <c r="CV417" i="2"/>
  <c r="CV420" i="2"/>
  <c r="CV427" i="2"/>
  <c r="CV416" i="2"/>
  <c r="CV437" i="2"/>
  <c r="CV423" i="2"/>
  <c r="CV428" i="2"/>
  <c r="CV425" i="2"/>
  <c r="CV439" i="2"/>
  <c r="CV430" i="2"/>
  <c r="CV443" i="2"/>
  <c r="CV435" i="2"/>
  <c r="CV441" i="2"/>
  <c r="CV442" i="2"/>
  <c r="CV440" i="2"/>
  <c r="CV454" i="2"/>
  <c r="CV445" i="2"/>
  <c r="CV453" i="2"/>
  <c r="CV450" i="2"/>
  <c r="V39" i="2"/>
  <c r="AD39" i="2"/>
  <c r="H40" i="2"/>
  <c r="U40" i="2"/>
  <c r="AC40" i="2"/>
  <c r="S41" i="2"/>
  <c r="AA41" i="2"/>
  <c r="AI41" i="2"/>
  <c r="R42" i="2"/>
  <c r="Z42" i="2"/>
  <c r="AH42" i="2"/>
  <c r="P43" i="2"/>
  <c r="X43" i="2"/>
  <c r="AF43" i="2"/>
  <c r="P44" i="2"/>
  <c r="X44" i="2"/>
  <c r="AF44" i="2"/>
  <c r="J45" i="2"/>
  <c r="W45" i="2"/>
  <c r="AE45" i="2"/>
  <c r="H46" i="2"/>
  <c r="U46" i="2"/>
  <c r="AC46" i="2"/>
  <c r="J40" i="2"/>
  <c r="AE40" i="2"/>
  <c r="H41" i="2"/>
  <c r="AC41" i="2"/>
  <c r="Q39" i="2"/>
  <c r="Y39" i="2"/>
  <c r="AG39" i="2"/>
  <c r="P40" i="2"/>
  <c r="X40" i="2"/>
  <c r="AF40" i="2"/>
  <c r="V41" i="2"/>
  <c r="AD41" i="2"/>
  <c r="H42" i="2"/>
  <c r="U42" i="2"/>
  <c r="AC42" i="2"/>
  <c r="S43" i="2"/>
  <c r="AA43" i="2"/>
  <c r="AI43" i="2"/>
  <c r="S44" i="2"/>
  <c r="AA44" i="2"/>
  <c r="AI44" i="2"/>
  <c r="R45" i="2"/>
  <c r="Z45" i="2"/>
  <c r="AH45" i="2"/>
  <c r="P46" i="2"/>
  <c r="X46" i="2"/>
  <c r="AF46" i="2"/>
  <c r="W40" i="2"/>
  <c r="U41" i="2"/>
  <c r="R39" i="2"/>
  <c r="Z39" i="2"/>
  <c r="AH39" i="2"/>
  <c r="Q40" i="2"/>
  <c r="Y40" i="2"/>
  <c r="AG40" i="2"/>
  <c r="J41" i="2"/>
  <c r="W41" i="2"/>
  <c r="AE41" i="2"/>
  <c r="V42" i="2"/>
  <c r="AD42" i="2"/>
  <c r="G43" i="2"/>
  <c r="T43" i="2"/>
  <c r="AB43" i="2"/>
  <c r="G44" i="2"/>
  <c r="T44" i="2"/>
  <c r="AB44" i="2"/>
  <c r="F45" i="2" a="1"/>
  <c r="F45" i="2" s="1"/>
  <c r="S45" i="2"/>
  <c r="AA45" i="2"/>
  <c r="AI45" i="2"/>
  <c r="Q46" i="2"/>
  <c r="Y46" i="2"/>
  <c r="AG46" i="2"/>
  <c r="F44" i="2" a="1"/>
  <c r="F44" i="2" s="1"/>
  <c r="F39" i="2" a="1"/>
  <c r="F39" i="2" s="1"/>
  <c r="S39" i="2"/>
  <c r="AA39" i="2"/>
  <c r="AI39" i="2"/>
  <c r="R40" i="2"/>
  <c r="Z40" i="2"/>
  <c r="AH40" i="2"/>
  <c r="P41" i="2"/>
  <c r="X41" i="2"/>
  <c r="AF41" i="2"/>
  <c r="J42" i="2"/>
  <c r="W42" i="2"/>
  <c r="AE42" i="2"/>
  <c r="H43" i="2"/>
  <c r="U43" i="2"/>
  <c r="AC43" i="2"/>
  <c r="H44" i="2"/>
  <c r="U44" i="2"/>
  <c r="AC44" i="2"/>
  <c r="G45" i="2"/>
  <c r="T45" i="2"/>
  <c r="AB45" i="2"/>
  <c r="F46" i="2" a="1"/>
  <c r="F46" i="2" s="1"/>
  <c r="R46" i="2"/>
  <c r="Z46" i="2"/>
  <c r="AH46" i="2"/>
  <c r="G39" i="2"/>
  <c r="T39" i="2"/>
  <c r="AB39" i="2"/>
  <c r="S40" i="2"/>
  <c r="AA40" i="2"/>
  <c r="AI40" i="2"/>
  <c r="Q41" i="2"/>
  <c r="Y41" i="2"/>
  <c r="AG41" i="2"/>
  <c r="P42" i="2"/>
  <c r="X42" i="2"/>
  <c r="AF42" i="2"/>
  <c r="V43" i="2"/>
  <c r="AD43" i="2"/>
  <c r="V44" i="2"/>
  <c r="AD44" i="2"/>
  <c r="H45" i="2"/>
  <c r="U45" i="2"/>
  <c r="AC45" i="2"/>
  <c r="S46" i="2"/>
  <c r="AA46" i="2"/>
  <c r="AI46" i="2"/>
  <c r="V40" i="2"/>
  <c r="AD40" i="2"/>
  <c r="H39" i="2"/>
  <c r="U39" i="2"/>
  <c r="G40" i="2"/>
  <c r="T40" i="2"/>
  <c r="F41" i="2" a="1"/>
  <c r="F41" i="2" s="1"/>
  <c r="R41" i="2"/>
  <c r="Z41" i="2"/>
  <c r="Q42" i="2"/>
  <c r="Y42" i="2"/>
  <c r="J43" i="2"/>
  <c r="W43" i="2"/>
  <c r="J44" i="2"/>
  <c r="W44" i="2"/>
  <c r="V45" i="2"/>
  <c r="G46" i="2"/>
  <c r="T46" i="2"/>
  <c r="G50" i="2"/>
  <c r="T50" i="2"/>
  <c r="AB50" i="2"/>
  <c r="H50" i="2"/>
  <c r="U50" i="2"/>
  <c r="AC50" i="2"/>
  <c r="V50" i="2"/>
  <c r="AD50" i="2"/>
  <c r="J50" i="2"/>
  <c r="W50" i="2"/>
  <c r="AE50" i="2"/>
  <c r="P50" i="2"/>
  <c r="X50" i="2"/>
  <c r="AF50" i="2"/>
  <c r="Q50" i="2"/>
  <c r="Y50" i="2"/>
  <c r="AG50" i="2"/>
  <c r="R50" i="2"/>
  <c r="Z50" i="2"/>
  <c r="AH50" i="2"/>
  <c r="S50" i="2"/>
  <c r="AA50" i="2"/>
  <c r="AD49" i="2"/>
  <c r="J49" i="2"/>
  <c r="W49" i="2"/>
  <c r="AE49" i="2"/>
  <c r="V49" i="2"/>
  <c r="P49" i="2"/>
  <c r="X49" i="2"/>
  <c r="AF49" i="2"/>
  <c r="S49" i="2"/>
  <c r="Q49" i="2"/>
  <c r="Y49" i="2"/>
  <c r="AG49" i="2"/>
  <c r="R49" i="2"/>
  <c r="Z49" i="2"/>
  <c r="AH49" i="2"/>
  <c r="AA49" i="2"/>
  <c r="AI49" i="2"/>
  <c r="G49" i="2"/>
  <c r="T49" i="2"/>
  <c r="AB49" i="2"/>
  <c r="H49" i="2"/>
  <c r="U49" i="2"/>
  <c r="Q48" i="2"/>
  <c r="Y48" i="2"/>
  <c r="AG48" i="2"/>
  <c r="P48" i="2"/>
  <c r="X48" i="2"/>
  <c r="AF48" i="2"/>
  <c r="R48" i="2"/>
  <c r="Z48" i="2"/>
  <c r="AH48" i="2"/>
  <c r="S48" i="2"/>
  <c r="AA48" i="2"/>
  <c r="AI48" i="2"/>
  <c r="G48" i="2"/>
  <c r="T48" i="2"/>
  <c r="AB48" i="2"/>
  <c r="H48" i="2"/>
  <c r="U48" i="2"/>
  <c r="AC48" i="2"/>
  <c r="V48" i="2"/>
  <c r="AD48" i="2"/>
  <c r="J48" i="2"/>
  <c r="W48" i="2"/>
  <c r="AI47" i="2"/>
  <c r="R47" i="2"/>
  <c r="S47" i="2"/>
  <c r="V47" i="2"/>
  <c r="Z47" i="2"/>
  <c r="AH47" i="2"/>
  <c r="AA47" i="2"/>
  <c r="AD47" i="2"/>
  <c r="G47" i="2"/>
  <c r="T47" i="2"/>
  <c r="AB47" i="2"/>
  <c r="H47" i="2"/>
  <c r="U47" i="2"/>
  <c r="AC47" i="2"/>
  <c r="J47" i="2"/>
  <c r="W47" i="2"/>
  <c r="AE47" i="2"/>
  <c r="P47" i="2"/>
  <c r="X47" i="2"/>
  <c r="AF47" i="2"/>
  <c r="Q47" i="2"/>
  <c r="Y47" i="2"/>
  <c r="J8" i="2"/>
  <c r="J16" i="2"/>
  <c r="J24" i="2"/>
  <c r="J32" i="2"/>
  <c r="J9" i="2"/>
  <c r="J17" i="2"/>
  <c r="J33" i="2"/>
  <c r="BC33" i="2" s="1"/>
  <c r="J10" i="2"/>
  <c r="BD10" i="2" s="1"/>
  <c r="J18" i="2"/>
  <c r="J26" i="2"/>
  <c r="J34" i="2"/>
  <c r="J11" i="2"/>
  <c r="J19" i="2"/>
  <c r="J27" i="2"/>
  <c r="J35" i="2"/>
  <c r="J12" i="2"/>
  <c r="J20" i="2"/>
  <c r="AZ20" i="2" s="1"/>
  <c r="J28" i="2"/>
  <c r="J36" i="2"/>
  <c r="J5" i="2"/>
  <c r="AX5" i="2" s="1"/>
  <c r="J13" i="2"/>
  <c r="J29" i="2"/>
  <c r="BC29" i="2" s="1"/>
  <c r="J37" i="2"/>
  <c r="J6" i="2"/>
  <c r="J14" i="2"/>
  <c r="J22" i="2"/>
  <c r="J30" i="2"/>
  <c r="U32" i="2"/>
  <c r="J7" i="2"/>
  <c r="J15" i="2"/>
  <c r="AZ15" i="2" s="1"/>
  <c r="J23" i="2"/>
  <c r="J31" i="2"/>
  <c r="J38" i="2"/>
  <c r="T32" i="2"/>
  <c r="AF38" i="2"/>
  <c r="AA32" i="2"/>
  <c r="G2" i="2"/>
  <c r="AB32" i="2"/>
  <c r="AC32" i="2"/>
  <c r="P38" i="2"/>
  <c r="G32" i="2"/>
  <c r="AI32" i="2"/>
  <c r="W38" i="2"/>
  <c r="X38" i="2"/>
  <c r="S32" i="2"/>
  <c r="AE38" i="2"/>
  <c r="Q38" i="2"/>
  <c r="Y38" i="2"/>
  <c r="AG38" i="2"/>
  <c r="H32" i="2"/>
  <c r="V32" i="2"/>
  <c r="AD32" i="2"/>
  <c r="R38" i="2"/>
  <c r="Z38" i="2"/>
  <c r="AH38" i="2"/>
  <c r="W32" i="2"/>
  <c r="AE32" i="2"/>
  <c r="S38" i="2"/>
  <c r="AA38" i="2"/>
  <c r="AI38" i="2"/>
  <c r="F32" i="2" a="1"/>
  <c r="F32" i="2" s="1"/>
  <c r="F42" i="2" s="1" a="1"/>
  <c r="F42" i="2" s="1"/>
  <c r="P32" i="2"/>
  <c r="X32" i="2"/>
  <c r="AF32" i="2"/>
  <c r="T38" i="2"/>
  <c r="AB38" i="2"/>
  <c r="Q32" i="2"/>
  <c r="Y32" i="2"/>
  <c r="AG32" i="2"/>
  <c r="G38" i="2"/>
  <c r="U38" i="2"/>
  <c r="AC38" i="2"/>
  <c r="R32" i="2"/>
  <c r="Z32" i="2"/>
  <c r="H38" i="2"/>
  <c r="V38" i="2"/>
  <c r="P37" i="2"/>
  <c r="X37" i="2"/>
  <c r="AF37" i="2"/>
  <c r="Q37" i="2"/>
  <c r="Y37" i="2"/>
  <c r="AG37" i="2"/>
  <c r="Z37" i="2"/>
  <c r="AH37" i="2"/>
  <c r="R37" i="2"/>
  <c r="S37" i="2"/>
  <c r="AA37" i="2"/>
  <c r="AI37" i="2"/>
  <c r="T37" i="2"/>
  <c r="AB37" i="2"/>
  <c r="G37" i="2"/>
  <c r="U37" i="2"/>
  <c r="AC37" i="2"/>
  <c r="H37" i="2"/>
  <c r="V37" i="2"/>
  <c r="AD37" i="2"/>
  <c r="W37" i="2"/>
  <c r="X36" i="2"/>
  <c r="AD36" i="2"/>
  <c r="AA36" i="2"/>
  <c r="H36" i="2"/>
  <c r="AF36" i="2"/>
  <c r="AI36" i="2"/>
  <c r="P36" i="2"/>
  <c r="S36" i="2"/>
  <c r="V36" i="2"/>
  <c r="W36" i="2"/>
  <c r="AE36" i="2"/>
  <c r="Q36" i="2"/>
  <c r="Y36" i="2"/>
  <c r="AG36" i="2"/>
  <c r="R36" i="2"/>
  <c r="Z36" i="2"/>
  <c r="AH36" i="2"/>
  <c r="T36" i="2"/>
  <c r="AB36" i="2"/>
  <c r="G36" i="2"/>
  <c r="U36" i="2"/>
  <c r="G35" i="2"/>
  <c r="T35" i="2"/>
  <c r="U35" i="2"/>
  <c r="AB35" i="2"/>
  <c r="AC35" i="2"/>
  <c r="H35" i="2"/>
  <c r="V35" i="2"/>
  <c r="AD35" i="2"/>
  <c r="W35" i="2"/>
  <c r="AE35" i="2"/>
  <c r="P35" i="2"/>
  <c r="X35" i="2"/>
  <c r="AF35" i="2"/>
  <c r="Q35" i="2"/>
  <c r="Y35" i="2"/>
  <c r="AG35" i="2"/>
  <c r="R35" i="2"/>
  <c r="Z35" i="2"/>
  <c r="AH35" i="2"/>
  <c r="S35" i="2"/>
  <c r="AA35" i="2"/>
  <c r="G34" i="2"/>
  <c r="AD34" i="2"/>
  <c r="H34" i="2"/>
  <c r="U34" i="2"/>
  <c r="V34" i="2"/>
  <c r="AC34" i="2"/>
  <c r="W34" i="2"/>
  <c r="AE34" i="2"/>
  <c r="P34" i="2"/>
  <c r="X34" i="2"/>
  <c r="AF34" i="2"/>
  <c r="Q34" i="2"/>
  <c r="Y34" i="2"/>
  <c r="AG34" i="2"/>
  <c r="R34" i="2"/>
  <c r="Z34" i="2"/>
  <c r="AH34" i="2"/>
  <c r="S34" i="2"/>
  <c r="AA34" i="2"/>
  <c r="AI34" i="2"/>
  <c r="T34" i="2"/>
  <c r="T33" i="2"/>
  <c r="G33" i="2"/>
  <c r="U33" i="2"/>
  <c r="AB33" i="2"/>
  <c r="AC33" i="2"/>
  <c r="S33" i="2"/>
  <c r="AN33" i="2" s="1"/>
  <c r="AA33" i="2"/>
  <c r="AI33" i="2"/>
  <c r="W33" i="2"/>
  <c r="AE33" i="2"/>
  <c r="V33" i="2"/>
  <c r="P33" i="2"/>
  <c r="X33" i="2"/>
  <c r="AF33" i="2"/>
  <c r="BA33" i="2" s="1"/>
  <c r="H33" i="2"/>
  <c r="Q33" i="2"/>
  <c r="Y33" i="2"/>
  <c r="AG33" i="2"/>
  <c r="AD33" i="2"/>
  <c r="R33" i="2"/>
  <c r="Z33" i="2"/>
  <c r="AG31" i="2"/>
  <c r="G31" i="2"/>
  <c r="Q31" i="2"/>
  <c r="U31" i="2"/>
  <c r="Y31" i="2"/>
  <c r="AC31" i="2"/>
  <c r="S31" i="2"/>
  <c r="AA31" i="2"/>
  <c r="AI31" i="2"/>
  <c r="T31" i="2"/>
  <c r="AB31" i="2"/>
  <c r="H31" i="2"/>
  <c r="V31" i="2"/>
  <c r="AD31" i="2"/>
  <c r="W31" i="2"/>
  <c r="AE31" i="2"/>
  <c r="P31" i="2"/>
  <c r="X31" i="2"/>
  <c r="AF31" i="2"/>
  <c r="R31" i="2"/>
  <c r="Z31" i="2"/>
  <c r="T30" i="2"/>
  <c r="AB30" i="2"/>
  <c r="G30" i="2"/>
  <c r="U30" i="2"/>
  <c r="AC30" i="2"/>
  <c r="H30" i="2"/>
  <c r="V30" i="2"/>
  <c r="AD30" i="2"/>
  <c r="W30" i="2"/>
  <c r="AE30" i="2"/>
  <c r="P30" i="2"/>
  <c r="X30" i="2"/>
  <c r="AF30" i="2"/>
  <c r="Q30" i="2"/>
  <c r="Y30" i="2"/>
  <c r="AG30" i="2"/>
  <c r="R30" i="2"/>
  <c r="Z30" i="2"/>
  <c r="AH30" i="2"/>
  <c r="S30" i="2"/>
  <c r="AA30" i="2"/>
  <c r="S29" i="2"/>
  <c r="T29" i="2"/>
  <c r="AA29" i="2"/>
  <c r="AB29" i="2"/>
  <c r="AI29" i="2"/>
  <c r="G29" i="2"/>
  <c r="U29" i="2"/>
  <c r="AC29" i="2"/>
  <c r="H29" i="2"/>
  <c r="V29" i="2"/>
  <c r="AD29" i="2"/>
  <c r="W29" i="2"/>
  <c r="AE29" i="2"/>
  <c r="P29" i="2"/>
  <c r="X29" i="2"/>
  <c r="AF29" i="2"/>
  <c r="Q29" i="2"/>
  <c r="Y29" i="2"/>
  <c r="AG29" i="2"/>
  <c r="R29" i="2"/>
  <c r="Z29" i="2"/>
  <c r="F5" i="2" a="1"/>
  <c r="F5" i="2" s="1"/>
  <c r="F21" i="2" a="1"/>
  <c r="F21" i="2" s="1"/>
  <c r="F6" i="2" a="1"/>
  <c r="F6" i="2" s="1"/>
  <c r="F12" i="2" a="1"/>
  <c r="F12" i="2" s="1"/>
  <c r="F19" i="2" a="1"/>
  <c r="F19" i="2" s="1"/>
  <c r="F13" i="2" a="1"/>
  <c r="F13" i="2" s="1"/>
  <c r="F20" i="2" a="1"/>
  <c r="F20" i="2" s="1"/>
  <c r="F29" i="2" s="1" a="1"/>
  <c r="F29" i="2" s="1"/>
  <c r="F30" i="2" s="1" a="1"/>
  <c r="F30" i="2" s="1"/>
  <c r="F31" i="2" s="1" a="1"/>
  <c r="F31" i="2" s="1"/>
  <c r="F7" i="2" a="1"/>
  <c r="F7" i="2" s="1"/>
  <c r="F40" i="2" s="1" a="1"/>
  <c r="F40" i="2" s="1"/>
  <c r="F14" i="2" a="1"/>
  <c r="F14" i="2" s="1"/>
  <c r="F24" i="2" s="1" a="1"/>
  <c r="F24" i="2" s="1"/>
  <c r="F18" i="2" a="1"/>
  <c r="F18" i="2" s="1"/>
  <c r="F8" i="2" a="1"/>
  <c r="F8" i="2" s="1"/>
  <c r="F15" i="2" s="1" a="1"/>
  <c r="F15" i="2" s="1"/>
  <c r="F22" i="2" a="1"/>
  <c r="F22" i="2" s="1"/>
  <c r="F9" i="2" a="1"/>
  <c r="F9" i="2" s="1"/>
  <c r="F16" i="2" a="1"/>
  <c r="F16" i="2" s="1"/>
  <c r="F33" i="2" s="1" a="1"/>
  <c r="F33" i="2" s="1"/>
  <c r="F34" i="2" s="1" a="1"/>
  <c r="F34" i="2" s="1"/>
  <c r="F35" i="2" s="1" a="1"/>
  <c r="F35" i="2" s="1"/>
  <c r="F36" i="2" s="1" a="1"/>
  <c r="F36" i="2" s="1"/>
  <c r="F11" i="2" a="1"/>
  <c r="F11" i="2" s="1"/>
  <c r="F10" i="2" a="1"/>
  <c r="F10" i="2" s="1"/>
  <c r="F17" i="2" a="1"/>
  <c r="F17" i="2" s="1"/>
  <c r="F47" i="2" s="1" a="1"/>
  <c r="F47" i="2" s="1"/>
  <c r="F23" i="2" a="1"/>
  <c r="F23" i="2" s="1"/>
  <c r="D41" i="1" a="1"/>
  <c r="D41" i="1" s="1"/>
  <c r="F25" i="2" a="1"/>
  <c r="F25" i="2" s="1"/>
  <c r="D12" i="1" a="1"/>
  <c r="D12" i="1" s="1"/>
  <c r="D19" i="1" a="1"/>
  <c r="D19" i="1" s="1"/>
  <c r="D26" i="1" a="1"/>
  <c r="D26" i="1" s="1"/>
  <c r="D13" i="1" a="1"/>
  <c r="D13" i="1" s="1"/>
  <c r="D20" i="1" a="1"/>
  <c r="D20" i="1" s="1"/>
  <c r="D28" i="1" a="1"/>
  <c r="D28" i="1" s="1"/>
  <c r="D14" i="1" a="1"/>
  <c r="D14" i="1" s="1"/>
  <c r="D21" i="1" a="1"/>
  <c r="D21" i="1" s="1"/>
  <c r="D29" i="1" a="1"/>
  <c r="D29" i="1" s="1"/>
  <c r="D22" i="1" a="1"/>
  <c r="D22" i="1" s="1"/>
  <c r="D30" i="1" a="1"/>
  <c r="D30" i="1" s="1"/>
  <c r="D15" i="1" a="1"/>
  <c r="D15" i="1" s="1"/>
  <c r="D34" i="1" a="1"/>
  <c r="D34" i="1" s="1"/>
  <c r="D16" i="1" a="1"/>
  <c r="D16" i="1" s="1"/>
  <c r="D23" i="1" a="1"/>
  <c r="D23" i="1" s="1"/>
  <c r="D38" i="1" a="1"/>
  <c r="D38" i="1" s="1"/>
  <c r="D17" i="1" a="1"/>
  <c r="D17" i="1" s="1"/>
  <c r="D24" i="1" a="1"/>
  <c r="D24" i="1" s="1"/>
  <c r="D11" i="1" a="1"/>
  <c r="D11" i="1" s="1"/>
  <c r="D18" i="1" a="1"/>
  <c r="D18" i="1" s="1"/>
  <c r="D25" i="1" a="1"/>
  <c r="D25" i="1" s="1"/>
  <c r="D27" i="1" a="1"/>
  <c r="D27" i="1" s="1"/>
  <c r="D31" i="1" a="1"/>
  <c r="D31" i="1" s="1"/>
  <c r="D35" i="1" a="1"/>
  <c r="D35" i="1" s="1"/>
  <c r="D39" i="1" a="1"/>
  <c r="D39" i="1" s="1"/>
  <c r="D32" i="1" a="1"/>
  <c r="D32" i="1" s="1"/>
  <c r="D36" i="1" a="1"/>
  <c r="D36" i="1" s="1"/>
  <c r="D40" i="1" a="1"/>
  <c r="D40" i="1" s="1"/>
  <c r="D33" i="1" a="1"/>
  <c r="D33" i="1" s="1"/>
  <c r="D37" i="1" a="1"/>
  <c r="D37" i="1" s="1"/>
  <c r="D10" i="1" a="1"/>
  <c r="D10" i="1" s="1"/>
  <c r="H8" i="2"/>
  <c r="AA5" i="2"/>
  <c r="AV5" i="2" s="1"/>
  <c r="S7" i="2"/>
  <c r="AE8" i="2"/>
  <c r="AA11" i="2"/>
  <c r="T13" i="2"/>
  <c r="AF14" i="2"/>
  <c r="X16" i="2"/>
  <c r="Q18" i="2"/>
  <c r="P22" i="2"/>
  <c r="AB23" i="2"/>
  <c r="G12" i="2"/>
  <c r="AB5" i="2"/>
  <c r="AW5" i="2" s="1"/>
  <c r="T7" i="2"/>
  <c r="AF8" i="2"/>
  <c r="AI11" i="2"/>
  <c r="AA13" i="2"/>
  <c r="S15" i="2"/>
  <c r="AE16" i="2"/>
  <c r="X18" i="2"/>
  <c r="Q22" i="2"/>
  <c r="AC23" i="2"/>
  <c r="H12" i="2"/>
  <c r="AI5" i="2"/>
  <c r="BD5" i="2" s="1"/>
  <c r="AA7" i="2"/>
  <c r="S9" i="2"/>
  <c r="P12" i="2"/>
  <c r="AB13" i="2"/>
  <c r="T15" i="2"/>
  <c r="AO15" i="2" s="1"/>
  <c r="AF16" i="2"/>
  <c r="Y18" i="2"/>
  <c r="X22" i="2"/>
  <c r="P24" i="2"/>
  <c r="G16" i="2"/>
  <c r="P6" i="2"/>
  <c r="AB7" i="2"/>
  <c r="T9" i="2"/>
  <c r="W12" i="2"/>
  <c r="AI13" i="2"/>
  <c r="AA15" i="2"/>
  <c r="S17" i="2"/>
  <c r="AF18" i="2"/>
  <c r="Y22" i="2"/>
  <c r="Q24" i="2"/>
  <c r="H16" i="2"/>
  <c r="W6" i="2"/>
  <c r="AI7" i="2"/>
  <c r="AA9" i="2"/>
  <c r="X12" i="2"/>
  <c r="P14" i="2"/>
  <c r="AB15" i="2"/>
  <c r="T17" i="2"/>
  <c r="AG18" i="2"/>
  <c r="AF22" i="2"/>
  <c r="X24" i="2"/>
  <c r="G18" i="2"/>
  <c r="X6" i="2"/>
  <c r="P8" i="2"/>
  <c r="AB9" i="2"/>
  <c r="AE12" i="2"/>
  <c r="W14" i="2"/>
  <c r="AI15" i="2"/>
  <c r="AA17" i="2"/>
  <c r="P20" i="2"/>
  <c r="AG22" i="2"/>
  <c r="Y24" i="2"/>
  <c r="H18" i="2"/>
  <c r="S5" i="2"/>
  <c r="AN5" i="2" s="1"/>
  <c r="AE6" i="2"/>
  <c r="W8" i="2"/>
  <c r="AF12" i="2"/>
  <c r="X14" i="2"/>
  <c r="P16" i="2"/>
  <c r="AB17" i="2"/>
  <c r="X20" i="2"/>
  <c r="T23" i="2"/>
  <c r="AF24" i="2"/>
  <c r="G8" i="2"/>
  <c r="T5" i="2"/>
  <c r="AO5" i="2" s="1"/>
  <c r="X8" i="2"/>
  <c r="S11" i="2"/>
  <c r="S13" i="2"/>
  <c r="AE14" i="2"/>
  <c r="W16" i="2"/>
  <c r="AF20" i="2"/>
  <c r="U23" i="2"/>
  <c r="AG24" i="2"/>
  <c r="AH21" i="2"/>
  <c r="Z21" i="2"/>
  <c r="R21" i="2"/>
  <c r="G21" i="2"/>
  <c r="AG21" i="2"/>
  <c r="Y21" i="2"/>
  <c r="Q21" i="2"/>
  <c r="T21" i="2"/>
  <c r="AF21" i="2"/>
  <c r="X21" i="2"/>
  <c r="P21" i="2"/>
  <c r="AE21" i="2"/>
  <c r="W21" i="2"/>
  <c r="AD21" i="2"/>
  <c r="V21" i="2"/>
  <c r="AB21" i="2"/>
  <c r="AI21" i="2"/>
  <c r="AA21" i="2"/>
  <c r="S21" i="2"/>
  <c r="AC21" i="2"/>
  <c r="U21" i="2"/>
  <c r="H21" i="2"/>
  <c r="X10" i="2"/>
  <c r="AB11" i="2"/>
  <c r="AC19" i="2"/>
  <c r="Q20" i="2"/>
  <c r="Y20" i="2"/>
  <c r="H7" i="2"/>
  <c r="H11" i="2"/>
  <c r="H15" i="2"/>
  <c r="H20" i="2"/>
  <c r="H24" i="2"/>
  <c r="R5" i="2"/>
  <c r="AM5" i="2" s="1"/>
  <c r="Z5" i="2"/>
  <c r="AU5" i="2" s="1"/>
  <c r="AH5" i="2"/>
  <c r="BC5" i="2" s="1"/>
  <c r="V6" i="2"/>
  <c r="AD6" i="2"/>
  <c r="R7" i="2"/>
  <c r="Z7" i="2"/>
  <c r="AH7" i="2"/>
  <c r="V8" i="2"/>
  <c r="AD8" i="2"/>
  <c r="R9" i="2"/>
  <c r="Z9" i="2"/>
  <c r="AH9" i="2"/>
  <c r="V10" i="2"/>
  <c r="AD10" i="2"/>
  <c r="R11" i="2"/>
  <c r="Z11" i="2"/>
  <c r="AH11" i="2"/>
  <c r="V12" i="2"/>
  <c r="R13" i="2"/>
  <c r="Z13" i="2"/>
  <c r="AH13" i="2"/>
  <c r="V14" i="2"/>
  <c r="AD14" i="2"/>
  <c r="R15" i="2"/>
  <c r="Z15" i="2"/>
  <c r="AH15" i="2"/>
  <c r="V16" i="2"/>
  <c r="AD16" i="2"/>
  <c r="R17" i="2"/>
  <c r="Z17" i="2"/>
  <c r="AH17" i="2"/>
  <c r="W18" i="2"/>
  <c r="S19" i="2"/>
  <c r="AA19" i="2"/>
  <c r="W20" i="2"/>
  <c r="W22" i="2"/>
  <c r="AE22" i="2"/>
  <c r="S23" i="2"/>
  <c r="AA23" i="2"/>
  <c r="AI23" i="2"/>
  <c r="W24" i="2"/>
  <c r="AE24" i="2"/>
  <c r="G5" i="2"/>
  <c r="G9" i="2"/>
  <c r="G13" i="2"/>
  <c r="G17" i="2"/>
  <c r="G22" i="2"/>
  <c r="U5" i="2"/>
  <c r="AP5" i="2" s="1"/>
  <c r="Q6" i="2"/>
  <c r="Y6" i="2"/>
  <c r="AG6" i="2"/>
  <c r="U7" i="2"/>
  <c r="AC7" i="2"/>
  <c r="Q8" i="2"/>
  <c r="Y8" i="2"/>
  <c r="AG8" i="2"/>
  <c r="U9" i="2"/>
  <c r="AC9" i="2"/>
  <c r="Q10" i="2"/>
  <c r="Y10" i="2"/>
  <c r="AG10" i="2"/>
  <c r="U11" i="2"/>
  <c r="AC11" i="2"/>
  <c r="Q12" i="2"/>
  <c r="Y12" i="2"/>
  <c r="AG12" i="2"/>
  <c r="U13" i="2"/>
  <c r="Q14" i="2"/>
  <c r="Y14" i="2"/>
  <c r="AG14" i="2"/>
  <c r="U15" i="2"/>
  <c r="AC15" i="2"/>
  <c r="Q16" i="2"/>
  <c r="Y16" i="2"/>
  <c r="AG16" i="2"/>
  <c r="U17" i="2"/>
  <c r="AC17" i="2"/>
  <c r="R18" i="2"/>
  <c r="Z18" i="2"/>
  <c r="AH18" i="2"/>
  <c r="V19" i="2"/>
  <c r="AD19" i="2"/>
  <c r="R20" i="2"/>
  <c r="Z20" i="2"/>
  <c r="AH20" i="2"/>
  <c r="R22" i="2"/>
  <c r="Z22" i="2"/>
  <c r="AH22" i="2"/>
  <c r="V23" i="2"/>
  <c r="AD23" i="2"/>
  <c r="R24" i="2"/>
  <c r="Z24" i="2"/>
  <c r="AH24" i="2"/>
  <c r="H5" i="2"/>
  <c r="H9" i="2"/>
  <c r="H13" i="2"/>
  <c r="H17" i="2"/>
  <c r="H22" i="2"/>
  <c r="V5" i="2"/>
  <c r="AQ5" i="2" s="1"/>
  <c r="AD5" i="2"/>
  <c r="AY5" i="2" s="1"/>
  <c r="R6" i="2"/>
  <c r="Z6" i="2"/>
  <c r="AH6" i="2"/>
  <c r="V7" i="2"/>
  <c r="AD7" i="2"/>
  <c r="R8" i="2"/>
  <c r="Z8" i="2"/>
  <c r="AH8" i="2"/>
  <c r="V9" i="2"/>
  <c r="AD9" i="2"/>
  <c r="R10" i="2"/>
  <c r="Z10" i="2"/>
  <c r="AH10" i="2"/>
  <c r="BC10" i="2" s="1"/>
  <c r="BC11" i="2" s="1"/>
  <c r="V11" i="2"/>
  <c r="AD11" i="2"/>
  <c r="R12" i="2"/>
  <c r="Z12" i="2"/>
  <c r="AH12" i="2"/>
  <c r="V13" i="2"/>
  <c r="AD13" i="2"/>
  <c r="R14" i="2"/>
  <c r="Z14" i="2"/>
  <c r="AH14" i="2"/>
  <c r="V15" i="2"/>
  <c r="AD15" i="2"/>
  <c r="AY15" i="2" s="1"/>
  <c r="R16" i="2"/>
  <c r="Z16" i="2"/>
  <c r="AH16" i="2"/>
  <c r="V17" i="2"/>
  <c r="AD17" i="2"/>
  <c r="S18" i="2"/>
  <c r="AA18" i="2"/>
  <c r="AI18" i="2"/>
  <c r="W19" i="2"/>
  <c r="AE19" i="2"/>
  <c r="S20" i="2"/>
  <c r="AA20" i="2"/>
  <c r="AI20" i="2"/>
  <c r="S22" i="2"/>
  <c r="AA22" i="2"/>
  <c r="AI22" i="2"/>
  <c r="W23" i="2"/>
  <c r="AE23" i="2"/>
  <c r="S24" i="2"/>
  <c r="AA24" i="2"/>
  <c r="AI24" i="2"/>
  <c r="G6" i="2"/>
  <c r="G10" i="2"/>
  <c r="G14" i="2"/>
  <c r="G19" i="2"/>
  <c r="G23" i="2"/>
  <c r="P18" i="2"/>
  <c r="W5" i="2"/>
  <c r="AR5" i="2" s="1"/>
  <c r="AE5" i="2"/>
  <c r="AZ5" i="2" s="1"/>
  <c r="S6" i="2"/>
  <c r="AA6" i="2"/>
  <c r="AI6" i="2"/>
  <c r="W7" i="2"/>
  <c r="S8" i="2"/>
  <c r="AA8" i="2"/>
  <c r="AI8" i="2"/>
  <c r="W9" i="2"/>
  <c r="AE9" i="2"/>
  <c r="S10" i="2"/>
  <c r="AA10" i="2"/>
  <c r="W11" i="2"/>
  <c r="AE11" i="2"/>
  <c r="S12" i="2"/>
  <c r="AA12" i="2"/>
  <c r="AI12" i="2"/>
  <c r="W13" i="2"/>
  <c r="AE13" i="2"/>
  <c r="S14" i="2"/>
  <c r="AA14" i="2"/>
  <c r="AI14" i="2"/>
  <c r="W15" i="2"/>
  <c r="S16" i="2"/>
  <c r="AA16" i="2"/>
  <c r="AI16" i="2"/>
  <c r="W17" i="2"/>
  <c r="AE17" i="2"/>
  <c r="T18" i="2"/>
  <c r="AB18" i="2"/>
  <c r="P19" i="2"/>
  <c r="X19" i="2"/>
  <c r="AF19" i="2"/>
  <c r="T20" i="2"/>
  <c r="AB20" i="2"/>
  <c r="T22" i="2"/>
  <c r="P23" i="2"/>
  <c r="X23" i="2"/>
  <c r="T24" i="2"/>
  <c r="AB24" i="2"/>
  <c r="W10" i="2"/>
  <c r="AE10" i="2"/>
  <c r="P10" i="2"/>
  <c r="AF10" i="2"/>
  <c r="T11" i="2"/>
  <c r="U19" i="2"/>
  <c r="AG20" i="2"/>
  <c r="H6" i="2"/>
  <c r="H10" i="2"/>
  <c r="H14" i="2"/>
  <c r="H19" i="2"/>
  <c r="H23" i="2"/>
  <c r="P5" i="2"/>
  <c r="AK5" i="2" s="1"/>
  <c r="X5" i="2"/>
  <c r="AS5" i="2" s="1"/>
  <c r="AF5" i="2"/>
  <c r="BA5" i="2" s="1"/>
  <c r="T6" i="2"/>
  <c r="AB6" i="2"/>
  <c r="P7" i="2"/>
  <c r="X7" i="2"/>
  <c r="AF7" i="2"/>
  <c r="T8" i="2"/>
  <c r="P9" i="2"/>
  <c r="X9" i="2"/>
  <c r="AF9" i="2"/>
  <c r="T10" i="2"/>
  <c r="AB10" i="2"/>
  <c r="P11" i="2"/>
  <c r="X11" i="2"/>
  <c r="T12" i="2"/>
  <c r="AB12" i="2"/>
  <c r="P13" i="2"/>
  <c r="X13" i="2"/>
  <c r="AF13" i="2"/>
  <c r="T14" i="2"/>
  <c r="P15" i="2"/>
  <c r="X15" i="2"/>
  <c r="AS15" i="2" s="1"/>
  <c r="AF15" i="2"/>
  <c r="T16" i="2"/>
  <c r="P17" i="2"/>
  <c r="X17" i="2"/>
  <c r="AF17" i="2"/>
  <c r="U18" i="2"/>
  <c r="AC18" i="2"/>
  <c r="Q19" i="2"/>
  <c r="Y19" i="2"/>
  <c r="AG19" i="2"/>
  <c r="U20" i="2"/>
  <c r="AC20" i="2"/>
  <c r="U22" i="2"/>
  <c r="AC22" i="2"/>
  <c r="Q23" i="2"/>
  <c r="Y23" i="2"/>
  <c r="AG23" i="2"/>
  <c r="U24" i="2"/>
  <c r="T19" i="2"/>
  <c r="AB19" i="2"/>
  <c r="G7" i="2"/>
  <c r="G11" i="2"/>
  <c r="G15" i="2"/>
  <c r="G20" i="2"/>
  <c r="G24" i="2"/>
  <c r="Q5" i="2"/>
  <c r="AL5" i="2" s="1"/>
  <c r="Y5" i="2"/>
  <c r="AT5" i="2" s="1"/>
  <c r="AG5" i="2"/>
  <c r="BB5" i="2" s="1"/>
  <c r="U6" i="2"/>
  <c r="AC6" i="2"/>
  <c r="Q7" i="2"/>
  <c r="Y7" i="2"/>
  <c r="AG7" i="2"/>
  <c r="U8" i="2"/>
  <c r="AC8" i="2"/>
  <c r="Q9" i="2"/>
  <c r="Y9" i="2"/>
  <c r="AG9" i="2"/>
  <c r="U10" i="2"/>
  <c r="AC10" i="2"/>
  <c r="Q11" i="2"/>
  <c r="Y11" i="2"/>
  <c r="AG11" i="2"/>
  <c r="U12" i="2"/>
  <c r="AC12" i="2"/>
  <c r="Q13" i="2"/>
  <c r="Y13" i="2"/>
  <c r="AG13" i="2"/>
  <c r="U14" i="2"/>
  <c r="AC14" i="2"/>
  <c r="Q15" i="2"/>
  <c r="Y15" i="2"/>
  <c r="AG15" i="2"/>
  <c r="U16" i="2"/>
  <c r="AC16" i="2"/>
  <c r="Q17" i="2"/>
  <c r="Y17" i="2"/>
  <c r="AG17" i="2"/>
  <c r="V18" i="2"/>
  <c r="AD18" i="2"/>
  <c r="R19" i="2"/>
  <c r="Z19" i="2"/>
  <c r="AH19" i="2"/>
  <c r="V20" i="2"/>
  <c r="AD20" i="2"/>
  <c r="V22" i="2"/>
  <c r="AD22" i="2"/>
  <c r="R23" i="2"/>
  <c r="Z23" i="2"/>
  <c r="AH23" i="2"/>
  <c r="V24" i="2"/>
  <c r="AD24" i="2"/>
  <c r="G28" i="2"/>
  <c r="P28" i="2"/>
  <c r="X28" i="2"/>
  <c r="AF28" i="2"/>
  <c r="H28" i="2"/>
  <c r="Q28" i="2"/>
  <c r="Y28" i="2"/>
  <c r="AG28" i="2"/>
  <c r="R28" i="2"/>
  <c r="Z28" i="2"/>
  <c r="AH28" i="2"/>
  <c r="S28" i="2"/>
  <c r="AA28" i="2"/>
  <c r="AI28" i="2"/>
  <c r="T28" i="2"/>
  <c r="AB28" i="2"/>
  <c r="U28" i="2"/>
  <c r="AC28" i="2"/>
  <c r="V28" i="2"/>
  <c r="AD28" i="2"/>
  <c r="W28" i="2"/>
  <c r="T27" i="2"/>
  <c r="AB27" i="2"/>
  <c r="U27" i="2"/>
  <c r="AC27" i="2"/>
  <c r="G27" i="2"/>
  <c r="V27" i="2"/>
  <c r="AD27" i="2"/>
  <c r="H27" i="2"/>
  <c r="W27" i="2"/>
  <c r="AE27" i="2"/>
  <c r="P27" i="2"/>
  <c r="X27" i="2"/>
  <c r="AF27" i="2"/>
  <c r="Q27" i="2"/>
  <c r="Y27" i="2"/>
  <c r="AG27" i="2"/>
  <c r="R27" i="2"/>
  <c r="Z27" i="2"/>
  <c r="AH27" i="2"/>
  <c r="S27" i="2"/>
  <c r="AA27" i="2"/>
  <c r="Q26" i="2"/>
  <c r="Y26" i="2"/>
  <c r="AG26" i="2"/>
  <c r="P26" i="2"/>
  <c r="X26" i="2"/>
  <c r="AF26" i="2"/>
  <c r="R26" i="2"/>
  <c r="Z26" i="2"/>
  <c r="AH26" i="2"/>
  <c r="S26" i="2"/>
  <c r="AA26" i="2"/>
  <c r="AI26" i="2"/>
  <c r="G26" i="2"/>
  <c r="T26" i="2"/>
  <c r="AB26" i="2"/>
  <c r="H26" i="2"/>
  <c r="U26" i="2"/>
  <c r="AC26" i="2"/>
  <c r="V26" i="2"/>
  <c r="AD26" i="2"/>
  <c r="W26" i="2"/>
  <c r="AI25" i="2"/>
  <c r="BD25" i="2" s="1"/>
  <c r="AA25" i="2"/>
  <c r="AV25" i="2" s="1"/>
  <c r="S25" i="2"/>
  <c r="AN25" i="2" s="1"/>
  <c r="H25" i="2"/>
  <c r="AC25" i="2"/>
  <c r="AX25" i="2" s="1"/>
  <c r="AH25" i="2"/>
  <c r="BC25" i="2" s="1"/>
  <c r="Z25" i="2"/>
  <c r="AU25" i="2" s="1"/>
  <c r="R25" i="2"/>
  <c r="AM25" i="2" s="1"/>
  <c r="G25" i="2"/>
  <c r="AG25" i="2"/>
  <c r="BB25" i="2" s="1"/>
  <c r="Y25" i="2"/>
  <c r="AT25" i="2" s="1"/>
  <c r="Q25" i="2"/>
  <c r="AL25" i="2" s="1"/>
  <c r="AF25" i="2"/>
  <c r="BA25" i="2" s="1"/>
  <c r="X25" i="2"/>
  <c r="AS25" i="2" s="1"/>
  <c r="P25" i="2"/>
  <c r="AK25" i="2" s="1"/>
  <c r="AK26" i="2" s="1"/>
  <c r="AE25" i="2"/>
  <c r="AZ25" i="2" s="1"/>
  <c r="W25" i="2"/>
  <c r="AR25" i="2" s="1"/>
  <c r="AD25" i="2"/>
  <c r="AY25" i="2" s="1"/>
  <c r="V25" i="2"/>
  <c r="AQ25" i="2" s="1"/>
  <c r="AB25" i="2"/>
  <c r="AW25" i="2" s="1"/>
  <c r="T25" i="2"/>
  <c r="AO25" i="2" s="1"/>
  <c r="U25" i="2"/>
  <c r="AP25" i="2" s="1"/>
  <c r="AA76" i="1"/>
  <c r="AA41" i="1" s="1"/>
  <c r="AA72" i="1"/>
  <c r="AA37" i="1" s="1"/>
  <c r="AA74" i="1"/>
  <c r="AA39" i="1" s="1"/>
  <c r="AA66" i="1"/>
  <c r="AA31" i="1" s="1"/>
  <c r="AA58" i="1"/>
  <c r="AA23" i="1" s="1"/>
  <c r="AA47" i="1"/>
  <c r="AA12" i="1" s="1"/>
  <c r="AA48" i="1"/>
  <c r="AA13" i="1" s="1"/>
  <c r="AA49" i="1"/>
  <c r="AA14" i="1" s="1"/>
  <c r="AA51" i="1"/>
  <c r="AA16" i="1" s="1"/>
  <c r="AA55" i="1"/>
  <c r="AA20" i="1" s="1"/>
  <c r="AA56" i="1"/>
  <c r="AA21" i="1" s="1"/>
  <c r="AA57" i="1"/>
  <c r="AA22" i="1" s="1"/>
  <c r="AA59" i="1"/>
  <c r="AA24" i="1" s="1"/>
  <c r="AA63" i="1"/>
  <c r="AA28" i="1" s="1"/>
  <c r="AA64" i="1"/>
  <c r="AA29" i="1" s="1"/>
  <c r="AA65" i="1"/>
  <c r="AA30" i="1" s="1"/>
  <c r="AA71" i="1"/>
  <c r="AA36" i="1" s="1"/>
  <c r="AA73" i="1"/>
  <c r="AA38" i="1" s="1"/>
  <c r="AA67" i="1"/>
  <c r="AA32" i="1" s="1"/>
  <c r="AA75" i="1"/>
  <c r="AA45" i="1"/>
  <c r="AA10" i="1" s="1"/>
  <c r="AA46" i="1"/>
  <c r="AA11" i="1" s="1"/>
  <c r="AA50" i="1"/>
  <c r="AA15" i="1" s="1"/>
  <c r="AA52" i="1"/>
  <c r="AA17" i="1" s="1"/>
  <c r="AA53" i="1"/>
  <c r="AA18" i="1" s="1"/>
  <c r="AA54" i="1"/>
  <c r="AA19" i="1" s="1"/>
  <c r="AA60" i="1"/>
  <c r="AA25" i="1" s="1"/>
  <c r="AA61" i="1"/>
  <c r="AA26" i="1" s="1"/>
  <c r="AA62" i="1"/>
  <c r="AA27" i="1" s="1"/>
  <c r="AA68" i="1"/>
  <c r="AA33" i="1" s="1"/>
  <c r="AA69" i="1"/>
  <c r="AA34" i="1" s="1"/>
  <c r="AA70" i="1"/>
  <c r="AA35" i="1" s="1"/>
  <c r="AX20" i="2" l="1"/>
  <c r="AV20" i="2"/>
  <c r="AV21" i="2" s="1"/>
  <c r="AL20" i="2"/>
  <c r="AM33" i="2"/>
  <c r="AK33" i="2"/>
  <c r="AW33" i="2"/>
  <c r="AX26" i="2"/>
  <c r="AW51" i="2"/>
  <c r="AL26" i="2"/>
  <c r="AZ26" i="2"/>
  <c r="AY6" i="2"/>
  <c r="AW10" i="2"/>
  <c r="AZ10" i="2"/>
  <c r="AO10" i="2"/>
  <c r="AR10" i="2"/>
  <c r="AM10" i="2"/>
  <c r="BA6" i="2"/>
  <c r="AY10" i="2"/>
  <c r="AS10" i="2"/>
  <c r="AU10" i="2"/>
  <c r="AU11" i="2" s="1"/>
  <c r="AX10" i="2"/>
  <c r="BA10" i="2"/>
  <c r="BA11" i="2" s="1"/>
  <c r="AV10" i="2"/>
  <c r="AV11" i="2" s="1"/>
  <c r="BB10" i="2"/>
  <c r="AQ10" i="2"/>
  <c r="AT51" i="2"/>
  <c r="AP10" i="2"/>
  <c r="AK10" i="2"/>
  <c r="AN10" i="2"/>
  <c r="AT10" i="2"/>
  <c r="AQ6" i="2"/>
  <c r="AL10" i="2"/>
  <c r="AN20" i="2"/>
  <c r="AP20" i="2"/>
  <c r="BB20" i="2"/>
  <c r="AK20" i="2"/>
  <c r="AQ20" i="2"/>
  <c r="BC20" i="2"/>
  <c r="BA20" i="2"/>
  <c r="AU29" i="2"/>
  <c r="AZ29" i="2"/>
  <c r="AY20" i="2"/>
  <c r="AW20" i="2"/>
  <c r="AU20" i="2"/>
  <c r="AO20" i="2"/>
  <c r="AM20" i="2"/>
  <c r="AR20" i="2"/>
  <c r="AS20" i="2"/>
  <c r="BD20" i="2"/>
  <c r="AT20" i="2"/>
  <c r="AQ43" i="2"/>
  <c r="AL33" i="2"/>
  <c r="BD33" i="2"/>
  <c r="AV33" i="2"/>
  <c r="AZ51" i="2"/>
  <c r="AO51" i="2"/>
  <c r="AO52" i="2" s="1"/>
  <c r="AO53" i="2" s="1"/>
  <c r="AO54" i="2" s="1"/>
  <c r="AO55" i="2" s="1"/>
  <c r="AO56" i="2" s="1"/>
  <c r="AO57" i="2" s="1"/>
  <c r="AO58" i="2" s="1"/>
  <c r="AO59" i="2" s="1"/>
  <c r="AO60" i="2" s="1"/>
  <c r="AK47" i="2"/>
  <c r="AM56" i="2"/>
  <c r="AM57" i="2" s="1"/>
  <c r="AM58" i="2" s="1"/>
  <c r="AM59" i="2" s="1"/>
  <c r="AM60" i="2" s="1"/>
  <c r="AM61" i="2" s="1"/>
  <c r="AM62" i="2" s="1"/>
  <c r="AM63" i="2" s="1"/>
  <c r="AM64" i="2" s="1"/>
  <c r="AM65" i="2" s="1"/>
  <c r="AM66" i="2" s="1"/>
  <c r="AM67" i="2" s="1"/>
  <c r="AM68" i="2" s="1"/>
  <c r="AM69" i="2" s="1"/>
  <c r="AM70" i="2" s="1"/>
  <c r="AM71" i="2" s="1"/>
  <c r="AM72" i="2" s="1"/>
  <c r="AM73" i="2" s="1"/>
  <c r="AM74" i="2" s="1"/>
  <c r="AM75" i="2" s="1"/>
  <c r="AM76" i="2" s="1"/>
  <c r="AM77" i="2" s="1"/>
  <c r="AM78" i="2" s="1"/>
  <c r="AM79" i="2" s="1"/>
  <c r="AM80" i="2" s="1"/>
  <c r="AM81" i="2" s="1"/>
  <c r="AM82" i="2" s="1"/>
  <c r="AM83" i="2" s="1"/>
  <c r="AM84" i="2" s="1"/>
  <c r="AM85" i="2" s="1"/>
  <c r="AM86" i="2" s="1"/>
  <c r="AM87" i="2" s="1"/>
  <c r="AM88" i="2" s="1"/>
  <c r="AM89" i="2" s="1"/>
  <c r="AM90" i="2" s="1"/>
  <c r="AM91" i="2" s="1"/>
  <c r="AM92" i="2" s="1"/>
  <c r="AM93" i="2" s="1"/>
  <c r="AM94" i="2" s="1"/>
  <c r="AM95" i="2" s="1"/>
  <c r="AM96" i="2" s="1"/>
  <c r="AM97" i="2" s="1"/>
  <c r="AM98" i="2" s="1"/>
  <c r="AM99" i="2" s="1"/>
  <c r="AM100" i="2" s="1"/>
  <c r="AM101" i="2" s="1"/>
  <c r="AM102" i="2" s="1"/>
  <c r="AM103" i="2" s="1"/>
  <c r="AM104" i="2" s="1"/>
  <c r="AM105" i="2" s="1"/>
  <c r="AM106" i="2" s="1"/>
  <c r="AM107" i="2" s="1"/>
  <c r="AM108" i="2" s="1"/>
  <c r="AM109" i="2" s="1"/>
  <c r="AM110" i="2" s="1"/>
  <c r="AM111" i="2" s="1"/>
  <c r="AM112" i="2" s="1"/>
  <c r="AM113" i="2" s="1"/>
  <c r="AM114" i="2" s="1"/>
  <c r="AM115" i="2" s="1"/>
  <c r="AM116" i="2" s="1"/>
  <c r="AM117" i="2" s="1"/>
  <c r="AM118" i="2" s="1"/>
  <c r="AM119" i="2" s="1"/>
  <c r="AM120" i="2" s="1"/>
  <c r="AM121" i="2" s="1"/>
  <c r="AM122" i="2" s="1"/>
  <c r="AM123" i="2" s="1"/>
  <c r="AM124" i="2" s="1"/>
  <c r="AM125" i="2" s="1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AM455" i="2" s="1"/>
  <c r="AT56" i="2"/>
  <c r="AT57" i="2" s="1"/>
  <c r="AT58" i="2" s="1"/>
  <c r="AT59" i="2" s="1"/>
  <c r="AT60" i="2" s="1"/>
  <c r="AT61" i="2" s="1"/>
  <c r="AT62" i="2" s="1"/>
  <c r="AT63" i="2" s="1"/>
  <c r="AT64" i="2" s="1"/>
  <c r="AT65" i="2" s="1"/>
  <c r="AT66" i="2" s="1"/>
  <c r="AT67" i="2" s="1"/>
  <c r="AT68" i="2" s="1"/>
  <c r="AT69" i="2" s="1"/>
  <c r="AT70" i="2" s="1"/>
  <c r="AT71" i="2" s="1"/>
  <c r="AT72" i="2" s="1"/>
  <c r="AT73" i="2" s="1"/>
  <c r="AT74" i="2" s="1"/>
  <c r="AT75" i="2" s="1"/>
  <c r="AT76" i="2" s="1"/>
  <c r="AT77" i="2" s="1"/>
  <c r="AT78" i="2" s="1"/>
  <c r="AT79" i="2" s="1"/>
  <c r="AT80" i="2" s="1"/>
  <c r="AT81" i="2" s="1"/>
  <c r="AT82" i="2" s="1"/>
  <c r="AT83" i="2" s="1"/>
  <c r="AT84" i="2" s="1"/>
  <c r="AT85" i="2" s="1"/>
  <c r="AT86" i="2" s="1"/>
  <c r="AT87" i="2" s="1"/>
  <c r="AT88" i="2" s="1"/>
  <c r="AT89" i="2" s="1"/>
  <c r="AT90" i="2" s="1"/>
  <c r="AT91" i="2" s="1"/>
  <c r="AT92" i="2" s="1"/>
  <c r="AT93" i="2" s="1"/>
  <c r="AT94" i="2" s="1"/>
  <c r="AT95" i="2" s="1"/>
  <c r="AT96" i="2" s="1"/>
  <c r="AT97" i="2" s="1"/>
  <c r="AT98" i="2" s="1"/>
  <c r="AT99" i="2" s="1"/>
  <c r="AT100" i="2" s="1"/>
  <c r="AT101" i="2" s="1"/>
  <c r="AT102" i="2" s="1"/>
  <c r="AT103" i="2" s="1"/>
  <c r="AT104" i="2" s="1"/>
  <c r="AT105" i="2" s="1"/>
  <c r="AT106" i="2" s="1"/>
  <c r="AT107" i="2" s="1"/>
  <c r="AT108" i="2" s="1"/>
  <c r="AT109" i="2" s="1"/>
  <c r="AT110" i="2" s="1"/>
  <c r="AT111" i="2" s="1"/>
  <c r="AT112" i="2" s="1"/>
  <c r="AT113" i="2" s="1"/>
  <c r="AT114" i="2" s="1"/>
  <c r="AT115" i="2" s="1"/>
  <c r="AT116" i="2" s="1"/>
  <c r="AT117" i="2" s="1"/>
  <c r="AT118" i="2" s="1"/>
  <c r="AT119" i="2" s="1"/>
  <c r="AT120" i="2" s="1"/>
  <c r="AT121" i="2" s="1"/>
  <c r="AT122" i="2" s="1"/>
  <c r="AT123" i="2" s="1"/>
  <c r="AT124" i="2" s="1"/>
  <c r="AT125" i="2" s="1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AT455" i="2" s="1"/>
  <c r="AO61" i="2"/>
  <c r="AO62" i="2" s="1"/>
  <c r="AO63" i="2" s="1"/>
  <c r="AO64" i="2" s="1"/>
  <c r="AO65" i="2" s="1"/>
  <c r="AO66" i="2" s="1"/>
  <c r="AO67" i="2" s="1"/>
  <c r="AO68" i="2" s="1"/>
  <c r="AO69" i="2" s="1"/>
  <c r="AO70" i="2" s="1"/>
  <c r="AO71" i="2" s="1"/>
  <c r="AO72" i="2" s="1"/>
  <c r="AO73" i="2" s="1"/>
  <c r="AO74" i="2" s="1"/>
  <c r="AO75" i="2" s="1"/>
  <c r="AO76" i="2" s="1"/>
  <c r="AO77" i="2" s="1"/>
  <c r="AO78" i="2" s="1"/>
  <c r="AO79" i="2" s="1"/>
  <c r="AO80" i="2" s="1"/>
  <c r="AO81" i="2" s="1"/>
  <c r="AO82" i="2" s="1"/>
  <c r="AO83" i="2" s="1"/>
  <c r="AO84" i="2" s="1"/>
  <c r="AO85" i="2" s="1"/>
  <c r="AO86" i="2" s="1"/>
  <c r="AO87" i="2" s="1"/>
  <c r="AO88" i="2" s="1"/>
  <c r="AO89" i="2" s="1"/>
  <c r="AO90" i="2" s="1"/>
  <c r="AO91" i="2" s="1"/>
  <c r="AO92" i="2" s="1"/>
  <c r="AO93" i="2" s="1"/>
  <c r="AO94" i="2" s="1"/>
  <c r="AO95" i="2" s="1"/>
  <c r="AO96" i="2" s="1"/>
  <c r="AO97" i="2" s="1"/>
  <c r="AO98" i="2" s="1"/>
  <c r="AO99" i="2" s="1"/>
  <c r="AO100" i="2" s="1"/>
  <c r="AO101" i="2" s="1"/>
  <c r="AO102" i="2" s="1"/>
  <c r="AO103" i="2" s="1"/>
  <c r="AO104" i="2" s="1"/>
  <c r="AO105" i="2" s="1"/>
  <c r="AO106" i="2" s="1"/>
  <c r="AO107" i="2" s="1"/>
  <c r="AO108" i="2" s="1"/>
  <c r="AO109" i="2" s="1"/>
  <c r="AO110" i="2" s="1"/>
  <c r="AO111" i="2" s="1"/>
  <c r="AO112" i="2" s="1"/>
  <c r="AO113" i="2" s="1"/>
  <c r="AO114" i="2" s="1"/>
  <c r="AO115" i="2" s="1"/>
  <c r="AO116" i="2" s="1"/>
  <c r="AO117" i="2" s="1"/>
  <c r="AO118" i="2" s="1"/>
  <c r="AO119" i="2" s="1"/>
  <c r="AO120" i="2" s="1"/>
  <c r="AO121" i="2" s="1"/>
  <c r="AO122" i="2" s="1"/>
  <c r="AO123" i="2" s="1"/>
  <c r="AO124" i="2" s="1"/>
  <c r="AO125" i="2" s="1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O455" i="2" s="1"/>
  <c r="AX43" i="2"/>
  <c r="AX44" i="2" s="1"/>
  <c r="AX45" i="2" s="1"/>
  <c r="AX46" i="2" s="1"/>
  <c r="BD29" i="2"/>
  <c r="AN47" i="2"/>
  <c r="BC57" i="2"/>
  <c r="BC58" i="2" s="1"/>
  <c r="BC59" i="2" s="1"/>
  <c r="BC60" i="2" s="1"/>
  <c r="BB51" i="2"/>
  <c r="BB52" i="2" s="1"/>
  <c r="BB53" i="2" s="1"/>
  <c r="BB54" i="2" s="1"/>
  <c r="BB55" i="2" s="1"/>
  <c r="BB56" i="2" s="1"/>
  <c r="BB57" i="2" s="1"/>
  <c r="BB58" i="2" s="1"/>
  <c r="BB59" i="2" s="1"/>
  <c r="BB60" i="2" s="1"/>
  <c r="BB61" i="2" s="1"/>
  <c r="BB62" i="2" s="1"/>
  <c r="BB63" i="2" s="1"/>
  <c r="BB64" i="2" s="1"/>
  <c r="BB65" i="2" s="1"/>
  <c r="BB66" i="2" s="1"/>
  <c r="BB67" i="2" s="1"/>
  <c r="BB68" i="2" s="1"/>
  <c r="BB69" i="2" s="1"/>
  <c r="BB70" i="2" s="1"/>
  <c r="BB71" i="2" s="1"/>
  <c r="BB72" i="2" s="1"/>
  <c r="BB73" i="2" s="1"/>
  <c r="BB74" i="2" s="1"/>
  <c r="BB75" i="2" s="1"/>
  <c r="BB76" i="2" s="1"/>
  <c r="BB77" i="2" s="1"/>
  <c r="BB78" i="2" s="1"/>
  <c r="BB79" i="2" s="1"/>
  <c r="BB80" i="2" s="1"/>
  <c r="BB81" i="2" s="1"/>
  <c r="BB82" i="2" s="1"/>
  <c r="BB83" i="2" s="1"/>
  <c r="BB84" i="2" s="1"/>
  <c r="BB85" i="2" s="1"/>
  <c r="BB86" i="2" s="1"/>
  <c r="BB87" i="2" s="1"/>
  <c r="BB88" i="2" s="1"/>
  <c r="BB89" i="2" s="1"/>
  <c r="BB90" i="2" s="1"/>
  <c r="BB91" i="2" s="1"/>
  <c r="BB92" i="2" s="1"/>
  <c r="BB93" i="2" s="1"/>
  <c r="BB94" i="2" s="1"/>
  <c r="BB95" i="2" s="1"/>
  <c r="BB96" i="2" s="1"/>
  <c r="BB97" i="2" s="1"/>
  <c r="BB98" i="2" s="1"/>
  <c r="BB99" i="2" s="1"/>
  <c r="BB100" i="2" s="1"/>
  <c r="BB101" i="2" s="1"/>
  <c r="BB102" i="2" s="1"/>
  <c r="BB103" i="2" s="1"/>
  <c r="BB104" i="2" s="1"/>
  <c r="BB105" i="2" s="1"/>
  <c r="BB106" i="2" s="1"/>
  <c r="BB107" i="2" s="1"/>
  <c r="BB108" i="2" s="1"/>
  <c r="BB109" i="2" s="1"/>
  <c r="BB110" i="2" s="1"/>
  <c r="BB111" i="2" s="1"/>
  <c r="BB112" i="2" s="1"/>
  <c r="BB113" i="2" s="1"/>
  <c r="BB114" i="2" s="1"/>
  <c r="BB115" i="2" s="1"/>
  <c r="BB116" i="2" s="1"/>
  <c r="BB117" i="2" s="1"/>
  <c r="BB118" i="2" s="1"/>
  <c r="BB119" i="2" s="1"/>
  <c r="BB120" i="2" s="1"/>
  <c r="BB121" i="2" s="1"/>
  <c r="BB122" i="2" s="1"/>
  <c r="BB123" i="2" s="1"/>
  <c r="BB124" i="2" s="1"/>
  <c r="BB125" i="2" s="1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BB455" i="2" s="1"/>
  <c r="AP51" i="2"/>
  <c r="AP52" i="2" s="1"/>
  <c r="AP53" i="2" s="1"/>
  <c r="AP54" i="2" s="1"/>
  <c r="AP55" i="2" s="1"/>
  <c r="AP56" i="2" s="1"/>
  <c r="AP57" i="2" s="1"/>
  <c r="AP58" i="2" s="1"/>
  <c r="AP59" i="2" s="1"/>
  <c r="AP60" i="2" s="1"/>
  <c r="AP61" i="2" s="1"/>
  <c r="AP62" i="2" s="1"/>
  <c r="AP63" i="2" s="1"/>
  <c r="AP64" i="2" s="1"/>
  <c r="AP65" i="2" s="1"/>
  <c r="AP66" i="2" s="1"/>
  <c r="AP67" i="2" s="1"/>
  <c r="AP68" i="2" s="1"/>
  <c r="AP69" i="2" s="1"/>
  <c r="AP70" i="2" s="1"/>
  <c r="AP71" i="2" s="1"/>
  <c r="AP72" i="2" s="1"/>
  <c r="AP73" i="2" s="1"/>
  <c r="AP74" i="2" s="1"/>
  <c r="AP75" i="2" s="1"/>
  <c r="AP76" i="2" s="1"/>
  <c r="AP77" i="2" s="1"/>
  <c r="AP78" i="2" s="1"/>
  <c r="AP79" i="2" s="1"/>
  <c r="AP80" i="2" s="1"/>
  <c r="AP81" i="2" s="1"/>
  <c r="AP82" i="2" s="1"/>
  <c r="AP83" i="2" s="1"/>
  <c r="AP84" i="2" s="1"/>
  <c r="AP85" i="2" s="1"/>
  <c r="AP86" i="2" s="1"/>
  <c r="AP87" i="2" s="1"/>
  <c r="AP88" i="2" s="1"/>
  <c r="AP89" i="2" s="1"/>
  <c r="AP90" i="2" s="1"/>
  <c r="AP91" i="2" s="1"/>
  <c r="AP92" i="2" s="1"/>
  <c r="AP93" i="2" s="1"/>
  <c r="AP94" i="2" s="1"/>
  <c r="AP95" i="2" s="1"/>
  <c r="AP96" i="2" s="1"/>
  <c r="AP97" i="2" s="1"/>
  <c r="AP98" i="2" s="1"/>
  <c r="AP99" i="2" s="1"/>
  <c r="AP100" i="2" s="1"/>
  <c r="AP101" i="2" s="1"/>
  <c r="AP102" i="2" s="1"/>
  <c r="AP103" i="2" s="1"/>
  <c r="AP104" i="2" s="1"/>
  <c r="AP105" i="2" s="1"/>
  <c r="AP106" i="2" s="1"/>
  <c r="AP107" i="2" s="1"/>
  <c r="AP108" i="2" s="1"/>
  <c r="AP109" i="2" s="1"/>
  <c r="AP110" i="2" s="1"/>
  <c r="AP111" i="2" s="1"/>
  <c r="AP112" i="2" s="1"/>
  <c r="AP113" i="2" s="1"/>
  <c r="AP114" i="2" s="1"/>
  <c r="AP115" i="2" s="1"/>
  <c r="AP116" i="2" s="1"/>
  <c r="AP117" i="2" s="1"/>
  <c r="AP118" i="2" s="1"/>
  <c r="AP119" i="2" s="1"/>
  <c r="AP120" i="2" s="1"/>
  <c r="AP121" i="2" s="1"/>
  <c r="AP122" i="2" s="1"/>
  <c r="AP123" i="2" s="1"/>
  <c r="AP124" i="2" s="1"/>
  <c r="AP125" i="2" s="1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AP455" i="2" s="1"/>
  <c r="AM51" i="2"/>
  <c r="AS51" i="2"/>
  <c r="AS52" i="2" s="1"/>
  <c r="AS53" i="2" s="1"/>
  <c r="AS54" i="2" s="1"/>
  <c r="AS55" i="2" s="1"/>
  <c r="AS56" i="2" s="1"/>
  <c r="AS57" i="2" s="1"/>
  <c r="AS58" i="2" s="1"/>
  <c r="AS59" i="2" s="1"/>
  <c r="AS60" i="2" s="1"/>
  <c r="AS61" i="2" s="1"/>
  <c r="AS62" i="2" s="1"/>
  <c r="AS63" i="2" s="1"/>
  <c r="AS64" i="2" s="1"/>
  <c r="AS65" i="2" s="1"/>
  <c r="AS66" i="2" s="1"/>
  <c r="AS67" i="2" s="1"/>
  <c r="AS68" i="2" s="1"/>
  <c r="AS69" i="2" s="1"/>
  <c r="AS70" i="2" s="1"/>
  <c r="AS71" i="2" s="1"/>
  <c r="AS72" i="2" s="1"/>
  <c r="AS73" i="2" s="1"/>
  <c r="AS74" i="2" s="1"/>
  <c r="AS75" i="2" s="1"/>
  <c r="AS76" i="2" s="1"/>
  <c r="AS77" i="2" s="1"/>
  <c r="AS78" i="2" s="1"/>
  <c r="AS79" i="2" s="1"/>
  <c r="AS80" i="2" s="1"/>
  <c r="AS81" i="2" s="1"/>
  <c r="AS82" i="2" s="1"/>
  <c r="AS83" i="2" s="1"/>
  <c r="AS84" i="2" s="1"/>
  <c r="AS85" i="2" s="1"/>
  <c r="AS86" i="2" s="1"/>
  <c r="AS87" i="2" s="1"/>
  <c r="AS88" i="2" s="1"/>
  <c r="AS89" i="2" s="1"/>
  <c r="AS90" i="2" s="1"/>
  <c r="AS91" i="2" s="1"/>
  <c r="AS92" i="2" s="1"/>
  <c r="AS93" i="2" s="1"/>
  <c r="AS94" i="2" s="1"/>
  <c r="AS95" i="2" s="1"/>
  <c r="AS96" i="2" s="1"/>
  <c r="AS97" i="2" s="1"/>
  <c r="AS98" i="2" s="1"/>
  <c r="AS99" i="2" s="1"/>
  <c r="AS100" i="2" s="1"/>
  <c r="AS101" i="2" s="1"/>
  <c r="AS102" i="2" s="1"/>
  <c r="AS103" i="2" s="1"/>
  <c r="AS104" i="2" s="1"/>
  <c r="AS105" i="2" s="1"/>
  <c r="AS106" i="2" s="1"/>
  <c r="AS107" i="2" s="1"/>
  <c r="AS108" i="2" s="1"/>
  <c r="AS109" i="2" s="1"/>
  <c r="AS110" i="2" s="1"/>
  <c r="AS111" i="2" s="1"/>
  <c r="AS112" i="2" s="1"/>
  <c r="AS113" i="2" s="1"/>
  <c r="AS114" i="2" s="1"/>
  <c r="AS115" i="2" s="1"/>
  <c r="AS116" i="2" s="1"/>
  <c r="AS117" i="2" s="1"/>
  <c r="AS118" i="2" s="1"/>
  <c r="AS119" i="2" s="1"/>
  <c r="AS120" i="2" s="1"/>
  <c r="AS121" i="2" s="1"/>
  <c r="AS122" i="2" s="1"/>
  <c r="AS123" i="2" s="1"/>
  <c r="AS124" i="2" s="1"/>
  <c r="AS125" i="2" s="1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S455" i="2" s="1"/>
  <c r="AX15" i="2"/>
  <c r="BA15" i="2"/>
  <c r="BD15" i="2"/>
  <c r="F48" i="2" a="1"/>
  <c r="F48" i="2" s="1"/>
  <c r="F49" i="2" s="1" a="1"/>
  <c r="F49" i="2" s="1"/>
  <c r="F50" i="2" s="1" a="1"/>
  <c r="F50" i="2" s="1"/>
  <c r="AK29" i="2"/>
  <c r="AM29" i="2"/>
  <c r="AM30" i="2" s="1"/>
  <c r="AM31" i="2" s="1"/>
  <c r="AM32" i="2" s="1"/>
  <c r="AR29" i="2"/>
  <c r="AW29" i="2"/>
  <c r="AW30" i="2" s="1"/>
  <c r="AW31" i="2" s="1"/>
  <c r="AW32" i="2" s="1"/>
  <c r="BD51" i="2"/>
  <c r="BD52" i="2" s="1"/>
  <c r="BD53" i="2" s="1"/>
  <c r="BD54" i="2" s="1"/>
  <c r="BD55" i="2" s="1"/>
  <c r="BD56" i="2" s="1"/>
  <c r="BD57" i="2" s="1"/>
  <c r="BD58" i="2" s="1"/>
  <c r="BD59" i="2" s="1"/>
  <c r="BD60" i="2" s="1"/>
  <c r="BD61" i="2" s="1"/>
  <c r="BD62" i="2" s="1"/>
  <c r="BD63" i="2" s="1"/>
  <c r="BD64" i="2" s="1"/>
  <c r="BD65" i="2" s="1"/>
  <c r="BD66" i="2" s="1"/>
  <c r="BD67" i="2" s="1"/>
  <c r="BD68" i="2" s="1"/>
  <c r="BD69" i="2" s="1"/>
  <c r="BD70" i="2" s="1"/>
  <c r="BD71" i="2" s="1"/>
  <c r="BD72" i="2" s="1"/>
  <c r="BD73" i="2" s="1"/>
  <c r="BD74" i="2" s="1"/>
  <c r="BD75" i="2" s="1"/>
  <c r="BD76" i="2" s="1"/>
  <c r="BD77" i="2" s="1"/>
  <c r="BD78" i="2" s="1"/>
  <c r="BD79" i="2" s="1"/>
  <c r="BD80" i="2" s="1"/>
  <c r="BD81" i="2" s="1"/>
  <c r="BD82" i="2" s="1"/>
  <c r="BD83" i="2" s="1"/>
  <c r="BD84" i="2" s="1"/>
  <c r="BD85" i="2" s="1"/>
  <c r="BD86" i="2" s="1"/>
  <c r="BD87" i="2" s="1"/>
  <c r="BD88" i="2" s="1"/>
  <c r="BD89" i="2" s="1"/>
  <c r="BD90" i="2" s="1"/>
  <c r="BD91" i="2" s="1"/>
  <c r="BD92" i="2" s="1"/>
  <c r="BD93" i="2" s="1"/>
  <c r="BD94" i="2" s="1"/>
  <c r="BD95" i="2" s="1"/>
  <c r="BD96" i="2" s="1"/>
  <c r="BD97" i="2" s="1"/>
  <c r="BD98" i="2" s="1"/>
  <c r="BD99" i="2" s="1"/>
  <c r="BD100" i="2" s="1"/>
  <c r="BD101" i="2" s="1"/>
  <c r="BD102" i="2" s="1"/>
  <c r="BD103" i="2" s="1"/>
  <c r="BD104" i="2" s="1"/>
  <c r="BD105" i="2" s="1"/>
  <c r="BD106" i="2" s="1"/>
  <c r="BD107" i="2" s="1"/>
  <c r="BD108" i="2" s="1"/>
  <c r="BD109" i="2" s="1"/>
  <c r="BD110" i="2" s="1"/>
  <c r="BD111" i="2" s="1"/>
  <c r="BD112" i="2" s="1"/>
  <c r="BD113" i="2" s="1"/>
  <c r="BD114" i="2" s="1"/>
  <c r="BD115" i="2" s="1"/>
  <c r="BD116" i="2" s="1"/>
  <c r="BD117" i="2" s="1"/>
  <c r="BD118" i="2" s="1"/>
  <c r="BD119" i="2" s="1"/>
  <c r="BD120" i="2" s="1"/>
  <c r="BD121" i="2" s="1"/>
  <c r="BD122" i="2" s="1"/>
  <c r="BD123" i="2" s="1"/>
  <c r="BD124" i="2" s="1"/>
  <c r="BD125" i="2" s="1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BD455" i="2" s="1"/>
  <c r="AK15" i="2"/>
  <c r="AW15" i="2"/>
  <c r="AW16" i="2" s="1"/>
  <c r="F37" i="2" a="1"/>
  <c r="F37" i="2" s="1"/>
  <c r="BB29" i="2"/>
  <c r="BB30" i="2" s="1"/>
  <c r="BB31" i="2" s="1"/>
  <c r="BB32" i="2" s="1"/>
  <c r="AY29" i="2"/>
  <c r="AY30" i="2" s="1"/>
  <c r="AY31" i="2" s="1"/>
  <c r="AY32" i="2" s="1"/>
  <c r="AV29" i="2"/>
  <c r="BB15" i="2"/>
  <c r="BB16" i="2" s="1"/>
  <c r="BB17" i="2" s="1"/>
  <c r="BB18" i="2" s="1"/>
  <c r="BB19" i="2" s="1"/>
  <c r="AN15" i="2"/>
  <c r="AT29" i="2"/>
  <c r="AT30" i="2" s="1"/>
  <c r="AT31" i="2" s="1"/>
  <c r="AT32" i="2" s="1"/>
  <c r="AQ29" i="2"/>
  <c r="AO29" i="2"/>
  <c r="AZ27" i="2"/>
  <c r="AZ28" i="2" s="1"/>
  <c r="AQ15" i="2"/>
  <c r="AQ16" i="2" s="1"/>
  <c r="AQ17" i="2" s="1"/>
  <c r="AQ18" i="2" s="1"/>
  <c r="AQ19" i="2" s="1"/>
  <c r="BC15" i="2"/>
  <c r="AT15" i="2"/>
  <c r="AT16" i="2" s="1"/>
  <c r="AT17" i="2" s="1"/>
  <c r="AT18" i="2" s="1"/>
  <c r="AT19" i="2" s="1"/>
  <c r="AU15" i="2"/>
  <c r="AU16" i="2" s="1"/>
  <c r="AU17" i="2" s="1"/>
  <c r="AU18" i="2" s="1"/>
  <c r="AU19" i="2" s="1"/>
  <c r="AL29" i="2"/>
  <c r="AL30" i="2" s="1"/>
  <c r="AL31" i="2" s="1"/>
  <c r="AN29" i="2"/>
  <c r="BC61" i="2"/>
  <c r="BC62" i="2" s="1"/>
  <c r="BC63" i="2" s="1"/>
  <c r="BC64" i="2" s="1"/>
  <c r="BC65" i="2" s="1"/>
  <c r="BC66" i="2" s="1"/>
  <c r="BC67" i="2" s="1"/>
  <c r="BC68" i="2" s="1"/>
  <c r="BC69" i="2" s="1"/>
  <c r="BC70" i="2" s="1"/>
  <c r="BC71" i="2" s="1"/>
  <c r="BC72" i="2" s="1"/>
  <c r="BC73" i="2" s="1"/>
  <c r="BC74" i="2" s="1"/>
  <c r="BC75" i="2" s="1"/>
  <c r="BC76" i="2" s="1"/>
  <c r="BC77" i="2" s="1"/>
  <c r="BC78" i="2" s="1"/>
  <c r="BC79" i="2" s="1"/>
  <c r="BC80" i="2" s="1"/>
  <c r="BC81" i="2" s="1"/>
  <c r="BC82" i="2" s="1"/>
  <c r="BC83" i="2" s="1"/>
  <c r="BC84" i="2" s="1"/>
  <c r="BC85" i="2" s="1"/>
  <c r="BC86" i="2" s="1"/>
  <c r="BC87" i="2" s="1"/>
  <c r="BC88" i="2" s="1"/>
  <c r="BC89" i="2" s="1"/>
  <c r="BC90" i="2" s="1"/>
  <c r="BC91" i="2" s="1"/>
  <c r="BC92" i="2" s="1"/>
  <c r="BC93" i="2" s="1"/>
  <c r="BC94" i="2" s="1"/>
  <c r="BC95" i="2" s="1"/>
  <c r="BC96" i="2" s="1"/>
  <c r="BC97" i="2" s="1"/>
  <c r="BC98" i="2" s="1"/>
  <c r="BC99" i="2" s="1"/>
  <c r="BC100" i="2" s="1"/>
  <c r="BC101" i="2" s="1"/>
  <c r="BC102" i="2" s="1"/>
  <c r="BC103" i="2" s="1"/>
  <c r="BC104" i="2" s="1"/>
  <c r="BC105" i="2" s="1"/>
  <c r="BC106" i="2" s="1"/>
  <c r="BC107" i="2" s="1"/>
  <c r="BC108" i="2" s="1"/>
  <c r="BC109" i="2" s="1"/>
  <c r="BC110" i="2" s="1"/>
  <c r="BC111" i="2" s="1"/>
  <c r="BC112" i="2" s="1"/>
  <c r="BC113" i="2" s="1"/>
  <c r="BC114" i="2" s="1"/>
  <c r="BC115" i="2" s="1"/>
  <c r="BC116" i="2" s="1"/>
  <c r="BC117" i="2" s="1"/>
  <c r="BC118" i="2" s="1"/>
  <c r="BC119" i="2" s="1"/>
  <c r="BC120" i="2" s="1"/>
  <c r="BC121" i="2" s="1"/>
  <c r="BC122" i="2" s="1"/>
  <c r="BC123" i="2" s="1"/>
  <c r="BC124" i="2" s="1"/>
  <c r="BC125" i="2" s="1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BC455" i="2" s="1"/>
  <c r="AQ51" i="2"/>
  <c r="AQ52" i="2" s="1"/>
  <c r="AQ53" i="2" s="1"/>
  <c r="AQ54" i="2" s="1"/>
  <c r="AQ55" i="2" s="1"/>
  <c r="AQ56" i="2" s="1"/>
  <c r="AQ57" i="2" s="1"/>
  <c r="AQ58" i="2" s="1"/>
  <c r="AQ59" i="2" s="1"/>
  <c r="AQ60" i="2" s="1"/>
  <c r="AQ61" i="2" s="1"/>
  <c r="AQ62" i="2" s="1"/>
  <c r="AQ63" i="2" s="1"/>
  <c r="AQ64" i="2" s="1"/>
  <c r="AQ65" i="2" s="1"/>
  <c r="AQ66" i="2" s="1"/>
  <c r="AQ67" i="2" s="1"/>
  <c r="AQ68" i="2" s="1"/>
  <c r="AQ69" i="2" s="1"/>
  <c r="AQ70" i="2" s="1"/>
  <c r="AQ71" i="2" s="1"/>
  <c r="AQ72" i="2" s="1"/>
  <c r="AQ73" i="2" s="1"/>
  <c r="AQ74" i="2" s="1"/>
  <c r="AQ75" i="2" s="1"/>
  <c r="AQ76" i="2" s="1"/>
  <c r="AQ77" i="2" s="1"/>
  <c r="AQ78" i="2" s="1"/>
  <c r="AQ79" i="2" s="1"/>
  <c r="AQ80" i="2" s="1"/>
  <c r="AQ81" i="2" s="1"/>
  <c r="AQ82" i="2" s="1"/>
  <c r="AQ83" i="2" s="1"/>
  <c r="AQ84" i="2" s="1"/>
  <c r="AQ85" i="2" s="1"/>
  <c r="AQ86" i="2" s="1"/>
  <c r="AQ87" i="2" s="1"/>
  <c r="AQ88" i="2" s="1"/>
  <c r="AQ89" i="2" s="1"/>
  <c r="AQ90" i="2" s="1"/>
  <c r="AQ91" i="2" s="1"/>
  <c r="AQ92" i="2" s="1"/>
  <c r="AQ93" i="2" s="1"/>
  <c r="AQ94" i="2" s="1"/>
  <c r="AQ95" i="2" s="1"/>
  <c r="AQ96" i="2" s="1"/>
  <c r="AQ97" i="2" s="1"/>
  <c r="AQ98" i="2" s="1"/>
  <c r="AQ99" i="2" s="1"/>
  <c r="AQ100" i="2" s="1"/>
  <c r="AQ101" i="2" s="1"/>
  <c r="AQ102" i="2" s="1"/>
  <c r="AQ103" i="2" s="1"/>
  <c r="AQ104" i="2" s="1"/>
  <c r="AQ105" i="2" s="1"/>
  <c r="AQ106" i="2" s="1"/>
  <c r="AQ107" i="2" s="1"/>
  <c r="AQ108" i="2" s="1"/>
  <c r="AQ109" i="2" s="1"/>
  <c r="AQ110" i="2" s="1"/>
  <c r="AQ111" i="2" s="1"/>
  <c r="AQ112" i="2" s="1"/>
  <c r="AQ113" i="2" s="1"/>
  <c r="AQ114" i="2" s="1"/>
  <c r="AQ115" i="2" s="1"/>
  <c r="AQ116" i="2" s="1"/>
  <c r="AQ117" i="2" s="1"/>
  <c r="AQ118" i="2" s="1"/>
  <c r="AQ119" i="2" s="1"/>
  <c r="AQ120" i="2" s="1"/>
  <c r="AQ121" i="2" s="1"/>
  <c r="AQ122" i="2" s="1"/>
  <c r="AQ123" i="2" s="1"/>
  <c r="AQ124" i="2" s="1"/>
  <c r="AQ125" i="2" s="1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Q455" i="2" s="1"/>
  <c r="AN51" i="2"/>
  <c r="AN52" i="2" s="1"/>
  <c r="AN53" i="2" s="1"/>
  <c r="AN54" i="2" s="1"/>
  <c r="AN55" i="2" s="1"/>
  <c r="AN56" i="2" s="1"/>
  <c r="AN57" i="2" s="1"/>
  <c r="AN58" i="2" s="1"/>
  <c r="AN59" i="2" s="1"/>
  <c r="AN60" i="2" s="1"/>
  <c r="AN61" i="2" s="1"/>
  <c r="AN62" i="2" s="1"/>
  <c r="AN63" i="2" s="1"/>
  <c r="AN64" i="2" s="1"/>
  <c r="AN65" i="2" s="1"/>
  <c r="AN66" i="2" s="1"/>
  <c r="AN67" i="2" s="1"/>
  <c r="AN68" i="2" s="1"/>
  <c r="AN69" i="2" s="1"/>
  <c r="AN70" i="2" s="1"/>
  <c r="AN71" i="2" s="1"/>
  <c r="AN72" i="2" s="1"/>
  <c r="AN73" i="2" s="1"/>
  <c r="AN74" i="2" s="1"/>
  <c r="AN75" i="2" s="1"/>
  <c r="AN76" i="2" s="1"/>
  <c r="AN77" i="2" s="1"/>
  <c r="AN78" i="2" s="1"/>
  <c r="AN79" i="2" s="1"/>
  <c r="AN80" i="2" s="1"/>
  <c r="AN81" i="2" s="1"/>
  <c r="AN82" i="2" s="1"/>
  <c r="AN83" i="2" s="1"/>
  <c r="AN84" i="2" s="1"/>
  <c r="AN85" i="2" s="1"/>
  <c r="AN86" i="2" s="1"/>
  <c r="AN87" i="2" s="1"/>
  <c r="AN88" i="2" s="1"/>
  <c r="AN89" i="2" s="1"/>
  <c r="AN90" i="2" s="1"/>
  <c r="AN91" i="2" s="1"/>
  <c r="AN92" i="2" s="1"/>
  <c r="AN93" i="2" s="1"/>
  <c r="AN94" i="2" s="1"/>
  <c r="AN95" i="2" s="1"/>
  <c r="AN96" i="2" s="1"/>
  <c r="AN97" i="2" s="1"/>
  <c r="AN98" i="2" s="1"/>
  <c r="AN99" i="2" s="1"/>
  <c r="AN100" i="2" s="1"/>
  <c r="AN101" i="2" s="1"/>
  <c r="AN102" i="2" s="1"/>
  <c r="AN103" i="2" s="1"/>
  <c r="AN104" i="2" s="1"/>
  <c r="AN105" i="2" s="1"/>
  <c r="AN106" i="2" s="1"/>
  <c r="AN107" i="2" s="1"/>
  <c r="AN108" i="2" s="1"/>
  <c r="AN109" i="2" s="1"/>
  <c r="AN110" i="2" s="1"/>
  <c r="AN111" i="2" s="1"/>
  <c r="AN112" i="2" s="1"/>
  <c r="AN113" i="2" s="1"/>
  <c r="AN114" i="2" s="1"/>
  <c r="AN115" i="2" s="1"/>
  <c r="AN116" i="2" s="1"/>
  <c r="AN117" i="2" s="1"/>
  <c r="AN118" i="2" s="1"/>
  <c r="AN119" i="2" s="1"/>
  <c r="AN120" i="2" s="1"/>
  <c r="AN121" i="2" s="1"/>
  <c r="AN122" i="2" s="1"/>
  <c r="AN123" i="2" s="1"/>
  <c r="AN124" i="2" s="1"/>
  <c r="AN125" i="2" s="1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N455" i="2" s="1"/>
  <c r="AL15" i="2"/>
  <c r="BA29" i="2"/>
  <c r="BA30" i="2" s="1"/>
  <c r="BA31" i="2" s="1"/>
  <c r="BA32" i="2" s="1"/>
  <c r="AX29" i="2"/>
  <c r="AX30" i="2" s="1"/>
  <c r="AX31" i="2" s="1"/>
  <c r="AX32" i="2" s="1"/>
  <c r="AQ44" i="2"/>
  <c r="AQ45" i="2" s="1"/>
  <c r="AQ46" i="2" s="1"/>
  <c r="AR51" i="2"/>
  <c r="AR52" i="2" s="1"/>
  <c r="AR53" i="2" s="1"/>
  <c r="AR54" i="2" s="1"/>
  <c r="AR55" i="2" s="1"/>
  <c r="AR56" i="2" s="1"/>
  <c r="AR57" i="2" s="1"/>
  <c r="AR58" i="2" s="1"/>
  <c r="AR59" i="2" s="1"/>
  <c r="AR60" i="2" s="1"/>
  <c r="AR61" i="2" s="1"/>
  <c r="AR62" i="2" s="1"/>
  <c r="AR63" i="2" s="1"/>
  <c r="AR64" i="2" s="1"/>
  <c r="AR65" i="2" s="1"/>
  <c r="AR66" i="2" s="1"/>
  <c r="AR67" i="2" s="1"/>
  <c r="AR68" i="2" s="1"/>
  <c r="AR69" i="2" s="1"/>
  <c r="AR70" i="2" s="1"/>
  <c r="AR71" i="2" s="1"/>
  <c r="AR72" i="2" s="1"/>
  <c r="AR73" i="2" s="1"/>
  <c r="AR74" i="2" s="1"/>
  <c r="AR75" i="2" s="1"/>
  <c r="AR76" i="2" s="1"/>
  <c r="AR77" i="2" s="1"/>
  <c r="AR78" i="2" s="1"/>
  <c r="AR79" i="2" s="1"/>
  <c r="AR80" i="2" s="1"/>
  <c r="AR81" i="2" s="1"/>
  <c r="AR82" i="2" s="1"/>
  <c r="AR83" i="2" s="1"/>
  <c r="AR84" i="2" s="1"/>
  <c r="AR85" i="2" s="1"/>
  <c r="AR86" i="2" s="1"/>
  <c r="AR87" i="2" s="1"/>
  <c r="AR88" i="2" s="1"/>
  <c r="AR89" i="2" s="1"/>
  <c r="AR90" i="2" s="1"/>
  <c r="AR91" i="2" s="1"/>
  <c r="AR92" i="2" s="1"/>
  <c r="AR93" i="2" s="1"/>
  <c r="AR94" i="2" s="1"/>
  <c r="AR95" i="2" s="1"/>
  <c r="AR96" i="2" s="1"/>
  <c r="AR97" i="2" s="1"/>
  <c r="AR98" i="2" s="1"/>
  <c r="AR99" i="2" s="1"/>
  <c r="AR100" i="2" s="1"/>
  <c r="AR101" i="2" s="1"/>
  <c r="AR102" i="2" s="1"/>
  <c r="AR103" i="2" s="1"/>
  <c r="AR104" i="2" s="1"/>
  <c r="AR105" i="2" s="1"/>
  <c r="AR106" i="2" s="1"/>
  <c r="AR107" i="2" s="1"/>
  <c r="AR108" i="2" s="1"/>
  <c r="AR109" i="2" s="1"/>
  <c r="AR110" i="2" s="1"/>
  <c r="AR111" i="2" s="1"/>
  <c r="AR112" i="2" s="1"/>
  <c r="AR113" i="2" s="1"/>
  <c r="AR114" i="2" s="1"/>
  <c r="AR115" i="2" s="1"/>
  <c r="AR116" i="2" s="1"/>
  <c r="AR117" i="2" s="1"/>
  <c r="AR118" i="2" s="1"/>
  <c r="AR119" i="2" s="1"/>
  <c r="AR120" i="2" s="1"/>
  <c r="AR121" i="2" s="1"/>
  <c r="AR122" i="2" s="1"/>
  <c r="AR123" i="2" s="1"/>
  <c r="AR124" i="2" s="1"/>
  <c r="AR125" i="2" s="1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R455" i="2" s="1"/>
  <c r="BC51" i="2"/>
  <c r="BC52" i="2" s="1"/>
  <c r="BC53" i="2" s="1"/>
  <c r="BC54" i="2" s="1"/>
  <c r="BC55" i="2" s="1"/>
  <c r="AL27" i="2"/>
  <c r="AL28" i="2" s="1"/>
  <c r="AR15" i="2"/>
  <c r="AR16" i="2" s="1"/>
  <c r="AR17" i="2" s="1"/>
  <c r="AR18" i="2" s="1"/>
  <c r="AR19" i="2" s="1"/>
  <c r="AM15" i="2"/>
  <c r="AV15" i="2"/>
  <c r="AV16" i="2" s="1"/>
  <c r="AV17" i="2" s="1"/>
  <c r="AV18" i="2" s="1"/>
  <c r="AV19" i="2" s="1"/>
  <c r="AP15" i="2"/>
  <c r="AS29" i="2"/>
  <c r="AP29" i="2"/>
  <c r="AT52" i="2"/>
  <c r="AT53" i="2" s="1"/>
  <c r="AT54" i="2" s="1"/>
  <c r="AT55" i="2" s="1"/>
  <c r="AM52" i="2"/>
  <c r="AM53" i="2" s="1"/>
  <c r="AM54" i="2" s="1"/>
  <c r="AM55" i="2" s="1"/>
  <c r="AZ52" i="2"/>
  <c r="AZ53" i="2" s="1"/>
  <c r="AZ54" i="2" s="1"/>
  <c r="AZ55" i="2" s="1"/>
  <c r="AZ56" i="2" s="1"/>
  <c r="AZ57" i="2" s="1"/>
  <c r="AZ58" i="2" s="1"/>
  <c r="AZ59" i="2" s="1"/>
  <c r="AZ60" i="2" s="1"/>
  <c r="AZ61" i="2" s="1"/>
  <c r="AZ62" i="2" s="1"/>
  <c r="AZ63" i="2" s="1"/>
  <c r="AZ64" i="2" s="1"/>
  <c r="AZ65" i="2" s="1"/>
  <c r="AZ66" i="2" s="1"/>
  <c r="AZ67" i="2" s="1"/>
  <c r="AZ68" i="2" s="1"/>
  <c r="AZ69" i="2" s="1"/>
  <c r="AZ70" i="2" s="1"/>
  <c r="AZ71" i="2" s="1"/>
  <c r="AZ72" i="2" s="1"/>
  <c r="AZ73" i="2" s="1"/>
  <c r="AZ74" i="2" s="1"/>
  <c r="AZ75" i="2" s="1"/>
  <c r="AZ76" i="2" s="1"/>
  <c r="AZ77" i="2" s="1"/>
  <c r="AZ78" i="2" s="1"/>
  <c r="AZ79" i="2" s="1"/>
  <c r="AZ80" i="2" s="1"/>
  <c r="AZ81" i="2" s="1"/>
  <c r="AZ82" i="2" s="1"/>
  <c r="AZ83" i="2" s="1"/>
  <c r="AZ84" i="2" s="1"/>
  <c r="AZ85" i="2" s="1"/>
  <c r="AZ86" i="2" s="1"/>
  <c r="AZ87" i="2" s="1"/>
  <c r="AZ88" i="2" s="1"/>
  <c r="AZ89" i="2" s="1"/>
  <c r="AZ90" i="2" s="1"/>
  <c r="AZ91" i="2" s="1"/>
  <c r="AZ92" i="2" s="1"/>
  <c r="AZ93" i="2" s="1"/>
  <c r="AZ94" i="2" s="1"/>
  <c r="AZ95" i="2" s="1"/>
  <c r="AZ96" i="2" s="1"/>
  <c r="AZ97" i="2" s="1"/>
  <c r="AZ98" i="2" s="1"/>
  <c r="AZ99" i="2" s="1"/>
  <c r="AZ100" i="2" s="1"/>
  <c r="AZ101" i="2" s="1"/>
  <c r="AZ102" i="2" s="1"/>
  <c r="AZ103" i="2" s="1"/>
  <c r="AZ104" i="2" s="1"/>
  <c r="AZ105" i="2" s="1"/>
  <c r="AZ106" i="2" s="1"/>
  <c r="AZ107" i="2" s="1"/>
  <c r="AZ108" i="2" s="1"/>
  <c r="AZ109" i="2" s="1"/>
  <c r="AZ110" i="2" s="1"/>
  <c r="AZ111" i="2" s="1"/>
  <c r="AZ112" i="2" s="1"/>
  <c r="AZ113" i="2" s="1"/>
  <c r="AZ114" i="2" s="1"/>
  <c r="AZ115" i="2" s="1"/>
  <c r="AZ116" i="2" s="1"/>
  <c r="AZ117" i="2" s="1"/>
  <c r="AZ118" i="2" s="1"/>
  <c r="AZ119" i="2" s="1"/>
  <c r="AZ120" i="2" s="1"/>
  <c r="AZ121" i="2" s="1"/>
  <c r="AZ122" i="2" s="1"/>
  <c r="AZ123" i="2" s="1"/>
  <c r="AZ124" i="2" s="1"/>
  <c r="AZ125" i="2" s="1"/>
  <c r="AZ126" i="2" s="1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Z455" i="2" s="1"/>
  <c r="AW52" i="2"/>
  <c r="AW53" i="2" s="1"/>
  <c r="AW54" i="2" s="1"/>
  <c r="AW55" i="2" s="1"/>
  <c r="AW56" i="2" s="1"/>
  <c r="AW57" i="2" s="1"/>
  <c r="AW58" i="2" s="1"/>
  <c r="AW59" i="2" s="1"/>
  <c r="AW60" i="2" s="1"/>
  <c r="AW61" i="2" s="1"/>
  <c r="AW62" i="2" s="1"/>
  <c r="AW63" i="2" s="1"/>
  <c r="AW64" i="2" s="1"/>
  <c r="AW65" i="2" s="1"/>
  <c r="AW66" i="2" s="1"/>
  <c r="AW67" i="2" s="1"/>
  <c r="AW68" i="2" s="1"/>
  <c r="AW69" i="2" s="1"/>
  <c r="AW70" i="2" s="1"/>
  <c r="AW71" i="2" s="1"/>
  <c r="AW72" i="2" s="1"/>
  <c r="AW73" i="2" s="1"/>
  <c r="AW74" i="2" s="1"/>
  <c r="AW75" i="2" s="1"/>
  <c r="AW76" i="2" s="1"/>
  <c r="AW77" i="2" s="1"/>
  <c r="AW78" i="2" s="1"/>
  <c r="AW79" i="2" s="1"/>
  <c r="AW80" i="2" s="1"/>
  <c r="AW81" i="2" s="1"/>
  <c r="AW82" i="2" s="1"/>
  <c r="AW83" i="2" s="1"/>
  <c r="AW84" i="2" s="1"/>
  <c r="AW85" i="2" s="1"/>
  <c r="AW86" i="2" s="1"/>
  <c r="AW87" i="2" s="1"/>
  <c r="AW88" i="2" s="1"/>
  <c r="AW89" i="2" s="1"/>
  <c r="AW90" i="2" s="1"/>
  <c r="AW91" i="2" s="1"/>
  <c r="AW92" i="2" s="1"/>
  <c r="AW93" i="2" s="1"/>
  <c r="AW94" i="2" s="1"/>
  <c r="AW95" i="2" s="1"/>
  <c r="AW96" i="2" s="1"/>
  <c r="AW97" i="2" s="1"/>
  <c r="AW98" i="2" s="1"/>
  <c r="AW99" i="2" s="1"/>
  <c r="AW100" i="2" s="1"/>
  <c r="AW101" i="2" s="1"/>
  <c r="AW102" i="2" s="1"/>
  <c r="AW103" i="2" s="1"/>
  <c r="AW104" i="2" s="1"/>
  <c r="AW105" i="2" s="1"/>
  <c r="AW106" i="2" s="1"/>
  <c r="AW107" i="2" s="1"/>
  <c r="AW108" i="2" s="1"/>
  <c r="AW109" i="2" s="1"/>
  <c r="AW110" i="2" s="1"/>
  <c r="AW111" i="2" s="1"/>
  <c r="AW112" i="2" s="1"/>
  <c r="AW113" i="2" s="1"/>
  <c r="AW114" i="2" s="1"/>
  <c r="AW115" i="2" s="1"/>
  <c r="AW116" i="2" s="1"/>
  <c r="AW117" i="2" s="1"/>
  <c r="AW118" i="2" s="1"/>
  <c r="AW119" i="2" s="1"/>
  <c r="AW120" i="2" s="1"/>
  <c r="AW121" i="2" s="1"/>
  <c r="AW122" i="2" s="1"/>
  <c r="AW123" i="2" s="1"/>
  <c r="AW124" i="2" s="1"/>
  <c r="AW125" i="2" s="1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W455" i="2" s="1"/>
  <c r="AY51" i="2"/>
  <c r="AY52" i="2" s="1"/>
  <c r="AY53" i="2" s="1"/>
  <c r="AY54" i="2" s="1"/>
  <c r="AY55" i="2" s="1"/>
  <c r="AY56" i="2" s="1"/>
  <c r="AY57" i="2" s="1"/>
  <c r="AY58" i="2" s="1"/>
  <c r="AY59" i="2" s="1"/>
  <c r="AY60" i="2" s="1"/>
  <c r="AY61" i="2" s="1"/>
  <c r="AY62" i="2" s="1"/>
  <c r="AY63" i="2" s="1"/>
  <c r="AY64" i="2" s="1"/>
  <c r="AY65" i="2" s="1"/>
  <c r="AY66" i="2" s="1"/>
  <c r="AY67" i="2" s="1"/>
  <c r="AY68" i="2" s="1"/>
  <c r="AY69" i="2" s="1"/>
  <c r="AY70" i="2" s="1"/>
  <c r="AY71" i="2" s="1"/>
  <c r="AY72" i="2" s="1"/>
  <c r="AY73" i="2" s="1"/>
  <c r="AY74" i="2" s="1"/>
  <c r="AY75" i="2" s="1"/>
  <c r="AY76" i="2" s="1"/>
  <c r="AY77" i="2" s="1"/>
  <c r="AY78" i="2" s="1"/>
  <c r="AY79" i="2" s="1"/>
  <c r="AY80" i="2" s="1"/>
  <c r="AY81" i="2" s="1"/>
  <c r="AY82" i="2" s="1"/>
  <c r="AY83" i="2" s="1"/>
  <c r="AY84" i="2" s="1"/>
  <c r="AY85" i="2" s="1"/>
  <c r="AY86" i="2" s="1"/>
  <c r="AY87" i="2" s="1"/>
  <c r="AY88" i="2" s="1"/>
  <c r="AY89" i="2" s="1"/>
  <c r="AY90" i="2" s="1"/>
  <c r="AY91" i="2" s="1"/>
  <c r="AY92" i="2" s="1"/>
  <c r="AY93" i="2" s="1"/>
  <c r="AY94" i="2" s="1"/>
  <c r="AY95" i="2" s="1"/>
  <c r="AY96" i="2" s="1"/>
  <c r="AY97" i="2" s="1"/>
  <c r="AY98" i="2" s="1"/>
  <c r="AY99" i="2" s="1"/>
  <c r="AY100" i="2" s="1"/>
  <c r="AY101" i="2" s="1"/>
  <c r="AY102" i="2" s="1"/>
  <c r="AY103" i="2" s="1"/>
  <c r="AY104" i="2" s="1"/>
  <c r="AY105" i="2" s="1"/>
  <c r="AY106" i="2" s="1"/>
  <c r="AY107" i="2" s="1"/>
  <c r="AY108" i="2" s="1"/>
  <c r="AY109" i="2" s="1"/>
  <c r="AY110" i="2" s="1"/>
  <c r="AY111" i="2" s="1"/>
  <c r="AY112" i="2" s="1"/>
  <c r="AY113" i="2" s="1"/>
  <c r="AY114" i="2" s="1"/>
  <c r="AY115" i="2" s="1"/>
  <c r="AY116" i="2" s="1"/>
  <c r="AY117" i="2" s="1"/>
  <c r="AY118" i="2" s="1"/>
  <c r="AY119" i="2" s="1"/>
  <c r="AY120" i="2" s="1"/>
  <c r="AY121" i="2" s="1"/>
  <c r="AY122" i="2" s="1"/>
  <c r="AY123" i="2" s="1"/>
  <c r="AY124" i="2" s="1"/>
  <c r="AY125" i="2" s="1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AY455" i="2" s="1"/>
  <c r="BA51" i="2"/>
  <c r="BA52" i="2" s="1"/>
  <c r="BA53" i="2" s="1"/>
  <c r="BA54" i="2" s="1"/>
  <c r="BA55" i="2" s="1"/>
  <c r="BA56" i="2" s="1"/>
  <c r="BA57" i="2" s="1"/>
  <c r="BA58" i="2" s="1"/>
  <c r="BA59" i="2" s="1"/>
  <c r="BA60" i="2" s="1"/>
  <c r="BA61" i="2" s="1"/>
  <c r="BA62" i="2" s="1"/>
  <c r="BA63" i="2" s="1"/>
  <c r="BA64" i="2" s="1"/>
  <c r="BA65" i="2" s="1"/>
  <c r="BA66" i="2" s="1"/>
  <c r="BA67" i="2" s="1"/>
  <c r="BA68" i="2" s="1"/>
  <c r="BA69" i="2" s="1"/>
  <c r="BA70" i="2" s="1"/>
  <c r="BA71" i="2" s="1"/>
  <c r="BA72" i="2" s="1"/>
  <c r="BA73" i="2" s="1"/>
  <c r="BA74" i="2" s="1"/>
  <c r="BA75" i="2" s="1"/>
  <c r="BA76" i="2" s="1"/>
  <c r="BA77" i="2" s="1"/>
  <c r="BA78" i="2" s="1"/>
  <c r="BA79" i="2" s="1"/>
  <c r="BA80" i="2" s="1"/>
  <c r="BA81" i="2" s="1"/>
  <c r="BA82" i="2" s="1"/>
  <c r="BA83" i="2" s="1"/>
  <c r="BA84" i="2" s="1"/>
  <c r="BA85" i="2" s="1"/>
  <c r="BA86" i="2" s="1"/>
  <c r="BA87" i="2" s="1"/>
  <c r="BA88" i="2" s="1"/>
  <c r="BA89" i="2" s="1"/>
  <c r="BA90" i="2" s="1"/>
  <c r="BA91" i="2" s="1"/>
  <c r="BA92" i="2" s="1"/>
  <c r="BA93" i="2" s="1"/>
  <c r="BA94" i="2" s="1"/>
  <c r="BA95" i="2" s="1"/>
  <c r="BA96" i="2" s="1"/>
  <c r="BA97" i="2" s="1"/>
  <c r="BA98" i="2" s="1"/>
  <c r="BA99" i="2" s="1"/>
  <c r="BA100" i="2" s="1"/>
  <c r="BA101" i="2" s="1"/>
  <c r="BA102" i="2" s="1"/>
  <c r="BA103" i="2" s="1"/>
  <c r="BA104" i="2" s="1"/>
  <c r="BA105" i="2" s="1"/>
  <c r="BA106" i="2" s="1"/>
  <c r="BA107" i="2" s="1"/>
  <c r="BA108" i="2" s="1"/>
  <c r="BA109" i="2" s="1"/>
  <c r="BA110" i="2" s="1"/>
  <c r="BA111" i="2" s="1"/>
  <c r="BA112" i="2" s="1"/>
  <c r="BA113" i="2" s="1"/>
  <c r="BA114" i="2" s="1"/>
  <c r="BA115" i="2" s="1"/>
  <c r="BA116" i="2" s="1"/>
  <c r="BA117" i="2" s="1"/>
  <c r="BA118" i="2" s="1"/>
  <c r="BA119" i="2" s="1"/>
  <c r="BA120" i="2" s="1"/>
  <c r="BA121" i="2" s="1"/>
  <c r="BA122" i="2" s="1"/>
  <c r="BA123" i="2" s="1"/>
  <c r="BA124" i="2" s="1"/>
  <c r="BA125" i="2" s="1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BA455" i="2" s="1"/>
  <c r="AL51" i="2"/>
  <c r="AL52" i="2" s="1"/>
  <c r="AL53" i="2" s="1"/>
  <c r="AL54" i="2" s="1"/>
  <c r="AL55" i="2" s="1"/>
  <c r="AL56" i="2" s="1"/>
  <c r="AL57" i="2" s="1"/>
  <c r="AL58" i="2" s="1"/>
  <c r="AL59" i="2" s="1"/>
  <c r="AL60" i="2" s="1"/>
  <c r="AL61" i="2" s="1"/>
  <c r="AL62" i="2" s="1"/>
  <c r="AL63" i="2" s="1"/>
  <c r="AL64" i="2" s="1"/>
  <c r="AL65" i="2" s="1"/>
  <c r="AL66" i="2" s="1"/>
  <c r="AL67" i="2" s="1"/>
  <c r="AL68" i="2" s="1"/>
  <c r="AL69" i="2" s="1"/>
  <c r="AL70" i="2" s="1"/>
  <c r="AL71" i="2" s="1"/>
  <c r="AL72" i="2" s="1"/>
  <c r="AL73" i="2" s="1"/>
  <c r="AL74" i="2" s="1"/>
  <c r="AL75" i="2" s="1"/>
  <c r="AL76" i="2" s="1"/>
  <c r="AL77" i="2" s="1"/>
  <c r="AL78" i="2" s="1"/>
  <c r="AL79" i="2" s="1"/>
  <c r="AL80" i="2" s="1"/>
  <c r="AL81" i="2" s="1"/>
  <c r="AL82" i="2" s="1"/>
  <c r="AL83" i="2" s="1"/>
  <c r="AL84" i="2" s="1"/>
  <c r="AL85" i="2" s="1"/>
  <c r="AL86" i="2" s="1"/>
  <c r="AL87" i="2" s="1"/>
  <c r="AL88" i="2" s="1"/>
  <c r="AL89" i="2" s="1"/>
  <c r="AL90" i="2" s="1"/>
  <c r="AL91" i="2" s="1"/>
  <c r="AL92" i="2" s="1"/>
  <c r="AL93" i="2" s="1"/>
  <c r="AL94" i="2" s="1"/>
  <c r="AL95" i="2" s="1"/>
  <c r="AL96" i="2" s="1"/>
  <c r="AL97" i="2" s="1"/>
  <c r="AL98" i="2" s="1"/>
  <c r="AL99" i="2" s="1"/>
  <c r="AL100" i="2" s="1"/>
  <c r="AL101" i="2" s="1"/>
  <c r="AL102" i="2" s="1"/>
  <c r="AL103" i="2" s="1"/>
  <c r="AL104" i="2" s="1"/>
  <c r="AL105" i="2" s="1"/>
  <c r="AL106" i="2" s="1"/>
  <c r="AL107" i="2" s="1"/>
  <c r="AL108" i="2" s="1"/>
  <c r="AL109" i="2" s="1"/>
  <c r="AL110" i="2" s="1"/>
  <c r="AL111" i="2" s="1"/>
  <c r="AL112" i="2" s="1"/>
  <c r="AL113" i="2" s="1"/>
  <c r="AL114" i="2" s="1"/>
  <c r="AL115" i="2" s="1"/>
  <c r="AL116" i="2" s="1"/>
  <c r="AL117" i="2" s="1"/>
  <c r="AL118" i="2" s="1"/>
  <c r="AL119" i="2" s="1"/>
  <c r="AL120" i="2" s="1"/>
  <c r="AL121" i="2" s="1"/>
  <c r="AL122" i="2" s="1"/>
  <c r="AL123" i="2" s="1"/>
  <c r="AL124" i="2" s="1"/>
  <c r="AL125" i="2" s="1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L455" i="2" s="1"/>
  <c r="AU51" i="2"/>
  <c r="AU52" i="2" s="1"/>
  <c r="AU53" i="2" s="1"/>
  <c r="AU54" i="2" s="1"/>
  <c r="AU55" i="2" s="1"/>
  <c r="AU56" i="2" s="1"/>
  <c r="AU57" i="2" s="1"/>
  <c r="AU58" i="2" s="1"/>
  <c r="AU59" i="2" s="1"/>
  <c r="AU60" i="2" s="1"/>
  <c r="AU61" i="2" s="1"/>
  <c r="AU62" i="2" s="1"/>
  <c r="AU63" i="2" s="1"/>
  <c r="AU64" i="2" s="1"/>
  <c r="AU65" i="2" s="1"/>
  <c r="AU66" i="2" s="1"/>
  <c r="AU67" i="2" s="1"/>
  <c r="AU68" i="2" s="1"/>
  <c r="AU69" i="2" s="1"/>
  <c r="AU70" i="2" s="1"/>
  <c r="AU71" i="2" s="1"/>
  <c r="AU72" i="2" s="1"/>
  <c r="AU73" i="2" s="1"/>
  <c r="AU74" i="2" s="1"/>
  <c r="AU75" i="2" s="1"/>
  <c r="AU76" i="2" s="1"/>
  <c r="AU77" i="2" s="1"/>
  <c r="AU78" i="2" s="1"/>
  <c r="AU79" i="2" s="1"/>
  <c r="AU80" i="2" s="1"/>
  <c r="AU81" i="2" s="1"/>
  <c r="AU82" i="2" s="1"/>
  <c r="AU83" i="2" s="1"/>
  <c r="AU84" i="2" s="1"/>
  <c r="AU85" i="2" s="1"/>
  <c r="AU86" i="2" s="1"/>
  <c r="AU87" i="2" s="1"/>
  <c r="AU88" i="2" s="1"/>
  <c r="AU89" i="2" s="1"/>
  <c r="AU90" i="2" s="1"/>
  <c r="AU91" i="2" s="1"/>
  <c r="AU92" i="2" s="1"/>
  <c r="AU93" i="2" s="1"/>
  <c r="AU94" i="2" s="1"/>
  <c r="AU95" i="2" s="1"/>
  <c r="AU96" i="2" s="1"/>
  <c r="AU97" i="2" s="1"/>
  <c r="AU98" i="2" s="1"/>
  <c r="AU99" i="2" s="1"/>
  <c r="AU100" i="2" s="1"/>
  <c r="AU101" i="2" s="1"/>
  <c r="AU102" i="2" s="1"/>
  <c r="AU103" i="2" s="1"/>
  <c r="AU104" i="2" s="1"/>
  <c r="AU105" i="2" s="1"/>
  <c r="AU106" i="2" s="1"/>
  <c r="AU107" i="2" s="1"/>
  <c r="AU108" i="2" s="1"/>
  <c r="AU109" i="2" s="1"/>
  <c r="AU110" i="2" s="1"/>
  <c r="AU111" i="2" s="1"/>
  <c r="AU112" i="2" s="1"/>
  <c r="AU113" i="2" s="1"/>
  <c r="AU114" i="2" s="1"/>
  <c r="AU115" i="2" s="1"/>
  <c r="AU116" i="2" s="1"/>
  <c r="AU117" i="2" s="1"/>
  <c r="AU118" i="2" s="1"/>
  <c r="AU119" i="2" s="1"/>
  <c r="AU120" i="2" s="1"/>
  <c r="AU121" i="2" s="1"/>
  <c r="AU122" i="2" s="1"/>
  <c r="AU123" i="2" s="1"/>
  <c r="AU124" i="2" s="1"/>
  <c r="AU125" i="2" s="1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AU455" i="2" s="1"/>
  <c r="AX51" i="2"/>
  <c r="AX52" i="2" s="1"/>
  <c r="AX53" i="2" s="1"/>
  <c r="AX54" i="2" s="1"/>
  <c r="AX55" i="2" s="1"/>
  <c r="AX56" i="2" s="1"/>
  <c r="AX57" i="2" s="1"/>
  <c r="AX58" i="2" s="1"/>
  <c r="AX59" i="2" s="1"/>
  <c r="AX60" i="2" s="1"/>
  <c r="AX61" i="2" s="1"/>
  <c r="AX62" i="2" s="1"/>
  <c r="AX63" i="2" s="1"/>
  <c r="AX64" i="2" s="1"/>
  <c r="AX65" i="2" s="1"/>
  <c r="AX66" i="2" s="1"/>
  <c r="AX67" i="2" s="1"/>
  <c r="AX68" i="2" s="1"/>
  <c r="AX69" i="2" s="1"/>
  <c r="AX70" i="2" s="1"/>
  <c r="AX71" i="2" s="1"/>
  <c r="AX72" i="2" s="1"/>
  <c r="AX73" i="2" s="1"/>
  <c r="AX74" i="2" s="1"/>
  <c r="AX75" i="2" s="1"/>
  <c r="AX76" i="2" s="1"/>
  <c r="AX77" i="2" s="1"/>
  <c r="AX78" i="2" s="1"/>
  <c r="AX79" i="2" s="1"/>
  <c r="AX80" i="2" s="1"/>
  <c r="AX81" i="2" s="1"/>
  <c r="AX82" i="2" s="1"/>
  <c r="AX83" i="2" s="1"/>
  <c r="AX84" i="2" s="1"/>
  <c r="AX85" i="2" s="1"/>
  <c r="AX86" i="2" s="1"/>
  <c r="AX87" i="2" s="1"/>
  <c r="AX88" i="2" s="1"/>
  <c r="AX89" i="2" s="1"/>
  <c r="AX90" i="2" s="1"/>
  <c r="AX91" i="2" s="1"/>
  <c r="AX92" i="2" s="1"/>
  <c r="AX93" i="2" s="1"/>
  <c r="AX94" i="2" s="1"/>
  <c r="AX95" i="2" s="1"/>
  <c r="AX96" i="2" s="1"/>
  <c r="AX97" i="2" s="1"/>
  <c r="AX98" i="2" s="1"/>
  <c r="AX99" i="2" s="1"/>
  <c r="AX100" i="2" s="1"/>
  <c r="AX101" i="2" s="1"/>
  <c r="AX102" i="2" s="1"/>
  <c r="AX103" i="2" s="1"/>
  <c r="AX104" i="2" s="1"/>
  <c r="AX105" i="2" s="1"/>
  <c r="AX106" i="2" s="1"/>
  <c r="AX107" i="2" s="1"/>
  <c r="AX108" i="2" s="1"/>
  <c r="AX109" i="2" s="1"/>
  <c r="AX110" i="2" s="1"/>
  <c r="AX111" i="2" s="1"/>
  <c r="AX112" i="2" s="1"/>
  <c r="AX113" i="2" s="1"/>
  <c r="AX114" i="2" s="1"/>
  <c r="AX115" i="2" s="1"/>
  <c r="AX116" i="2" s="1"/>
  <c r="AX117" i="2" s="1"/>
  <c r="AX118" i="2" s="1"/>
  <c r="AX119" i="2" s="1"/>
  <c r="AX120" i="2" s="1"/>
  <c r="AX121" i="2" s="1"/>
  <c r="AX122" i="2" s="1"/>
  <c r="AX123" i="2" s="1"/>
  <c r="AX124" i="2" s="1"/>
  <c r="AX125" i="2" s="1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X455" i="2" s="1"/>
  <c r="AV51" i="2"/>
  <c r="AV52" i="2" s="1"/>
  <c r="AV53" i="2" s="1"/>
  <c r="AV54" i="2" s="1"/>
  <c r="AV55" i="2" s="1"/>
  <c r="AV56" i="2" s="1"/>
  <c r="AV57" i="2" s="1"/>
  <c r="AV58" i="2" s="1"/>
  <c r="AV59" i="2" s="1"/>
  <c r="AV60" i="2" s="1"/>
  <c r="AV61" i="2" s="1"/>
  <c r="AV62" i="2" s="1"/>
  <c r="AV63" i="2" s="1"/>
  <c r="AV64" i="2" s="1"/>
  <c r="AV65" i="2" s="1"/>
  <c r="AV66" i="2" s="1"/>
  <c r="AV67" i="2" s="1"/>
  <c r="AV68" i="2" s="1"/>
  <c r="AV69" i="2" s="1"/>
  <c r="AV70" i="2" s="1"/>
  <c r="AV71" i="2" s="1"/>
  <c r="AV72" i="2" s="1"/>
  <c r="AV73" i="2" s="1"/>
  <c r="AV74" i="2" s="1"/>
  <c r="AV75" i="2" s="1"/>
  <c r="AV76" i="2" s="1"/>
  <c r="AV77" i="2" s="1"/>
  <c r="AV78" i="2" s="1"/>
  <c r="AV79" i="2" s="1"/>
  <c r="AV80" i="2" s="1"/>
  <c r="AV81" i="2" s="1"/>
  <c r="AV82" i="2" s="1"/>
  <c r="AV83" i="2" s="1"/>
  <c r="AV84" i="2" s="1"/>
  <c r="AV85" i="2" s="1"/>
  <c r="AV86" i="2" s="1"/>
  <c r="AV87" i="2" s="1"/>
  <c r="AV88" i="2" s="1"/>
  <c r="AV89" i="2" s="1"/>
  <c r="AV90" i="2" s="1"/>
  <c r="AV91" i="2" s="1"/>
  <c r="AV92" i="2" s="1"/>
  <c r="AV93" i="2" s="1"/>
  <c r="AV94" i="2" s="1"/>
  <c r="AV95" i="2" s="1"/>
  <c r="AV96" i="2" s="1"/>
  <c r="AV97" i="2" s="1"/>
  <c r="AV98" i="2" s="1"/>
  <c r="AV99" i="2" s="1"/>
  <c r="AV100" i="2" s="1"/>
  <c r="AV101" i="2" s="1"/>
  <c r="AV102" i="2" s="1"/>
  <c r="AV103" i="2" s="1"/>
  <c r="AV104" i="2" s="1"/>
  <c r="AV105" i="2" s="1"/>
  <c r="AV106" i="2" s="1"/>
  <c r="AV107" i="2" s="1"/>
  <c r="AV108" i="2" s="1"/>
  <c r="AV109" i="2" s="1"/>
  <c r="AV110" i="2" s="1"/>
  <c r="AV111" i="2" s="1"/>
  <c r="AV112" i="2" s="1"/>
  <c r="AV113" i="2" s="1"/>
  <c r="AV114" i="2" s="1"/>
  <c r="AV115" i="2" s="1"/>
  <c r="AV116" i="2" s="1"/>
  <c r="AV117" i="2" s="1"/>
  <c r="AV118" i="2" s="1"/>
  <c r="AV119" i="2" s="1"/>
  <c r="AV120" i="2" s="1"/>
  <c r="AV121" i="2" s="1"/>
  <c r="AV122" i="2" s="1"/>
  <c r="AV123" i="2" s="1"/>
  <c r="AV124" i="2" s="1"/>
  <c r="AV125" i="2" s="1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V455" i="2" s="1"/>
  <c r="AK51" i="2"/>
  <c r="AQ30" i="2"/>
  <c r="AQ31" i="2" s="1"/>
  <c r="AQ32" i="2" s="1"/>
  <c r="AT33" i="2"/>
  <c r="AT34" i="2" s="1"/>
  <c r="AT35" i="2" s="1"/>
  <c r="AT36" i="2" s="1"/>
  <c r="AT37" i="2" s="1"/>
  <c r="AR33" i="2"/>
  <c r="AR34" i="2" s="1"/>
  <c r="AR35" i="2" s="1"/>
  <c r="AR36" i="2" s="1"/>
  <c r="AR37" i="2" s="1"/>
  <c r="AO33" i="2"/>
  <c r="AY43" i="2"/>
  <c r="AY44" i="2" s="1"/>
  <c r="AY45" i="2" s="1"/>
  <c r="AY46" i="2" s="1"/>
  <c r="AU43" i="2"/>
  <c r="AU44" i="2" s="1"/>
  <c r="AU45" i="2" s="1"/>
  <c r="AU46" i="2" s="1"/>
  <c r="AS43" i="2"/>
  <c r="AS44" i="2" s="1"/>
  <c r="AS45" i="2" s="1"/>
  <c r="AS46" i="2" s="1"/>
  <c r="AM43" i="2"/>
  <c r="AM44" i="2" s="1"/>
  <c r="AM45" i="2" s="1"/>
  <c r="AM46" i="2" s="1"/>
  <c r="AK43" i="2"/>
  <c r="AK44" i="2" s="1"/>
  <c r="AK45" i="2" s="1"/>
  <c r="BC43" i="2"/>
  <c r="BC44" i="2" s="1"/>
  <c r="BC45" i="2" s="1"/>
  <c r="BC46" i="2" s="1"/>
  <c r="BA43" i="2"/>
  <c r="BA44" i="2" s="1"/>
  <c r="BA45" i="2" s="1"/>
  <c r="BA46" i="2" s="1"/>
  <c r="AN43" i="2"/>
  <c r="AN44" i="2" s="1"/>
  <c r="AN45" i="2" s="1"/>
  <c r="AN46" i="2" s="1"/>
  <c r="AS30" i="2"/>
  <c r="AS31" i="2" s="1"/>
  <c r="AS32" i="2" s="1"/>
  <c r="AP30" i="2"/>
  <c r="AW43" i="2"/>
  <c r="AW44" i="2" s="1"/>
  <c r="AW45" i="2" s="1"/>
  <c r="AW46" i="2" s="1"/>
  <c r="AZ43" i="2"/>
  <c r="AZ44" i="2" s="1"/>
  <c r="AZ45" i="2" s="1"/>
  <c r="AZ46" i="2" s="1"/>
  <c r="BD11" i="2"/>
  <c r="BD12" i="2" s="1"/>
  <c r="BD13" i="2" s="1"/>
  <c r="BD14" i="2" s="1"/>
  <c r="AK30" i="2"/>
  <c r="AK31" i="2" s="1"/>
  <c r="AK32" i="2" s="1"/>
  <c r="AU33" i="2"/>
  <c r="AU34" i="2" s="1"/>
  <c r="AU35" i="2" s="1"/>
  <c r="AU36" i="2" s="1"/>
  <c r="AU37" i="2" s="1"/>
  <c r="AS33" i="2"/>
  <c r="AS34" i="2" s="1"/>
  <c r="AS35" i="2" s="1"/>
  <c r="AS36" i="2" s="1"/>
  <c r="AS37" i="2" s="1"/>
  <c r="AX33" i="2"/>
  <c r="AX34" i="2" s="1"/>
  <c r="AX35" i="2" s="1"/>
  <c r="AX36" i="2" s="1"/>
  <c r="AX37" i="2" s="1"/>
  <c r="AO43" i="2"/>
  <c r="AO44" i="2" s="1"/>
  <c r="AO45" i="2" s="1"/>
  <c r="AO46" i="2" s="1"/>
  <c r="AR43" i="2"/>
  <c r="AR44" i="2" s="1"/>
  <c r="AR45" i="2" s="1"/>
  <c r="AR46" i="2" s="1"/>
  <c r="AU30" i="2"/>
  <c r="AU31" i="2" s="1"/>
  <c r="AU32" i="2" s="1"/>
  <c r="AZ30" i="2"/>
  <c r="AZ31" i="2" s="1"/>
  <c r="AZ32" i="2" s="1"/>
  <c r="BD30" i="2"/>
  <c r="BD31" i="2" s="1"/>
  <c r="BD32" i="2" s="1"/>
  <c r="AW34" i="2"/>
  <c r="AW35" i="2" s="1"/>
  <c r="AW36" i="2" s="1"/>
  <c r="AW37" i="2" s="1"/>
  <c r="AV43" i="2"/>
  <c r="AV44" i="2" s="1"/>
  <c r="AV45" i="2" s="1"/>
  <c r="AV46" i="2" s="1"/>
  <c r="BB43" i="2"/>
  <c r="BB44" i="2" s="1"/>
  <c r="BB45" i="2" s="1"/>
  <c r="BB46" i="2" s="1"/>
  <c r="AP43" i="2"/>
  <c r="AP44" i="2" s="1"/>
  <c r="AP45" i="2" s="1"/>
  <c r="AP46" i="2" s="1"/>
  <c r="AR30" i="2"/>
  <c r="AR31" i="2" s="1"/>
  <c r="AR32" i="2" s="1"/>
  <c r="AY33" i="2"/>
  <c r="AY34" i="2" s="1"/>
  <c r="AY35" i="2" s="1"/>
  <c r="AY36" i="2" s="1"/>
  <c r="AY37" i="2" s="1"/>
  <c r="AQ33" i="2"/>
  <c r="AQ34" i="2" s="1"/>
  <c r="AQ35" i="2" s="1"/>
  <c r="AQ36" i="2" s="1"/>
  <c r="AQ37" i="2" s="1"/>
  <c r="AP33" i="2"/>
  <c r="AP34" i="2" s="1"/>
  <c r="AP35" i="2" s="1"/>
  <c r="AP36" i="2" s="1"/>
  <c r="AP37" i="2" s="1"/>
  <c r="AT43" i="2"/>
  <c r="AT44" i="2" s="1"/>
  <c r="AT45" i="2" s="1"/>
  <c r="AT46" i="2" s="1"/>
  <c r="BD43" i="2"/>
  <c r="BD44" i="2" s="1"/>
  <c r="BB33" i="2"/>
  <c r="BB34" i="2" s="1"/>
  <c r="BB35" i="2" s="1"/>
  <c r="BB36" i="2" s="1"/>
  <c r="BB37" i="2" s="1"/>
  <c r="AZ33" i="2"/>
  <c r="AZ34" i="2" s="1"/>
  <c r="AZ35" i="2" s="1"/>
  <c r="AZ36" i="2" s="1"/>
  <c r="AZ37" i="2" s="1"/>
  <c r="AL43" i="2"/>
  <c r="AL44" i="2" s="1"/>
  <c r="AL45" i="2" s="1"/>
  <c r="AL46" i="2" s="1"/>
  <c r="AK48" i="2"/>
  <c r="AN48" i="2"/>
  <c r="AN49" i="2" s="1"/>
  <c r="AN50" i="2" s="1"/>
  <c r="AP47" i="2"/>
  <c r="AP48" i="2" s="1"/>
  <c r="AP49" i="2" s="1"/>
  <c r="AP50" i="2" s="1"/>
  <c r="BD47" i="2"/>
  <c r="BD48" i="2" s="1"/>
  <c r="BD49" i="2" s="1"/>
  <c r="BD50" i="2" s="1"/>
  <c r="AS47" i="2"/>
  <c r="AS48" i="2" s="1"/>
  <c r="AS49" i="2" s="1"/>
  <c r="AS50" i="2" s="1"/>
  <c r="AV47" i="2"/>
  <c r="AV48" i="2" s="1"/>
  <c r="AV49" i="2" s="1"/>
  <c r="AV50" i="2" s="1"/>
  <c r="AX47" i="2"/>
  <c r="AX48" i="2" s="1"/>
  <c r="AX49" i="2" s="1"/>
  <c r="AX50" i="2" s="1"/>
  <c r="BA47" i="2"/>
  <c r="BA48" i="2" s="1"/>
  <c r="BA49" i="2" s="1"/>
  <c r="BA50" i="2" s="1"/>
  <c r="BC47" i="2"/>
  <c r="BC48" i="2" s="1"/>
  <c r="BC49" i="2" s="1"/>
  <c r="BC50" i="2" s="1"/>
  <c r="AW47" i="2"/>
  <c r="AW48" i="2" s="1"/>
  <c r="AW49" i="2" s="1"/>
  <c r="AW50" i="2" s="1"/>
  <c r="AT47" i="2"/>
  <c r="AT48" i="2" s="1"/>
  <c r="AT49" i="2" s="1"/>
  <c r="AT50" i="2" s="1"/>
  <c r="AR47" i="2"/>
  <c r="AR48" i="2" s="1"/>
  <c r="AR49" i="2" s="1"/>
  <c r="AR50" i="2" s="1"/>
  <c r="AQ47" i="2"/>
  <c r="AQ48" i="2" s="1"/>
  <c r="AQ49" i="2" s="1"/>
  <c r="AQ50" i="2" s="1"/>
  <c r="AO47" i="2"/>
  <c r="AO48" i="2" s="1"/>
  <c r="AO49" i="2" s="1"/>
  <c r="AO50" i="2" s="1"/>
  <c r="BB47" i="2"/>
  <c r="BB48" i="2" s="1"/>
  <c r="BB49" i="2" s="1"/>
  <c r="BB50" i="2" s="1"/>
  <c r="AL47" i="2"/>
  <c r="AZ47" i="2"/>
  <c r="AZ48" i="2" s="1"/>
  <c r="AZ49" i="2" s="1"/>
  <c r="AZ50" i="2" s="1"/>
  <c r="AY47" i="2"/>
  <c r="AY48" i="2" s="1"/>
  <c r="AY49" i="2" s="1"/>
  <c r="AY50" i="2" s="1"/>
  <c r="AU47" i="2"/>
  <c r="AU48" i="2" s="1"/>
  <c r="AU49" i="2" s="1"/>
  <c r="AU50" i="2" s="1"/>
  <c r="AM47" i="2"/>
  <c r="AM48" i="2" s="1"/>
  <c r="AM49" i="2" s="1"/>
  <c r="AM50" i="2" s="1"/>
  <c r="AT26" i="2"/>
  <c r="AT27" i="2" s="1"/>
  <c r="AT28" i="2" s="1"/>
  <c r="AN26" i="2"/>
  <c r="AN27" i="2" s="1"/>
  <c r="AN28" i="2" s="1"/>
  <c r="AL6" i="2"/>
  <c r="AL7" i="2" s="1"/>
  <c r="AL8" i="2" s="1"/>
  <c r="AL9" i="2" s="1"/>
  <c r="AS6" i="2"/>
  <c r="AS7" i="2" s="1"/>
  <c r="AS8" i="2" s="1"/>
  <c r="AS9" i="2" s="1"/>
  <c r="AK16" i="2"/>
  <c r="AK17" i="2" s="1"/>
  <c r="AK18" i="2" s="1"/>
  <c r="AK19" i="2" s="1"/>
  <c r="AN11" i="2"/>
  <c r="AN12" i="2" s="1"/>
  <c r="AN13" i="2" s="1"/>
  <c r="AN14" i="2" s="1"/>
  <c r="AU21" i="2"/>
  <c r="AU22" i="2" s="1"/>
  <c r="AU23" i="2" s="1"/>
  <c r="AU24" i="2" s="1"/>
  <c r="AL16" i="2"/>
  <c r="AL17" i="2" s="1"/>
  <c r="AL18" i="2" s="1"/>
  <c r="AL19" i="2" s="1"/>
  <c r="AV12" i="2"/>
  <c r="AV13" i="2" s="1"/>
  <c r="AV14" i="2" s="1"/>
  <c r="AS21" i="2"/>
  <c r="AS22" i="2" s="1"/>
  <c r="AS23" i="2" s="1"/>
  <c r="AS24" i="2" s="1"/>
  <c r="F38" i="2" a="1"/>
  <c r="F38" i="2" s="1"/>
  <c r="F43" i="2" s="1" a="1"/>
  <c r="F43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AN16" i="2"/>
  <c r="AN17" i="2" s="1"/>
  <c r="AN18" i="2" s="1"/>
  <c r="AN19" i="2" s="1"/>
  <c r="AO6" i="2"/>
  <c r="AO7" i="2" s="1"/>
  <c r="AO8" i="2" s="1"/>
  <c r="AO9" i="2" s="1"/>
  <c r="AU26" i="2"/>
  <c r="AU27" i="2" s="1"/>
  <c r="AU28" i="2" s="1"/>
  <c r="AW11" i="2"/>
  <c r="AW12" i="2" s="1"/>
  <c r="AW13" i="2" s="1"/>
  <c r="AW14" i="2" s="1"/>
  <c r="AZ11" i="2"/>
  <c r="AZ12" i="2" s="1"/>
  <c r="AZ13" i="2" s="1"/>
  <c r="AZ14" i="2" s="1"/>
  <c r="AO21" i="2"/>
  <c r="AO22" i="2" s="1"/>
  <c r="AO23" i="2" s="1"/>
  <c r="AO24" i="2" s="1"/>
  <c r="AN30" i="2"/>
  <c r="AN31" i="2" s="1"/>
  <c r="AN32" i="2" s="1"/>
  <c r="AX11" i="2"/>
  <c r="AX12" i="2" s="1"/>
  <c r="AX13" i="2" s="1"/>
  <c r="AX14" i="2" s="1"/>
  <c r="AT11" i="2"/>
  <c r="AT12" i="2" s="1"/>
  <c r="AT13" i="2" s="1"/>
  <c r="AT14" i="2" s="1"/>
  <c r="AN6" i="2"/>
  <c r="AN7" i="2" s="1"/>
  <c r="AN8" i="2" s="1"/>
  <c r="AN9" i="2" s="1"/>
  <c r="AK6" i="2"/>
  <c r="AK7" i="2" s="1"/>
  <c r="AK8" i="2" s="1"/>
  <c r="AK9" i="2" s="1"/>
  <c r="AY11" i="2"/>
  <c r="AY12" i="2" s="1"/>
  <c r="AY13" i="2" s="1"/>
  <c r="AY14" i="2" s="1"/>
  <c r="AK11" i="2"/>
  <c r="AK12" i="2" s="1"/>
  <c r="AK13" i="2" s="1"/>
  <c r="AK14" i="2" s="1"/>
  <c r="AK27" i="2"/>
  <c r="AK28" i="2" s="1"/>
  <c r="AQ7" i="2"/>
  <c r="AQ8" i="2" s="1"/>
  <c r="AQ9" i="2" s="1"/>
  <c r="AM21" i="2"/>
  <c r="AM22" i="2" s="1"/>
  <c r="AM23" i="2" s="1"/>
  <c r="AM24" i="2" s="1"/>
  <c r="AW17" i="2"/>
  <c r="AW18" i="2" s="1"/>
  <c r="AW19" i="2" s="1"/>
  <c r="AV30" i="2"/>
  <c r="AV31" i="2" s="1"/>
  <c r="AV32" i="2" s="1"/>
  <c r="AM34" i="2"/>
  <c r="AM35" i="2" s="1"/>
  <c r="AM36" i="2" s="1"/>
  <c r="AM37" i="2" s="1"/>
  <c r="BA34" i="2"/>
  <c r="BA35" i="2" s="1"/>
  <c r="BA36" i="2" s="1"/>
  <c r="BA37" i="2" s="1"/>
  <c r="BD34" i="2"/>
  <c r="BD35" i="2" s="1"/>
  <c r="BD36" i="2" s="1"/>
  <c r="BD37" i="2" s="1"/>
  <c r="AL32" i="2"/>
  <c r="AT6" i="2"/>
  <c r="AT7" i="2" s="1"/>
  <c r="AT8" i="2" s="1"/>
  <c r="AT9" i="2" s="1"/>
  <c r="AN21" i="2"/>
  <c r="AN22" i="2" s="1"/>
  <c r="AN23" i="2" s="1"/>
  <c r="AN24" i="2" s="1"/>
  <c r="AM6" i="2"/>
  <c r="AM7" i="2" s="1"/>
  <c r="AM8" i="2" s="1"/>
  <c r="AM9" i="2" s="1"/>
  <c r="BD6" i="2"/>
  <c r="BD7" i="2" s="1"/>
  <c r="BD8" i="2" s="1"/>
  <c r="BD9" i="2" s="1"/>
  <c r="AQ26" i="2"/>
  <c r="AQ27" i="2" s="1"/>
  <c r="AQ28" i="2" s="1"/>
  <c r="AL34" i="2"/>
  <c r="AL35" i="2" s="1"/>
  <c r="AL36" i="2" s="1"/>
  <c r="AL37" i="2" s="1"/>
  <c r="BA7" i="2"/>
  <c r="BA8" i="2" s="1"/>
  <c r="BA9" i="2" s="1"/>
  <c r="AU12" i="2"/>
  <c r="AU13" i="2" s="1"/>
  <c r="AU14" i="2" s="1"/>
  <c r="AP6" i="2"/>
  <c r="AP7" i="2" s="1"/>
  <c r="AP8" i="2" s="1"/>
  <c r="AP9" i="2" s="1"/>
  <c r="BB26" i="2"/>
  <c r="BB27" i="2" s="1"/>
  <c r="BB28" i="2" s="1"/>
  <c r="AV26" i="2"/>
  <c r="AV27" i="2" s="1"/>
  <c r="AV28" i="2" s="1"/>
  <c r="AY21" i="2"/>
  <c r="AY22" i="2" s="1"/>
  <c r="AY23" i="2" s="1"/>
  <c r="AY24" i="2" s="1"/>
  <c r="AS11" i="2"/>
  <c r="AS12" i="2" s="1"/>
  <c r="AS13" i="2" s="1"/>
  <c r="AS14" i="2" s="1"/>
  <c r="BD16" i="2"/>
  <c r="BD17" i="2" s="1"/>
  <c r="BD18" i="2" s="1"/>
  <c r="BD19" i="2" s="1"/>
  <c r="AM26" i="2"/>
  <c r="AM27" i="2" s="1"/>
  <c r="AM28" i="2" s="1"/>
  <c r="AY26" i="2"/>
  <c r="AY27" i="2" s="1"/>
  <c r="AY28" i="2" s="1"/>
  <c r="AR21" i="2"/>
  <c r="AR22" i="2" s="1"/>
  <c r="AR23" i="2" s="1"/>
  <c r="AR24" i="2" s="1"/>
  <c r="AP26" i="2"/>
  <c r="AP27" i="2" s="1"/>
  <c r="AP28" i="2" s="1"/>
  <c r="AS26" i="2"/>
  <c r="AS27" i="2" s="1"/>
  <c r="AS28" i="2" s="1"/>
  <c r="BC26" i="2"/>
  <c r="BC27" i="2" s="1"/>
  <c r="BC28" i="2" s="1"/>
  <c r="AO11" i="2"/>
  <c r="AO12" i="2" s="1"/>
  <c r="AO13" i="2" s="1"/>
  <c r="AO14" i="2" s="1"/>
  <c r="AR11" i="2"/>
  <c r="AR12" i="2" s="1"/>
  <c r="AR13" i="2" s="1"/>
  <c r="AR14" i="2" s="1"/>
  <c r="BD21" i="2"/>
  <c r="BD22" i="2" s="1"/>
  <c r="BD23" i="2" s="1"/>
  <c r="BD24" i="2" s="1"/>
  <c r="BC16" i="2"/>
  <c r="BC17" i="2" s="1"/>
  <c r="BC18" i="2" s="1"/>
  <c r="BC19" i="2" s="1"/>
  <c r="BC6" i="2"/>
  <c r="BC7" i="2" s="1"/>
  <c r="BC8" i="2" s="1"/>
  <c r="BC9" i="2" s="1"/>
  <c r="AT21" i="2"/>
  <c r="AT22" i="2" s="1"/>
  <c r="AT23" i="2" s="1"/>
  <c r="AT24" i="2" s="1"/>
  <c r="AK21" i="2"/>
  <c r="AK22" i="2" s="1"/>
  <c r="AK23" i="2" s="1"/>
  <c r="AK24" i="2" s="1"/>
  <c r="AV6" i="2"/>
  <c r="AV7" i="2" s="1"/>
  <c r="AV8" i="2" s="1"/>
  <c r="AV9" i="2" s="1"/>
  <c r="AO30" i="2"/>
  <c r="AO31" i="2" s="1"/>
  <c r="AO32" i="2" s="1"/>
  <c r="AL11" i="2"/>
  <c r="AL12" i="2" s="1"/>
  <c r="AL13" i="2" s="1"/>
  <c r="AL14" i="2" s="1"/>
  <c r="AO26" i="2"/>
  <c r="AO27" i="2" s="1"/>
  <c r="AO28" i="2" s="1"/>
  <c r="BA26" i="2"/>
  <c r="BA27" i="2" s="1"/>
  <c r="BA28" i="2" s="1"/>
  <c r="AX27" i="2"/>
  <c r="AX28" i="2" s="1"/>
  <c r="BB6" i="2"/>
  <c r="BB7" i="2" s="1"/>
  <c r="BB8" i="2" s="1"/>
  <c r="BB9" i="2" s="1"/>
  <c r="AX21" i="2"/>
  <c r="AX22" i="2" s="1"/>
  <c r="AX23" i="2" s="1"/>
  <c r="AX24" i="2" s="1"/>
  <c r="AR6" i="2"/>
  <c r="AR7" i="2" s="1"/>
  <c r="AR8" i="2" s="1"/>
  <c r="AR9" i="2" s="1"/>
  <c r="AV22" i="2"/>
  <c r="AV23" i="2" s="1"/>
  <c r="AV24" i="2" s="1"/>
  <c r="BC12" i="2"/>
  <c r="BC13" i="2" s="1"/>
  <c r="BC14" i="2" s="1"/>
  <c r="AY7" i="2"/>
  <c r="AY8" i="2" s="1"/>
  <c r="AY9" i="2" s="1"/>
  <c r="AU6" i="2"/>
  <c r="AU7" i="2" s="1"/>
  <c r="AU8" i="2" s="1"/>
  <c r="AU9" i="2" s="1"/>
  <c r="AL21" i="2"/>
  <c r="AL22" i="2" s="1"/>
  <c r="AL23" i="2" s="1"/>
  <c r="AL24" i="2" s="1"/>
  <c r="AK34" i="2"/>
  <c r="AK35" i="2" s="1"/>
  <c r="AK36" i="2" s="1"/>
  <c r="AK37" i="2" s="1"/>
  <c r="AV34" i="2"/>
  <c r="AV35" i="2" s="1"/>
  <c r="AV36" i="2" s="1"/>
  <c r="AV37" i="2" s="1"/>
  <c r="AP11" i="2"/>
  <c r="AP12" i="2" s="1"/>
  <c r="AP13" i="2" s="1"/>
  <c r="AP14" i="2" s="1"/>
  <c r="AX16" i="2"/>
  <c r="AX17" i="2" s="1"/>
  <c r="AX18" i="2" s="1"/>
  <c r="AX19" i="2" s="1"/>
  <c r="AM16" i="2"/>
  <c r="AM17" i="2" s="1"/>
  <c r="AM18" i="2" s="1"/>
  <c r="AM19" i="2" s="1"/>
  <c r="AN34" i="2"/>
  <c r="AN35" i="2" s="1"/>
  <c r="AN36" i="2" s="1"/>
  <c r="AN37" i="2" s="1"/>
  <c r="AP21" i="2"/>
  <c r="AP22" i="2" s="1"/>
  <c r="AP23" i="2" s="1"/>
  <c r="AP24" i="2" s="1"/>
  <c r="BB21" i="2"/>
  <c r="BB22" i="2" s="1"/>
  <c r="BB23" i="2" s="1"/>
  <c r="BB24" i="2" s="1"/>
  <c r="AP16" i="2"/>
  <c r="AP17" i="2" s="1"/>
  <c r="AP18" i="2" s="1"/>
  <c r="AP19" i="2" s="1"/>
  <c r="AP31" i="2"/>
  <c r="AP32" i="2" s="1"/>
  <c r="BD26" i="2"/>
  <c r="BD27" i="2" s="1"/>
  <c r="BD28" i="2" s="1"/>
  <c r="AQ21" i="2"/>
  <c r="AQ22" i="2" s="1"/>
  <c r="AQ23" i="2" s="1"/>
  <c r="AQ24" i="2" s="1"/>
  <c r="AS16" i="2"/>
  <c r="AS17" i="2" s="1"/>
  <c r="AS18" i="2" s="1"/>
  <c r="AS19" i="2" s="1"/>
  <c r="AY16" i="2"/>
  <c r="AY17" i="2" s="1"/>
  <c r="AY18" i="2" s="1"/>
  <c r="AY19" i="2" s="1"/>
  <c r="BC21" i="2"/>
  <c r="BC22" i="2" s="1"/>
  <c r="BC23" i="2" s="1"/>
  <c r="BC24" i="2" s="1"/>
  <c r="BB11" i="2"/>
  <c r="BB12" i="2" s="1"/>
  <c r="BB13" i="2" s="1"/>
  <c r="BB14" i="2" s="1"/>
  <c r="AQ11" i="2"/>
  <c r="AQ12" i="2" s="1"/>
  <c r="AQ13" i="2" s="1"/>
  <c r="AQ14" i="2" s="1"/>
  <c r="BA21" i="2"/>
  <c r="BA22" i="2" s="1"/>
  <c r="BA23" i="2" s="1"/>
  <c r="BA24" i="2" s="1"/>
  <c r="AO16" i="2"/>
  <c r="AO17" i="2" s="1"/>
  <c r="AO18" i="2" s="1"/>
  <c r="AO19" i="2" s="1"/>
  <c r="AW6" i="2"/>
  <c r="AW7" i="2" s="1"/>
  <c r="AW8" i="2" s="1"/>
  <c r="AW9" i="2" s="1"/>
  <c r="AR26" i="2"/>
  <c r="AR27" i="2" s="1"/>
  <c r="AR28" i="2" s="1"/>
  <c r="AM11" i="2"/>
  <c r="AM12" i="2" s="1"/>
  <c r="AM13" i="2" s="1"/>
  <c r="AM14" i="2" s="1"/>
  <c r="AW21" i="2"/>
  <c r="AW22" i="2" s="1"/>
  <c r="AW23" i="2" s="1"/>
  <c r="AW24" i="2" s="1"/>
  <c r="BA12" i="2"/>
  <c r="BA13" i="2" s="1"/>
  <c r="BA14" i="2" s="1"/>
  <c r="AW26" i="2"/>
  <c r="AW27" i="2" s="1"/>
  <c r="AW28" i="2" s="1"/>
  <c r="BA16" i="2"/>
  <c r="BA17" i="2" s="1"/>
  <c r="BA18" i="2" s="1"/>
  <c r="BA19" i="2" s="1"/>
  <c r="AZ6" i="2"/>
  <c r="AZ7" i="2" s="1"/>
  <c r="AZ8" i="2" s="1"/>
  <c r="AZ9" i="2" s="1"/>
  <c r="AX6" i="2"/>
  <c r="AX7" i="2" s="1"/>
  <c r="AX8" i="2" s="1"/>
  <c r="AX9" i="2" s="1"/>
  <c r="AZ21" i="2"/>
  <c r="AZ22" i="2" s="1"/>
  <c r="AZ23" i="2" s="1"/>
  <c r="AZ24" i="2" s="1"/>
  <c r="BC30" i="2"/>
  <c r="BC31" i="2" s="1"/>
  <c r="BC32" i="2" s="1"/>
  <c r="AZ16" i="2"/>
  <c r="AZ17" i="2" s="1"/>
  <c r="AZ18" i="2" s="1"/>
  <c r="AZ19" i="2" s="1"/>
  <c r="BC34" i="2"/>
  <c r="BC35" i="2" s="1"/>
  <c r="BC36" i="2" s="1"/>
  <c r="BC37" i="2" s="1"/>
  <c r="AS38" i="2"/>
  <c r="AS39" i="2" s="1"/>
  <c r="AS40" i="2" s="1"/>
  <c r="AS41" i="2" s="1"/>
  <c r="AS42" i="2" s="1"/>
  <c r="AV38" i="2"/>
  <c r="AV39" i="2" s="1"/>
  <c r="AV40" i="2" s="1"/>
  <c r="AV41" i="2" s="1"/>
  <c r="AV42" i="2" s="1"/>
  <c r="AU38" i="2"/>
  <c r="AU39" i="2" s="1"/>
  <c r="AU40" i="2" s="1"/>
  <c r="AU41" i="2" s="1"/>
  <c r="AU42" i="2" s="1"/>
  <c r="AO38" i="2"/>
  <c r="AO39" i="2" s="1"/>
  <c r="AO40" i="2" s="1"/>
  <c r="AO41" i="2" s="1"/>
  <c r="AO42" i="2" s="1"/>
  <c r="AM38" i="2"/>
  <c r="AM39" i="2" s="1"/>
  <c r="AM40" i="2" s="1"/>
  <c r="AM41" i="2" s="1"/>
  <c r="AM42" i="2" s="1"/>
  <c r="AT38" i="2"/>
  <c r="AT39" i="2" s="1"/>
  <c r="AT40" i="2" s="1"/>
  <c r="AT41" i="2" s="1"/>
  <c r="AT42" i="2" s="1"/>
  <c r="AR38" i="2"/>
  <c r="AR39" i="2" s="1"/>
  <c r="AR40" i="2" s="1"/>
  <c r="AR41" i="2" s="1"/>
  <c r="AR42" i="2" s="1"/>
  <c r="AW38" i="2"/>
  <c r="AW39" i="2" s="1"/>
  <c r="AW40" i="2" s="1"/>
  <c r="AW41" i="2" s="1"/>
  <c r="AW42" i="2" s="1"/>
  <c r="AX38" i="2"/>
  <c r="AX39" i="2" s="1"/>
  <c r="AX40" i="2" s="1"/>
  <c r="AX41" i="2" s="1"/>
  <c r="AX42" i="2" s="1"/>
  <c r="AY38" i="2"/>
  <c r="AY39" i="2" s="1"/>
  <c r="AY40" i="2" s="1"/>
  <c r="AY41" i="2" s="1"/>
  <c r="AY42" i="2" s="1"/>
  <c r="AZ38" i="2"/>
  <c r="AZ39" i="2" s="1"/>
  <c r="AZ40" i="2" s="1"/>
  <c r="AZ41" i="2" s="1"/>
  <c r="AZ42" i="2" s="1"/>
  <c r="AN38" i="2"/>
  <c r="AN39" i="2" s="1"/>
  <c r="AN40" i="2" s="1"/>
  <c r="AN41" i="2" s="1"/>
  <c r="AN42" i="2" s="1"/>
  <c r="BB38" i="2"/>
  <c r="BB39" i="2" s="1"/>
  <c r="BB40" i="2" s="1"/>
  <c r="BB41" i="2" s="1"/>
  <c r="BB42" i="2" s="1"/>
  <c r="AQ38" i="2"/>
  <c r="AQ39" i="2" s="1"/>
  <c r="AQ40" i="2" s="1"/>
  <c r="AQ41" i="2" s="1"/>
  <c r="AQ42" i="2" s="1"/>
  <c r="BA38" i="2"/>
  <c r="BA39" i="2" s="1"/>
  <c r="BA40" i="2" s="1"/>
  <c r="BA41" i="2" s="1"/>
  <c r="BA42" i="2" s="1"/>
  <c r="AP38" i="2"/>
  <c r="AP39" i="2" s="1"/>
  <c r="AP40" i="2" s="1"/>
  <c r="AP41" i="2" s="1"/>
  <c r="AP42" i="2" s="1"/>
  <c r="BC38" i="2"/>
  <c r="BC39" i="2" s="1"/>
  <c r="BC40" i="2" s="1"/>
  <c r="BC41" i="2" s="1"/>
  <c r="BC42" i="2" s="1"/>
  <c r="AL38" i="2"/>
  <c r="AL39" i="2" s="1"/>
  <c r="AL40" i="2" s="1"/>
  <c r="AL41" i="2" s="1"/>
  <c r="AL42" i="2" s="1"/>
  <c r="AK38" i="2"/>
  <c r="AK39" i="2" s="1"/>
  <c r="BD38" i="2"/>
  <c r="BD39" i="2" s="1"/>
  <c r="BD40" i="2" s="1"/>
  <c r="BD41" i="2" s="1"/>
  <c r="BD42" i="2" s="1"/>
  <c r="BX5" i="2"/>
  <c r="BX6" i="2" s="1"/>
  <c r="BX7" i="2" s="1"/>
  <c r="BX8" i="2" s="1"/>
  <c r="BX9" i="2" s="1"/>
  <c r="BX10" i="2" s="1"/>
  <c r="BX11" i="2" s="1"/>
  <c r="BX12" i="2" s="1"/>
  <c r="BX13" i="2" s="1"/>
  <c r="BX14" i="2" s="1"/>
  <c r="BX15" i="2" s="1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F26" i="2" a="1"/>
  <c r="F26" i="2" s="1"/>
  <c r="F3" i="2"/>
  <c r="AA40" i="1"/>
  <c r="BR5" i="2"/>
  <c r="BR6" i="2" s="1"/>
  <c r="BR7" i="2" s="1"/>
  <c r="BR8" i="2" s="1"/>
  <c r="BR9" i="2" s="1"/>
  <c r="BR10" i="2" s="1"/>
  <c r="BR11" i="2" s="1"/>
  <c r="BR12" i="2" s="1"/>
  <c r="BR13" i="2" s="1"/>
  <c r="BR14" i="2" s="1"/>
  <c r="BR15" i="2" s="1"/>
  <c r="BR16" i="2" s="1"/>
  <c r="BR17" i="2" s="1"/>
  <c r="BR18" i="2" s="1"/>
  <c r="BR19" i="2" s="1"/>
  <c r="BR20" i="2" s="1"/>
  <c r="BR21" i="2" s="1"/>
  <c r="BR22" i="2" s="1"/>
  <c r="BR23" i="2" s="1"/>
  <c r="BR24" i="2" s="1"/>
  <c r="BR25" i="2" s="1"/>
  <c r="BR26" i="2" s="1"/>
  <c r="BR27" i="2" s="1"/>
  <c r="BR28" i="2" s="1"/>
  <c r="BR29" i="2" s="1"/>
  <c r="BW5" i="2"/>
  <c r="BW6" i="2" s="1"/>
  <c r="BW7" i="2" s="1"/>
  <c r="BW8" i="2" s="1"/>
  <c r="BW9" i="2" s="1"/>
  <c r="BW10" i="2" s="1"/>
  <c r="BW11" i="2" s="1"/>
  <c r="BW12" i="2" s="1"/>
  <c r="BW13" i="2" s="1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H5" i="2"/>
  <c r="BH6" i="2" s="1"/>
  <c r="BH7" i="2" s="1"/>
  <c r="BH8" i="2" s="1"/>
  <c r="BH9" i="2" s="1"/>
  <c r="BH10" i="2" s="1"/>
  <c r="BH11" i="2" s="1"/>
  <c r="BH12" i="2" s="1"/>
  <c r="BH13" i="2" s="1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M5" i="2"/>
  <c r="BM6" i="2" s="1"/>
  <c r="BM7" i="2" s="1"/>
  <c r="BM8" i="2" s="1"/>
  <c r="BM9" i="2" s="1"/>
  <c r="BM10" i="2" s="1"/>
  <c r="BM11" i="2" s="1"/>
  <c r="BM12" i="2" s="1"/>
  <c r="BM13" i="2" s="1"/>
  <c r="BM14" i="2" s="1"/>
  <c r="BM15" i="2" s="1"/>
  <c r="BM16" i="2" s="1"/>
  <c r="BM17" i="2" s="1"/>
  <c r="BM18" i="2" s="1"/>
  <c r="BM19" i="2" s="1"/>
  <c r="BM20" i="2" s="1"/>
  <c r="BM21" i="2" s="1"/>
  <c r="BM22" i="2" s="1"/>
  <c r="BM23" i="2" s="1"/>
  <c r="BM24" i="2" s="1"/>
  <c r="BM25" i="2" s="1"/>
  <c r="BM26" i="2" s="1"/>
  <c r="BM27" i="2" s="1"/>
  <c r="BM28" i="2" s="1"/>
  <c r="BM29" i="2" s="1"/>
  <c r="BT5" i="2"/>
  <c r="BT6" i="2" s="1"/>
  <c r="BT7" i="2" s="1"/>
  <c r="BT8" i="2" s="1"/>
  <c r="BT9" i="2" s="1"/>
  <c r="BT10" i="2" s="1"/>
  <c r="BT11" i="2" s="1"/>
  <c r="BT12" i="2" s="1"/>
  <c r="BT13" i="2" s="1"/>
  <c r="BT14" i="2" s="1"/>
  <c r="BT15" i="2" s="1"/>
  <c r="BT16" i="2" s="1"/>
  <c r="BT17" i="2" s="1"/>
  <c r="BT18" i="2" s="1"/>
  <c r="BT19" i="2" s="1"/>
  <c r="BT20" i="2" s="1"/>
  <c r="BT21" i="2" s="1"/>
  <c r="BT22" i="2" s="1"/>
  <c r="BT23" i="2" s="1"/>
  <c r="BT24" i="2" s="1"/>
  <c r="BT25" i="2" s="1"/>
  <c r="BT26" i="2" s="1"/>
  <c r="BT27" i="2" s="1"/>
  <c r="BT28" i="2" s="1"/>
  <c r="BT29" i="2" s="1"/>
  <c r="BG5" i="2"/>
  <c r="BG6" i="2" s="1"/>
  <c r="BG7" i="2" s="1"/>
  <c r="BG8" i="2" s="1"/>
  <c r="BG9" i="2" s="1"/>
  <c r="BG10" i="2" s="1"/>
  <c r="BG11" i="2" s="1"/>
  <c r="BG12" i="2" s="1"/>
  <c r="BG13" i="2" s="1"/>
  <c r="BG14" i="2" s="1"/>
  <c r="BG15" i="2" s="1"/>
  <c r="BG16" i="2" s="1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I5" i="2"/>
  <c r="BI6" i="2" s="1"/>
  <c r="BI7" i="2" s="1"/>
  <c r="BI8" i="2" s="1"/>
  <c r="BI9" i="2" s="1"/>
  <c r="BI10" i="2" s="1"/>
  <c r="BI11" i="2" s="1"/>
  <c r="BI12" i="2" s="1"/>
  <c r="BI13" i="2" s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J5" i="2"/>
  <c r="BJ6" i="2" s="1"/>
  <c r="BJ7" i="2" s="1"/>
  <c r="BJ8" i="2" s="1"/>
  <c r="BJ9" i="2" s="1"/>
  <c r="BJ10" i="2" s="1"/>
  <c r="BJ11" i="2" s="1"/>
  <c r="BJ12" i="2" s="1"/>
  <c r="BJ13" i="2" s="1"/>
  <c r="BJ14" i="2" s="1"/>
  <c r="BJ15" i="2" s="1"/>
  <c r="BJ16" i="2" s="1"/>
  <c r="BJ17" i="2" s="1"/>
  <c r="BJ18" i="2" s="1"/>
  <c r="BJ19" i="2" s="1"/>
  <c r="BJ20" i="2" s="1"/>
  <c r="BJ21" i="2" s="1"/>
  <c r="BJ22" i="2" s="1"/>
  <c r="BJ23" i="2" s="1"/>
  <c r="BJ24" i="2" s="1"/>
  <c r="BJ25" i="2" s="1"/>
  <c r="BJ26" i="2" s="1"/>
  <c r="BJ27" i="2" s="1"/>
  <c r="BJ28" i="2" s="1"/>
  <c r="BJ29" i="2" s="1"/>
  <c r="BQ5" i="2"/>
  <c r="BQ6" i="2" s="1"/>
  <c r="BQ7" i="2" s="1"/>
  <c r="BQ8" i="2" s="1"/>
  <c r="BQ9" i="2" s="1"/>
  <c r="BQ10" i="2" s="1"/>
  <c r="BQ11" i="2" s="1"/>
  <c r="BQ12" i="2" s="1"/>
  <c r="BQ13" i="2" s="1"/>
  <c r="BQ14" i="2" s="1"/>
  <c r="BQ15" i="2" s="1"/>
  <c r="BQ16" i="2" s="1"/>
  <c r="BQ17" i="2" s="1"/>
  <c r="BQ18" i="2" s="1"/>
  <c r="BQ19" i="2" s="1"/>
  <c r="BQ20" i="2" s="1"/>
  <c r="BQ21" i="2" s="1"/>
  <c r="BQ22" i="2" s="1"/>
  <c r="BQ23" i="2" s="1"/>
  <c r="BQ24" i="2" s="1"/>
  <c r="BQ25" i="2" s="1"/>
  <c r="BQ26" i="2" s="1"/>
  <c r="BQ27" i="2" s="1"/>
  <c r="BQ28" i="2" s="1"/>
  <c r="BQ29" i="2" s="1"/>
  <c r="BN5" i="2"/>
  <c r="BN6" i="2" s="1"/>
  <c r="BN7" i="2" s="1"/>
  <c r="BN8" i="2" s="1"/>
  <c r="BN9" i="2" s="1"/>
  <c r="BN10" i="2" s="1"/>
  <c r="BN11" i="2" s="1"/>
  <c r="BN12" i="2" s="1"/>
  <c r="BN13" i="2" s="1"/>
  <c r="BN14" i="2" s="1"/>
  <c r="BN15" i="2" s="1"/>
  <c r="BN16" i="2" s="1"/>
  <c r="BN17" i="2" s="1"/>
  <c r="BN18" i="2" s="1"/>
  <c r="BN19" i="2" s="1"/>
  <c r="BN20" i="2" s="1"/>
  <c r="BN21" i="2" s="1"/>
  <c r="BN22" i="2" s="1"/>
  <c r="BN23" i="2" s="1"/>
  <c r="BN24" i="2" s="1"/>
  <c r="BN25" i="2" s="1"/>
  <c r="BN26" i="2" s="1"/>
  <c r="BN27" i="2" s="1"/>
  <c r="BN28" i="2" s="1"/>
  <c r="BN29" i="2" s="1"/>
  <c r="BY5" i="2"/>
  <c r="BY6" i="2" s="1"/>
  <c r="BY7" i="2" s="1"/>
  <c r="BY8" i="2" s="1"/>
  <c r="BY9" i="2" s="1"/>
  <c r="BY10" i="2" s="1"/>
  <c r="BY11" i="2" s="1"/>
  <c r="BY12" i="2" s="1"/>
  <c r="BY13" i="2" s="1"/>
  <c r="BY14" i="2" s="1"/>
  <c r="BY15" i="2" s="1"/>
  <c r="BY16" i="2" s="1"/>
  <c r="BY17" i="2" s="1"/>
  <c r="BY18" i="2" s="1"/>
  <c r="BY19" i="2" s="1"/>
  <c r="BY20" i="2" s="1"/>
  <c r="BY21" i="2" s="1"/>
  <c r="BY22" i="2" s="1"/>
  <c r="BY23" i="2" s="1"/>
  <c r="BY24" i="2" s="1"/>
  <c r="BY25" i="2" s="1"/>
  <c r="BY26" i="2" s="1"/>
  <c r="BY27" i="2" s="1"/>
  <c r="BY28" i="2" s="1"/>
  <c r="BY29" i="2" s="1"/>
  <c r="BV5" i="2"/>
  <c r="BV6" i="2" s="1"/>
  <c r="BV7" i="2" s="1"/>
  <c r="BV8" i="2" s="1"/>
  <c r="BV9" i="2" s="1"/>
  <c r="BV10" i="2" s="1"/>
  <c r="BV11" i="2" s="1"/>
  <c r="BV12" i="2" s="1"/>
  <c r="BV13" i="2" s="1"/>
  <c r="BV14" i="2" s="1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P5" i="2"/>
  <c r="BP6" i="2" s="1"/>
  <c r="BP7" i="2" s="1"/>
  <c r="BP8" i="2" s="1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P20" i="2" s="1"/>
  <c r="BP21" i="2" s="1"/>
  <c r="BP22" i="2" s="1"/>
  <c r="BP23" i="2" s="1"/>
  <c r="BP24" i="2" s="1"/>
  <c r="BP25" i="2" s="1"/>
  <c r="BP26" i="2" s="1"/>
  <c r="BP27" i="2" s="1"/>
  <c r="BP28" i="2" s="1"/>
  <c r="BP29" i="2" s="1"/>
  <c r="BO5" i="2"/>
  <c r="BO6" i="2" s="1"/>
  <c r="BO7" i="2" s="1"/>
  <c r="BO8" i="2" s="1"/>
  <c r="BO9" i="2" s="1"/>
  <c r="BO10" i="2" s="1"/>
  <c r="BO11" i="2" s="1"/>
  <c r="BO12" i="2" s="1"/>
  <c r="BO13" i="2" s="1"/>
  <c r="BO14" i="2" s="1"/>
  <c r="BO15" i="2" s="1"/>
  <c r="BO16" i="2" s="1"/>
  <c r="BO17" i="2" s="1"/>
  <c r="BO18" i="2" s="1"/>
  <c r="BO19" i="2" s="1"/>
  <c r="BO20" i="2" s="1"/>
  <c r="BO21" i="2" s="1"/>
  <c r="BO22" i="2" s="1"/>
  <c r="BO23" i="2" s="1"/>
  <c r="BO24" i="2" s="1"/>
  <c r="BO25" i="2" s="1"/>
  <c r="BO26" i="2" s="1"/>
  <c r="BO27" i="2" s="1"/>
  <c r="BO28" i="2" s="1"/>
  <c r="BO29" i="2" s="1"/>
  <c r="BL5" i="2"/>
  <c r="BL6" i="2" s="1"/>
  <c r="BL7" i="2" s="1"/>
  <c r="BL8" i="2" s="1"/>
  <c r="BL9" i="2" s="1"/>
  <c r="BL10" i="2" s="1"/>
  <c r="BL11" i="2" s="1"/>
  <c r="BL12" i="2" s="1"/>
  <c r="BL13" i="2" s="1"/>
  <c r="BL14" i="2" s="1"/>
  <c r="BL15" i="2" s="1"/>
  <c r="BL16" i="2" s="1"/>
  <c r="BL17" i="2" s="1"/>
  <c r="BL18" i="2" s="1"/>
  <c r="BL19" i="2" s="1"/>
  <c r="BL20" i="2" s="1"/>
  <c r="BL21" i="2" s="1"/>
  <c r="BL22" i="2" s="1"/>
  <c r="BL23" i="2" s="1"/>
  <c r="BL24" i="2" s="1"/>
  <c r="BL25" i="2" s="1"/>
  <c r="BL26" i="2" s="1"/>
  <c r="BL27" i="2" s="1"/>
  <c r="BL28" i="2" s="1"/>
  <c r="BL29" i="2" s="1"/>
  <c r="BU5" i="2"/>
  <c r="BU6" i="2" s="1"/>
  <c r="BU7" i="2" s="1"/>
  <c r="BU8" i="2" s="1"/>
  <c r="BU9" i="2" s="1"/>
  <c r="BU10" i="2" s="1"/>
  <c r="BU11" i="2" s="1"/>
  <c r="BU12" i="2" s="1"/>
  <c r="BU13" i="2" s="1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S5" i="2"/>
  <c r="BS6" i="2" s="1"/>
  <c r="BS7" i="2" s="1"/>
  <c r="BS8" i="2" s="1"/>
  <c r="BS9" i="2" s="1"/>
  <c r="BS10" i="2" s="1"/>
  <c r="BS11" i="2" s="1"/>
  <c r="BS12" i="2" s="1"/>
  <c r="BS13" i="2" s="1"/>
  <c r="BS14" i="2" s="1"/>
  <c r="BS15" i="2" s="1"/>
  <c r="BS16" i="2" s="1"/>
  <c r="BS17" i="2" s="1"/>
  <c r="BS18" i="2" s="1"/>
  <c r="BS19" i="2" s="1"/>
  <c r="BS20" i="2" s="1"/>
  <c r="BS21" i="2" s="1"/>
  <c r="BS22" i="2" s="1"/>
  <c r="BS23" i="2" s="1"/>
  <c r="BS24" i="2" s="1"/>
  <c r="BS25" i="2" s="1"/>
  <c r="BS26" i="2" s="1"/>
  <c r="BS27" i="2" s="1"/>
  <c r="BS28" i="2" s="1"/>
  <c r="BS29" i="2" s="1"/>
  <c r="BK5" i="2"/>
  <c r="BK6" i="2" s="1"/>
  <c r="BK7" i="2" s="1"/>
  <c r="BK8" i="2" s="1"/>
  <c r="BK9" i="2" s="1"/>
  <c r="BK10" i="2" s="1"/>
  <c r="BK11" i="2" s="1"/>
  <c r="BK12" i="2" s="1"/>
  <c r="BK13" i="2" s="1"/>
  <c r="BK14" i="2" s="1"/>
  <c r="BK15" i="2" s="1"/>
  <c r="BK16" i="2" s="1"/>
  <c r="BK17" i="2" s="1"/>
  <c r="BK18" i="2" s="1"/>
  <c r="BK19" i="2" s="1"/>
  <c r="BK20" i="2" s="1"/>
  <c r="BK21" i="2" s="1"/>
  <c r="BK22" i="2" s="1"/>
  <c r="BK23" i="2" s="1"/>
  <c r="BK24" i="2" s="1"/>
  <c r="BK25" i="2" s="1"/>
  <c r="BK26" i="2" s="1"/>
  <c r="BK27" i="2" s="1"/>
  <c r="BK28" i="2" s="1"/>
  <c r="BK29" i="2" s="1"/>
  <c r="BF5" i="2"/>
  <c r="BF6" i="2" s="1"/>
  <c r="BF7" i="2" s="1"/>
  <c r="BF8" i="2" s="1"/>
  <c r="BF9" i="2" s="1"/>
  <c r="BF10" i="2" s="1"/>
  <c r="BF11" i="2" s="1"/>
  <c r="BF12" i="2" s="1"/>
  <c r="BF13" i="2" s="1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F57" i="2" l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  <c r="F204" i="2" s="1" a="1"/>
  <c r="F204" i="2" s="1"/>
  <c r="F205" i="2" s="1" a="1"/>
  <c r="F205" i="2" s="1"/>
  <c r="F206" i="2" s="1" a="1"/>
  <c r="F206" i="2" s="1"/>
  <c r="F207" i="2" s="1" a="1"/>
  <c r="F207" i="2" s="1"/>
  <c r="F208" i="2" s="1" a="1"/>
  <c r="F208" i="2" s="1"/>
  <c r="F209" i="2" s="1" a="1"/>
  <c r="F209" i="2" s="1"/>
  <c r="F210" i="2" s="1" a="1"/>
  <c r="F210" i="2" s="1"/>
  <c r="F211" i="2" s="1" a="1"/>
  <c r="F211" i="2" s="1"/>
  <c r="F212" i="2" s="1" a="1"/>
  <c r="F212" i="2" s="1"/>
  <c r="F213" i="2" s="1" a="1"/>
  <c r="F213" i="2" s="1"/>
  <c r="F214" i="2" s="1" a="1"/>
  <c r="F214" i="2" s="1"/>
  <c r="F215" i="2" s="1" a="1"/>
  <c r="F215" i="2" s="1"/>
  <c r="F216" i="2" s="1" a="1"/>
  <c r="F216" i="2" s="1"/>
  <c r="F217" i="2" s="1" a="1"/>
  <c r="F217" i="2" s="1"/>
  <c r="F218" i="2" s="1" a="1"/>
  <c r="F218" i="2" s="1"/>
  <c r="F219" i="2" s="1" a="1"/>
  <c r="F219" i="2" s="1"/>
  <c r="F220" i="2" s="1" a="1"/>
  <c r="F220" i="2" s="1"/>
  <c r="F221" i="2" s="1" a="1"/>
  <c r="F221" i="2" s="1"/>
  <c r="F222" i="2" s="1" a="1"/>
  <c r="F222" i="2" s="1"/>
  <c r="F223" i="2" s="1" a="1"/>
  <c r="F223" i="2" s="1"/>
  <c r="F224" i="2" s="1" a="1"/>
  <c r="F224" i="2" s="1"/>
  <c r="F225" i="2" s="1" a="1"/>
  <c r="F225" i="2" s="1"/>
  <c r="F226" i="2" s="1" a="1"/>
  <c r="F226" i="2" s="1"/>
  <c r="F227" i="2" s="1" a="1"/>
  <c r="F227" i="2" s="1"/>
  <c r="F228" i="2" s="1" a="1"/>
  <c r="F228" i="2" s="1"/>
  <c r="F229" i="2" s="1" a="1"/>
  <c r="F229" i="2" s="1"/>
  <c r="F230" i="2" s="1" a="1"/>
  <c r="F230" i="2" s="1"/>
  <c r="F231" i="2" s="1" a="1"/>
  <c r="F231" i="2" s="1"/>
  <c r="F232" i="2" s="1" a="1"/>
  <c r="F232" i="2" s="1"/>
  <c r="F233" i="2" s="1" a="1"/>
  <c r="F233" i="2" s="1"/>
  <c r="F234" i="2" s="1" a="1"/>
  <c r="F234" i="2" s="1"/>
  <c r="F235" i="2" s="1" a="1"/>
  <c r="F235" i="2" s="1"/>
  <c r="F236" i="2" s="1" a="1"/>
  <c r="F236" i="2" s="1"/>
  <c r="F237" i="2" s="1" a="1"/>
  <c r="F237" i="2" s="1"/>
  <c r="F238" i="2" s="1" a="1"/>
  <c r="F238" i="2" s="1"/>
  <c r="F239" i="2" s="1" a="1"/>
  <c r="F239" i="2" s="1"/>
  <c r="F240" i="2" s="1" a="1"/>
  <c r="F240" i="2" s="1"/>
  <c r="F241" i="2" s="1" a="1"/>
  <c r="F241" i="2" s="1"/>
  <c r="F242" i="2" s="1" a="1"/>
  <c r="F242" i="2" s="1"/>
  <c r="F243" i="2" s="1" a="1"/>
  <c r="F243" i="2" s="1"/>
  <c r="F244" i="2" s="1" a="1"/>
  <c r="F244" i="2" s="1"/>
  <c r="F245" i="2" s="1" a="1"/>
  <c r="F245" i="2" s="1"/>
  <c r="F246" i="2" s="1" a="1"/>
  <c r="F246" i="2" s="1"/>
  <c r="F247" i="2" s="1" a="1"/>
  <c r="F247" i="2" s="1"/>
  <c r="F248" i="2" s="1" a="1"/>
  <c r="F248" i="2" s="1"/>
  <c r="F249" i="2" s="1" a="1"/>
  <c r="F249" i="2" s="1"/>
  <c r="F250" i="2" s="1" a="1"/>
  <c r="F250" i="2" s="1"/>
  <c r="F251" i="2" s="1" a="1"/>
  <c r="F251" i="2" s="1"/>
  <c r="F252" i="2" s="1" a="1"/>
  <c r="F252" i="2" s="1"/>
  <c r="F253" i="2" s="1" a="1"/>
  <c r="F253" i="2" s="1"/>
  <c r="F254" i="2" s="1" a="1"/>
  <c r="F254" i="2" s="1"/>
  <c r="F255" i="2" s="1" a="1"/>
  <c r="F255" i="2" s="1"/>
  <c r="F256" i="2" s="1" a="1"/>
  <c r="F256" i="2" s="1"/>
  <c r="F257" i="2" s="1" a="1"/>
  <c r="F257" i="2" s="1"/>
  <c r="F258" i="2" s="1" a="1"/>
  <c r="F258" i="2" s="1"/>
  <c r="F259" i="2" s="1" a="1"/>
  <c r="F259" i="2" s="1"/>
  <c r="F260" i="2" s="1" a="1"/>
  <c r="F260" i="2" s="1"/>
  <c r="F261" i="2" s="1" a="1"/>
  <c r="F261" i="2" s="1"/>
  <c r="F262" i="2" s="1" a="1"/>
  <c r="F262" i="2" s="1"/>
  <c r="F263" i="2" s="1" a="1"/>
  <c r="F263" i="2" s="1"/>
  <c r="F264" i="2" s="1" a="1"/>
  <c r="F264" i="2" s="1"/>
  <c r="F265" i="2" s="1" a="1"/>
  <c r="F265" i="2" s="1"/>
  <c r="F266" i="2" s="1" a="1"/>
  <c r="F266" i="2" s="1"/>
  <c r="F267" i="2" s="1" a="1"/>
  <c r="F267" i="2" s="1"/>
  <c r="F268" i="2" s="1" a="1"/>
  <c r="F268" i="2" s="1"/>
  <c r="F269" i="2" s="1" a="1"/>
  <c r="F269" i="2" s="1"/>
  <c r="F270" i="2" s="1" a="1"/>
  <c r="F270" i="2" s="1"/>
  <c r="F271" i="2" s="1" a="1"/>
  <c r="F271" i="2" s="1"/>
  <c r="F272" i="2" s="1" a="1"/>
  <c r="F272" i="2" s="1"/>
  <c r="F273" i="2" s="1" a="1"/>
  <c r="F273" i="2" s="1"/>
  <c r="F274" i="2" s="1" a="1"/>
  <c r="F274" i="2" s="1"/>
  <c r="F275" i="2" s="1" a="1"/>
  <c r="F275" i="2" s="1"/>
  <c r="F276" i="2" s="1" a="1"/>
  <c r="F276" i="2" s="1"/>
  <c r="F277" i="2" s="1" a="1"/>
  <c r="F277" i="2" s="1"/>
  <c r="F278" i="2" s="1" a="1"/>
  <c r="F278" i="2" s="1"/>
  <c r="F279" i="2" s="1" a="1"/>
  <c r="F279" i="2" s="1"/>
  <c r="F280" i="2" s="1" a="1"/>
  <c r="F280" i="2" s="1"/>
  <c r="F281" i="2" s="1" a="1"/>
  <c r="F281" i="2" s="1"/>
  <c r="F282" i="2" s="1" a="1"/>
  <c r="F282" i="2" s="1"/>
  <c r="F283" i="2" s="1" a="1"/>
  <c r="F283" i="2" s="1"/>
  <c r="F284" i="2" s="1" a="1"/>
  <c r="F284" i="2" s="1"/>
  <c r="F285" i="2" s="1" a="1"/>
  <c r="F285" i="2" s="1"/>
  <c r="F286" i="2" s="1" a="1"/>
  <c r="F286" i="2" s="1"/>
  <c r="F287" i="2" s="1" a="1"/>
  <c r="F287" i="2" s="1"/>
  <c r="F288" i="2" s="1" a="1"/>
  <c r="F288" i="2" s="1"/>
  <c r="F289" i="2" s="1" a="1"/>
  <c r="F289" i="2" s="1"/>
  <c r="F290" i="2" s="1" a="1"/>
  <c r="F290" i="2" s="1"/>
  <c r="F291" i="2" s="1" a="1"/>
  <c r="F291" i="2" s="1"/>
  <c r="F292" i="2" s="1" a="1"/>
  <c r="F292" i="2" s="1"/>
  <c r="F293" i="2" s="1" a="1"/>
  <c r="F293" i="2" s="1"/>
  <c r="F294" i="2" s="1" a="1"/>
  <c r="F294" i="2" s="1"/>
  <c r="F295" i="2" s="1" a="1"/>
  <c r="F295" i="2" s="1"/>
  <c r="F296" i="2" s="1" a="1"/>
  <c r="F296" i="2" s="1"/>
  <c r="F297" i="2" s="1" a="1"/>
  <c r="F297" i="2" s="1"/>
  <c r="F298" i="2" s="1" a="1"/>
  <c r="F298" i="2" s="1"/>
  <c r="F299" i="2" s="1" a="1"/>
  <c r="F299" i="2" s="1"/>
  <c r="F300" i="2" s="1" a="1"/>
  <c r="F300" i="2" s="1"/>
  <c r="F301" i="2" s="1" a="1"/>
  <c r="F301" i="2" s="1"/>
  <c r="F302" i="2" s="1" a="1"/>
  <c r="F302" i="2" s="1"/>
  <c r="F303" i="2" s="1" a="1"/>
  <c r="F303" i="2" s="1"/>
  <c r="F304" i="2" s="1" a="1"/>
  <c r="F304" i="2" s="1"/>
  <c r="F305" i="2" s="1" a="1"/>
  <c r="F305" i="2" s="1"/>
  <c r="F306" i="2" s="1" a="1"/>
  <c r="F306" i="2" s="1"/>
  <c r="F307" i="2" s="1" a="1"/>
  <c r="F307" i="2" s="1"/>
  <c r="F308" i="2" s="1" a="1"/>
  <c r="F308" i="2" s="1"/>
  <c r="F309" i="2" s="1" a="1"/>
  <c r="F309" i="2" s="1"/>
  <c r="F310" i="2" s="1" a="1"/>
  <c r="F310" i="2" s="1"/>
  <c r="F311" i="2" s="1" a="1"/>
  <c r="F311" i="2" s="1"/>
  <c r="F312" i="2" s="1" a="1"/>
  <c r="F312" i="2" s="1"/>
  <c r="F313" i="2" s="1" a="1"/>
  <c r="F313" i="2" s="1"/>
  <c r="F314" i="2" s="1" a="1"/>
  <c r="F314" i="2" s="1"/>
  <c r="F315" i="2" s="1" a="1"/>
  <c r="F315" i="2" s="1"/>
  <c r="F316" i="2" s="1" a="1"/>
  <c r="F316" i="2" s="1"/>
  <c r="F317" i="2" s="1" a="1"/>
  <c r="F317" i="2" s="1"/>
  <c r="F318" i="2" s="1" a="1"/>
  <c r="F318" i="2" s="1"/>
  <c r="F319" i="2" s="1" a="1"/>
  <c r="F319" i="2" s="1"/>
  <c r="F320" i="2" s="1" a="1"/>
  <c r="F320" i="2" s="1"/>
  <c r="F321" i="2" s="1" a="1"/>
  <c r="F321" i="2" s="1"/>
  <c r="F322" i="2" s="1" a="1"/>
  <c r="F322" i="2" s="1"/>
  <c r="F323" i="2" s="1" a="1"/>
  <c r="F323" i="2" s="1"/>
  <c r="F324" i="2" s="1" a="1"/>
  <c r="F324" i="2" s="1"/>
  <c r="F325" i="2" s="1" a="1"/>
  <c r="F325" i="2" s="1"/>
  <c r="F326" i="2" s="1" a="1"/>
  <c r="F326" i="2" s="1"/>
  <c r="F327" i="2" s="1" a="1"/>
  <c r="F327" i="2" s="1"/>
  <c r="F328" i="2" s="1" a="1"/>
  <c r="F328" i="2" s="1"/>
  <c r="F329" i="2" s="1" a="1"/>
  <c r="F329" i="2" s="1"/>
  <c r="F330" i="2" s="1" a="1"/>
  <c r="F330" i="2" s="1"/>
  <c r="F331" i="2" s="1" a="1"/>
  <c r="F331" i="2" s="1"/>
  <c r="F332" i="2" s="1" a="1"/>
  <c r="F332" i="2" s="1"/>
  <c r="F333" i="2" s="1" a="1"/>
  <c r="F333" i="2" s="1"/>
  <c r="F334" i="2" s="1" a="1"/>
  <c r="F334" i="2" s="1"/>
  <c r="F335" i="2" s="1" a="1"/>
  <c r="F335" i="2" s="1"/>
  <c r="F336" i="2" s="1" a="1"/>
  <c r="F336" i="2" s="1"/>
  <c r="F337" i="2" s="1" a="1"/>
  <c r="F337" i="2" s="1"/>
  <c r="F338" i="2" s="1" a="1"/>
  <c r="F338" i="2" s="1"/>
  <c r="F339" i="2" s="1" a="1"/>
  <c r="F339" i="2" s="1"/>
  <c r="F340" i="2" s="1" a="1"/>
  <c r="F340" i="2" s="1"/>
  <c r="F341" i="2" s="1" a="1"/>
  <c r="F341" i="2" s="1"/>
  <c r="F342" i="2" s="1" a="1"/>
  <c r="F342" i="2" s="1"/>
  <c r="F343" i="2" s="1" a="1"/>
  <c r="F343" i="2" s="1"/>
  <c r="F344" i="2" s="1" a="1"/>
  <c r="F344" i="2" s="1"/>
  <c r="F345" i="2" s="1" a="1"/>
  <c r="F345" i="2" s="1"/>
  <c r="F346" i="2" s="1" a="1"/>
  <c r="F346" i="2" s="1"/>
  <c r="F347" i="2" s="1" a="1"/>
  <c r="F347" i="2" s="1"/>
  <c r="F348" i="2" s="1" a="1"/>
  <c r="F348" i="2" s="1"/>
  <c r="F349" i="2" s="1" a="1"/>
  <c r="F349" i="2" s="1"/>
  <c r="F350" i="2" s="1" a="1"/>
  <c r="F350" i="2" s="1"/>
  <c r="F351" i="2" s="1" a="1"/>
  <c r="F351" i="2" s="1"/>
  <c r="F352" i="2" s="1" a="1"/>
  <c r="F352" i="2" s="1"/>
  <c r="F353" i="2" s="1" a="1"/>
  <c r="F353" i="2" s="1"/>
  <c r="F354" i="2" s="1" a="1"/>
  <c r="F354" i="2" s="1"/>
  <c r="F355" i="2" s="1" a="1"/>
  <c r="F355" i="2" s="1"/>
  <c r="F356" i="2" s="1" a="1"/>
  <c r="F356" i="2" s="1"/>
  <c r="F357" i="2" s="1" a="1"/>
  <c r="F357" i="2" s="1"/>
  <c r="F358" i="2" s="1" a="1"/>
  <c r="F358" i="2" s="1"/>
  <c r="F359" i="2" s="1" a="1"/>
  <c r="F359" i="2" s="1"/>
  <c r="F360" i="2" s="1" a="1"/>
  <c r="F360" i="2" s="1"/>
  <c r="F361" i="2" s="1" a="1"/>
  <c r="F361" i="2" s="1"/>
  <c r="F362" i="2" s="1" a="1"/>
  <c r="F362" i="2" s="1"/>
  <c r="F363" i="2" s="1" a="1"/>
  <c r="F363" i="2" s="1"/>
  <c r="F364" i="2" s="1" a="1"/>
  <c r="F364" i="2" s="1"/>
  <c r="F365" i="2" s="1" a="1"/>
  <c r="F365" i="2" s="1"/>
  <c r="F366" i="2" s="1" a="1"/>
  <c r="F366" i="2" s="1"/>
  <c r="F367" i="2" s="1" a="1"/>
  <c r="F367" i="2" s="1"/>
  <c r="F368" i="2" s="1" a="1"/>
  <c r="F368" i="2" s="1"/>
  <c r="F369" i="2" s="1" a="1"/>
  <c r="F369" i="2" s="1"/>
  <c r="F370" i="2" s="1" a="1"/>
  <c r="F370" i="2" s="1"/>
  <c r="F371" i="2" s="1" a="1"/>
  <c r="F371" i="2" s="1"/>
  <c r="F372" i="2" s="1" a="1"/>
  <c r="F372" i="2" s="1"/>
  <c r="F373" i="2" s="1" a="1"/>
  <c r="F373" i="2" s="1"/>
  <c r="F374" i="2" s="1" a="1"/>
  <c r="F374" i="2" s="1"/>
  <c r="F375" i="2" s="1" a="1"/>
  <c r="F375" i="2" s="1"/>
  <c r="F376" i="2" s="1" a="1"/>
  <c r="F376" i="2" s="1"/>
  <c r="F377" i="2" s="1" a="1"/>
  <c r="F377" i="2" s="1"/>
  <c r="F378" i="2" s="1" a="1"/>
  <c r="F378" i="2" s="1"/>
  <c r="F379" i="2" s="1" a="1"/>
  <c r="F379" i="2" s="1"/>
  <c r="F380" i="2" s="1" a="1"/>
  <c r="F380" i="2" s="1"/>
  <c r="F381" i="2" s="1" a="1"/>
  <c r="F381" i="2" s="1"/>
  <c r="F382" i="2" s="1" a="1"/>
  <c r="F382" i="2" s="1"/>
  <c r="F383" i="2" s="1" a="1"/>
  <c r="F383" i="2" s="1"/>
  <c r="F384" i="2" s="1" a="1"/>
  <c r="F384" i="2" s="1"/>
  <c r="F385" i="2" s="1" a="1"/>
  <c r="F385" i="2" s="1"/>
  <c r="F386" i="2" s="1" a="1"/>
  <c r="F386" i="2" s="1"/>
  <c r="F387" i="2" s="1" a="1"/>
  <c r="F387" i="2" s="1"/>
  <c r="F388" i="2" s="1" a="1"/>
  <c r="F388" i="2" s="1"/>
  <c r="F389" i="2" s="1" a="1"/>
  <c r="F389" i="2" s="1"/>
  <c r="F390" i="2" s="1" a="1"/>
  <c r="F390" i="2" s="1"/>
  <c r="F391" i="2" s="1" a="1"/>
  <c r="F391" i="2" s="1"/>
  <c r="F392" i="2" s="1" a="1"/>
  <c r="F392" i="2" s="1"/>
  <c r="F393" i="2" s="1" a="1"/>
  <c r="F393" i="2" s="1"/>
  <c r="F394" i="2" s="1" a="1"/>
  <c r="F394" i="2" s="1"/>
  <c r="F395" i="2" s="1" a="1"/>
  <c r="F395" i="2" s="1"/>
  <c r="F396" i="2" s="1" a="1"/>
  <c r="F396" i="2" s="1"/>
  <c r="F397" i="2" s="1" a="1"/>
  <c r="F397" i="2" s="1"/>
  <c r="F398" i="2" s="1" a="1"/>
  <c r="F398" i="2" s="1"/>
  <c r="F399" i="2" s="1" a="1"/>
  <c r="F399" i="2" s="1"/>
  <c r="F400" i="2" s="1" a="1"/>
  <c r="F400" i="2" s="1"/>
  <c r="F401" i="2" s="1" a="1"/>
  <c r="F401" i="2" s="1"/>
  <c r="F402" i="2" s="1" a="1"/>
  <c r="F402" i="2" s="1"/>
  <c r="F403" i="2" s="1" a="1"/>
  <c r="F403" i="2" s="1"/>
  <c r="F404" i="2" s="1" a="1"/>
  <c r="F404" i="2" s="1"/>
  <c r="F405" i="2" s="1" a="1"/>
  <c r="F405" i="2" s="1"/>
  <c r="F406" i="2" s="1" a="1"/>
  <c r="F406" i="2" s="1"/>
  <c r="F407" i="2" s="1" a="1"/>
  <c r="F407" i="2" s="1"/>
  <c r="F408" i="2" s="1" a="1"/>
  <c r="F408" i="2" s="1"/>
  <c r="F409" i="2" s="1" a="1"/>
  <c r="F409" i="2" s="1"/>
  <c r="F410" i="2" s="1" a="1"/>
  <c r="F410" i="2" s="1"/>
  <c r="F411" i="2" s="1" a="1"/>
  <c r="F411" i="2" s="1"/>
  <c r="F412" i="2" s="1" a="1"/>
  <c r="F412" i="2" s="1"/>
  <c r="F413" i="2" s="1" a="1"/>
  <c r="F413" i="2" s="1"/>
  <c r="F414" i="2" s="1" a="1"/>
  <c r="F414" i="2" s="1"/>
  <c r="F415" i="2" s="1" a="1"/>
  <c r="F415" i="2" s="1"/>
  <c r="F416" i="2" s="1" a="1"/>
  <c r="F416" i="2" s="1"/>
  <c r="F417" i="2" s="1" a="1"/>
  <c r="F417" i="2" s="1"/>
  <c r="F418" i="2" s="1" a="1"/>
  <c r="F418" i="2" s="1"/>
  <c r="F419" i="2" s="1" a="1"/>
  <c r="F419" i="2" s="1"/>
  <c r="F420" i="2" s="1" a="1"/>
  <c r="F420" i="2" s="1"/>
  <c r="F421" i="2" s="1" a="1"/>
  <c r="F421" i="2" s="1"/>
  <c r="F422" i="2" s="1" a="1"/>
  <c r="F422" i="2" s="1"/>
  <c r="F423" i="2" s="1" a="1"/>
  <c r="F423" i="2" s="1"/>
  <c r="F424" i="2" s="1" a="1"/>
  <c r="F424" i="2" s="1"/>
  <c r="F425" i="2" s="1" a="1"/>
  <c r="F425" i="2" s="1"/>
  <c r="F426" i="2" s="1" a="1"/>
  <c r="F426" i="2" s="1"/>
  <c r="F427" i="2" s="1" a="1"/>
  <c r="F427" i="2" s="1"/>
  <c r="F428" i="2" s="1" a="1"/>
  <c r="F428" i="2" s="1"/>
  <c r="F429" i="2" s="1" a="1"/>
  <c r="F429" i="2" s="1"/>
  <c r="F430" i="2" s="1" a="1"/>
  <c r="F430" i="2" s="1"/>
  <c r="F431" i="2" s="1" a="1"/>
  <c r="F431" i="2" s="1"/>
  <c r="F432" i="2" s="1" a="1"/>
  <c r="F432" i="2" s="1"/>
  <c r="F433" i="2" s="1" a="1"/>
  <c r="F433" i="2" s="1"/>
  <c r="F434" i="2" s="1" a="1"/>
  <c r="F434" i="2" s="1"/>
  <c r="F435" i="2" s="1" a="1"/>
  <c r="F435" i="2" s="1"/>
  <c r="F436" i="2" s="1" a="1"/>
  <c r="F436" i="2" s="1"/>
  <c r="F437" i="2" s="1" a="1"/>
  <c r="F437" i="2" s="1"/>
  <c r="F438" i="2" s="1" a="1"/>
  <c r="F438" i="2" s="1"/>
  <c r="F439" i="2" s="1" a="1"/>
  <c r="F439" i="2" s="1"/>
  <c r="F440" i="2" s="1" a="1"/>
  <c r="F440" i="2" s="1"/>
  <c r="F441" i="2" s="1" a="1"/>
  <c r="F441" i="2" s="1"/>
  <c r="F442" i="2" s="1" a="1"/>
  <c r="F442" i="2" s="1"/>
  <c r="F443" i="2" s="1" a="1"/>
  <c r="F443" i="2" s="1"/>
  <c r="F444" i="2" s="1" a="1"/>
  <c r="F444" i="2" s="1"/>
  <c r="F445" i="2" s="1" a="1"/>
  <c r="F445" i="2" s="1"/>
  <c r="F446" i="2" s="1" a="1"/>
  <c r="F446" i="2" s="1"/>
  <c r="F447" i="2" s="1" a="1"/>
  <c r="F447" i="2" s="1"/>
  <c r="F448" i="2" s="1" a="1"/>
  <c r="F448" i="2" s="1"/>
  <c r="F449" i="2" s="1" a="1"/>
  <c r="F449" i="2" s="1"/>
  <c r="F450" i="2" s="1" a="1"/>
  <c r="F450" i="2" s="1"/>
  <c r="F451" i="2" s="1" a="1"/>
  <c r="F451" i="2" s="1"/>
  <c r="F452" i="2" s="1" a="1"/>
  <c r="F452" i="2" s="1"/>
  <c r="F453" i="2" s="1" a="1"/>
  <c r="F453" i="2" s="1"/>
  <c r="F454" i="2" s="1" a="1"/>
  <c r="F454" i="2" s="1"/>
  <c r="F455" i="2" s="1" a="1"/>
  <c r="F455" i="2" s="1"/>
  <c r="D33" i="2"/>
  <c r="D29" i="2"/>
  <c r="AO34" i="2"/>
  <c r="AO35" i="2" s="1"/>
  <c r="AO36" i="2" s="1"/>
  <c r="AO37" i="2" s="1"/>
  <c r="D43" i="2"/>
  <c r="D51" i="2"/>
  <c r="AK52" i="2"/>
  <c r="BD45" i="2"/>
  <c r="BD46" i="2" s="1"/>
  <c r="D44" i="2"/>
  <c r="AK49" i="2"/>
  <c r="AL48" i="2"/>
  <c r="AL49" i="2" s="1"/>
  <c r="AL50" i="2" s="1"/>
  <c r="D47" i="2"/>
  <c r="D39" i="2"/>
  <c r="AK40" i="2"/>
  <c r="AK46" i="2"/>
  <c r="D38" i="2"/>
  <c r="D31" i="2"/>
  <c r="D30" i="2"/>
  <c r="BL30" i="2"/>
  <c r="CG29" i="2"/>
  <c r="BI30" i="2"/>
  <c r="CD29" i="2"/>
  <c r="BO30" i="2"/>
  <c r="CJ29" i="2"/>
  <c r="BG30" i="2"/>
  <c r="CB29" i="2"/>
  <c r="BT30" i="2"/>
  <c r="CO29" i="2"/>
  <c r="BV30" i="2"/>
  <c r="CQ29" i="2"/>
  <c r="BQ30" i="2"/>
  <c r="CL29" i="2"/>
  <c r="BU30" i="2"/>
  <c r="CP29" i="2"/>
  <c r="BM30" i="2"/>
  <c r="CH29" i="2"/>
  <c r="BH30" i="2"/>
  <c r="CC29" i="2"/>
  <c r="BS30" i="2"/>
  <c r="CN29" i="2"/>
  <c r="BR30" i="2"/>
  <c r="CM29" i="2"/>
  <c r="BP30" i="2"/>
  <c r="CK29" i="2"/>
  <c r="BX30" i="2"/>
  <c r="CS29" i="2"/>
  <c r="BF30" i="2"/>
  <c r="CA29" i="2"/>
  <c r="BY30" i="2"/>
  <c r="CT29" i="2"/>
  <c r="BK30" i="2"/>
  <c r="CF29" i="2"/>
  <c r="BN30" i="2"/>
  <c r="CI29" i="2"/>
  <c r="BW30" i="2"/>
  <c r="CR29" i="2"/>
  <c r="BJ30" i="2"/>
  <c r="CE29" i="2"/>
  <c r="F27" i="2" a="1"/>
  <c r="F27" i="2" s="1"/>
  <c r="CO5" i="2"/>
  <c r="CK5" i="2"/>
  <c r="CD5" i="2"/>
  <c r="CR5" i="2"/>
  <c r="CM5" i="2"/>
  <c r="CA5" i="2"/>
  <c r="CS5" i="2"/>
  <c r="CQ5" i="2"/>
  <c r="CN5" i="2"/>
  <c r="CF5" i="2"/>
  <c r="CL5" i="2"/>
  <c r="CE5" i="2"/>
  <c r="CT5" i="2"/>
  <c r="CH5" i="2"/>
  <c r="CC5" i="2"/>
  <c r="CI5" i="2"/>
  <c r="CP5" i="2"/>
  <c r="CB5" i="2"/>
  <c r="CJ5" i="2"/>
  <c r="CG5" i="2"/>
  <c r="D15" i="2"/>
  <c r="D6" i="2"/>
  <c r="D10" i="2"/>
  <c r="D5" i="2"/>
  <c r="D35" i="2" l="1"/>
  <c r="D34" i="2"/>
  <c r="D36" i="2"/>
  <c r="AK53" i="2"/>
  <c r="D52" i="2"/>
  <c r="D45" i="2"/>
  <c r="D46" i="2"/>
  <c r="AK50" i="2"/>
  <c r="D49" i="2"/>
  <c r="D48" i="2"/>
  <c r="D40" i="2"/>
  <c r="AK41" i="2"/>
  <c r="D37" i="2"/>
  <c r="D32" i="2"/>
  <c r="BX31" i="2"/>
  <c r="BX32" i="2" s="1"/>
  <c r="CS30" i="2"/>
  <c r="BK31" i="2"/>
  <c r="BK32" i="2" s="1"/>
  <c r="CF30" i="2"/>
  <c r="BP31" i="2"/>
  <c r="BP32" i="2" s="1"/>
  <c r="CK30" i="2"/>
  <c r="BM31" i="2"/>
  <c r="BM32" i="2" s="1"/>
  <c r="CH30" i="2"/>
  <c r="BT31" i="2"/>
  <c r="BT32" i="2" s="1"/>
  <c r="CO30" i="2"/>
  <c r="BL31" i="2"/>
  <c r="BL32" i="2" s="1"/>
  <c r="CG30" i="2"/>
  <c r="BR31" i="2"/>
  <c r="BR32" i="2" s="1"/>
  <c r="CM30" i="2"/>
  <c r="CV29" i="2"/>
  <c r="BW31" i="2"/>
  <c r="BW32" i="2" s="1"/>
  <c r="CR30" i="2"/>
  <c r="BF31" i="2"/>
  <c r="BF32" i="2" s="1"/>
  <c r="CA30" i="2"/>
  <c r="BS31" i="2"/>
  <c r="BS32" i="2" s="1"/>
  <c r="CN30" i="2"/>
  <c r="BQ31" i="2"/>
  <c r="BQ32" i="2" s="1"/>
  <c r="CL30" i="2"/>
  <c r="BO31" i="2"/>
  <c r="BO32" i="2" s="1"/>
  <c r="CJ30" i="2"/>
  <c r="BJ31" i="2"/>
  <c r="BJ32" i="2" s="1"/>
  <c r="CE30" i="2"/>
  <c r="BY31" i="2"/>
  <c r="BY32" i="2" s="1"/>
  <c r="CT30" i="2"/>
  <c r="BU31" i="2"/>
  <c r="BU32" i="2" s="1"/>
  <c r="CP30" i="2"/>
  <c r="BG31" i="2"/>
  <c r="BG32" i="2" s="1"/>
  <c r="CB30" i="2"/>
  <c r="BN31" i="2"/>
  <c r="BN32" i="2" s="1"/>
  <c r="CI30" i="2"/>
  <c r="BH31" i="2"/>
  <c r="BH32" i="2" s="1"/>
  <c r="CC30" i="2"/>
  <c r="BV31" i="2"/>
  <c r="BV32" i="2" s="1"/>
  <c r="CQ30" i="2"/>
  <c r="BI31" i="2"/>
  <c r="BI32" i="2" s="1"/>
  <c r="CD30" i="2"/>
  <c r="F28" i="2" a="1"/>
  <c r="F28" i="2" s="1"/>
  <c r="CT6" i="2"/>
  <c r="CJ6" i="2"/>
  <c r="CB6" i="2"/>
  <c r="CM6" i="2"/>
  <c r="CI6" i="2"/>
  <c r="CO6" i="2"/>
  <c r="CP6" i="2"/>
  <c r="CS6" i="2"/>
  <c r="CN6" i="2"/>
  <c r="CQ6" i="2"/>
  <c r="CG6" i="2"/>
  <c r="CK6" i="2"/>
  <c r="CE6" i="2"/>
  <c r="CD6" i="2"/>
  <c r="CH6" i="2"/>
  <c r="CL6" i="2"/>
  <c r="CA6" i="2"/>
  <c r="CF6" i="2"/>
  <c r="CC6" i="2"/>
  <c r="CR6" i="2"/>
  <c r="D16" i="2"/>
  <c r="D11" i="2"/>
  <c r="D7" i="2"/>
  <c r="CV5" i="2"/>
  <c r="AK54" i="2" l="1"/>
  <c r="D53" i="2"/>
  <c r="D50" i="2"/>
  <c r="D41" i="2"/>
  <c r="AK42" i="2"/>
  <c r="D42" i="2" s="1"/>
  <c r="CK32" i="2"/>
  <c r="BP33" i="2"/>
  <c r="CT32" i="2"/>
  <c r="BY33" i="2"/>
  <c r="CG32" i="2"/>
  <c r="BL33" i="2"/>
  <c r="CI32" i="2"/>
  <c r="BN33" i="2"/>
  <c r="CA32" i="2"/>
  <c r="BF33" i="2"/>
  <c r="CS32" i="2"/>
  <c r="BX33" i="2"/>
  <c r="CB32" i="2"/>
  <c r="BG33" i="2"/>
  <c r="CR32" i="2"/>
  <c r="BW33" i="2"/>
  <c r="CH32" i="2"/>
  <c r="BM33" i="2"/>
  <c r="CM32" i="2"/>
  <c r="BR33" i="2"/>
  <c r="CC32" i="2"/>
  <c r="BH33" i="2"/>
  <c r="CN32" i="2"/>
  <c r="BS33" i="2"/>
  <c r="CF32" i="2"/>
  <c r="BK33" i="2"/>
  <c r="CE32" i="2"/>
  <c r="BJ33" i="2"/>
  <c r="CO32" i="2"/>
  <c r="BT33" i="2"/>
  <c r="CD32" i="2"/>
  <c r="BI33" i="2"/>
  <c r="CJ32" i="2"/>
  <c r="BO33" i="2"/>
  <c r="CQ32" i="2"/>
  <c r="BV33" i="2"/>
  <c r="CP32" i="2"/>
  <c r="BU33" i="2"/>
  <c r="CL32" i="2"/>
  <c r="BQ33" i="2"/>
  <c r="CE31" i="2"/>
  <c r="CS31" i="2"/>
  <c r="CD31" i="2"/>
  <c r="CH31" i="2"/>
  <c r="CJ31" i="2"/>
  <c r="CP31" i="2"/>
  <c r="CM31" i="2"/>
  <c r="CK31" i="2"/>
  <c r="CC31" i="2"/>
  <c r="CT31" i="2"/>
  <c r="CN31" i="2"/>
  <c r="CI31" i="2"/>
  <c r="CA31" i="2"/>
  <c r="CO31" i="2"/>
  <c r="CB31" i="2"/>
  <c r="CR31" i="2"/>
  <c r="CQ31" i="2"/>
  <c r="CL31" i="2"/>
  <c r="CV30" i="2"/>
  <c r="E30" i="2" s="1"/>
  <c r="CG31" i="2"/>
  <c r="CF31" i="2"/>
  <c r="CB7" i="2"/>
  <c r="CL7" i="2"/>
  <c r="CH7" i="2"/>
  <c r="CE7" i="2"/>
  <c r="CF7" i="2"/>
  <c r="CG7" i="2"/>
  <c r="CJ7" i="2"/>
  <c r="CA7" i="2"/>
  <c r="CO7" i="2"/>
  <c r="CP7" i="2"/>
  <c r="CQ7" i="2"/>
  <c r="CC7" i="2"/>
  <c r="CD7" i="2"/>
  <c r="CS7" i="2"/>
  <c r="CI7" i="2"/>
  <c r="CK7" i="2"/>
  <c r="CN7" i="2"/>
  <c r="CM7" i="2"/>
  <c r="CT7" i="2"/>
  <c r="CR7" i="2"/>
  <c r="CV6" i="2"/>
  <c r="D17" i="2"/>
  <c r="D12" i="2"/>
  <c r="D8" i="2"/>
  <c r="D9" i="2"/>
  <c r="AK55" i="2" l="1"/>
  <c r="D54" i="2"/>
  <c r="BO34" i="2"/>
  <c r="CJ33" i="2"/>
  <c r="BK34" i="2"/>
  <c r="CF33" i="2"/>
  <c r="BM34" i="2"/>
  <c r="CH33" i="2"/>
  <c r="BF34" i="2"/>
  <c r="CA33" i="2"/>
  <c r="BP34" i="2"/>
  <c r="CK33" i="2"/>
  <c r="BQ34" i="2"/>
  <c r="CL33" i="2"/>
  <c r="BI34" i="2"/>
  <c r="CD33" i="2"/>
  <c r="BS34" i="2"/>
  <c r="CN33" i="2"/>
  <c r="BW34" i="2"/>
  <c r="CR33" i="2"/>
  <c r="BN34" i="2"/>
  <c r="CI33" i="2"/>
  <c r="BU34" i="2"/>
  <c r="CP33" i="2"/>
  <c r="BT34" i="2"/>
  <c r="CO33" i="2"/>
  <c r="BH34" i="2"/>
  <c r="CC33" i="2"/>
  <c r="BG34" i="2"/>
  <c r="CB33" i="2"/>
  <c r="BL34" i="2"/>
  <c r="CG33" i="2"/>
  <c r="BV34" i="2"/>
  <c r="CQ33" i="2"/>
  <c r="BJ34" i="2"/>
  <c r="CE33" i="2"/>
  <c r="BR34" i="2"/>
  <c r="CM33" i="2"/>
  <c r="BX34" i="2"/>
  <c r="CS33" i="2"/>
  <c r="BY34" i="2"/>
  <c r="CT33" i="2"/>
  <c r="CV32" i="2"/>
  <c r="CV31" i="2"/>
  <c r="E31" i="2" s="1"/>
  <c r="CE8" i="2"/>
  <c r="CF8" i="2"/>
  <c r="CB8" i="2"/>
  <c r="CG8" i="2"/>
  <c r="CN8" i="2"/>
  <c r="CD8" i="2"/>
  <c r="CA8" i="2"/>
  <c r="CK8" i="2"/>
  <c r="CT8" i="2"/>
  <c r="CO8" i="2"/>
  <c r="CH8" i="2"/>
  <c r="CI8" i="2"/>
  <c r="CL8" i="2"/>
  <c r="CC8" i="2"/>
  <c r="CQ8" i="2"/>
  <c r="CP8" i="2"/>
  <c r="CM8" i="2"/>
  <c r="CS8" i="2"/>
  <c r="CR8" i="2"/>
  <c r="CJ8" i="2"/>
  <c r="D18" i="2"/>
  <c r="D14" i="2"/>
  <c r="D13" i="2"/>
  <c r="CV7" i="2"/>
  <c r="AK56" i="2" l="1"/>
  <c r="D55" i="2"/>
  <c r="BR35" i="2"/>
  <c r="CM34" i="2"/>
  <c r="BQ35" i="2"/>
  <c r="CL34" i="2"/>
  <c r="BJ35" i="2"/>
  <c r="CE34" i="2"/>
  <c r="BH35" i="2"/>
  <c r="CC34" i="2"/>
  <c r="BW35" i="2"/>
  <c r="CR34" i="2"/>
  <c r="BP35" i="2"/>
  <c r="CK34" i="2"/>
  <c r="BO35" i="2"/>
  <c r="CJ34" i="2"/>
  <c r="CV33" i="2"/>
  <c r="E33" i="2" s="1"/>
  <c r="BG35" i="2"/>
  <c r="CB34" i="2"/>
  <c r="BN35" i="2"/>
  <c r="CI34" i="2"/>
  <c r="BK35" i="2"/>
  <c r="CF34" i="2"/>
  <c r="BY35" i="2"/>
  <c r="CT34" i="2"/>
  <c r="BV35" i="2"/>
  <c r="CQ34" i="2"/>
  <c r="BT35" i="2"/>
  <c r="CO34" i="2"/>
  <c r="BS35" i="2"/>
  <c r="CN34" i="2"/>
  <c r="BF35" i="2"/>
  <c r="CA34" i="2"/>
  <c r="BX35" i="2"/>
  <c r="CS34" i="2"/>
  <c r="BL35" i="2"/>
  <c r="CG34" i="2"/>
  <c r="BU35" i="2"/>
  <c r="CP34" i="2"/>
  <c r="BI35" i="2"/>
  <c r="CD34" i="2"/>
  <c r="BM35" i="2"/>
  <c r="CH34" i="2"/>
  <c r="CQ9" i="2"/>
  <c r="CH9" i="2"/>
  <c r="CV8" i="2"/>
  <c r="CE9" i="2"/>
  <c r="CJ9" i="2"/>
  <c r="CN9" i="2"/>
  <c r="CI9" i="2"/>
  <c r="CD9" i="2"/>
  <c r="CP9" i="2"/>
  <c r="CT9" i="2"/>
  <c r="CC9" i="2"/>
  <c r="CR9" i="2"/>
  <c r="CA9" i="2"/>
  <c r="CK9" i="2"/>
  <c r="CS9" i="2"/>
  <c r="CO9" i="2"/>
  <c r="CB9" i="2"/>
  <c r="CG9" i="2"/>
  <c r="CF9" i="2"/>
  <c r="CM9" i="2"/>
  <c r="CL9" i="2"/>
  <c r="D19" i="2"/>
  <c r="AK57" i="2" l="1"/>
  <c r="D56" i="2"/>
  <c r="CV34" i="2"/>
  <c r="E34" i="2" s="1"/>
  <c r="BP36" i="2"/>
  <c r="CK35" i="2"/>
  <c r="BQ36" i="2"/>
  <c r="CL35" i="2"/>
  <c r="BL36" i="2"/>
  <c r="CG35" i="2"/>
  <c r="BT36" i="2"/>
  <c r="CO35" i="2"/>
  <c r="BN36" i="2"/>
  <c r="CI35" i="2"/>
  <c r="BW36" i="2"/>
  <c r="CR35" i="2"/>
  <c r="BR36" i="2"/>
  <c r="CM35" i="2"/>
  <c r="BM36" i="2"/>
  <c r="CH35" i="2"/>
  <c r="BX36" i="2"/>
  <c r="CS35" i="2"/>
  <c r="BV36" i="2"/>
  <c r="CQ35" i="2"/>
  <c r="BG36" i="2"/>
  <c r="CB35" i="2"/>
  <c r="BH36" i="2"/>
  <c r="CC35" i="2"/>
  <c r="BI36" i="2"/>
  <c r="CD35" i="2"/>
  <c r="BF36" i="2"/>
  <c r="CA35" i="2"/>
  <c r="BY36" i="2"/>
  <c r="CT35" i="2"/>
  <c r="BO36" i="2"/>
  <c r="CJ35" i="2"/>
  <c r="BJ36" i="2"/>
  <c r="CE35" i="2"/>
  <c r="BU36" i="2"/>
  <c r="CP35" i="2"/>
  <c r="BS36" i="2"/>
  <c r="CN35" i="2"/>
  <c r="BK36" i="2"/>
  <c r="CF35" i="2"/>
  <c r="E32" i="2"/>
  <c r="CO10" i="2"/>
  <c r="CH10" i="2"/>
  <c r="CA10" i="2"/>
  <c r="CN10" i="2"/>
  <c r="CG10" i="2"/>
  <c r="CC10" i="2"/>
  <c r="CS10" i="2"/>
  <c r="CF10" i="2"/>
  <c r="CE10" i="2"/>
  <c r="CT10" i="2"/>
  <c r="CB10" i="2"/>
  <c r="CJ10" i="2"/>
  <c r="CQ10" i="2"/>
  <c r="CL10" i="2"/>
  <c r="CD10" i="2"/>
  <c r="CP10" i="2"/>
  <c r="CK10" i="2"/>
  <c r="CR10" i="2"/>
  <c r="CM10" i="2"/>
  <c r="CI10" i="2"/>
  <c r="D21" i="2"/>
  <c r="D20" i="2"/>
  <c r="CV9" i="2"/>
  <c r="AK58" i="2" l="1"/>
  <c r="D57" i="2"/>
  <c r="CV35" i="2"/>
  <c r="E35" i="2" s="1"/>
  <c r="BJ37" i="2"/>
  <c r="CE36" i="2"/>
  <c r="BI37" i="2"/>
  <c r="CD36" i="2"/>
  <c r="BX37" i="2"/>
  <c r="CS36" i="2"/>
  <c r="BN37" i="2"/>
  <c r="CI36" i="2"/>
  <c r="BP37" i="2"/>
  <c r="CK36" i="2"/>
  <c r="BK37" i="2"/>
  <c r="CF36" i="2"/>
  <c r="BO37" i="2"/>
  <c r="CJ36" i="2"/>
  <c r="BH37" i="2"/>
  <c r="CC36" i="2"/>
  <c r="BM37" i="2"/>
  <c r="CH36" i="2"/>
  <c r="BT37" i="2"/>
  <c r="CO36" i="2"/>
  <c r="BS37" i="2"/>
  <c r="CN36" i="2"/>
  <c r="BY37" i="2"/>
  <c r="CT36" i="2"/>
  <c r="BG37" i="2"/>
  <c r="CB36" i="2"/>
  <c r="BR37" i="2"/>
  <c r="CM36" i="2"/>
  <c r="BL37" i="2"/>
  <c r="CG36" i="2"/>
  <c r="BU37" i="2"/>
  <c r="CP36" i="2"/>
  <c r="BF37" i="2"/>
  <c r="CA36" i="2"/>
  <c r="BV37" i="2"/>
  <c r="CQ36" i="2"/>
  <c r="BW37" i="2"/>
  <c r="CR36" i="2"/>
  <c r="BQ37" i="2"/>
  <c r="CL36" i="2"/>
  <c r="CA11" i="2"/>
  <c r="CT11" i="2"/>
  <c r="CF11" i="2"/>
  <c r="CK11" i="2"/>
  <c r="CN11" i="2"/>
  <c r="CR11" i="2"/>
  <c r="CL11" i="2"/>
  <c r="CE11" i="2"/>
  <c r="CM11" i="2"/>
  <c r="CO11" i="2"/>
  <c r="CC11" i="2"/>
  <c r="CP11" i="2"/>
  <c r="CB11" i="2"/>
  <c r="CS11" i="2"/>
  <c r="CH11" i="2"/>
  <c r="CG11" i="2"/>
  <c r="CJ11" i="2"/>
  <c r="CD11" i="2"/>
  <c r="CI11" i="2"/>
  <c r="CQ11" i="2"/>
  <c r="D22" i="2"/>
  <c r="CV10" i="2"/>
  <c r="AK59" i="2" l="1"/>
  <c r="D58" i="2"/>
  <c r="CV36" i="2"/>
  <c r="E36" i="2" s="1"/>
  <c r="BR38" i="2"/>
  <c r="BR39" i="2" s="1"/>
  <c r="CM37" i="2"/>
  <c r="BK38" i="2"/>
  <c r="BK39" i="2" s="1"/>
  <c r="CF37" i="2"/>
  <c r="BF38" i="2"/>
  <c r="BF39" i="2" s="1"/>
  <c r="CA37" i="2"/>
  <c r="BG38" i="2"/>
  <c r="BG39" i="2" s="1"/>
  <c r="CB37" i="2"/>
  <c r="BM38" i="2"/>
  <c r="BM39" i="2" s="1"/>
  <c r="CH37" i="2"/>
  <c r="BP38" i="2"/>
  <c r="BP39" i="2" s="1"/>
  <c r="CK37" i="2"/>
  <c r="BJ38" i="2"/>
  <c r="BJ39" i="2" s="1"/>
  <c r="CE37" i="2"/>
  <c r="BQ38" i="2"/>
  <c r="BQ39" i="2" s="1"/>
  <c r="CL37" i="2"/>
  <c r="BY38" i="2"/>
  <c r="BY39" i="2" s="1"/>
  <c r="CT37" i="2"/>
  <c r="BN38" i="2"/>
  <c r="BN39" i="2" s="1"/>
  <c r="CI37" i="2"/>
  <c r="BU38" i="2"/>
  <c r="BU39" i="2" s="1"/>
  <c r="CP37" i="2"/>
  <c r="BH38" i="2"/>
  <c r="BH39" i="2" s="1"/>
  <c r="CC37" i="2"/>
  <c r="BW38" i="2"/>
  <c r="BW39" i="2" s="1"/>
  <c r="CR37" i="2"/>
  <c r="BL38" i="2"/>
  <c r="BL39" i="2" s="1"/>
  <c r="CG37" i="2"/>
  <c r="BS38" i="2"/>
  <c r="BS39" i="2" s="1"/>
  <c r="CN37" i="2"/>
  <c r="BO38" i="2"/>
  <c r="BO39" i="2" s="1"/>
  <c r="CJ37" i="2"/>
  <c r="BX38" i="2"/>
  <c r="BX39" i="2" s="1"/>
  <c r="CS37" i="2"/>
  <c r="BV38" i="2"/>
  <c r="BV39" i="2" s="1"/>
  <c r="CQ37" i="2"/>
  <c r="BT38" i="2"/>
  <c r="BT39" i="2" s="1"/>
  <c r="CO37" i="2"/>
  <c r="BI38" i="2"/>
  <c r="BI39" i="2" s="1"/>
  <c r="CD37" i="2"/>
  <c r="CF12" i="2"/>
  <c r="CJ12" i="2"/>
  <c r="CP12" i="2"/>
  <c r="CA12" i="2"/>
  <c r="CB12" i="2"/>
  <c r="CS12" i="2"/>
  <c r="CM12" i="2"/>
  <c r="CC12" i="2"/>
  <c r="CT12" i="2"/>
  <c r="CI12" i="2"/>
  <c r="CH12" i="2"/>
  <c r="CG12" i="2"/>
  <c r="CR12" i="2"/>
  <c r="CL12" i="2"/>
  <c r="CE12" i="2"/>
  <c r="CQ12" i="2"/>
  <c r="CK12" i="2"/>
  <c r="CO12" i="2"/>
  <c r="CN12" i="2"/>
  <c r="CD12" i="2"/>
  <c r="CV11" i="2"/>
  <c r="AK60" i="2" l="1"/>
  <c r="D59" i="2"/>
  <c r="CO39" i="2"/>
  <c r="BT40" i="2"/>
  <c r="CN39" i="2"/>
  <c r="BS40" i="2"/>
  <c r="CE39" i="2"/>
  <c r="BJ40" i="2"/>
  <c r="CG39" i="2"/>
  <c r="BL40" i="2"/>
  <c r="CK39" i="2"/>
  <c r="BP40" i="2"/>
  <c r="CS39" i="2"/>
  <c r="BX40" i="2"/>
  <c r="CT39" i="2"/>
  <c r="BY40" i="2"/>
  <c r="CB39" i="2"/>
  <c r="BG40" i="2"/>
  <c r="CP39" i="2"/>
  <c r="BU40" i="2"/>
  <c r="CA39" i="2"/>
  <c r="BF40" i="2"/>
  <c r="CQ39" i="2"/>
  <c r="BV40" i="2"/>
  <c r="CI39" i="2"/>
  <c r="BN40" i="2"/>
  <c r="CF39" i="2"/>
  <c r="BK40" i="2"/>
  <c r="CR39" i="2"/>
  <c r="BW40" i="2"/>
  <c r="CH39" i="2"/>
  <c r="BM40" i="2"/>
  <c r="CM39" i="2"/>
  <c r="BR40" i="2"/>
  <c r="CD39" i="2"/>
  <c r="BI40" i="2"/>
  <c r="CJ39" i="2"/>
  <c r="BO40" i="2"/>
  <c r="CC39" i="2"/>
  <c r="BH40" i="2"/>
  <c r="CL39" i="2"/>
  <c r="BQ40" i="2"/>
  <c r="CS38" i="2"/>
  <c r="CR38" i="2"/>
  <c r="CT38" i="2"/>
  <c r="CH38" i="2"/>
  <c r="CM38" i="2"/>
  <c r="CD38" i="2"/>
  <c r="CJ38" i="2"/>
  <c r="CC38" i="2"/>
  <c r="CL38" i="2"/>
  <c r="CB38" i="2"/>
  <c r="CO38" i="2"/>
  <c r="CN38" i="2"/>
  <c r="CP38" i="2"/>
  <c r="CE38" i="2"/>
  <c r="CA38" i="2"/>
  <c r="CQ38" i="2"/>
  <c r="CG38" i="2"/>
  <c r="CI38" i="2"/>
  <c r="CK38" i="2"/>
  <c r="CF38" i="2"/>
  <c r="CV37" i="2"/>
  <c r="E37" i="2" s="1"/>
  <c r="CM13" i="2"/>
  <c r="CE13" i="2"/>
  <c r="CT13" i="2"/>
  <c r="CC13" i="2"/>
  <c r="CF13" i="2"/>
  <c r="CH13" i="2"/>
  <c r="CO13" i="2"/>
  <c r="CG13" i="2"/>
  <c r="CR13" i="2"/>
  <c r="CK13" i="2"/>
  <c r="CB13" i="2"/>
  <c r="CN13" i="2"/>
  <c r="CI13" i="2"/>
  <c r="CS13" i="2"/>
  <c r="CL13" i="2"/>
  <c r="CQ13" i="2"/>
  <c r="CP13" i="2"/>
  <c r="CA13" i="2"/>
  <c r="CD13" i="2"/>
  <c r="CJ13" i="2"/>
  <c r="D23" i="2"/>
  <c r="CV12" i="2"/>
  <c r="AK61" i="2" l="1"/>
  <c r="D60" i="2"/>
  <c r="CC40" i="2"/>
  <c r="BH41" i="2"/>
  <c r="CQ40" i="2"/>
  <c r="BV41" i="2"/>
  <c r="CE40" i="2"/>
  <c r="BJ41" i="2"/>
  <c r="CR40" i="2"/>
  <c r="BW41" i="2"/>
  <c r="CV39" i="2"/>
  <c r="CD40" i="2"/>
  <c r="BI41" i="2"/>
  <c r="CP40" i="2"/>
  <c r="BU41" i="2"/>
  <c r="CO40" i="2"/>
  <c r="BT41" i="2"/>
  <c r="CL40" i="2"/>
  <c r="BQ41" i="2"/>
  <c r="CM40" i="2"/>
  <c r="BR41" i="2"/>
  <c r="CI40" i="2"/>
  <c r="BN41" i="2"/>
  <c r="CB40" i="2"/>
  <c r="BG41" i="2"/>
  <c r="CG40" i="2"/>
  <c r="BL41" i="2"/>
  <c r="CH40" i="2"/>
  <c r="BM41" i="2"/>
  <c r="CT40" i="2"/>
  <c r="BY41" i="2"/>
  <c r="CJ40" i="2"/>
  <c r="BO41" i="2"/>
  <c r="CA40" i="2"/>
  <c r="BF41" i="2"/>
  <c r="CS40" i="2"/>
  <c r="BX41" i="2"/>
  <c r="CN40" i="2"/>
  <c r="BS41" i="2"/>
  <c r="CF40" i="2"/>
  <c r="BK41" i="2"/>
  <c r="CK40" i="2"/>
  <c r="BP41" i="2"/>
  <c r="CV38" i="2"/>
  <c r="E38" i="2" s="1"/>
  <c r="CI14" i="2"/>
  <c r="CQ14" i="2"/>
  <c r="CO14" i="2"/>
  <c r="CT14" i="2"/>
  <c r="CH14" i="2"/>
  <c r="CK14" i="2"/>
  <c r="CN14" i="2"/>
  <c r="CR14" i="2"/>
  <c r="CG14" i="2"/>
  <c r="CB14" i="2"/>
  <c r="CS14" i="2"/>
  <c r="CE14" i="2"/>
  <c r="CP14" i="2"/>
  <c r="CM14" i="2"/>
  <c r="CC14" i="2"/>
  <c r="CJ14" i="2"/>
  <c r="CF14" i="2"/>
  <c r="CD14" i="2"/>
  <c r="CL14" i="2"/>
  <c r="CA14" i="2"/>
  <c r="D24" i="2"/>
  <c r="CV13" i="2"/>
  <c r="AK62" i="2" l="1"/>
  <c r="D61" i="2"/>
  <c r="CE41" i="2"/>
  <c r="BJ42" i="2"/>
  <c r="CT41" i="2"/>
  <c r="BY42" i="2"/>
  <c r="CP41" i="2"/>
  <c r="BU42" i="2"/>
  <c r="CQ41" i="2"/>
  <c r="BV42" i="2"/>
  <c r="CC41" i="2"/>
  <c r="BH42" i="2"/>
  <c r="CK41" i="2"/>
  <c r="BP42" i="2"/>
  <c r="CA41" i="2"/>
  <c r="BF42" i="2"/>
  <c r="CG41" i="2"/>
  <c r="BL42" i="2"/>
  <c r="CL41" i="2"/>
  <c r="BQ42" i="2"/>
  <c r="E39" i="2"/>
  <c r="CV40" i="2"/>
  <c r="E40" i="2" s="1"/>
  <c r="CR41" i="2"/>
  <c r="BW42" i="2"/>
  <c r="CN41" i="2"/>
  <c r="BS42" i="2"/>
  <c r="CI41" i="2"/>
  <c r="BN42" i="2"/>
  <c r="CS41" i="2"/>
  <c r="BX42" i="2"/>
  <c r="CH41" i="2"/>
  <c r="BM42" i="2"/>
  <c r="CM41" i="2"/>
  <c r="BR42" i="2"/>
  <c r="CD41" i="2"/>
  <c r="BI42" i="2"/>
  <c r="CF41" i="2"/>
  <c r="BK42" i="2"/>
  <c r="CJ41" i="2"/>
  <c r="BO42" i="2"/>
  <c r="CB41" i="2"/>
  <c r="BG42" i="2"/>
  <c r="CO41" i="2"/>
  <c r="BT42" i="2"/>
  <c r="CC15" i="2"/>
  <c r="CF15" i="2"/>
  <c r="CE15" i="2"/>
  <c r="CP15" i="2"/>
  <c r="CO15" i="2"/>
  <c r="CG15" i="2"/>
  <c r="CT15" i="2"/>
  <c r="CR15" i="2"/>
  <c r="CK15" i="2"/>
  <c r="CM15" i="2"/>
  <c r="CN15" i="2"/>
  <c r="CD15" i="2"/>
  <c r="CJ15" i="2"/>
  <c r="CH15" i="2"/>
  <c r="CA15" i="2"/>
  <c r="CB15" i="2"/>
  <c r="CI15" i="2"/>
  <c r="CL15" i="2"/>
  <c r="CQ15" i="2"/>
  <c r="CS15" i="2"/>
  <c r="D25" i="2"/>
  <c r="CV14" i="2"/>
  <c r="AK63" i="2" l="1"/>
  <c r="D62" i="2"/>
  <c r="CJ42" i="2"/>
  <c r="BO43" i="2"/>
  <c r="CR42" i="2"/>
  <c r="BW43" i="2"/>
  <c r="CP42" i="2"/>
  <c r="BU43" i="2"/>
  <c r="CV41" i="2"/>
  <c r="E41" i="2" s="1"/>
  <c r="CF42" i="2"/>
  <c r="BK43" i="2"/>
  <c r="CS42" i="2"/>
  <c r="BX43" i="2"/>
  <c r="CK42" i="2"/>
  <c r="BP43" i="2"/>
  <c r="CD42" i="2"/>
  <c r="BI43" i="2"/>
  <c r="CL42" i="2"/>
  <c r="BQ43" i="2"/>
  <c r="CE42" i="2"/>
  <c r="BJ43" i="2"/>
  <c r="CB42" i="2"/>
  <c r="BG43" i="2"/>
  <c r="CM42" i="2"/>
  <c r="BR43" i="2"/>
  <c r="CN42" i="2"/>
  <c r="BS43" i="2"/>
  <c r="CG42" i="2"/>
  <c r="BL43" i="2"/>
  <c r="CQ42" i="2"/>
  <c r="BV43" i="2"/>
  <c r="CH42" i="2"/>
  <c r="BM43" i="2"/>
  <c r="CA42" i="2"/>
  <c r="BF43" i="2"/>
  <c r="CT42" i="2"/>
  <c r="BY43" i="2"/>
  <c r="CO42" i="2"/>
  <c r="BT43" i="2"/>
  <c r="CI42" i="2"/>
  <c r="BN43" i="2"/>
  <c r="CC42" i="2"/>
  <c r="BH43" i="2"/>
  <c r="CN16" i="2"/>
  <c r="CK16" i="2"/>
  <c r="CC16" i="2"/>
  <c r="CJ16" i="2"/>
  <c r="CP16" i="2"/>
  <c r="CD16" i="2"/>
  <c r="CA16" i="2"/>
  <c r="CH16" i="2"/>
  <c r="CE16" i="2"/>
  <c r="CS16" i="2"/>
  <c r="CB16" i="2"/>
  <c r="CI16" i="2"/>
  <c r="CO16" i="2"/>
  <c r="CR16" i="2"/>
  <c r="CF16" i="2"/>
  <c r="CM16" i="2"/>
  <c r="CT16" i="2"/>
  <c r="CQ16" i="2"/>
  <c r="CL16" i="2"/>
  <c r="CG16" i="2"/>
  <c r="D26" i="2"/>
  <c r="CV15" i="2"/>
  <c r="AK64" i="2" l="1"/>
  <c r="D63" i="2"/>
  <c r="CP43" i="2"/>
  <c r="BU44" i="2"/>
  <c r="CQ43" i="2"/>
  <c r="BV44" i="2"/>
  <c r="CK43" i="2"/>
  <c r="BP44" i="2"/>
  <c r="CR43" i="2"/>
  <c r="BW44" i="2"/>
  <c r="CT43" i="2"/>
  <c r="BY44" i="2"/>
  <c r="CE43" i="2"/>
  <c r="BJ44" i="2"/>
  <c r="CC43" i="2"/>
  <c r="BH44" i="2"/>
  <c r="CN43" i="2"/>
  <c r="BS44" i="2"/>
  <c r="CF43" i="2"/>
  <c r="BK44" i="2"/>
  <c r="CV42" i="2"/>
  <c r="E42" i="2" s="1"/>
  <c r="CO43" i="2"/>
  <c r="BT44" i="2"/>
  <c r="CB43" i="2"/>
  <c r="BG44" i="2"/>
  <c r="CG43" i="2"/>
  <c r="BL44" i="2"/>
  <c r="CS43" i="2"/>
  <c r="BX44" i="2"/>
  <c r="CJ43" i="2"/>
  <c r="BO44" i="2"/>
  <c r="CA43" i="2"/>
  <c r="BF44" i="2"/>
  <c r="CL43" i="2"/>
  <c r="BQ44" i="2"/>
  <c r="CI43" i="2"/>
  <c r="BN44" i="2"/>
  <c r="CH43" i="2"/>
  <c r="BM44" i="2"/>
  <c r="CM43" i="2"/>
  <c r="BR44" i="2"/>
  <c r="CD43" i="2"/>
  <c r="BI44" i="2"/>
  <c r="CO17" i="2"/>
  <c r="CC17" i="2"/>
  <c r="CD17" i="2"/>
  <c r="CE17" i="2"/>
  <c r="CQ17" i="2"/>
  <c r="CA17" i="2"/>
  <c r="CK17" i="2"/>
  <c r="CB17" i="2"/>
  <c r="CG17" i="2"/>
  <c r="CT17" i="2"/>
  <c r="CJ17" i="2"/>
  <c r="CN17" i="2"/>
  <c r="CP17" i="2"/>
  <c r="CF17" i="2"/>
  <c r="CI17" i="2"/>
  <c r="CM17" i="2"/>
  <c r="CH17" i="2"/>
  <c r="CR17" i="2"/>
  <c r="CL17" i="2"/>
  <c r="CS17" i="2"/>
  <c r="D27" i="2"/>
  <c r="CV16" i="2"/>
  <c r="AK65" i="2" l="1"/>
  <c r="D64" i="2"/>
  <c r="CV43" i="2"/>
  <c r="E43" i="2" s="1"/>
  <c r="CK44" i="2"/>
  <c r="BP45" i="2"/>
  <c r="CJ44" i="2"/>
  <c r="BO45" i="2"/>
  <c r="CE44" i="2"/>
  <c r="BJ45" i="2"/>
  <c r="CQ44" i="2"/>
  <c r="BV45" i="2"/>
  <c r="CI44" i="2"/>
  <c r="BN45" i="2"/>
  <c r="CS44" i="2"/>
  <c r="BX45" i="2"/>
  <c r="CF44" i="2"/>
  <c r="BK45" i="2"/>
  <c r="CP44" i="2"/>
  <c r="BU45" i="2"/>
  <c r="CL44" i="2"/>
  <c r="BQ45" i="2"/>
  <c r="CN44" i="2"/>
  <c r="BS45" i="2"/>
  <c r="CR44" i="2"/>
  <c r="BW45" i="2"/>
  <c r="CC44" i="2"/>
  <c r="BH45" i="2"/>
  <c r="CH44" i="2"/>
  <c r="BM45" i="2"/>
  <c r="CO44" i="2"/>
  <c r="BT45" i="2"/>
  <c r="CT44" i="2"/>
  <c r="BY45" i="2"/>
  <c r="CD44" i="2"/>
  <c r="BI45" i="2"/>
  <c r="CG44" i="2"/>
  <c r="BL45" i="2"/>
  <c r="CM44" i="2"/>
  <c r="BR45" i="2"/>
  <c r="CA44" i="2"/>
  <c r="BF45" i="2"/>
  <c r="CB44" i="2"/>
  <c r="BG45" i="2"/>
  <c r="CJ18" i="2"/>
  <c r="CQ18" i="2"/>
  <c r="CA18" i="2"/>
  <c r="CT18" i="2"/>
  <c r="CS18" i="2"/>
  <c r="CG18" i="2"/>
  <c r="CM18" i="2"/>
  <c r="CP18" i="2"/>
  <c r="CE18" i="2"/>
  <c r="CO18" i="2"/>
  <c r="CK18" i="2"/>
  <c r="CH18" i="2"/>
  <c r="CN18" i="2"/>
  <c r="CF18" i="2"/>
  <c r="CD18" i="2"/>
  <c r="CB18" i="2"/>
  <c r="CR18" i="2"/>
  <c r="CI18" i="2"/>
  <c r="CL18" i="2"/>
  <c r="CC18" i="2"/>
  <c r="D28" i="2"/>
  <c r="CV17" i="2"/>
  <c r="AK66" i="2" l="1"/>
  <c r="AK67" i="2" s="1"/>
  <c r="AK68" i="2" s="1"/>
  <c r="AK69" i="2" s="1"/>
  <c r="AK70" i="2" s="1"/>
  <c r="AK71" i="2" s="1"/>
  <c r="AK72" i="2" s="1"/>
  <c r="AK73" i="2" s="1"/>
  <c r="AK74" i="2" s="1"/>
  <c r="AK75" i="2" s="1"/>
  <c r="AK76" i="2" s="1"/>
  <c r="AK77" i="2" s="1"/>
  <c r="AK78" i="2" s="1"/>
  <c r="AK79" i="2" s="1"/>
  <c r="AK80" i="2" s="1"/>
  <c r="AK81" i="2" s="1"/>
  <c r="AK82" i="2" s="1"/>
  <c r="AK83" i="2" s="1"/>
  <c r="AK84" i="2" s="1"/>
  <c r="AK85" i="2" s="1"/>
  <c r="AK86" i="2" s="1"/>
  <c r="AK87" i="2" s="1"/>
  <c r="AK88" i="2" s="1"/>
  <c r="AK89" i="2" s="1"/>
  <c r="AK90" i="2" s="1"/>
  <c r="AK91" i="2" s="1"/>
  <c r="AK92" i="2" s="1"/>
  <c r="AK93" i="2" s="1"/>
  <c r="AK94" i="2" s="1"/>
  <c r="AK95" i="2" s="1"/>
  <c r="AK96" i="2" s="1"/>
  <c r="AK97" i="2" s="1"/>
  <c r="AK98" i="2" s="1"/>
  <c r="AK99" i="2" s="1"/>
  <c r="AK100" i="2" s="1"/>
  <c r="AK101" i="2" s="1"/>
  <c r="AK102" i="2" s="1"/>
  <c r="AK103" i="2" s="1"/>
  <c r="AK104" i="2" s="1"/>
  <c r="AK105" i="2" s="1"/>
  <c r="AK106" i="2" s="1"/>
  <c r="AK107" i="2" s="1"/>
  <c r="AK108" i="2" s="1"/>
  <c r="AK109" i="2" s="1"/>
  <c r="AK110" i="2" s="1"/>
  <c r="AK111" i="2" s="1"/>
  <c r="AK112" i="2" s="1"/>
  <c r="AK113" i="2" s="1"/>
  <c r="AK114" i="2" s="1"/>
  <c r="AK115" i="2" s="1"/>
  <c r="AK116" i="2" s="1"/>
  <c r="AK117" i="2" s="1"/>
  <c r="AK118" i="2" s="1"/>
  <c r="AK119" i="2" s="1"/>
  <c r="AK120" i="2" s="1"/>
  <c r="AK121" i="2" s="1"/>
  <c r="AK122" i="2" s="1"/>
  <c r="AK123" i="2" s="1"/>
  <c r="AK124" i="2" s="1"/>
  <c r="AK125" i="2" s="1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K165" i="2" s="1"/>
  <c r="AK166" i="2" s="1"/>
  <c r="AK167" i="2" s="1"/>
  <c r="AK168" i="2" s="1"/>
  <c r="AK169" i="2" s="1"/>
  <c r="AK170" i="2" s="1"/>
  <c r="AK171" i="2" s="1"/>
  <c r="AK172" i="2" s="1"/>
  <c r="AK173" i="2" s="1"/>
  <c r="AK174" i="2" s="1"/>
  <c r="AK175" i="2" s="1"/>
  <c r="AK176" i="2" s="1"/>
  <c r="AK177" i="2" s="1"/>
  <c r="AK178" i="2" s="1"/>
  <c r="AK179" i="2" s="1"/>
  <c r="AK180" i="2" s="1"/>
  <c r="AK181" i="2" s="1"/>
  <c r="AK182" i="2" s="1"/>
  <c r="AK183" i="2" s="1"/>
  <c r="AK184" i="2" s="1"/>
  <c r="AK185" i="2" s="1"/>
  <c r="AK186" i="2" s="1"/>
  <c r="AK187" i="2" s="1"/>
  <c r="AK188" i="2" s="1"/>
  <c r="AK189" i="2" s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AK455" i="2" s="1"/>
  <c r="D65" i="2"/>
  <c r="CV44" i="2"/>
  <c r="E44" i="2" s="1"/>
  <c r="CA45" i="2"/>
  <c r="BF46" i="2"/>
  <c r="CT45" i="2"/>
  <c r="BY46" i="2"/>
  <c r="CR45" i="2"/>
  <c r="BW46" i="2"/>
  <c r="CF45" i="2"/>
  <c r="BK46" i="2"/>
  <c r="CE45" i="2"/>
  <c r="BJ46" i="2"/>
  <c r="CM45" i="2"/>
  <c r="BR46" i="2"/>
  <c r="CN45" i="2"/>
  <c r="BS46" i="2"/>
  <c r="CJ45" i="2"/>
  <c r="BO46" i="2"/>
  <c r="CG45" i="2"/>
  <c r="BL46" i="2"/>
  <c r="CL45" i="2"/>
  <c r="BQ46" i="2"/>
  <c r="CK45" i="2"/>
  <c r="BP46" i="2"/>
  <c r="CB45" i="2"/>
  <c r="BG46" i="2"/>
  <c r="CD45" i="2"/>
  <c r="BI46" i="2"/>
  <c r="CC45" i="2"/>
  <c r="BH46" i="2"/>
  <c r="CP45" i="2"/>
  <c r="BU46" i="2"/>
  <c r="CQ45" i="2"/>
  <c r="BV46" i="2"/>
  <c r="CO45" i="2"/>
  <c r="BT46" i="2"/>
  <c r="CS45" i="2"/>
  <c r="BX46" i="2"/>
  <c r="CH45" i="2"/>
  <c r="BM46" i="2"/>
  <c r="CI45" i="2"/>
  <c r="BN46" i="2"/>
  <c r="CQ19" i="2"/>
  <c r="CT19" i="2"/>
  <c r="CD19" i="2"/>
  <c r="CI19" i="2"/>
  <c r="CK19" i="2"/>
  <c r="CF19" i="2"/>
  <c r="CN19" i="2"/>
  <c r="CR19" i="2"/>
  <c r="CP19" i="2"/>
  <c r="CO19" i="2"/>
  <c r="CM19" i="2"/>
  <c r="CE19" i="2"/>
  <c r="CA19" i="2"/>
  <c r="CL19" i="2"/>
  <c r="CJ19" i="2"/>
  <c r="CB19" i="2"/>
  <c r="CG19" i="2"/>
  <c r="CS19" i="2"/>
  <c r="CH19" i="2"/>
  <c r="CC19" i="2"/>
  <c r="CV18" i="2"/>
  <c r="CH46" i="2" l="1"/>
  <c r="BM47" i="2"/>
  <c r="CK46" i="2"/>
  <c r="BP47" i="2"/>
  <c r="CR46" i="2"/>
  <c r="BW47" i="2"/>
  <c r="CS46" i="2"/>
  <c r="BX47" i="2"/>
  <c r="CL46" i="2"/>
  <c r="BQ47" i="2"/>
  <c r="CT46" i="2"/>
  <c r="BY47" i="2"/>
  <c r="CO46" i="2"/>
  <c r="BT47" i="2"/>
  <c r="CG46" i="2"/>
  <c r="BL47" i="2"/>
  <c r="CE46" i="2"/>
  <c r="BJ47" i="2"/>
  <c r="CV45" i="2"/>
  <c r="E45" i="2" s="1"/>
  <c r="CI46" i="2"/>
  <c r="BN47" i="2"/>
  <c r="CQ46" i="2"/>
  <c r="BV47" i="2"/>
  <c r="CB46" i="2"/>
  <c r="BG47" i="2"/>
  <c r="CJ46" i="2"/>
  <c r="BO47" i="2"/>
  <c r="CF46" i="2"/>
  <c r="BK47" i="2"/>
  <c r="CP46" i="2"/>
  <c r="BU47" i="2"/>
  <c r="CN46" i="2"/>
  <c r="BS47" i="2"/>
  <c r="CC46" i="2"/>
  <c r="BH47" i="2"/>
  <c r="CM46" i="2"/>
  <c r="BR47" i="2"/>
  <c r="CD46" i="2"/>
  <c r="BI47" i="2"/>
  <c r="CA46" i="2"/>
  <c r="BF47" i="2"/>
  <c r="CE20" i="2"/>
  <c r="CL20" i="2"/>
  <c r="CN20" i="2"/>
  <c r="CF20" i="2"/>
  <c r="CO20" i="2"/>
  <c r="CH20" i="2"/>
  <c r="CJ20" i="2"/>
  <c r="CP20" i="2"/>
  <c r="CI20" i="2"/>
  <c r="CC20" i="2"/>
  <c r="CB20" i="2"/>
  <c r="CS20" i="2"/>
  <c r="CA20" i="2"/>
  <c r="CD20" i="2"/>
  <c r="CM20" i="2"/>
  <c r="CQ20" i="2"/>
  <c r="CK20" i="2"/>
  <c r="CT20" i="2"/>
  <c r="CR20" i="2"/>
  <c r="CG20" i="2"/>
  <c r="CV19" i="2"/>
  <c r="BV48" i="2" l="1"/>
  <c r="CQ47" i="2"/>
  <c r="BX48" i="2"/>
  <c r="CS47" i="2"/>
  <c r="BW48" i="2"/>
  <c r="CR47" i="2"/>
  <c r="BU48" i="2"/>
  <c r="CP47" i="2"/>
  <c r="BN48" i="2"/>
  <c r="CI47" i="2"/>
  <c r="BL48" i="2"/>
  <c r="CG47" i="2"/>
  <c r="BI48" i="2"/>
  <c r="CD47" i="2"/>
  <c r="BT48" i="2"/>
  <c r="CO47" i="2"/>
  <c r="BR48" i="2"/>
  <c r="CM47" i="2"/>
  <c r="BK48" i="2"/>
  <c r="CF47" i="2"/>
  <c r="BY48" i="2"/>
  <c r="CT47" i="2"/>
  <c r="BP48" i="2"/>
  <c r="CK47" i="2"/>
  <c r="BH48" i="2"/>
  <c r="CC47" i="2"/>
  <c r="BO48" i="2"/>
  <c r="CJ47" i="2"/>
  <c r="BJ48" i="2"/>
  <c r="CE47" i="2"/>
  <c r="BQ48" i="2"/>
  <c r="CL47" i="2"/>
  <c r="BM48" i="2"/>
  <c r="CH47" i="2"/>
  <c r="BF48" i="2"/>
  <c r="CA47" i="2"/>
  <c r="BS48" i="2"/>
  <c r="CN47" i="2"/>
  <c r="BG48" i="2"/>
  <c r="CB47" i="2"/>
  <c r="CV46" i="2"/>
  <c r="E46" i="2" s="1"/>
  <c r="CO21" i="2"/>
  <c r="CL21" i="2"/>
  <c r="CI21" i="2"/>
  <c r="CK21" i="2"/>
  <c r="CA21" i="2"/>
  <c r="CG21" i="2"/>
  <c r="CE21" i="2"/>
  <c r="CB21" i="2"/>
  <c r="CM21" i="2"/>
  <c r="CS21" i="2"/>
  <c r="CP21" i="2"/>
  <c r="CR21" i="2"/>
  <c r="CF21" i="2"/>
  <c r="CC21" i="2"/>
  <c r="CT21" i="2"/>
  <c r="CN21" i="2"/>
  <c r="CJ21" i="2"/>
  <c r="CH21" i="2"/>
  <c r="CD21" i="2"/>
  <c r="CQ21" i="2"/>
  <c r="CV20" i="2"/>
  <c r="BQ49" i="2" l="1"/>
  <c r="CL48" i="2"/>
  <c r="BU49" i="2"/>
  <c r="CP48" i="2"/>
  <c r="BG49" i="2"/>
  <c r="CB48" i="2"/>
  <c r="BP49" i="2"/>
  <c r="CK48" i="2"/>
  <c r="BS49" i="2"/>
  <c r="CN48" i="2"/>
  <c r="BJ49" i="2"/>
  <c r="CE48" i="2"/>
  <c r="BY49" i="2"/>
  <c r="CT48" i="2"/>
  <c r="BI49" i="2"/>
  <c r="CD48" i="2"/>
  <c r="BW49" i="2"/>
  <c r="CR48" i="2"/>
  <c r="BT49" i="2"/>
  <c r="CO48" i="2"/>
  <c r="CV47" i="2"/>
  <c r="E47" i="2" s="1"/>
  <c r="BF49" i="2"/>
  <c r="CA48" i="2"/>
  <c r="BO49" i="2"/>
  <c r="CJ48" i="2"/>
  <c r="BK49" i="2"/>
  <c r="CF48" i="2"/>
  <c r="BL49" i="2"/>
  <c r="CG48" i="2"/>
  <c r="BX49" i="2"/>
  <c r="CS48" i="2"/>
  <c r="BM49" i="2"/>
  <c r="CH48" i="2"/>
  <c r="BH49" i="2"/>
  <c r="CC48" i="2"/>
  <c r="BR49" i="2"/>
  <c r="CM48" i="2"/>
  <c r="BN49" i="2"/>
  <c r="CI48" i="2"/>
  <c r="BV49" i="2"/>
  <c r="CQ48" i="2"/>
  <c r="CJ22" i="2"/>
  <c r="CM22" i="2"/>
  <c r="CK22" i="2"/>
  <c r="CR22" i="2"/>
  <c r="CA22" i="2"/>
  <c r="CL22" i="2"/>
  <c r="CD22" i="2"/>
  <c r="CN22" i="2"/>
  <c r="CH22" i="2"/>
  <c r="CP22" i="2"/>
  <c r="CO22" i="2"/>
  <c r="CS22" i="2"/>
  <c r="CB22" i="2"/>
  <c r="CG22" i="2"/>
  <c r="CF22" i="2"/>
  <c r="CI22" i="2"/>
  <c r="CQ22" i="2"/>
  <c r="CT22" i="2"/>
  <c r="CE22" i="2"/>
  <c r="CC22" i="2"/>
  <c r="CV21" i="2"/>
  <c r="BT50" i="2" l="1"/>
  <c r="BT51" i="2" s="1"/>
  <c r="CO49" i="2"/>
  <c r="BV50" i="2"/>
  <c r="BV51" i="2" s="1"/>
  <c r="CQ49" i="2"/>
  <c r="BM50" i="2"/>
  <c r="BM51" i="2" s="1"/>
  <c r="CH49" i="2"/>
  <c r="BO50" i="2"/>
  <c r="BO51" i="2" s="1"/>
  <c r="CJ49" i="2"/>
  <c r="BH50" i="2"/>
  <c r="BH51" i="2" s="1"/>
  <c r="CC49" i="2"/>
  <c r="CV48" i="2"/>
  <c r="E48" i="2" s="1"/>
  <c r="BI50" i="2"/>
  <c r="BI51" i="2" s="1"/>
  <c r="CD49" i="2"/>
  <c r="BP50" i="2"/>
  <c r="BP51" i="2" s="1"/>
  <c r="CK49" i="2"/>
  <c r="BU50" i="2"/>
  <c r="BU51" i="2" s="1"/>
  <c r="CP49" i="2"/>
  <c r="BN50" i="2"/>
  <c r="BN51" i="2" s="1"/>
  <c r="CI49" i="2"/>
  <c r="BX50" i="2"/>
  <c r="BX51" i="2" s="1"/>
  <c r="CS49" i="2"/>
  <c r="BF50" i="2"/>
  <c r="BF51" i="2" s="1"/>
  <c r="CA49" i="2"/>
  <c r="BY50" i="2"/>
  <c r="BY51" i="2" s="1"/>
  <c r="CT49" i="2"/>
  <c r="BG50" i="2"/>
  <c r="BG51" i="2" s="1"/>
  <c r="CB49" i="2"/>
  <c r="BK50" i="2"/>
  <c r="BK51" i="2" s="1"/>
  <c r="CF49" i="2"/>
  <c r="BR50" i="2"/>
  <c r="BR51" i="2" s="1"/>
  <c r="CM49" i="2"/>
  <c r="BL50" i="2"/>
  <c r="BL51" i="2" s="1"/>
  <c r="CG49" i="2"/>
  <c r="BJ50" i="2"/>
  <c r="BJ51" i="2" s="1"/>
  <c r="CE49" i="2"/>
  <c r="BW50" i="2"/>
  <c r="BW51" i="2" s="1"/>
  <c r="CR49" i="2"/>
  <c r="BS50" i="2"/>
  <c r="BS51" i="2" s="1"/>
  <c r="CN49" i="2"/>
  <c r="BQ50" i="2"/>
  <c r="BQ51" i="2" s="1"/>
  <c r="CL49" i="2"/>
  <c r="CH23" i="2"/>
  <c r="CA23" i="2"/>
  <c r="CD23" i="2"/>
  <c r="CB23" i="2"/>
  <c r="CK23" i="2"/>
  <c r="CJ23" i="2"/>
  <c r="CT23" i="2"/>
  <c r="CN23" i="2"/>
  <c r="CI23" i="2"/>
  <c r="CQ23" i="2"/>
  <c r="CC23" i="2"/>
  <c r="CL23" i="2"/>
  <c r="CO23" i="2"/>
  <c r="CM23" i="2"/>
  <c r="CE23" i="2"/>
  <c r="CP23" i="2"/>
  <c r="CF23" i="2"/>
  <c r="CS23" i="2"/>
  <c r="CR23" i="2"/>
  <c r="CG23" i="2"/>
  <c r="CV22" i="2"/>
  <c r="BQ52" i="2" l="1"/>
  <c r="CL51" i="2"/>
  <c r="BY52" i="2"/>
  <c r="CT51" i="2"/>
  <c r="BS52" i="2"/>
  <c r="CN51" i="2"/>
  <c r="BM52" i="2"/>
  <c r="CH51" i="2"/>
  <c r="BK52" i="2"/>
  <c r="CF51" i="2"/>
  <c r="BI52" i="2"/>
  <c r="CD51" i="2"/>
  <c r="BL52" i="2"/>
  <c r="CG51" i="2"/>
  <c r="BR52" i="2"/>
  <c r="CM51" i="2"/>
  <c r="BW52" i="2"/>
  <c r="CR51" i="2"/>
  <c r="BX52" i="2"/>
  <c r="CS51" i="2"/>
  <c r="BV52" i="2"/>
  <c r="CQ51" i="2"/>
  <c r="BU52" i="2"/>
  <c r="CP51" i="2"/>
  <c r="BF52" i="2"/>
  <c r="CA51" i="2"/>
  <c r="BJ52" i="2"/>
  <c r="CE51" i="2"/>
  <c r="BN52" i="2"/>
  <c r="CI51" i="2"/>
  <c r="BO52" i="2"/>
  <c r="CJ51" i="2"/>
  <c r="BP52" i="2"/>
  <c r="CK51" i="2"/>
  <c r="BG52" i="2"/>
  <c r="CB51" i="2"/>
  <c r="BH52" i="2"/>
  <c r="CC51" i="2"/>
  <c r="BT52" i="2"/>
  <c r="CO51" i="2"/>
  <c r="CV49" i="2"/>
  <c r="E49" i="2" s="1"/>
  <c r="CL50" i="2"/>
  <c r="CG50" i="2"/>
  <c r="CT50" i="2"/>
  <c r="CP50" i="2"/>
  <c r="CJ50" i="2"/>
  <c r="CN50" i="2"/>
  <c r="CM50" i="2"/>
  <c r="CA50" i="2"/>
  <c r="CK50" i="2"/>
  <c r="CH50" i="2"/>
  <c r="CR50" i="2"/>
  <c r="CF50" i="2"/>
  <c r="CS50" i="2"/>
  <c r="CD50" i="2"/>
  <c r="CQ50" i="2"/>
  <c r="CE50" i="2"/>
  <c r="CB50" i="2"/>
  <c r="CI50" i="2"/>
  <c r="CC50" i="2"/>
  <c r="CO50" i="2"/>
  <c r="CC24" i="2"/>
  <c r="CS24" i="2"/>
  <c r="CK24" i="2"/>
  <c r="CT24" i="2"/>
  <c r="CN24" i="2"/>
  <c r="CA24" i="2"/>
  <c r="CM24" i="2"/>
  <c r="CI24" i="2"/>
  <c r="CL24" i="2"/>
  <c r="CB24" i="2"/>
  <c r="CH24" i="2"/>
  <c r="CO24" i="2"/>
  <c r="CF24" i="2"/>
  <c r="CP24" i="2"/>
  <c r="CG24" i="2"/>
  <c r="CQ24" i="2"/>
  <c r="CJ24" i="2"/>
  <c r="CE24" i="2"/>
  <c r="CR24" i="2"/>
  <c r="CD24" i="2"/>
  <c r="CV23" i="2"/>
  <c r="BO53" i="2" l="1"/>
  <c r="CJ52" i="2"/>
  <c r="BU53" i="2"/>
  <c r="CP52" i="2"/>
  <c r="BR53" i="2"/>
  <c r="CM52" i="2"/>
  <c r="BM53" i="2"/>
  <c r="CH52" i="2"/>
  <c r="BS53" i="2"/>
  <c r="CN52" i="2"/>
  <c r="BV53" i="2"/>
  <c r="CQ52" i="2"/>
  <c r="BT53" i="2"/>
  <c r="CO52" i="2"/>
  <c r="BH53" i="2"/>
  <c r="CC52" i="2"/>
  <c r="BL53" i="2"/>
  <c r="CG52" i="2"/>
  <c r="BG53" i="2"/>
  <c r="CB52" i="2"/>
  <c r="BJ53" i="2"/>
  <c r="CE52" i="2"/>
  <c r="BX53" i="2"/>
  <c r="CS52" i="2"/>
  <c r="BI53" i="2"/>
  <c r="CD52" i="2"/>
  <c r="BY53" i="2"/>
  <c r="CT52" i="2"/>
  <c r="CV51" i="2"/>
  <c r="BN53" i="2"/>
  <c r="CI52" i="2"/>
  <c r="BP53" i="2"/>
  <c r="CK52" i="2"/>
  <c r="BF53" i="2"/>
  <c r="CA52" i="2"/>
  <c r="BW53" i="2"/>
  <c r="CR52" i="2"/>
  <c r="BK53" i="2"/>
  <c r="CF52" i="2"/>
  <c r="BQ53" i="2"/>
  <c r="CL52" i="2"/>
  <c r="CV50" i="2"/>
  <c r="E50" i="2" s="1"/>
  <c r="CR25" i="2"/>
  <c r="CH25" i="2"/>
  <c r="CL25" i="2"/>
  <c r="CQ25" i="2"/>
  <c r="CN25" i="2"/>
  <c r="CO25" i="2"/>
  <c r="CF25" i="2"/>
  <c r="CJ25" i="2"/>
  <c r="CK25" i="2"/>
  <c r="CP25" i="2"/>
  <c r="CG25" i="2"/>
  <c r="CT25" i="2"/>
  <c r="CS25" i="2"/>
  <c r="CM25" i="2"/>
  <c r="CB25" i="2"/>
  <c r="CI25" i="2"/>
  <c r="CC25" i="2"/>
  <c r="CE25" i="2"/>
  <c r="CD25" i="2"/>
  <c r="CA25" i="2"/>
  <c r="CV24" i="2"/>
  <c r="E51" i="2" l="1"/>
  <c r="BM54" i="2"/>
  <c r="CH53" i="2"/>
  <c r="BR54" i="2"/>
  <c r="CM53" i="2"/>
  <c r="BK54" i="2"/>
  <c r="CF53" i="2"/>
  <c r="BP54" i="2"/>
  <c r="CK53" i="2"/>
  <c r="BH54" i="2"/>
  <c r="CC53" i="2"/>
  <c r="BN54" i="2"/>
  <c r="CI53" i="2"/>
  <c r="BT54" i="2"/>
  <c r="CO53" i="2"/>
  <c r="CV52" i="2"/>
  <c r="E52" i="2" s="1"/>
  <c r="BY54" i="2"/>
  <c r="CT53" i="2"/>
  <c r="BG54" i="2"/>
  <c r="CB53" i="2"/>
  <c r="BV54" i="2"/>
  <c r="CQ53" i="2"/>
  <c r="BU54" i="2"/>
  <c r="CP53" i="2"/>
  <c r="BQ54" i="2"/>
  <c r="CL53" i="2"/>
  <c r="BX54" i="2"/>
  <c r="CS53" i="2"/>
  <c r="BJ54" i="2"/>
  <c r="CE53" i="2"/>
  <c r="BW54" i="2"/>
  <c r="CR53" i="2"/>
  <c r="BF54" i="2"/>
  <c r="CA53" i="2"/>
  <c r="BI54" i="2"/>
  <c r="CD53" i="2"/>
  <c r="BL54" i="2"/>
  <c r="CG53" i="2"/>
  <c r="BS54" i="2"/>
  <c r="CN53" i="2"/>
  <c r="BO54" i="2"/>
  <c r="CJ53" i="2"/>
  <c r="CN26" i="2"/>
  <c r="CP26" i="2"/>
  <c r="CA26" i="2"/>
  <c r="CH26" i="2"/>
  <c r="CB26" i="2"/>
  <c r="CT26" i="2"/>
  <c r="CL26" i="2"/>
  <c r="CF26" i="2"/>
  <c r="CC26" i="2"/>
  <c r="CS26" i="2"/>
  <c r="CO26" i="2"/>
  <c r="CE26" i="2"/>
  <c r="CR26" i="2"/>
  <c r="CD26" i="2"/>
  <c r="CM26" i="2"/>
  <c r="CK26" i="2"/>
  <c r="CG26" i="2"/>
  <c r="CI26" i="2"/>
  <c r="CQ26" i="2"/>
  <c r="CJ26" i="2"/>
  <c r="CV25" i="2"/>
  <c r="BF55" i="2" l="1"/>
  <c r="CA54" i="2"/>
  <c r="BW55" i="2"/>
  <c r="CR54" i="2"/>
  <c r="BY55" i="2"/>
  <c r="CT54" i="2"/>
  <c r="BK55" i="2"/>
  <c r="CF54" i="2"/>
  <c r="BO55" i="2"/>
  <c r="CJ54" i="2"/>
  <c r="BP55" i="2"/>
  <c r="CK54" i="2"/>
  <c r="BU55" i="2"/>
  <c r="CP54" i="2"/>
  <c r="BS55" i="2"/>
  <c r="CN54" i="2"/>
  <c r="BT55" i="2"/>
  <c r="CO54" i="2"/>
  <c r="BL55" i="2"/>
  <c r="CG54" i="2"/>
  <c r="BJ55" i="2"/>
  <c r="CE54" i="2"/>
  <c r="BV55" i="2"/>
  <c r="CQ54" i="2"/>
  <c r="BN55" i="2"/>
  <c r="CI54" i="2"/>
  <c r="BR55" i="2"/>
  <c r="CM54" i="2"/>
  <c r="BQ55" i="2"/>
  <c r="CL54" i="2"/>
  <c r="BI55" i="2"/>
  <c r="CD54" i="2"/>
  <c r="BX55" i="2"/>
  <c r="CS54" i="2"/>
  <c r="BG55" i="2"/>
  <c r="CB54" i="2"/>
  <c r="CV53" i="2"/>
  <c r="E53" i="2" s="1"/>
  <c r="BH55" i="2"/>
  <c r="CC54" i="2"/>
  <c r="BM55" i="2"/>
  <c r="CH54" i="2"/>
  <c r="CI27" i="2"/>
  <c r="CH27" i="2"/>
  <c r="CF27" i="2"/>
  <c r="CJ27" i="2"/>
  <c r="CT27" i="2"/>
  <c r="CE27" i="2"/>
  <c r="CA27" i="2"/>
  <c r="CL27" i="2"/>
  <c r="CD27" i="2"/>
  <c r="CS27" i="2"/>
  <c r="CQ27" i="2"/>
  <c r="CR27" i="2"/>
  <c r="CK27" i="2"/>
  <c r="CG27" i="2"/>
  <c r="CP27" i="2"/>
  <c r="CB27" i="2"/>
  <c r="CO27" i="2"/>
  <c r="CN27" i="2"/>
  <c r="CM27" i="2"/>
  <c r="CC27" i="2"/>
  <c r="CV26" i="2"/>
  <c r="BN56" i="2" l="1"/>
  <c r="CI55" i="2"/>
  <c r="BO56" i="2"/>
  <c r="CJ55" i="2"/>
  <c r="BI56" i="2"/>
  <c r="CD55" i="2"/>
  <c r="BV56" i="2"/>
  <c r="CQ55" i="2"/>
  <c r="BS56" i="2"/>
  <c r="CN55" i="2"/>
  <c r="BK56" i="2"/>
  <c r="CF55" i="2"/>
  <c r="BX56" i="2"/>
  <c r="CS55" i="2"/>
  <c r="BT56" i="2"/>
  <c r="CO55" i="2"/>
  <c r="BF56" i="2"/>
  <c r="CA55" i="2"/>
  <c r="BM56" i="2"/>
  <c r="CH55" i="2"/>
  <c r="BH56" i="2"/>
  <c r="CC55" i="2"/>
  <c r="CV54" i="2"/>
  <c r="E54" i="2" s="1"/>
  <c r="BQ56" i="2"/>
  <c r="CL55" i="2"/>
  <c r="BJ56" i="2"/>
  <c r="CE55" i="2"/>
  <c r="BU56" i="2"/>
  <c r="CP55" i="2"/>
  <c r="BY56" i="2"/>
  <c r="CT55" i="2"/>
  <c r="BG56" i="2"/>
  <c r="CB55" i="2"/>
  <c r="BR56" i="2"/>
  <c r="CM55" i="2"/>
  <c r="BL56" i="2"/>
  <c r="CG55" i="2"/>
  <c r="BP56" i="2"/>
  <c r="CK55" i="2"/>
  <c r="BW56" i="2"/>
  <c r="CR55" i="2"/>
  <c r="CO28" i="2"/>
  <c r="CH28" i="2"/>
  <c r="CE28" i="2"/>
  <c r="CI28" i="2"/>
  <c r="CP28" i="2"/>
  <c r="CR28" i="2"/>
  <c r="CG28" i="2"/>
  <c r="CQ28" i="2"/>
  <c r="CJ28" i="2"/>
  <c r="CS28" i="2"/>
  <c r="CK28" i="2"/>
  <c r="CM28" i="2"/>
  <c r="CD28" i="2"/>
  <c r="CB28" i="2"/>
  <c r="CC28" i="2"/>
  <c r="CT28" i="2"/>
  <c r="CF28" i="2"/>
  <c r="CA28" i="2"/>
  <c r="CN28" i="2"/>
  <c r="CL28" i="2"/>
  <c r="CV27" i="2"/>
  <c r="BQ57" i="2" l="1"/>
  <c r="CL56" i="2"/>
  <c r="BP57" i="2"/>
  <c r="CK56" i="2"/>
  <c r="BY57" i="2"/>
  <c r="CT56" i="2"/>
  <c r="BI57" i="2"/>
  <c r="CD56" i="2"/>
  <c r="BW57" i="2"/>
  <c r="CR56" i="2"/>
  <c r="BU57" i="2"/>
  <c r="CP56" i="2"/>
  <c r="BV57" i="2"/>
  <c r="CQ56" i="2"/>
  <c r="BX57" i="2"/>
  <c r="CS56" i="2"/>
  <c r="BM57" i="2"/>
  <c r="CH56" i="2"/>
  <c r="BO57" i="2"/>
  <c r="CJ56" i="2"/>
  <c r="BG57" i="2"/>
  <c r="CB56" i="2"/>
  <c r="BH57" i="2"/>
  <c r="CC56" i="2"/>
  <c r="BL57" i="2"/>
  <c r="CG56" i="2"/>
  <c r="BR57" i="2"/>
  <c r="CM56" i="2"/>
  <c r="BJ57" i="2"/>
  <c r="CE56" i="2"/>
  <c r="BT57" i="2"/>
  <c r="CO56" i="2"/>
  <c r="BK57" i="2"/>
  <c r="CF56" i="2"/>
  <c r="BF57" i="2"/>
  <c r="CA56" i="2"/>
  <c r="BS57" i="2"/>
  <c r="CN56" i="2"/>
  <c r="BN57" i="2"/>
  <c r="CI56" i="2"/>
  <c r="CV55" i="2"/>
  <c r="E55" i="2" s="1"/>
  <c r="CV28" i="2"/>
  <c r="E29" i="2" s="1"/>
  <c r="BL58" i="2" l="1"/>
  <c r="CG57" i="2"/>
  <c r="BN58" i="2"/>
  <c r="CI57" i="2"/>
  <c r="BT58" i="2"/>
  <c r="CO57" i="2"/>
  <c r="BH58" i="2"/>
  <c r="CC57" i="2"/>
  <c r="BX58" i="2"/>
  <c r="CS57" i="2"/>
  <c r="BI58" i="2"/>
  <c r="CD57" i="2"/>
  <c r="BK58" i="2"/>
  <c r="CF57" i="2"/>
  <c r="BQ58" i="2"/>
  <c r="CL57" i="2"/>
  <c r="BW58" i="2"/>
  <c r="CR57" i="2"/>
  <c r="BS58" i="2"/>
  <c r="CN57" i="2"/>
  <c r="BJ58" i="2"/>
  <c r="CE57" i="2"/>
  <c r="BG58" i="2"/>
  <c r="CB57" i="2"/>
  <c r="BV58" i="2"/>
  <c r="CQ57" i="2"/>
  <c r="BY58" i="2"/>
  <c r="CT57" i="2"/>
  <c r="CV56" i="2"/>
  <c r="E56" i="2" s="1"/>
  <c r="BM58" i="2"/>
  <c r="CH57" i="2"/>
  <c r="BF58" i="2"/>
  <c r="CA57" i="2"/>
  <c r="BR58" i="2"/>
  <c r="CM57" i="2"/>
  <c r="BO58" i="2"/>
  <c r="CJ57" i="2"/>
  <c r="BU58" i="2"/>
  <c r="CP57" i="2"/>
  <c r="BP58" i="2"/>
  <c r="CK57" i="2"/>
  <c r="E8" i="2"/>
  <c r="E12" i="2"/>
  <c r="E24" i="2"/>
  <c r="E20" i="2"/>
  <c r="E16" i="2"/>
  <c r="E28" i="2"/>
  <c r="E9" i="2"/>
  <c r="E13" i="2"/>
  <c r="E17" i="2"/>
  <c r="E21" i="2"/>
  <c r="E25" i="2"/>
  <c r="E10" i="2"/>
  <c r="E18" i="2"/>
  <c r="E26" i="2"/>
  <c r="E6" i="2"/>
  <c r="E14" i="2"/>
  <c r="E22" i="2"/>
  <c r="E11" i="2"/>
  <c r="E19" i="2"/>
  <c r="E27" i="2"/>
  <c r="E7" i="2"/>
  <c r="E15" i="2"/>
  <c r="E23" i="2"/>
  <c r="E5" i="2"/>
  <c r="BP59" i="2" l="1"/>
  <c r="CK58" i="2"/>
  <c r="BF59" i="2"/>
  <c r="CA58" i="2"/>
  <c r="BH59" i="2"/>
  <c r="CC58" i="2"/>
  <c r="BU59" i="2"/>
  <c r="CP58" i="2"/>
  <c r="BM59" i="2"/>
  <c r="CH58" i="2"/>
  <c r="BQ59" i="2"/>
  <c r="CL58" i="2"/>
  <c r="BJ59" i="2"/>
  <c r="CE58" i="2"/>
  <c r="BK59" i="2"/>
  <c r="CF58" i="2"/>
  <c r="BT59" i="2"/>
  <c r="CO58" i="2"/>
  <c r="BO59" i="2"/>
  <c r="CJ58" i="2"/>
  <c r="BG59" i="2"/>
  <c r="CB58" i="2"/>
  <c r="BY59" i="2"/>
  <c r="CT58" i="2"/>
  <c r="BS59" i="2"/>
  <c r="CN58" i="2"/>
  <c r="BI59" i="2"/>
  <c r="CD58" i="2"/>
  <c r="BN59" i="2"/>
  <c r="CI58" i="2"/>
  <c r="BR59" i="2"/>
  <c r="CM58" i="2"/>
  <c r="CV57" i="2"/>
  <c r="E57" i="2" s="1"/>
  <c r="BV59" i="2"/>
  <c r="CQ58" i="2"/>
  <c r="BW59" i="2"/>
  <c r="CR58" i="2"/>
  <c r="BX59" i="2"/>
  <c r="CS58" i="2"/>
  <c r="BL59" i="2"/>
  <c r="CG58" i="2"/>
  <c r="BT60" i="2" l="1"/>
  <c r="CO59" i="2"/>
  <c r="BL60" i="2"/>
  <c r="CG59" i="2"/>
  <c r="BM60" i="2"/>
  <c r="CH59" i="2"/>
  <c r="BR60" i="2"/>
  <c r="CM59" i="2"/>
  <c r="BY60" i="2"/>
  <c r="CT59" i="2"/>
  <c r="BU60" i="2"/>
  <c r="CP59" i="2"/>
  <c r="BX60" i="2"/>
  <c r="CS59" i="2"/>
  <c r="BK60" i="2"/>
  <c r="CF59" i="2"/>
  <c r="BN60" i="2"/>
  <c r="CI59" i="2"/>
  <c r="BG60" i="2"/>
  <c r="CB59" i="2"/>
  <c r="BJ60" i="2"/>
  <c r="CE59" i="2"/>
  <c r="BH60" i="2"/>
  <c r="CC59" i="2"/>
  <c r="BS60" i="2"/>
  <c r="CN59" i="2"/>
  <c r="CV58" i="2"/>
  <c r="E58" i="2" s="1"/>
  <c r="BV60" i="2"/>
  <c r="CQ59" i="2"/>
  <c r="BP60" i="2"/>
  <c r="CK59" i="2"/>
  <c r="BW60" i="2"/>
  <c r="CR59" i="2"/>
  <c r="BI60" i="2"/>
  <c r="CD59" i="2"/>
  <c r="BO60" i="2"/>
  <c r="CJ59" i="2"/>
  <c r="BQ60" i="2"/>
  <c r="CL59" i="2"/>
  <c r="BF60" i="2"/>
  <c r="CA59" i="2"/>
  <c r="BN61" i="2" l="1"/>
  <c r="CI60" i="2"/>
  <c r="BF61" i="2"/>
  <c r="CA60" i="2"/>
  <c r="BW61" i="2"/>
  <c r="CR60" i="2"/>
  <c r="BI61" i="2"/>
  <c r="CD60" i="2"/>
  <c r="BH61" i="2"/>
  <c r="CC60" i="2"/>
  <c r="BK61" i="2"/>
  <c r="CF60" i="2"/>
  <c r="BR61" i="2"/>
  <c r="CM60" i="2"/>
  <c r="CV59" i="2"/>
  <c r="E59" i="2" s="1"/>
  <c r="BQ61" i="2"/>
  <c r="CL60" i="2"/>
  <c r="BT61" i="2"/>
  <c r="CO60" i="2"/>
  <c r="BP61" i="2"/>
  <c r="CK60" i="2"/>
  <c r="BJ61" i="2"/>
  <c r="CE60" i="2"/>
  <c r="BX61" i="2"/>
  <c r="CS60" i="2"/>
  <c r="BM61" i="2"/>
  <c r="CH60" i="2"/>
  <c r="BS61" i="2"/>
  <c r="CN60" i="2"/>
  <c r="BV61" i="2"/>
  <c r="CQ60" i="2"/>
  <c r="BY61" i="2"/>
  <c r="CT60" i="2"/>
  <c r="BO61" i="2"/>
  <c r="CJ60" i="2"/>
  <c r="BG61" i="2"/>
  <c r="CB60" i="2"/>
  <c r="BU61" i="2"/>
  <c r="CP60" i="2"/>
  <c r="BL61" i="2"/>
  <c r="CG60" i="2"/>
  <c r="BM62" i="2" l="1"/>
  <c r="CH61" i="2"/>
  <c r="BH62" i="2"/>
  <c r="CC61" i="2"/>
  <c r="BN62" i="2"/>
  <c r="CI61" i="2"/>
  <c r="BL62" i="2"/>
  <c r="CG61" i="2"/>
  <c r="BY62" i="2"/>
  <c r="CT61" i="2"/>
  <c r="BX62" i="2"/>
  <c r="CS61" i="2"/>
  <c r="BQ62" i="2"/>
  <c r="CL61" i="2"/>
  <c r="BO62" i="2"/>
  <c r="CJ61" i="2"/>
  <c r="BT62" i="2"/>
  <c r="CO61" i="2"/>
  <c r="BU62" i="2"/>
  <c r="CP61" i="2"/>
  <c r="BJ62" i="2"/>
  <c r="CE61" i="2"/>
  <c r="BW62" i="2"/>
  <c r="CR61" i="2"/>
  <c r="BS62" i="2"/>
  <c r="CN61" i="2"/>
  <c r="BP62" i="2"/>
  <c r="CK61" i="2"/>
  <c r="BI62" i="2"/>
  <c r="CD61" i="2"/>
  <c r="BV62" i="2"/>
  <c r="CQ61" i="2"/>
  <c r="BR62" i="2"/>
  <c r="CM61" i="2"/>
  <c r="BG62" i="2"/>
  <c r="CB61" i="2"/>
  <c r="BK62" i="2"/>
  <c r="CF61" i="2"/>
  <c r="BF62" i="2"/>
  <c r="CA61" i="2"/>
  <c r="CV60" i="2"/>
  <c r="E60" i="2" s="1"/>
  <c r="CV61" i="2" l="1"/>
  <c r="E61" i="2" s="1"/>
  <c r="BN63" i="2"/>
  <c r="CI62" i="2"/>
  <c r="BF63" i="2"/>
  <c r="CA62" i="2"/>
  <c r="BW63" i="2"/>
  <c r="CR62" i="2"/>
  <c r="BL63" i="2"/>
  <c r="CG62" i="2"/>
  <c r="BI63" i="2"/>
  <c r="CD62" i="2"/>
  <c r="BQ63" i="2"/>
  <c r="CL62" i="2"/>
  <c r="BV63" i="2"/>
  <c r="CQ62" i="2"/>
  <c r="BO63" i="2"/>
  <c r="CJ62" i="2"/>
  <c r="BK63" i="2"/>
  <c r="CF62" i="2"/>
  <c r="BJ63" i="2"/>
  <c r="CE62" i="2"/>
  <c r="BG63" i="2"/>
  <c r="CB62" i="2"/>
  <c r="BP63" i="2"/>
  <c r="CK62" i="2"/>
  <c r="BU63" i="2"/>
  <c r="CP62" i="2"/>
  <c r="BX63" i="2"/>
  <c r="CS62" i="2"/>
  <c r="BH63" i="2"/>
  <c r="CC62" i="2"/>
  <c r="BR63" i="2"/>
  <c r="CM62" i="2"/>
  <c r="BS63" i="2"/>
  <c r="CN62" i="2"/>
  <c r="BT63" i="2"/>
  <c r="CO62" i="2"/>
  <c r="BY63" i="2"/>
  <c r="CT62" i="2"/>
  <c r="BM63" i="2"/>
  <c r="CH62" i="2"/>
  <c r="BM64" i="2" l="1"/>
  <c r="CH63" i="2"/>
  <c r="BR64" i="2"/>
  <c r="CM63" i="2"/>
  <c r="BP64" i="2"/>
  <c r="CK63" i="2"/>
  <c r="BO64" i="2"/>
  <c r="CJ63" i="2"/>
  <c r="BL64" i="2"/>
  <c r="CG63" i="2"/>
  <c r="BW64" i="2"/>
  <c r="CR63" i="2"/>
  <c r="CV62" i="2"/>
  <c r="E62" i="2" s="1"/>
  <c r="BY64" i="2"/>
  <c r="CT63" i="2"/>
  <c r="BG64" i="2"/>
  <c r="CB63" i="2"/>
  <c r="BT64" i="2"/>
  <c r="CO63" i="2"/>
  <c r="BX64" i="2"/>
  <c r="CS63" i="2"/>
  <c r="BJ64" i="2"/>
  <c r="CE63" i="2"/>
  <c r="BQ64" i="2"/>
  <c r="CL63" i="2"/>
  <c r="BF64" i="2"/>
  <c r="CA63" i="2"/>
  <c r="BV64" i="2"/>
  <c r="CQ63" i="2"/>
  <c r="BH64" i="2"/>
  <c r="CC63" i="2"/>
  <c r="BS64" i="2"/>
  <c r="CN63" i="2"/>
  <c r="BU64" i="2"/>
  <c r="CP63" i="2"/>
  <c r="BK64" i="2"/>
  <c r="CF63" i="2"/>
  <c r="BI64" i="2"/>
  <c r="CD63" i="2"/>
  <c r="BN64" i="2"/>
  <c r="CI63" i="2"/>
  <c r="BO65" i="2" l="1"/>
  <c r="CJ64" i="2"/>
  <c r="BH65" i="2"/>
  <c r="CC64" i="2"/>
  <c r="BU65" i="2"/>
  <c r="CP64" i="2"/>
  <c r="BF65" i="2"/>
  <c r="CA64" i="2"/>
  <c r="BT65" i="2"/>
  <c r="CO64" i="2"/>
  <c r="BL65" i="2"/>
  <c r="CG64" i="2"/>
  <c r="BM65" i="2"/>
  <c r="CH64" i="2"/>
  <c r="BN65" i="2"/>
  <c r="CI64" i="2"/>
  <c r="BS65" i="2"/>
  <c r="CN64" i="2"/>
  <c r="BQ65" i="2"/>
  <c r="CL64" i="2"/>
  <c r="BG65" i="2"/>
  <c r="CB64" i="2"/>
  <c r="BI65" i="2"/>
  <c r="CD64" i="2"/>
  <c r="BJ65" i="2"/>
  <c r="CE64" i="2"/>
  <c r="BY65" i="2"/>
  <c r="CT64" i="2"/>
  <c r="BP65" i="2"/>
  <c r="CK64" i="2"/>
  <c r="BK65" i="2"/>
  <c r="CF64" i="2"/>
  <c r="BV65" i="2"/>
  <c r="CQ64" i="2"/>
  <c r="BX65" i="2"/>
  <c r="CS64" i="2"/>
  <c r="CV63" i="2"/>
  <c r="E63" i="2" s="1"/>
  <c r="BW65" i="2"/>
  <c r="CR64" i="2"/>
  <c r="BR65" i="2"/>
  <c r="CM64" i="2"/>
  <c r="BJ66" i="2" l="1"/>
  <c r="BJ67" i="2" s="1"/>
  <c r="BJ68" i="2" s="1"/>
  <c r="BJ69" i="2" s="1"/>
  <c r="BJ70" i="2" s="1"/>
  <c r="BJ71" i="2" s="1"/>
  <c r="BJ72" i="2" s="1"/>
  <c r="BJ73" i="2" s="1"/>
  <c r="BJ74" i="2" s="1"/>
  <c r="BJ75" i="2" s="1"/>
  <c r="BJ76" i="2" s="1"/>
  <c r="BJ77" i="2" s="1"/>
  <c r="BJ78" i="2" s="1"/>
  <c r="BJ79" i="2" s="1"/>
  <c r="BJ80" i="2" s="1"/>
  <c r="BJ81" i="2" s="1"/>
  <c r="BJ82" i="2" s="1"/>
  <c r="BJ83" i="2" s="1"/>
  <c r="BJ84" i="2" s="1"/>
  <c r="BJ85" i="2" s="1"/>
  <c r="BJ86" i="2" s="1"/>
  <c r="BJ87" i="2" s="1"/>
  <c r="BJ88" i="2" s="1"/>
  <c r="BJ89" i="2" s="1"/>
  <c r="BJ90" i="2" s="1"/>
  <c r="BJ91" i="2" s="1"/>
  <c r="BJ92" i="2" s="1"/>
  <c r="BJ93" i="2" s="1"/>
  <c r="BJ94" i="2" s="1"/>
  <c r="BJ95" i="2" s="1"/>
  <c r="BJ96" i="2" s="1"/>
  <c r="BJ97" i="2" s="1"/>
  <c r="BJ98" i="2" s="1"/>
  <c r="BJ99" i="2" s="1"/>
  <c r="BJ100" i="2" s="1"/>
  <c r="BJ101" i="2" s="1"/>
  <c r="BJ102" i="2" s="1"/>
  <c r="BJ103" i="2" s="1"/>
  <c r="BJ104" i="2" s="1"/>
  <c r="BJ105" i="2" s="1"/>
  <c r="BJ106" i="2" s="1"/>
  <c r="BJ107" i="2" s="1"/>
  <c r="BJ108" i="2" s="1"/>
  <c r="BJ109" i="2" s="1"/>
  <c r="BJ110" i="2" s="1"/>
  <c r="BJ111" i="2" s="1"/>
  <c r="BJ112" i="2" s="1"/>
  <c r="BJ113" i="2" s="1"/>
  <c r="BJ114" i="2" s="1"/>
  <c r="BJ115" i="2" s="1"/>
  <c r="BJ116" i="2" s="1"/>
  <c r="BJ117" i="2" s="1"/>
  <c r="BJ118" i="2" s="1"/>
  <c r="BJ119" i="2" s="1"/>
  <c r="BJ120" i="2" s="1"/>
  <c r="BJ121" i="2" s="1"/>
  <c r="BJ122" i="2" s="1"/>
  <c r="BJ123" i="2" s="1"/>
  <c r="BJ124" i="2" s="1"/>
  <c r="BJ125" i="2" s="1"/>
  <c r="BJ126" i="2" s="1"/>
  <c r="BJ127" i="2" s="1"/>
  <c r="BJ128" i="2" s="1"/>
  <c r="BJ129" i="2" s="1"/>
  <c r="BJ130" i="2" s="1"/>
  <c r="BJ131" i="2" s="1"/>
  <c r="BJ132" i="2" s="1"/>
  <c r="BJ133" i="2" s="1"/>
  <c r="BJ134" i="2" s="1"/>
  <c r="BJ135" i="2" s="1"/>
  <c r="BJ136" i="2" s="1"/>
  <c r="BJ137" i="2" s="1"/>
  <c r="BJ138" i="2" s="1"/>
  <c r="BJ139" i="2" s="1"/>
  <c r="BJ140" i="2" s="1"/>
  <c r="BJ141" i="2" s="1"/>
  <c r="BJ142" i="2" s="1"/>
  <c r="BJ143" i="2" s="1"/>
  <c r="BJ144" i="2" s="1"/>
  <c r="BJ145" i="2" s="1"/>
  <c r="BJ146" i="2" s="1"/>
  <c r="BJ147" i="2" s="1"/>
  <c r="BJ148" i="2" s="1"/>
  <c r="BJ149" i="2" s="1"/>
  <c r="BJ150" i="2" s="1"/>
  <c r="BJ151" i="2" s="1"/>
  <c r="BJ152" i="2" s="1"/>
  <c r="BJ153" i="2" s="1"/>
  <c r="BJ154" i="2" s="1"/>
  <c r="BJ155" i="2" s="1"/>
  <c r="BJ156" i="2" s="1"/>
  <c r="BJ157" i="2" s="1"/>
  <c r="BJ158" i="2" s="1"/>
  <c r="BJ159" i="2" s="1"/>
  <c r="BJ160" i="2" s="1"/>
  <c r="BJ161" i="2" s="1"/>
  <c r="BJ162" i="2" s="1"/>
  <c r="BJ163" i="2" s="1"/>
  <c r="BJ164" i="2" s="1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BJ455" i="2" s="1"/>
  <c r="CE65" i="2"/>
  <c r="BR66" i="2"/>
  <c r="BR67" i="2" s="1"/>
  <c r="BR68" i="2" s="1"/>
  <c r="BR69" i="2" s="1"/>
  <c r="BR70" i="2" s="1"/>
  <c r="BR71" i="2" s="1"/>
  <c r="BR72" i="2" s="1"/>
  <c r="BR73" i="2" s="1"/>
  <c r="BR74" i="2" s="1"/>
  <c r="BR75" i="2" s="1"/>
  <c r="BR76" i="2" s="1"/>
  <c r="BR77" i="2" s="1"/>
  <c r="BR78" i="2" s="1"/>
  <c r="BR79" i="2" s="1"/>
  <c r="BR80" i="2" s="1"/>
  <c r="BR81" i="2" s="1"/>
  <c r="BR82" i="2" s="1"/>
  <c r="BR83" i="2" s="1"/>
  <c r="BR84" i="2" s="1"/>
  <c r="BR85" i="2" s="1"/>
  <c r="BR86" i="2" s="1"/>
  <c r="BR87" i="2" s="1"/>
  <c r="BR88" i="2" s="1"/>
  <c r="BR89" i="2" s="1"/>
  <c r="BR90" i="2" s="1"/>
  <c r="BR91" i="2" s="1"/>
  <c r="BR92" i="2" s="1"/>
  <c r="BR93" i="2" s="1"/>
  <c r="BR94" i="2" s="1"/>
  <c r="BR95" i="2" s="1"/>
  <c r="BR96" i="2" s="1"/>
  <c r="BR97" i="2" s="1"/>
  <c r="BR98" i="2" s="1"/>
  <c r="BR99" i="2" s="1"/>
  <c r="BR100" i="2" s="1"/>
  <c r="BR101" i="2" s="1"/>
  <c r="BR102" i="2" s="1"/>
  <c r="BR103" i="2" s="1"/>
  <c r="BR104" i="2" s="1"/>
  <c r="BR105" i="2" s="1"/>
  <c r="BR106" i="2" s="1"/>
  <c r="BR107" i="2" s="1"/>
  <c r="BR108" i="2" s="1"/>
  <c r="BR109" i="2" s="1"/>
  <c r="BR110" i="2" s="1"/>
  <c r="BR111" i="2" s="1"/>
  <c r="BR112" i="2" s="1"/>
  <c r="BR113" i="2" s="1"/>
  <c r="BR114" i="2" s="1"/>
  <c r="BR115" i="2" s="1"/>
  <c r="BR116" i="2" s="1"/>
  <c r="BR117" i="2" s="1"/>
  <c r="BR118" i="2" s="1"/>
  <c r="BR119" i="2" s="1"/>
  <c r="BR120" i="2" s="1"/>
  <c r="BR121" i="2" s="1"/>
  <c r="BR122" i="2" s="1"/>
  <c r="BR123" i="2" s="1"/>
  <c r="BR124" i="2" s="1"/>
  <c r="BR125" i="2" s="1"/>
  <c r="BR126" i="2" s="1"/>
  <c r="BR127" i="2" s="1"/>
  <c r="BR128" i="2" s="1"/>
  <c r="BR129" i="2" s="1"/>
  <c r="BR130" i="2" s="1"/>
  <c r="BR131" i="2" s="1"/>
  <c r="BR132" i="2" s="1"/>
  <c r="BR133" i="2" s="1"/>
  <c r="BR134" i="2" s="1"/>
  <c r="BR135" i="2" s="1"/>
  <c r="BR136" i="2" s="1"/>
  <c r="BR137" i="2" s="1"/>
  <c r="BR138" i="2" s="1"/>
  <c r="BR139" i="2" s="1"/>
  <c r="BR140" i="2" s="1"/>
  <c r="BR141" i="2" s="1"/>
  <c r="BR142" i="2" s="1"/>
  <c r="BR143" i="2" s="1"/>
  <c r="BR144" i="2" s="1"/>
  <c r="BR145" i="2" s="1"/>
  <c r="BR146" i="2" s="1"/>
  <c r="BR147" i="2" s="1"/>
  <c r="BR148" i="2" s="1"/>
  <c r="BR149" i="2" s="1"/>
  <c r="BR150" i="2" s="1"/>
  <c r="BR151" i="2" s="1"/>
  <c r="BR152" i="2" s="1"/>
  <c r="BR153" i="2" s="1"/>
  <c r="BR154" i="2" s="1"/>
  <c r="BR155" i="2" s="1"/>
  <c r="BR156" i="2" s="1"/>
  <c r="BR157" i="2" s="1"/>
  <c r="BR158" i="2" s="1"/>
  <c r="BR159" i="2" s="1"/>
  <c r="BR160" i="2" s="1"/>
  <c r="BR161" i="2" s="1"/>
  <c r="BR162" i="2" s="1"/>
  <c r="BR163" i="2" s="1"/>
  <c r="BR164" i="2" s="1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BR455" i="2" s="1"/>
  <c r="CM65" i="2"/>
  <c r="CV64" i="2"/>
  <c r="E64" i="2" s="1"/>
  <c r="BT66" i="2"/>
  <c r="BT67" i="2" s="1"/>
  <c r="BT68" i="2" s="1"/>
  <c r="BT69" i="2" s="1"/>
  <c r="BT70" i="2" s="1"/>
  <c r="BT71" i="2" s="1"/>
  <c r="BT72" i="2" s="1"/>
  <c r="BT73" i="2" s="1"/>
  <c r="BT74" i="2" s="1"/>
  <c r="BT75" i="2" s="1"/>
  <c r="BT76" i="2" s="1"/>
  <c r="BT77" i="2" s="1"/>
  <c r="BT78" i="2" s="1"/>
  <c r="BT79" i="2" s="1"/>
  <c r="BT80" i="2" s="1"/>
  <c r="BT81" i="2" s="1"/>
  <c r="BT82" i="2" s="1"/>
  <c r="BT83" i="2" s="1"/>
  <c r="BT84" i="2" s="1"/>
  <c r="BT85" i="2" s="1"/>
  <c r="BT86" i="2" s="1"/>
  <c r="BT87" i="2" s="1"/>
  <c r="BT88" i="2" s="1"/>
  <c r="BT89" i="2" s="1"/>
  <c r="BT90" i="2" s="1"/>
  <c r="BT91" i="2" s="1"/>
  <c r="BT92" i="2" s="1"/>
  <c r="BT93" i="2" s="1"/>
  <c r="BT94" i="2" s="1"/>
  <c r="BT95" i="2" s="1"/>
  <c r="BT96" i="2" s="1"/>
  <c r="BT97" i="2" s="1"/>
  <c r="BT98" i="2" s="1"/>
  <c r="BT99" i="2" s="1"/>
  <c r="BT100" i="2" s="1"/>
  <c r="BT101" i="2" s="1"/>
  <c r="BT102" i="2" s="1"/>
  <c r="BT103" i="2" s="1"/>
  <c r="BT104" i="2" s="1"/>
  <c r="BT105" i="2" s="1"/>
  <c r="BT106" i="2" s="1"/>
  <c r="BT107" i="2" s="1"/>
  <c r="BT108" i="2" s="1"/>
  <c r="BT109" i="2" s="1"/>
  <c r="BT110" i="2" s="1"/>
  <c r="BT111" i="2" s="1"/>
  <c r="BT112" i="2" s="1"/>
  <c r="BT113" i="2" s="1"/>
  <c r="BT114" i="2" s="1"/>
  <c r="BT115" i="2" s="1"/>
  <c r="BT116" i="2" s="1"/>
  <c r="BT117" i="2" s="1"/>
  <c r="BT118" i="2" s="1"/>
  <c r="BT119" i="2" s="1"/>
  <c r="BT120" i="2" s="1"/>
  <c r="BT121" i="2" s="1"/>
  <c r="BT122" i="2" s="1"/>
  <c r="BT123" i="2" s="1"/>
  <c r="BT124" i="2" s="1"/>
  <c r="BT125" i="2" s="1"/>
  <c r="BT126" i="2" s="1"/>
  <c r="BT127" i="2" s="1"/>
  <c r="BT128" i="2" s="1"/>
  <c r="BT129" i="2" s="1"/>
  <c r="BT130" i="2" s="1"/>
  <c r="BT131" i="2" s="1"/>
  <c r="BT132" i="2" s="1"/>
  <c r="BT133" i="2" s="1"/>
  <c r="BT134" i="2" s="1"/>
  <c r="BT135" i="2" s="1"/>
  <c r="BT136" i="2" s="1"/>
  <c r="BT137" i="2" s="1"/>
  <c r="BT138" i="2" s="1"/>
  <c r="BT139" i="2" s="1"/>
  <c r="BT140" i="2" s="1"/>
  <c r="BT141" i="2" s="1"/>
  <c r="BT142" i="2" s="1"/>
  <c r="BT143" i="2" s="1"/>
  <c r="BT144" i="2" s="1"/>
  <c r="BT145" i="2" s="1"/>
  <c r="BT146" i="2" s="1"/>
  <c r="BT147" i="2" s="1"/>
  <c r="BT148" i="2" s="1"/>
  <c r="BT149" i="2" s="1"/>
  <c r="BT150" i="2" s="1"/>
  <c r="BT151" i="2" s="1"/>
  <c r="BT152" i="2" s="1"/>
  <c r="BT153" i="2" s="1"/>
  <c r="BT154" i="2" s="1"/>
  <c r="BT155" i="2" s="1"/>
  <c r="BT156" i="2" s="1"/>
  <c r="BT157" i="2" s="1"/>
  <c r="BT158" i="2" s="1"/>
  <c r="BT159" i="2" s="1"/>
  <c r="BT160" i="2" s="1"/>
  <c r="BT161" i="2" s="1"/>
  <c r="BT162" i="2" s="1"/>
  <c r="BT163" i="2" s="1"/>
  <c r="BT164" i="2" s="1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BT455" i="2" s="1"/>
  <c r="CO65" i="2"/>
  <c r="BI66" i="2"/>
  <c r="BI67" i="2" s="1"/>
  <c r="BI68" i="2" s="1"/>
  <c r="BI69" i="2" s="1"/>
  <c r="BI70" i="2" s="1"/>
  <c r="BI71" i="2" s="1"/>
  <c r="BI72" i="2" s="1"/>
  <c r="BI73" i="2" s="1"/>
  <c r="BI74" i="2" s="1"/>
  <c r="BI75" i="2" s="1"/>
  <c r="BI76" i="2" s="1"/>
  <c r="BI77" i="2" s="1"/>
  <c r="BI78" i="2" s="1"/>
  <c r="BI79" i="2" s="1"/>
  <c r="BI80" i="2" s="1"/>
  <c r="BI81" i="2" s="1"/>
  <c r="BI82" i="2" s="1"/>
  <c r="BI83" i="2" s="1"/>
  <c r="BI84" i="2" s="1"/>
  <c r="BI85" i="2" s="1"/>
  <c r="BI86" i="2" s="1"/>
  <c r="BI87" i="2" s="1"/>
  <c r="BI88" i="2" s="1"/>
  <c r="BI89" i="2" s="1"/>
  <c r="BI90" i="2" s="1"/>
  <c r="BI91" i="2" s="1"/>
  <c r="BI92" i="2" s="1"/>
  <c r="BI93" i="2" s="1"/>
  <c r="BI94" i="2" s="1"/>
  <c r="BI95" i="2" s="1"/>
  <c r="BI96" i="2" s="1"/>
  <c r="BI97" i="2" s="1"/>
  <c r="BI98" i="2" s="1"/>
  <c r="BI99" i="2" s="1"/>
  <c r="BI100" i="2" s="1"/>
  <c r="BI101" i="2" s="1"/>
  <c r="BI102" i="2" s="1"/>
  <c r="BI103" i="2" s="1"/>
  <c r="BI104" i="2" s="1"/>
  <c r="BI105" i="2" s="1"/>
  <c r="BI106" i="2" s="1"/>
  <c r="BI107" i="2" s="1"/>
  <c r="BI108" i="2" s="1"/>
  <c r="BI109" i="2" s="1"/>
  <c r="BI110" i="2" s="1"/>
  <c r="BI111" i="2" s="1"/>
  <c r="BI112" i="2" s="1"/>
  <c r="BI113" i="2" s="1"/>
  <c r="BI114" i="2" s="1"/>
  <c r="BI115" i="2" s="1"/>
  <c r="BI116" i="2" s="1"/>
  <c r="BI117" i="2" s="1"/>
  <c r="BI118" i="2" s="1"/>
  <c r="BI119" i="2" s="1"/>
  <c r="BI120" i="2" s="1"/>
  <c r="BI121" i="2" s="1"/>
  <c r="BI122" i="2" s="1"/>
  <c r="BI123" i="2" s="1"/>
  <c r="BI124" i="2" s="1"/>
  <c r="BI125" i="2" s="1"/>
  <c r="BI126" i="2" s="1"/>
  <c r="BI127" i="2" s="1"/>
  <c r="BI128" i="2" s="1"/>
  <c r="BI129" i="2" s="1"/>
  <c r="BI130" i="2" s="1"/>
  <c r="BI131" i="2" s="1"/>
  <c r="BI132" i="2" s="1"/>
  <c r="BI133" i="2" s="1"/>
  <c r="BI134" i="2" s="1"/>
  <c r="BI135" i="2" s="1"/>
  <c r="BI136" i="2" s="1"/>
  <c r="BI137" i="2" s="1"/>
  <c r="BI138" i="2" s="1"/>
  <c r="BI139" i="2" s="1"/>
  <c r="BI140" i="2" s="1"/>
  <c r="BI141" i="2" s="1"/>
  <c r="BI142" i="2" s="1"/>
  <c r="BI143" i="2" s="1"/>
  <c r="BI144" i="2" s="1"/>
  <c r="BI145" i="2" s="1"/>
  <c r="BI146" i="2" s="1"/>
  <c r="BI147" i="2" s="1"/>
  <c r="BI148" i="2" s="1"/>
  <c r="BI149" i="2" s="1"/>
  <c r="BI150" i="2" s="1"/>
  <c r="BI151" i="2" s="1"/>
  <c r="BI152" i="2" s="1"/>
  <c r="BI153" i="2" s="1"/>
  <c r="BI154" i="2" s="1"/>
  <c r="BI155" i="2" s="1"/>
  <c r="BI156" i="2" s="1"/>
  <c r="BI157" i="2" s="1"/>
  <c r="BI158" i="2" s="1"/>
  <c r="BI159" i="2" s="1"/>
  <c r="BI160" i="2" s="1"/>
  <c r="BI161" i="2" s="1"/>
  <c r="BI162" i="2" s="1"/>
  <c r="BI163" i="2" s="1"/>
  <c r="BI164" i="2" s="1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I455" i="2" s="1"/>
  <c r="CD65" i="2"/>
  <c r="BS66" i="2"/>
  <c r="BS67" i="2" s="1"/>
  <c r="BS68" i="2" s="1"/>
  <c r="BS69" i="2" s="1"/>
  <c r="BS70" i="2" s="1"/>
  <c r="BS71" i="2" s="1"/>
  <c r="BS72" i="2" s="1"/>
  <c r="BS73" i="2" s="1"/>
  <c r="BS74" i="2" s="1"/>
  <c r="BS75" i="2" s="1"/>
  <c r="BS76" i="2" s="1"/>
  <c r="BS77" i="2" s="1"/>
  <c r="BS78" i="2" s="1"/>
  <c r="BS79" i="2" s="1"/>
  <c r="BS80" i="2" s="1"/>
  <c r="BS81" i="2" s="1"/>
  <c r="BS82" i="2" s="1"/>
  <c r="BS83" i="2" s="1"/>
  <c r="BS84" i="2" s="1"/>
  <c r="BS85" i="2" s="1"/>
  <c r="BS86" i="2" s="1"/>
  <c r="BS87" i="2" s="1"/>
  <c r="BS88" i="2" s="1"/>
  <c r="BS89" i="2" s="1"/>
  <c r="BS90" i="2" s="1"/>
  <c r="BS91" i="2" s="1"/>
  <c r="BS92" i="2" s="1"/>
  <c r="BS93" i="2" s="1"/>
  <c r="BS94" i="2" s="1"/>
  <c r="BS95" i="2" s="1"/>
  <c r="BS96" i="2" s="1"/>
  <c r="BS97" i="2" s="1"/>
  <c r="BS98" i="2" s="1"/>
  <c r="BS99" i="2" s="1"/>
  <c r="BS100" i="2" s="1"/>
  <c r="BS101" i="2" s="1"/>
  <c r="BS102" i="2" s="1"/>
  <c r="BS103" i="2" s="1"/>
  <c r="BS104" i="2" s="1"/>
  <c r="BS105" i="2" s="1"/>
  <c r="BS106" i="2" s="1"/>
  <c r="BS107" i="2" s="1"/>
  <c r="BS108" i="2" s="1"/>
  <c r="BS109" i="2" s="1"/>
  <c r="BS110" i="2" s="1"/>
  <c r="BS111" i="2" s="1"/>
  <c r="BS112" i="2" s="1"/>
  <c r="BS113" i="2" s="1"/>
  <c r="BS114" i="2" s="1"/>
  <c r="BS115" i="2" s="1"/>
  <c r="BS116" i="2" s="1"/>
  <c r="BS117" i="2" s="1"/>
  <c r="BS118" i="2" s="1"/>
  <c r="BS119" i="2" s="1"/>
  <c r="BS120" i="2" s="1"/>
  <c r="BS121" i="2" s="1"/>
  <c r="BS122" i="2" s="1"/>
  <c r="BS123" i="2" s="1"/>
  <c r="BS124" i="2" s="1"/>
  <c r="BS125" i="2" s="1"/>
  <c r="BS126" i="2" s="1"/>
  <c r="BS127" i="2" s="1"/>
  <c r="BS128" i="2" s="1"/>
  <c r="BS129" i="2" s="1"/>
  <c r="BS130" i="2" s="1"/>
  <c r="BS131" i="2" s="1"/>
  <c r="BS132" i="2" s="1"/>
  <c r="BS133" i="2" s="1"/>
  <c r="BS134" i="2" s="1"/>
  <c r="BS135" i="2" s="1"/>
  <c r="BS136" i="2" s="1"/>
  <c r="BS137" i="2" s="1"/>
  <c r="BS138" i="2" s="1"/>
  <c r="BS139" i="2" s="1"/>
  <c r="BS140" i="2" s="1"/>
  <c r="BS141" i="2" s="1"/>
  <c r="BS142" i="2" s="1"/>
  <c r="BS143" i="2" s="1"/>
  <c r="BS144" i="2" s="1"/>
  <c r="BS145" i="2" s="1"/>
  <c r="BS146" i="2" s="1"/>
  <c r="BS147" i="2" s="1"/>
  <c r="BS148" i="2" s="1"/>
  <c r="BS149" i="2" s="1"/>
  <c r="BS150" i="2" s="1"/>
  <c r="BS151" i="2" s="1"/>
  <c r="BS152" i="2" s="1"/>
  <c r="BS153" i="2" s="1"/>
  <c r="BS154" i="2" s="1"/>
  <c r="BS155" i="2" s="1"/>
  <c r="BS156" i="2" s="1"/>
  <c r="BS157" i="2" s="1"/>
  <c r="BS158" i="2" s="1"/>
  <c r="BS159" i="2" s="1"/>
  <c r="BS160" i="2" s="1"/>
  <c r="BS161" i="2" s="1"/>
  <c r="BS162" i="2" s="1"/>
  <c r="BS163" i="2" s="1"/>
  <c r="BS164" i="2" s="1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BS455" i="2" s="1"/>
  <c r="CN65" i="2"/>
  <c r="BK66" i="2"/>
  <c r="BK67" i="2" s="1"/>
  <c r="BK68" i="2" s="1"/>
  <c r="BK69" i="2" s="1"/>
  <c r="BK70" i="2" s="1"/>
  <c r="BK71" i="2" s="1"/>
  <c r="BK72" i="2" s="1"/>
  <c r="BK73" i="2" s="1"/>
  <c r="BK74" i="2" s="1"/>
  <c r="BK75" i="2" s="1"/>
  <c r="BK76" i="2" s="1"/>
  <c r="BK77" i="2" s="1"/>
  <c r="BK78" i="2" s="1"/>
  <c r="BK79" i="2" s="1"/>
  <c r="BK80" i="2" s="1"/>
  <c r="BK81" i="2" s="1"/>
  <c r="BK82" i="2" s="1"/>
  <c r="BK83" i="2" s="1"/>
  <c r="BK84" i="2" s="1"/>
  <c r="BK85" i="2" s="1"/>
  <c r="BK86" i="2" s="1"/>
  <c r="BK87" i="2" s="1"/>
  <c r="BK88" i="2" s="1"/>
  <c r="BK89" i="2" s="1"/>
  <c r="BK90" i="2" s="1"/>
  <c r="BK91" i="2" s="1"/>
  <c r="BK92" i="2" s="1"/>
  <c r="BK93" i="2" s="1"/>
  <c r="BK94" i="2" s="1"/>
  <c r="BK95" i="2" s="1"/>
  <c r="BK96" i="2" s="1"/>
  <c r="BK97" i="2" s="1"/>
  <c r="BK98" i="2" s="1"/>
  <c r="BK99" i="2" s="1"/>
  <c r="BK100" i="2" s="1"/>
  <c r="BK101" i="2" s="1"/>
  <c r="BK102" i="2" s="1"/>
  <c r="BK103" i="2" s="1"/>
  <c r="BK104" i="2" s="1"/>
  <c r="BK105" i="2" s="1"/>
  <c r="BK106" i="2" s="1"/>
  <c r="BK107" i="2" s="1"/>
  <c r="BK108" i="2" s="1"/>
  <c r="BK109" i="2" s="1"/>
  <c r="BK110" i="2" s="1"/>
  <c r="BK111" i="2" s="1"/>
  <c r="BK112" i="2" s="1"/>
  <c r="BK113" i="2" s="1"/>
  <c r="BK114" i="2" s="1"/>
  <c r="BK115" i="2" s="1"/>
  <c r="BK116" i="2" s="1"/>
  <c r="BK117" i="2" s="1"/>
  <c r="BK118" i="2" s="1"/>
  <c r="BK119" i="2" s="1"/>
  <c r="BK120" i="2" s="1"/>
  <c r="BK121" i="2" s="1"/>
  <c r="BK122" i="2" s="1"/>
  <c r="BK123" i="2" s="1"/>
  <c r="BK124" i="2" s="1"/>
  <c r="BK125" i="2" s="1"/>
  <c r="BK126" i="2" s="1"/>
  <c r="BK127" i="2" s="1"/>
  <c r="BK128" i="2" s="1"/>
  <c r="BK129" i="2" s="1"/>
  <c r="BK130" i="2" s="1"/>
  <c r="BK131" i="2" s="1"/>
  <c r="BK132" i="2" s="1"/>
  <c r="BK133" i="2" s="1"/>
  <c r="BK134" i="2" s="1"/>
  <c r="BK135" i="2" s="1"/>
  <c r="BK136" i="2" s="1"/>
  <c r="BK137" i="2" s="1"/>
  <c r="BK138" i="2" s="1"/>
  <c r="BK139" i="2" s="1"/>
  <c r="BK140" i="2" s="1"/>
  <c r="BK141" i="2" s="1"/>
  <c r="BK142" i="2" s="1"/>
  <c r="BK143" i="2" s="1"/>
  <c r="BK144" i="2" s="1"/>
  <c r="BK145" i="2" s="1"/>
  <c r="BK146" i="2" s="1"/>
  <c r="BK147" i="2" s="1"/>
  <c r="BK148" i="2" s="1"/>
  <c r="BK149" i="2" s="1"/>
  <c r="BK150" i="2" s="1"/>
  <c r="BK151" i="2" s="1"/>
  <c r="BK152" i="2" s="1"/>
  <c r="BK153" i="2" s="1"/>
  <c r="BK154" i="2" s="1"/>
  <c r="BK155" i="2" s="1"/>
  <c r="BK156" i="2" s="1"/>
  <c r="BK157" i="2" s="1"/>
  <c r="BK158" i="2" s="1"/>
  <c r="BK159" i="2" s="1"/>
  <c r="BK160" i="2" s="1"/>
  <c r="BK161" i="2" s="1"/>
  <c r="BK162" i="2" s="1"/>
  <c r="BK163" i="2" s="1"/>
  <c r="BK164" i="2" s="1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K455" i="2" s="1"/>
  <c r="CF65" i="2"/>
  <c r="BF66" i="2"/>
  <c r="BF67" i="2" s="1"/>
  <c r="BF68" i="2" s="1"/>
  <c r="BF69" i="2" s="1"/>
  <c r="BF70" i="2" s="1"/>
  <c r="BF71" i="2" s="1"/>
  <c r="BF72" i="2" s="1"/>
  <c r="BF73" i="2" s="1"/>
  <c r="BF74" i="2" s="1"/>
  <c r="BF75" i="2" s="1"/>
  <c r="BF76" i="2" s="1"/>
  <c r="BF77" i="2" s="1"/>
  <c r="BF78" i="2" s="1"/>
  <c r="BF79" i="2" s="1"/>
  <c r="BF80" i="2" s="1"/>
  <c r="BF81" i="2" s="1"/>
  <c r="BF82" i="2" s="1"/>
  <c r="BF83" i="2" s="1"/>
  <c r="BF84" i="2" s="1"/>
  <c r="BF85" i="2" s="1"/>
  <c r="BF86" i="2" s="1"/>
  <c r="BF87" i="2" s="1"/>
  <c r="BF88" i="2" s="1"/>
  <c r="BF89" i="2" s="1"/>
  <c r="BF90" i="2" s="1"/>
  <c r="BF91" i="2" s="1"/>
  <c r="BF92" i="2" s="1"/>
  <c r="BF93" i="2" s="1"/>
  <c r="BF94" i="2" s="1"/>
  <c r="BF95" i="2" s="1"/>
  <c r="BF96" i="2" s="1"/>
  <c r="BF97" i="2" s="1"/>
  <c r="BF98" i="2" s="1"/>
  <c r="BF99" i="2" s="1"/>
  <c r="BF100" i="2" s="1"/>
  <c r="BF101" i="2" s="1"/>
  <c r="BF102" i="2" s="1"/>
  <c r="BF103" i="2" s="1"/>
  <c r="BF104" i="2" s="1"/>
  <c r="BF105" i="2" s="1"/>
  <c r="BF106" i="2" s="1"/>
  <c r="BF107" i="2" s="1"/>
  <c r="BF108" i="2" s="1"/>
  <c r="BF109" i="2" s="1"/>
  <c r="BF110" i="2" s="1"/>
  <c r="BF111" i="2" s="1"/>
  <c r="BF112" i="2" s="1"/>
  <c r="BF113" i="2" s="1"/>
  <c r="BF114" i="2" s="1"/>
  <c r="BF115" i="2" s="1"/>
  <c r="BF116" i="2" s="1"/>
  <c r="BF117" i="2" s="1"/>
  <c r="BF118" i="2" s="1"/>
  <c r="BF119" i="2" s="1"/>
  <c r="BF120" i="2" s="1"/>
  <c r="BF121" i="2" s="1"/>
  <c r="BF122" i="2" s="1"/>
  <c r="BF123" i="2" s="1"/>
  <c r="BF124" i="2" s="1"/>
  <c r="BF125" i="2" s="1"/>
  <c r="BF126" i="2" s="1"/>
  <c r="BF127" i="2" s="1"/>
  <c r="BF128" i="2" s="1"/>
  <c r="BF129" i="2" s="1"/>
  <c r="BF130" i="2" s="1"/>
  <c r="BF131" i="2" s="1"/>
  <c r="BF132" i="2" s="1"/>
  <c r="BF133" i="2" s="1"/>
  <c r="BF134" i="2" s="1"/>
  <c r="BF135" i="2" s="1"/>
  <c r="BF136" i="2" s="1"/>
  <c r="BF137" i="2" s="1"/>
  <c r="BF138" i="2" s="1"/>
  <c r="BF139" i="2" s="1"/>
  <c r="BF140" i="2" s="1"/>
  <c r="BF141" i="2" s="1"/>
  <c r="BF142" i="2" s="1"/>
  <c r="BF143" i="2" s="1"/>
  <c r="BF144" i="2" s="1"/>
  <c r="BF145" i="2" s="1"/>
  <c r="BF146" i="2" s="1"/>
  <c r="BF147" i="2" s="1"/>
  <c r="BF148" i="2" s="1"/>
  <c r="BF149" i="2" s="1"/>
  <c r="BF150" i="2" s="1"/>
  <c r="BF151" i="2" s="1"/>
  <c r="BF152" i="2" s="1"/>
  <c r="BF153" i="2" s="1"/>
  <c r="BF154" i="2" s="1"/>
  <c r="BF155" i="2" s="1"/>
  <c r="BF156" i="2" s="1"/>
  <c r="BF157" i="2" s="1"/>
  <c r="BF158" i="2" s="1"/>
  <c r="BF159" i="2" s="1"/>
  <c r="BF160" i="2" s="1"/>
  <c r="BF161" i="2" s="1"/>
  <c r="BF162" i="2" s="1"/>
  <c r="BF163" i="2" s="1"/>
  <c r="BF164" i="2" s="1"/>
  <c r="BF165" i="2" s="1"/>
  <c r="BF166" i="2" s="1"/>
  <c r="BF167" i="2" s="1"/>
  <c r="BF168" i="2" s="1"/>
  <c r="BF169" i="2" s="1"/>
  <c r="BF170" i="2" s="1"/>
  <c r="BF171" i="2" s="1"/>
  <c r="BF172" i="2" s="1"/>
  <c r="BF173" i="2" s="1"/>
  <c r="BF174" i="2" s="1"/>
  <c r="BF175" i="2" s="1"/>
  <c r="BF176" i="2" s="1"/>
  <c r="BF177" i="2" s="1"/>
  <c r="BF178" i="2" s="1"/>
  <c r="BF179" i="2" s="1"/>
  <c r="BF180" i="2" s="1"/>
  <c r="BF181" i="2" s="1"/>
  <c r="BF182" i="2" s="1"/>
  <c r="BF183" i="2" s="1"/>
  <c r="BF184" i="2" s="1"/>
  <c r="BF185" i="2" s="1"/>
  <c r="BF186" i="2" s="1"/>
  <c r="BF187" i="2" s="1"/>
  <c r="BF188" i="2" s="1"/>
  <c r="BF189" i="2" s="1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BF228" i="2" s="1"/>
  <c r="BF229" i="2" s="1"/>
  <c r="BF230" i="2" s="1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BF455" i="2" s="1"/>
  <c r="CA65" i="2"/>
  <c r="BW66" i="2"/>
  <c r="BW67" i="2" s="1"/>
  <c r="BW68" i="2" s="1"/>
  <c r="BW69" i="2" s="1"/>
  <c r="BW70" i="2" s="1"/>
  <c r="BW71" i="2" s="1"/>
  <c r="BW72" i="2" s="1"/>
  <c r="BW73" i="2" s="1"/>
  <c r="BW74" i="2" s="1"/>
  <c r="BW75" i="2" s="1"/>
  <c r="BW76" i="2" s="1"/>
  <c r="BW77" i="2" s="1"/>
  <c r="BW78" i="2" s="1"/>
  <c r="BW79" i="2" s="1"/>
  <c r="BW80" i="2" s="1"/>
  <c r="BW81" i="2" s="1"/>
  <c r="BW82" i="2" s="1"/>
  <c r="BW83" i="2" s="1"/>
  <c r="BW84" i="2" s="1"/>
  <c r="BW85" i="2" s="1"/>
  <c r="BW86" i="2" s="1"/>
  <c r="BW87" i="2" s="1"/>
  <c r="BW88" i="2" s="1"/>
  <c r="BW89" i="2" s="1"/>
  <c r="BW90" i="2" s="1"/>
  <c r="BW91" i="2" s="1"/>
  <c r="BW92" i="2" s="1"/>
  <c r="BW93" i="2" s="1"/>
  <c r="BW94" i="2" s="1"/>
  <c r="BW95" i="2" s="1"/>
  <c r="BW96" i="2" s="1"/>
  <c r="BW97" i="2" s="1"/>
  <c r="BW98" i="2" s="1"/>
  <c r="BW99" i="2" s="1"/>
  <c r="BW100" i="2" s="1"/>
  <c r="BW101" i="2" s="1"/>
  <c r="BW102" i="2" s="1"/>
  <c r="BW103" i="2" s="1"/>
  <c r="BW104" i="2" s="1"/>
  <c r="BW105" i="2" s="1"/>
  <c r="BW106" i="2" s="1"/>
  <c r="BW107" i="2" s="1"/>
  <c r="BW108" i="2" s="1"/>
  <c r="BW109" i="2" s="1"/>
  <c r="BW110" i="2" s="1"/>
  <c r="BW111" i="2" s="1"/>
  <c r="BW112" i="2" s="1"/>
  <c r="BW113" i="2" s="1"/>
  <c r="BW114" i="2" s="1"/>
  <c r="BW115" i="2" s="1"/>
  <c r="BW116" i="2" s="1"/>
  <c r="BW117" i="2" s="1"/>
  <c r="BW118" i="2" s="1"/>
  <c r="BW119" i="2" s="1"/>
  <c r="BW120" i="2" s="1"/>
  <c r="BW121" i="2" s="1"/>
  <c r="BW122" i="2" s="1"/>
  <c r="BW123" i="2" s="1"/>
  <c r="BW124" i="2" s="1"/>
  <c r="BW125" i="2" s="1"/>
  <c r="BW126" i="2" s="1"/>
  <c r="BW127" i="2" s="1"/>
  <c r="BW128" i="2" s="1"/>
  <c r="BW129" i="2" s="1"/>
  <c r="BW130" i="2" s="1"/>
  <c r="BW131" i="2" s="1"/>
  <c r="BW132" i="2" s="1"/>
  <c r="BW133" i="2" s="1"/>
  <c r="BW134" i="2" s="1"/>
  <c r="BW135" i="2" s="1"/>
  <c r="BW136" i="2" s="1"/>
  <c r="BW137" i="2" s="1"/>
  <c r="BW138" i="2" s="1"/>
  <c r="BW139" i="2" s="1"/>
  <c r="BW140" i="2" s="1"/>
  <c r="BW141" i="2" s="1"/>
  <c r="BW142" i="2" s="1"/>
  <c r="BW143" i="2" s="1"/>
  <c r="BW144" i="2" s="1"/>
  <c r="BW145" i="2" s="1"/>
  <c r="BW146" i="2" s="1"/>
  <c r="BW147" i="2" s="1"/>
  <c r="BW148" i="2" s="1"/>
  <c r="BW149" i="2" s="1"/>
  <c r="BW150" i="2" s="1"/>
  <c r="BW151" i="2" s="1"/>
  <c r="BW152" i="2" s="1"/>
  <c r="BW153" i="2" s="1"/>
  <c r="BW154" i="2" s="1"/>
  <c r="BW155" i="2" s="1"/>
  <c r="BW156" i="2" s="1"/>
  <c r="BW157" i="2" s="1"/>
  <c r="BW158" i="2" s="1"/>
  <c r="BW159" i="2" s="1"/>
  <c r="BW160" i="2" s="1"/>
  <c r="BW161" i="2" s="1"/>
  <c r="BW162" i="2" s="1"/>
  <c r="BW163" i="2" s="1"/>
  <c r="BW164" i="2" s="1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BW455" i="2" s="1"/>
  <c r="CR65" i="2"/>
  <c r="BM66" i="2"/>
  <c r="BM67" i="2" s="1"/>
  <c r="BM68" i="2" s="1"/>
  <c r="BM69" i="2" s="1"/>
  <c r="BM70" i="2" s="1"/>
  <c r="BM71" i="2" s="1"/>
  <c r="BM72" i="2" s="1"/>
  <c r="BM73" i="2" s="1"/>
  <c r="BM74" i="2" s="1"/>
  <c r="BM75" i="2" s="1"/>
  <c r="BM76" i="2" s="1"/>
  <c r="BM77" i="2" s="1"/>
  <c r="BM78" i="2" s="1"/>
  <c r="BM79" i="2" s="1"/>
  <c r="BM80" i="2" s="1"/>
  <c r="BM81" i="2" s="1"/>
  <c r="BM82" i="2" s="1"/>
  <c r="BM83" i="2" s="1"/>
  <c r="BM84" i="2" s="1"/>
  <c r="BM85" i="2" s="1"/>
  <c r="BM86" i="2" s="1"/>
  <c r="BM87" i="2" s="1"/>
  <c r="BM88" i="2" s="1"/>
  <c r="BM89" i="2" s="1"/>
  <c r="BM90" i="2" s="1"/>
  <c r="BM91" i="2" s="1"/>
  <c r="BM92" i="2" s="1"/>
  <c r="BM93" i="2" s="1"/>
  <c r="BM94" i="2" s="1"/>
  <c r="BM95" i="2" s="1"/>
  <c r="BM96" i="2" s="1"/>
  <c r="BM97" i="2" s="1"/>
  <c r="BM98" i="2" s="1"/>
  <c r="BM99" i="2" s="1"/>
  <c r="BM100" i="2" s="1"/>
  <c r="BM101" i="2" s="1"/>
  <c r="BM102" i="2" s="1"/>
  <c r="BM103" i="2" s="1"/>
  <c r="BM104" i="2" s="1"/>
  <c r="BM105" i="2" s="1"/>
  <c r="BM106" i="2" s="1"/>
  <c r="BM107" i="2" s="1"/>
  <c r="BM108" i="2" s="1"/>
  <c r="BM109" i="2" s="1"/>
  <c r="BM110" i="2" s="1"/>
  <c r="BM111" i="2" s="1"/>
  <c r="BM112" i="2" s="1"/>
  <c r="BM113" i="2" s="1"/>
  <c r="BM114" i="2" s="1"/>
  <c r="BM115" i="2" s="1"/>
  <c r="BM116" i="2" s="1"/>
  <c r="BM117" i="2" s="1"/>
  <c r="BM118" i="2" s="1"/>
  <c r="BM119" i="2" s="1"/>
  <c r="BM120" i="2" s="1"/>
  <c r="BM121" i="2" s="1"/>
  <c r="BM122" i="2" s="1"/>
  <c r="BM123" i="2" s="1"/>
  <c r="BM124" i="2" s="1"/>
  <c r="BM125" i="2" s="1"/>
  <c r="BM126" i="2" s="1"/>
  <c r="BM127" i="2" s="1"/>
  <c r="BM128" i="2" s="1"/>
  <c r="BM129" i="2" s="1"/>
  <c r="BM130" i="2" s="1"/>
  <c r="BM131" i="2" s="1"/>
  <c r="BM132" i="2" s="1"/>
  <c r="BM133" i="2" s="1"/>
  <c r="BM134" i="2" s="1"/>
  <c r="BM135" i="2" s="1"/>
  <c r="BM136" i="2" s="1"/>
  <c r="BM137" i="2" s="1"/>
  <c r="BM138" i="2" s="1"/>
  <c r="BM139" i="2" s="1"/>
  <c r="BM140" i="2" s="1"/>
  <c r="BM141" i="2" s="1"/>
  <c r="BM142" i="2" s="1"/>
  <c r="BM143" i="2" s="1"/>
  <c r="BM144" i="2" s="1"/>
  <c r="BM145" i="2" s="1"/>
  <c r="BM146" i="2" s="1"/>
  <c r="BM147" i="2" s="1"/>
  <c r="BM148" i="2" s="1"/>
  <c r="BM149" i="2" s="1"/>
  <c r="BM150" i="2" s="1"/>
  <c r="BM151" i="2" s="1"/>
  <c r="BM152" i="2" s="1"/>
  <c r="BM153" i="2" s="1"/>
  <c r="BM154" i="2" s="1"/>
  <c r="BM155" i="2" s="1"/>
  <c r="BM156" i="2" s="1"/>
  <c r="BM157" i="2" s="1"/>
  <c r="BM158" i="2" s="1"/>
  <c r="BM159" i="2" s="1"/>
  <c r="BM160" i="2" s="1"/>
  <c r="BM161" i="2" s="1"/>
  <c r="BM162" i="2" s="1"/>
  <c r="BM163" i="2" s="1"/>
  <c r="BM164" i="2" s="1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M455" i="2" s="1"/>
  <c r="CH65" i="2"/>
  <c r="BX66" i="2"/>
  <c r="BX67" i="2" s="1"/>
  <c r="BX68" i="2" s="1"/>
  <c r="BX69" i="2" s="1"/>
  <c r="BX70" i="2" s="1"/>
  <c r="BX71" i="2" s="1"/>
  <c r="BX72" i="2" s="1"/>
  <c r="BX73" i="2" s="1"/>
  <c r="BX74" i="2" s="1"/>
  <c r="BX75" i="2" s="1"/>
  <c r="BX76" i="2" s="1"/>
  <c r="BX77" i="2" s="1"/>
  <c r="BX78" i="2" s="1"/>
  <c r="BX79" i="2" s="1"/>
  <c r="BX80" i="2" s="1"/>
  <c r="BX81" i="2" s="1"/>
  <c r="BX82" i="2" s="1"/>
  <c r="BX83" i="2" s="1"/>
  <c r="BX84" i="2" s="1"/>
  <c r="BX85" i="2" s="1"/>
  <c r="BX86" i="2" s="1"/>
  <c r="BX87" i="2" s="1"/>
  <c r="BX88" i="2" s="1"/>
  <c r="BX89" i="2" s="1"/>
  <c r="BX90" i="2" s="1"/>
  <c r="BX91" i="2" s="1"/>
  <c r="BX92" i="2" s="1"/>
  <c r="BX93" i="2" s="1"/>
  <c r="BX94" i="2" s="1"/>
  <c r="BX95" i="2" s="1"/>
  <c r="BX96" i="2" s="1"/>
  <c r="BX97" i="2" s="1"/>
  <c r="BX98" i="2" s="1"/>
  <c r="BX99" i="2" s="1"/>
  <c r="BX100" i="2" s="1"/>
  <c r="BX101" i="2" s="1"/>
  <c r="BX102" i="2" s="1"/>
  <c r="BX103" i="2" s="1"/>
  <c r="BX104" i="2" s="1"/>
  <c r="BX105" i="2" s="1"/>
  <c r="BX106" i="2" s="1"/>
  <c r="BX107" i="2" s="1"/>
  <c r="BX108" i="2" s="1"/>
  <c r="BX109" i="2" s="1"/>
  <c r="BX110" i="2" s="1"/>
  <c r="BX111" i="2" s="1"/>
  <c r="BX112" i="2" s="1"/>
  <c r="BX113" i="2" s="1"/>
  <c r="BX114" i="2" s="1"/>
  <c r="BX115" i="2" s="1"/>
  <c r="BX116" i="2" s="1"/>
  <c r="BX117" i="2" s="1"/>
  <c r="BX118" i="2" s="1"/>
  <c r="BX119" i="2" s="1"/>
  <c r="BX120" i="2" s="1"/>
  <c r="BX121" i="2" s="1"/>
  <c r="BX122" i="2" s="1"/>
  <c r="BX123" i="2" s="1"/>
  <c r="BX124" i="2" s="1"/>
  <c r="BX125" i="2" s="1"/>
  <c r="BX126" i="2" s="1"/>
  <c r="BX127" i="2" s="1"/>
  <c r="BX128" i="2" s="1"/>
  <c r="BX129" i="2" s="1"/>
  <c r="BX130" i="2" s="1"/>
  <c r="BX131" i="2" s="1"/>
  <c r="BX132" i="2" s="1"/>
  <c r="BX133" i="2" s="1"/>
  <c r="BX134" i="2" s="1"/>
  <c r="BX135" i="2" s="1"/>
  <c r="BX136" i="2" s="1"/>
  <c r="BX137" i="2" s="1"/>
  <c r="BX138" i="2" s="1"/>
  <c r="BX139" i="2" s="1"/>
  <c r="BX140" i="2" s="1"/>
  <c r="BX141" i="2" s="1"/>
  <c r="BX142" i="2" s="1"/>
  <c r="BX143" i="2" s="1"/>
  <c r="BX144" i="2" s="1"/>
  <c r="BX145" i="2" s="1"/>
  <c r="BX146" i="2" s="1"/>
  <c r="BX147" i="2" s="1"/>
  <c r="BX148" i="2" s="1"/>
  <c r="BX149" i="2" s="1"/>
  <c r="BX150" i="2" s="1"/>
  <c r="BX151" i="2" s="1"/>
  <c r="BX152" i="2" s="1"/>
  <c r="BX153" i="2" s="1"/>
  <c r="BX154" i="2" s="1"/>
  <c r="BX155" i="2" s="1"/>
  <c r="BX156" i="2" s="1"/>
  <c r="BX157" i="2" s="1"/>
  <c r="BX158" i="2" s="1"/>
  <c r="BX159" i="2" s="1"/>
  <c r="BX160" i="2" s="1"/>
  <c r="BX161" i="2" s="1"/>
  <c r="BX162" i="2" s="1"/>
  <c r="BX163" i="2" s="1"/>
  <c r="BX164" i="2" s="1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BX455" i="2" s="1"/>
  <c r="CS65" i="2"/>
  <c r="BQ66" i="2"/>
  <c r="BQ67" i="2" s="1"/>
  <c r="BQ68" i="2" s="1"/>
  <c r="BQ69" i="2" s="1"/>
  <c r="BQ70" i="2" s="1"/>
  <c r="BQ71" i="2" s="1"/>
  <c r="BQ72" i="2" s="1"/>
  <c r="BQ73" i="2" s="1"/>
  <c r="BQ74" i="2" s="1"/>
  <c r="BQ75" i="2" s="1"/>
  <c r="BQ76" i="2" s="1"/>
  <c r="BQ77" i="2" s="1"/>
  <c r="BQ78" i="2" s="1"/>
  <c r="BQ79" i="2" s="1"/>
  <c r="BQ80" i="2" s="1"/>
  <c r="BQ81" i="2" s="1"/>
  <c r="BQ82" i="2" s="1"/>
  <c r="BQ83" i="2" s="1"/>
  <c r="BQ84" i="2" s="1"/>
  <c r="BQ85" i="2" s="1"/>
  <c r="BQ86" i="2" s="1"/>
  <c r="BQ87" i="2" s="1"/>
  <c r="BQ88" i="2" s="1"/>
  <c r="BQ89" i="2" s="1"/>
  <c r="BQ90" i="2" s="1"/>
  <c r="BQ91" i="2" s="1"/>
  <c r="BQ92" i="2" s="1"/>
  <c r="BQ93" i="2" s="1"/>
  <c r="BQ94" i="2" s="1"/>
  <c r="BQ95" i="2" s="1"/>
  <c r="BQ96" i="2" s="1"/>
  <c r="BQ97" i="2" s="1"/>
  <c r="BQ98" i="2" s="1"/>
  <c r="BQ99" i="2" s="1"/>
  <c r="BQ100" i="2" s="1"/>
  <c r="BQ101" i="2" s="1"/>
  <c r="BQ102" i="2" s="1"/>
  <c r="BQ103" i="2" s="1"/>
  <c r="BQ104" i="2" s="1"/>
  <c r="BQ105" i="2" s="1"/>
  <c r="BQ106" i="2" s="1"/>
  <c r="BQ107" i="2" s="1"/>
  <c r="BQ108" i="2" s="1"/>
  <c r="BQ109" i="2" s="1"/>
  <c r="BQ110" i="2" s="1"/>
  <c r="BQ111" i="2" s="1"/>
  <c r="BQ112" i="2" s="1"/>
  <c r="BQ113" i="2" s="1"/>
  <c r="BQ114" i="2" s="1"/>
  <c r="BQ115" i="2" s="1"/>
  <c r="BQ116" i="2" s="1"/>
  <c r="BQ117" i="2" s="1"/>
  <c r="BQ118" i="2" s="1"/>
  <c r="BQ119" i="2" s="1"/>
  <c r="BQ120" i="2" s="1"/>
  <c r="BQ121" i="2" s="1"/>
  <c r="BQ122" i="2" s="1"/>
  <c r="BQ123" i="2" s="1"/>
  <c r="BQ124" i="2" s="1"/>
  <c r="BQ125" i="2" s="1"/>
  <c r="BQ126" i="2" s="1"/>
  <c r="BQ127" i="2" s="1"/>
  <c r="BQ128" i="2" s="1"/>
  <c r="BQ129" i="2" s="1"/>
  <c r="BQ130" i="2" s="1"/>
  <c r="BQ131" i="2" s="1"/>
  <c r="BQ132" i="2" s="1"/>
  <c r="BQ133" i="2" s="1"/>
  <c r="BQ134" i="2" s="1"/>
  <c r="BQ135" i="2" s="1"/>
  <c r="BQ136" i="2" s="1"/>
  <c r="BQ137" i="2" s="1"/>
  <c r="BQ138" i="2" s="1"/>
  <c r="BQ139" i="2" s="1"/>
  <c r="BQ140" i="2" s="1"/>
  <c r="BQ141" i="2" s="1"/>
  <c r="BQ142" i="2" s="1"/>
  <c r="BQ143" i="2" s="1"/>
  <c r="BQ144" i="2" s="1"/>
  <c r="BQ145" i="2" s="1"/>
  <c r="BQ146" i="2" s="1"/>
  <c r="BQ147" i="2" s="1"/>
  <c r="BQ148" i="2" s="1"/>
  <c r="BQ149" i="2" s="1"/>
  <c r="BQ150" i="2" s="1"/>
  <c r="BQ151" i="2" s="1"/>
  <c r="BQ152" i="2" s="1"/>
  <c r="BQ153" i="2" s="1"/>
  <c r="BQ154" i="2" s="1"/>
  <c r="BQ155" i="2" s="1"/>
  <c r="BQ156" i="2" s="1"/>
  <c r="BQ157" i="2" s="1"/>
  <c r="BQ158" i="2" s="1"/>
  <c r="BQ159" i="2" s="1"/>
  <c r="BQ160" i="2" s="1"/>
  <c r="BQ161" i="2" s="1"/>
  <c r="BQ162" i="2" s="1"/>
  <c r="BQ163" i="2" s="1"/>
  <c r="BQ164" i="2" s="1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BQ455" i="2" s="1"/>
  <c r="CL65" i="2"/>
  <c r="BH66" i="2"/>
  <c r="BH67" i="2" s="1"/>
  <c r="BH68" i="2" s="1"/>
  <c r="BH69" i="2" s="1"/>
  <c r="BH70" i="2" s="1"/>
  <c r="BH71" i="2" s="1"/>
  <c r="BH72" i="2" s="1"/>
  <c r="BH73" i="2" s="1"/>
  <c r="BH74" i="2" s="1"/>
  <c r="BH75" i="2" s="1"/>
  <c r="BH76" i="2" s="1"/>
  <c r="BH77" i="2" s="1"/>
  <c r="BH78" i="2" s="1"/>
  <c r="BH79" i="2" s="1"/>
  <c r="BH80" i="2" s="1"/>
  <c r="BH81" i="2" s="1"/>
  <c r="BH82" i="2" s="1"/>
  <c r="BH83" i="2" s="1"/>
  <c r="BH84" i="2" s="1"/>
  <c r="BH85" i="2" s="1"/>
  <c r="BH86" i="2" s="1"/>
  <c r="BH87" i="2" s="1"/>
  <c r="BH88" i="2" s="1"/>
  <c r="BH89" i="2" s="1"/>
  <c r="BH90" i="2" s="1"/>
  <c r="BH91" i="2" s="1"/>
  <c r="BH92" i="2" s="1"/>
  <c r="BH93" i="2" s="1"/>
  <c r="BH94" i="2" s="1"/>
  <c r="BH95" i="2" s="1"/>
  <c r="BH96" i="2" s="1"/>
  <c r="BH97" i="2" s="1"/>
  <c r="BH98" i="2" s="1"/>
  <c r="BH99" i="2" s="1"/>
  <c r="BH100" i="2" s="1"/>
  <c r="BH101" i="2" s="1"/>
  <c r="BH102" i="2" s="1"/>
  <c r="BH103" i="2" s="1"/>
  <c r="BH104" i="2" s="1"/>
  <c r="BH105" i="2" s="1"/>
  <c r="BH106" i="2" s="1"/>
  <c r="BH107" i="2" s="1"/>
  <c r="BH108" i="2" s="1"/>
  <c r="BH109" i="2" s="1"/>
  <c r="BH110" i="2" s="1"/>
  <c r="BH111" i="2" s="1"/>
  <c r="BH112" i="2" s="1"/>
  <c r="BH113" i="2" s="1"/>
  <c r="BH114" i="2" s="1"/>
  <c r="BH115" i="2" s="1"/>
  <c r="BH116" i="2" s="1"/>
  <c r="BH117" i="2" s="1"/>
  <c r="BH118" i="2" s="1"/>
  <c r="BH119" i="2" s="1"/>
  <c r="BH120" i="2" s="1"/>
  <c r="BH121" i="2" s="1"/>
  <c r="BH122" i="2" s="1"/>
  <c r="BH123" i="2" s="1"/>
  <c r="BH124" i="2" s="1"/>
  <c r="BH125" i="2" s="1"/>
  <c r="BH126" i="2" s="1"/>
  <c r="BH127" i="2" s="1"/>
  <c r="BH128" i="2" s="1"/>
  <c r="BH129" i="2" s="1"/>
  <c r="BH130" i="2" s="1"/>
  <c r="BH131" i="2" s="1"/>
  <c r="BH132" i="2" s="1"/>
  <c r="BH133" i="2" s="1"/>
  <c r="BH134" i="2" s="1"/>
  <c r="BH135" i="2" s="1"/>
  <c r="BH136" i="2" s="1"/>
  <c r="BH137" i="2" s="1"/>
  <c r="BH138" i="2" s="1"/>
  <c r="BH139" i="2" s="1"/>
  <c r="BH140" i="2" s="1"/>
  <c r="BH141" i="2" s="1"/>
  <c r="BH142" i="2" s="1"/>
  <c r="BH143" i="2" s="1"/>
  <c r="BH144" i="2" s="1"/>
  <c r="BH145" i="2" s="1"/>
  <c r="BH146" i="2" s="1"/>
  <c r="BH147" i="2" s="1"/>
  <c r="BH148" i="2" s="1"/>
  <c r="BH149" i="2" s="1"/>
  <c r="BH150" i="2" s="1"/>
  <c r="BH151" i="2" s="1"/>
  <c r="BH152" i="2" s="1"/>
  <c r="BH153" i="2" s="1"/>
  <c r="BH154" i="2" s="1"/>
  <c r="BH155" i="2" s="1"/>
  <c r="BH156" i="2" s="1"/>
  <c r="BH157" i="2" s="1"/>
  <c r="BH158" i="2" s="1"/>
  <c r="BH159" i="2" s="1"/>
  <c r="BH160" i="2" s="1"/>
  <c r="BH161" i="2" s="1"/>
  <c r="BH162" i="2" s="1"/>
  <c r="BH163" i="2" s="1"/>
  <c r="BH164" i="2" s="1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BH455" i="2" s="1"/>
  <c r="CC65" i="2"/>
  <c r="BV66" i="2"/>
  <c r="BV67" i="2" s="1"/>
  <c r="BV68" i="2" s="1"/>
  <c r="BV69" i="2" s="1"/>
  <c r="BV70" i="2" s="1"/>
  <c r="BV71" i="2" s="1"/>
  <c r="BV72" i="2" s="1"/>
  <c r="BV73" i="2" s="1"/>
  <c r="BV74" i="2" s="1"/>
  <c r="BV75" i="2" s="1"/>
  <c r="BV76" i="2" s="1"/>
  <c r="BV77" i="2" s="1"/>
  <c r="BV78" i="2" s="1"/>
  <c r="BV79" i="2" s="1"/>
  <c r="BV80" i="2" s="1"/>
  <c r="BV81" i="2" s="1"/>
  <c r="BV82" i="2" s="1"/>
  <c r="BV83" i="2" s="1"/>
  <c r="BV84" i="2" s="1"/>
  <c r="BV85" i="2" s="1"/>
  <c r="BV86" i="2" s="1"/>
  <c r="BV87" i="2" s="1"/>
  <c r="BV88" i="2" s="1"/>
  <c r="BV89" i="2" s="1"/>
  <c r="BV90" i="2" s="1"/>
  <c r="BV91" i="2" s="1"/>
  <c r="BV92" i="2" s="1"/>
  <c r="BV93" i="2" s="1"/>
  <c r="BV94" i="2" s="1"/>
  <c r="BV95" i="2" s="1"/>
  <c r="BV96" i="2" s="1"/>
  <c r="BV97" i="2" s="1"/>
  <c r="BV98" i="2" s="1"/>
  <c r="BV99" i="2" s="1"/>
  <c r="BV100" i="2" s="1"/>
  <c r="BV101" i="2" s="1"/>
  <c r="BV102" i="2" s="1"/>
  <c r="BV103" i="2" s="1"/>
  <c r="BV104" i="2" s="1"/>
  <c r="BV105" i="2" s="1"/>
  <c r="BV106" i="2" s="1"/>
  <c r="BV107" i="2" s="1"/>
  <c r="BV108" i="2" s="1"/>
  <c r="BV109" i="2" s="1"/>
  <c r="BV110" i="2" s="1"/>
  <c r="BV111" i="2" s="1"/>
  <c r="BV112" i="2" s="1"/>
  <c r="BV113" i="2" s="1"/>
  <c r="BV114" i="2" s="1"/>
  <c r="BV115" i="2" s="1"/>
  <c r="BV116" i="2" s="1"/>
  <c r="BV117" i="2" s="1"/>
  <c r="BV118" i="2" s="1"/>
  <c r="BV119" i="2" s="1"/>
  <c r="BV120" i="2" s="1"/>
  <c r="BV121" i="2" s="1"/>
  <c r="BV122" i="2" s="1"/>
  <c r="BV123" i="2" s="1"/>
  <c r="BV124" i="2" s="1"/>
  <c r="BV125" i="2" s="1"/>
  <c r="BV126" i="2" s="1"/>
  <c r="BV127" i="2" s="1"/>
  <c r="BV128" i="2" s="1"/>
  <c r="BV129" i="2" s="1"/>
  <c r="BV130" i="2" s="1"/>
  <c r="BV131" i="2" s="1"/>
  <c r="BV132" i="2" s="1"/>
  <c r="BV133" i="2" s="1"/>
  <c r="BV134" i="2" s="1"/>
  <c r="BV135" i="2" s="1"/>
  <c r="BV136" i="2" s="1"/>
  <c r="BV137" i="2" s="1"/>
  <c r="BV138" i="2" s="1"/>
  <c r="BV139" i="2" s="1"/>
  <c r="BV140" i="2" s="1"/>
  <c r="BV141" i="2" s="1"/>
  <c r="BV142" i="2" s="1"/>
  <c r="BV143" i="2" s="1"/>
  <c r="BV144" i="2" s="1"/>
  <c r="BV145" i="2" s="1"/>
  <c r="BV146" i="2" s="1"/>
  <c r="BV147" i="2" s="1"/>
  <c r="BV148" i="2" s="1"/>
  <c r="BV149" i="2" s="1"/>
  <c r="BV150" i="2" s="1"/>
  <c r="BV151" i="2" s="1"/>
  <c r="BV152" i="2" s="1"/>
  <c r="BV153" i="2" s="1"/>
  <c r="BV154" i="2" s="1"/>
  <c r="BV155" i="2" s="1"/>
  <c r="BV156" i="2" s="1"/>
  <c r="BV157" i="2" s="1"/>
  <c r="BV158" i="2" s="1"/>
  <c r="BV159" i="2" s="1"/>
  <c r="BV160" i="2" s="1"/>
  <c r="BV161" i="2" s="1"/>
  <c r="BV162" i="2" s="1"/>
  <c r="BV163" i="2" s="1"/>
  <c r="BV164" i="2" s="1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BV455" i="2" s="1"/>
  <c r="CQ65" i="2"/>
  <c r="BO66" i="2"/>
  <c r="BO67" i="2" s="1"/>
  <c r="BO68" i="2" s="1"/>
  <c r="BO69" i="2" s="1"/>
  <c r="BO70" i="2" s="1"/>
  <c r="BO71" i="2" s="1"/>
  <c r="BO72" i="2" s="1"/>
  <c r="BO73" i="2" s="1"/>
  <c r="BO74" i="2" s="1"/>
  <c r="BO75" i="2" s="1"/>
  <c r="BO76" i="2" s="1"/>
  <c r="BO77" i="2" s="1"/>
  <c r="BO78" i="2" s="1"/>
  <c r="BO79" i="2" s="1"/>
  <c r="BO80" i="2" s="1"/>
  <c r="BO81" i="2" s="1"/>
  <c r="BO82" i="2" s="1"/>
  <c r="BO83" i="2" s="1"/>
  <c r="BO84" i="2" s="1"/>
  <c r="BO85" i="2" s="1"/>
  <c r="BO86" i="2" s="1"/>
  <c r="BO87" i="2" s="1"/>
  <c r="BO88" i="2" s="1"/>
  <c r="BO89" i="2" s="1"/>
  <c r="BO90" i="2" s="1"/>
  <c r="BO91" i="2" s="1"/>
  <c r="BO92" i="2" s="1"/>
  <c r="BO93" i="2" s="1"/>
  <c r="BO94" i="2" s="1"/>
  <c r="BO95" i="2" s="1"/>
  <c r="BO96" i="2" s="1"/>
  <c r="BO97" i="2" s="1"/>
  <c r="BO98" i="2" s="1"/>
  <c r="BO99" i="2" s="1"/>
  <c r="BO100" i="2" s="1"/>
  <c r="BO101" i="2" s="1"/>
  <c r="BO102" i="2" s="1"/>
  <c r="BO103" i="2" s="1"/>
  <c r="BO104" i="2" s="1"/>
  <c r="BO105" i="2" s="1"/>
  <c r="BO106" i="2" s="1"/>
  <c r="BO107" i="2" s="1"/>
  <c r="BO108" i="2" s="1"/>
  <c r="BO109" i="2" s="1"/>
  <c r="BO110" i="2" s="1"/>
  <c r="BO111" i="2" s="1"/>
  <c r="BO112" i="2" s="1"/>
  <c r="BO113" i="2" s="1"/>
  <c r="BO114" i="2" s="1"/>
  <c r="BO115" i="2" s="1"/>
  <c r="BO116" i="2" s="1"/>
  <c r="BO117" i="2" s="1"/>
  <c r="BO118" i="2" s="1"/>
  <c r="BO119" i="2" s="1"/>
  <c r="BO120" i="2" s="1"/>
  <c r="BO121" i="2" s="1"/>
  <c r="BO122" i="2" s="1"/>
  <c r="BO123" i="2" s="1"/>
  <c r="BO124" i="2" s="1"/>
  <c r="BO125" i="2" s="1"/>
  <c r="BO126" i="2" s="1"/>
  <c r="BO127" i="2" s="1"/>
  <c r="BO128" i="2" s="1"/>
  <c r="BO129" i="2" s="1"/>
  <c r="BO130" i="2" s="1"/>
  <c r="BO131" i="2" s="1"/>
  <c r="BO132" i="2" s="1"/>
  <c r="BO133" i="2" s="1"/>
  <c r="BO134" i="2" s="1"/>
  <c r="BO135" i="2" s="1"/>
  <c r="BO136" i="2" s="1"/>
  <c r="BO137" i="2" s="1"/>
  <c r="BO138" i="2" s="1"/>
  <c r="BO139" i="2" s="1"/>
  <c r="BO140" i="2" s="1"/>
  <c r="BO141" i="2" s="1"/>
  <c r="BO142" i="2" s="1"/>
  <c r="BO143" i="2" s="1"/>
  <c r="BO144" i="2" s="1"/>
  <c r="BO145" i="2" s="1"/>
  <c r="BO146" i="2" s="1"/>
  <c r="BO147" i="2" s="1"/>
  <c r="BO148" i="2" s="1"/>
  <c r="BO149" i="2" s="1"/>
  <c r="BO150" i="2" s="1"/>
  <c r="BO151" i="2" s="1"/>
  <c r="BO152" i="2" s="1"/>
  <c r="BO153" i="2" s="1"/>
  <c r="BO154" i="2" s="1"/>
  <c r="BO155" i="2" s="1"/>
  <c r="BO156" i="2" s="1"/>
  <c r="BO157" i="2" s="1"/>
  <c r="BO158" i="2" s="1"/>
  <c r="BO159" i="2" s="1"/>
  <c r="BO160" i="2" s="1"/>
  <c r="BO161" i="2" s="1"/>
  <c r="BO162" i="2" s="1"/>
  <c r="BO163" i="2" s="1"/>
  <c r="BO164" i="2" s="1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BO455" i="2" s="1"/>
  <c r="CJ65" i="2"/>
  <c r="BN66" i="2"/>
  <c r="BN67" i="2" s="1"/>
  <c r="BN68" i="2" s="1"/>
  <c r="BN69" i="2" s="1"/>
  <c r="BN70" i="2" s="1"/>
  <c r="BN71" i="2" s="1"/>
  <c r="BN72" i="2" s="1"/>
  <c r="BN73" i="2" s="1"/>
  <c r="BN74" i="2" s="1"/>
  <c r="BN75" i="2" s="1"/>
  <c r="BN76" i="2" s="1"/>
  <c r="BN77" i="2" s="1"/>
  <c r="BN78" i="2" s="1"/>
  <c r="BN79" i="2" s="1"/>
  <c r="BN80" i="2" s="1"/>
  <c r="BN81" i="2" s="1"/>
  <c r="BN82" i="2" s="1"/>
  <c r="BN83" i="2" s="1"/>
  <c r="BN84" i="2" s="1"/>
  <c r="BN85" i="2" s="1"/>
  <c r="BN86" i="2" s="1"/>
  <c r="BN87" i="2" s="1"/>
  <c r="BN88" i="2" s="1"/>
  <c r="BN89" i="2" s="1"/>
  <c r="BN90" i="2" s="1"/>
  <c r="BN91" i="2" s="1"/>
  <c r="BN92" i="2" s="1"/>
  <c r="BN93" i="2" s="1"/>
  <c r="BN94" i="2" s="1"/>
  <c r="BN95" i="2" s="1"/>
  <c r="BN96" i="2" s="1"/>
  <c r="BN97" i="2" s="1"/>
  <c r="BN98" i="2" s="1"/>
  <c r="BN99" i="2" s="1"/>
  <c r="BN100" i="2" s="1"/>
  <c r="BN101" i="2" s="1"/>
  <c r="BN102" i="2" s="1"/>
  <c r="BN103" i="2" s="1"/>
  <c r="BN104" i="2" s="1"/>
  <c r="BN105" i="2" s="1"/>
  <c r="BN106" i="2" s="1"/>
  <c r="BN107" i="2" s="1"/>
  <c r="BN108" i="2" s="1"/>
  <c r="BN109" i="2" s="1"/>
  <c r="BN110" i="2" s="1"/>
  <c r="BN111" i="2" s="1"/>
  <c r="BN112" i="2" s="1"/>
  <c r="BN113" i="2" s="1"/>
  <c r="BN114" i="2" s="1"/>
  <c r="BN115" i="2" s="1"/>
  <c r="BN116" i="2" s="1"/>
  <c r="BN117" i="2" s="1"/>
  <c r="BN118" i="2" s="1"/>
  <c r="BN119" i="2" s="1"/>
  <c r="BN120" i="2" s="1"/>
  <c r="BN121" i="2" s="1"/>
  <c r="BN122" i="2" s="1"/>
  <c r="BN123" i="2" s="1"/>
  <c r="BN124" i="2" s="1"/>
  <c r="BN125" i="2" s="1"/>
  <c r="BN126" i="2" s="1"/>
  <c r="BN127" i="2" s="1"/>
  <c r="BN128" i="2" s="1"/>
  <c r="BN129" i="2" s="1"/>
  <c r="BN130" i="2" s="1"/>
  <c r="BN131" i="2" s="1"/>
  <c r="BN132" i="2" s="1"/>
  <c r="BN133" i="2" s="1"/>
  <c r="BN134" i="2" s="1"/>
  <c r="BN135" i="2" s="1"/>
  <c r="BN136" i="2" s="1"/>
  <c r="BN137" i="2" s="1"/>
  <c r="BN138" i="2" s="1"/>
  <c r="BN139" i="2" s="1"/>
  <c r="BN140" i="2" s="1"/>
  <c r="BN141" i="2" s="1"/>
  <c r="BN142" i="2" s="1"/>
  <c r="BN143" i="2" s="1"/>
  <c r="BN144" i="2" s="1"/>
  <c r="BN145" i="2" s="1"/>
  <c r="BN146" i="2" s="1"/>
  <c r="BN147" i="2" s="1"/>
  <c r="BN148" i="2" s="1"/>
  <c r="BN149" i="2" s="1"/>
  <c r="BN150" i="2" s="1"/>
  <c r="BN151" i="2" s="1"/>
  <c r="BN152" i="2" s="1"/>
  <c r="BN153" i="2" s="1"/>
  <c r="BN154" i="2" s="1"/>
  <c r="BN155" i="2" s="1"/>
  <c r="BN156" i="2" s="1"/>
  <c r="BN157" i="2" s="1"/>
  <c r="BN158" i="2" s="1"/>
  <c r="BN159" i="2" s="1"/>
  <c r="BN160" i="2" s="1"/>
  <c r="BN161" i="2" s="1"/>
  <c r="BN162" i="2" s="1"/>
  <c r="BN163" i="2" s="1"/>
  <c r="BN164" i="2" s="1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BN455" i="2" s="1"/>
  <c r="CI65" i="2"/>
  <c r="BP66" i="2"/>
  <c r="BP67" i="2" s="1"/>
  <c r="BP68" i="2" s="1"/>
  <c r="BP69" i="2" s="1"/>
  <c r="BP70" i="2" s="1"/>
  <c r="BP71" i="2" s="1"/>
  <c r="BP72" i="2" s="1"/>
  <c r="BP73" i="2" s="1"/>
  <c r="BP74" i="2" s="1"/>
  <c r="BP75" i="2" s="1"/>
  <c r="BP76" i="2" s="1"/>
  <c r="BP77" i="2" s="1"/>
  <c r="BP78" i="2" s="1"/>
  <c r="BP79" i="2" s="1"/>
  <c r="BP80" i="2" s="1"/>
  <c r="BP81" i="2" s="1"/>
  <c r="BP82" i="2" s="1"/>
  <c r="BP83" i="2" s="1"/>
  <c r="BP84" i="2" s="1"/>
  <c r="BP85" i="2" s="1"/>
  <c r="BP86" i="2" s="1"/>
  <c r="BP87" i="2" s="1"/>
  <c r="BP88" i="2" s="1"/>
  <c r="BP89" i="2" s="1"/>
  <c r="BP90" i="2" s="1"/>
  <c r="BP91" i="2" s="1"/>
  <c r="BP92" i="2" s="1"/>
  <c r="BP93" i="2" s="1"/>
  <c r="BP94" i="2" s="1"/>
  <c r="BP95" i="2" s="1"/>
  <c r="BP96" i="2" s="1"/>
  <c r="BP97" i="2" s="1"/>
  <c r="BP98" i="2" s="1"/>
  <c r="BP99" i="2" s="1"/>
  <c r="BP100" i="2" s="1"/>
  <c r="BP101" i="2" s="1"/>
  <c r="BP102" i="2" s="1"/>
  <c r="BP103" i="2" s="1"/>
  <c r="BP104" i="2" s="1"/>
  <c r="BP105" i="2" s="1"/>
  <c r="BP106" i="2" s="1"/>
  <c r="BP107" i="2" s="1"/>
  <c r="BP108" i="2" s="1"/>
  <c r="BP109" i="2" s="1"/>
  <c r="BP110" i="2" s="1"/>
  <c r="BP111" i="2" s="1"/>
  <c r="BP112" i="2" s="1"/>
  <c r="BP113" i="2" s="1"/>
  <c r="BP114" i="2" s="1"/>
  <c r="BP115" i="2" s="1"/>
  <c r="BP116" i="2" s="1"/>
  <c r="BP117" i="2" s="1"/>
  <c r="BP118" i="2" s="1"/>
  <c r="BP119" i="2" s="1"/>
  <c r="BP120" i="2" s="1"/>
  <c r="BP121" i="2" s="1"/>
  <c r="BP122" i="2" s="1"/>
  <c r="BP123" i="2" s="1"/>
  <c r="BP124" i="2" s="1"/>
  <c r="BP125" i="2" s="1"/>
  <c r="BP126" i="2" s="1"/>
  <c r="BP127" i="2" s="1"/>
  <c r="BP128" i="2" s="1"/>
  <c r="BP129" i="2" s="1"/>
  <c r="BP130" i="2" s="1"/>
  <c r="BP131" i="2" s="1"/>
  <c r="BP132" i="2" s="1"/>
  <c r="BP133" i="2" s="1"/>
  <c r="BP134" i="2" s="1"/>
  <c r="BP135" i="2" s="1"/>
  <c r="BP136" i="2" s="1"/>
  <c r="BP137" i="2" s="1"/>
  <c r="BP138" i="2" s="1"/>
  <c r="BP139" i="2" s="1"/>
  <c r="BP140" i="2" s="1"/>
  <c r="BP141" i="2" s="1"/>
  <c r="BP142" i="2" s="1"/>
  <c r="BP143" i="2" s="1"/>
  <c r="BP144" i="2" s="1"/>
  <c r="BP145" i="2" s="1"/>
  <c r="BP146" i="2" s="1"/>
  <c r="BP147" i="2" s="1"/>
  <c r="BP148" i="2" s="1"/>
  <c r="BP149" i="2" s="1"/>
  <c r="BP150" i="2" s="1"/>
  <c r="BP151" i="2" s="1"/>
  <c r="BP152" i="2" s="1"/>
  <c r="BP153" i="2" s="1"/>
  <c r="BP154" i="2" s="1"/>
  <c r="BP155" i="2" s="1"/>
  <c r="BP156" i="2" s="1"/>
  <c r="BP157" i="2" s="1"/>
  <c r="BP158" i="2" s="1"/>
  <c r="BP159" i="2" s="1"/>
  <c r="BP160" i="2" s="1"/>
  <c r="BP161" i="2" s="1"/>
  <c r="BP162" i="2" s="1"/>
  <c r="BP163" i="2" s="1"/>
  <c r="BP164" i="2" s="1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BP455" i="2" s="1"/>
  <c r="CK65" i="2"/>
  <c r="BG66" i="2"/>
  <c r="BG67" i="2" s="1"/>
  <c r="BG68" i="2" s="1"/>
  <c r="BG69" i="2" s="1"/>
  <c r="BG70" i="2" s="1"/>
  <c r="BG71" i="2" s="1"/>
  <c r="BG72" i="2" s="1"/>
  <c r="BG73" i="2" s="1"/>
  <c r="BG74" i="2" s="1"/>
  <c r="BG75" i="2" s="1"/>
  <c r="BG76" i="2" s="1"/>
  <c r="BG77" i="2" s="1"/>
  <c r="BG78" i="2" s="1"/>
  <c r="BG79" i="2" s="1"/>
  <c r="BG80" i="2" s="1"/>
  <c r="BG81" i="2" s="1"/>
  <c r="BG82" i="2" s="1"/>
  <c r="BG83" i="2" s="1"/>
  <c r="BG84" i="2" s="1"/>
  <c r="BG85" i="2" s="1"/>
  <c r="BG86" i="2" s="1"/>
  <c r="BG87" i="2" s="1"/>
  <c r="BG88" i="2" s="1"/>
  <c r="BG89" i="2" s="1"/>
  <c r="BG90" i="2" s="1"/>
  <c r="BG91" i="2" s="1"/>
  <c r="BG92" i="2" s="1"/>
  <c r="BG93" i="2" s="1"/>
  <c r="BG94" i="2" s="1"/>
  <c r="BG95" i="2" s="1"/>
  <c r="BG96" i="2" s="1"/>
  <c r="BG97" i="2" s="1"/>
  <c r="BG98" i="2" s="1"/>
  <c r="BG99" i="2" s="1"/>
  <c r="BG100" i="2" s="1"/>
  <c r="BG101" i="2" s="1"/>
  <c r="BG102" i="2" s="1"/>
  <c r="BG103" i="2" s="1"/>
  <c r="BG104" i="2" s="1"/>
  <c r="BG105" i="2" s="1"/>
  <c r="BG106" i="2" s="1"/>
  <c r="BG107" i="2" s="1"/>
  <c r="BG108" i="2" s="1"/>
  <c r="BG109" i="2" s="1"/>
  <c r="BG110" i="2" s="1"/>
  <c r="BG111" i="2" s="1"/>
  <c r="BG112" i="2" s="1"/>
  <c r="BG113" i="2" s="1"/>
  <c r="BG114" i="2" s="1"/>
  <c r="BG115" i="2" s="1"/>
  <c r="BG116" i="2" s="1"/>
  <c r="BG117" i="2" s="1"/>
  <c r="BG118" i="2" s="1"/>
  <c r="BG119" i="2" s="1"/>
  <c r="BG120" i="2" s="1"/>
  <c r="BG121" i="2" s="1"/>
  <c r="BG122" i="2" s="1"/>
  <c r="BG123" i="2" s="1"/>
  <c r="BG124" i="2" s="1"/>
  <c r="BG125" i="2" s="1"/>
  <c r="BG126" i="2" s="1"/>
  <c r="BG127" i="2" s="1"/>
  <c r="BG128" i="2" s="1"/>
  <c r="BG129" i="2" s="1"/>
  <c r="BG130" i="2" s="1"/>
  <c r="BG131" i="2" s="1"/>
  <c r="BG132" i="2" s="1"/>
  <c r="BG133" i="2" s="1"/>
  <c r="BG134" i="2" s="1"/>
  <c r="BG135" i="2" s="1"/>
  <c r="BG136" i="2" s="1"/>
  <c r="BG137" i="2" s="1"/>
  <c r="BG138" i="2" s="1"/>
  <c r="BG139" i="2" s="1"/>
  <c r="BG140" i="2" s="1"/>
  <c r="BG141" i="2" s="1"/>
  <c r="BG142" i="2" s="1"/>
  <c r="BG143" i="2" s="1"/>
  <c r="BG144" i="2" s="1"/>
  <c r="BG145" i="2" s="1"/>
  <c r="BG146" i="2" s="1"/>
  <c r="BG147" i="2" s="1"/>
  <c r="BG148" i="2" s="1"/>
  <c r="BG149" i="2" s="1"/>
  <c r="BG150" i="2" s="1"/>
  <c r="BG151" i="2" s="1"/>
  <c r="BG152" i="2" s="1"/>
  <c r="BG153" i="2" s="1"/>
  <c r="BG154" i="2" s="1"/>
  <c r="BG155" i="2" s="1"/>
  <c r="BG156" i="2" s="1"/>
  <c r="BG157" i="2" s="1"/>
  <c r="BG158" i="2" s="1"/>
  <c r="BG159" i="2" s="1"/>
  <c r="BG160" i="2" s="1"/>
  <c r="BG161" i="2" s="1"/>
  <c r="BG162" i="2" s="1"/>
  <c r="BG163" i="2" s="1"/>
  <c r="BG164" i="2" s="1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G455" i="2" s="1"/>
  <c r="CB65" i="2"/>
  <c r="BU66" i="2"/>
  <c r="BU67" i="2" s="1"/>
  <c r="BU68" i="2" s="1"/>
  <c r="BU69" i="2" s="1"/>
  <c r="BU70" i="2" s="1"/>
  <c r="BU71" i="2" s="1"/>
  <c r="BU72" i="2" s="1"/>
  <c r="BU73" i="2" s="1"/>
  <c r="BU74" i="2" s="1"/>
  <c r="BU75" i="2" s="1"/>
  <c r="BU76" i="2" s="1"/>
  <c r="BU77" i="2" s="1"/>
  <c r="BU78" i="2" s="1"/>
  <c r="BU79" i="2" s="1"/>
  <c r="BU80" i="2" s="1"/>
  <c r="BU81" i="2" s="1"/>
  <c r="BU82" i="2" s="1"/>
  <c r="BU83" i="2" s="1"/>
  <c r="BU84" i="2" s="1"/>
  <c r="BU85" i="2" s="1"/>
  <c r="BU86" i="2" s="1"/>
  <c r="BU87" i="2" s="1"/>
  <c r="BU88" i="2" s="1"/>
  <c r="BU89" i="2" s="1"/>
  <c r="BU90" i="2" s="1"/>
  <c r="BU91" i="2" s="1"/>
  <c r="BU92" i="2" s="1"/>
  <c r="BU93" i="2" s="1"/>
  <c r="BU94" i="2" s="1"/>
  <c r="BU95" i="2" s="1"/>
  <c r="BU96" i="2" s="1"/>
  <c r="BU97" i="2" s="1"/>
  <c r="BU98" i="2" s="1"/>
  <c r="BU99" i="2" s="1"/>
  <c r="BU100" i="2" s="1"/>
  <c r="BU101" i="2" s="1"/>
  <c r="BU102" i="2" s="1"/>
  <c r="BU103" i="2" s="1"/>
  <c r="BU104" i="2" s="1"/>
  <c r="BU105" i="2" s="1"/>
  <c r="BU106" i="2" s="1"/>
  <c r="BU107" i="2" s="1"/>
  <c r="BU108" i="2" s="1"/>
  <c r="BU109" i="2" s="1"/>
  <c r="BU110" i="2" s="1"/>
  <c r="BU111" i="2" s="1"/>
  <c r="BU112" i="2" s="1"/>
  <c r="BU113" i="2" s="1"/>
  <c r="BU114" i="2" s="1"/>
  <c r="BU115" i="2" s="1"/>
  <c r="BU116" i="2" s="1"/>
  <c r="BU117" i="2" s="1"/>
  <c r="BU118" i="2" s="1"/>
  <c r="BU119" i="2" s="1"/>
  <c r="BU120" i="2" s="1"/>
  <c r="BU121" i="2" s="1"/>
  <c r="BU122" i="2" s="1"/>
  <c r="BU123" i="2" s="1"/>
  <c r="BU124" i="2" s="1"/>
  <c r="BU125" i="2" s="1"/>
  <c r="BU126" i="2" s="1"/>
  <c r="BU127" i="2" s="1"/>
  <c r="BU128" i="2" s="1"/>
  <c r="BU129" i="2" s="1"/>
  <c r="BU130" i="2" s="1"/>
  <c r="BU131" i="2" s="1"/>
  <c r="BU132" i="2" s="1"/>
  <c r="BU133" i="2" s="1"/>
  <c r="BU134" i="2" s="1"/>
  <c r="BU135" i="2" s="1"/>
  <c r="BU136" i="2" s="1"/>
  <c r="BU137" i="2" s="1"/>
  <c r="BU138" i="2" s="1"/>
  <c r="BU139" i="2" s="1"/>
  <c r="BU140" i="2" s="1"/>
  <c r="BU141" i="2" s="1"/>
  <c r="BU142" i="2" s="1"/>
  <c r="BU143" i="2" s="1"/>
  <c r="BU144" i="2" s="1"/>
  <c r="BU145" i="2" s="1"/>
  <c r="BU146" i="2" s="1"/>
  <c r="BU147" i="2" s="1"/>
  <c r="BU148" i="2" s="1"/>
  <c r="BU149" i="2" s="1"/>
  <c r="BU150" i="2" s="1"/>
  <c r="BU151" i="2" s="1"/>
  <c r="BU152" i="2" s="1"/>
  <c r="BU153" i="2" s="1"/>
  <c r="BU154" i="2" s="1"/>
  <c r="BU155" i="2" s="1"/>
  <c r="BU156" i="2" s="1"/>
  <c r="BU157" i="2" s="1"/>
  <c r="BU158" i="2" s="1"/>
  <c r="BU159" i="2" s="1"/>
  <c r="BU160" i="2" s="1"/>
  <c r="BU161" i="2" s="1"/>
  <c r="BU162" i="2" s="1"/>
  <c r="BU163" i="2" s="1"/>
  <c r="BU164" i="2" s="1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BU455" i="2" s="1"/>
  <c r="CP65" i="2"/>
  <c r="BY66" i="2"/>
  <c r="BY67" i="2" s="1"/>
  <c r="BY68" i="2" s="1"/>
  <c r="BY69" i="2" s="1"/>
  <c r="BY70" i="2" s="1"/>
  <c r="BY71" i="2" s="1"/>
  <c r="BY72" i="2" s="1"/>
  <c r="BY73" i="2" s="1"/>
  <c r="BY74" i="2" s="1"/>
  <c r="BY75" i="2" s="1"/>
  <c r="BY76" i="2" s="1"/>
  <c r="BY77" i="2" s="1"/>
  <c r="BY78" i="2" s="1"/>
  <c r="BY79" i="2" s="1"/>
  <c r="BY80" i="2" s="1"/>
  <c r="BY81" i="2" s="1"/>
  <c r="BY82" i="2" s="1"/>
  <c r="BY83" i="2" s="1"/>
  <c r="BY84" i="2" s="1"/>
  <c r="BY85" i="2" s="1"/>
  <c r="BY86" i="2" s="1"/>
  <c r="BY87" i="2" s="1"/>
  <c r="BY88" i="2" s="1"/>
  <c r="BY89" i="2" s="1"/>
  <c r="BY90" i="2" s="1"/>
  <c r="BY91" i="2" s="1"/>
  <c r="BY92" i="2" s="1"/>
  <c r="BY93" i="2" s="1"/>
  <c r="BY94" i="2" s="1"/>
  <c r="BY95" i="2" s="1"/>
  <c r="BY96" i="2" s="1"/>
  <c r="BY97" i="2" s="1"/>
  <c r="BY98" i="2" s="1"/>
  <c r="BY99" i="2" s="1"/>
  <c r="BY100" i="2" s="1"/>
  <c r="BY101" i="2" s="1"/>
  <c r="BY102" i="2" s="1"/>
  <c r="BY103" i="2" s="1"/>
  <c r="BY104" i="2" s="1"/>
  <c r="BY105" i="2" s="1"/>
  <c r="BY106" i="2" s="1"/>
  <c r="BY107" i="2" s="1"/>
  <c r="BY108" i="2" s="1"/>
  <c r="BY109" i="2" s="1"/>
  <c r="BY110" i="2" s="1"/>
  <c r="BY111" i="2" s="1"/>
  <c r="BY112" i="2" s="1"/>
  <c r="BY113" i="2" s="1"/>
  <c r="BY114" i="2" s="1"/>
  <c r="BY115" i="2" s="1"/>
  <c r="BY116" i="2" s="1"/>
  <c r="BY117" i="2" s="1"/>
  <c r="BY118" i="2" s="1"/>
  <c r="BY119" i="2" s="1"/>
  <c r="BY120" i="2" s="1"/>
  <c r="BY121" i="2" s="1"/>
  <c r="BY122" i="2" s="1"/>
  <c r="BY123" i="2" s="1"/>
  <c r="BY124" i="2" s="1"/>
  <c r="BY125" i="2" s="1"/>
  <c r="BY126" i="2" s="1"/>
  <c r="BY127" i="2" s="1"/>
  <c r="BY128" i="2" s="1"/>
  <c r="BY129" i="2" s="1"/>
  <c r="BY130" i="2" s="1"/>
  <c r="BY131" i="2" s="1"/>
  <c r="BY132" i="2" s="1"/>
  <c r="BY133" i="2" s="1"/>
  <c r="BY134" i="2" s="1"/>
  <c r="BY135" i="2" s="1"/>
  <c r="BY136" i="2" s="1"/>
  <c r="BY137" i="2" s="1"/>
  <c r="BY138" i="2" s="1"/>
  <c r="BY139" i="2" s="1"/>
  <c r="BY140" i="2" s="1"/>
  <c r="BY141" i="2" s="1"/>
  <c r="BY142" i="2" s="1"/>
  <c r="BY143" i="2" s="1"/>
  <c r="BY144" i="2" s="1"/>
  <c r="BY145" i="2" s="1"/>
  <c r="BY146" i="2" s="1"/>
  <c r="BY147" i="2" s="1"/>
  <c r="BY148" i="2" s="1"/>
  <c r="BY149" i="2" s="1"/>
  <c r="BY150" i="2" s="1"/>
  <c r="BY151" i="2" s="1"/>
  <c r="BY152" i="2" s="1"/>
  <c r="BY153" i="2" s="1"/>
  <c r="BY154" i="2" s="1"/>
  <c r="BY155" i="2" s="1"/>
  <c r="BY156" i="2" s="1"/>
  <c r="BY157" i="2" s="1"/>
  <c r="BY158" i="2" s="1"/>
  <c r="BY159" i="2" s="1"/>
  <c r="BY160" i="2" s="1"/>
  <c r="BY161" i="2" s="1"/>
  <c r="BY162" i="2" s="1"/>
  <c r="BY163" i="2" s="1"/>
  <c r="BY164" i="2" s="1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BY455" i="2" s="1"/>
  <c r="CT65" i="2"/>
  <c r="BL66" i="2"/>
  <c r="BL67" i="2" s="1"/>
  <c r="BL68" i="2" s="1"/>
  <c r="BL69" i="2" s="1"/>
  <c r="BL70" i="2" s="1"/>
  <c r="BL71" i="2" s="1"/>
  <c r="BL72" i="2" s="1"/>
  <c r="BL73" i="2" s="1"/>
  <c r="BL74" i="2" s="1"/>
  <c r="BL75" i="2" s="1"/>
  <c r="BL76" i="2" s="1"/>
  <c r="BL77" i="2" s="1"/>
  <c r="BL78" i="2" s="1"/>
  <c r="BL79" i="2" s="1"/>
  <c r="BL80" i="2" s="1"/>
  <c r="BL81" i="2" s="1"/>
  <c r="BL82" i="2" s="1"/>
  <c r="BL83" i="2" s="1"/>
  <c r="BL84" i="2" s="1"/>
  <c r="BL85" i="2" s="1"/>
  <c r="BL86" i="2" s="1"/>
  <c r="BL87" i="2" s="1"/>
  <c r="BL88" i="2" s="1"/>
  <c r="BL89" i="2" s="1"/>
  <c r="BL90" i="2" s="1"/>
  <c r="BL91" i="2" s="1"/>
  <c r="BL92" i="2" s="1"/>
  <c r="BL93" i="2" s="1"/>
  <c r="BL94" i="2" s="1"/>
  <c r="BL95" i="2" s="1"/>
  <c r="BL96" i="2" s="1"/>
  <c r="BL97" i="2" s="1"/>
  <c r="BL98" i="2" s="1"/>
  <c r="BL99" i="2" s="1"/>
  <c r="BL100" i="2" s="1"/>
  <c r="BL101" i="2" s="1"/>
  <c r="BL102" i="2" s="1"/>
  <c r="BL103" i="2" s="1"/>
  <c r="BL104" i="2" s="1"/>
  <c r="BL105" i="2" s="1"/>
  <c r="BL106" i="2" s="1"/>
  <c r="BL107" i="2" s="1"/>
  <c r="BL108" i="2" s="1"/>
  <c r="BL109" i="2" s="1"/>
  <c r="BL110" i="2" s="1"/>
  <c r="BL111" i="2" s="1"/>
  <c r="BL112" i="2" s="1"/>
  <c r="BL113" i="2" s="1"/>
  <c r="BL114" i="2" s="1"/>
  <c r="BL115" i="2" s="1"/>
  <c r="BL116" i="2" s="1"/>
  <c r="BL117" i="2" s="1"/>
  <c r="BL118" i="2" s="1"/>
  <c r="BL119" i="2" s="1"/>
  <c r="BL120" i="2" s="1"/>
  <c r="BL121" i="2" s="1"/>
  <c r="BL122" i="2" s="1"/>
  <c r="BL123" i="2" s="1"/>
  <c r="BL124" i="2" s="1"/>
  <c r="BL125" i="2" s="1"/>
  <c r="BL126" i="2" s="1"/>
  <c r="BL127" i="2" s="1"/>
  <c r="BL128" i="2" s="1"/>
  <c r="BL129" i="2" s="1"/>
  <c r="BL130" i="2" s="1"/>
  <c r="BL131" i="2" s="1"/>
  <c r="BL132" i="2" s="1"/>
  <c r="BL133" i="2" s="1"/>
  <c r="BL134" i="2" s="1"/>
  <c r="BL135" i="2" s="1"/>
  <c r="BL136" i="2" s="1"/>
  <c r="BL137" i="2" s="1"/>
  <c r="BL138" i="2" s="1"/>
  <c r="BL139" i="2" s="1"/>
  <c r="BL140" i="2" s="1"/>
  <c r="BL141" i="2" s="1"/>
  <c r="BL142" i="2" s="1"/>
  <c r="BL143" i="2" s="1"/>
  <c r="BL144" i="2" s="1"/>
  <c r="BL145" i="2" s="1"/>
  <c r="BL146" i="2" s="1"/>
  <c r="BL147" i="2" s="1"/>
  <c r="BL148" i="2" s="1"/>
  <c r="BL149" i="2" s="1"/>
  <c r="BL150" i="2" s="1"/>
  <c r="BL151" i="2" s="1"/>
  <c r="BL152" i="2" s="1"/>
  <c r="BL153" i="2" s="1"/>
  <c r="BL154" i="2" s="1"/>
  <c r="BL155" i="2" s="1"/>
  <c r="BL156" i="2" s="1"/>
  <c r="BL157" i="2" s="1"/>
  <c r="BL158" i="2" s="1"/>
  <c r="BL159" i="2" s="1"/>
  <c r="BL160" i="2" s="1"/>
  <c r="BL161" i="2" s="1"/>
  <c r="BL162" i="2" s="1"/>
  <c r="BL163" i="2" s="1"/>
  <c r="BL164" i="2" s="1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BL455" i="2" s="1"/>
  <c r="CG65" i="2"/>
  <c r="CV65" i="2" l="1"/>
  <c r="E6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<sst xmlns="http://schemas.openxmlformats.org/spreadsheetml/2006/main" count="288" uniqueCount="147">
  <si>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</si>
  <si>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</si>
  <si>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</si>
  <si>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</si>
  <si>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</si>
  <si>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</si>
  <si>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</si>
  <si>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</si>
  <si>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</si>
  <si>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</si>
  <si>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</si>
  <si>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</si>
  <si>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</si>
  <si>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</si>
  <si>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</si>
  <si>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</si>
  <si>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</si>
  <si>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</si>
  <si>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</si>
  <si>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</si>
  <si>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</si>
  <si>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</si>
  <si>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</si>
  <si>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</si>
  <si>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</si>
  <si>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</si>
  <si>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Total mass worked</t>
  </si>
  <si>
    <t>Raw mass ratio</t>
  </si>
  <si>
    <t>Raw mass ratio 2</t>
  </si>
  <si>
    <t>Muscle adjustment</t>
  </si>
  <si>
    <t>Raw involvement ratios</t>
  </si>
  <si>
    <t>Rowing machine</t>
  </si>
  <si>
    <t>Treadmill running</t>
  </si>
  <si>
    <t>Stair climbing machine</t>
  </si>
  <si>
    <t>Cycling machine</t>
  </si>
  <si>
    <t>Lateral elliptical machine</t>
  </si>
  <si>
    <t>Barbell squat</t>
  </si>
  <si>
    <t>Dumbbell walking lunge</t>
  </si>
  <si>
    <t>Barbell deadlift</t>
  </si>
  <si>
    <t>Leg press</t>
  </si>
  <si>
    <t>Barbell hip thrust</t>
  </si>
  <si>
    <t>Calf press</t>
  </si>
  <si>
    <t>Machine seated leg curl</t>
  </si>
  <si>
    <t>Barbell bent-over row</t>
  </si>
  <si>
    <t>Chin up</t>
  </si>
  <si>
    <t>Cable lat pulldown</t>
  </si>
  <si>
    <t>Pull-up</t>
  </si>
  <si>
    <t>Dumbbell incline bench press</t>
  </si>
  <si>
    <t>Barbell bench press</t>
  </si>
  <si>
    <t>Barbell military press</t>
  </si>
  <si>
    <t>Cable face pulls</t>
  </si>
  <si>
    <t>Cable lateral raise</t>
  </si>
  <si>
    <t>Cable mid chest crossover</t>
  </si>
  <si>
    <t>EZ bar decline close grip skull crusher</t>
  </si>
  <si>
    <t>Cable reverse fly</t>
  </si>
  <si>
    <t>Dumbbell shoulder shrug</t>
  </si>
  <si>
    <t>EZ bar biceps curl</t>
  </si>
  <si>
    <t>Weighted decline crunch</t>
  </si>
  <si>
    <t>Hanging leg raise</t>
  </si>
  <si>
    <t>Cable standing oblique twist</t>
  </si>
  <si>
    <t>Mass scaled exercises</t>
  </si>
  <si>
    <t>Target ratio</t>
  </si>
  <si>
    <t>Date</t>
  </si>
  <si>
    <t>Energy allowed?</t>
  </si>
  <si>
    <t>Mean square difference</t>
  </si>
  <si>
    <t>Priority</t>
  </si>
  <si>
    <t>Score</t>
  </si>
  <si>
    <t>Recovery</t>
  </si>
  <si>
    <t>EMA</t>
  </si>
  <si>
    <t>Muscle usage</t>
  </si>
  <si>
    <t>Energy level</t>
  </si>
  <si>
    <t>EMA muscle usage</t>
  </si>
  <si>
    <t># muscles worked</t>
  </si>
  <si>
    <t>Muscles worked</t>
  </si>
  <si>
    <t>Exercise #</t>
  </si>
  <si>
    <t xml:space="preserve"> </t>
  </si>
  <si>
    <t>Seated leg extension</t>
  </si>
  <si>
    <t>Exercise EMA</t>
  </si>
  <si>
    <t>Weighting</t>
  </si>
  <si>
    <t>Baseline</t>
  </si>
  <si>
    <t>Current day</t>
  </si>
  <si>
    <t>Injury</t>
  </si>
  <si>
    <t>Other useful</t>
  </si>
  <si>
    <t>Cable adduction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</si>
  <si>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</si>
  <si>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</si>
  <si>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</si>
  <si>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</si>
  <si>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</si>
  <si>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</si>
  <si>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</si>
  <si>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</si>
  <si>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</si>
  <si>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</si>
  <si>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</si>
  <si>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</si>
  <si>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</si>
  <si>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</si>
  <si>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</si>
  <si>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</si>
  <si>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</si>
  <si>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</si>
  <si>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00:31 - Neck Circles</t>
  </si>
  <si>
    <t>01:41 - Thoracic Circles</t>
  </si>
  <si>
    <t xml:space="preserve">02:35 - Shoulder Circles </t>
  </si>
  <si>
    <t>03:25 - Prone Shoulder Dislocates</t>
  </si>
  <si>
    <t>04:24 - Prone or Kneeling Butchers Block</t>
  </si>
  <si>
    <t>05:30 - Hindu Push Ups</t>
  </si>
  <si>
    <t>06:45 - Quadraped Thoracic Rotation</t>
  </si>
  <si>
    <t>07:50 - Squat to Figure 4 Position</t>
  </si>
  <si>
    <t>08:52 - 4 Position Lifts</t>
  </si>
  <si>
    <t>09:50 - Cossack Squats</t>
  </si>
  <si>
    <t>10:50 - Long Lunge Extensions</t>
  </si>
  <si>
    <t>12:07 - Good Morning</t>
  </si>
  <si>
    <t>13:05 - Pike Twists</t>
  </si>
  <si>
    <t>13:48 - Squat and close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</si>
  <si>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</si>
  <si>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</si>
  <si>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</si>
  <si>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</si>
  <si>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</si>
  <si>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</si>
  <si>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</si>
  <si>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</si>
  <si>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</si>
  <si>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</si>
  <si>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</si>
  <si>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</si>
  <si>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</si>
  <si>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</si>
  <si>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</si>
  <si>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</si>
  <si>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</si>
  <si>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</si>
  <si>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</si>
  <si>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</si>
  <si>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</si>
  <si>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</si>
  <si>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</si>
  <si>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</si>
  <si>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</si>
  <si>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</si>
  <si>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Cable seated row</t>
  </si>
  <si>
    <t>#2</t>
  </si>
  <si>
    <t>#3</t>
  </si>
  <si>
    <t>#2 name</t>
  </si>
  <si>
    <t>#3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</si>
</sst>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;;\-"/>
    <numFmt numFmtId="165" formatCode="0.0%"/>
    <numFmt numFmtId="166" formatCode="ddd\ d\ mmm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3" xfId="0" applyFont="1" applyBorder="1"/>
    <xf numFmtId="0" fontId="2" fillId="2" borderId="1" xfId="0" applyFont="1" applyFill="1" applyBorder="1" applyAlignment="1">
      <alignment horizontal="center"/>
    </xf>
    <xf numFmtId="0" fontId="4" fillId="0" borderId="5" xfId="0" applyFont="1" applyBorder="1" applyAlignment="1">
      <alignment wrapText="1"/>
    </xf>
    <xf numFmtId="0" fontId="4" fillId="3" borderId="6" xfId="0" applyFont="1" applyFill="1" applyBorder="1" applyAlignment="1">
      <alignment horizontal="center" wrapText="1"/>
    </xf>
    <xf numFmtId="0" fontId="4" fillId="3" borderId="7" xfId="0" applyFont="1" applyFill="1" applyBorder="1" applyAlignment="1">
      <alignment horizontal="center" wrapText="1"/>
    </xf>
    <xf numFmtId="0" fontId="4" fillId="3" borderId="5" xfId="0" applyFont="1" applyFill="1" applyBorder="1" applyAlignment="1">
      <alignment horizontal="center" wrapText="1"/>
    </xf>
    <xf numFmtId="0" fontId="4" fillId="3" borderId="8" xfId="0" applyFont="1" applyFill="1" applyBorder="1" applyAlignment="1">
      <alignment horizontal="center" wrapText="1"/>
    </xf>
    <xf numFmtId="0" fontId="1" fillId="0" borderId="3" xfId="0" applyFont="1" applyBorder="1"/>
    <xf numFmtId="0" fontId="1" fillId="0" borderId="1" xfId="0" applyFont="1" applyBorder="1"/>
    <xf numFmtId="0" fontId="1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2" xfId="0" applyFont="1" applyBorder="1"/>
    <xf numFmtId="0" fontId="1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4" fillId="4" borderId="0" xfId="0" applyFont="1" applyFill="1"/>
    <xf numFmtId="0" fontId="4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1" fontId="0" fillId="0" borderId="10" xfId="0" applyNumberFormat="1" applyBorder="1"/>
    <xf numFmtId="0" fontId="0" fillId="0" borderId="0" xfId="0" applyAlignment="1">
      <alignment horizontal="center"/>
    </xf>
    <xf numFmtId="0" fontId="1" fillId="0" borderId="10" xfId="0" applyFont="1" applyBorder="1"/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9" fontId="0" fillId="0" borderId="0" xfId="0" applyNumberFormat="1" applyAlignment="1">
      <alignment horizontal="center"/>
    </xf>
    <xf numFmtId="166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6" borderId="5" xfId="0" applyFill="1" applyBorder="1" applyAlignment="1">
      <alignment wrapText="1"/>
    </xf>
    <xf numFmtId="9" fontId="0" fillId="0" borderId="5" xfId="0" applyNumberFormat="1" applyBorder="1" applyAlignment="1">
      <alignment horizontal="center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7" fontId="0" fillId="0" borderId="0" xfId="0" applyNumberFormat="1" applyAlignment="1">
      <alignment horizontal="center"/>
    </xf>
    <xf numFmtId="167" fontId="0" fillId="0" borderId="5" xfId="0" applyNumberFormat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5" fontId="4" fillId="0" borderId="0" xfId="1" applyNumberFormat="1" applyFont="1" applyBorder="1" applyAlignment="1">
      <alignment horizontal="center"/>
    </xf>
    <xf numFmtId="167" fontId="4" fillId="4" borderId="0" xfId="0" applyNumberFormat="1" applyFont="1" applyFill="1" applyAlignment="1">
      <alignment horizontal="center"/>
    </xf>
    <xf numFmtId="0" fontId="4" fillId="0" borderId="4" xfId="0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1" xfId="0" applyFont="1" applyBorder="1"/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166" fontId="0" fillId="7" borderId="2" xfId="0" applyNumberFormat="1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0" fontId="0" fillId="6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4" xfId="1" applyFont="1" applyBorder="1"/>
    <xf numFmtId="166" fontId="0" fillId="7" borderId="10" xfId="0" applyNumberFormat="1" applyFill="1" applyBorder="1" applyAlignment="1">
      <alignment horizontal="center"/>
    </xf>
    <xf numFmtId="1" fontId="0" fillId="7" borderId="0" xfId="0" applyNumberFormat="1" applyFill="1" applyAlignment="1">
      <alignment horizontal="center"/>
    </xf>
    <xf numFmtId="9" fontId="0" fillId="0" borderId="0" xfId="1" applyFont="1" applyBorder="1"/>
    <xf numFmtId="9" fontId="0" fillId="0" borderId="11" xfId="1" applyFont="1" applyBorder="1"/>
    <xf numFmtId="166" fontId="0" fillId="7" borderId="7" xfId="0" applyNumberFormat="1" applyFill="1" applyBorder="1" applyAlignment="1">
      <alignment horizontal="center"/>
    </xf>
    <xf numFmtId="9" fontId="0" fillId="0" borderId="8" xfId="1" applyFont="1" applyBorder="1"/>
    <xf numFmtId="9" fontId="1" fillId="0" borderId="0" xfId="1" applyFont="1" applyAlignment="1">
      <alignment horizontal="center"/>
    </xf>
    <xf numFmtId="0" fontId="4" fillId="3" borderId="0" xfId="0" applyFont="1" applyFill="1" applyAlignment="1">
      <alignment horizontal="center"/>
    </xf>
    <xf numFmtId="166" fontId="4" fillId="3" borderId="0" xfId="0" applyNumberFormat="1" applyFont="1" applyFill="1" applyAlignment="1">
      <alignment horizontal="center" wrapText="1"/>
    </xf>
    <xf numFmtId="9" fontId="4" fillId="4" borderId="0" xfId="1" applyFont="1" applyFill="1" applyBorder="1" applyAlignment="1">
      <alignment horizontal="center"/>
    </xf>
    <xf numFmtId="9" fontId="4" fillId="9" borderId="0" xfId="1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166" fontId="0" fillId="7" borderId="0" xfId="0" applyNumberFormat="1" applyFill="1" applyAlignment="1">
      <alignment horizontal="center"/>
    </xf>
    <xf numFmtId="166" fontId="0" fillId="7" borderId="5" xfId="0" applyNumberFormat="1" applyFill="1" applyBorder="1" applyAlignment="1">
      <alignment horizontal="center"/>
    </xf>
    <xf numFmtId="1" fontId="1" fillId="0" borderId="0" xfId="1" applyNumberFormat="1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</xdr:row>
          <xdr:rowOff>57150</xdr:rowOff>
        </xdr:from>
        <xdr:to>
          <xdr:col>1</xdr:col>
          <xdr:colOff>733425</xdr:colOff>
          <xdr:row>3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66675</xdr:rowOff>
        </xdr:from>
        <xdr:to>
          <xdr:col>2</xdr:col>
          <xdr:colOff>1190625</xdr:colOff>
          <xdr:row>3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81A0B-1C40-4CA1-900B-163E2B763942}">
  <sheetPr codeName="Sheet1"/>
  <dimension ref="A1:AB76"/>
  <sheetViews>
    <sheetView topLeftCell="A7" zoomScaleNormal="100" workbookViewId="0">
      <selection activeCell="Q24" sqref="Q24"/>
    </sheetView>
  </sheetViews>
  <sheetFormatPr defaultRowHeight="15" x14ac:dyDescent="0.25"/>
  <cols>
    <col min="2" max="2" width="26.7109375" bestFit="1" customWidth="1"/>
    <col min="3" max="5" width="10.7109375" customWidth="1"/>
    <col min="6" max="6" width="2.85546875" customWidth="1"/>
    <col min="7" max="7" width="9.140625" style="19"/>
    <col min="8" max="8" width="9.140625" style="20"/>
    <col min="11" max="11" width="9.140625" style="21"/>
    <col min="12" max="12" width="9.140625" style="20"/>
    <col min="14" max="14" width="9.140625" style="21"/>
    <col min="15" max="15" width="9.140625" style="20"/>
    <col min="17" max="17" width="9.140625" style="21"/>
    <col min="18" max="18" width="9.140625" style="20"/>
    <col min="20" max="20" width="9.140625" style="21"/>
    <col min="21" max="21" width="9.140625" style="20"/>
    <col min="26" max="26" width="9.140625" style="21" customWidth="1"/>
  </cols>
  <sheetData>
    <row r="1" spans="1:28" x14ac:dyDescent="0.25">
      <c r="G1" s="1"/>
      <c r="H1" s="2"/>
      <c r="I1" s="3"/>
      <c r="J1" s="3"/>
      <c r="K1" s="4"/>
      <c r="L1" s="2">
        <v>376</v>
      </c>
      <c r="M1" s="3"/>
      <c r="N1" s="4"/>
      <c r="O1" s="2"/>
      <c r="P1" s="3"/>
      <c r="Q1" s="4"/>
      <c r="R1" s="2"/>
      <c r="S1" s="3"/>
      <c r="T1" s="4"/>
      <c r="U1" s="2"/>
      <c r="V1" s="3"/>
      <c r="W1" s="3"/>
      <c r="X1" s="3"/>
      <c r="Y1" s="3"/>
      <c r="Z1" s="4"/>
    </row>
    <row r="2" spans="1:28" s="5" customFormat="1" x14ac:dyDescent="0.25">
      <c r="G2" s="6" t="s">
        <v>0</v>
      </c>
      <c r="H2" s="110" t="s">
        <v>1</v>
      </c>
      <c r="I2" s="111"/>
      <c r="J2" s="111"/>
      <c r="K2" s="112"/>
      <c r="L2" s="110" t="s">
        <v>2</v>
      </c>
      <c r="M2" s="111"/>
      <c r="N2" s="112"/>
      <c r="O2" s="110" t="s">
        <v>3</v>
      </c>
      <c r="P2" s="111"/>
      <c r="Q2" s="112"/>
      <c r="R2" s="110" t="s">
        <v>4</v>
      </c>
      <c r="S2" s="111"/>
      <c r="T2" s="112"/>
      <c r="U2" s="110" t="s">
        <v>5</v>
      </c>
      <c r="V2" s="111"/>
      <c r="W2" s="111"/>
      <c r="X2" s="111"/>
      <c r="Y2" s="111"/>
      <c r="Z2" s="112"/>
    </row>
    <row r="3" spans="1:28" s="7" customFormat="1" ht="45" x14ac:dyDescent="0.25">
      <c r="C3" s="7" t="s">
        <v>65</v>
      </c>
      <c r="D3" s="7" t="s">
        <v>68</v>
      </c>
      <c r="E3" s="7" t="s">
        <v>81</v>
      </c>
      <c r="G3" s="8" t="s">
        <v>6</v>
      </c>
      <c r="H3" s="9" t="s">
        <v>7</v>
      </c>
      <c r="I3" s="10" t="s">
        <v>8</v>
      </c>
      <c r="J3" s="10" t="s">
        <v>9</v>
      </c>
      <c r="K3" s="11" t="s">
        <v>10</v>
      </c>
      <c r="L3" s="9" t="s">
        <v>11</v>
      </c>
      <c r="M3" s="10" t="s">
        <v>12</v>
      </c>
      <c r="N3" s="11" t="s">
        <v>13</v>
      </c>
      <c r="O3" s="9" t="s">
        <v>14</v>
      </c>
      <c r="P3" s="10" t="s">
        <v>15</v>
      </c>
      <c r="Q3" s="11" t="s">
        <v>16</v>
      </c>
      <c r="R3" s="9" t="s">
        <v>17</v>
      </c>
      <c r="S3" s="10" t="s">
        <v>18</v>
      </c>
      <c r="T3" s="11" t="s">
        <v>19</v>
      </c>
      <c r="U3" s="9" t="s">
        <v>20</v>
      </c>
      <c r="V3" s="10" t="s">
        <v>21</v>
      </c>
      <c r="W3" s="10" t="s">
        <v>22</v>
      </c>
      <c r="X3" s="10" t="s">
        <v>23</v>
      </c>
      <c r="Y3" s="10" t="s">
        <v>24</v>
      </c>
      <c r="Z3" s="11" t="s">
        <v>25</v>
      </c>
      <c r="AA3" s="7" t="s">
        <v>26</v>
      </c>
      <c r="AB3" s="7" t="s">
        <v>72</v>
      </c>
    </row>
    <row r="4" spans="1:28" s="3" customFormat="1" x14ac:dyDescent="0.25">
      <c r="B4" s="12" t="s">
        <v>27</v>
      </c>
      <c r="C4" s="12"/>
      <c r="D4" s="12"/>
      <c r="E4" s="12"/>
      <c r="F4" s="12"/>
      <c r="G4" s="13">
        <v>260</v>
      </c>
      <c r="H4" s="14">
        <v>244</v>
      </c>
      <c r="I4" s="12">
        <v>217</v>
      </c>
      <c r="J4" s="15">
        <v>75</v>
      </c>
      <c r="K4" s="16">
        <v>127</v>
      </c>
      <c r="L4" s="17">
        <v>307</v>
      </c>
      <c r="M4" s="15">
        <v>94</v>
      </c>
      <c r="N4" s="16">
        <v>39</v>
      </c>
      <c r="O4" s="14">
        <v>112</v>
      </c>
      <c r="P4" s="12">
        <v>237</v>
      </c>
      <c r="Q4" s="16">
        <v>62</v>
      </c>
      <c r="R4" s="17">
        <v>55</v>
      </c>
      <c r="S4" s="15">
        <v>40</v>
      </c>
      <c r="T4" s="16">
        <v>55</v>
      </c>
      <c r="U4" s="14">
        <v>1791</v>
      </c>
      <c r="V4" s="12">
        <v>724</v>
      </c>
      <c r="W4" s="12">
        <v>1203</v>
      </c>
      <c r="X4" s="12">
        <v>849</v>
      </c>
      <c r="Y4" s="15">
        <v>142</v>
      </c>
      <c r="Z4" s="16">
        <v>47</v>
      </c>
    </row>
    <row r="5" spans="1:28" x14ac:dyDescent="0.25">
      <c r="B5" s="18" t="s">
        <v>28</v>
      </c>
      <c r="C5" s="18"/>
      <c r="D5" s="18"/>
      <c r="E5" s="18"/>
      <c r="F5" s="18"/>
      <c r="G5" s="19">
        <v>33</v>
      </c>
      <c r="H5" s="20">
        <v>46</v>
      </c>
      <c r="I5">
        <v>20</v>
      </c>
      <c r="J5">
        <v>7</v>
      </c>
      <c r="K5" s="21">
        <v>24</v>
      </c>
      <c r="L5" s="20">
        <v>15.5</v>
      </c>
      <c r="M5">
        <v>6</v>
      </c>
      <c r="N5" s="21">
        <v>2.5</v>
      </c>
      <c r="O5" s="20">
        <v>18</v>
      </c>
      <c r="P5">
        <v>24</v>
      </c>
      <c r="Q5" s="21">
        <v>10</v>
      </c>
      <c r="R5" s="20">
        <v>10</v>
      </c>
      <c r="S5">
        <v>7</v>
      </c>
      <c r="T5" s="21">
        <v>10</v>
      </c>
      <c r="U5" s="20">
        <v>100</v>
      </c>
      <c r="V5">
        <v>53</v>
      </c>
      <c r="W5">
        <v>63</v>
      </c>
      <c r="X5">
        <v>24</v>
      </c>
      <c r="Y5">
        <v>7.5</v>
      </c>
      <c r="Z5" s="21">
        <v>2.5</v>
      </c>
    </row>
    <row r="6" spans="1:28" x14ac:dyDescent="0.25">
      <c r="B6" s="18" t="s">
        <v>29</v>
      </c>
      <c r="C6" s="18"/>
      <c r="D6" s="18"/>
      <c r="E6" s="18"/>
      <c r="F6" s="18"/>
      <c r="G6" s="19">
        <v>1</v>
      </c>
      <c r="H6" s="20">
        <v>1.5</v>
      </c>
      <c r="I6">
        <v>1</v>
      </c>
      <c r="J6">
        <v>1</v>
      </c>
      <c r="K6" s="21">
        <v>1</v>
      </c>
      <c r="L6" s="20">
        <v>2</v>
      </c>
      <c r="M6">
        <v>1</v>
      </c>
      <c r="N6" s="21">
        <v>1.5</v>
      </c>
      <c r="O6" s="20">
        <v>1</v>
      </c>
      <c r="P6">
        <v>1</v>
      </c>
      <c r="Q6" s="21">
        <v>1</v>
      </c>
      <c r="R6" s="20">
        <v>1</v>
      </c>
      <c r="S6">
        <v>1.5</v>
      </c>
      <c r="T6" s="21">
        <v>1</v>
      </c>
      <c r="U6" s="20">
        <v>1</v>
      </c>
      <c r="V6">
        <v>1</v>
      </c>
      <c r="W6">
        <v>1.5</v>
      </c>
      <c r="X6">
        <v>1</v>
      </c>
      <c r="Y6">
        <v>1</v>
      </c>
      <c r="Z6" s="21">
        <v>1</v>
      </c>
    </row>
    <row r="8" spans="1:28" x14ac:dyDescent="0.25">
      <c r="B8" s="22" t="s">
        <v>30</v>
      </c>
      <c r="C8" s="23"/>
      <c r="D8" s="23"/>
      <c r="E8" s="23"/>
      <c r="F8" s="23"/>
    </row>
    <row r="9" spans="1:28" x14ac:dyDescent="0.25">
      <c r="B9" s="23"/>
      <c r="C9" s="23"/>
      <c r="D9" s="23"/>
      <c r="E9" s="23"/>
      <c r="F9" s="23"/>
    </row>
    <row r="10" spans="1:28" x14ac:dyDescent="0.25">
      <c r="A10">
        <v>1</v>
      </c>
      <c r="B10" s="24" t="s">
        <v>31</v>
      </c>
      <c r="C10" s="25">
        <v>1.1000000000000001</v>
      </c>
      <c r="D10" s="91" cm="1">
        <f t="array" aca="1" ref="D10" ca="1">0.1+SUMPRODUCT(IF('UWS2'!$A$5:$A$455="",0,IF('UWS2'!$A$5:$A$455&gt;'UWS2'!$C$1,0,0.1*0.9^('UWS2'!$C$1-'UWS2'!$A$5:$A$455))),IFERROR(1/('UWS2'!$C$5:$C$455=$B10),0))</f>
        <v>0.20849857673916483</v>
      </c>
      <c r="E10" s="99">
        <v>1</v>
      </c>
      <c r="F10" s="18"/>
      <c r="H10" s="20">
        <v>1</v>
      </c>
      <c r="I10">
        <v>0.8</v>
      </c>
      <c r="J10">
        <v>0.8</v>
      </c>
      <c r="K10" s="21">
        <v>0.7</v>
      </c>
      <c r="L10" s="20">
        <v>0.6</v>
      </c>
      <c r="N10" s="21">
        <v>0.6</v>
      </c>
      <c r="O10" s="20">
        <v>0.4</v>
      </c>
      <c r="U10" s="20">
        <v>1</v>
      </c>
      <c r="V10">
        <v>0.7</v>
      </c>
      <c r="W10">
        <v>0.7</v>
      </c>
      <c r="X10">
        <v>0.3</v>
      </c>
      <c r="Y10">
        <v>0.3</v>
      </c>
      <c r="Z10" s="21">
        <v>0.3</v>
      </c>
      <c r="AA10" s="26">
        <f t="shared" ref="AA10:AA40" si="0">INDEX($AA$45:$AA$75,MATCH($B10,$B$45:$B$75,0))</f>
        <v>4270.2000000000007</v>
      </c>
      <c r="AB10">
        <f>SUM(G10:Z10)</f>
        <v>8.2000000000000011</v>
      </c>
    </row>
    <row r="11" spans="1:28" x14ac:dyDescent="0.25">
      <c r="A11">
        <v>2</v>
      </c>
      <c r="B11" s="24" t="s">
        <v>32</v>
      </c>
      <c r="C11" s="25">
        <v>1.1000000000000001</v>
      </c>
      <c r="D11" s="91" cm="1">
        <f t="array" aca="1" ref="D11" ca="1">0.1+SUMPRODUCT(IF('UWS2'!$A$5:$A$455="",0,IF('UWS2'!$A$5:$A$455&gt;'UWS2'!$C$1,0,0.1*0.9^('UWS2'!$C$1-'UWS2'!$A$5:$A$455))),IFERROR(1/('UWS2'!$C$5:$C$455=$B11),0))</f>
        <v>0.19450851717672996</v>
      </c>
      <c r="E11" s="99">
        <v>1</v>
      </c>
      <c r="F11" s="18"/>
      <c r="S11">
        <v>0.2</v>
      </c>
      <c r="U11" s="20">
        <v>1</v>
      </c>
      <c r="V11">
        <v>1</v>
      </c>
      <c r="W11">
        <v>0.6</v>
      </c>
      <c r="X11">
        <v>1</v>
      </c>
      <c r="Z11" s="21">
        <v>0.6</v>
      </c>
      <c r="AA11" s="26">
        <f t="shared" si="0"/>
        <v>4122</v>
      </c>
      <c r="AB11">
        <f t="shared" ref="AB11:AB40" si="1">SUM(G11:Z11)</f>
        <v>4.4000000000000004</v>
      </c>
    </row>
    <row r="12" spans="1:28" x14ac:dyDescent="0.25">
      <c r="A12">
        <v>3</v>
      </c>
      <c r="B12" s="24" t="s">
        <v>33</v>
      </c>
      <c r="C12" s="25">
        <v>1</v>
      </c>
      <c r="D12" s="91" cm="1">
        <f t="array" aca="1" ref="D12" ca="1">0.1+SUMPRODUCT(IF('UWS2'!$A$5:$A$455="",0,IF('UWS2'!$A$5:$A$455&gt;'UWS2'!$C$1,0,0.1*0.9^('UWS2'!$C$1-'UWS2'!$A$5:$A$455))),IFERROR(1/('UWS2'!$C$5:$C$455=$B12),0))</f>
        <v>0.14304672100000002</v>
      </c>
      <c r="E12" s="99">
        <v>1</v>
      </c>
      <c r="F12" s="18"/>
      <c r="U12" s="20">
        <v>1</v>
      </c>
      <c r="V12">
        <v>0.6</v>
      </c>
      <c r="W12">
        <v>0.8</v>
      </c>
      <c r="X12">
        <v>1</v>
      </c>
      <c r="AA12" s="26">
        <f t="shared" si="0"/>
        <v>4036.8</v>
      </c>
      <c r="AB12">
        <f t="shared" si="1"/>
        <v>3.4000000000000004</v>
      </c>
    </row>
    <row r="13" spans="1:28" x14ac:dyDescent="0.25">
      <c r="A13">
        <v>4</v>
      </c>
      <c r="B13" s="24" t="s">
        <v>34</v>
      </c>
      <c r="C13" s="25">
        <v>1</v>
      </c>
      <c r="D13" s="91" cm="1">
        <f t="array" aca="1" ref="D13" ca="1">0.1+SUMPRODUCT(IF('UWS2'!$A$5:$A$455="",0,IF('UWS2'!$A$5:$A$455&gt;'UWS2'!$C$1,0,0.1*0.9^('UWS2'!$C$1-'UWS2'!$A$5:$A$455))),IFERROR(1/('UWS2'!$C$5:$C$455=$B13),0))</f>
        <v>0.16311079765810005</v>
      </c>
      <c r="E13" s="99">
        <v>1</v>
      </c>
      <c r="F13" s="18"/>
      <c r="R13" s="20">
        <v>0.4</v>
      </c>
      <c r="S13">
        <v>0.4</v>
      </c>
      <c r="T13" s="21">
        <v>0.4</v>
      </c>
      <c r="U13" s="20">
        <v>1</v>
      </c>
      <c r="V13">
        <v>0.8</v>
      </c>
      <c r="W13">
        <v>0.6</v>
      </c>
      <c r="X13">
        <v>1</v>
      </c>
      <c r="AA13" s="26">
        <f t="shared" si="0"/>
        <v>4001</v>
      </c>
      <c r="AB13">
        <f t="shared" si="1"/>
        <v>4.5999999999999996</v>
      </c>
    </row>
    <row r="14" spans="1:28" x14ac:dyDescent="0.25">
      <c r="A14">
        <v>5</v>
      </c>
      <c r="B14" s="24" t="s">
        <v>35</v>
      </c>
      <c r="C14" s="25">
        <v>1</v>
      </c>
      <c r="D14" s="91" cm="1">
        <f t="array" aca="1" ref="D14" ca="1">0.1+SUMPRODUCT(IF('UWS2'!$A$5:$A$455="",0,IF('UWS2'!$A$5:$A$455&gt;'UWS2'!$C$1,0,0.1*0.9^('UWS2'!$C$1-'UWS2'!$A$5:$A$455))),IFERROR(1/('UWS2'!$C$5:$C$455=$B14),0))</f>
        <v>0.24991126149751844</v>
      </c>
      <c r="E14" s="99">
        <v>1</v>
      </c>
      <c r="F14" s="18"/>
      <c r="T14" s="21">
        <v>0.5</v>
      </c>
      <c r="U14" s="20">
        <v>1</v>
      </c>
      <c r="V14">
        <v>0.5</v>
      </c>
      <c r="W14">
        <v>0.5</v>
      </c>
      <c r="X14">
        <v>1</v>
      </c>
      <c r="Y14">
        <v>0.5</v>
      </c>
      <c r="Z14" s="21">
        <v>0.5</v>
      </c>
      <c r="AA14" s="26">
        <f t="shared" si="0"/>
        <v>3725.5</v>
      </c>
      <c r="AB14">
        <f t="shared" si="1"/>
        <v>4.5</v>
      </c>
    </row>
    <row r="15" spans="1:28" x14ac:dyDescent="0.25">
      <c r="A15">
        <v>6</v>
      </c>
      <c r="B15" s="18" t="s">
        <v>36</v>
      </c>
      <c r="C15" s="25">
        <v>1.1000000000000001</v>
      </c>
      <c r="D15" s="91" cm="1">
        <f t="array" aca="1" ref="D15" ca="1">0.1+SUMPRODUCT(IF('UWS2'!$A$5:$A$455="",0,IF('UWS2'!$A$5:$A$455&gt;'UWS2'!$C$1,0,0.1*0.9^('UWS2'!$C$1-'UWS2'!$A$5:$A$455))),IFERROR(1/('UWS2'!$C$5:$C$455=$B15),0))</f>
        <v>0.14883206685756495</v>
      </c>
      <c r="E15" s="99">
        <v>1</v>
      </c>
      <c r="F15" s="18"/>
      <c r="K15" s="21">
        <v>1</v>
      </c>
      <c r="S15">
        <v>0.6</v>
      </c>
      <c r="U15" s="20">
        <v>1</v>
      </c>
      <c r="V15">
        <v>0.7</v>
      </c>
      <c r="W15">
        <v>0.9</v>
      </c>
      <c r="X15">
        <v>0.1</v>
      </c>
      <c r="Y15">
        <v>0.4</v>
      </c>
      <c r="Z15" s="21">
        <v>0.4</v>
      </c>
      <c r="AA15" s="26">
        <f t="shared" si="0"/>
        <v>3692.0000000000005</v>
      </c>
      <c r="AB15">
        <f t="shared" si="1"/>
        <v>5.1000000000000005</v>
      </c>
    </row>
    <row r="16" spans="1:28" x14ac:dyDescent="0.25">
      <c r="A16">
        <v>7</v>
      </c>
      <c r="B16" s="18" t="s">
        <v>37</v>
      </c>
      <c r="C16" s="25">
        <v>1</v>
      </c>
      <c r="D16" s="91" cm="1">
        <f t="array" aca="1" ref="D16" ca="1">0.1+SUMPRODUCT(IF('UWS2'!$A$5:$A$455="",0,IF('UWS2'!$A$5:$A$455&gt;'UWS2'!$C$1,0,0.1*0.9^('UWS2'!$C$1-'UWS2'!$A$5:$A$455))),IFERROR(1/('UWS2'!$C$5:$C$455=$B16),0))</f>
        <v>0.23091126149751848</v>
      </c>
      <c r="E16" s="99">
        <v>1</v>
      </c>
      <c r="F16" s="18"/>
      <c r="K16" s="21">
        <v>0.5</v>
      </c>
      <c r="Q16" s="21">
        <v>0.1</v>
      </c>
      <c r="S16">
        <v>0.3</v>
      </c>
      <c r="T16" s="21">
        <v>0.2</v>
      </c>
      <c r="U16" s="20">
        <v>1</v>
      </c>
      <c r="V16">
        <v>0.6</v>
      </c>
      <c r="W16">
        <v>0.9</v>
      </c>
      <c r="X16">
        <v>0.1</v>
      </c>
      <c r="Y16">
        <v>0.5</v>
      </c>
      <c r="Z16" s="21">
        <v>0.5</v>
      </c>
      <c r="AA16" s="26">
        <f t="shared" si="0"/>
        <v>3580.2000000000003</v>
      </c>
      <c r="AB16">
        <f t="shared" si="1"/>
        <v>4.6999999999999993</v>
      </c>
    </row>
    <row r="17" spans="1:28" x14ac:dyDescent="0.25">
      <c r="A17">
        <v>8</v>
      </c>
      <c r="B17" s="18" t="s">
        <v>38</v>
      </c>
      <c r="C17" s="25">
        <v>1.1000000000000001</v>
      </c>
      <c r="D17" s="91" cm="1">
        <f t="array" aca="1" ref="D17" ca="1">0.1+SUMPRODUCT(IF('UWS2'!$A$5:$A$455="",0,IF('UWS2'!$A$5:$A$455&gt;'UWS2'!$C$1,0,0.1*0.9^('UWS2'!$C$1-'UWS2'!$A$5:$A$455))),IFERROR(1/('UWS2'!$C$5:$C$455=$B17),0))</f>
        <v>0.36432308218672993</v>
      </c>
      <c r="E17" s="99">
        <v>1</v>
      </c>
      <c r="F17" s="18"/>
      <c r="H17" s="20">
        <v>0.3</v>
      </c>
      <c r="I17">
        <v>0.6</v>
      </c>
      <c r="J17">
        <v>0.6</v>
      </c>
      <c r="K17" s="21">
        <v>1</v>
      </c>
      <c r="Q17" s="21">
        <v>1</v>
      </c>
      <c r="S17">
        <v>0.7</v>
      </c>
      <c r="U17" s="20">
        <v>0.6</v>
      </c>
      <c r="V17">
        <v>0.8</v>
      </c>
      <c r="W17">
        <v>1</v>
      </c>
      <c r="X17">
        <v>0.1</v>
      </c>
      <c r="Y17">
        <v>0.3</v>
      </c>
      <c r="Z17" s="21">
        <v>0.3</v>
      </c>
      <c r="AA17" s="26">
        <f t="shared" si="0"/>
        <v>3463.7999999999997</v>
      </c>
      <c r="AB17">
        <f t="shared" si="1"/>
        <v>7.2999999999999989</v>
      </c>
    </row>
    <row r="18" spans="1:28" x14ac:dyDescent="0.25">
      <c r="A18">
        <v>9</v>
      </c>
      <c r="B18" s="18" t="s">
        <v>39</v>
      </c>
      <c r="C18" s="25">
        <v>1</v>
      </c>
      <c r="D18" s="91" cm="1">
        <f t="array" aca="1" ref="D18" ca="1">0.1+SUMPRODUCT(IF('UWS2'!$A$5:$A$455="",0,IF('UWS2'!$A$5:$A$455&gt;'UWS2'!$C$1,0,0.1*0.9^('UWS2'!$C$1-'UWS2'!$A$5:$A$455))),IFERROR(1/('UWS2'!$C$5:$C$455=$B18),0))</f>
        <v>0.18729195364810003</v>
      </c>
      <c r="E18" s="99">
        <v>1</v>
      </c>
      <c r="F18" s="18"/>
      <c r="U18" s="20">
        <v>1</v>
      </c>
      <c r="V18">
        <v>0.8</v>
      </c>
      <c r="W18">
        <v>0.6</v>
      </c>
      <c r="X18">
        <v>0.1</v>
      </c>
      <c r="Y18">
        <v>0.6</v>
      </c>
      <c r="AA18" s="26">
        <f t="shared" si="0"/>
        <v>3262.1</v>
      </c>
      <c r="AB18">
        <f t="shared" si="1"/>
        <v>3.1</v>
      </c>
    </row>
    <row r="19" spans="1:28" x14ac:dyDescent="0.25">
      <c r="A19">
        <v>10</v>
      </c>
      <c r="B19" s="18" t="s">
        <v>40</v>
      </c>
      <c r="C19" s="25">
        <v>1</v>
      </c>
      <c r="D19" s="91" cm="1">
        <f t="array" aca="1" ref="D19" ca="1">0.1+SUMPRODUCT(IF('UWS2'!$A$5:$A$455="",0,IF('UWS2'!$A$5:$A$455&gt;'UWS2'!$C$1,0,0.1*0.9^('UWS2'!$C$1-'UWS2'!$A$5:$A$455))),IFERROR(1/('UWS2'!$C$5:$C$455=$B19),0))</f>
        <v>0.13138105960900004</v>
      </c>
      <c r="E19" s="99">
        <v>1</v>
      </c>
      <c r="F19" s="18"/>
      <c r="K19" s="21">
        <v>0.5</v>
      </c>
      <c r="V19">
        <v>0.3</v>
      </c>
      <c r="W19">
        <v>1</v>
      </c>
      <c r="AA19" s="26">
        <f t="shared" si="0"/>
        <v>1483.7</v>
      </c>
      <c r="AB19">
        <f t="shared" si="1"/>
        <v>1.8</v>
      </c>
    </row>
    <row r="20" spans="1:28" x14ac:dyDescent="0.25">
      <c r="A20">
        <v>11</v>
      </c>
      <c r="B20" s="18" t="s">
        <v>41</v>
      </c>
      <c r="C20" s="25">
        <v>1</v>
      </c>
      <c r="D20" s="91" cm="1">
        <f t="array" aca="1" ref="D20" ca="1">0.1+SUMPRODUCT(IF('UWS2'!$A$5:$A$455="",0,IF('UWS2'!$A$5:$A$455&gt;'UWS2'!$C$1,0,0.1*0.9^('UWS2'!$C$1-'UWS2'!$A$5:$A$455))),IFERROR(1/('UWS2'!$C$5:$C$455=$B20),0))</f>
        <v>0.19348911320946494</v>
      </c>
      <c r="E20" s="99">
        <v>1</v>
      </c>
      <c r="F20" s="18"/>
      <c r="X20">
        <v>1</v>
      </c>
      <c r="AA20" s="26">
        <f t="shared" si="0"/>
        <v>849</v>
      </c>
      <c r="AB20">
        <f t="shared" si="1"/>
        <v>1</v>
      </c>
    </row>
    <row r="21" spans="1:28" x14ac:dyDescent="0.25">
      <c r="A21">
        <v>12</v>
      </c>
      <c r="B21" s="18" t="s">
        <v>42</v>
      </c>
      <c r="C21" s="25">
        <v>1</v>
      </c>
      <c r="D21" s="91" cm="1">
        <f t="array" aca="1" ref="D21" ca="1">0.1+SUMPRODUCT(IF('UWS2'!$A$5:$A$455="",0,IF('UWS2'!$A$5:$A$455&gt;'UWS2'!$C$1,0,0.1*0.9^('UWS2'!$C$1-'UWS2'!$A$5:$A$455))),IFERROR(1/('UWS2'!$C$5:$C$455=$B21),0))</f>
        <v>0.20158911320946493</v>
      </c>
      <c r="E21" s="99">
        <v>1</v>
      </c>
      <c r="F21" s="18"/>
      <c r="V21">
        <v>1</v>
      </c>
      <c r="AA21" s="26">
        <f t="shared" si="0"/>
        <v>724</v>
      </c>
      <c r="AB21">
        <f t="shared" si="1"/>
        <v>1</v>
      </c>
    </row>
    <row r="22" spans="1:28" x14ac:dyDescent="0.25">
      <c r="A22">
        <v>13</v>
      </c>
      <c r="B22" s="18" t="s">
        <v>43</v>
      </c>
      <c r="C22" s="25">
        <v>1.1000000000000001</v>
      </c>
      <c r="D22" s="91" cm="1">
        <f t="array" aca="1" ref="D22" ca="1">0.1+SUMPRODUCT(IF('UWS2'!$A$5:$A$455="",0,IF('UWS2'!$A$5:$A$455&gt;'UWS2'!$C$1,0,0.1*0.9^('UWS2'!$C$1-'UWS2'!$A$5:$A$455))),IFERROR(1/('UWS2'!$C$5:$C$455=$B22),0))</f>
        <v>0.17757920188851845</v>
      </c>
      <c r="E22" s="99">
        <v>1</v>
      </c>
      <c r="F22" s="18"/>
      <c r="H22" s="20">
        <v>1</v>
      </c>
      <c r="I22">
        <v>0.7</v>
      </c>
      <c r="J22">
        <v>0.7</v>
      </c>
      <c r="K22" s="21">
        <v>0.6</v>
      </c>
      <c r="N22" s="21">
        <v>0.6</v>
      </c>
      <c r="O22" s="20">
        <v>0.5</v>
      </c>
      <c r="Q22" s="21">
        <v>0.2</v>
      </c>
      <c r="AA22" s="26">
        <f t="shared" si="0"/>
        <v>616.4</v>
      </c>
      <c r="AB22">
        <f t="shared" si="1"/>
        <v>4.3</v>
      </c>
    </row>
    <row r="23" spans="1:28" x14ac:dyDescent="0.25">
      <c r="A23">
        <v>14</v>
      </c>
      <c r="B23" s="18" t="s">
        <v>142</v>
      </c>
      <c r="C23" s="25">
        <v>1</v>
      </c>
      <c r="D23" s="91" cm="1">
        <f t="array" aca="1" ref="D23" ca="1">0.1+SUMPRODUCT(IF('UWS2'!$A$5:$A$455="",0,IF('UWS2'!$A$5:$A$455&gt;'UWS2'!$C$1,0,0.1*0.9^('UWS2'!$C$1-'UWS2'!$A$5:$A$455))),IFERROR(1/('UWS2'!$C$5:$C$455=$B23),0))</f>
        <v>0.22700777149275495</v>
      </c>
      <c r="E23" s="99">
        <v>1</v>
      </c>
      <c r="F23" s="18"/>
      <c r="H23" s="20">
        <v>1</v>
      </c>
      <c r="I23">
        <v>0.7</v>
      </c>
      <c r="J23">
        <v>0.7</v>
      </c>
      <c r="N23" s="21">
        <v>0.6</v>
      </c>
      <c r="O23" s="20">
        <v>0.6</v>
      </c>
      <c r="Q23" s="21">
        <v>0.1</v>
      </c>
      <c r="AA23" s="26">
        <f t="shared" si="0"/>
        <v>545.20000000000005</v>
      </c>
      <c r="AB23">
        <f t="shared" si="1"/>
        <v>3.7</v>
      </c>
    </row>
    <row r="24" spans="1:28" x14ac:dyDescent="0.25">
      <c r="A24">
        <v>15</v>
      </c>
      <c r="B24" s="18" t="s">
        <v>44</v>
      </c>
      <c r="C24" s="25">
        <v>1.1000000000000001</v>
      </c>
      <c r="D24" s="91" cm="1">
        <f t="array" aca="1" ref="D24" ca="1">0.1+SUMPRODUCT(IF('UWS2'!$A$5:$A$455="",0,IF('UWS2'!$A$5:$A$455&gt;'UWS2'!$C$1,0,0.1*0.9^('UWS2'!$C$1-'UWS2'!$A$5:$A$455))),IFERROR(1/('UWS2'!$C$5:$C$455=$B24),0))</f>
        <v>0.19831865828329004</v>
      </c>
      <c r="E24" s="99">
        <v>1</v>
      </c>
      <c r="F24" s="18"/>
      <c r="H24" s="20">
        <v>1</v>
      </c>
      <c r="I24">
        <v>0.5</v>
      </c>
      <c r="J24">
        <v>0.5</v>
      </c>
      <c r="N24" s="21">
        <v>0.5</v>
      </c>
      <c r="O24" s="20">
        <v>0.9</v>
      </c>
      <c r="Q24" s="21">
        <v>0.4</v>
      </c>
      <c r="AA24" s="26">
        <f t="shared" si="0"/>
        <v>535.1</v>
      </c>
      <c r="AB24">
        <f t="shared" si="1"/>
        <v>3.8</v>
      </c>
    </row>
    <row r="25" spans="1:28" x14ac:dyDescent="0.25">
      <c r="A25">
        <v>16</v>
      </c>
      <c r="B25" s="18" t="s">
        <v>45</v>
      </c>
      <c r="C25" s="25">
        <v>1</v>
      </c>
      <c r="D25" s="91" cm="1">
        <f t="array" aca="1" ref="D25" ca="1">0.1+SUMPRODUCT(IF('UWS2'!$A$5:$A$455="",0,IF('UWS2'!$A$5:$A$455&gt;'UWS2'!$C$1,0,0.1*0.9^('UWS2'!$C$1-'UWS2'!$A$5:$A$455))),IFERROR(1/('UWS2'!$C$5:$C$455=$B25),0))</f>
        <v>0.1</v>
      </c>
      <c r="E25" s="99">
        <v>1</v>
      </c>
      <c r="F25" s="18"/>
      <c r="H25" s="20">
        <v>1</v>
      </c>
      <c r="I25">
        <v>0.6</v>
      </c>
      <c r="J25">
        <v>0.6</v>
      </c>
      <c r="N25" s="21">
        <v>0.4</v>
      </c>
      <c r="O25" s="20">
        <v>0.7</v>
      </c>
      <c r="Q25" s="21">
        <v>0.5</v>
      </c>
      <c r="AA25" s="26">
        <f t="shared" si="0"/>
        <v>544.20000000000005</v>
      </c>
      <c r="AB25">
        <f t="shared" si="1"/>
        <v>3.8</v>
      </c>
    </row>
    <row r="26" spans="1:28" x14ac:dyDescent="0.25">
      <c r="A26">
        <v>17</v>
      </c>
      <c r="B26" t="s">
        <v>46</v>
      </c>
      <c r="C26" s="25">
        <v>1.1000000000000001</v>
      </c>
      <c r="D26" s="91" cm="1">
        <f t="array" aca="1" ref="D26" ca="1">0.1+SUMPRODUCT(IF('UWS2'!$A$5:$A$455="",0,IF('UWS2'!$A$5:$A$455&gt;'UWS2'!$C$1,0,0.1*0.9^('UWS2'!$C$1-'UWS2'!$A$5:$A$455))),IFERROR(1/('UWS2'!$C$5:$C$455=$B26),0))</f>
        <v>0.2</v>
      </c>
      <c r="E26" s="99">
        <v>1</v>
      </c>
      <c r="H26" s="20">
        <v>1</v>
      </c>
      <c r="I26">
        <v>0.4</v>
      </c>
      <c r="J26">
        <v>0.4</v>
      </c>
      <c r="N26" s="21">
        <v>0.5</v>
      </c>
      <c r="O26" s="20">
        <v>0.7</v>
      </c>
      <c r="Q26" s="21">
        <v>0.5</v>
      </c>
      <c r="AA26" s="26">
        <f t="shared" si="0"/>
        <v>489.7</v>
      </c>
      <c r="AB26">
        <f t="shared" si="1"/>
        <v>3.5</v>
      </c>
    </row>
    <row r="27" spans="1:28" x14ac:dyDescent="0.25">
      <c r="A27">
        <v>18</v>
      </c>
      <c r="B27" s="18" t="s">
        <v>47</v>
      </c>
      <c r="C27" s="25">
        <v>1</v>
      </c>
      <c r="D27" s="91" cm="1">
        <f t="array" aca="1" ref="D27" ca="1">0.1+SUMPRODUCT(IF('UWS2'!$A$5:$A$455="",0,IF('UWS2'!$A$5:$A$455&gt;'UWS2'!$C$1,0,0.1*0.9^('UWS2'!$C$1-'UWS2'!$A$5:$A$455))),IFERROR(1/('UWS2'!$C$5:$C$455=$B27),0))</f>
        <v>0.13486784401000002</v>
      </c>
      <c r="E27" s="99">
        <v>1</v>
      </c>
      <c r="F27" s="18"/>
      <c r="G27" s="19">
        <v>1</v>
      </c>
      <c r="M27">
        <v>0.7</v>
      </c>
      <c r="P27">
        <v>0.7</v>
      </c>
      <c r="Q27" s="21">
        <v>0.1</v>
      </c>
      <c r="R27" s="28"/>
      <c r="AA27" s="26">
        <f t="shared" si="0"/>
        <v>497.9</v>
      </c>
      <c r="AB27">
        <f t="shared" si="1"/>
        <v>2.5</v>
      </c>
    </row>
    <row r="28" spans="1:28" x14ac:dyDescent="0.25">
      <c r="A28">
        <v>19</v>
      </c>
      <c r="B28" s="18" t="s">
        <v>48</v>
      </c>
      <c r="C28" s="25">
        <v>1.1000000000000001</v>
      </c>
      <c r="D28" s="91" cm="1">
        <f t="array" aca="1" ref="D28" ca="1">0.1+SUMPRODUCT(IF('UWS2'!$A$5:$A$455="",0,IF('UWS2'!$A$5:$A$455&gt;'UWS2'!$C$1,0,0.1*0.9^('UWS2'!$C$1-'UWS2'!$A$5:$A$455))),IFERROR(1/('UWS2'!$C$5:$C$455=$B28),0))</f>
        <v>0.24042812181298995</v>
      </c>
      <c r="E28" s="99">
        <v>1</v>
      </c>
      <c r="F28" s="18"/>
      <c r="G28" s="19">
        <v>1</v>
      </c>
      <c r="M28">
        <v>0.6</v>
      </c>
      <c r="P28">
        <v>0.7</v>
      </c>
      <c r="AA28" s="26">
        <f t="shared" si="0"/>
        <v>482.29999999999995</v>
      </c>
      <c r="AB28">
        <f t="shared" si="1"/>
        <v>2.2999999999999998</v>
      </c>
    </row>
    <row r="29" spans="1:28" x14ac:dyDescent="0.25">
      <c r="A29">
        <v>20</v>
      </c>
      <c r="B29" s="18" t="s">
        <v>49</v>
      </c>
      <c r="C29" s="25">
        <v>1.1000000000000001</v>
      </c>
      <c r="D29" s="91" cm="1">
        <f t="array" aca="1" ref="D29" ca="1">0.1+SUMPRODUCT(IF('UWS2'!$A$5:$A$455="",0,IF('UWS2'!$A$5:$A$455&gt;'UWS2'!$C$1,0,0.1*0.9^('UWS2'!$C$1-'UWS2'!$A$5:$A$455))),IFERROR(1/('UWS2'!$C$5:$C$455=$B29),0))</f>
        <v>0.14042812181298994</v>
      </c>
      <c r="E29" s="99">
        <v>1</v>
      </c>
      <c r="F29" s="18"/>
      <c r="I29">
        <v>0.3</v>
      </c>
      <c r="L29" s="20">
        <v>0.7</v>
      </c>
      <c r="M29">
        <v>1</v>
      </c>
      <c r="AA29" s="26">
        <f t="shared" si="0"/>
        <v>374</v>
      </c>
      <c r="AB29">
        <f t="shared" si="1"/>
        <v>2</v>
      </c>
    </row>
    <row r="30" spans="1:28" x14ac:dyDescent="0.25">
      <c r="A30">
        <v>21</v>
      </c>
      <c r="B30" s="18" t="s">
        <v>50</v>
      </c>
      <c r="C30" s="25">
        <v>1</v>
      </c>
      <c r="D30" s="91" cm="1">
        <f t="array" aca="1" ref="D30" ca="1">0.1+SUMPRODUCT(IF('UWS2'!$A$5:$A$455="",0,IF('UWS2'!$A$5:$A$455&gt;'UWS2'!$C$1,0,0.1*0.9^('UWS2'!$C$1-'UWS2'!$A$5:$A$455))),IFERROR(1/('UWS2'!$C$5:$C$455=$B30),0))</f>
        <v>0.14304672100000002</v>
      </c>
      <c r="E30" s="99">
        <v>1</v>
      </c>
      <c r="F30" s="18"/>
      <c r="I30">
        <v>0.6</v>
      </c>
      <c r="J30">
        <v>0.6</v>
      </c>
      <c r="L30" s="20">
        <v>0.4</v>
      </c>
      <c r="N30" s="21">
        <v>1</v>
      </c>
      <c r="O30" s="20">
        <v>0.3</v>
      </c>
      <c r="Q30" s="21">
        <v>0.1</v>
      </c>
      <c r="AA30" s="26">
        <f t="shared" si="0"/>
        <v>376.8</v>
      </c>
      <c r="AB30">
        <f t="shared" si="1"/>
        <v>3</v>
      </c>
    </row>
    <row r="31" spans="1:28" x14ac:dyDescent="0.25">
      <c r="A31">
        <v>22</v>
      </c>
      <c r="B31" s="18" t="s">
        <v>51</v>
      </c>
      <c r="C31" s="25">
        <v>1</v>
      </c>
      <c r="D31" s="91" cm="1">
        <f t="array" aca="1" ref="D31" ca="1">0.1+SUMPRODUCT(IF('UWS2'!$A$5:$A$455="",0,IF('UWS2'!$A$5:$A$455&gt;'UWS2'!$C$1,0,0.1*0.9^('UWS2'!$C$1-'UWS2'!$A$5:$A$455))),IFERROR(1/('UWS2'!$C$5:$C$455=$B31),0))</f>
        <v>0.23138105960900004</v>
      </c>
      <c r="E31" s="99">
        <v>1</v>
      </c>
      <c r="F31" s="18"/>
      <c r="L31" s="20">
        <v>1</v>
      </c>
      <c r="AA31" s="26">
        <f t="shared" si="0"/>
        <v>307</v>
      </c>
      <c r="AB31">
        <f t="shared" si="1"/>
        <v>1</v>
      </c>
    </row>
    <row r="32" spans="1:28" x14ac:dyDescent="0.25">
      <c r="A32">
        <v>23</v>
      </c>
      <c r="B32" s="18" t="s">
        <v>52</v>
      </c>
      <c r="C32" s="25">
        <v>1</v>
      </c>
      <c r="D32" s="91" cm="1">
        <f t="array" aca="1" ref="D32" ca="1">0.1+SUMPRODUCT(IF('UWS2'!$A$5:$A$455="",0,IF('UWS2'!$A$5:$A$455&gt;'UWS2'!$C$1,0,0.1*0.9^('UWS2'!$C$1-'UWS2'!$A$5:$A$455))),IFERROR(1/('UWS2'!$C$5:$C$455=$B32),0))</f>
        <v>0.17405846352969995</v>
      </c>
      <c r="E32" s="99">
        <v>1</v>
      </c>
      <c r="F32" s="18"/>
      <c r="G32" s="19">
        <v>1</v>
      </c>
      <c r="AA32" s="26">
        <f t="shared" si="0"/>
        <v>260</v>
      </c>
      <c r="AB32">
        <f t="shared" si="1"/>
        <v>1</v>
      </c>
    </row>
    <row r="33" spans="1:28" x14ac:dyDescent="0.25">
      <c r="A33">
        <v>24</v>
      </c>
      <c r="B33" s="18" t="s">
        <v>53</v>
      </c>
      <c r="C33" s="25">
        <v>1</v>
      </c>
      <c r="D33" s="91" cm="1">
        <f t="array" aca="1" ref="D33" ca="1">0.1+SUMPRODUCT(IF('UWS2'!$A$5:$A$455="",0,IF('UWS2'!$A$5:$A$455&gt;'UWS2'!$C$1,0,0.1*0.9^('UWS2'!$C$1-'UWS2'!$A$5:$A$455))),IFERROR(1/('UWS2'!$C$5:$C$455=$B33),0))</f>
        <v>0.14304672100000002</v>
      </c>
      <c r="E33" s="99">
        <v>1</v>
      </c>
      <c r="F33" s="18"/>
      <c r="P33">
        <v>1</v>
      </c>
      <c r="Q33" s="21">
        <v>0.3</v>
      </c>
      <c r="AA33" s="26">
        <f t="shared" si="0"/>
        <v>255.6</v>
      </c>
      <c r="AB33">
        <f t="shared" si="1"/>
        <v>1.3</v>
      </c>
    </row>
    <row r="34" spans="1:28" x14ac:dyDescent="0.25">
      <c r="A34">
        <v>25</v>
      </c>
      <c r="B34" s="18" t="s">
        <v>54</v>
      </c>
      <c r="C34" s="25">
        <v>1</v>
      </c>
      <c r="D34" s="91" cm="1">
        <f t="array" aca="1" ref="D34" ca="1">0.1+SUMPRODUCT(IF('UWS2'!$A$5:$A$455="",0,IF('UWS2'!$A$5:$A$455&gt;'UWS2'!$C$1,0,0.1*0.9^('UWS2'!$C$1-'UWS2'!$A$5:$A$455))),IFERROR(1/('UWS2'!$C$5:$C$455=$B34),0))</f>
        <v>0.13138105960900004</v>
      </c>
      <c r="E34" s="99">
        <v>1</v>
      </c>
      <c r="F34" s="18"/>
      <c r="I34">
        <v>0.7</v>
      </c>
      <c r="J34">
        <v>0.7</v>
      </c>
      <c r="N34" s="21">
        <v>1</v>
      </c>
      <c r="AA34" s="26">
        <f t="shared" si="0"/>
        <v>243.39999999999998</v>
      </c>
      <c r="AB34">
        <f t="shared" si="1"/>
        <v>2.4</v>
      </c>
    </row>
    <row r="35" spans="1:28" x14ac:dyDescent="0.25">
      <c r="A35">
        <v>26</v>
      </c>
      <c r="B35" s="18" t="s">
        <v>55</v>
      </c>
      <c r="C35" s="25">
        <v>1</v>
      </c>
      <c r="D35" s="91" cm="1">
        <f t="array" aca="1" ref="D35" ca="1">0.1+SUMPRODUCT(IF('UWS2'!$A$5:$A$455="",0,IF('UWS2'!$A$5:$A$455&gt;'UWS2'!$C$1,0,0.1*0.9^('UWS2'!$C$1-'UWS2'!$A$5:$A$455))),IFERROR(1/('UWS2'!$C$5:$C$455=$B35),0))</f>
        <v>0.13486784401000002</v>
      </c>
      <c r="E35" s="99">
        <v>1</v>
      </c>
      <c r="F35" s="18"/>
      <c r="I35">
        <v>1</v>
      </c>
      <c r="Q35" s="21">
        <v>0.7</v>
      </c>
      <c r="AA35" s="26">
        <f t="shared" si="0"/>
        <v>260.39999999999998</v>
      </c>
      <c r="AB35">
        <f t="shared" si="1"/>
        <v>1.7</v>
      </c>
    </row>
    <row r="36" spans="1:28" x14ac:dyDescent="0.25">
      <c r="A36">
        <v>27</v>
      </c>
      <c r="B36" s="18" t="s">
        <v>83</v>
      </c>
      <c r="C36" s="25">
        <v>1</v>
      </c>
      <c r="D36" s="91" cm="1">
        <f t="array" aca="1" ref="D36" ca="1">0.1+SUMPRODUCT(IF('UWS2'!$A$5:$A$455="",0,IF('UWS2'!$A$5:$A$455&gt;'UWS2'!$C$1,0,0.1*0.9^('UWS2'!$C$1-'UWS2'!$A$5:$A$455))),IFERROR(1/('UWS2'!$C$5:$C$455=$B36),0))</f>
        <v>0.18790946352969995</v>
      </c>
      <c r="E36" s="99">
        <v>1</v>
      </c>
      <c r="F36" s="18"/>
      <c r="Y36">
        <v>1</v>
      </c>
      <c r="AA36" s="26">
        <f t="shared" si="0"/>
        <v>142</v>
      </c>
      <c r="AB36">
        <f t="shared" si="1"/>
        <v>1</v>
      </c>
    </row>
    <row r="37" spans="1:28" x14ac:dyDescent="0.25">
      <c r="A37">
        <v>28</v>
      </c>
      <c r="B37" s="18" t="s">
        <v>56</v>
      </c>
      <c r="C37" s="25">
        <v>1</v>
      </c>
      <c r="D37" s="91" cm="1">
        <f t="array" aca="1" ref="D37" ca="1">0.1+SUMPRODUCT(IF('UWS2'!$A$5:$A$455="",0,IF('UWS2'!$A$5:$A$455&gt;'UWS2'!$C$1,0,0.1*0.9^('UWS2'!$C$1-'UWS2'!$A$5:$A$455))),IFERROR(1/('UWS2'!$C$5:$C$455=$B37),0))</f>
        <v>0.14837636118672995</v>
      </c>
      <c r="E37" s="99">
        <v>1</v>
      </c>
      <c r="F37" s="18"/>
      <c r="O37" s="20">
        <v>1</v>
      </c>
      <c r="Q37" s="21">
        <v>0.3</v>
      </c>
      <c r="AA37" s="26">
        <f t="shared" si="0"/>
        <v>130.6</v>
      </c>
      <c r="AB37">
        <f t="shared" si="1"/>
        <v>1.3</v>
      </c>
    </row>
    <row r="38" spans="1:28" x14ac:dyDescent="0.25">
      <c r="A38">
        <v>29</v>
      </c>
      <c r="B38" s="18" t="s">
        <v>57</v>
      </c>
      <c r="C38" s="25">
        <v>1</v>
      </c>
      <c r="D38" s="91" cm="1">
        <f t="array" aca="1" ref="D38" ca="1">0.1+SUMPRODUCT(IF('UWS2'!$A$5:$A$455="",0,IF('UWS2'!$A$5:$A$455&gt;'UWS2'!$C$1,0,0.1*0.9^('UWS2'!$C$1-'UWS2'!$A$5:$A$455))),IFERROR(1/('UWS2'!$C$5:$C$455=$B38),0))</f>
        <v>0.20924295364810003</v>
      </c>
      <c r="E38" s="99">
        <v>1</v>
      </c>
      <c r="F38" s="18"/>
      <c r="R38" s="20">
        <v>1</v>
      </c>
      <c r="S38">
        <v>0.7</v>
      </c>
      <c r="T38" s="21">
        <v>0.3</v>
      </c>
      <c r="AA38" s="26">
        <f t="shared" si="0"/>
        <v>99.5</v>
      </c>
      <c r="AB38">
        <f t="shared" si="1"/>
        <v>2</v>
      </c>
    </row>
    <row r="39" spans="1:28" x14ac:dyDescent="0.25">
      <c r="A39">
        <v>30</v>
      </c>
      <c r="B39" s="18" t="s">
        <v>58</v>
      </c>
      <c r="C39" s="25">
        <v>1</v>
      </c>
      <c r="D39" s="91" cm="1">
        <f t="array" aca="1" ref="D39" ca="1">0.1+SUMPRODUCT(IF('UWS2'!$A$5:$A$455="",0,IF('UWS2'!$A$5:$A$455&gt;'UWS2'!$C$1,0,0.1*0.9^('UWS2'!$C$1-'UWS2'!$A$5:$A$455))),IFERROR(1/('UWS2'!$C$5:$C$455=$B39),0))</f>
        <v>0.13203871906524836</v>
      </c>
      <c r="E39" s="99">
        <v>1</v>
      </c>
      <c r="F39" s="18"/>
      <c r="Q39" s="21">
        <v>0.5</v>
      </c>
      <c r="R39" s="20">
        <v>0.8</v>
      </c>
      <c r="S39">
        <v>0.7</v>
      </c>
      <c r="T39" s="21">
        <v>0.5</v>
      </c>
      <c r="AA39" s="26">
        <f t="shared" si="0"/>
        <v>130.5</v>
      </c>
      <c r="AB39">
        <f t="shared" si="1"/>
        <v>2.5</v>
      </c>
    </row>
    <row r="40" spans="1:28" x14ac:dyDescent="0.25">
      <c r="A40">
        <v>31</v>
      </c>
      <c r="B40" s="18" t="s">
        <v>59</v>
      </c>
      <c r="C40" s="25">
        <v>1</v>
      </c>
      <c r="D40" s="91" cm="1">
        <f t="array" aca="1" ref="D40" ca="1">0.1+SUMPRODUCT(IF('UWS2'!$A$5:$A$455="",0,IF('UWS2'!$A$5:$A$455&gt;'UWS2'!$C$1,0,0.1*0.9^('UWS2'!$C$1-'UWS2'!$A$5:$A$455))),IFERROR(1/('UWS2'!$C$5:$C$455=$B40),0))</f>
        <v>0.17255751717672996</v>
      </c>
      <c r="E40" s="99">
        <v>1</v>
      </c>
      <c r="F40" s="18"/>
      <c r="T40" s="21">
        <v>1</v>
      </c>
      <c r="AA40" s="26">
        <f t="shared" si="0"/>
        <v>55</v>
      </c>
      <c r="AB40">
        <f t="shared" si="1"/>
        <v>1</v>
      </c>
    </row>
    <row r="41" spans="1:28" x14ac:dyDescent="0.25">
      <c r="A41">
        <v>32</v>
      </c>
      <c r="B41" s="18" t="s">
        <v>76</v>
      </c>
      <c r="C41" s="25">
        <v>0.9</v>
      </c>
      <c r="D41" s="91" cm="1">
        <f t="array" aca="1" ref="D41" ca="1">0.1+SUMPRODUCT(IF('UWS2'!$A$5:$A$455="",0,IF('UWS2'!$A$5:$A$455&gt;'UWS2'!$C$1,0,0.1*0.9^('UWS2'!$C$1-'UWS2'!$A$5:$A$455))),IFERROR(1/('UWS2'!$C$5:$C$455=$B41),0))</f>
        <v>0.11853020188851843</v>
      </c>
      <c r="E41" s="99">
        <v>1</v>
      </c>
      <c r="F41" s="18"/>
      <c r="U41" s="20">
        <v>1</v>
      </c>
      <c r="AA41" s="26">
        <f>INDEX($AA$45:$AA$76,MATCH($B41,$B$45:$B$76,0))</f>
        <v>1791</v>
      </c>
      <c r="AB41">
        <f t="shared" ref="AB41" si="2">SUM(G41:Z41)</f>
        <v>1</v>
      </c>
    </row>
    <row r="42" spans="1:28" x14ac:dyDescent="0.25">
      <c r="B42" s="18"/>
      <c r="C42" s="18"/>
      <c r="D42" s="18"/>
      <c r="E42" s="18"/>
      <c r="F42" s="18"/>
    </row>
    <row r="43" spans="1:28" x14ac:dyDescent="0.25">
      <c r="B43" s="22" t="s">
        <v>60</v>
      </c>
      <c r="C43" s="23"/>
      <c r="D43" s="23"/>
      <c r="E43" s="23"/>
      <c r="F43" s="23"/>
    </row>
    <row r="44" spans="1:28" x14ac:dyDescent="0.25">
      <c r="B44" s="23"/>
      <c r="C44" s="23"/>
      <c r="D44" s="23"/>
      <c r="E44" s="23"/>
      <c r="F44" s="23"/>
    </row>
    <row r="45" spans="1:28" x14ac:dyDescent="0.25">
      <c r="B45" s="24" t="s">
        <v>31</v>
      </c>
      <c r="C45" s="18"/>
      <c r="D45" s="18"/>
      <c r="E45" s="18"/>
      <c r="F45" s="18"/>
      <c r="G45" s="29">
        <f t="shared" ref="G45:P54" si="3">G$4*INDEX(G$10:G$43,MATCH($B45,$B$10:$B$43,0))</f>
        <v>0</v>
      </c>
      <c r="H45" s="30">
        <f t="shared" si="3"/>
        <v>244</v>
      </c>
      <c r="I45" s="31">
        <f t="shared" si="3"/>
        <v>173.60000000000002</v>
      </c>
      <c r="J45" s="31">
        <f t="shared" si="3"/>
        <v>60</v>
      </c>
      <c r="K45" s="32">
        <f t="shared" si="3"/>
        <v>88.899999999999991</v>
      </c>
      <c r="L45" s="30">
        <f t="shared" si="3"/>
        <v>184.2</v>
      </c>
      <c r="M45" s="31">
        <f t="shared" si="3"/>
        <v>0</v>
      </c>
      <c r="N45" s="32">
        <f t="shared" si="3"/>
        <v>23.4</v>
      </c>
      <c r="O45" s="30">
        <f t="shared" si="3"/>
        <v>44.800000000000004</v>
      </c>
      <c r="P45" s="31">
        <f t="shared" si="3"/>
        <v>0</v>
      </c>
      <c r="Q45" s="32">
        <f t="shared" ref="Q45:Z54" si="4">Q$4*INDEX(Q$10:Q$43,MATCH($B45,$B$10:$B$43,0))</f>
        <v>0</v>
      </c>
      <c r="R45" s="30">
        <f t="shared" si="4"/>
        <v>0</v>
      </c>
      <c r="S45" s="31">
        <f t="shared" si="4"/>
        <v>0</v>
      </c>
      <c r="T45" s="32">
        <f t="shared" si="4"/>
        <v>0</v>
      </c>
      <c r="U45" s="30">
        <f t="shared" si="4"/>
        <v>1791</v>
      </c>
      <c r="V45" s="31">
        <f t="shared" si="4"/>
        <v>506.79999999999995</v>
      </c>
      <c r="W45" s="31">
        <f t="shared" si="4"/>
        <v>842.09999999999991</v>
      </c>
      <c r="X45" s="31">
        <f t="shared" si="4"/>
        <v>254.7</v>
      </c>
      <c r="Y45" s="31">
        <f t="shared" si="4"/>
        <v>42.6</v>
      </c>
      <c r="Z45" s="32">
        <f t="shared" si="4"/>
        <v>14.1</v>
      </c>
      <c r="AA45" s="33">
        <f t="shared" ref="AA45:AA75" si="5">SUM(G45:Z45)</f>
        <v>4270.2000000000007</v>
      </c>
    </row>
    <row r="46" spans="1:28" x14ac:dyDescent="0.25">
      <c r="B46" s="24" t="s">
        <v>32</v>
      </c>
      <c r="C46" s="18"/>
      <c r="D46" s="18"/>
      <c r="E46" s="18"/>
      <c r="F46" s="18"/>
      <c r="G46" s="29">
        <f t="shared" si="3"/>
        <v>0</v>
      </c>
      <c r="H46" s="30">
        <f t="shared" si="3"/>
        <v>0</v>
      </c>
      <c r="I46" s="31">
        <f t="shared" si="3"/>
        <v>0</v>
      </c>
      <c r="J46" s="31">
        <f t="shared" si="3"/>
        <v>0</v>
      </c>
      <c r="K46" s="32">
        <f t="shared" si="3"/>
        <v>0</v>
      </c>
      <c r="L46" s="30">
        <f t="shared" si="3"/>
        <v>0</v>
      </c>
      <c r="M46" s="31">
        <f t="shared" si="3"/>
        <v>0</v>
      </c>
      <c r="N46" s="32">
        <f t="shared" si="3"/>
        <v>0</v>
      </c>
      <c r="O46" s="30">
        <f t="shared" si="3"/>
        <v>0</v>
      </c>
      <c r="P46" s="31">
        <f t="shared" si="3"/>
        <v>0</v>
      </c>
      <c r="Q46" s="32">
        <f t="shared" si="4"/>
        <v>0</v>
      </c>
      <c r="R46" s="30">
        <f t="shared" si="4"/>
        <v>0</v>
      </c>
      <c r="S46" s="31">
        <f t="shared" si="4"/>
        <v>8</v>
      </c>
      <c r="T46" s="32">
        <f t="shared" si="4"/>
        <v>0</v>
      </c>
      <c r="U46" s="30">
        <f t="shared" si="4"/>
        <v>1791</v>
      </c>
      <c r="V46" s="31">
        <f t="shared" si="4"/>
        <v>724</v>
      </c>
      <c r="W46" s="31">
        <f t="shared" si="4"/>
        <v>721.8</v>
      </c>
      <c r="X46" s="31">
        <f t="shared" si="4"/>
        <v>849</v>
      </c>
      <c r="Y46" s="31">
        <f t="shared" si="4"/>
        <v>0</v>
      </c>
      <c r="Z46" s="32">
        <f t="shared" si="4"/>
        <v>28.2</v>
      </c>
      <c r="AA46" s="33">
        <f t="shared" si="5"/>
        <v>4122</v>
      </c>
    </row>
    <row r="47" spans="1:28" x14ac:dyDescent="0.25">
      <c r="B47" s="24" t="s">
        <v>33</v>
      </c>
      <c r="C47" s="18"/>
      <c r="D47" s="18"/>
      <c r="E47" s="18"/>
      <c r="F47" s="18"/>
      <c r="G47" s="29">
        <f t="shared" si="3"/>
        <v>0</v>
      </c>
      <c r="H47" s="30">
        <f t="shared" si="3"/>
        <v>0</v>
      </c>
      <c r="I47" s="31">
        <f t="shared" si="3"/>
        <v>0</v>
      </c>
      <c r="J47" s="31">
        <f t="shared" si="3"/>
        <v>0</v>
      </c>
      <c r="K47" s="32">
        <f t="shared" si="3"/>
        <v>0</v>
      </c>
      <c r="L47" s="30">
        <f t="shared" si="3"/>
        <v>0</v>
      </c>
      <c r="M47" s="31">
        <f t="shared" si="3"/>
        <v>0</v>
      </c>
      <c r="N47" s="32">
        <f t="shared" si="3"/>
        <v>0</v>
      </c>
      <c r="O47" s="30">
        <f t="shared" si="3"/>
        <v>0</v>
      </c>
      <c r="P47" s="31">
        <f t="shared" si="3"/>
        <v>0</v>
      </c>
      <c r="Q47" s="32">
        <f t="shared" si="4"/>
        <v>0</v>
      </c>
      <c r="R47" s="30">
        <f t="shared" si="4"/>
        <v>0</v>
      </c>
      <c r="S47" s="31">
        <f t="shared" si="4"/>
        <v>0</v>
      </c>
      <c r="T47" s="32">
        <f t="shared" si="4"/>
        <v>0</v>
      </c>
      <c r="U47" s="30">
        <f t="shared" si="4"/>
        <v>1791</v>
      </c>
      <c r="V47" s="31">
        <f t="shared" si="4"/>
        <v>434.4</v>
      </c>
      <c r="W47" s="31">
        <f t="shared" si="4"/>
        <v>962.40000000000009</v>
      </c>
      <c r="X47" s="31">
        <f t="shared" si="4"/>
        <v>849</v>
      </c>
      <c r="Y47" s="31">
        <f t="shared" si="4"/>
        <v>0</v>
      </c>
      <c r="Z47" s="32">
        <f t="shared" si="4"/>
        <v>0</v>
      </c>
      <c r="AA47" s="33">
        <f t="shared" si="5"/>
        <v>4036.8</v>
      </c>
    </row>
    <row r="48" spans="1:28" x14ac:dyDescent="0.25">
      <c r="B48" s="24" t="s">
        <v>34</v>
      </c>
      <c r="C48" s="18"/>
      <c r="D48" s="18"/>
      <c r="E48" s="18"/>
      <c r="F48" s="18"/>
      <c r="G48" s="29">
        <f t="shared" si="3"/>
        <v>0</v>
      </c>
      <c r="H48" s="30">
        <f t="shared" si="3"/>
        <v>0</v>
      </c>
      <c r="I48" s="31">
        <f t="shared" si="3"/>
        <v>0</v>
      </c>
      <c r="J48" s="31">
        <f t="shared" si="3"/>
        <v>0</v>
      </c>
      <c r="K48" s="32">
        <f t="shared" si="3"/>
        <v>0</v>
      </c>
      <c r="L48" s="30">
        <f t="shared" si="3"/>
        <v>0</v>
      </c>
      <c r="M48" s="31">
        <f t="shared" si="3"/>
        <v>0</v>
      </c>
      <c r="N48" s="32">
        <f t="shared" si="3"/>
        <v>0</v>
      </c>
      <c r="O48" s="30">
        <f t="shared" si="3"/>
        <v>0</v>
      </c>
      <c r="P48" s="31">
        <f t="shared" si="3"/>
        <v>0</v>
      </c>
      <c r="Q48" s="32">
        <f t="shared" si="4"/>
        <v>0</v>
      </c>
      <c r="R48" s="30">
        <f t="shared" si="4"/>
        <v>22</v>
      </c>
      <c r="S48" s="31">
        <f t="shared" si="4"/>
        <v>16</v>
      </c>
      <c r="T48" s="32">
        <f t="shared" si="4"/>
        <v>22</v>
      </c>
      <c r="U48" s="30">
        <f t="shared" si="4"/>
        <v>1791</v>
      </c>
      <c r="V48" s="31">
        <f t="shared" si="4"/>
        <v>579.20000000000005</v>
      </c>
      <c r="W48" s="31">
        <f t="shared" si="4"/>
        <v>721.8</v>
      </c>
      <c r="X48" s="31">
        <f t="shared" si="4"/>
        <v>849</v>
      </c>
      <c r="Y48" s="31">
        <f t="shared" si="4"/>
        <v>0</v>
      </c>
      <c r="Z48" s="32">
        <f t="shared" si="4"/>
        <v>0</v>
      </c>
      <c r="AA48" s="33">
        <f t="shared" si="5"/>
        <v>4001</v>
      </c>
    </row>
    <row r="49" spans="2:27" x14ac:dyDescent="0.25">
      <c r="B49" s="24" t="s">
        <v>35</v>
      </c>
      <c r="C49" s="18"/>
      <c r="D49" s="18"/>
      <c r="E49" s="18"/>
      <c r="F49" s="18"/>
      <c r="G49" s="29">
        <f t="shared" si="3"/>
        <v>0</v>
      </c>
      <c r="H49" s="30">
        <f t="shared" si="3"/>
        <v>0</v>
      </c>
      <c r="I49" s="31">
        <f t="shared" si="3"/>
        <v>0</v>
      </c>
      <c r="J49" s="31">
        <f t="shared" si="3"/>
        <v>0</v>
      </c>
      <c r="K49" s="32">
        <f t="shared" si="3"/>
        <v>0</v>
      </c>
      <c r="L49" s="30">
        <f t="shared" si="3"/>
        <v>0</v>
      </c>
      <c r="M49" s="31">
        <f t="shared" si="3"/>
        <v>0</v>
      </c>
      <c r="N49" s="32">
        <f t="shared" si="3"/>
        <v>0</v>
      </c>
      <c r="O49" s="30">
        <f t="shared" si="3"/>
        <v>0</v>
      </c>
      <c r="P49" s="31">
        <f t="shared" si="3"/>
        <v>0</v>
      </c>
      <c r="Q49" s="32">
        <f t="shared" si="4"/>
        <v>0</v>
      </c>
      <c r="R49" s="30">
        <f t="shared" si="4"/>
        <v>0</v>
      </c>
      <c r="S49" s="31">
        <f t="shared" si="4"/>
        <v>0</v>
      </c>
      <c r="T49" s="32">
        <f t="shared" si="4"/>
        <v>27.5</v>
      </c>
      <c r="U49" s="30">
        <f t="shared" si="4"/>
        <v>1791</v>
      </c>
      <c r="V49" s="31">
        <f t="shared" si="4"/>
        <v>362</v>
      </c>
      <c r="W49" s="31">
        <f t="shared" si="4"/>
        <v>601.5</v>
      </c>
      <c r="X49" s="31">
        <f t="shared" si="4"/>
        <v>849</v>
      </c>
      <c r="Y49" s="31">
        <f t="shared" si="4"/>
        <v>71</v>
      </c>
      <c r="Z49" s="32">
        <f t="shared" si="4"/>
        <v>23.5</v>
      </c>
      <c r="AA49" s="33">
        <f t="shared" si="5"/>
        <v>3725.5</v>
      </c>
    </row>
    <row r="50" spans="2:27" x14ac:dyDescent="0.25">
      <c r="B50" s="18" t="s">
        <v>36</v>
      </c>
      <c r="C50" s="18"/>
      <c r="D50" s="18"/>
      <c r="E50" s="18"/>
      <c r="F50" s="18"/>
      <c r="G50" s="29">
        <f t="shared" si="3"/>
        <v>0</v>
      </c>
      <c r="H50" s="30">
        <f t="shared" si="3"/>
        <v>0</v>
      </c>
      <c r="I50" s="31">
        <f t="shared" si="3"/>
        <v>0</v>
      </c>
      <c r="J50" s="31">
        <f t="shared" si="3"/>
        <v>0</v>
      </c>
      <c r="K50" s="32">
        <f t="shared" si="3"/>
        <v>127</v>
      </c>
      <c r="L50" s="30">
        <f t="shared" si="3"/>
        <v>0</v>
      </c>
      <c r="M50" s="31">
        <f t="shared" si="3"/>
        <v>0</v>
      </c>
      <c r="N50" s="32">
        <f t="shared" si="3"/>
        <v>0</v>
      </c>
      <c r="O50" s="30">
        <f t="shared" si="3"/>
        <v>0</v>
      </c>
      <c r="P50" s="31">
        <f t="shared" si="3"/>
        <v>0</v>
      </c>
      <c r="Q50" s="32">
        <f t="shared" si="4"/>
        <v>0</v>
      </c>
      <c r="R50" s="30">
        <f t="shared" si="4"/>
        <v>0</v>
      </c>
      <c r="S50" s="31">
        <f t="shared" si="4"/>
        <v>24</v>
      </c>
      <c r="T50" s="32">
        <f t="shared" si="4"/>
        <v>0</v>
      </c>
      <c r="U50" s="30">
        <f t="shared" si="4"/>
        <v>1791</v>
      </c>
      <c r="V50" s="31">
        <f t="shared" si="4"/>
        <v>506.79999999999995</v>
      </c>
      <c r="W50" s="31">
        <f t="shared" si="4"/>
        <v>1082.7</v>
      </c>
      <c r="X50" s="31">
        <f t="shared" si="4"/>
        <v>84.9</v>
      </c>
      <c r="Y50" s="31">
        <f t="shared" si="4"/>
        <v>56.800000000000004</v>
      </c>
      <c r="Z50" s="32">
        <f t="shared" si="4"/>
        <v>18.8</v>
      </c>
      <c r="AA50" s="33">
        <f t="shared" si="5"/>
        <v>3692.0000000000005</v>
      </c>
    </row>
    <row r="51" spans="2:27" x14ac:dyDescent="0.25">
      <c r="B51" s="18" t="s">
        <v>37</v>
      </c>
      <c r="C51" s="18"/>
      <c r="D51" s="18"/>
      <c r="E51" s="18"/>
      <c r="F51" s="18"/>
      <c r="G51" s="29">
        <f t="shared" si="3"/>
        <v>0</v>
      </c>
      <c r="H51" s="30">
        <f t="shared" si="3"/>
        <v>0</v>
      </c>
      <c r="I51" s="31">
        <f t="shared" si="3"/>
        <v>0</v>
      </c>
      <c r="J51" s="31">
        <f t="shared" si="3"/>
        <v>0</v>
      </c>
      <c r="K51" s="32">
        <f t="shared" si="3"/>
        <v>63.5</v>
      </c>
      <c r="L51" s="30">
        <f t="shared" si="3"/>
        <v>0</v>
      </c>
      <c r="M51" s="31">
        <f t="shared" si="3"/>
        <v>0</v>
      </c>
      <c r="N51" s="32">
        <f t="shared" si="3"/>
        <v>0</v>
      </c>
      <c r="O51" s="30">
        <f t="shared" si="3"/>
        <v>0</v>
      </c>
      <c r="P51" s="31">
        <f t="shared" si="3"/>
        <v>0</v>
      </c>
      <c r="Q51" s="32">
        <f t="shared" si="4"/>
        <v>6.2</v>
      </c>
      <c r="R51" s="30">
        <f t="shared" si="4"/>
        <v>0</v>
      </c>
      <c r="S51" s="31">
        <f t="shared" si="4"/>
        <v>12</v>
      </c>
      <c r="T51" s="32">
        <f t="shared" si="4"/>
        <v>11</v>
      </c>
      <c r="U51" s="30">
        <f t="shared" si="4"/>
        <v>1791</v>
      </c>
      <c r="V51" s="31">
        <f t="shared" si="4"/>
        <v>434.4</v>
      </c>
      <c r="W51" s="31">
        <f t="shared" si="4"/>
        <v>1082.7</v>
      </c>
      <c r="X51" s="31">
        <f t="shared" si="4"/>
        <v>84.9</v>
      </c>
      <c r="Y51" s="31">
        <f t="shared" si="4"/>
        <v>71</v>
      </c>
      <c r="Z51" s="32">
        <f t="shared" si="4"/>
        <v>23.5</v>
      </c>
      <c r="AA51" s="33">
        <f t="shared" si="5"/>
        <v>3580.2000000000003</v>
      </c>
    </row>
    <row r="52" spans="2:27" x14ac:dyDescent="0.25">
      <c r="B52" s="18" t="s">
        <v>38</v>
      </c>
      <c r="C52" s="18"/>
      <c r="D52" s="18"/>
      <c r="E52" s="18"/>
      <c r="F52" s="18"/>
      <c r="G52" s="29">
        <f t="shared" si="3"/>
        <v>0</v>
      </c>
      <c r="H52" s="30">
        <f t="shared" si="3"/>
        <v>73.2</v>
      </c>
      <c r="I52" s="31">
        <f t="shared" si="3"/>
        <v>130.19999999999999</v>
      </c>
      <c r="J52" s="31">
        <f t="shared" si="3"/>
        <v>45</v>
      </c>
      <c r="K52" s="32">
        <f t="shared" si="3"/>
        <v>127</v>
      </c>
      <c r="L52" s="30">
        <f t="shared" si="3"/>
        <v>0</v>
      </c>
      <c r="M52" s="31">
        <f t="shared" si="3"/>
        <v>0</v>
      </c>
      <c r="N52" s="32">
        <f t="shared" si="3"/>
        <v>0</v>
      </c>
      <c r="O52" s="30">
        <f t="shared" si="3"/>
        <v>0</v>
      </c>
      <c r="P52" s="31">
        <f t="shared" si="3"/>
        <v>0</v>
      </c>
      <c r="Q52" s="32">
        <f t="shared" si="4"/>
        <v>62</v>
      </c>
      <c r="R52" s="30">
        <f t="shared" si="4"/>
        <v>0</v>
      </c>
      <c r="S52" s="31">
        <f t="shared" si="4"/>
        <v>28</v>
      </c>
      <c r="T52" s="32">
        <f t="shared" si="4"/>
        <v>0</v>
      </c>
      <c r="U52" s="30">
        <f t="shared" si="4"/>
        <v>1074.5999999999999</v>
      </c>
      <c r="V52" s="31">
        <f t="shared" si="4"/>
        <v>579.20000000000005</v>
      </c>
      <c r="W52" s="31">
        <f t="shared" si="4"/>
        <v>1203</v>
      </c>
      <c r="X52" s="31">
        <f t="shared" si="4"/>
        <v>84.9</v>
      </c>
      <c r="Y52" s="31">
        <f t="shared" si="4"/>
        <v>42.6</v>
      </c>
      <c r="Z52" s="32">
        <f t="shared" si="4"/>
        <v>14.1</v>
      </c>
      <c r="AA52" s="33">
        <f t="shared" si="5"/>
        <v>3463.7999999999997</v>
      </c>
    </row>
    <row r="53" spans="2:27" x14ac:dyDescent="0.25">
      <c r="B53" s="18" t="s">
        <v>39</v>
      </c>
      <c r="C53" s="18"/>
      <c r="D53" s="18"/>
      <c r="E53" s="18"/>
      <c r="F53" s="18"/>
      <c r="G53" s="29">
        <f t="shared" si="3"/>
        <v>0</v>
      </c>
      <c r="H53" s="30">
        <f t="shared" si="3"/>
        <v>0</v>
      </c>
      <c r="I53" s="31">
        <f t="shared" si="3"/>
        <v>0</v>
      </c>
      <c r="J53" s="31">
        <f t="shared" si="3"/>
        <v>0</v>
      </c>
      <c r="K53" s="32">
        <f t="shared" si="3"/>
        <v>0</v>
      </c>
      <c r="L53" s="30">
        <f t="shared" si="3"/>
        <v>0</v>
      </c>
      <c r="M53" s="31">
        <f t="shared" si="3"/>
        <v>0</v>
      </c>
      <c r="N53" s="32">
        <f t="shared" si="3"/>
        <v>0</v>
      </c>
      <c r="O53" s="30">
        <f t="shared" si="3"/>
        <v>0</v>
      </c>
      <c r="P53" s="31">
        <f t="shared" si="3"/>
        <v>0</v>
      </c>
      <c r="Q53" s="32">
        <f t="shared" si="4"/>
        <v>0</v>
      </c>
      <c r="R53" s="30">
        <f t="shared" si="4"/>
        <v>0</v>
      </c>
      <c r="S53" s="31">
        <f t="shared" si="4"/>
        <v>0</v>
      </c>
      <c r="T53" s="32">
        <f t="shared" si="4"/>
        <v>0</v>
      </c>
      <c r="U53" s="30">
        <f t="shared" si="4"/>
        <v>1791</v>
      </c>
      <c r="V53" s="31">
        <f t="shared" si="4"/>
        <v>579.20000000000005</v>
      </c>
      <c r="W53" s="31">
        <f t="shared" si="4"/>
        <v>721.8</v>
      </c>
      <c r="X53" s="31">
        <f t="shared" si="4"/>
        <v>84.9</v>
      </c>
      <c r="Y53" s="31">
        <f t="shared" si="4"/>
        <v>85.2</v>
      </c>
      <c r="Z53" s="32">
        <f t="shared" si="4"/>
        <v>0</v>
      </c>
      <c r="AA53" s="33">
        <f t="shared" si="5"/>
        <v>3262.1</v>
      </c>
    </row>
    <row r="54" spans="2:27" x14ac:dyDescent="0.25">
      <c r="B54" s="18" t="s">
        <v>40</v>
      </c>
      <c r="C54" s="18"/>
      <c r="D54" s="18"/>
      <c r="E54" s="18"/>
      <c r="F54" s="18"/>
      <c r="G54" s="29">
        <f t="shared" si="3"/>
        <v>0</v>
      </c>
      <c r="H54" s="30">
        <f t="shared" si="3"/>
        <v>0</v>
      </c>
      <c r="I54" s="31">
        <f t="shared" si="3"/>
        <v>0</v>
      </c>
      <c r="J54" s="31">
        <f t="shared" si="3"/>
        <v>0</v>
      </c>
      <c r="K54" s="32">
        <f t="shared" si="3"/>
        <v>63.5</v>
      </c>
      <c r="L54" s="30">
        <f t="shared" si="3"/>
        <v>0</v>
      </c>
      <c r="M54" s="31">
        <f t="shared" si="3"/>
        <v>0</v>
      </c>
      <c r="N54" s="32">
        <f t="shared" si="3"/>
        <v>0</v>
      </c>
      <c r="O54" s="30">
        <f t="shared" si="3"/>
        <v>0</v>
      </c>
      <c r="P54" s="31">
        <f t="shared" si="3"/>
        <v>0</v>
      </c>
      <c r="Q54" s="32">
        <f t="shared" si="4"/>
        <v>0</v>
      </c>
      <c r="R54" s="30">
        <f t="shared" si="4"/>
        <v>0</v>
      </c>
      <c r="S54" s="31">
        <f t="shared" si="4"/>
        <v>0</v>
      </c>
      <c r="T54" s="32">
        <f t="shared" si="4"/>
        <v>0</v>
      </c>
      <c r="U54" s="30">
        <f t="shared" si="4"/>
        <v>0</v>
      </c>
      <c r="V54" s="31">
        <f t="shared" si="4"/>
        <v>217.2</v>
      </c>
      <c r="W54" s="31">
        <f t="shared" si="4"/>
        <v>1203</v>
      </c>
      <c r="X54" s="31">
        <f t="shared" si="4"/>
        <v>0</v>
      </c>
      <c r="Y54" s="31">
        <f t="shared" si="4"/>
        <v>0</v>
      </c>
      <c r="Z54" s="32">
        <f t="shared" si="4"/>
        <v>0</v>
      </c>
      <c r="AA54" s="33">
        <f t="shared" si="5"/>
        <v>1483.7</v>
      </c>
    </row>
    <row r="55" spans="2:27" x14ac:dyDescent="0.25">
      <c r="B55" s="18" t="s">
        <v>41</v>
      </c>
      <c r="C55" s="18"/>
      <c r="D55" s="18"/>
      <c r="E55" s="18"/>
      <c r="F55" s="18"/>
      <c r="G55" s="29">
        <f t="shared" ref="G55:P64" si="6">G$4*INDEX(G$10:G$43,MATCH($B55,$B$10:$B$43,0))</f>
        <v>0</v>
      </c>
      <c r="H55" s="30">
        <f t="shared" si="6"/>
        <v>0</v>
      </c>
      <c r="I55" s="31">
        <f t="shared" si="6"/>
        <v>0</v>
      </c>
      <c r="J55" s="31">
        <f t="shared" si="6"/>
        <v>0</v>
      </c>
      <c r="K55" s="32">
        <f t="shared" si="6"/>
        <v>0</v>
      </c>
      <c r="L55" s="30">
        <f t="shared" si="6"/>
        <v>0</v>
      </c>
      <c r="M55" s="31">
        <f t="shared" si="6"/>
        <v>0</v>
      </c>
      <c r="N55" s="32">
        <f t="shared" si="6"/>
        <v>0</v>
      </c>
      <c r="O55" s="30">
        <f t="shared" si="6"/>
        <v>0</v>
      </c>
      <c r="P55" s="31">
        <f t="shared" si="6"/>
        <v>0</v>
      </c>
      <c r="Q55" s="32">
        <f t="shared" ref="Q55:Z64" si="7">Q$4*INDEX(Q$10:Q$43,MATCH($B55,$B$10:$B$43,0))</f>
        <v>0</v>
      </c>
      <c r="R55" s="30">
        <f t="shared" si="7"/>
        <v>0</v>
      </c>
      <c r="S55" s="31">
        <f t="shared" si="7"/>
        <v>0</v>
      </c>
      <c r="T55" s="32">
        <f t="shared" si="7"/>
        <v>0</v>
      </c>
      <c r="U55" s="30">
        <f t="shared" si="7"/>
        <v>0</v>
      </c>
      <c r="V55" s="31">
        <f t="shared" si="7"/>
        <v>0</v>
      </c>
      <c r="W55" s="31">
        <f t="shared" si="7"/>
        <v>0</v>
      </c>
      <c r="X55" s="31">
        <f t="shared" si="7"/>
        <v>849</v>
      </c>
      <c r="Y55" s="31">
        <f t="shared" si="7"/>
        <v>0</v>
      </c>
      <c r="Z55" s="32">
        <f t="shared" si="7"/>
        <v>0</v>
      </c>
      <c r="AA55" s="33">
        <f t="shared" si="5"/>
        <v>849</v>
      </c>
    </row>
    <row r="56" spans="2:27" x14ac:dyDescent="0.25">
      <c r="B56" s="18" t="s">
        <v>42</v>
      </c>
      <c r="C56" s="18"/>
      <c r="D56" s="18"/>
      <c r="E56" s="18"/>
      <c r="F56" s="18"/>
      <c r="G56" s="29">
        <f t="shared" si="6"/>
        <v>0</v>
      </c>
      <c r="H56" s="30">
        <f t="shared" si="6"/>
        <v>0</v>
      </c>
      <c r="I56" s="31">
        <f t="shared" si="6"/>
        <v>0</v>
      </c>
      <c r="J56" s="31">
        <f t="shared" si="6"/>
        <v>0</v>
      </c>
      <c r="K56" s="32">
        <f t="shared" si="6"/>
        <v>0</v>
      </c>
      <c r="L56" s="30">
        <f t="shared" si="6"/>
        <v>0</v>
      </c>
      <c r="M56" s="31">
        <f t="shared" si="6"/>
        <v>0</v>
      </c>
      <c r="N56" s="32">
        <f t="shared" si="6"/>
        <v>0</v>
      </c>
      <c r="O56" s="30">
        <f t="shared" si="6"/>
        <v>0</v>
      </c>
      <c r="P56" s="31">
        <f t="shared" si="6"/>
        <v>0</v>
      </c>
      <c r="Q56" s="32">
        <f t="shared" si="7"/>
        <v>0</v>
      </c>
      <c r="R56" s="30">
        <f t="shared" si="7"/>
        <v>0</v>
      </c>
      <c r="S56" s="31">
        <f t="shared" si="7"/>
        <v>0</v>
      </c>
      <c r="T56" s="32">
        <f t="shared" si="7"/>
        <v>0</v>
      </c>
      <c r="U56" s="30">
        <f t="shared" si="7"/>
        <v>0</v>
      </c>
      <c r="V56" s="31">
        <f t="shared" si="7"/>
        <v>724</v>
      </c>
      <c r="W56" s="31">
        <f t="shared" si="7"/>
        <v>0</v>
      </c>
      <c r="X56" s="31">
        <f t="shared" si="7"/>
        <v>0</v>
      </c>
      <c r="Y56" s="31">
        <f t="shared" si="7"/>
        <v>0</v>
      </c>
      <c r="Z56" s="32">
        <f t="shared" si="7"/>
        <v>0</v>
      </c>
      <c r="AA56" s="33">
        <f t="shared" si="5"/>
        <v>724</v>
      </c>
    </row>
    <row r="57" spans="2:27" x14ac:dyDescent="0.25">
      <c r="B57" s="18" t="s">
        <v>43</v>
      </c>
      <c r="C57" s="18"/>
      <c r="D57" s="18"/>
      <c r="E57" s="18"/>
      <c r="F57" s="18"/>
      <c r="G57" s="29">
        <f t="shared" si="6"/>
        <v>0</v>
      </c>
      <c r="H57" s="30">
        <f t="shared" si="6"/>
        <v>244</v>
      </c>
      <c r="I57" s="31">
        <f t="shared" si="6"/>
        <v>151.89999999999998</v>
      </c>
      <c r="J57" s="31">
        <f t="shared" si="6"/>
        <v>52.5</v>
      </c>
      <c r="K57" s="32">
        <f t="shared" si="6"/>
        <v>76.2</v>
      </c>
      <c r="L57" s="30">
        <f t="shared" si="6"/>
        <v>0</v>
      </c>
      <c r="M57" s="31">
        <f t="shared" si="6"/>
        <v>0</v>
      </c>
      <c r="N57" s="32">
        <f t="shared" si="6"/>
        <v>23.4</v>
      </c>
      <c r="O57" s="30">
        <f t="shared" si="6"/>
        <v>56</v>
      </c>
      <c r="P57" s="31">
        <f t="shared" si="6"/>
        <v>0</v>
      </c>
      <c r="Q57" s="32">
        <f t="shared" si="7"/>
        <v>12.4</v>
      </c>
      <c r="R57" s="30">
        <f t="shared" si="7"/>
        <v>0</v>
      </c>
      <c r="S57" s="31">
        <f t="shared" si="7"/>
        <v>0</v>
      </c>
      <c r="T57" s="32">
        <f t="shared" si="7"/>
        <v>0</v>
      </c>
      <c r="U57" s="30">
        <f t="shared" si="7"/>
        <v>0</v>
      </c>
      <c r="V57" s="31">
        <f t="shared" si="7"/>
        <v>0</v>
      </c>
      <c r="W57" s="31">
        <f t="shared" si="7"/>
        <v>0</v>
      </c>
      <c r="X57" s="31">
        <f t="shared" si="7"/>
        <v>0</v>
      </c>
      <c r="Y57" s="31">
        <f t="shared" si="7"/>
        <v>0</v>
      </c>
      <c r="Z57" s="32">
        <f t="shared" si="7"/>
        <v>0</v>
      </c>
      <c r="AA57" s="33">
        <f t="shared" si="5"/>
        <v>616.4</v>
      </c>
    </row>
    <row r="58" spans="2:27" x14ac:dyDescent="0.25">
      <c r="B58" s="18" t="s">
        <v>142</v>
      </c>
      <c r="C58" s="18"/>
      <c r="D58" s="18"/>
      <c r="E58" s="18"/>
      <c r="F58" s="18"/>
      <c r="G58" s="29">
        <f t="shared" si="6"/>
        <v>0</v>
      </c>
      <c r="H58" s="30">
        <f t="shared" si="6"/>
        <v>244</v>
      </c>
      <c r="I58" s="31">
        <f t="shared" si="6"/>
        <v>151.89999999999998</v>
      </c>
      <c r="J58" s="31">
        <f t="shared" si="6"/>
        <v>52.5</v>
      </c>
      <c r="K58" s="32">
        <f t="shared" si="6"/>
        <v>0</v>
      </c>
      <c r="L58" s="30">
        <f t="shared" si="6"/>
        <v>0</v>
      </c>
      <c r="M58" s="31">
        <f t="shared" si="6"/>
        <v>0</v>
      </c>
      <c r="N58" s="32">
        <f t="shared" si="6"/>
        <v>23.4</v>
      </c>
      <c r="O58" s="30">
        <f t="shared" si="6"/>
        <v>67.2</v>
      </c>
      <c r="P58" s="31">
        <f t="shared" si="6"/>
        <v>0</v>
      </c>
      <c r="Q58" s="32">
        <f t="shared" si="7"/>
        <v>6.2</v>
      </c>
      <c r="R58" s="30">
        <f t="shared" si="7"/>
        <v>0</v>
      </c>
      <c r="S58" s="31">
        <f t="shared" si="7"/>
        <v>0</v>
      </c>
      <c r="T58" s="32">
        <f t="shared" si="7"/>
        <v>0</v>
      </c>
      <c r="U58" s="30">
        <f t="shared" si="7"/>
        <v>0</v>
      </c>
      <c r="V58" s="31">
        <f t="shared" si="7"/>
        <v>0</v>
      </c>
      <c r="W58" s="31">
        <f t="shared" si="7"/>
        <v>0</v>
      </c>
      <c r="X58" s="31">
        <f t="shared" si="7"/>
        <v>0</v>
      </c>
      <c r="Y58" s="31">
        <f t="shared" si="7"/>
        <v>0</v>
      </c>
      <c r="Z58" s="32">
        <f t="shared" si="7"/>
        <v>0</v>
      </c>
      <c r="AA58" s="33">
        <f t="shared" si="5"/>
        <v>545.20000000000005</v>
      </c>
    </row>
    <row r="59" spans="2:27" x14ac:dyDescent="0.25">
      <c r="B59" s="18" t="s">
        <v>44</v>
      </c>
      <c r="C59" s="18"/>
      <c r="D59" s="18"/>
      <c r="E59" s="18"/>
      <c r="F59" s="18"/>
      <c r="G59" s="29">
        <f t="shared" si="6"/>
        <v>0</v>
      </c>
      <c r="H59" s="30">
        <f t="shared" si="6"/>
        <v>244</v>
      </c>
      <c r="I59" s="31">
        <f t="shared" si="6"/>
        <v>108.5</v>
      </c>
      <c r="J59" s="31">
        <f t="shared" si="6"/>
        <v>37.5</v>
      </c>
      <c r="K59" s="32">
        <f t="shared" si="6"/>
        <v>0</v>
      </c>
      <c r="L59" s="30">
        <f t="shared" si="6"/>
        <v>0</v>
      </c>
      <c r="M59" s="31">
        <f t="shared" si="6"/>
        <v>0</v>
      </c>
      <c r="N59" s="32">
        <f t="shared" si="6"/>
        <v>19.5</v>
      </c>
      <c r="O59" s="30">
        <f t="shared" si="6"/>
        <v>100.8</v>
      </c>
      <c r="P59" s="31">
        <f t="shared" si="6"/>
        <v>0</v>
      </c>
      <c r="Q59" s="32">
        <f t="shared" si="7"/>
        <v>24.8</v>
      </c>
      <c r="R59" s="30">
        <f t="shared" si="7"/>
        <v>0</v>
      </c>
      <c r="S59" s="31">
        <f t="shared" si="7"/>
        <v>0</v>
      </c>
      <c r="T59" s="32">
        <f t="shared" si="7"/>
        <v>0</v>
      </c>
      <c r="U59" s="30">
        <f t="shared" si="7"/>
        <v>0</v>
      </c>
      <c r="V59" s="31">
        <f t="shared" si="7"/>
        <v>0</v>
      </c>
      <c r="W59" s="31">
        <f t="shared" si="7"/>
        <v>0</v>
      </c>
      <c r="X59" s="31">
        <f t="shared" si="7"/>
        <v>0</v>
      </c>
      <c r="Y59" s="31">
        <f t="shared" si="7"/>
        <v>0</v>
      </c>
      <c r="Z59" s="32">
        <f t="shared" si="7"/>
        <v>0</v>
      </c>
      <c r="AA59" s="33">
        <f t="shared" si="5"/>
        <v>535.1</v>
      </c>
    </row>
    <row r="60" spans="2:27" x14ac:dyDescent="0.25">
      <c r="B60" s="18" t="s">
        <v>45</v>
      </c>
      <c r="C60" s="18"/>
      <c r="D60" s="18"/>
      <c r="E60" s="18"/>
      <c r="F60" s="18"/>
      <c r="G60" s="29">
        <f t="shared" si="6"/>
        <v>0</v>
      </c>
      <c r="H60" s="30">
        <f t="shared" si="6"/>
        <v>244</v>
      </c>
      <c r="I60" s="31">
        <f t="shared" si="6"/>
        <v>130.19999999999999</v>
      </c>
      <c r="J60" s="31">
        <f t="shared" si="6"/>
        <v>45</v>
      </c>
      <c r="K60" s="32">
        <f t="shared" si="6"/>
        <v>0</v>
      </c>
      <c r="L60" s="30">
        <f t="shared" si="6"/>
        <v>0</v>
      </c>
      <c r="M60" s="31">
        <f t="shared" si="6"/>
        <v>0</v>
      </c>
      <c r="N60" s="32">
        <f t="shared" si="6"/>
        <v>15.600000000000001</v>
      </c>
      <c r="O60" s="30">
        <f t="shared" si="6"/>
        <v>78.399999999999991</v>
      </c>
      <c r="P60" s="31">
        <f t="shared" si="6"/>
        <v>0</v>
      </c>
      <c r="Q60" s="32">
        <f t="shared" si="7"/>
        <v>31</v>
      </c>
      <c r="R60" s="30">
        <f t="shared" si="7"/>
        <v>0</v>
      </c>
      <c r="S60" s="31">
        <f t="shared" si="7"/>
        <v>0</v>
      </c>
      <c r="T60" s="32">
        <f t="shared" si="7"/>
        <v>0</v>
      </c>
      <c r="U60" s="30">
        <f t="shared" si="7"/>
        <v>0</v>
      </c>
      <c r="V60" s="31">
        <f t="shared" si="7"/>
        <v>0</v>
      </c>
      <c r="W60" s="31">
        <f t="shared" si="7"/>
        <v>0</v>
      </c>
      <c r="X60" s="31">
        <f t="shared" si="7"/>
        <v>0</v>
      </c>
      <c r="Y60" s="31">
        <f t="shared" si="7"/>
        <v>0</v>
      </c>
      <c r="Z60" s="32">
        <f t="shared" si="7"/>
        <v>0</v>
      </c>
      <c r="AA60" s="33">
        <f t="shared" si="5"/>
        <v>544.20000000000005</v>
      </c>
    </row>
    <row r="61" spans="2:27" x14ac:dyDescent="0.25">
      <c r="B61" t="s">
        <v>46</v>
      </c>
      <c r="G61" s="29">
        <f t="shared" si="6"/>
        <v>0</v>
      </c>
      <c r="H61" s="30">
        <f t="shared" si="6"/>
        <v>244</v>
      </c>
      <c r="I61" s="31">
        <f t="shared" si="6"/>
        <v>86.800000000000011</v>
      </c>
      <c r="J61" s="31">
        <f t="shared" si="6"/>
        <v>30</v>
      </c>
      <c r="K61" s="32">
        <f t="shared" si="6"/>
        <v>0</v>
      </c>
      <c r="L61" s="30">
        <f t="shared" si="6"/>
        <v>0</v>
      </c>
      <c r="M61" s="31">
        <f t="shared" si="6"/>
        <v>0</v>
      </c>
      <c r="N61" s="32">
        <f t="shared" si="6"/>
        <v>19.5</v>
      </c>
      <c r="O61" s="30">
        <f t="shared" si="6"/>
        <v>78.399999999999991</v>
      </c>
      <c r="P61" s="31">
        <f t="shared" si="6"/>
        <v>0</v>
      </c>
      <c r="Q61" s="32">
        <f t="shared" si="7"/>
        <v>31</v>
      </c>
      <c r="R61" s="30">
        <f t="shared" si="7"/>
        <v>0</v>
      </c>
      <c r="S61" s="31">
        <f t="shared" si="7"/>
        <v>0</v>
      </c>
      <c r="T61" s="32">
        <f t="shared" si="7"/>
        <v>0</v>
      </c>
      <c r="U61" s="30">
        <f t="shared" si="7"/>
        <v>0</v>
      </c>
      <c r="V61" s="31">
        <f t="shared" si="7"/>
        <v>0</v>
      </c>
      <c r="W61" s="31">
        <f t="shared" si="7"/>
        <v>0</v>
      </c>
      <c r="X61" s="31">
        <f t="shared" si="7"/>
        <v>0</v>
      </c>
      <c r="Y61" s="31">
        <f t="shared" si="7"/>
        <v>0</v>
      </c>
      <c r="Z61" s="32">
        <f t="shared" si="7"/>
        <v>0</v>
      </c>
      <c r="AA61" s="33">
        <f t="shared" si="5"/>
        <v>489.7</v>
      </c>
    </row>
    <row r="62" spans="2:27" x14ac:dyDescent="0.25">
      <c r="B62" s="18" t="s">
        <v>47</v>
      </c>
      <c r="C62" s="18"/>
      <c r="D62" s="18"/>
      <c r="E62" s="18"/>
      <c r="F62" s="18"/>
      <c r="G62" s="29">
        <f t="shared" si="6"/>
        <v>260</v>
      </c>
      <c r="H62" s="30">
        <f t="shared" si="6"/>
        <v>0</v>
      </c>
      <c r="I62" s="31">
        <f t="shared" si="6"/>
        <v>0</v>
      </c>
      <c r="J62" s="31">
        <f t="shared" si="6"/>
        <v>0</v>
      </c>
      <c r="K62" s="32">
        <f t="shared" si="6"/>
        <v>0</v>
      </c>
      <c r="L62" s="30">
        <f t="shared" si="6"/>
        <v>0</v>
      </c>
      <c r="M62" s="31">
        <f t="shared" si="6"/>
        <v>65.8</v>
      </c>
      <c r="N62" s="32">
        <f t="shared" si="6"/>
        <v>0</v>
      </c>
      <c r="O62" s="30">
        <f t="shared" si="6"/>
        <v>0</v>
      </c>
      <c r="P62" s="31">
        <f t="shared" si="6"/>
        <v>165.89999999999998</v>
      </c>
      <c r="Q62" s="32">
        <f t="shared" si="7"/>
        <v>6.2</v>
      </c>
      <c r="R62" s="30">
        <f t="shared" si="7"/>
        <v>0</v>
      </c>
      <c r="S62" s="31">
        <f t="shared" si="7"/>
        <v>0</v>
      </c>
      <c r="T62" s="32">
        <f t="shared" si="7"/>
        <v>0</v>
      </c>
      <c r="U62" s="30">
        <f t="shared" si="7"/>
        <v>0</v>
      </c>
      <c r="V62" s="31">
        <f t="shared" si="7"/>
        <v>0</v>
      </c>
      <c r="W62" s="31">
        <f t="shared" si="7"/>
        <v>0</v>
      </c>
      <c r="X62" s="31">
        <f t="shared" si="7"/>
        <v>0</v>
      </c>
      <c r="Y62" s="31">
        <f t="shared" si="7"/>
        <v>0</v>
      </c>
      <c r="Z62" s="32">
        <f t="shared" si="7"/>
        <v>0</v>
      </c>
      <c r="AA62" s="33">
        <f t="shared" si="5"/>
        <v>497.9</v>
      </c>
    </row>
    <row r="63" spans="2:27" x14ac:dyDescent="0.25">
      <c r="B63" s="18" t="s">
        <v>48</v>
      </c>
      <c r="C63" s="18"/>
      <c r="D63" s="18"/>
      <c r="E63" s="18"/>
      <c r="F63" s="18"/>
      <c r="G63" s="29">
        <f t="shared" si="6"/>
        <v>260</v>
      </c>
      <c r="H63" s="30">
        <f t="shared" si="6"/>
        <v>0</v>
      </c>
      <c r="I63" s="31">
        <f t="shared" si="6"/>
        <v>0</v>
      </c>
      <c r="J63" s="31">
        <f t="shared" si="6"/>
        <v>0</v>
      </c>
      <c r="K63" s="32">
        <f t="shared" si="6"/>
        <v>0</v>
      </c>
      <c r="L63" s="30">
        <f t="shared" si="6"/>
        <v>0</v>
      </c>
      <c r="M63" s="31">
        <f t="shared" si="6"/>
        <v>56.4</v>
      </c>
      <c r="N63" s="32">
        <f t="shared" si="6"/>
        <v>0</v>
      </c>
      <c r="O63" s="30">
        <f t="shared" si="6"/>
        <v>0</v>
      </c>
      <c r="P63" s="31">
        <f t="shared" si="6"/>
        <v>165.89999999999998</v>
      </c>
      <c r="Q63" s="32">
        <f t="shared" si="7"/>
        <v>0</v>
      </c>
      <c r="R63" s="30">
        <f t="shared" si="7"/>
        <v>0</v>
      </c>
      <c r="S63" s="31">
        <f t="shared" si="7"/>
        <v>0</v>
      </c>
      <c r="T63" s="32">
        <f t="shared" si="7"/>
        <v>0</v>
      </c>
      <c r="U63" s="30">
        <f t="shared" si="7"/>
        <v>0</v>
      </c>
      <c r="V63" s="31">
        <f t="shared" si="7"/>
        <v>0</v>
      </c>
      <c r="W63" s="31">
        <f t="shared" si="7"/>
        <v>0</v>
      </c>
      <c r="X63" s="31">
        <f t="shared" si="7"/>
        <v>0</v>
      </c>
      <c r="Y63" s="31">
        <f t="shared" si="7"/>
        <v>0</v>
      </c>
      <c r="Z63" s="32">
        <f t="shared" si="7"/>
        <v>0</v>
      </c>
      <c r="AA63" s="33">
        <f t="shared" si="5"/>
        <v>482.29999999999995</v>
      </c>
    </row>
    <row r="64" spans="2:27" x14ac:dyDescent="0.25">
      <c r="B64" s="18" t="s">
        <v>49</v>
      </c>
      <c r="C64" s="18"/>
      <c r="D64" s="18"/>
      <c r="E64" s="18"/>
      <c r="F64" s="18"/>
      <c r="G64" s="29">
        <f t="shared" si="6"/>
        <v>0</v>
      </c>
      <c r="H64" s="30">
        <f t="shared" si="6"/>
        <v>0</v>
      </c>
      <c r="I64" s="31">
        <f t="shared" si="6"/>
        <v>65.099999999999994</v>
      </c>
      <c r="J64" s="31">
        <f t="shared" si="6"/>
        <v>0</v>
      </c>
      <c r="K64" s="32">
        <f t="shared" si="6"/>
        <v>0</v>
      </c>
      <c r="L64" s="30">
        <f t="shared" si="6"/>
        <v>214.89999999999998</v>
      </c>
      <c r="M64" s="31">
        <f t="shared" si="6"/>
        <v>94</v>
      </c>
      <c r="N64" s="32">
        <f t="shared" si="6"/>
        <v>0</v>
      </c>
      <c r="O64" s="30">
        <f t="shared" si="6"/>
        <v>0</v>
      </c>
      <c r="P64" s="31">
        <f t="shared" si="6"/>
        <v>0</v>
      </c>
      <c r="Q64" s="32">
        <f t="shared" si="7"/>
        <v>0</v>
      </c>
      <c r="R64" s="30">
        <f t="shared" si="7"/>
        <v>0</v>
      </c>
      <c r="S64" s="31">
        <f t="shared" si="7"/>
        <v>0</v>
      </c>
      <c r="T64" s="32">
        <f t="shared" si="7"/>
        <v>0</v>
      </c>
      <c r="U64" s="30">
        <f t="shared" si="7"/>
        <v>0</v>
      </c>
      <c r="V64" s="31">
        <f t="shared" si="7"/>
        <v>0</v>
      </c>
      <c r="W64" s="31">
        <f t="shared" si="7"/>
        <v>0</v>
      </c>
      <c r="X64" s="31">
        <f t="shared" si="7"/>
        <v>0</v>
      </c>
      <c r="Y64" s="31">
        <f t="shared" si="7"/>
        <v>0</v>
      </c>
      <c r="Z64" s="32">
        <f t="shared" si="7"/>
        <v>0</v>
      </c>
      <c r="AA64" s="33">
        <f t="shared" si="5"/>
        <v>374</v>
      </c>
    </row>
    <row r="65" spans="2:27" x14ac:dyDescent="0.25">
      <c r="B65" s="18" t="s">
        <v>50</v>
      </c>
      <c r="C65" s="18"/>
      <c r="D65" s="18"/>
      <c r="E65" s="18"/>
      <c r="F65" s="18"/>
      <c r="G65" s="29">
        <f t="shared" ref="G65:P76" si="8">G$4*INDEX(G$10:G$43,MATCH($B65,$B$10:$B$43,0))</f>
        <v>0</v>
      </c>
      <c r="H65" s="30">
        <f t="shared" si="8"/>
        <v>0</v>
      </c>
      <c r="I65" s="31">
        <f t="shared" si="8"/>
        <v>130.19999999999999</v>
      </c>
      <c r="J65" s="31">
        <f t="shared" si="8"/>
        <v>45</v>
      </c>
      <c r="K65" s="32">
        <f t="shared" si="8"/>
        <v>0</v>
      </c>
      <c r="L65" s="30">
        <f t="shared" si="8"/>
        <v>122.80000000000001</v>
      </c>
      <c r="M65" s="31">
        <f t="shared" si="8"/>
        <v>0</v>
      </c>
      <c r="N65" s="32">
        <f t="shared" si="8"/>
        <v>39</v>
      </c>
      <c r="O65" s="30">
        <f t="shared" si="8"/>
        <v>33.6</v>
      </c>
      <c r="P65" s="31">
        <f t="shared" si="8"/>
        <v>0</v>
      </c>
      <c r="Q65" s="32">
        <f t="shared" ref="Q65:Z76" si="9">Q$4*INDEX(Q$10:Q$43,MATCH($B65,$B$10:$B$43,0))</f>
        <v>6.2</v>
      </c>
      <c r="R65" s="30">
        <f t="shared" si="9"/>
        <v>0</v>
      </c>
      <c r="S65" s="31">
        <f t="shared" si="9"/>
        <v>0</v>
      </c>
      <c r="T65" s="32">
        <f t="shared" si="9"/>
        <v>0</v>
      </c>
      <c r="U65" s="30">
        <f t="shared" si="9"/>
        <v>0</v>
      </c>
      <c r="V65" s="31">
        <f t="shared" si="9"/>
        <v>0</v>
      </c>
      <c r="W65" s="31">
        <f t="shared" si="9"/>
        <v>0</v>
      </c>
      <c r="X65" s="31">
        <f t="shared" si="9"/>
        <v>0</v>
      </c>
      <c r="Y65" s="31">
        <f t="shared" si="9"/>
        <v>0</v>
      </c>
      <c r="Z65" s="32">
        <f t="shared" si="9"/>
        <v>0</v>
      </c>
      <c r="AA65" s="33">
        <f t="shared" si="5"/>
        <v>376.8</v>
      </c>
    </row>
    <row r="66" spans="2:27" x14ac:dyDescent="0.25">
      <c r="B66" s="18" t="s">
        <v>51</v>
      </c>
      <c r="C66" s="18"/>
      <c r="D66" s="18"/>
      <c r="E66" s="18"/>
      <c r="F66" s="18"/>
      <c r="G66" s="29">
        <f t="shared" si="8"/>
        <v>0</v>
      </c>
      <c r="H66" s="30">
        <f t="shared" si="8"/>
        <v>0</v>
      </c>
      <c r="I66" s="31">
        <f t="shared" si="8"/>
        <v>0</v>
      </c>
      <c r="J66" s="31">
        <f t="shared" si="8"/>
        <v>0</v>
      </c>
      <c r="K66" s="32">
        <f t="shared" si="8"/>
        <v>0</v>
      </c>
      <c r="L66" s="30">
        <f t="shared" si="8"/>
        <v>307</v>
      </c>
      <c r="M66" s="31">
        <f t="shared" si="8"/>
        <v>0</v>
      </c>
      <c r="N66" s="32">
        <f t="shared" si="8"/>
        <v>0</v>
      </c>
      <c r="O66" s="30">
        <f t="shared" si="8"/>
        <v>0</v>
      </c>
      <c r="P66" s="31">
        <f t="shared" si="8"/>
        <v>0</v>
      </c>
      <c r="Q66" s="32">
        <f t="shared" si="9"/>
        <v>0</v>
      </c>
      <c r="R66" s="30">
        <f t="shared" si="9"/>
        <v>0</v>
      </c>
      <c r="S66" s="31">
        <f t="shared" si="9"/>
        <v>0</v>
      </c>
      <c r="T66" s="32">
        <f t="shared" si="9"/>
        <v>0</v>
      </c>
      <c r="U66" s="30">
        <f t="shared" si="9"/>
        <v>0</v>
      </c>
      <c r="V66" s="31">
        <f t="shared" si="9"/>
        <v>0</v>
      </c>
      <c r="W66" s="31">
        <f t="shared" si="9"/>
        <v>0</v>
      </c>
      <c r="X66" s="31">
        <f t="shared" si="9"/>
        <v>0</v>
      </c>
      <c r="Y66" s="31">
        <f t="shared" si="9"/>
        <v>0</v>
      </c>
      <c r="Z66" s="32">
        <f t="shared" si="9"/>
        <v>0</v>
      </c>
      <c r="AA66" s="33">
        <f t="shared" si="5"/>
        <v>307</v>
      </c>
    </row>
    <row r="67" spans="2:27" x14ac:dyDescent="0.25">
      <c r="B67" s="18" t="s">
        <v>52</v>
      </c>
      <c r="C67" s="18"/>
      <c r="D67" s="18"/>
      <c r="E67" s="18"/>
      <c r="F67" s="18"/>
      <c r="G67" s="29">
        <f t="shared" si="8"/>
        <v>260</v>
      </c>
      <c r="H67" s="30">
        <f t="shared" si="8"/>
        <v>0</v>
      </c>
      <c r="I67" s="31">
        <f t="shared" si="8"/>
        <v>0</v>
      </c>
      <c r="J67" s="31">
        <f t="shared" si="8"/>
        <v>0</v>
      </c>
      <c r="K67" s="32">
        <f t="shared" si="8"/>
        <v>0</v>
      </c>
      <c r="L67" s="30">
        <f t="shared" si="8"/>
        <v>0</v>
      </c>
      <c r="M67" s="31">
        <f t="shared" si="8"/>
        <v>0</v>
      </c>
      <c r="N67" s="32">
        <f t="shared" si="8"/>
        <v>0</v>
      </c>
      <c r="O67" s="30">
        <f t="shared" si="8"/>
        <v>0</v>
      </c>
      <c r="P67" s="31">
        <f t="shared" si="8"/>
        <v>0</v>
      </c>
      <c r="Q67" s="32">
        <f t="shared" si="9"/>
        <v>0</v>
      </c>
      <c r="R67" s="30">
        <f t="shared" si="9"/>
        <v>0</v>
      </c>
      <c r="S67" s="31">
        <f t="shared" si="9"/>
        <v>0</v>
      </c>
      <c r="T67" s="32">
        <f t="shared" si="9"/>
        <v>0</v>
      </c>
      <c r="U67" s="30">
        <f t="shared" si="9"/>
        <v>0</v>
      </c>
      <c r="V67" s="31">
        <f t="shared" si="9"/>
        <v>0</v>
      </c>
      <c r="W67" s="31">
        <f t="shared" si="9"/>
        <v>0</v>
      </c>
      <c r="X67" s="31">
        <f t="shared" si="9"/>
        <v>0</v>
      </c>
      <c r="Y67" s="31">
        <f t="shared" si="9"/>
        <v>0</v>
      </c>
      <c r="Z67" s="32">
        <f t="shared" si="9"/>
        <v>0</v>
      </c>
      <c r="AA67" s="33">
        <f t="shared" si="5"/>
        <v>260</v>
      </c>
    </row>
    <row r="68" spans="2:27" x14ac:dyDescent="0.25">
      <c r="B68" s="18" t="s">
        <v>53</v>
      </c>
      <c r="C68" s="18"/>
      <c r="D68" s="18"/>
      <c r="E68" s="18"/>
      <c r="F68" s="18"/>
      <c r="G68" s="29">
        <f t="shared" si="8"/>
        <v>0</v>
      </c>
      <c r="H68" s="30">
        <f t="shared" si="8"/>
        <v>0</v>
      </c>
      <c r="I68" s="31">
        <f t="shared" si="8"/>
        <v>0</v>
      </c>
      <c r="J68" s="31">
        <f t="shared" si="8"/>
        <v>0</v>
      </c>
      <c r="K68" s="32">
        <f t="shared" si="8"/>
        <v>0</v>
      </c>
      <c r="L68" s="30">
        <f t="shared" si="8"/>
        <v>0</v>
      </c>
      <c r="M68" s="31">
        <f t="shared" si="8"/>
        <v>0</v>
      </c>
      <c r="N68" s="32">
        <f t="shared" si="8"/>
        <v>0</v>
      </c>
      <c r="O68" s="30">
        <f t="shared" si="8"/>
        <v>0</v>
      </c>
      <c r="P68" s="31">
        <f t="shared" si="8"/>
        <v>237</v>
      </c>
      <c r="Q68" s="32">
        <f t="shared" si="9"/>
        <v>18.599999999999998</v>
      </c>
      <c r="R68" s="30">
        <f t="shared" si="9"/>
        <v>0</v>
      </c>
      <c r="S68" s="31">
        <f t="shared" si="9"/>
        <v>0</v>
      </c>
      <c r="T68" s="32">
        <f t="shared" si="9"/>
        <v>0</v>
      </c>
      <c r="U68" s="30">
        <f t="shared" si="9"/>
        <v>0</v>
      </c>
      <c r="V68" s="31">
        <f t="shared" si="9"/>
        <v>0</v>
      </c>
      <c r="W68" s="31">
        <f t="shared" si="9"/>
        <v>0</v>
      </c>
      <c r="X68" s="31">
        <f t="shared" si="9"/>
        <v>0</v>
      </c>
      <c r="Y68" s="31">
        <f t="shared" si="9"/>
        <v>0</v>
      </c>
      <c r="Z68" s="32">
        <f t="shared" si="9"/>
        <v>0</v>
      </c>
      <c r="AA68" s="33">
        <f t="shared" si="5"/>
        <v>255.6</v>
      </c>
    </row>
    <row r="69" spans="2:27" x14ac:dyDescent="0.25">
      <c r="B69" s="18" t="s">
        <v>54</v>
      </c>
      <c r="C69" s="18"/>
      <c r="D69" s="18"/>
      <c r="E69" s="18"/>
      <c r="F69" s="18"/>
      <c r="G69" s="29">
        <f t="shared" si="8"/>
        <v>0</v>
      </c>
      <c r="H69" s="30">
        <f t="shared" si="8"/>
        <v>0</v>
      </c>
      <c r="I69" s="31">
        <f t="shared" si="8"/>
        <v>151.89999999999998</v>
      </c>
      <c r="J69" s="31">
        <f t="shared" si="8"/>
        <v>52.5</v>
      </c>
      <c r="K69" s="32">
        <f t="shared" si="8"/>
        <v>0</v>
      </c>
      <c r="L69" s="30">
        <f t="shared" si="8"/>
        <v>0</v>
      </c>
      <c r="M69" s="31">
        <f t="shared" si="8"/>
        <v>0</v>
      </c>
      <c r="N69" s="32">
        <f t="shared" si="8"/>
        <v>39</v>
      </c>
      <c r="O69" s="30">
        <f t="shared" si="8"/>
        <v>0</v>
      </c>
      <c r="P69" s="31">
        <f t="shared" si="8"/>
        <v>0</v>
      </c>
      <c r="Q69" s="32">
        <f t="shared" si="9"/>
        <v>0</v>
      </c>
      <c r="R69" s="30">
        <f t="shared" si="9"/>
        <v>0</v>
      </c>
      <c r="S69" s="31">
        <f t="shared" si="9"/>
        <v>0</v>
      </c>
      <c r="T69" s="32">
        <f t="shared" si="9"/>
        <v>0</v>
      </c>
      <c r="U69" s="30">
        <f t="shared" si="9"/>
        <v>0</v>
      </c>
      <c r="V69" s="31">
        <f t="shared" si="9"/>
        <v>0</v>
      </c>
      <c r="W69" s="31">
        <f t="shared" si="9"/>
        <v>0</v>
      </c>
      <c r="X69" s="31">
        <f t="shared" si="9"/>
        <v>0</v>
      </c>
      <c r="Y69" s="31">
        <f t="shared" si="9"/>
        <v>0</v>
      </c>
      <c r="Z69" s="32">
        <f t="shared" si="9"/>
        <v>0</v>
      </c>
      <c r="AA69" s="33">
        <f t="shared" si="5"/>
        <v>243.39999999999998</v>
      </c>
    </row>
    <row r="70" spans="2:27" x14ac:dyDescent="0.25">
      <c r="B70" s="18" t="s">
        <v>55</v>
      </c>
      <c r="C70" s="18"/>
      <c r="D70" s="18"/>
      <c r="E70" s="18"/>
      <c r="F70" s="18"/>
      <c r="G70" s="29">
        <f t="shared" si="8"/>
        <v>0</v>
      </c>
      <c r="H70" s="30">
        <f t="shared" si="8"/>
        <v>0</v>
      </c>
      <c r="I70" s="31">
        <f t="shared" si="8"/>
        <v>217</v>
      </c>
      <c r="J70" s="31">
        <f t="shared" si="8"/>
        <v>0</v>
      </c>
      <c r="K70" s="32">
        <f t="shared" si="8"/>
        <v>0</v>
      </c>
      <c r="L70" s="30">
        <f t="shared" si="8"/>
        <v>0</v>
      </c>
      <c r="M70" s="31">
        <f t="shared" si="8"/>
        <v>0</v>
      </c>
      <c r="N70" s="32">
        <f t="shared" si="8"/>
        <v>0</v>
      </c>
      <c r="O70" s="30">
        <f t="shared" si="8"/>
        <v>0</v>
      </c>
      <c r="P70" s="31">
        <f t="shared" si="8"/>
        <v>0</v>
      </c>
      <c r="Q70" s="32">
        <f t="shared" si="9"/>
        <v>43.4</v>
      </c>
      <c r="R70" s="30">
        <f t="shared" si="9"/>
        <v>0</v>
      </c>
      <c r="S70" s="31">
        <f t="shared" si="9"/>
        <v>0</v>
      </c>
      <c r="T70" s="32">
        <f t="shared" si="9"/>
        <v>0</v>
      </c>
      <c r="U70" s="30">
        <f t="shared" si="9"/>
        <v>0</v>
      </c>
      <c r="V70" s="31">
        <f t="shared" si="9"/>
        <v>0</v>
      </c>
      <c r="W70" s="31">
        <f t="shared" si="9"/>
        <v>0</v>
      </c>
      <c r="X70" s="31">
        <f t="shared" si="9"/>
        <v>0</v>
      </c>
      <c r="Y70" s="31">
        <f t="shared" si="9"/>
        <v>0</v>
      </c>
      <c r="Z70" s="32">
        <f t="shared" si="9"/>
        <v>0</v>
      </c>
      <c r="AA70" s="33">
        <f t="shared" si="5"/>
        <v>260.39999999999998</v>
      </c>
    </row>
    <row r="71" spans="2:27" x14ac:dyDescent="0.25">
      <c r="B71" s="18" t="s">
        <v>83</v>
      </c>
      <c r="C71" s="18"/>
      <c r="D71" s="18"/>
      <c r="E71" s="18"/>
      <c r="F71" s="18"/>
      <c r="G71" s="29">
        <f t="shared" si="8"/>
        <v>0</v>
      </c>
      <c r="H71" s="30">
        <f t="shared" si="8"/>
        <v>0</v>
      </c>
      <c r="I71" s="31">
        <f t="shared" si="8"/>
        <v>0</v>
      </c>
      <c r="J71" s="31">
        <f t="shared" si="8"/>
        <v>0</v>
      </c>
      <c r="K71" s="32">
        <f t="shared" si="8"/>
        <v>0</v>
      </c>
      <c r="L71" s="30">
        <f t="shared" si="8"/>
        <v>0</v>
      </c>
      <c r="M71" s="31">
        <f t="shared" si="8"/>
        <v>0</v>
      </c>
      <c r="N71" s="32">
        <f t="shared" si="8"/>
        <v>0</v>
      </c>
      <c r="O71" s="30">
        <f t="shared" si="8"/>
        <v>0</v>
      </c>
      <c r="P71" s="31">
        <f t="shared" si="8"/>
        <v>0</v>
      </c>
      <c r="Q71" s="32">
        <f t="shared" si="9"/>
        <v>0</v>
      </c>
      <c r="R71" s="30">
        <f t="shared" si="9"/>
        <v>0</v>
      </c>
      <c r="S71" s="31">
        <f t="shared" si="9"/>
        <v>0</v>
      </c>
      <c r="T71" s="32">
        <f t="shared" si="9"/>
        <v>0</v>
      </c>
      <c r="U71" s="30">
        <f t="shared" si="9"/>
        <v>0</v>
      </c>
      <c r="V71" s="31">
        <f t="shared" si="9"/>
        <v>0</v>
      </c>
      <c r="W71" s="31">
        <f t="shared" si="9"/>
        <v>0</v>
      </c>
      <c r="X71" s="31">
        <f t="shared" si="9"/>
        <v>0</v>
      </c>
      <c r="Y71" s="31">
        <f t="shared" si="9"/>
        <v>142</v>
      </c>
      <c r="Z71" s="32">
        <f t="shared" si="9"/>
        <v>0</v>
      </c>
      <c r="AA71" s="33">
        <f t="shared" si="5"/>
        <v>142</v>
      </c>
    </row>
    <row r="72" spans="2:27" x14ac:dyDescent="0.25">
      <c r="B72" s="18" t="s">
        <v>56</v>
      </c>
      <c r="C72" s="18"/>
      <c r="D72" s="18"/>
      <c r="E72" s="18"/>
      <c r="F72" s="18"/>
      <c r="G72" s="29">
        <f t="shared" si="8"/>
        <v>0</v>
      </c>
      <c r="H72" s="30">
        <f t="shared" si="8"/>
        <v>0</v>
      </c>
      <c r="I72" s="31">
        <f t="shared" si="8"/>
        <v>0</v>
      </c>
      <c r="J72" s="31">
        <f t="shared" si="8"/>
        <v>0</v>
      </c>
      <c r="K72" s="32">
        <f t="shared" si="8"/>
        <v>0</v>
      </c>
      <c r="L72" s="30">
        <f t="shared" si="8"/>
        <v>0</v>
      </c>
      <c r="M72" s="31">
        <f t="shared" si="8"/>
        <v>0</v>
      </c>
      <c r="N72" s="32">
        <f t="shared" si="8"/>
        <v>0</v>
      </c>
      <c r="O72" s="30">
        <f t="shared" si="8"/>
        <v>112</v>
      </c>
      <c r="P72" s="31">
        <f t="shared" si="8"/>
        <v>0</v>
      </c>
      <c r="Q72" s="32">
        <f t="shared" si="9"/>
        <v>18.599999999999998</v>
      </c>
      <c r="R72" s="30">
        <f t="shared" si="9"/>
        <v>0</v>
      </c>
      <c r="S72" s="31">
        <f t="shared" si="9"/>
        <v>0</v>
      </c>
      <c r="T72" s="32">
        <f t="shared" si="9"/>
        <v>0</v>
      </c>
      <c r="U72" s="30">
        <f t="shared" si="9"/>
        <v>0</v>
      </c>
      <c r="V72" s="31">
        <f t="shared" si="9"/>
        <v>0</v>
      </c>
      <c r="W72" s="31">
        <f t="shared" si="9"/>
        <v>0</v>
      </c>
      <c r="X72" s="31">
        <f t="shared" si="9"/>
        <v>0</v>
      </c>
      <c r="Y72" s="31">
        <f t="shared" si="9"/>
        <v>0</v>
      </c>
      <c r="Z72" s="32">
        <f t="shared" si="9"/>
        <v>0</v>
      </c>
      <c r="AA72" s="33">
        <f t="shared" si="5"/>
        <v>130.6</v>
      </c>
    </row>
    <row r="73" spans="2:27" x14ac:dyDescent="0.25">
      <c r="B73" s="18" t="s">
        <v>57</v>
      </c>
      <c r="C73" s="18"/>
      <c r="D73" s="18"/>
      <c r="E73" s="18"/>
      <c r="F73" s="18"/>
      <c r="G73" s="29">
        <f t="shared" si="8"/>
        <v>0</v>
      </c>
      <c r="H73" s="30">
        <f t="shared" si="8"/>
        <v>0</v>
      </c>
      <c r="I73" s="31">
        <f t="shared" si="8"/>
        <v>0</v>
      </c>
      <c r="J73" s="31">
        <f t="shared" si="8"/>
        <v>0</v>
      </c>
      <c r="K73" s="32">
        <f t="shared" si="8"/>
        <v>0</v>
      </c>
      <c r="L73" s="30">
        <f t="shared" si="8"/>
        <v>0</v>
      </c>
      <c r="M73" s="31">
        <f t="shared" si="8"/>
        <v>0</v>
      </c>
      <c r="N73" s="32">
        <f t="shared" si="8"/>
        <v>0</v>
      </c>
      <c r="O73" s="30">
        <f t="shared" si="8"/>
        <v>0</v>
      </c>
      <c r="P73" s="31">
        <f t="shared" si="8"/>
        <v>0</v>
      </c>
      <c r="Q73" s="32">
        <f t="shared" si="9"/>
        <v>0</v>
      </c>
      <c r="R73" s="30">
        <f t="shared" si="9"/>
        <v>55</v>
      </c>
      <c r="S73" s="31">
        <f t="shared" si="9"/>
        <v>28</v>
      </c>
      <c r="T73" s="32">
        <f t="shared" si="9"/>
        <v>16.5</v>
      </c>
      <c r="U73" s="30">
        <f t="shared" si="9"/>
        <v>0</v>
      </c>
      <c r="V73" s="31">
        <f t="shared" si="9"/>
        <v>0</v>
      </c>
      <c r="W73" s="31">
        <f t="shared" si="9"/>
        <v>0</v>
      </c>
      <c r="X73" s="31">
        <f t="shared" si="9"/>
        <v>0</v>
      </c>
      <c r="Y73" s="31">
        <f t="shared" si="9"/>
        <v>0</v>
      </c>
      <c r="Z73" s="32">
        <f t="shared" si="9"/>
        <v>0</v>
      </c>
      <c r="AA73" s="33">
        <f t="shared" si="5"/>
        <v>99.5</v>
      </c>
    </row>
    <row r="74" spans="2:27" x14ac:dyDescent="0.25">
      <c r="B74" s="18" t="s">
        <v>58</v>
      </c>
      <c r="C74" s="18"/>
      <c r="D74" s="18"/>
      <c r="E74" s="18"/>
      <c r="F74" s="18"/>
      <c r="G74" s="29">
        <f t="shared" si="8"/>
        <v>0</v>
      </c>
      <c r="H74" s="30">
        <f t="shared" si="8"/>
        <v>0</v>
      </c>
      <c r="I74" s="31">
        <f t="shared" si="8"/>
        <v>0</v>
      </c>
      <c r="J74" s="31">
        <f t="shared" si="8"/>
        <v>0</v>
      </c>
      <c r="K74" s="32">
        <f t="shared" si="8"/>
        <v>0</v>
      </c>
      <c r="L74" s="30">
        <f t="shared" si="8"/>
        <v>0</v>
      </c>
      <c r="M74" s="31">
        <f t="shared" si="8"/>
        <v>0</v>
      </c>
      <c r="N74" s="32">
        <f t="shared" si="8"/>
        <v>0</v>
      </c>
      <c r="O74" s="30">
        <f t="shared" si="8"/>
        <v>0</v>
      </c>
      <c r="P74" s="31">
        <f t="shared" si="8"/>
        <v>0</v>
      </c>
      <c r="Q74" s="32">
        <f t="shared" si="9"/>
        <v>31</v>
      </c>
      <c r="R74" s="30">
        <f t="shared" si="9"/>
        <v>44</v>
      </c>
      <c r="S74" s="31">
        <f t="shared" si="9"/>
        <v>28</v>
      </c>
      <c r="T74" s="32">
        <f t="shared" si="9"/>
        <v>27.5</v>
      </c>
      <c r="U74" s="30">
        <f t="shared" si="9"/>
        <v>0</v>
      </c>
      <c r="V74" s="31">
        <f t="shared" si="9"/>
        <v>0</v>
      </c>
      <c r="W74" s="31">
        <f t="shared" si="9"/>
        <v>0</v>
      </c>
      <c r="X74" s="31">
        <f t="shared" si="9"/>
        <v>0</v>
      </c>
      <c r="Y74" s="31">
        <f t="shared" si="9"/>
        <v>0</v>
      </c>
      <c r="Z74" s="32">
        <f t="shared" si="9"/>
        <v>0</v>
      </c>
      <c r="AA74" s="33">
        <f t="shared" si="5"/>
        <v>130.5</v>
      </c>
    </row>
    <row r="75" spans="2:27" x14ac:dyDescent="0.25">
      <c r="B75" s="18" t="s">
        <v>59</v>
      </c>
      <c r="C75" s="18"/>
      <c r="D75" s="18"/>
      <c r="E75" s="18"/>
      <c r="F75" s="18"/>
      <c r="G75" s="29">
        <f t="shared" si="8"/>
        <v>0</v>
      </c>
      <c r="H75" s="30">
        <f t="shared" si="8"/>
        <v>0</v>
      </c>
      <c r="I75" s="31">
        <f t="shared" si="8"/>
        <v>0</v>
      </c>
      <c r="J75" s="31">
        <f t="shared" si="8"/>
        <v>0</v>
      </c>
      <c r="K75" s="32">
        <f t="shared" si="8"/>
        <v>0</v>
      </c>
      <c r="L75" s="30">
        <f t="shared" si="8"/>
        <v>0</v>
      </c>
      <c r="M75" s="31">
        <f t="shared" si="8"/>
        <v>0</v>
      </c>
      <c r="N75" s="32">
        <f t="shared" si="8"/>
        <v>0</v>
      </c>
      <c r="O75" s="30">
        <f t="shared" si="8"/>
        <v>0</v>
      </c>
      <c r="P75" s="31">
        <f t="shared" si="8"/>
        <v>0</v>
      </c>
      <c r="Q75" s="32">
        <f t="shared" si="9"/>
        <v>0</v>
      </c>
      <c r="R75" s="30">
        <f t="shared" si="9"/>
        <v>0</v>
      </c>
      <c r="S75" s="31">
        <f t="shared" si="9"/>
        <v>0</v>
      </c>
      <c r="T75" s="32">
        <f t="shared" si="9"/>
        <v>55</v>
      </c>
      <c r="U75" s="30">
        <f t="shared" si="9"/>
        <v>0</v>
      </c>
      <c r="V75" s="31">
        <f t="shared" si="9"/>
        <v>0</v>
      </c>
      <c r="W75" s="31">
        <f t="shared" si="9"/>
        <v>0</v>
      </c>
      <c r="X75" s="31">
        <f t="shared" si="9"/>
        <v>0</v>
      </c>
      <c r="Y75" s="31">
        <f t="shared" si="9"/>
        <v>0</v>
      </c>
      <c r="Z75" s="32">
        <f t="shared" si="9"/>
        <v>0</v>
      </c>
      <c r="AA75" s="33">
        <f t="shared" si="5"/>
        <v>55</v>
      </c>
    </row>
    <row r="76" spans="2:27" x14ac:dyDescent="0.25">
      <c r="B76" s="18" t="s">
        <v>76</v>
      </c>
      <c r="C76" s="18"/>
      <c r="D76" s="18"/>
      <c r="E76" s="18"/>
      <c r="F76" s="18"/>
      <c r="G76" s="29">
        <f t="shared" si="8"/>
        <v>0</v>
      </c>
      <c r="H76" s="30">
        <f t="shared" si="8"/>
        <v>0</v>
      </c>
      <c r="I76" s="31">
        <f t="shared" si="8"/>
        <v>0</v>
      </c>
      <c r="J76" s="31">
        <f t="shared" si="8"/>
        <v>0</v>
      </c>
      <c r="K76" s="32">
        <f t="shared" si="8"/>
        <v>0</v>
      </c>
      <c r="L76" s="30">
        <f t="shared" si="8"/>
        <v>0</v>
      </c>
      <c r="M76" s="31">
        <f t="shared" si="8"/>
        <v>0</v>
      </c>
      <c r="N76" s="32">
        <f t="shared" si="8"/>
        <v>0</v>
      </c>
      <c r="O76" s="30">
        <f t="shared" si="8"/>
        <v>0</v>
      </c>
      <c r="P76" s="31">
        <f t="shared" si="8"/>
        <v>0</v>
      </c>
      <c r="Q76" s="32">
        <f t="shared" si="9"/>
        <v>0</v>
      </c>
      <c r="R76" s="30">
        <f t="shared" si="9"/>
        <v>0</v>
      </c>
      <c r="S76" s="31">
        <f t="shared" si="9"/>
        <v>0</v>
      </c>
      <c r="T76" s="32">
        <f t="shared" si="9"/>
        <v>0</v>
      </c>
      <c r="U76" s="30">
        <f t="shared" si="9"/>
        <v>1791</v>
      </c>
      <c r="V76" s="31">
        <f t="shared" si="9"/>
        <v>0</v>
      </c>
      <c r="W76" s="31">
        <f t="shared" si="9"/>
        <v>0</v>
      </c>
      <c r="X76" s="31">
        <f t="shared" si="9"/>
        <v>0</v>
      </c>
      <c r="Y76" s="31">
        <f t="shared" si="9"/>
        <v>0</v>
      </c>
      <c r="Z76" s="32">
        <f t="shared" si="9"/>
        <v>0</v>
      </c>
      <c r="AA76" s="33">
        <f t="shared" ref="AA76" si="10">SUM(G76:Z76)</f>
        <v>1791</v>
      </c>
    </row>
  </sheetData>
  <mergeCells count="5">
    <mergeCell ref="H2:K2"/>
    <mergeCell ref="L2:N2"/>
    <mergeCell ref="O2:Q2"/>
    <mergeCell ref="R2:T2"/>
    <mergeCell ref="U2:Z2"/>
  </mergeCells>
  <conditionalFormatting sqref="G8:Z19">
    <cfRule type="colorScale" priority="5">
      <colorScale>
        <cfvo type="min"/>
        <cfvo type="max"/>
        <color rgb="FFFCFCFF"/>
        <color rgb="FFF8696B"/>
      </colorScale>
    </cfRule>
  </conditionalFormatting>
  <conditionalFormatting sqref="G45:Z76">
    <cfRule type="colorScale" priority="6">
      <colorScale>
        <cfvo type="min"/>
        <cfvo type="max"/>
        <color rgb="FFFCFCFF"/>
        <color rgb="FFF8696B"/>
      </colorScale>
    </cfRule>
  </conditionalFormatting>
  <conditionalFormatting sqref="AA45:AA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Z7">
    <cfRule type="colorScale" priority="4">
      <colorScale>
        <cfvo type="min"/>
        <cfvo type="max"/>
        <color rgb="FFFCFCFF"/>
        <color rgb="FF63BE7B"/>
      </colorScale>
    </cfRule>
  </conditionalFormatting>
  <conditionalFormatting sqref="G4:Z4">
    <cfRule type="colorScale" priority="3">
      <colorScale>
        <cfvo type="min"/>
        <cfvo type="max"/>
        <color rgb="FFFCFCFF"/>
        <color rgb="FF63BE7B"/>
      </colorScale>
    </cfRule>
  </conditionalFormatting>
  <conditionalFormatting sqref="G20:Z44">
    <cfRule type="colorScale" priority="8">
      <colorScale>
        <cfvo type="min"/>
        <cfvo type="max"/>
        <color rgb="FFFCFCFF"/>
        <color rgb="FFF8696B"/>
      </colorScale>
    </cfRule>
  </conditionalFormatting>
  <conditionalFormatting sqref="G6:Z6">
    <cfRule type="colorScale" priority="2">
      <colorScale>
        <cfvo type="min"/>
        <cfvo type="max"/>
        <color rgb="FFFCFCFF"/>
        <color rgb="FF63BE7B"/>
      </colorScale>
    </cfRule>
  </conditionalFormatting>
  <conditionalFormatting sqref="C10:E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/>
  <dimension ref="A1:CV455"/>
  <sheetViews>
    <sheetView tabSelected="1" workbookViewId="0">
      <pane xSplit="3" ySplit="4" topLeftCell="D54" activePane="bottomRight" state="frozen"/>
      <selection pane="topRight" activeCell="D1" sqref="D1"/>
      <selection pane="bottomLeft" activeCell="A5" sqref="A5"/>
      <selection pane="bottomRight" activeCell="N68" sqref="N68"/>
    </sheetView>
  </sheetViews>
  <sheetFormatPr defaultRowHeight="15" outlineLevelCol="1" x14ac:dyDescent="0.25"/>
  <cols>
    <col min="1" max="2" width="12.5703125" style="27" customWidth="1"/>
    <col min="3" max="3" width="27.140625" style="34" customWidth="1"/>
    <col min="4" max="4" width="10.85546875" style="40" customWidth="1"/>
    <col min="5" max="5" width="10.85546875" style="71" customWidth="1"/>
    <col min="6" max="7" width="10.85546875" style="27" customWidth="1"/>
    <col min="8" max="8" width="7.85546875" customWidth="1"/>
    <col min="9" max="10" width="6.5703125" style="27" customWidth="1"/>
    <col min="11" max="11" width="8.85546875" style="27" customWidth="1"/>
    <col min="12" max="12" width="25" style="108" customWidth="1"/>
    <col min="13" max="13" width="8.85546875" style="27" customWidth="1"/>
    <col min="14" max="14" width="25" style="108" customWidth="1"/>
    <col min="15" max="15" width="3.7109375" customWidth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4.28515625" customWidth="1" collapsed="1"/>
    <col min="79" max="98" width="8.85546875" hidden="1" customWidth="1" outlineLevel="1"/>
    <col min="99" max="99" width="4.85546875" customWidth="1" collapsed="1"/>
    <col min="100" max="100" width="12.7109375" customWidth="1"/>
  </cols>
  <sheetData>
    <row r="1" spans="1:100" s="23" customFormat="1" x14ac:dyDescent="0.25">
      <c r="A1" s="37" t="s">
        <v>78</v>
      </c>
      <c r="B1" s="92" t="s">
        <v>80</v>
      </c>
      <c r="C1" s="93" cm="1">
        <f t="array" aca="1" ref="C1" ca="1">IF(INDEX($A$5:$A$996,MATCH(TRUE,ISBLANK($B$5:$B$996),0))=0,TODAY(),INDEX($A$5:$A$996,MATCH(TRUE,ISBLANK($B$5:$B$996),0)))</f>
        <v>45065</v>
      </c>
      <c r="D1" s="36"/>
      <c r="E1" s="63"/>
      <c r="F1" s="58">
        <v>-0.5</v>
      </c>
      <c r="G1" s="58">
        <v>1</v>
      </c>
      <c r="H1" s="58">
        <v>1</v>
      </c>
      <c r="I1" s="37"/>
      <c r="J1" s="37"/>
      <c r="K1" s="37"/>
      <c r="L1" s="105"/>
      <c r="M1" s="37"/>
      <c r="N1" s="105"/>
      <c r="AK1" s="58">
        <v>1</v>
      </c>
      <c r="AL1" s="58">
        <v>1</v>
      </c>
      <c r="AM1" s="58">
        <v>1</v>
      </c>
      <c r="AN1" s="58">
        <v>1</v>
      </c>
      <c r="AO1" s="58">
        <v>1</v>
      </c>
      <c r="AP1" s="58">
        <v>1</v>
      </c>
      <c r="AQ1" s="58">
        <v>1</v>
      </c>
      <c r="AR1" s="58">
        <v>1</v>
      </c>
      <c r="AS1" s="58">
        <v>1</v>
      </c>
      <c r="AT1" s="58">
        <v>1</v>
      </c>
      <c r="AU1" s="58">
        <v>1</v>
      </c>
      <c r="AV1" s="58">
        <v>1</v>
      </c>
      <c r="AW1" s="58">
        <v>1</v>
      </c>
      <c r="AX1" s="58">
        <v>1</v>
      </c>
      <c r="AY1" s="58">
        <v>1</v>
      </c>
      <c r="AZ1" s="58">
        <v>1</v>
      </c>
      <c r="BA1" s="58">
        <v>1</v>
      </c>
      <c r="BB1" s="58">
        <v>1</v>
      </c>
      <c r="BC1" s="58">
        <v>1</v>
      </c>
      <c r="BD1" s="58">
        <v>1</v>
      </c>
      <c r="CV1" s="58">
        <v>-1</v>
      </c>
    </row>
    <row r="2" spans="1:100" s="23" customFormat="1" x14ac:dyDescent="0.25">
      <c r="A2" s="37" t="s">
        <v>79</v>
      </c>
      <c r="B2" s="37"/>
      <c r="C2" s="38"/>
      <c r="D2" s="64" t="s">
        <v>67</v>
      </c>
      <c r="E2" s="65"/>
      <c r="F2" s="94">
        <v>0.14619671875000004</v>
      </c>
      <c r="G2" s="62">
        <f>AVERAGE(UWS!AB10:AB41)</f>
        <v>2.9437500000000001</v>
      </c>
      <c r="H2" s="94">
        <f>AVERAGE(UWS!C10:C41)</f>
        <v>1.0250000000000001</v>
      </c>
      <c r="I2" s="37"/>
      <c r="J2" s="37"/>
      <c r="K2" s="37"/>
      <c r="L2" s="105"/>
      <c r="M2" s="37"/>
      <c r="N2" s="105"/>
      <c r="P2" s="23" t="s">
        <v>69</v>
      </c>
      <c r="AK2" s="23" t="s">
        <v>70</v>
      </c>
      <c r="AM2" s="60" t="s">
        <v>68</v>
      </c>
      <c r="AN2" s="59">
        <v>0.05</v>
      </c>
      <c r="BF2" s="23" t="s">
        <v>71</v>
      </c>
      <c r="BY2" s="23" t="s">
        <v>61</v>
      </c>
      <c r="CA2" s="61">
        <f>UWS!G6/SUM(UWS!$G$6:$Z$6)</f>
        <v>4.3478260869565216E-2</v>
      </c>
      <c r="CB2" s="61">
        <f>UWS!H6/SUM(UWS!$G$6:$Z$6)</f>
        <v>6.5217391304347824E-2</v>
      </c>
      <c r="CC2" s="61">
        <f>UWS!I6/SUM(UWS!$G$6:$Z$6)</f>
        <v>4.3478260869565216E-2</v>
      </c>
      <c r="CD2" s="61">
        <f>UWS!J6/SUM(UWS!$G$6:$Z$6)</f>
        <v>4.3478260869565216E-2</v>
      </c>
      <c r="CE2" s="61">
        <f>UWS!K6/SUM(UWS!$G$6:$Z$6)</f>
        <v>4.3478260869565216E-2</v>
      </c>
      <c r="CF2" s="61">
        <f>UWS!L6/SUM(UWS!$G$6:$Z$6)</f>
        <v>8.6956521739130432E-2</v>
      </c>
      <c r="CG2" s="61">
        <f>UWS!M6/SUM(UWS!$G$6:$Z$6)</f>
        <v>4.3478260869565216E-2</v>
      </c>
      <c r="CH2" s="61">
        <f>UWS!N6/SUM(UWS!$G$6:$Z$6)</f>
        <v>6.5217391304347824E-2</v>
      </c>
      <c r="CI2" s="61">
        <f>UWS!O6/SUM(UWS!$G$6:$Z$6)</f>
        <v>4.3478260869565216E-2</v>
      </c>
      <c r="CJ2" s="61">
        <f>UWS!P6/SUM(UWS!$G$6:$Z$6)</f>
        <v>4.3478260869565216E-2</v>
      </c>
      <c r="CK2" s="61">
        <f>UWS!Q6/SUM(UWS!$G$6:$Z$6)</f>
        <v>4.3478260869565216E-2</v>
      </c>
      <c r="CL2" s="61">
        <f>UWS!R6/SUM(UWS!$G$6:$Z$6)</f>
        <v>4.3478260869565216E-2</v>
      </c>
      <c r="CM2" s="61">
        <f>UWS!S6/SUM(UWS!$G$6:$Z$6)</f>
        <v>6.5217391304347824E-2</v>
      </c>
      <c r="CN2" s="61">
        <f>UWS!T6/SUM(UWS!$G$6:$Z$6)</f>
        <v>4.3478260869565216E-2</v>
      </c>
      <c r="CO2" s="61">
        <f>UWS!U6/SUM(UWS!$G$6:$Z$6)</f>
        <v>4.3478260869565216E-2</v>
      </c>
      <c r="CP2" s="61">
        <f>UWS!V6/SUM(UWS!$G$6:$Z$6)</f>
        <v>4.3478260869565216E-2</v>
      </c>
      <c r="CQ2" s="61">
        <f>UWS!W6/SUM(UWS!$G$6:$Z$6)</f>
        <v>6.5217391304347824E-2</v>
      </c>
      <c r="CR2" s="61">
        <f>UWS!X6/SUM(UWS!$G$6:$Z$6)</f>
        <v>4.3478260869565216E-2</v>
      </c>
      <c r="CS2" s="61">
        <f>UWS!Y6/SUM(UWS!$G$6:$Z$6)</f>
        <v>4.3478260869565216E-2</v>
      </c>
      <c r="CT2" s="61">
        <f>UWS!Z6/SUM(UWS!$G$6:$Z$6)</f>
        <v>4.3478260869565216E-2</v>
      </c>
    </row>
    <row r="3" spans="1:100" s="23" customFormat="1" x14ac:dyDescent="0.25">
      <c r="A3" s="37" t="s">
        <v>82</v>
      </c>
      <c r="B3" s="37"/>
      <c r="C3" s="38"/>
      <c r="D3" s="64">
        <v>0.4</v>
      </c>
      <c r="E3" s="66"/>
      <c r="F3" s="95">
        <f ca="1">AVERAGE(UWS!D10:D41)</f>
        <v>0.18006126027633212</v>
      </c>
      <c r="G3" s="96">
        <v>0.5</v>
      </c>
      <c r="I3" s="37"/>
      <c r="J3" s="37"/>
      <c r="K3" s="37"/>
      <c r="L3" s="105"/>
      <c r="M3" s="37"/>
      <c r="N3" s="105"/>
      <c r="P3" s="6" t="s">
        <v>0</v>
      </c>
      <c r="Q3" s="110" t="s">
        <v>1</v>
      </c>
      <c r="R3" s="111"/>
      <c r="S3" s="111"/>
      <c r="T3" s="112"/>
      <c r="U3" s="110" t="s">
        <v>2</v>
      </c>
      <c r="V3" s="111"/>
      <c r="W3" s="112"/>
      <c r="X3" s="110" t="s">
        <v>3</v>
      </c>
      <c r="Y3" s="111"/>
      <c r="Z3" s="112"/>
      <c r="AA3" s="110" t="s">
        <v>4</v>
      </c>
      <c r="AB3" s="111"/>
      <c r="AC3" s="112"/>
      <c r="AD3" s="110" t="s">
        <v>5</v>
      </c>
      <c r="AE3" s="111"/>
      <c r="AF3" s="111"/>
      <c r="AG3" s="111"/>
      <c r="AH3" s="111"/>
      <c r="AI3" s="112"/>
      <c r="AK3" s="6" t="s">
        <v>0</v>
      </c>
      <c r="AL3" s="110" t="s">
        <v>1</v>
      </c>
      <c r="AM3" s="111"/>
      <c r="AN3" s="111"/>
      <c r="AO3" s="112"/>
      <c r="AP3" s="110" t="s">
        <v>2</v>
      </c>
      <c r="AQ3" s="111"/>
      <c r="AR3" s="112"/>
      <c r="AS3" s="110" t="s">
        <v>3</v>
      </c>
      <c r="AT3" s="111"/>
      <c r="AU3" s="112"/>
      <c r="AV3" s="110" t="s">
        <v>4</v>
      </c>
      <c r="AW3" s="111"/>
      <c r="AX3" s="112"/>
      <c r="AY3" s="110" t="s">
        <v>5</v>
      </c>
      <c r="AZ3" s="111"/>
      <c r="BA3" s="111"/>
      <c r="BB3" s="111"/>
      <c r="BC3" s="111"/>
      <c r="BD3" s="112"/>
      <c r="BF3" s="6" t="s">
        <v>0</v>
      </c>
      <c r="BG3" s="110" t="s">
        <v>1</v>
      </c>
      <c r="BH3" s="111"/>
      <c r="BI3" s="111"/>
      <c r="BJ3" s="112"/>
      <c r="BK3" s="110" t="s">
        <v>2</v>
      </c>
      <c r="BL3" s="111"/>
      <c r="BM3" s="112"/>
      <c r="BN3" s="110" t="s">
        <v>3</v>
      </c>
      <c r="BO3" s="111"/>
      <c r="BP3" s="112"/>
      <c r="BQ3" s="110" t="s">
        <v>4</v>
      </c>
      <c r="BR3" s="111"/>
      <c r="BS3" s="112"/>
      <c r="BT3" s="110" t="s">
        <v>5</v>
      </c>
      <c r="BU3" s="111"/>
      <c r="BV3" s="111"/>
      <c r="BW3" s="111"/>
      <c r="BX3" s="111"/>
      <c r="BY3" s="112"/>
      <c r="CA3" s="35" t="s">
        <v>0</v>
      </c>
      <c r="CB3" s="113" t="s">
        <v>1</v>
      </c>
      <c r="CC3" s="114"/>
      <c r="CD3" s="114"/>
      <c r="CE3" s="115"/>
      <c r="CF3" s="113" t="s">
        <v>2</v>
      </c>
      <c r="CG3" s="114"/>
      <c r="CH3" s="115"/>
      <c r="CI3" s="113" t="s">
        <v>3</v>
      </c>
      <c r="CJ3" s="114"/>
      <c r="CK3" s="115"/>
      <c r="CL3" s="113" t="s">
        <v>4</v>
      </c>
      <c r="CM3" s="114"/>
      <c r="CN3" s="115"/>
      <c r="CO3" s="113" t="s">
        <v>5</v>
      </c>
      <c r="CP3" s="114"/>
      <c r="CQ3" s="114"/>
      <c r="CR3" s="114"/>
      <c r="CS3" s="114"/>
      <c r="CT3" s="115"/>
    </row>
    <row r="4" spans="1:100" ht="30" x14ac:dyDescent="0.25">
      <c r="A4" s="37" t="s">
        <v>62</v>
      </c>
      <c r="B4" s="37"/>
      <c r="C4" s="38" t="s">
        <v>75</v>
      </c>
      <c r="D4" s="67" t="s">
        <v>63</v>
      </c>
      <c r="E4" s="68" t="s">
        <v>66</v>
      </c>
      <c r="F4" s="54" t="s">
        <v>77</v>
      </c>
      <c r="G4" s="54" t="s">
        <v>73</v>
      </c>
      <c r="H4" s="38" t="s">
        <v>65</v>
      </c>
      <c r="I4" s="54" t="s">
        <v>74</v>
      </c>
      <c r="J4" s="54" t="s">
        <v>81</v>
      </c>
      <c r="K4" s="54" t="s">
        <v>143</v>
      </c>
      <c r="L4" s="106" t="s">
        <v>145</v>
      </c>
      <c r="M4" s="54" t="s">
        <v>144</v>
      </c>
      <c r="N4" s="106" t="s">
        <v>146</v>
      </c>
      <c r="P4" s="72" t="s">
        <v>6</v>
      </c>
      <c r="Q4" s="73" t="s">
        <v>7</v>
      </c>
      <c r="R4" s="39" t="s">
        <v>8</v>
      </c>
      <c r="S4" s="39" t="s">
        <v>9</v>
      </c>
      <c r="T4" s="74" t="s">
        <v>10</v>
      </c>
      <c r="U4" s="73" t="s">
        <v>11</v>
      </c>
      <c r="V4" s="39" t="s">
        <v>12</v>
      </c>
      <c r="W4" s="74" t="s">
        <v>13</v>
      </c>
      <c r="X4" s="73" t="s">
        <v>14</v>
      </c>
      <c r="Y4" s="39" t="s">
        <v>15</v>
      </c>
      <c r="Z4" s="74" t="s">
        <v>16</v>
      </c>
      <c r="AA4" s="73" t="s">
        <v>17</v>
      </c>
      <c r="AB4" s="39" t="s">
        <v>18</v>
      </c>
      <c r="AC4" s="74" t="s">
        <v>19</v>
      </c>
      <c r="AD4" s="73" t="s">
        <v>20</v>
      </c>
      <c r="AE4" s="39" t="s">
        <v>21</v>
      </c>
      <c r="AF4" s="39" t="s">
        <v>22</v>
      </c>
      <c r="AG4" s="39" t="s">
        <v>23</v>
      </c>
      <c r="AH4" s="39" t="s">
        <v>24</v>
      </c>
      <c r="AI4" s="74" t="s">
        <v>25</v>
      </c>
      <c r="AK4" s="72" t="s">
        <v>6</v>
      </c>
      <c r="AL4" s="73" t="s">
        <v>7</v>
      </c>
      <c r="AM4" s="39" t="s">
        <v>8</v>
      </c>
      <c r="AN4" s="39" t="s">
        <v>9</v>
      </c>
      <c r="AO4" s="74" t="s">
        <v>10</v>
      </c>
      <c r="AP4" s="73" t="s">
        <v>11</v>
      </c>
      <c r="AQ4" s="39" t="s">
        <v>12</v>
      </c>
      <c r="AR4" s="74" t="s">
        <v>13</v>
      </c>
      <c r="AS4" s="73" t="s">
        <v>14</v>
      </c>
      <c r="AT4" s="39" t="s">
        <v>15</v>
      </c>
      <c r="AU4" s="74" t="s">
        <v>16</v>
      </c>
      <c r="AV4" s="73" t="s">
        <v>17</v>
      </c>
      <c r="AW4" s="39" t="s">
        <v>18</v>
      </c>
      <c r="AX4" s="74" t="s">
        <v>19</v>
      </c>
      <c r="AY4" s="73" t="s">
        <v>20</v>
      </c>
      <c r="AZ4" s="39" t="s">
        <v>21</v>
      </c>
      <c r="BA4" s="39" t="s">
        <v>22</v>
      </c>
      <c r="BB4" s="39" t="s">
        <v>23</v>
      </c>
      <c r="BC4" s="39" t="s">
        <v>24</v>
      </c>
      <c r="BD4" s="74" t="s">
        <v>25</v>
      </c>
      <c r="BF4" s="72" t="s">
        <v>6</v>
      </c>
      <c r="BG4" s="73" t="s">
        <v>7</v>
      </c>
      <c r="BH4" s="39" t="s">
        <v>8</v>
      </c>
      <c r="BI4" s="39" t="s">
        <v>9</v>
      </c>
      <c r="BJ4" s="74" t="s">
        <v>10</v>
      </c>
      <c r="BK4" s="73" t="s">
        <v>11</v>
      </c>
      <c r="BL4" s="39" t="s">
        <v>12</v>
      </c>
      <c r="BM4" s="74" t="s">
        <v>13</v>
      </c>
      <c r="BN4" s="73" t="s">
        <v>14</v>
      </c>
      <c r="BO4" s="39" t="s">
        <v>15</v>
      </c>
      <c r="BP4" s="74" t="s">
        <v>16</v>
      </c>
      <c r="BQ4" s="73" t="s">
        <v>17</v>
      </c>
      <c r="BR4" s="39" t="s">
        <v>18</v>
      </c>
      <c r="BS4" s="74" t="s">
        <v>19</v>
      </c>
      <c r="BT4" s="73" t="s">
        <v>20</v>
      </c>
      <c r="BU4" s="39" t="s">
        <v>21</v>
      </c>
      <c r="BV4" s="39" t="s">
        <v>22</v>
      </c>
      <c r="BW4" s="39" t="s">
        <v>23</v>
      </c>
      <c r="BX4" s="39" t="s">
        <v>24</v>
      </c>
      <c r="BY4" s="74" t="s">
        <v>25</v>
      </c>
      <c r="CA4" s="72" t="s">
        <v>6</v>
      </c>
      <c r="CB4" s="73" t="s">
        <v>7</v>
      </c>
      <c r="CC4" s="39" t="s">
        <v>8</v>
      </c>
      <c r="CD4" s="39" t="s">
        <v>9</v>
      </c>
      <c r="CE4" s="74" t="s">
        <v>10</v>
      </c>
      <c r="CF4" s="73" t="s">
        <v>11</v>
      </c>
      <c r="CG4" s="39" t="s">
        <v>12</v>
      </c>
      <c r="CH4" s="74" t="s">
        <v>13</v>
      </c>
      <c r="CI4" s="73" t="s">
        <v>14</v>
      </c>
      <c r="CJ4" s="39" t="s">
        <v>15</v>
      </c>
      <c r="CK4" s="74" t="s">
        <v>16</v>
      </c>
      <c r="CL4" s="73" t="s">
        <v>17</v>
      </c>
      <c r="CM4" s="39" t="s">
        <v>18</v>
      </c>
      <c r="CN4" s="74" t="s">
        <v>19</v>
      </c>
      <c r="CO4" s="73" t="s">
        <v>20</v>
      </c>
      <c r="CP4" s="39" t="s">
        <v>21</v>
      </c>
      <c r="CQ4" s="39" t="s">
        <v>22</v>
      </c>
      <c r="CR4" s="39" t="s">
        <v>23</v>
      </c>
      <c r="CS4" s="39" t="s">
        <v>24</v>
      </c>
      <c r="CT4" s="74" t="s">
        <v>25</v>
      </c>
      <c r="CV4" s="39" t="s">
        <v>64</v>
      </c>
    </row>
    <row r="5" spans="1:100" x14ac:dyDescent="0.25">
      <c r="A5" s="75">
        <v>45046</v>
      </c>
      <c r="B5" s="76">
        <v>8</v>
      </c>
      <c r="C5" s="77" t="str" cm="1">
        <f t="array" ref="C5">IF(B5="","",INDEX(UWS!$B$10:$B$41,B5))</f>
        <v>Barbell deadlift</v>
      </c>
      <c r="D5" s="78">
        <f t="shared" ref="D5:D28" si="0">IF(C5="","",MIN(AK5:BD5))</f>
        <v>0.4</v>
      </c>
      <c r="E5" s="79">
        <f>IF(C5="","",IFERROR((H5/$H$2)^$H$1*(CV5/$CV4)^$CV$1*(F5/$F$2)^$F$1*(G5/$G$2)^IF(B5&lt;=5,0,($G$1-$G$3*(I5-1))),0))</f>
        <v>0</v>
      </c>
      <c r="F5" s="80" cm="1">
        <f t="array" ref="F5">0.1+IFERROR(INDEX($F4:$F$5,SUMPRODUCT(MAX(ROW($C4:$C$5)*($C5=$C4:$C$5))-ROW($A$4)))*0.9^($A5-INDEX($A4:A$5,SUMPRODUCT(MAX(ROW($C4:$C$5)*($C5=$C4:$C$5))-ROW($A$4)))),0)</f>
        <v>0.1</v>
      </c>
      <c r="G5" s="81">
        <f>INDEX(UWS!$AB$10:$AB$41,MATCH(C5,UWS!$B$10:$B$41,0))</f>
        <v>7.2999999999999989</v>
      </c>
      <c r="H5" s="80">
        <f>INDEX(UWS!$C$10:$C$41,MATCH(C5,UWS!$B$10:$B$41,0))</f>
        <v>1.1000000000000001</v>
      </c>
      <c r="I5" s="82">
        <v>1</v>
      </c>
      <c r="J5" s="82">
        <f>INDEX(UWS!$E$10:$E$41,MATCH(C5,UWS!$B$10:$B$41,0))</f>
        <v>1</v>
      </c>
      <c r="K5" s="82"/>
      <c r="L5" s="107" t="str" cm="1">
        <f t="array" ref="L5">IF(K5="","",INDEX(UWS!$B$10:$B$41,K5))</f>
        <v/>
      </c>
      <c r="M5" s="82"/>
      <c r="N5" s="107" t="str" cm="1">
        <f t="array" ref="N5">IF(M5="","",INDEX(UWS!$B$10:$B$41,M5))</f>
        <v/>
      </c>
      <c r="O5" s="3"/>
      <c r="P5" s="3">
        <f>IFERROR(INDEX(UWS!$G$10:$Z$41,MATCH($C5,UWS!$B$10:$B$41,0),MATCH(P$4,UWS!$G$3:$Z$3,0)),0)</f>
        <v>0</v>
      </c>
      <c r="Q5" s="3">
        <f>IFERROR(INDEX(UWS!$G$10:$Z$41,MATCH($C5,UWS!$B$10:$B$41,0),MATCH(Q$4,UWS!$G$3:$Z$3,0)),0)</f>
        <v>0.3</v>
      </c>
      <c r="R5" s="3">
        <f>IFERROR(INDEX(UWS!$G$10:$Z$41,MATCH($C5,UWS!$B$10:$B$41,0),MATCH(R$4,UWS!$G$3:$Z$3,0)),0)</f>
        <v>0.6</v>
      </c>
      <c r="S5" s="3">
        <f>IFERROR(INDEX(UWS!$G$10:$Z$41,MATCH($C5,UWS!$B$10:$B$41,0),MATCH(S$4,UWS!$G$3:$Z$3,0)),0)</f>
        <v>0.6</v>
      </c>
      <c r="T5" s="3">
        <f>IFERROR(INDEX(UWS!$G$10:$Z$41,MATCH($C5,UWS!$B$10:$B$41,0),MATCH(T$4,UWS!$G$3:$Z$3,0)),0)</f>
        <v>1</v>
      </c>
      <c r="U5" s="3">
        <f>IFERROR(INDEX(UWS!$G$10:$Z$41,MATCH($C5,UWS!$B$10:$B$41,0),MATCH(U$4,UWS!$G$3:$Z$3,0)),0)</f>
        <v>0</v>
      </c>
      <c r="V5" s="3">
        <f>IFERROR(INDEX(UWS!$G$10:$Z$41,MATCH($C5,UWS!$B$10:$B$41,0),MATCH(V$4,UWS!$G$3:$Z$3,0)),0)</f>
        <v>0</v>
      </c>
      <c r="W5" s="3">
        <f>IFERROR(INDEX(UWS!$G$10:$Z$41,MATCH($C5,UWS!$B$10:$B$41,0),MATCH(W$4,UWS!$G$3:$Z$3,0)),0)</f>
        <v>0</v>
      </c>
      <c r="X5" s="3">
        <f>IFERROR(INDEX(UWS!$G$10:$Z$41,MATCH($C5,UWS!$B$10:$B$41,0),MATCH(X$4,UWS!$G$3:$Z$3,0)),0)</f>
        <v>0</v>
      </c>
      <c r="Y5" s="3">
        <f>IFERROR(INDEX(UWS!$G$10:$Z$41,MATCH($C5,UWS!$B$10:$B$41,0),MATCH(Y$4,UWS!$G$3:$Z$3,0)),0)</f>
        <v>0</v>
      </c>
      <c r="Z5" s="3">
        <f>IFERROR(INDEX(UWS!$G$10:$Z$41,MATCH($C5,UWS!$B$10:$B$41,0),MATCH(Z$4,UWS!$G$3:$Z$3,0)),0)</f>
        <v>1</v>
      </c>
      <c r="AA5" s="3">
        <f>IFERROR(INDEX(UWS!$G$10:$Z$41,MATCH($C5,UWS!$B$10:$B$41,0),MATCH(AA$4,UWS!$G$3:$Z$3,0)),0)</f>
        <v>0</v>
      </c>
      <c r="AB5" s="3">
        <f>IFERROR(INDEX(UWS!$G$10:$Z$41,MATCH($C5,UWS!$B$10:$B$41,0),MATCH(AB$4,UWS!$G$3:$Z$3,0)),0)</f>
        <v>0.7</v>
      </c>
      <c r="AC5" s="3">
        <f>IFERROR(INDEX(UWS!$G$10:$Z$41,MATCH($C5,UWS!$B$10:$B$41,0),MATCH(AC$4,UWS!$G$3:$Z$3,0)),0)</f>
        <v>0</v>
      </c>
      <c r="AD5" s="3">
        <f>IFERROR(INDEX(UWS!$G$10:$Z$41,MATCH($C5,UWS!$B$10:$B$41,0),MATCH(AD$4,UWS!$G$3:$Z$3,0)),0)</f>
        <v>0.6</v>
      </c>
      <c r="AE5" s="3">
        <f>IFERROR(INDEX(UWS!$G$10:$Z$41,MATCH($C5,UWS!$B$10:$B$41,0),MATCH(AE$4,UWS!$G$3:$Z$3,0)),0)</f>
        <v>0.8</v>
      </c>
      <c r="AF5" s="3">
        <f>IFERROR(INDEX(UWS!$G$10:$Z$41,MATCH($C5,UWS!$B$10:$B$41,0),MATCH(AF$4,UWS!$G$3:$Z$3,0)),0)</f>
        <v>1</v>
      </c>
      <c r="AG5" s="3">
        <f>IFERROR(INDEX(UWS!$G$10:$Z$41,MATCH($C5,UWS!$B$10:$B$41,0),MATCH(AG$4,UWS!$G$3:$Z$3,0)),0)</f>
        <v>0.1</v>
      </c>
      <c r="AH5" s="3">
        <f>IFERROR(INDEX(UWS!$G$10:$Z$41,MATCH($C5,UWS!$B$10:$B$41,0),MATCH(AH$4,UWS!$G$3:$Z$3,0)),0)</f>
        <v>0.3</v>
      </c>
      <c r="AI5" s="3">
        <f>IFERROR(INDEX(UWS!$G$10:$Z$41,MATCH($C5,UWS!$B$10:$B$41,0),MATCH(AI$4,UWS!$G$3:$Z$3,0)),0)</f>
        <v>0.3</v>
      </c>
      <c r="AJ5" s="3"/>
      <c r="AK5" s="3">
        <f>IF(OR($J5=0,COUNTIFS($A$4:$A4,"&gt;="&amp;$A5-1,$A$4:$A4,"&lt;="&amp;$A5,$B$4:$B4,$B5)&gt;0,MIN(AK$1,IF($A5=$A4,AK4,1))-P5&lt;0),-1,MIN(1,IF($A5=$A4,AK4,1)-P5+$D$3))</f>
        <v>1</v>
      </c>
      <c r="AL5" s="3">
        <f>IF(OR($J5=0,COUNTIFS($A$4:$A4,"&gt;="&amp;$A5-1,$A$4:$A4,"&lt;="&amp;$A5,$B$4:$B4,$B5)&gt;0,MIN(AL$1,IF($A5=$A4,AL4,1))-Q5&lt;0),-1,MIN(1,IF($A5=$A4,AL4,1)-Q5+$D$3))</f>
        <v>1</v>
      </c>
      <c r="AM5" s="3">
        <f>IF(OR($J5=0,COUNTIFS($A$4:$A4,"&gt;="&amp;$A5-1,$A$4:$A4,"&lt;="&amp;$A5,$B$4:$B4,$B5)&gt;0,MIN(AM$1,IF($A5=$A4,AM4,1))-R5&lt;0),-1,MIN(1,IF($A5=$A4,AM4,1)-R5+$D$3))</f>
        <v>0.8</v>
      </c>
      <c r="AN5" s="3">
        <f>IF(OR($J5=0,COUNTIFS($A$4:$A4,"&gt;="&amp;$A5-1,$A$4:$A4,"&lt;="&amp;$A5,$B$4:$B4,$B5)&gt;0,MIN(AN$1,IF($A5=$A4,AN4,1))-S5&lt;0),-1,MIN(1,IF($A5=$A4,AN4,1)-S5+$D$3))</f>
        <v>0.8</v>
      </c>
      <c r="AO5" s="3">
        <f>IF(OR($J5=0,COUNTIFS($A$4:$A4,"&gt;="&amp;$A5-1,$A$4:$A4,"&lt;="&amp;$A5,$B$4:$B4,$B5)&gt;0,MIN(AO$1,IF($A5=$A4,AO4,1))-T5&lt;0),-1,MIN(1,IF($A5=$A4,AO4,1)-T5+$D$3))</f>
        <v>0.4</v>
      </c>
      <c r="AP5" s="3">
        <f>IF(OR($J5=0,COUNTIFS($A$4:$A4,"&gt;="&amp;$A5-1,$A$4:$A4,"&lt;="&amp;$A5,$B$4:$B4,$B5)&gt;0,MIN(AP$1,IF($A5=$A4,AP4,1))-U5&lt;0),-1,MIN(1,IF($A5=$A4,AP4,1)-U5+$D$3))</f>
        <v>1</v>
      </c>
      <c r="AQ5" s="3">
        <f>IF(OR($J5=0,COUNTIFS($A$4:$A4,"&gt;="&amp;$A5-1,$A$4:$A4,"&lt;="&amp;$A5,$B$4:$B4,$B5)&gt;0,MIN(AQ$1,IF($A5=$A4,AQ4,1))-V5&lt;0),-1,MIN(1,IF($A5=$A4,AQ4,1)-V5+$D$3))</f>
        <v>1</v>
      </c>
      <c r="AR5" s="3">
        <f>IF(OR($J5=0,COUNTIFS($A$4:$A4,"&gt;="&amp;$A5-1,$A$4:$A4,"&lt;="&amp;$A5,$B$4:$B4,$B5)&gt;0,MIN(AR$1,IF($A5=$A4,AR4,1))-W5&lt;0),-1,MIN(1,IF($A5=$A4,AR4,1)-W5+$D$3))</f>
        <v>1</v>
      </c>
      <c r="AS5" s="3">
        <f>IF(OR($J5=0,COUNTIFS($A$4:$A4,"&gt;="&amp;$A5-1,$A$4:$A4,"&lt;="&amp;$A5,$B$4:$B4,$B5)&gt;0,MIN(AS$1,IF($A5=$A4,AS4,1))-X5&lt;0),-1,MIN(1,IF($A5=$A4,AS4,1)-X5+$D$3))</f>
        <v>1</v>
      </c>
      <c r="AT5" s="3">
        <f>IF(OR($J5=0,COUNTIFS($A$4:$A4,"&gt;="&amp;$A5-1,$A$4:$A4,"&lt;="&amp;$A5,$B$4:$B4,$B5)&gt;0,MIN(AT$1,IF($A5=$A4,AT4,1))-Y5&lt;0),-1,MIN(1,IF($A5=$A4,AT4,1)-Y5+$D$3))</f>
        <v>1</v>
      </c>
      <c r="AU5" s="3">
        <f>IF(OR($J5=0,COUNTIFS($A$4:$A4,"&gt;="&amp;$A5-1,$A$4:$A4,"&lt;="&amp;$A5,$B$4:$B4,$B5)&gt;0,MIN(AU$1,IF($A5=$A4,AU4,1))-Z5&lt;0),-1,MIN(1,IF($A5=$A4,AU4,1)-Z5+$D$3))</f>
        <v>0.4</v>
      </c>
      <c r="AV5" s="3">
        <f>IF(OR($J5=0,COUNTIFS($A$4:$A4,"&gt;="&amp;$A5-1,$A$4:$A4,"&lt;="&amp;$A5,$B$4:$B4,$B5)&gt;0,MIN(AV$1,IF($A5=$A4,AV4,1))-AA5&lt;0),-1,MIN(1,IF($A5=$A4,AV4,1)-AA5+$D$3))</f>
        <v>1</v>
      </c>
      <c r="AW5" s="3">
        <f>IF(OR($J5=0,COUNTIFS($A$4:$A4,"&gt;="&amp;$A5-1,$A$4:$A4,"&lt;="&amp;$A5,$B$4:$B4,$B5)&gt;0,MIN(AW$1,IF($A5=$A4,AW4,1))-AB5&lt;0),-1,MIN(1,IF($A5=$A4,AW4,1)-AB5+$D$3))</f>
        <v>0.70000000000000007</v>
      </c>
      <c r="AX5" s="3">
        <f>IF(OR($J5=0,COUNTIFS($A$4:$A4,"&gt;="&amp;$A5-1,$A$4:$A4,"&lt;="&amp;$A5,$B$4:$B4,$B5)&gt;0,MIN(AX$1,IF($A5=$A4,AX4,1))-AC5&lt;0),-1,MIN(1,IF($A5=$A4,AX4,1)-AC5+$D$3))</f>
        <v>1</v>
      </c>
      <c r="AY5" s="3">
        <f>IF(OR($J5=0,COUNTIFS($A$4:$A4,"&gt;="&amp;$A5-1,$A$4:$A4,"&lt;="&amp;$A5,$B$4:$B4,$B5)&gt;0,MIN(AY$1,IF($A5=$A4,AY4,1))-AD5&lt;0),-1,MIN(1,IF($A5=$A4,AY4,1)-AD5+$D$3))</f>
        <v>0.8</v>
      </c>
      <c r="AZ5" s="3">
        <f>IF(OR($J5=0,COUNTIFS($A$4:$A4,"&gt;="&amp;$A5-1,$A$4:$A4,"&lt;="&amp;$A5,$B$4:$B4,$B5)&gt;0,MIN(AZ$1,IF($A5=$A4,AZ4,1))-AE5&lt;0),-1,MIN(1,IF($A5=$A4,AZ4,1)-AE5+$D$3))</f>
        <v>0.6</v>
      </c>
      <c r="BA5" s="3">
        <f>IF(OR($J5=0,COUNTIFS($A$4:$A4,"&gt;="&amp;$A5-1,$A$4:$A4,"&lt;="&amp;$A5,$B$4:$B4,$B5)&gt;0,MIN(BA$1,IF($A5=$A4,BA4,1))-AF5&lt;0),-1,MIN(1,IF($A5=$A4,BA4,1)-AF5+$D$3))</f>
        <v>0.4</v>
      </c>
      <c r="BB5" s="3">
        <f>IF(OR($J5=0,COUNTIFS($A$4:$A4,"&gt;="&amp;$A5-1,$A$4:$A4,"&lt;="&amp;$A5,$B$4:$B4,$B5)&gt;0,MIN(BB$1,IF($A5=$A4,BB4,1))-AG5&lt;0),-1,MIN(1,IF($A5=$A4,BB4,1)-AG5+$D$3))</f>
        <v>1</v>
      </c>
      <c r="BC5" s="3">
        <f>IF(OR($J5=0,COUNTIFS($A$4:$A4,"&gt;="&amp;$A5-1,$A$4:$A4,"&lt;="&amp;$A5,$B$4:$B4,$B5)&gt;0,MIN(BC$1,IF($A5=$A4,BC4,1))-AH5&lt;0),-1,MIN(1,IF($A5=$A4,BC4,1)-AH5+$D$3))</f>
        <v>1</v>
      </c>
      <c r="BD5" s="3">
        <f>IF(OR($J5=0,COUNTIFS($A$4:$A4,"&gt;="&amp;$A5-1,$A$4:$A4,"&lt;="&amp;$A5,$B$4:$B4,$B5)&gt;0,MIN(BD$1,IF($A5=$A4,BD4,1))-AI5&lt;0),-1,MIN(1,IF($A5=$A4,BD4,1)-AI5+$D$3))</f>
        <v>1</v>
      </c>
      <c r="BE5" s="3"/>
      <c r="BF5" s="83">
        <f>P5</f>
        <v>0</v>
      </c>
      <c r="BG5" s="83">
        <f t="shared" ref="BG5:BY5" si="1">Q5</f>
        <v>0.3</v>
      </c>
      <c r="BH5" s="83">
        <f t="shared" si="1"/>
        <v>0.6</v>
      </c>
      <c r="BI5" s="83">
        <f t="shared" si="1"/>
        <v>0.6</v>
      </c>
      <c r="BJ5" s="83">
        <f t="shared" si="1"/>
        <v>1</v>
      </c>
      <c r="BK5" s="83">
        <f t="shared" si="1"/>
        <v>0</v>
      </c>
      <c r="BL5" s="83">
        <f t="shared" si="1"/>
        <v>0</v>
      </c>
      <c r="BM5" s="83">
        <f t="shared" si="1"/>
        <v>0</v>
      </c>
      <c r="BN5" s="83">
        <f t="shared" si="1"/>
        <v>0</v>
      </c>
      <c r="BO5" s="83">
        <f t="shared" si="1"/>
        <v>0</v>
      </c>
      <c r="BP5" s="83">
        <f t="shared" si="1"/>
        <v>1</v>
      </c>
      <c r="BQ5" s="83">
        <f t="shared" si="1"/>
        <v>0</v>
      </c>
      <c r="BR5" s="83">
        <f t="shared" si="1"/>
        <v>0.7</v>
      </c>
      <c r="BS5" s="83">
        <f t="shared" si="1"/>
        <v>0</v>
      </c>
      <c r="BT5" s="83">
        <f t="shared" si="1"/>
        <v>0.6</v>
      </c>
      <c r="BU5" s="83">
        <f t="shared" si="1"/>
        <v>0.8</v>
      </c>
      <c r="BV5" s="83">
        <f t="shared" si="1"/>
        <v>1</v>
      </c>
      <c r="BW5" s="83">
        <f t="shared" si="1"/>
        <v>0.1</v>
      </c>
      <c r="BX5" s="83">
        <f t="shared" si="1"/>
        <v>0.3</v>
      </c>
      <c r="BY5" s="83">
        <f t="shared" si="1"/>
        <v>0.3</v>
      </c>
      <c r="BZ5" s="3"/>
      <c r="CA5" s="83">
        <f t="shared" ref="CA5:CA28" si="2">IF($A5="","",BF5/SUM($BF5:$BY5)/CA$2-1)</f>
        <v>-1</v>
      </c>
      <c r="CB5" s="83">
        <f t="shared" ref="CB5:CB28" si="3">IF($A5="","",BG5/SUM($BF5:$BY5)/CB$2-1)</f>
        <v>-0.36986301369863006</v>
      </c>
      <c r="CC5" s="83">
        <f t="shared" ref="CC5:CC28" si="4">IF($A5="","",BH5/SUM($BF5:$BY5)/CC$2-1)</f>
        <v>0.89041095890410982</v>
      </c>
      <c r="CD5" s="83">
        <f t="shared" ref="CD5:CD28" si="5">IF($A5="","",BI5/SUM($BF5:$BY5)/CD$2-1)</f>
        <v>0.89041095890410982</v>
      </c>
      <c r="CE5" s="83">
        <f t="shared" ref="CE5:CE28" si="6">IF($A5="","",BJ5/SUM($BF5:$BY5)/CE$2-1)</f>
        <v>2.1506849315068499</v>
      </c>
      <c r="CF5" s="83">
        <f t="shared" ref="CF5:CF28" si="7">IF($A5="","",BK5/SUM($BF5:$BY5)/CF$2-1)</f>
        <v>-1</v>
      </c>
      <c r="CG5" s="83">
        <f t="shared" ref="CG5:CG28" si="8">IF($A5="","",BL5/SUM($BF5:$BY5)/CG$2-1)</f>
        <v>-1</v>
      </c>
      <c r="CH5" s="83">
        <f t="shared" ref="CH5:CH28" si="9">IF($A5="","",BM5/SUM($BF5:$BY5)/CH$2-1)</f>
        <v>-1</v>
      </c>
      <c r="CI5" s="83">
        <f t="shared" ref="CI5:CI28" si="10">IF($A5="","",BN5/SUM($BF5:$BY5)/CI$2-1)</f>
        <v>-1</v>
      </c>
      <c r="CJ5" s="83">
        <f t="shared" ref="CJ5:CJ28" si="11">IF($A5="","",BO5/SUM($BF5:$BY5)/CJ$2-1)</f>
        <v>-1</v>
      </c>
      <c r="CK5" s="83">
        <f t="shared" ref="CK5:CK28" si="12">IF($A5="","",BP5/SUM($BF5:$BY5)/CK$2-1)</f>
        <v>2.1506849315068499</v>
      </c>
      <c r="CL5" s="83">
        <f t="shared" ref="CL5:CL28" si="13">IF($A5="","",BQ5/SUM($BF5:$BY5)/CL$2-1)</f>
        <v>-1</v>
      </c>
      <c r="CM5" s="83">
        <f t="shared" ref="CM5:CM28" si="14">IF($A5="","",BR5/SUM($BF5:$BY5)/CM$2-1)</f>
        <v>0.4703196347031966</v>
      </c>
      <c r="CN5" s="83">
        <f t="shared" ref="CN5:CN28" si="15">IF($A5="","",BS5/SUM($BF5:$BY5)/CN$2-1)</f>
        <v>-1</v>
      </c>
      <c r="CO5" s="83">
        <f t="shared" ref="CO5:CO28" si="16">IF($A5="","",BT5/SUM($BF5:$BY5)/CO$2-1)</f>
        <v>0.89041095890410982</v>
      </c>
      <c r="CP5" s="83">
        <f t="shared" ref="CP5:CP28" si="17">IF($A5="","",BU5/SUM($BF5:$BY5)/CP$2-1)</f>
        <v>1.5205479452054802</v>
      </c>
      <c r="CQ5" s="83">
        <f t="shared" ref="CQ5:CQ28" si="18">IF($A5="","",BV5/SUM($BF5:$BY5)/CQ$2-1)</f>
        <v>1.1004566210045668</v>
      </c>
      <c r="CR5" s="83">
        <f t="shared" ref="CR5:CR28" si="19">IF($A5="","",BW5/SUM($BF5:$BY5)/CR$2-1)</f>
        <v>-0.68493150684931492</v>
      </c>
      <c r="CS5" s="83">
        <f t="shared" ref="CS5:CS28" si="20">IF($A5="","",BX5/SUM($BF5:$BY5)/CS$2-1)</f>
        <v>-5.4794520547945091E-2</v>
      </c>
      <c r="CT5" s="83">
        <f t="shared" ref="CT5:CT28" si="21">IF($A5="","",BY5/SUM($BF5:$BY5)/CT$2-1)</f>
        <v>-5.4794520547945091E-2</v>
      </c>
      <c r="CU5" s="3"/>
      <c r="CV5" s="84">
        <f>SQRT(SUMPRODUCT(CA5:CT5,CA5:CT5)/20)</f>
        <v>1.0951162600505224</v>
      </c>
    </row>
    <row r="6" spans="1:100" x14ac:dyDescent="0.25">
      <c r="A6" s="85">
        <v>45046</v>
      </c>
      <c r="B6" s="86">
        <v>31</v>
      </c>
      <c r="C6" s="43" t="str" cm="1">
        <f t="array" ref="C6">IF(B6="","",INDEX(UWS!$B$10:$B$41,B6))</f>
        <v>Cable standing oblique twist</v>
      </c>
      <c r="D6" s="40">
        <f t="shared" si="0"/>
        <v>0.4</v>
      </c>
      <c r="E6" s="69">
        <f t="shared" ref="E6:E28" si="22">IF(C6="","",IFERROR((H6/$H$2)^$H$1*(CV6/$CV5)^$CV$1*(F6/$F$2)^$F$1*(G6/$G$2)^IF(B6&lt;=5,0,($G$1-$G$3*(I6-1))),0))</f>
        <v>0.69713514396778475</v>
      </c>
      <c r="F6" s="48" cm="1">
        <f t="array" ref="F6">0.1+IFERROR(INDEX($F5:$F$5,SUMPRODUCT(MAX(ROW($C5:$C$5)*($C6=$C5:$C$5))-ROW($A$4)))*0.9^($A6-INDEX($A5:A$5,SUMPRODUCT(MAX(ROW($C5:$C$5)*($C6=$C5:$C$5))-ROW($A$4)))),0)</f>
        <v>0.1</v>
      </c>
      <c r="G6" s="55">
        <f>INDEX(UWS!$AB$10:$AB$41,MATCH(C6,UWS!$B$10:$B$41,0))</f>
        <v>1</v>
      </c>
      <c r="H6" s="48">
        <f>INDEX(UWS!$C$10:$C$41,MATCH(C6,UWS!$B$10:$B$41,0))</f>
        <v>1</v>
      </c>
      <c r="I6" s="27">
        <v>2</v>
      </c>
      <c r="J6" s="27">
        <f>INDEX(UWS!$E$10:$E$41,MATCH(C6,UWS!$B$10:$B$41,0))</f>
        <v>1</v>
      </c>
      <c r="L6" s="108" t="str" cm="1">
        <f t="array" ref="L6">IF(K6="","",INDEX(UWS!$B$10:$B$41,K6))</f>
        <v/>
      </c>
      <c r="N6" s="108" t="str" cm="1">
        <f t="array" ref="N6">IF(M6="","",INDEX(UWS!$B$10:$B$41,M6))</f>
        <v/>
      </c>
      <c r="P6">
        <f>IFERROR(INDEX(UWS!$G$10:$Z$41,MATCH($C6,UWS!$B$10:$B$41,0),MATCH(P$4,UWS!$G$3:$Z$3,0)),0)</f>
        <v>0</v>
      </c>
      <c r="Q6">
        <f>IFERROR(INDEX(UWS!$G$10:$Z$41,MATCH($C6,UWS!$B$10:$B$41,0),MATCH(Q$4,UWS!$G$3:$Z$3,0)),0)</f>
        <v>0</v>
      </c>
      <c r="R6">
        <f>IFERROR(INDEX(UWS!$G$10:$Z$41,MATCH($C6,UWS!$B$10:$B$41,0),MATCH(R$4,UWS!$G$3:$Z$3,0)),0)</f>
        <v>0</v>
      </c>
      <c r="S6">
        <f>IFERROR(INDEX(UWS!$G$10:$Z$41,MATCH($C6,UWS!$B$10:$B$41,0),MATCH(S$4,UWS!$G$3:$Z$3,0)),0)</f>
        <v>0</v>
      </c>
      <c r="T6">
        <f>IFERROR(INDEX(UWS!$G$10:$Z$41,MATCH($C6,UWS!$B$10:$B$41,0),MATCH(T$4,UWS!$G$3:$Z$3,0)),0)</f>
        <v>0</v>
      </c>
      <c r="U6">
        <f>IFERROR(INDEX(UWS!$G$10:$Z$41,MATCH($C6,UWS!$B$10:$B$41,0),MATCH(U$4,UWS!$G$3:$Z$3,0)),0)</f>
        <v>0</v>
      </c>
      <c r="V6">
        <f>IFERROR(INDEX(UWS!$G$10:$Z$41,MATCH($C6,UWS!$B$10:$B$41,0),MATCH(V$4,UWS!$G$3:$Z$3,0)),0)</f>
        <v>0</v>
      </c>
      <c r="W6">
        <f>IFERROR(INDEX(UWS!$G$10:$Z$41,MATCH($C6,UWS!$B$10:$B$41,0),MATCH(W$4,UWS!$G$3:$Z$3,0)),0)</f>
        <v>0</v>
      </c>
      <c r="X6">
        <f>IFERROR(INDEX(UWS!$G$10:$Z$41,MATCH($C6,UWS!$B$10:$B$41,0),MATCH(X$4,UWS!$G$3:$Z$3,0)),0)</f>
        <v>0</v>
      </c>
      <c r="Y6">
        <f>IFERROR(INDEX(UWS!$G$10:$Z$41,MATCH($C6,UWS!$B$10:$B$41,0),MATCH(Y$4,UWS!$G$3:$Z$3,0)),0)</f>
        <v>0</v>
      </c>
      <c r="Z6">
        <f>IFERROR(INDEX(UWS!$G$10:$Z$41,MATCH($C6,UWS!$B$10:$B$41,0),MATCH(Z$4,UWS!$G$3:$Z$3,0)),0)</f>
        <v>0</v>
      </c>
      <c r="AA6">
        <f>IFERROR(INDEX(UWS!$G$10:$Z$41,MATCH($C6,UWS!$B$10:$B$41,0),MATCH(AA$4,UWS!$G$3:$Z$3,0)),0)</f>
        <v>0</v>
      </c>
      <c r="AB6">
        <f>IFERROR(INDEX(UWS!$G$10:$Z$41,MATCH($C6,UWS!$B$10:$B$41,0),MATCH(AB$4,UWS!$G$3:$Z$3,0)),0)</f>
        <v>0</v>
      </c>
      <c r="AC6">
        <f>IFERROR(INDEX(UWS!$G$10:$Z$41,MATCH($C6,UWS!$B$10:$B$41,0),MATCH(AC$4,UWS!$G$3:$Z$3,0)),0)</f>
        <v>1</v>
      </c>
      <c r="AD6">
        <f>IFERROR(INDEX(UWS!$G$10:$Z$41,MATCH($C6,UWS!$B$10:$B$41,0),MATCH(AD$4,UWS!$G$3:$Z$3,0)),0)</f>
        <v>0</v>
      </c>
      <c r="AE6">
        <f>IFERROR(INDEX(UWS!$G$10:$Z$41,MATCH($C6,UWS!$B$10:$B$41,0),MATCH(AE$4,UWS!$G$3:$Z$3,0)),0)</f>
        <v>0</v>
      </c>
      <c r="AF6">
        <f>IFERROR(INDEX(UWS!$G$10:$Z$41,MATCH($C6,UWS!$B$10:$B$41,0),MATCH(AF$4,UWS!$G$3:$Z$3,0)),0)</f>
        <v>0</v>
      </c>
      <c r="AG6">
        <f>IFERROR(INDEX(UWS!$G$10:$Z$41,MATCH($C6,UWS!$B$10:$B$41,0),MATCH(AG$4,UWS!$G$3:$Z$3,0)),0)</f>
        <v>0</v>
      </c>
      <c r="AH6">
        <f>IFERROR(INDEX(UWS!$G$10:$Z$41,MATCH($C6,UWS!$B$10:$B$41,0),MATCH(AH$4,UWS!$G$3:$Z$3,0)),0)</f>
        <v>0</v>
      </c>
      <c r="AI6">
        <f>IFERROR(INDEX(UWS!$G$10:$Z$41,MATCH($C6,UWS!$B$10:$B$41,0),MATCH(AI$4,UWS!$G$3:$Z$3,0)),0)</f>
        <v>0</v>
      </c>
      <c r="AK6">
        <f>IF(OR($J6=0,COUNTIFS($A$4:$A5,"&gt;="&amp;$A6-1,$A$4:$A5,"&lt;="&amp;$A6,$B$4:$B5,$B6)&gt;0,MIN(AK$1,IF($A6=$A5,AK5,1))-P6&lt;0),-1,MIN(1,IF($A6=$A5,AK5,1)-P6+$D$3))</f>
        <v>1</v>
      </c>
      <c r="AL6">
        <f>IF(OR($J6=0,COUNTIFS($A$4:$A5,"&gt;="&amp;$A6-1,$A$4:$A5,"&lt;="&amp;$A6,$B$4:$B5,$B6)&gt;0,MIN(AL$1,IF($A6=$A5,AL5,1))-Q6&lt;0),-1,MIN(1,IF($A6=$A5,AL5,1)-Q6+$D$3))</f>
        <v>1</v>
      </c>
      <c r="AM6">
        <f>IF(OR($J6=0,COUNTIFS($A$4:$A5,"&gt;="&amp;$A6-1,$A$4:$A5,"&lt;="&amp;$A6,$B$4:$B5,$B6)&gt;0,MIN(AM$1,IF($A6=$A5,AM5,1))-R6&lt;0),-1,MIN(1,IF($A6=$A5,AM5,1)-R6+$D$3))</f>
        <v>1</v>
      </c>
      <c r="AN6">
        <f>IF(OR($J6=0,COUNTIFS($A$4:$A5,"&gt;="&amp;$A6-1,$A$4:$A5,"&lt;="&amp;$A6,$B$4:$B5,$B6)&gt;0,MIN(AN$1,IF($A6=$A5,AN5,1))-S6&lt;0),-1,MIN(1,IF($A6=$A5,AN5,1)-S6+$D$3))</f>
        <v>1</v>
      </c>
      <c r="AO6">
        <f>IF(OR($J6=0,COUNTIFS($A$4:$A5,"&gt;="&amp;$A6-1,$A$4:$A5,"&lt;="&amp;$A6,$B$4:$B5,$B6)&gt;0,MIN(AO$1,IF($A6=$A5,AO5,1))-T6&lt;0),-1,MIN(1,IF($A6=$A5,AO5,1)-T6+$D$3))</f>
        <v>0.8</v>
      </c>
      <c r="AP6">
        <f>IF(OR($J6=0,COUNTIFS($A$4:$A5,"&gt;="&amp;$A6-1,$A$4:$A5,"&lt;="&amp;$A6,$B$4:$B5,$B6)&gt;0,MIN(AP$1,IF($A6=$A5,AP5,1))-U6&lt;0),-1,MIN(1,IF($A6=$A5,AP5,1)-U6+$D$3))</f>
        <v>1</v>
      </c>
      <c r="AQ6">
        <f>IF(OR($J6=0,COUNTIFS($A$4:$A5,"&gt;="&amp;$A6-1,$A$4:$A5,"&lt;="&amp;$A6,$B$4:$B5,$B6)&gt;0,MIN(AQ$1,IF($A6=$A5,AQ5,1))-V6&lt;0),-1,MIN(1,IF($A6=$A5,AQ5,1)-V6+$D$3))</f>
        <v>1</v>
      </c>
      <c r="AR6">
        <f>IF(OR($J6=0,COUNTIFS($A$4:$A5,"&gt;="&amp;$A6-1,$A$4:$A5,"&lt;="&amp;$A6,$B$4:$B5,$B6)&gt;0,MIN(AR$1,IF($A6=$A5,AR5,1))-W6&lt;0),-1,MIN(1,IF($A6=$A5,AR5,1)-W6+$D$3))</f>
        <v>1</v>
      </c>
      <c r="AS6">
        <f>IF(OR($J6=0,COUNTIFS($A$4:$A5,"&gt;="&amp;$A6-1,$A$4:$A5,"&lt;="&amp;$A6,$B$4:$B5,$B6)&gt;0,MIN(AS$1,IF($A6=$A5,AS5,1))-X6&lt;0),-1,MIN(1,IF($A6=$A5,AS5,1)-X6+$D$3))</f>
        <v>1</v>
      </c>
      <c r="AT6">
        <f>IF(OR($J6=0,COUNTIFS($A$4:$A5,"&gt;="&amp;$A6-1,$A$4:$A5,"&lt;="&amp;$A6,$B$4:$B5,$B6)&gt;0,MIN(AT$1,IF($A6=$A5,AT5,1))-Y6&lt;0),-1,MIN(1,IF($A6=$A5,AT5,1)-Y6+$D$3))</f>
        <v>1</v>
      </c>
      <c r="AU6">
        <f>IF(OR($J6=0,COUNTIFS($A$4:$A5,"&gt;="&amp;$A6-1,$A$4:$A5,"&lt;="&amp;$A6,$B$4:$B5,$B6)&gt;0,MIN(AU$1,IF($A6=$A5,AU5,1))-Z6&lt;0),-1,MIN(1,IF($A6=$A5,AU5,1)-Z6+$D$3))</f>
        <v>0.8</v>
      </c>
      <c r="AV6">
        <f>IF(OR($J6=0,COUNTIFS($A$4:$A5,"&gt;="&amp;$A6-1,$A$4:$A5,"&lt;="&amp;$A6,$B$4:$B5,$B6)&gt;0,MIN(AV$1,IF($A6=$A5,AV5,1))-AA6&lt;0),-1,MIN(1,IF($A6=$A5,AV5,1)-AA6+$D$3))</f>
        <v>1</v>
      </c>
      <c r="AW6">
        <f>IF(OR($J6=0,COUNTIFS($A$4:$A5,"&gt;="&amp;$A6-1,$A$4:$A5,"&lt;="&amp;$A6,$B$4:$B5,$B6)&gt;0,MIN(AW$1,IF($A6=$A5,AW5,1))-AB6&lt;0),-1,MIN(1,IF($A6=$A5,AW5,1)-AB6+$D$3))</f>
        <v>1</v>
      </c>
      <c r="AX6">
        <f>IF(OR($J6=0,COUNTIFS($A$4:$A5,"&gt;="&amp;$A6-1,$A$4:$A5,"&lt;="&amp;$A6,$B$4:$B5,$B6)&gt;0,MIN(AX$1,IF($A6=$A5,AX5,1))-AC6&lt;0),-1,MIN(1,IF($A6=$A5,AX5,1)-AC6+$D$3))</f>
        <v>0.4</v>
      </c>
      <c r="AY6">
        <f>IF(OR($J6=0,COUNTIFS($A$4:$A5,"&gt;="&amp;$A6-1,$A$4:$A5,"&lt;="&amp;$A6,$B$4:$B5,$B6)&gt;0,MIN(AY$1,IF($A6=$A5,AY5,1))-AD6&lt;0),-1,MIN(1,IF($A6=$A5,AY5,1)-AD6+$D$3))</f>
        <v>1</v>
      </c>
      <c r="AZ6">
        <f>IF(OR($J6=0,COUNTIFS($A$4:$A5,"&gt;="&amp;$A6-1,$A$4:$A5,"&lt;="&amp;$A6,$B$4:$B5,$B6)&gt;0,MIN(AZ$1,IF($A6=$A5,AZ5,1))-AE6&lt;0),-1,MIN(1,IF($A6=$A5,AZ5,1)-AE6+$D$3))</f>
        <v>1</v>
      </c>
      <c r="BA6">
        <f>IF(OR($J6=0,COUNTIFS($A$4:$A5,"&gt;="&amp;$A6-1,$A$4:$A5,"&lt;="&amp;$A6,$B$4:$B5,$B6)&gt;0,MIN(BA$1,IF($A6=$A5,BA5,1))-AF6&lt;0),-1,MIN(1,IF($A6=$A5,BA5,1)-AF6+$D$3))</f>
        <v>0.8</v>
      </c>
      <c r="BB6">
        <f>IF(OR($J6=0,COUNTIFS($A$4:$A5,"&gt;="&amp;$A6-1,$A$4:$A5,"&lt;="&amp;$A6,$B$4:$B5,$B6)&gt;0,MIN(BB$1,IF($A6=$A5,BB5,1))-AG6&lt;0),-1,MIN(1,IF($A6=$A5,BB5,1)-AG6+$D$3))</f>
        <v>1</v>
      </c>
      <c r="BC6">
        <f>IF(OR($J6=0,COUNTIFS($A$4:$A5,"&gt;="&amp;$A6-1,$A$4:$A5,"&lt;="&amp;$A6,$B$4:$B5,$B6)&gt;0,MIN(BC$1,IF($A6=$A5,BC5,1))-AH6&lt;0),-1,MIN(1,IF($A6=$A5,BC5,1)-AH6+$D$3))</f>
        <v>1</v>
      </c>
      <c r="BD6">
        <f>IF(OR($J6=0,COUNTIFS($A$4:$A5,"&gt;="&amp;$A6-1,$A$4:$A5,"&lt;="&amp;$A6,$B$4:$B5,$B6)&gt;0,MIN(BD$1,IF($A6=$A5,BD5,1))-AI6&lt;0),-1,MIN(1,IF($A6=$A5,BD5,1)-AI6+$D$3))</f>
        <v>1</v>
      </c>
      <c r="BF6" s="87">
        <f t="shared" ref="BF6:BF28" si="23">$AN$2*P6+(1-$AN$2)*BF5</f>
        <v>0</v>
      </c>
      <c r="BG6" s="87">
        <f t="shared" ref="BG6:BG28" si="24">$AN$2*Q6+(1-$AN$2)*BG5</f>
        <v>0.28499999999999998</v>
      </c>
      <c r="BH6" s="87">
        <f t="shared" ref="BH6:BH28" si="25">$AN$2*R6+(1-$AN$2)*BH5</f>
        <v>0.56999999999999995</v>
      </c>
      <c r="BI6" s="87">
        <f t="shared" ref="BI6:BI28" si="26">$AN$2*S6+(1-$AN$2)*BI5</f>
        <v>0.56999999999999995</v>
      </c>
      <c r="BJ6" s="87">
        <f t="shared" ref="BJ6:BJ28" si="27">$AN$2*T6+(1-$AN$2)*BJ5</f>
        <v>0.95</v>
      </c>
      <c r="BK6" s="87">
        <f t="shared" ref="BK6:BK28" si="28">$AN$2*U6+(1-$AN$2)*BK5</f>
        <v>0</v>
      </c>
      <c r="BL6" s="87">
        <f t="shared" ref="BL6:BL28" si="29">$AN$2*V6+(1-$AN$2)*BL5</f>
        <v>0</v>
      </c>
      <c r="BM6" s="87">
        <f t="shared" ref="BM6:BM28" si="30">$AN$2*W6+(1-$AN$2)*BM5</f>
        <v>0</v>
      </c>
      <c r="BN6" s="87">
        <f t="shared" ref="BN6:BN28" si="31">$AN$2*X6+(1-$AN$2)*BN5</f>
        <v>0</v>
      </c>
      <c r="BO6" s="87">
        <f t="shared" ref="BO6:BO28" si="32">$AN$2*Y6+(1-$AN$2)*BO5</f>
        <v>0</v>
      </c>
      <c r="BP6" s="87">
        <f t="shared" ref="BP6:BP28" si="33">$AN$2*Z6+(1-$AN$2)*BP5</f>
        <v>0.95</v>
      </c>
      <c r="BQ6" s="87">
        <f t="shared" ref="BQ6:BQ28" si="34">$AN$2*AA6+(1-$AN$2)*BQ5</f>
        <v>0</v>
      </c>
      <c r="BR6" s="87">
        <f t="shared" ref="BR6:BR28" si="35">$AN$2*AB6+(1-$AN$2)*BR5</f>
        <v>0.66499999999999992</v>
      </c>
      <c r="BS6" s="87">
        <f t="shared" ref="BS6:BS28" si="36">$AN$2*AC6+(1-$AN$2)*BS5</f>
        <v>0.05</v>
      </c>
      <c r="BT6" s="87">
        <f t="shared" ref="BT6:BT28" si="37">$AN$2*AD6+(1-$AN$2)*BT5</f>
        <v>0.56999999999999995</v>
      </c>
      <c r="BU6" s="87">
        <f t="shared" ref="BU6:BU28" si="38">$AN$2*AE6+(1-$AN$2)*BU5</f>
        <v>0.76</v>
      </c>
      <c r="BV6" s="87">
        <f t="shared" ref="BV6:BV28" si="39">$AN$2*AF6+(1-$AN$2)*BV5</f>
        <v>0.95</v>
      </c>
      <c r="BW6" s="87">
        <f t="shared" ref="BW6:BW28" si="40">$AN$2*AG6+(1-$AN$2)*BW5</f>
        <v>9.5000000000000001E-2</v>
      </c>
      <c r="BX6" s="87">
        <f t="shared" ref="BX6:BX28" si="41">$AN$2*AH6+(1-$AN$2)*BX5</f>
        <v>0.28499999999999998</v>
      </c>
      <c r="BY6" s="87">
        <f t="shared" ref="BY6:BY28" si="42">$AN$2*AI6+(1-$AN$2)*BY5</f>
        <v>0.28499999999999998</v>
      </c>
      <c r="CA6" s="87">
        <f t="shared" si="2"/>
        <v>-1</v>
      </c>
      <c r="CB6" s="87">
        <f t="shared" si="3"/>
        <v>-0.37437365783822485</v>
      </c>
      <c r="CC6" s="87">
        <f t="shared" si="4"/>
        <v>0.87687902648532545</v>
      </c>
      <c r="CD6" s="87">
        <f t="shared" si="5"/>
        <v>0.87687902648532545</v>
      </c>
      <c r="CE6" s="87">
        <f t="shared" si="6"/>
        <v>2.128131710808876</v>
      </c>
      <c r="CF6" s="87">
        <f t="shared" si="7"/>
        <v>-1</v>
      </c>
      <c r="CG6" s="87">
        <f t="shared" si="8"/>
        <v>-1</v>
      </c>
      <c r="CH6" s="87">
        <f t="shared" si="9"/>
        <v>-1</v>
      </c>
      <c r="CI6" s="87">
        <f t="shared" si="10"/>
        <v>-1</v>
      </c>
      <c r="CJ6" s="87">
        <f t="shared" si="11"/>
        <v>-1</v>
      </c>
      <c r="CK6" s="87">
        <f t="shared" si="12"/>
        <v>2.128131710808876</v>
      </c>
      <c r="CL6" s="87">
        <f t="shared" si="13"/>
        <v>-1</v>
      </c>
      <c r="CM6" s="87">
        <f t="shared" si="14"/>
        <v>0.45979479837747528</v>
      </c>
      <c r="CN6" s="87">
        <f t="shared" si="15"/>
        <v>-0.835361488904796</v>
      </c>
      <c r="CO6" s="87">
        <f t="shared" si="16"/>
        <v>0.87687902648532545</v>
      </c>
      <c r="CP6" s="87">
        <f t="shared" si="17"/>
        <v>1.502505368647101</v>
      </c>
      <c r="CQ6" s="87">
        <f t="shared" si="18"/>
        <v>1.0854211405392507</v>
      </c>
      <c r="CR6" s="87">
        <f t="shared" si="19"/>
        <v>-0.68718682891911231</v>
      </c>
      <c r="CS6" s="87">
        <f t="shared" si="20"/>
        <v>-6.1560486757337274E-2</v>
      </c>
      <c r="CT6" s="87">
        <f t="shared" si="21"/>
        <v>-6.1560486757337274E-2</v>
      </c>
      <c r="CV6" s="88">
        <f t="shared" ref="CV6:CV17" si="43">SQRT(SUMPRODUCT(CA6:CT6,CA6:CT6)/20)</f>
        <v>1.0800347658259888</v>
      </c>
    </row>
    <row r="7" spans="1:100" x14ac:dyDescent="0.25">
      <c r="A7" s="85">
        <v>45046</v>
      </c>
      <c r="B7" s="86">
        <v>28</v>
      </c>
      <c r="C7" s="43" t="str" cm="1">
        <f t="array" ref="C7">IF(B7="","",INDEX(UWS!$B$10:$B$41,B7))</f>
        <v>EZ bar biceps curl</v>
      </c>
      <c r="D7" s="40">
        <f t="shared" si="0"/>
        <v>0.4</v>
      </c>
      <c r="E7" s="69">
        <f t="shared" si="22"/>
        <v>1.1940778307617352</v>
      </c>
      <c r="F7" s="48" cm="1">
        <f t="array" ref="F7">0.1+IFERROR(INDEX($F$5:$F6,SUMPRODUCT(MAX(ROW($C$5:$C6)*($C7=$C$5:$C6))-ROW($A$4)))*0.9^($A7-INDEX($A$5:A6,SUMPRODUCT(MAX(ROW($C$5:$C6)*($C7=$C$5:$C6))-ROW($A$4)))),0)</f>
        <v>0.1</v>
      </c>
      <c r="G7" s="55">
        <f>INDEX(UWS!$AB$10:$AB$41,MATCH(C7,UWS!$B$10:$B$41,0))</f>
        <v>1.3</v>
      </c>
      <c r="H7" s="48">
        <f>INDEX(UWS!$C$10:$C$41,MATCH(C7,UWS!$B$10:$B$41,0))</f>
        <v>1</v>
      </c>
      <c r="I7" s="27">
        <v>3</v>
      </c>
      <c r="J7" s="27">
        <f>INDEX(UWS!$E$10:$E$41,MATCH(C7,UWS!$B$10:$B$41,0))</f>
        <v>1</v>
      </c>
      <c r="L7" s="108" t="str" cm="1">
        <f t="array" ref="L7">IF(K7="","",INDEX(UWS!$B$10:$B$41,K7))</f>
        <v/>
      </c>
      <c r="N7" s="108" t="str" cm="1">
        <f t="array" ref="N7">IF(M7="","",INDEX(UWS!$B$10:$B$41,M7))</f>
        <v/>
      </c>
      <c r="P7">
        <f>IFERROR(INDEX(UWS!$G$10:$Z$41,MATCH($C7,UWS!$B$10:$B$41,0),MATCH(P$4,UWS!$G$3:$Z$3,0)),0)</f>
        <v>0</v>
      </c>
      <c r="Q7">
        <f>IFERROR(INDEX(UWS!$G$10:$Z$41,MATCH($C7,UWS!$B$10:$B$41,0),MATCH(Q$4,UWS!$G$3:$Z$3,0)),0)</f>
        <v>0</v>
      </c>
      <c r="R7">
        <f>IFERROR(INDEX(UWS!$G$10:$Z$41,MATCH($C7,UWS!$B$10:$B$41,0),MATCH(R$4,UWS!$G$3:$Z$3,0)),0)</f>
        <v>0</v>
      </c>
      <c r="S7">
        <f>IFERROR(INDEX(UWS!$G$10:$Z$41,MATCH($C7,UWS!$B$10:$B$41,0),MATCH(S$4,UWS!$G$3:$Z$3,0)),0)</f>
        <v>0</v>
      </c>
      <c r="T7">
        <f>IFERROR(INDEX(UWS!$G$10:$Z$41,MATCH($C7,UWS!$B$10:$B$41,0),MATCH(T$4,UWS!$G$3:$Z$3,0)),0)</f>
        <v>0</v>
      </c>
      <c r="U7">
        <f>IFERROR(INDEX(UWS!$G$10:$Z$41,MATCH($C7,UWS!$B$10:$B$41,0),MATCH(U$4,UWS!$G$3:$Z$3,0)),0)</f>
        <v>0</v>
      </c>
      <c r="V7">
        <f>IFERROR(INDEX(UWS!$G$10:$Z$41,MATCH($C7,UWS!$B$10:$B$41,0),MATCH(V$4,UWS!$G$3:$Z$3,0)),0)</f>
        <v>0</v>
      </c>
      <c r="W7">
        <f>IFERROR(INDEX(UWS!$G$10:$Z$41,MATCH($C7,UWS!$B$10:$B$41,0),MATCH(W$4,UWS!$G$3:$Z$3,0)),0)</f>
        <v>0</v>
      </c>
      <c r="X7">
        <f>IFERROR(INDEX(UWS!$G$10:$Z$41,MATCH($C7,UWS!$B$10:$B$41,0),MATCH(X$4,UWS!$G$3:$Z$3,0)),0)</f>
        <v>1</v>
      </c>
      <c r="Y7">
        <f>IFERROR(INDEX(UWS!$G$10:$Z$41,MATCH($C7,UWS!$B$10:$B$41,0),MATCH(Y$4,UWS!$G$3:$Z$3,0)),0)</f>
        <v>0</v>
      </c>
      <c r="Z7">
        <f>IFERROR(INDEX(UWS!$G$10:$Z$41,MATCH($C7,UWS!$B$10:$B$41,0),MATCH(Z$4,UWS!$G$3:$Z$3,0)),0)</f>
        <v>0.3</v>
      </c>
      <c r="AA7">
        <f>IFERROR(INDEX(UWS!$G$10:$Z$41,MATCH($C7,UWS!$B$10:$B$41,0),MATCH(AA$4,UWS!$G$3:$Z$3,0)),0)</f>
        <v>0</v>
      </c>
      <c r="AB7">
        <f>IFERROR(INDEX(UWS!$G$10:$Z$41,MATCH($C7,UWS!$B$10:$B$41,0),MATCH(AB$4,UWS!$G$3:$Z$3,0)),0)</f>
        <v>0</v>
      </c>
      <c r="AC7">
        <f>IFERROR(INDEX(UWS!$G$10:$Z$41,MATCH($C7,UWS!$B$10:$B$41,0),MATCH(AC$4,UWS!$G$3:$Z$3,0)),0)</f>
        <v>0</v>
      </c>
      <c r="AD7">
        <f>IFERROR(INDEX(UWS!$G$10:$Z$41,MATCH($C7,UWS!$B$10:$B$41,0),MATCH(AD$4,UWS!$G$3:$Z$3,0)),0)</f>
        <v>0</v>
      </c>
      <c r="AE7">
        <f>IFERROR(INDEX(UWS!$G$10:$Z$41,MATCH($C7,UWS!$B$10:$B$41,0),MATCH(AE$4,UWS!$G$3:$Z$3,0)),0)</f>
        <v>0</v>
      </c>
      <c r="AF7">
        <f>IFERROR(INDEX(UWS!$G$10:$Z$41,MATCH($C7,UWS!$B$10:$B$41,0),MATCH(AF$4,UWS!$G$3:$Z$3,0)),0)</f>
        <v>0</v>
      </c>
      <c r="AG7">
        <f>IFERROR(INDEX(UWS!$G$10:$Z$41,MATCH($C7,UWS!$B$10:$B$41,0),MATCH(AG$4,UWS!$G$3:$Z$3,0)),0)</f>
        <v>0</v>
      </c>
      <c r="AH7">
        <f>IFERROR(INDEX(UWS!$G$10:$Z$41,MATCH($C7,UWS!$B$10:$B$41,0),MATCH(AH$4,UWS!$G$3:$Z$3,0)),0)</f>
        <v>0</v>
      </c>
      <c r="AI7">
        <f>IFERROR(INDEX(UWS!$G$10:$Z$41,MATCH($C7,UWS!$B$10:$B$41,0),MATCH(AI$4,UWS!$G$3:$Z$3,0)),0)</f>
        <v>0</v>
      </c>
      <c r="AK7">
        <f>IF(OR($J7=0,COUNTIFS($A$4:$A6,"&gt;="&amp;$A7-1,$A$4:$A6,"&lt;="&amp;$A7,$B$4:$B6,$B7)&gt;0,MIN(AK$1,IF($A7=$A6,AK6,1))-P7&lt;0),-1,MIN(1,IF($A7=$A6,AK6,1)-P7+$D$3))</f>
        <v>1</v>
      </c>
      <c r="AL7">
        <f>IF(OR($J7=0,COUNTIFS($A$4:$A6,"&gt;="&amp;$A7-1,$A$4:$A6,"&lt;="&amp;$A7,$B$4:$B6,$B7)&gt;0,MIN(AL$1,IF($A7=$A6,AL6,1))-Q7&lt;0),-1,MIN(1,IF($A7=$A6,AL6,1)-Q7+$D$3))</f>
        <v>1</v>
      </c>
      <c r="AM7">
        <f>IF(OR($J7=0,COUNTIFS($A$4:$A6,"&gt;="&amp;$A7-1,$A$4:$A6,"&lt;="&amp;$A7,$B$4:$B6,$B7)&gt;0,MIN(AM$1,IF($A7=$A6,AM6,1))-R7&lt;0),-1,MIN(1,IF($A7=$A6,AM6,1)-R7+$D$3))</f>
        <v>1</v>
      </c>
      <c r="AN7">
        <f>IF(OR($J7=0,COUNTIFS($A$4:$A6,"&gt;="&amp;$A7-1,$A$4:$A6,"&lt;="&amp;$A7,$B$4:$B6,$B7)&gt;0,MIN(AN$1,IF($A7=$A6,AN6,1))-S7&lt;0),-1,MIN(1,IF($A7=$A6,AN6,1)-S7+$D$3))</f>
        <v>1</v>
      </c>
      <c r="AO7">
        <f>IF(OR($J7=0,COUNTIFS($A$4:$A6,"&gt;="&amp;$A7-1,$A$4:$A6,"&lt;="&amp;$A7,$B$4:$B6,$B7)&gt;0,MIN(AO$1,IF($A7=$A6,AO6,1))-T7&lt;0),-1,MIN(1,IF($A7=$A6,AO6,1)-T7+$D$3))</f>
        <v>1</v>
      </c>
      <c r="AP7">
        <f>IF(OR($J7=0,COUNTIFS($A$4:$A6,"&gt;="&amp;$A7-1,$A$4:$A6,"&lt;="&amp;$A7,$B$4:$B6,$B7)&gt;0,MIN(AP$1,IF($A7=$A6,AP6,1))-U7&lt;0),-1,MIN(1,IF($A7=$A6,AP6,1)-U7+$D$3))</f>
        <v>1</v>
      </c>
      <c r="AQ7">
        <f>IF(OR($J7=0,COUNTIFS($A$4:$A6,"&gt;="&amp;$A7-1,$A$4:$A6,"&lt;="&amp;$A7,$B$4:$B6,$B7)&gt;0,MIN(AQ$1,IF($A7=$A6,AQ6,1))-V7&lt;0),-1,MIN(1,IF($A7=$A6,AQ6,1)-V7+$D$3))</f>
        <v>1</v>
      </c>
      <c r="AR7">
        <f>IF(OR($J7=0,COUNTIFS($A$4:$A6,"&gt;="&amp;$A7-1,$A$4:$A6,"&lt;="&amp;$A7,$B$4:$B6,$B7)&gt;0,MIN(AR$1,IF($A7=$A6,AR6,1))-W7&lt;0),-1,MIN(1,IF($A7=$A6,AR6,1)-W7+$D$3))</f>
        <v>1</v>
      </c>
      <c r="AS7">
        <f>IF(OR($J7=0,COUNTIFS($A$4:$A6,"&gt;="&amp;$A7-1,$A$4:$A6,"&lt;="&amp;$A7,$B$4:$B6,$B7)&gt;0,MIN(AS$1,IF($A7=$A6,AS6,1))-X7&lt;0),-1,MIN(1,IF($A7=$A6,AS6,1)-X7+$D$3))</f>
        <v>0.4</v>
      </c>
      <c r="AT7">
        <f>IF(OR($J7=0,COUNTIFS($A$4:$A6,"&gt;="&amp;$A7-1,$A$4:$A6,"&lt;="&amp;$A7,$B$4:$B6,$B7)&gt;0,MIN(AT$1,IF($A7=$A6,AT6,1))-Y7&lt;0),-1,MIN(1,IF($A7=$A6,AT6,1)-Y7+$D$3))</f>
        <v>1</v>
      </c>
      <c r="AU7">
        <f>IF(OR($J7=0,COUNTIFS($A$4:$A6,"&gt;="&amp;$A7-1,$A$4:$A6,"&lt;="&amp;$A7,$B$4:$B6,$B7)&gt;0,MIN(AU$1,IF($A7=$A6,AU6,1))-Z7&lt;0),-1,MIN(1,IF($A7=$A6,AU6,1)-Z7+$D$3))</f>
        <v>0.9</v>
      </c>
      <c r="AV7">
        <f>IF(OR($J7=0,COUNTIFS($A$4:$A6,"&gt;="&amp;$A7-1,$A$4:$A6,"&lt;="&amp;$A7,$B$4:$B6,$B7)&gt;0,MIN(AV$1,IF($A7=$A6,AV6,1))-AA7&lt;0),-1,MIN(1,IF($A7=$A6,AV6,1)-AA7+$D$3))</f>
        <v>1</v>
      </c>
      <c r="AW7">
        <f>IF(OR($J7=0,COUNTIFS($A$4:$A6,"&gt;="&amp;$A7-1,$A$4:$A6,"&lt;="&amp;$A7,$B$4:$B6,$B7)&gt;0,MIN(AW$1,IF($A7=$A6,AW6,1))-AB7&lt;0),-1,MIN(1,IF($A7=$A6,AW6,1)-AB7+$D$3))</f>
        <v>1</v>
      </c>
      <c r="AX7">
        <f>IF(OR($J7=0,COUNTIFS($A$4:$A6,"&gt;="&amp;$A7-1,$A$4:$A6,"&lt;="&amp;$A7,$B$4:$B6,$B7)&gt;0,MIN(AX$1,IF($A7=$A6,AX6,1))-AC7&lt;0),-1,MIN(1,IF($A7=$A6,AX6,1)-AC7+$D$3))</f>
        <v>0.8</v>
      </c>
      <c r="AY7">
        <f>IF(OR($J7=0,COUNTIFS($A$4:$A6,"&gt;="&amp;$A7-1,$A$4:$A6,"&lt;="&amp;$A7,$B$4:$B6,$B7)&gt;0,MIN(AY$1,IF($A7=$A6,AY6,1))-AD7&lt;0),-1,MIN(1,IF($A7=$A6,AY6,1)-AD7+$D$3))</f>
        <v>1</v>
      </c>
      <c r="AZ7">
        <f>IF(OR($J7=0,COUNTIFS($A$4:$A6,"&gt;="&amp;$A7-1,$A$4:$A6,"&lt;="&amp;$A7,$B$4:$B6,$B7)&gt;0,MIN(AZ$1,IF($A7=$A6,AZ6,1))-AE7&lt;0),-1,MIN(1,IF($A7=$A6,AZ6,1)-AE7+$D$3))</f>
        <v>1</v>
      </c>
      <c r="BA7">
        <f>IF(OR($J7=0,COUNTIFS($A$4:$A6,"&gt;="&amp;$A7-1,$A$4:$A6,"&lt;="&amp;$A7,$B$4:$B6,$B7)&gt;0,MIN(BA$1,IF($A7=$A6,BA6,1))-AF7&lt;0),-1,MIN(1,IF($A7=$A6,BA6,1)-AF7+$D$3))</f>
        <v>1</v>
      </c>
      <c r="BB7">
        <f>IF(OR($J7=0,COUNTIFS($A$4:$A6,"&gt;="&amp;$A7-1,$A$4:$A6,"&lt;="&amp;$A7,$B$4:$B6,$B7)&gt;0,MIN(BB$1,IF($A7=$A6,BB6,1))-AG7&lt;0),-1,MIN(1,IF($A7=$A6,BB6,1)-AG7+$D$3))</f>
        <v>1</v>
      </c>
      <c r="BC7">
        <f>IF(OR($J7=0,COUNTIFS($A$4:$A6,"&gt;="&amp;$A7-1,$A$4:$A6,"&lt;="&amp;$A7,$B$4:$B6,$B7)&gt;0,MIN(BC$1,IF($A7=$A6,BC6,1))-AH7&lt;0),-1,MIN(1,IF($A7=$A6,BC6,1)-AH7+$D$3))</f>
        <v>1</v>
      </c>
      <c r="BD7">
        <f>IF(OR($J7=0,COUNTIFS($A$4:$A6,"&gt;="&amp;$A7-1,$A$4:$A6,"&lt;="&amp;$A7,$B$4:$B6,$B7)&gt;0,MIN(BD$1,IF($A7=$A6,BD6,1))-AI7&lt;0),-1,MIN(1,IF($A7=$A6,BD6,1)-AI7+$D$3))</f>
        <v>1</v>
      </c>
      <c r="BF7" s="87">
        <f t="shared" si="23"/>
        <v>0</v>
      </c>
      <c r="BG7" s="87">
        <f t="shared" si="24"/>
        <v>0.27074999999999999</v>
      </c>
      <c r="BH7" s="87">
        <f t="shared" si="25"/>
        <v>0.54149999999999998</v>
      </c>
      <c r="BI7" s="87">
        <f t="shared" si="26"/>
        <v>0.54149999999999998</v>
      </c>
      <c r="BJ7" s="87">
        <f t="shared" si="27"/>
        <v>0.90249999999999997</v>
      </c>
      <c r="BK7" s="87">
        <f t="shared" si="28"/>
        <v>0</v>
      </c>
      <c r="BL7" s="87">
        <f t="shared" si="29"/>
        <v>0</v>
      </c>
      <c r="BM7" s="87">
        <f t="shared" si="30"/>
        <v>0</v>
      </c>
      <c r="BN7" s="87">
        <f t="shared" si="31"/>
        <v>0.05</v>
      </c>
      <c r="BO7" s="87">
        <f t="shared" si="32"/>
        <v>0</v>
      </c>
      <c r="BP7" s="87">
        <f t="shared" si="33"/>
        <v>0.91749999999999998</v>
      </c>
      <c r="BQ7" s="87">
        <f t="shared" si="34"/>
        <v>0</v>
      </c>
      <c r="BR7" s="87">
        <f t="shared" si="35"/>
        <v>0.63174999999999992</v>
      </c>
      <c r="BS7" s="87">
        <f t="shared" si="36"/>
        <v>4.7500000000000001E-2</v>
      </c>
      <c r="BT7" s="87">
        <f t="shared" si="37"/>
        <v>0.54149999999999998</v>
      </c>
      <c r="BU7" s="87">
        <f t="shared" si="38"/>
        <v>0.72199999999999998</v>
      </c>
      <c r="BV7" s="87">
        <f t="shared" si="39"/>
        <v>0.90249999999999997</v>
      </c>
      <c r="BW7" s="87">
        <f t="shared" si="40"/>
        <v>9.0249999999999997E-2</v>
      </c>
      <c r="BX7" s="87">
        <f t="shared" si="41"/>
        <v>0.27074999999999999</v>
      </c>
      <c r="BY7" s="87">
        <f t="shared" si="42"/>
        <v>0.27074999999999999</v>
      </c>
      <c r="CA7" s="87">
        <f t="shared" si="2"/>
        <v>-1</v>
      </c>
      <c r="CB7" s="87">
        <f t="shared" si="3"/>
        <v>-0.38044248778121836</v>
      </c>
      <c r="CC7" s="87">
        <f t="shared" si="4"/>
        <v>0.85867253665634502</v>
      </c>
      <c r="CD7" s="87">
        <f t="shared" si="5"/>
        <v>0.85867253665634502</v>
      </c>
      <c r="CE7" s="87">
        <f t="shared" si="6"/>
        <v>2.0977875610939081</v>
      </c>
      <c r="CF7" s="87">
        <f t="shared" si="7"/>
        <v>-1</v>
      </c>
      <c r="CG7" s="87">
        <f t="shared" si="8"/>
        <v>-1</v>
      </c>
      <c r="CH7" s="87">
        <f t="shared" si="9"/>
        <v>-1</v>
      </c>
      <c r="CI7" s="87">
        <f t="shared" si="10"/>
        <v>-0.82837742043801066</v>
      </c>
      <c r="CJ7" s="87">
        <f t="shared" si="11"/>
        <v>-1</v>
      </c>
      <c r="CK7" s="87">
        <f t="shared" si="12"/>
        <v>2.149274334962505</v>
      </c>
      <c r="CL7" s="87">
        <f t="shared" si="13"/>
        <v>-1</v>
      </c>
      <c r="CM7" s="87">
        <f t="shared" si="14"/>
        <v>0.44563419517715697</v>
      </c>
      <c r="CN7" s="87">
        <f t="shared" si="15"/>
        <v>-0.83695854941611003</v>
      </c>
      <c r="CO7" s="87">
        <f t="shared" si="16"/>
        <v>0.85867253665634502</v>
      </c>
      <c r="CP7" s="87">
        <f t="shared" si="17"/>
        <v>1.4782300488751265</v>
      </c>
      <c r="CQ7" s="87">
        <f t="shared" si="18"/>
        <v>1.0651917073959387</v>
      </c>
      <c r="CR7" s="87">
        <f t="shared" si="19"/>
        <v>-0.69022124389060924</v>
      </c>
      <c r="CS7" s="87">
        <f t="shared" si="20"/>
        <v>-7.066373167182749E-2</v>
      </c>
      <c r="CT7" s="87">
        <f t="shared" si="21"/>
        <v>-7.066373167182749E-2</v>
      </c>
      <c r="CV7" s="88">
        <f t="shared" si="43"/>
        <v>1.066964690675209</v>
      </c>
    </row>
    <row r="8" spans="1:100" x14ac:dyDescent="0.25">
      <c r="A8" s="85">
        <v>45046</v>
      </c>
      <c r="B8" s="86">
        <v>30</v>
      </c>
      <c r="C8" s="43" t="str" cm="1">
        <f t="array" ref="C8">IF(B8="","",INDEX(UWS!$B$10:$B$41,B8))</f>
        <v>Hanging leg raise</v>
      </c>
      <c r="D8" s="40">
        <f t="shared" si="0"/>
        <v>0.6</v>
      </c>
      <c r="E8" s="69">
        <f t="shared" si="22"/>
        <v>1.3045395448497428</v>
      </c>
      <c r="F8" s="48" cm="1">
        <f t="array" ref="F8">0.1+IFERROR(INDEX($F$5:$F7,SUMPRODUCT(MAX(ROW($C$5:$C7)*($C8=$C$5:$C7))-ROW($A$4)))*0.9^($A8-INDEX($A$5:A7,SUMPRODUCT(MAX(ROW($C$5:$C7)*($C8=$C$5:$C7))-ROW($A$4)))),0)</f>
        <v>0.1</v>
      </c>
      <c r="G8" s="55">
        <f>INDEX(UWS!$AB$10:$AB$41,MATCH(C8,UWS!$B$10:$B$41,0))</f>
        <v>2.5</v>
      </c>
      <c r="H8" s="48">
        <f>INDEX(UWS!$C$10:$C$41,MATCH(C8,UWS!$B$10:$B$41,0))</f>
        <v>1</v>
      </c>
      <c r="I8" s="27">
        <v>4</v>
      </c>
      <c r="J8" s="27">
        <f>INDEX(UWS!$E$10:$E$41,MATCH(C8,UWS!$B$10:$B$41,0))</f>
        <v>1</v>
      </c>
      <c r="L8" s="108" t="str" cm="1">
        <f t="array" ref="L8">IF(K8="","",INDEX(UWS!$B$10:$B$41,K8))</f>
        <v/>
      </c>
      <c r="N8" s="108" t="str" cm="1">
        <f t="array" ref="N8">IF(M8="","",INDEX(UWS!$B$10:$B$41,M8))</f>
        <v/>
      </c>
      <c r="P8">
        <f>IFERROR(INDEX(UWS!$G$10:$Z$41,MATCH($C8,UWS!$B$10:$B$41,0),MATCH(P$4,UWS!$G$3:$Z$3,0)),0)</f>
        <v>0</v>
      </c>
      <c r="Q8">
        <f>IFERROR(INDEX(UWS!$G$10:$Z$41,MATCH($C8,UWS!$B$10:$B$41,0),MATCH(Q$4,UWS!$G$3:$Z$3,0)),0)</f>
        <v>0</v>
      </c>
      <c r="R8">
        <f>IFERROR(INDEX(UWS!$G$10:$Z$41,MATCH($C8,UWS!$B$10:$B$41,0),MATCH(R$4,UWS!$G$3:$Z$3,0)),0)</f>
        <v>0</v>
      </c>
      <c r="S8">
        <f>IFERROR(INDEX(UWS!$G$10:$Z$41,MATCH($C8,UWS!$B$10:$B$41,0),MATCH(S$4,UWS!$G$3:$Z$3,0)),0)</f>
        <v>0</v>
      </c>
      <c r="T8">
        <f>IFERROR(INDEX(UWS!$G$10:$Z$41,MATCH($C8,UWS!$B$10:$B$41,0),MATCH(T$4,UWS!$G$3:$Z$3,0)),0)</f>
        <v>0</v>
      </c>
      <c r="U8">
        <f>IFERROR(INDEX(UWS!$G$10:$Z$41,MATCH($C8,UWS!$B$10:$B$41,0),MATCH(U$4,UWS!$G$3:$Z$3,0)),0)</f>
        <v>0</v>
      </c>
      <c r="V8">
        <f>IFERROR(INDEX(UWS!$G$10:$Z$41,MATCH($C8,UWS!$B$10:$B$41,0),MATCH(V$4,UWS!$G$3:$Z$3,0)),0)</f>
        <v>0</v>
      </c>
      <c r="W8">
        <f>IFERROR(INDEX(UWS!$G$10:$Z$41,MATCH($C8,UWS!$B$10:$B$41,0),MATCH(W$4,UWS!$G$3:$Z$3,0)),0)</f>
        <v>0</v>
      </c>
      <c r="X8">
        <f>IFERROR(INDEX(UWS!$G$10:$Z$41,MATCH($C8,UWS!$B$10:$B$41,0),MATCH(X$4,UWS!$G$3:$Z$3,0)),0)</f>
        <v>0</v>
      </c>
      <c r="Y8">
        <f>IFERROR(INDEX(UWS!$G$10:$Z$41,MATCH($C8,UWS!$B$10:$B$41,0),MATCH(Y$4,UWS!$G$3:$Z$3,0)),0)</f>
        <v>0</v>
      </c>
      <c r="Z8">
        <f>IFERROR(INDEX(UWS!$G$10:$Z$41,MATCH($C8,UWS!$B$10:$B$41,0),MATCH(Z$4,UWS!$G$3:$Z$3,0)),0)</f>
        <v>0.5</v>
      </c>
      <c r="AA8">
        <f>IFERROR(INDEX(UWS!$G$10:$Z$41,MATCH($C8,UWS!$B$10:$B$41,0),MATCH(AA$4,UWS!$G$3:$Z$3,0)),0)</f>
        <v>0.8</v>
      </c>
      <c r="AB8">
        <f>IFERROR(INDEX(UWS!$G$10:$Z$41,MATCH($C8,UWS!$B$10:$B$41,0),MATCH(AB$4,UWS!$G$3:$Z$3,0)),0)</f>
        <v>0.7</v>
      </c>
      <c r="AC8">
        <f>IFERROR(INDEX(UWS!$G$10:$Z$41,MATCH($C8,UWS!$B$10:$B$41,0),MATCH(AC$4,UWS!$G$3:$Z$3,0)),0)</f>
        <v>0.5</v>
      </c>
      <c r="AD8">
        <f>IFERROR(INDEX(UWS!$G$10:$Z$41,MATCH($C8,UWS!$B$10:$B$41,0),MATCH(AD$4,UWS!$G$3:$Z$3,0)),0)</f>
        <v>0</v>
      </c>
      <c r="AE8">
        <f>IFERROR(INDEX(UWS!$G$10:$Z$41,MATCH($C8,UWS!$B$10:$B$41,0),MATCH(AE$4,UWS!$G$3:$Z$3,0)),0)</f>
        <v>0</v>
      </c>
      <c r="AF8">
        <f>IFERROR(INDEX(UWS!$G$10:$Z$41,MATCH($C8,UWS!$B$10:$B$41,0),MATCH(AF$4,UWS!$G$3:$Z$3,0)),0)</f>
        <v>0</v>
      </c>
      <c r="AG8">
        <f>IFERROR(INDEX(UWS!$G$10:$Z$41,MATCH($C8,UWS!$B$10:$B$41,0),MATCH(AG$4,UWS!$G$3:$Z$3,0)),0)</f>
        <v>0</v>
      </c>
      <c r="AH8">
        <f>IFERROR(INDEX(UWS!$G$10:$Z$41,MATCH($C8,UWS!$B$10:$B$41,0),MATCH(AH$4,UWS!$G$3:$Z$3,0)),0)</f>
        <v>0</v>
      </c>
      <c r="AI8">
        <f>IFERROR(INDEX(UWS!$G$10:$Z$41,MATCH($C8,UWS!$B$10:$B$41,0),MATCH(AI$4,UWS!$G$3:$Z$3,0)),0)</f>
        <v>0</v>
      </c>
      <c r="AK8">
        <f>IF(OR($J8=0,COUNTIFS($A$4:$A7,"&gt;="&amp;$A8-1,$A$4:$A7,"&lt;="&amp;$A8,$B$4:$B7,$B8)&gt;0,MIN(AK$1,IF($A8=$A7,AK7,1))-P8&lt;0),-1,MIN(1,IF($A8=$A7,AK7,1)-P8+$D$3))</f>
        <v>1</v>
      </c>
      <c r="AL8">
        <f>IF(OR($J8=0,COUNTIFS($A$4:$A7,"&gt;="&amp;$A8-1,$A$4:$A7,"&lt;="&amp;$A8,$B$4:$B7,$B8)&gt;0,MIN(AL$1,IF($A8=$A7,AL7,1))-Q8&lt;0),-1,MIN(1,IF($A8=$A7,AL7,1)-Q8+$D$3))</f>
        <v>1</v>
      </c>
      <c r="AM8">
        <f>IF(OR($J8=0,COUNTIFS($A$4:$A7,"&gt;="&amp;$A8-1,$A$4:$A7,"&lt;="&amp;$A8,$B$4:$B7,$B8)&gt;0,MIN(AM$1,IF($A8=$A7,AM7,1))-R8&lt;0),-1,MIN(1,IF($A8=$A7,AM7,1)-R8+$D$3))</f>
        <v>1</v>
      </c>
      <c r="AN8">
        <f>IF(OR($J8=0,COUNTIFS($A$4:$A7,"&gt;="&amp;$A8-1,$A$4:$A7,"&lt;="&amp;$A8,$B$4:$B7,$B8)&gt;0,MIN(AN$1,IF($A8=$A7,AN7,1))-S8&lt;0),-1,MIN(1,IF($A8=$A7,AN7,1)-S8+$D$3))</f>
        <v>1</v>
      </c>
      <c r="AO8">
        <f>IF(OR($J8=0,COUNTIFS($A$4:$A7,"&gt;="&amp;$A8-1,$A$4:$A7,"&lt;="&amp;$A8,$B$4:$B7,$B8)&gt;0,MIN(AO$1,IF($A8=$A7,AO7,1))-T8&lt;0),-1,MIN(1,IF($A8=$A7,AO7,1)-T8+$D$3))</f>
        <v>1</v>
      </c>
      <c r="AP8">
        <f>IF(OR($J8=0,COUNTIFS($A$4:$A7,"&gt;="&amp;$A8-1,$A$4:$A7,"&lt;="&amp;$A8,$B$4:$B7,$B8)&gt;0,MIN(AP$1,IF($A8=$A7,AP7,1))-U8&lt;0),-1,MIN(1,IF($A8=$A7,AP7,1)-U8+$D$3))</f>
        <v>1</v>
      </c>
      <c r="AQ8">
        <f>IF(OR($J8=0,COUNTIFS($A$4:$A7,"&gt;="&amp;$A8-1,$A$4:$A7,"&lt;="&amp;$A8,$B$4:$B7,$B8)&gt;0,MIN(AQ$1,IF($A8=$A7,AQ7,1))-V8&lt;0),-1,MIN(1,IF($A8=$A7,AQ7,1)-V8+$D$3))</f>
        <v>1</v>
      </c>
      <c r="AR8">
        <f>IF(OR($J8=0,COUNTIFS($A$4:$A7,"&gt;="&amp;$A8-1,$A$4:$A7,"&lt;="&amp;$A8,$B$4:$B7,$B8)&gt;0,MIN(AR$1,IF($A8=$A7,AR7,1))-W8&lt;0),-1,MIN(1,IF($A8=$A7,AR7,1)-W8+$D$3))</f>
        <v>1</v>
      </c>
      <c r="AS8">
        <f>IF(OR($J8=0,COUNTIFS($A$4:$A7,"&gt;="&amp;$A8-1,$A$4:$A7,"&lt;="&amp;$A8,$B$4:$B7,$B8)&gt;0,MIN(AS$1,IF($A8=$A7,AS7,1))-X8&lt;0),-1,MIN(1,IF($A8=$A7,AS7,1)-X8+$D$3))</f>
        <v>0.8</v>
      </c>
      <c r="AT8">
        <f>IF(OR($J8=0,COUNTIFS($A$4:$A7,"&gt;="&amp;$A8-1,$A$4:$A7,"&lt;="&amp;$A8,$B$4:$B7,$B8)&gt;0,MIN(AT$1,IF($A8=$A7,AT7,1))-Y8&lt;0),-1,MIN(1,IF($A8=$A7,AT7,1)-Y8+$D$3))</f>
        <v>1</v>
      </c>
      <c r="AU8">
        <f>IF(OR($J8=0,COUNTIFS($A$4:$A7,"&gt;="&amp;$A8-1,$A$4:$A7,"&lt;="&amp;$A8,$B$4:$B7,$B8)&gt;0,MIN(AU$1,IF($A8=$A7,AU7,1))-Z8&lt;0),-1,MIN(1,IF($A8=$A7,AU7,1)-Z8+$D$3))</f>
        <v>0.8</v>
      </c>
      <c r="AV8">
        <f>IF(OR($J8=0,COUNTIFS($A$4:$A7,"&gt;="&amp;$A8-1,$A$4:$A7,"&lt;="&amp;$A8,$B$4:$B7,$B8)&gt;0,MIN(AV$1,IF($A8=$A7,AV7,1))-AA8&lt;0),-1,MIN(1,IF($A8=$A7,AV7,1)-AA8+$D$3))</f>
        <v>0.6</v>
      </c>
      <c r="AW8">
        <f>IF(OR($J8=0,COUNTIFS($A$4:$A7,"&gt;="&amp;$A8-1,$A$4:$A7,"&lt;="&amp;$A8,$B$4:$B7,$B8)&gt;0,MIN(AW$1,IF($A8=$A7,AW7,1))-AB8&lt;0),-1,MIN(1,IF($A8=$A7,AW7,1)-AB8+$D$3))</f>
        <v>0.70000000000000007</v>
      </c>
      <c r="AX8">
        <f>IF(OR($J8=0,COUNTIFS($A$4:$A7,"&gt;="&amp;$A8-1,$A$4:$A7,"&lt;="&amp;$A8,$B$4:$B7,$B8)&gt;0,MIN(AX$1,IF($A8=$A7,AX7,1))-AC8&lt;0),-1,MIN(1,IF($A8=$A7,AX7,1)-AC8+$D$3))</f>
        <v>0.70000000000000007</v>
      </c>
      <c r="AY8">
        <f>IF(OR($J8=0,COUNTIFS($A$4:$A7,"&gt;="&amp;$A8-1,$A$4:$A7,"&lt;="&amp;$A8,$B$4:$B7,$B8)&gt;0,MIN(AY$1,IF($A8=$A7,AY7,1))-AD8&lt;0),-1,MIN(1,IF($A8=$A7,AY7,1)-AD8+$D$3))</f>
        <v>1</v>
      </c>
      <c r="AZ8">
        <f>IF(OR($J8=0,COUNTIFS($A$4:$A7,"&gt;="&amp;$A8-1,$A$4:$A7,"&lt;="&amp;$A8,$B$4:$B7,$B8)&gt;0,MIN(AZ$1,IF($A8=$A7,AZ7,1))-AE8&lt;0),-1,MIN(1,IF($A8=$A7,AZ7,1)-AE8+$D$3))</f>
        <v>1</v>
      </c>
      <c r="BA8">
        <f>IF(OR($J8=0,COUNTIFS($A$4:$A7,"&gt;="&amp;$A8-1,$A$4:$A7,"&lt;="&amp;$A8,$B$4:$B7,$B8)&gt;0,MIN(BA$1,IF($A8=$A7,BA7,1))-AF8&lt;0),-1,MIN(1,IF($A8=$A7,BA7,1)-AF8+$D$3))</f>
        <v>1</v>
      </c>
      <c r="BB8">
        <f>IF(OR($J8=0,COUNTIFS($A$4:$A7,"&gt;="&amp;$A8-1,$A$4:$A7,"&lt;="&amp;$A8,$B$4:$B7,$B8)&gt;0,MIN(BB$1,IF($A8=$A7,BB7,1))-AG8&lt;0),-1,MIN(1,IF($A8=$A7,BB7,1)-AG8+$D$3))</f>
        <v>1</v>
      </c>
      <c r="BC8">
        <f>IF(OR($J8=0,COUNTIFS($A$4:$A7,"&gt;="&amp;$A8-1,$A$4:$A7,"&lt;="&amp;$A8,$B$4:$B7,$B8)&gt;0,MIN(BC$1,IF($A8=$A7,BC7,1))-AH8&lt;0),-1,MIN(1,IF($A8=$A7,BC7,1)-AH8+$D$3))</f>
        <v>1</v>
      </c>
      <c r="BD8">
        <f>IF(OR($J8=0,COUNTIFS($A$4:$A7,"&gt;="&amp;$A8-1,$A$4:$A7,"&lt;="&amp;$A8,$B$4:$B7,$B8)&gt;0,MIN(BD$1,IF($A8=$A7,BD7,1))-AI8&lt;0),-1,MIN(1,IF($A8=$A7,BD7,1)-AI8+$D$3))</f>
        <v>1</v>
      </c>
      <c r="BF8" s="87">
        <f t="shared" si="23"/>
        <v>0</v>
      </c>
      <c r="BG8" s="87">
        <f t="shared" si="24"/>
        <v>0.25721249999999996</v>
      </c>
      <c r="BH8" s="87">
        <f t="shared" si="25"/>
        <v>0.51442499999999991</v>
      </c>
      <c r="BI8" s="87">
        <f t="shared" si="26"/>
        <v>0.51442499999999991</v>
      </c>
      <c r="BJ8" s="87">
        <f t="shared" si="27"/>
        <v>0.85737499999999989</v>
      </c>
      <c r="BK8" s="87">
        <f t="shared" si="28"/>
        <v>0</v>
      </c>
      <c r="BL8" s="87">
        <f t="shared" si="29"/>
        <v>0</v>
      </c>
      <c r="BM8" s="87">
        <f t="shared" si="30"/>
        <v>0</v>
      </c>
      <c r="BN8" s="87">
        <f t="shared" si="31"/>
        <v>4.7500000000000001E-2</v>
      </c>
      <c r="BO8" s="87">
        <f t="shared" si="32"/>
        <v>0</v>
      </c>
      <c r="BP8" s="87">
        <f t="shared" si="33"/>
        <v>0.89662500000000001</v>
      </c>
      <c r="BQ8" s="87">
        <f t="shared" si="34"/>
        <v>4.0000000000000008E-2</v>
      </c>
      <c r="BR8" s="87">
        <f t="shared" si="35"/>
        <v>0.63516249999999996</v>
      </c>
      <c r="BS8" s="87">
        <f t="shared" si="36"/>
        <v>7.0124999999999993E-2</v>
      </c>
      <c r="BT8" s="87">
        <f t="shared" si="37"/>
        <v>0.51442499999999991</v>
      </c>
      <c r="BU8" s="87">
        <f t="shared" si="38"/>
        <v>0.68589999999999995</v>
      </c>
      <c r="BV8" s="87">
        <f t="shared" si="39"/>
        <v>0.85737499999999989</v>
      </c>
      <c r="BW8" s="87">
        <f t="shared" si="40"/>
        <v>8.5737499999999994E-2</v>
      </c>
      <c r="BX8" s="87">
        <f t="shared" si="41"/>
        <v>0.25721249999999996</v>
      </c>
      <c r="BY8" s="87">
        <f t="shared" si="42"/>
        <v>0.25721249999999996</v>
      </c>
      <c r="CA8" s="87">
        <f t="shared" si="2"/>
        <v>-1</v>
      </c>
      <c r="CB8" s="87">
        <f t="shared" si="3"/>
        <v>-0.39237410376749848</v>
      </c>
      <c r="CC8" s="87">
        <f t="shared" si="4"/>
        <v>0.82287768869750444</v>
      </c>
      <c r="CD8" s="87">
        <f t="shared" si="5"/>
        <v>0.82287768869750444</v>
      </c>
      <c r="CE8" s="87">
        <f t="shared" si="6"/>
        <v>2.0381294811625077</v>
      </c>
      <c r="CF8" s="87">
        <f t="shared" si="7"/>
        <v>-1</v>
      </c>
      <c r="CG8" s="87">
        <f t="shared" si="8"/>
        <v>-1</v>
      </c>
      <c r="CH8" s="87">
        <f t="shared" si="9"/>
        <v>-1</v>
      </c>
      <c r="CI8" s="87">
        <f t="shared" si="10"/>
        <v>-0.83168257722091365</v>
      </c>
      <c r="CJ8" s="87">
        <f t="shared" si="11"/>
        <v>-1</v>
      </c>
      <c r="CK8" s="87">
        <f t="shared" si="12"/>
        <v>2.1772128252483842</v>
      </c>
      <c r="CL8" s="87">
        <f t="shared" si="13"/>
        <v>-0.85825901239655888</v>
      </c>
      <c r="CM8" s="87">
        <f t="shared" si="14"/>
        <v>0.50047600064451081</v>
      </c>
      <c r="CN8" s="87">
        <f t="shared" si="15"/>
        <v>-0.75151033110771737</v>
      </c>
      <c r="CO8" s="87">
        <f t="shared" si="16"/>
        <v>0.82287768869750444</v>
      </c>
      <c r="CP8" s="87">
        <f t="shared" si="17"/>
        <v>1.4305035849300061</v>
      </c>
      <c r="CQ8" s="87">
        <f t="shared" si="18"/>
        <v>1.0254196541083385</v>
      </c>
      <c r="CR8" s="87">
        <f t="shared" si="19"/>
        <v>-0.69618705188374919</v>
      </c>
      <c r="CS8" s="87">
        <f t="shared" si="20"/>
        <v>-8.856115565124778E-2</v>
      </c>
      <c r="CT8" s="87">
        <f t="shared" si="21"/>
        <v>-8.856115565124778E-2</v>
      </c>
      <c r="CV8" s="88">
        <f t="shared" si="43"/>
        <v>1.0469313484011622</v>
      </c>
    </row>
    <row r="9" spans="1:100" x14ac:dyDescent="0.25">
      <c r="A9" s="89">
        <v>45046</v>
      </c>
      <c r="B9" s="57">
        <v>2</v>
      </c>
      <c r="C9" s="51" t="str" cm="1">
        <f t="array" ref="C9">IF(B9="","",INDEX(UWS!$B$10:$B$41,B9))</f>
        <v>Treadmill running</v>
      </c>
      <c r="D9" s="45">
        <f t="shared" si="0"/>
        <v>0.4</v>
      </c>
      <c r="E9" s="70">
        <f t="shared" si="22"/>
        <v>1.3210100608100934</v>
      </c>
      <c r="F9" s="52" cm="1">
        <f t="array" ref="F9">0.1+IFERROR(INDEX($F$5:$F8,SUMPRODUCT(MAX(ROW($C$5:$C8)*($C9=$C$5:$C8))-ROW($A$4)))*0.9^($A9-INDEX($A$5:A8,SUMPRODUCT(MAX(ROW($C$5:$C8)*($C9=$C$5:$C8))-ROW($A$4)))),0)</f>
        <v>0.1</v>
      </c>
      <c r="G9" s="56">
        <f>INDEX(UWS!$AB$10:$AB$41,MATCH(C9,UWS!$B$10:$B$41,0))</f>
        <v>4.4000000000000004</v>
      </c>
      <c r="H9" s="52">
        <f>INDEX(UWS!$C$10:$C$41,MATCH(C9,UWS!$B$10:$B$41,0))</f>
        <v>1.1000000000000001</v>
      </c>
      <c r="I9" s="46">
        <v>5</v>
      </c>
      <c r="J9" s="46">
        <f>INDEX(UWS!$E$10:$E$41,MATCH(C9,UWS!$B$10:$B$41,0))</f>
        <v>1</v>
      </c>
      <c r="K9" s="46"/>
      <c r="L9" s="109" t="str" cm="1">
        <f t="array" ref="L9">IF(K9="","",INDEX(UWS!$B$10:$B$41,K9))</f>
        <v/>
      </c>
      <c r="M9" s="46"/>
      <c r="N9" s="109" t="str" cm="1">
        <f t="array" ref="N9">IF(M9="","",INDEX(UWS!$B$10:$B$41,M9))</f>
        <v/>
      </c>
      <c r="O9" s="47"/>
      <c r="P9" s="47">
        <f>IFERROR(INDEX(UWS!$G$10:$Z$41,MATCH($C9,UWS!$B$10:$B$41,0),MATCH(P$4,UWS!$G$3:$Z$3,0)),0)</f>
        <v>0</v>
      </c>
      <c r="Q9" s="47">
        <f>IFERROR(INDEX(UWS!$G$10:$Z$41,MATCH($C9,UWS!$B$10:$B$41,0),MATCH(Q$4,UWS!$G$3:$Z$3,0)),0)</f>
        <v>0</v>
      </c>
      <c r="R9" s="47">
        <f>IFERROR(INDEX(UWS!$G$10:$Z$41,MATCH($C9,UWS!$B$10:$B$41,0),MATCH(R$4,UWS!$G$3:$Z$3,0)),0)</f>
        <v>0</v>
      </c>
      <c r="S9" s="47">
        <f>IFERROR(INDEX(UWS!$G$10:$Z$41,MATCH($C9,UWS!$B$10:$B$41,0),MATCH(S$4,UWS!$G$3:$Z$3,0)),0)</f>
        <v>0</v>
      </c>
      <c r="T9" s="47">
        <f>IFERROR(INDEX(UWS!$G$10:$Z$41,MATCH($C9,UWS!$B$10:$B$41,0),MATCH(T$4,UWS!$G$3:$Z$3,0)),0)</f>
        <v>0</v>
      </c>
      <c r="U9" s="47">
        <f>IFERROR(INDEX(UWS!$G$10:$Z$41,MATCH($C9,UWS!$B$10:$B$41,0),MATCH(U$4,UWS!$G$3:$Z$3,0)),0)</f>
        <v>0</v>
      </c>
      <c r="V9" s="47">
        <f>IFERROR(INDEX(UWS!$G$10:$Z$41,MATCH($C9,UWS!$B$10:$B$41,0),MATCH(V$4,UWS!$G$3:$Z$3,0)),0)</f>
        <v>0</v>
      </c>
      <c r="W9" s="47">
        <f>IFERROR(INDEX(UWS!$G$10:$Z$41,MATCH($C9,UWS!$B$10:$B$41,0),MATCH(W$4,UWS!$G$3:$Z$3,0)),0)</f>
        <v>0</v>
      </c>
      <c r="X9" s="47">
        <f>IFERROR(INDEX(UWS!$G$10:$Z$41,MATCH($C9,UWS!$B$10:$B$41,0),MATCH(X$4,UWS!$G$3:$Z$3,0)),0)</f>
        <v>0</v>
      </c>
      <c r="Y9" s="47">
        <f>IFERROR(INDEX(UWS!$G$10:$Z$41,MATCH($C9,UWS!$B$10:$B$41,0),MATCH(Y$4,UWS!$G$3:$Z$3,0)),0)</f>
        <v>0</v>
      </c>
      <c r="Z9" s="47">
        <f>IFERROR(INDEX(UWS!$G$10:$Z$41,MATCH($C9,UWS!$B$10:$B$41,0),MATCH(Z$4,UWS!$G$3:$Z$3,0)),0)</f>
        <v>0</v>
      </c>
      <c r="AA9" s="47">
        <f>IFERROR(INDEX(UWS!$G$10:$Z$41,MATCH($C9,UWS!$B$10:$B$41,0),MATCH(AA$4,UWS!$G$3:$Z$3,0)),0)</f>
        <v>0</v>
      </c>
      <c r="AB9" s="47">
        <f>IFERROR(INDEX(UWS!$G$10:$Z$41,MATCH($C9,UWS!$B$10:$B$41,0),MATCH(AB$4,UWS!$G$3:$Z$3,0)),0)</f>
        <v>0.2</v>
      </c>
      <c r="AC9" s="47">
        <f>IFERROR(INDEX(UWS!$G$10:$Z$41,MATCH($C9,UWS!$B$10:$B$41,0),MATCH(AC$4,UWS!$G$3:$Z$3,0)),0)</f>
        <v>0</v>
      </c>
      <c r="AD9" s="47">
        <f>IFERROR(INDEX(UWS!$G$10:$Z$41,MATCH($C9,UWS!$B$10:$B$41,0),MATCH(AD$4,UWS!$G$3:$Z$3,0)),0)</f>
        <v>1</v>
      </c>
      <c r="AE9" s="47">
        <f>IFERROR(INDEX(UWS!$G$10:$Z$41,MATCH($C9,UWS!$B$10:$B$41,0),MATCH(AE$4,UWS!$G$3:$Z$3,0)),0)</f>
        <v>1</v>
      </c>
      <c r="AF9" s="47">
        <f>IFERROR(INDEX(UWS!$G$10:$Z$41,MATCH($C9,UWS!$B$10:$B$41,0),MATCH(AF$4,UWS!$G$3:$Z$3,0)),0)</f>
        <v>0.6</v>
      </c>
      <c r="AG9" s="47">
        <f>IFERROR(INDEX(UWS!$G$10:$Z$41,MATCH($C9,UWS!$B$10:$B$41,0),MATCH(AG$4,UWS!$G$3:$Z$3,0)),0)</f>
        <v>1</v>
      </c>
      <c r="AH9" s="47">
        <f>IFERROR(INDEX(UWS!$G$10:$Z$41,MATCH($C9,UWS!$B$10:$B$41,0),MATCH(AH$4,UWS!$G$3:$Z$3,0)),0)</f>
        <v>0</v>
      </c>
      <c r="AI9" s="47">
        <f>IFERROR(INDEX(UWS!$G$10:$Z$41,MATCH($C9,UWS!$B$10:$B$41,0),MATCH(AI$4,UWS!$G$3:$Z$3,0)),0)</f>
        <v>0.6</v>
      </c>
      <c r="AJ9" s="47"/>
      <c r="AK9" s="47">
        <f>IF(OR($J9=0,COUNTIFS($A$4:$A8,"&gt;="&amp;$A9-1,$A$4:$A8,"&lt;="&amp;$A9,$B$4:$B8,$B9)&gt;0,MIN(AK$1,IF($A9=$A8,AK8,1))-P9&lt;0),-1,MIN(1,IF($A9=$A8,AK8,1)-P9+$D$3))</f>
        <v>1</v>
      </c>
      <c r="AL9" s="47">
        <f>IF(OR($J9=0,COUNTIFS($A$4:$A8,"&gt;="&amp;$A9-1,$A$4:$A8,"&lt;="&amp;$A9,$B$4:$B8,$B9)&gt;0,MIN(AL$1,IF($A9=$A8,AL8,1))-Q9&lt;0),-1,MIN(1,IF($A9=$A8,AL8,1)-Q9+$D$3))</f>
        <v>1</v>
      </c>
      <c r="AM9" s="47">
        <f>IF(OR($J9=0,COUNTIFS($A$4:$A8,"&gt;="&amp;$A9-1,$A$4:$A8,"&lt;="&amp;$A9,$B$4:$B8,$B9)&gt;0,MIN(AM$1,IF($A9=$A8,AM8,1))-R9&lt;0),-1,MIN(1,IF($A9=$A8,AM8,1)-R9+$D$3))</f>
        <v>1</v>
      </c>
      <c r="AN9" s="47">
        <f>IF(OR($J9=0,COUNTIFS($A$4:$A8,"&gt;="&amp;$A9-1,$A$4:$A8,"&lt;="&amp;$A9,$B$4:$B8,$B9)&gt;0,MIN(AN$1,IF($A9=$A8,AN8,1))-S9&lt;0),-1,MIN(1,IF($A9=$A8,AN8,1)-S9+$D$3))</f>
        <v>1</v>
      </c>
      <c r="AO9" s="47">
        <f>IF(OR($J9=0,COUNTIFS($A$4:$A8,"&gt;="&amp;$A9-1,$A$4:$A8,"&lt;="&amp;$A9,$B$4:$B8,$B9)&gt;0,MIN(AO$1,IF($A9=$A8,AO8,1))-T9&lt;0),-1,MIN(1,IF($A9=$A8,AO8,1)-T9+$D$3))</f>
        <v>1</v>
      </c>
      <c r="AP9" s="47">
        <f>IF(OR($J9=0,COUNTIFS($A$4:$A8,"&gt;="&amp;$A9-1,$A$4:$A8,"&lt;="&amp;$A9,$B$4:$B8,$B9)&gt;0,MIN(AP$1,IF($A9=$A8,AP8,1))-U9&lt;0),-1,MIN(1,IF($A9=$A8,AP8,1)-U9+$D$3))</f>
        <v>1</v>
      </c>
      <c r="AQ9" s="47">
        <f>IF(OR($J9=0,COUNTIFS($A$4:$A8,"&gt;="&amp;$A9-1,$A$4:$A8,"&lt;="&amp;$A9,$B$4:$B8,$B9)&gt;0,MIN(AQ$1,IF($A9=$A8,AQ8,1))-V9&lt;0),-1,MIN(1,IF($A9=$A8,AQ8,1)-V9+$D$3))</f>
        <v>1</v>
      </c>
      <c r="AR9" s="47">
        <f>IF(OR($J9=0,COUNTIFS($A$4:$A8,"&gt;="&amp;$A9-1,$A$4:$A8,"&lt;="&amp;$A9,$B$4:$B8,$B9)&gt;0,MIN(AR$1,IF($A9=$A8,AR8,1))-W9&lt;0),-1,MIN(1,IF($A9=$A8,AR8,1)-W9+$D$3))</f>
        <v>1</v>
      </c>
      <c r="AS9" s="47">
        <f>IF(OR($J9=0,COUNTIFS($A$4:$A8,"&gt;="&amp;$A9-1,$A$4:$A8,"&lt;="&amp;$A9,$B$4:$B8,$B9)&gt;0,MIN(AS$1,IF($A9=$A8,AS8,1))-X9&lt;0),-1,MIN(1,IF($A9=$A8,AS8,1)-X9+$D$3))</f>
        <v>1</v>
      </c>
      <c r="AT9" s="47">
        <f>IF(OR($J9=0,COUNTIFS($A$4:$A8,"&gt;="&amp;$A9-1,$A$4:$A8,"&lt;="&amp;$A9,$B$4:$B8,$B9)&gt;0,MIN(AT$1,IF($A9=$A8,AT8,1))-Y9&lt;0),-1,MIN(1,IF($A9=$A8,AT8,1)-Y9+$D$3))</f>
        <v>1</v>
      </c>
      <c r="AU9" s="47">
        <f>IF(OR($J9=0,COUNTIFS($A$4:$A8,"&gt;="&amp;$A9-1,$A$4:$A8,"&lt;="&amp;$A9,$B$4:$B8,$B9)&gt;0,MIN(AU$1,IF($A9=$A8,AU8,1))-Z9&lt;0),-1,MIN(1,IF($A9=$A8,AU8,1)-Z9+$D$3))</f>
        <v>1</v>
      </c>
      <c r="AV9" s="47">
        <f>IF(OR($J9=0,COUNTIFS($A$4:$A8,"&gt;="&amp;$A9-1,$A$4:$A8,"&lt;="&amp;$A9,$B$4:$B8,$B9)&gt;0,MIN(AV$1,IF($A9=$A8,AV8,1))-AA9&lt;0),-1,MIN(1,IF($A9=$A8,AV8,1)-AA9+$D$3))</f>
        <v>1</v>
      </c>
      <c r="AW9" s="47">
        <f>IF(OR($J9=0,COUNTIFS($A$4:$A8,"&gt;="&amp;$A9-1,$A$4:$A8,"&lt;="&amp;$A9,$B$4:$B8,$B9)&gt;0,MIN(AW$1,IF($A9=$A8,AW8,1))-AB9&lt;0),-1,MIN(1,IF($A9=$A8,AW8,1)-AB9+$D$3))</f>
        <v>0.9</v>
      </c>
      <c r="AX9" s="47">
        <f>IF(OR($J9=0,COUNTIFS($A$4:$A8,"&gt;="&amp;$A9-1,$A$4:$A8,"&lt;="&amp;$A9,$B$4:$B8,$B9)&gt;0,MIN(AX$1,IF($A9=$A8,AX8,1))-AC9&lt;0),-1,MIN(1,IF($A9=$A8,AX8,1)-AC9+$D$3))</f>
        <v>1</v>
      </c>
      <c r="AY9" s="47">
        <f>IF(OR($J9=0,COUNTIFS($A$4:$A8,"&gt;="&amp;$A9-1,$A$4:$A8,"&lt;="&amp;$A9,$B$4:$B8,$B9)&gt;0,MIN(AY$1,IF($A9=$A8,AY8,1))-AD9&lt;0),-1,MIN(1,IF($A9=$A8,AY8,1)-AD9+$D$3))</f>
        <v>0.4</v>
      </c>
      <c r="AZ9" s="47">
        <f>IF(OR($J9=0,COUNTIFS($A$4:$A8,"&gt;="&amp;$A9-1,$A$4:$A8,"&lt;="&amp;$A9,$B$4:$B8,$B9)&gt;0,MIN(AZ$1,IF($A9=$A8,AZ8,1))-AE9&lt;0),-1,MIN(1,IF($A9=$A8,AZ8,1)-AE9+$D$3))</f>
        <v>0.4</v>
      </c>
      <c r="BA9" s="47">
        <f>IF(OR($J9=0,COUNTIFS($A$4:$A8,"&gt;="&amp;$A9-1,$A$4:$A8,"&lt;="&amp;$A9,$B$4:$B8,$B9)&gt;0,MIN(BA$1,IF($A9=$A8,BA8,1))-AF9&lt;0),-1,MIN(1,IF($A9=$A8,BA8,1)-AF9+$D$3))</f>
        <v>0.8</v>
      </c>
      <c r="BB9" s="47">
        <f>IF(OR($J9=0,COUNTIFS($A$4:$A8,"&gt;="&amp;$A9-1,$A$4:$A8,"&lt;="&amp;$A9,$B$4:$B8,$B9)&gt;0,MIN(BB$1,IF($A9=$A8,BB8,1))-AG9&lt;0),-1,MIN(1,IF($A9=$A8,BB8,1)-AG9+$D$3))</f>
        <v>0.4</v>
      </c>
      <c r="BC9" s="47">
        <f>IF(OR($J9=0,COUNTIFS($A$4:$A8,"&gt;="&amp;$A9-1,$A$4:$A8,"&lt;="&amp;$A9,$B$4:$B8,$B9)&gt;0,MIN(BC$1,IF($A9=$A8,BC8,1))-AH9&lt;0),-1,MIN(1,IF($A9=$A8,BC8,1)-AH9+$D$3))</f>
        <v>1</v>
      </c>
      <c r="BD9" s="47">
        <f>IF(OR($J9=0,COUNTIFS($A$4:$A8,"&gt;="&amp;$A9-1,$A$4:$A8,"&lt;="&amp;$A9,$B$4:$B8,$B9)&gt;0,MIN(BD$1,IF($A9=$A8,BD8,1))-AI9&lt;0),-1,MIN(1,IF($A9=$A8,BD8,1)-AI9+$D$3))</f>
        <v>0.8</v>
      </c>
      <c r="BE9" s="47"/>
      <c r="BF9" s="53">
        <f t="shared" si="23"/>
        <v>0</v>
      </c>
      <c r="BG9" s="53">
        <f t="shared" si="24"/>
        <v>0.24435187499999994</v>
      </c>
      <c r="BH9" s="53">
        <f t="shared" si="25"/>
        <v>0.48870374999999988</v>
      </c>
      <c r="BI9" s="53">
        <f t="shared" si="26"/>
        <v>0.48870374999999988</v>
      </c>
      <c r="BJ9" s="53">
        <f t="shared" si="27"/>
        <v>0.81450624999999988</v>
      </c>
      <c r="BK9" s="53">
        <f t="shared" si="28"/>
        <v>0</v>
      </c>
      <c r="BL9" s="53">
        <f t="shared" si="29"/>
        <v>0</v>
      </c>
      <c r="BM9" s="53">
        <f t="shared" si="30"/>
        <v>0</v>
      </c>
      <c r="BN9" s="53">
        <f t="shared" si="31"/>
        <v>4.5124999999999998E-2</v>
      </c>
      <c r="BO9" s="53">
        <f t="shared" si="32"/>
        <v>0</v>
      </c>
      <c r="BP9" s="53">
        <f t="shared" si="33"/>
        <v>0.85179375000000002</v>
      </c>
      <c r="BQ9" s="53">
        <f t="shared" si="34"/>
        <v>3.8000000000000006E-2</v>
      </c>
      <c r="BR9" s="53">
        <f t="shared" si="35"/>
        <v>0.61340437499999989</v>
      </c>
      <c r="BS9" s="53">
        <f t="shared" si="36"/>
        <v>6.661874999999999E-2</v>
      </c>
      <c r="BT9" s="53">
        <f t="shared" si="37"/>
        <v>0.53870374999999993</v>
      </c>
      <c r="BU9" s="53">
        <f t="shared" si="38"/>
        <v>0.70160499999999992</v>
      </c>
      <c r="BV9" s="53">
        <f t="shared" si="39"/>
        <v>0.8445062499999999</v>
      </c>
      <c r="BW9" s="53">
        <f t="shared" si="40"/>
        <v>0.13145062499999999</v>
      </c>
      <c r="BX9" s="53">
        <f t="shared" si="41"/>
        <v>0.24435187499999994</v>
      </c>
      <c r="BY9" s="53">
        <f t="shared" si="42"/>
        <v>0.27435187499999991</v>
      </c>
      <c r="BZ9" s="47"/>
      <c r="CA9" s="53">
        <f t="shared" si="2"/>
        <v>-1</v>
      </c>
      <c r="CB9" s="53">
        <f t="shared" si="3"/>
        <v>-0.41330645496723739</v>
      </c>
      <c r="CC9" s="53">
        <f t="shared" si="4"/>
        <v>0.76008063509828783</v>
      </c>
      <c r="CD9" s="53">
        <f t="shared" si="5"/>
        <v>0.76008063509828783</v>
      </c>
      <c r="CE9" s="53">
        <f t="shared" si="6"/>
        <v>1.9334677251638133</v>
      </c>
      <c r="CF9" s="53">
        <f t="shared" si="7"/>
        <v>-1</v>
      </c>
      <c r="CG9" s="53">
        <f t="shared" si="8"/>
        <v>-1</v>
      </c>
      <c r="CH9" s="53">
        <f t="shared" si="9"/>
        <v>-1</v>
      </c>
      <c r="CI9" s="53">
        <f t="shared" si="10"/>
        <v>-0.83748101245629836</v>
      </c>
      <c r="CJ9" s="53">
        <f t="shared" si="11"/>
        <v>-1</v>
      </c>
      <c r="CK9" s="53">
        <f t="shared" si="12"/>
        <v>2.0677597306604514</v>
      </c>
      <c r="CL9" s="53">
        <f t="shared" si="13"/>
        <v>-0.86314190522635648</v>
      </c>
      <c r="CM9" s="53">
        <f t="shared" si="14"/>
        <v>0.47279568575995645</v>
      </c>
      <c r="CN9" s="53">
        <f t="shared" si="15"/>
        <v>-0.76007065259995632</v>
      </c>
      <c r="CO9" s="53">
        <f t="shared" si="16"/>
        <v>0.94015707558992379</v>
      </c>
      <c r="CP9" s="53">
        <f t="shared" si="17"/>
        <v>1.5268506206226866</v>
      </c>
      <c r="CQ9" s="53">
        <f t="shared" si="18"/>
        <v>1.0276757263058633</v>
      </c>
      <c r="CR9" s="53">
        <f t="shared" si="19"/>
        <v>-0.52657678699198263</v>
      </c>
      <c r="CS9" s="53">
        <f t="shared" si="20"/>
        <v>-0.11995968245085609</v>
      </c>
      <c r="CT9" s="53">
        <f t="shared" si="21"/>
        <v>-1.1913818155874556E-2</v>
      </c>
      <c r="CU9" s="47"/>
      <c r="CV9" s="90">
        <f t="shared" si="43"/>
        <v>1.0283707402878259</v>
      </c>
    </row>
    <row r="10" spans="1:100" x14ac:dyDescent="0.25">
      <c r="A10" s="75">
        <v>45047</v>
      </c>
      <c r="B10" s="76">
        <v>19</v>
      </c>
      <c r="C10" s="77" t="str" cm="1">
        <f t="array" ref="C10">IF(B10="","",INDEX(UWS!$B$10:$B$41,B10))</f>
        <v>Barbell bench press</v>
      </c>
      <c r="D10" s="78">
        <f t="shared" si="0"/>
        <v>0.4</v>
      </c>
      <c r="E10" s="79">
        <f t="shared" si="22"/>
        <v>1.0544792104188547</v>
      </c>
      <c r="F10" s="80" cm="1">
        <f t="array" ref="F10">0.1+IFERROR(INDEX($F$5:$F9,SUMPRODUCT(MAX(ROW($C$5:$C9)*($C10=$C$5:$C9))-ROW($A$4)))*0.9^($A10-INDEX($A$5:A9,SUMPRODUCT(MAX(ROW($C$5:$C9)*($C10=$C$5:$C9))-ROW($A$4)))),0)</f>
        <v>0.1</v>
      </c>
      <c r="G10" s="81">
        <f>INDEX(UWS!$AB$10:$AB$41,MATCH(C10,UWS!$B$10:$B$41,0))</f>
        <v>2.2999999999999998</v>
      </c>
      <c r="H10" s="80">
        <f>INDEX(UWS!$C$10:$C$41,MATCH(C10,UWS!$B$10:$B$41,0))</f>
        <v>1.1000000000000001</v>
      </c>
      <c r="I10" s="82">
        <f t="shared" ref="I10:I28" si="44">IF(A10&gt;A9,1,IF(A10&gt;A8,2,IF(A10&gt;A7,3,IF(A10&gt;A6,4,5))))</f>
        <v>1</v>
      </c>
      <c r="J10" s="82">
        <f>INDEX(UWS!$E$10:$E$41,MATCH(C10,UWS!$B$10:$B$41,0))</f>
        <v>1</v>
      </c>
      <c r="K10" s="82"/>
      <c r="L10" s="107" t="str" cm="1">
        <f t="array" ref="L10">IF(K10="","",INDEX(UWS!$B$10:$B$41,K10))</f>
        <v/>
      </c>
      <c r="M10" s="82"/>
      <c r="N10" s="107" t="str" cm="1">
        <f t="array" ref="N10">IF(M10="","",INDEX(UWS!$B$10:$B$41,M10))</f>
        <v/>
      </c>
      <c r="O10" s="3"/>
      <c r="P10" s="3">
        <f>IFERROR(INDEX(UWS!$G$10:$Z$41,MATCH($C10,UWS!$B$10:$B$41,0),MATCH(P$4,UWS!$G$3:$Z$3,0)),0)</f>
        <v>1</v>
      </c>
      <c r="Q10" s="3">
        <f>IFERROR(INDEX(UWS!$G$10:$Z$41,MATCH($C10,UWS!$B$10:$B$41,0),MATCH(Q$4,UWS!$G$3:$Z$3,0)),0)</f>
        <v>0</v>
      </c>
      <c r="R10" s="3">
        <f>IFERROR(INDEX(UWS!$G$10:$Z$41,MATCH($C10,UWS!$B$10:$B$41,0),MATCH(R$4,UWS!$G$3:$Z$3,0)),0)</f>
        <v>0</v>
      </c>
      <c r="S10" s="3">
        <f>IFERROR(INDEX(UWS!$G$10:$Z$41,MATCH($C10,UWS!$B$10:$B$41,0),MATCH(S$4,UWS!$G$3:$Z$3,0)),0)</f>
        <v>0</v>
      </c>
      <c r="T10" s="3">
        <f>IFERROR(INDEX(UWS!$G$10:$Z$41,MATCH($C10,UWS!$B$10:$B$41,0),MATCH(T$4,UWS!$G$3:$Z$3,0)),0)</f>
        <v>0</v>
      </c>
      <c r="U10" s="3">
        <f>IFERROR(INDEX(UWS!$G$10:$Z$41,MATCH($C10,UWS!$B$10:$B$41,0),MATCH(U$4,UWS!$G$3:$Z$3,0)),0)</f>
        <v>0</v>
      </c>
      <c r="V10" s="3">
        <f>IFERROR(INDEX(UWS!$G$10:$Z$41,MATCH($C10,UWS!$B$10:$B$41,0),MATCH(V$4,UWS!$G$3:$Z$3,0)),0)</f>
        <v>0.6</v>
      </c>
      <c r="W10" s="3">
        <f>IFERROR(INDEX(UWS!$G$10:$Z$41,MATCH($C10,UWS!$B$10:$B$41,0),MATCH(W$4,UWS!$G$3:$Z$3,0)),0)</f>
        <v>0</v>
      </c>
      <c r="X10" s="3">
        <f>IFERROR(INDEX(UWS!$G$10:$Z$41,MATCH($C10,UWS!$B$10:$B$41,0),MATCH(X$4,UWS!$G$3:$Z$3,0)),0)</f>
        <v>0</v>
      </c>
      <c r="Y10" s="3">
        <f>IFERROR(INDEX(UWS!$G$10:$Z$41,MATCH($C10,UWS!$B$10:$B$41,0),MATCH(Y$4,UWS!$G$3:$Z$3,0)),0)</f>
        <v>0.7</v>
      </c>
      <c r="Z10" s="3">
        <f>IFERROR(INDEX(UWS!$G$10:$Z$41,MATCH($C10,UWS!$B$10:$B$41,0),MATCH(Z$4,UWS!$G$3:$Z$3,0)),0)</f>
        <v>0</v>
      </c>
      <c r="AA10" s="3">
        <f>IFERROR(INDEX(UWS!$G$10:$Z$41,MATCH($C10,UWS!$B$10:$B$41,0),MATCH(AA$4,UWS!$G$3:$Z$3,0)),0)</f>
        <v>0</v>
      </c>
      <c r="AB10" s="3">
        <f>IFERROR(INDEX(UWS!$G$10:$Z$41,MATCH($C10,UWS!$B$10:$B$41,0),MATCH(AB$4,UWS!$G$3:$Z$3,0)),0)</f>
        <v>0</v>
      </c>
      <c r="AC10" s="3">
        <f>IFERROR(INDEX(UWS!$G$10:$Z$41,MATCH($C10,UWS!$B$10:$B$41,0),MATCH(AC$4,UWS!$G$3:$Z$3,0)),0)</f>
        <v>0</v>
      </c>
      <c r="AD10" s="3">
        <f>IFERROR(INDEX(UWS!$G$10:$Z$41,MATCH($C10,UWS!$B$10:$B$41,0),MATCH(AD$4,UWS!$G$3:$Z$3,0)),0)</f>
        <v>0</v>
      </c>
      <c r="AE10" s="3">
        <f>IFERROR(INDEX(UWS!$G$10:$Z$41,MATCH($C10,UWS!$B$10:$B$41,0),MATCH(AE$4,UWS!$G$3:$Z$3,0)),0)</f>
        <v>0</v>
      </c>
      <c r="AF10" s="3">
        <f>IFERROR(INDEX(UWS!$G$10:$Z$41,MATCH($C10,UWS!$B$10:$B$41,0),MATCH(AF$4,UWS!$G$3:$Z$3,0)),0)</f>
        <v>0</v>
      </c>
      <c r="AG10" s="3">
        <f>IFERROR(INDEX(UWS!$G$10:$Z$41,MATCH($C10,UWS!$B$10:$B$41,0),MATCH(AG$4,UWS!$G$3:$Z$3,0)),0)</f>
        <v>0</v>
      </c>
      <c r="AH10" s="3">
        <f>IFERROR(INDEX(UWS!$G$10:$Z$41,MATCH($C10,UWS!$B$10:$B$41,0),MATCH(AH$4,UWS!$G$3:$Z$3,0)),0)</f>
        <v>0</v>
      </c>
      <c r="AI10" s="3">
        <f>IFERROR(INDEX(UWS!$G$10:$Z$41,MATCH($C10,UWS!$B$10:$B$41,0),MATCH(AI$4,UWS!$G$3:$Z$3,0)),0)</f>
        <v>0</v>
      </c>
      <c r="AJ10" s="3"/>
      <c r="AK10" s="3">
        <f>IF(OR($J10=0,COUNTIFS($A$4:$A9,"&gt;="&amp;$A10-1,$A$4:$A9,"&lt;="&amp;$A10,$B$4:$B9,$B10)&gt;0,MIN(AK$1,IF($A10=$A9,AK9,1))-P10&lt;0),-1,MIN(1,IF($A10=$A9,AK9,1)-P10+$D$3))</f>
        <v>0.4</v>
      </c>
      <c r="AL10" s="3">
        <f>IF(OR($J10=0,COUNTIFS($A$4:$A9,"&gt;="&amp;$A10-1,$A$4:$A9,"&lt;="&amp;$A10,$B$4:$B9,$B10)&gt;0,MIN(AL$1,IF($A10=$A9,AL9,1))-Q10&lt;0),-1,MIN(1,IF($A10=$A9,AL9,1)-Q10+$D$3))</f>
        <v>1</v>
      </c>
      <c r="AM10" s="3">
        <f>IF(OR($J10=0,COUNTIFS($A$4:$A9,"&gt;="&amp;$A10-1,$A$4:$A9,"&lt;="&amp;$A10,$B$4:$B9,$B10)&gt;0,MIN(AM$1,IF($A10=$A9,AM9,1))-R10&lt;0),-1,MIN(1,IF($A10=$A9,AM9,1)-R10+$D$3))</f>
        <v>1</v>
      </c>
      <c r="AN10" s="3">
        <f>IF(OR($J10=0,COUNTIFS($A$4:$A9,"&gt;="&amp;$A10-1,$A$4:$A9,"&lt;="&amp;$A10,$B$4:$B9,$B10)&gt;0,MIN(AN$1,IF($A10=$A9,AN9,1))-S10&lt;0),-1,MIN(1,IF($A10=$A9,AN9,1)-S10+$D$3))</f>
        <v>1</v>
      </c>
      <c r="AO10" s="3">
        <f>IF(OR($J10=0,COUNTIFS($A$4:$A9,"&gt;="&amp;$A10-1,$A$4:$A9,"&lt;="&amp;$A10,$B$4:$B9,$B10)&gt;0,MIN(AO$1,IF($A10=$A9,AO9,1))-T10&lt;0),-1,MIN(1,IF($A10=$A9,AO9,1)-T10+$D$3))</f>
        <v>1</v>
      </c>
      <c r="AP10" s="3">
        <f>IF(OR($J10=0,COUNTIFS($A$4:$A9,"&gt;="&amp;$A10-1,$A$4:$A9,"&lt;="&amp;$A10,$B$4:$B9,$B10)&gt;0,MIN(AP$1,IF($A10=$A9,AP9,1))-U10&lt;0),-1,MIN(1,IF($A10=$A9,AP9,1)-U10+$D$3))</f>
        <v>1</v>
      </c>
      <c r="AQ10" s="3">
        <f>IF(OR($J10=0,COUNTIFS($A$4:$A9,"&gt;="&amp;$A10-1,$A$4:$A9,"&lt;="&amp;$A10,$B$4:$B9,$B10)&gt;0,MIN(AQ$1,IF($A10=$A9,AQ9,1))-V10&lt;0),-1,MIN(1,IF($A10=$A9,AQ9,1)-V10+$D$3))</f>
        <v>0.8</v>
      </c>
      <c r="AR10" s="3">
        <f>IF(OR($J10=0,COUNTIFS($A$4:$A9,"&gt;="&amp;$A10-1,$A$4:$A9,"&lt;="&amp;$A10,$B$4:$B9,$B10)&gt;0,MIN(AR$1,IF($A10=$A9,AR9,1))-W10&lt;0),-1,MIN(1,IF($A10=$A9,AR9,1)-W10+$D$3))</f>
        <v>1</v>
      </c>
      <c r="AS10" s="3">
        <f>IF(OR($J10=0,COUNTIFS($A$4:$A9,"&gt;="&amp;$A10-1,$A$4:$A9,"&lt;="&amp;$A10,$B$4:$B9,$B10)&gt;0,MIN(AS$1,IF($A10=$A9,AS9,1))-X10&lt;0),-1,MIN(1,IF($A10=$A9,AS9,1)-X10+$D$3))</f>
        <v>1</v>
      </c>
      <c r="AT10" s="3">
        <f>IF(OR($J10=0,COUNTIFS($A$4:$A9,"&gt;="&amp;$A10-1,$A$4:$A9,"&lt;="&amp;$A10,$B$4:$B9,$B10)&gt;0,MIN(AT$1,IF($A10=$A9,AT9,1))-Y10&lt;0),-1,MIN(1,IF($A10=$A9,AT9,1)-Y10+$D$3))</f>
        <v>0.70000000000000007</v>
      </c>
      <c r="AU10" s="3">
        <f>IF(OR($J10=0,COUNTIFS($A$4:$A9,"&gt;="&amp;$A10-1,$A$4:$A9,"&lt;="&amp;$A10,$B$4:$B9,$B10)&gt;0,MIN(AU$1,IF($A10=$A9,AU9,1))-Z10&lt;0),-1,MIN(1,IF($A10=$A9,AU9,1)-Z10+$D$3))</f>
        <v>1</v>
      </c>
      <c r="AV10" s="3">
        <f>IF(OR($J10=0,COUNTIFS($A$4:$A9,"&gt;="&amp;$A10-1,$A$4:$A9,"&lt;="&amp;$A10,$B$4:$B9,$B10)&gt;0,MIN(AV$1,IF($A10=$A9,AV9,1))-AA10&lt;0),-1,MIN(1,IF($A10=$A9,AV9,1)-AA10+$D$3))</f>
        <v>1</v>
      </c>
      <c r="AW10" s="3">
        <f>IF(OR($J10=0,COUNTIFS($A$4:$A9,"&gt;="&amp;$A10-1,$A$4:$A9,"&lt;="&amp;$A10,$B$4:$B9,$B10)&gt;0,MIN(AW$1,IF($A10=$A9,AW9,1))-AB10&lt;0),-1,MIN(1,IF($A10=$A9,AW9,1)-AB10+$D$3))</f>
        <v>1</v>
      </c>
      <c r="AX10" s="3">
        <f>IF(OR($J10=0,COUNTIFS($A$4:$A9,"&gt;="&amp;$A10-1,$A$4:$A9,"&lt;="&amp;$A10,$B$4:$B9,$B10)&gt;0,MIN(AX$1,IF($A10=$A9,AX9,1))-AC10&lt;0),-1,MIN(1,IF($A10=$A9,AX9,1)-AC10+$D$3))</f>
        <v>1</v>
      </c>
      <c r="AY10" s="3">
        <f>IF(OR($J10=0,COUNTIFS($A$4:$A9,"&gt;="&amp;$A10-1,$A$4:$A9,"&lt;="&amp;$A10,$B$4:$B9,$B10)&gt;0,MIN(AY$1,IF($A10=$A9,AY9,1))-AD10&lt;0),-1,MIN(1,IF($A10=$A9,AY9,1)-AD10+$D$3))</f>
        <v>1</v>
      </c>
      <c r="AZ10" s="3">
        <f>IF(OR($J10=0,COUNTIFS($A$4:$A9,"&gt;="&amp;$A10-1,$A$4:$A9,"&lt;="&amp;$A10,$B$4:$B9,$B10)&gt;0,MIN(AZ$1,IF($A10=$A9,AZ9,1))-AE10&lt;0),-1,MIN(1,IF($A10=$A9,AZ9,1)-AE10+$D$3))</f>
        <v>1</v>
      </c>
      <c r="BA10" s="3">
        <f>IF(OR($J10=0,COUNTIFS($A$4:$A9,"&gt;="&amp;$A10-1,$A$4:$A9,"&lt;="&amp;$A10,$B$4:$B9,$B10)&gt;0,MIN(BA$1,IF($A10=$A9,BA9,1))-AF10&lt;0),-1,MIN(1,IF($A10=$A9,BA9,1)-AF10+$D$3))</f>
        <v>1</v>
      </c>
      <c r="BB10" s="3">
        <f>IF(OR($J10=0,COUNTIFS($A$4:$A9,"&gt;="&amp;$A10-1,$A$4:$A9,"&lt;="&amp;$A10,$B$4:$B9,$B10)&gt;0,MIN(BB$1,IF($A10=$A9,BB9,1))-AG10&lt;0),-1,MIN(1,IF($A10=$A9,BB9,1)-AG10+$D$3))</f>
        <v>1</v>
      </c>
      <c r="BC10" s="3">
        <f>IF(OR($J10=0,COUNTIFS($A$4:$A9,"&gt;="&amp;$A10-1,$A$4:$A9,"&lt;="&amp;$A10,$B$4:$B9,$B10)&gt;0,MIN(BC$1,IF($A10=$A9,BC9,1))-AH10&lt;0),-1,MIN(1,IF($A10=$A9,BC9,1)-AH10+$D$3))</f>
        <v>1</v>
      </c>
      <c r="BD10" s="3">
        <f>IF(OR($J10=0,COUNTIFS($A$4:$A9,"&gt;="&amp;$A10-1,$A$4:$A9,"&lt;="&amp;$A10,$B$4:$B9,$B10)&gt;0,MIN(BD$1,IF($A10=$A9,BD9,1))-AI10&lt;0),-1,MIN(1,IF($A10=$A9,BD9,1)-AI10+$D$3))</f>
        <v>1</v>
      </c>
      <c r="BE10" s="3"/>
      <c r="BF10" s="83">
        <f t="shared" si="23"/>
        <v>0.05</v>
      </c>
      <c r="BG10" s="83">
        <f t="shared" si="24"/>
        <v>0.23213428124999994</v>
      </c>
      <c r="BH10" s="83">
        <f t="shared" si="25"/>
        <v>0.46426856249999987</v>
      </c>
      <c r="BI10" s="83">
        <f t="shared" si="26"/>
        <v>0.46426856249999987</v>
      </c>
      <c r="BJ10" s="83">
        <f t="shared" si="27"/>
        <v>0.77378093749999988</v>
      </c>
      <c r="BK10" s="83">
        <f t="shared" si="28"/>
        <v>0</v>
      </c>
      <c r="BL10" s="83">
        <f t="shared" si="29"/>
        <v>0.03</v>
      </c>
      <c r="BM10" s="83">
        <f t="shared" si="30"/>
        <v>0</v>
      </c>
      <c r="BN10" s="83">
        <f t="shared" si="31"/>
        <v>4.2868749999999997E-2</v>
      </c>
      <c r="BO10" s="83">
        <f t="shared" si="32"/>
        <v>3.4999999999999996E-2</v>
      </c>
      <c r="BP10" s="83">
        <f t="shared" si="33"/>
        <v>0.80920406249999999</v>
      </c>
      <c r="BQ10" s="83">
        <f t="shared" si="34"/>
        <v>3.6100000000000007E-2</v>
      </c>
      <c r="BR10" s="83">
        <f t="shared" si="35"/>
        <v>0.58273415624999991</v>
      </c>
      <c r="BS10" s="83">
        <f t="shared" si="36"/>
        <v>6.3287812499999985E-2</v>
      </c>
      <c r="BT10" s="83">
        <f t="shared" si="37"/>
        <v>0.51176856249999991</v>
      </c>
      <c r="BU10" s="83">
        <f t="shared" si="38"/>
        <v>0.66652474999999989</v>
      </c>
      <c r="BV10" s="83">
        <f t="shared" si="39"/>
        <v>0.80228093749999985</v>
      </c>
      <c r="BW10" s="83">
        <f t="shared" si="40"/>
        <v>0.12487809374999999</v>
      </c>
      <c r="BX10" s="83">
        <f t="shared" si="41"/>
        <v>0.23213428124999994</v>
      </c>
      <c r="BY10" s="83">
        <f t="shared" si="42"/>
        <v>0.26063428124999988</v>
      </c>
      <c r="BZ10" s="3"/>
      <c r="CA10" s="83">
        <f t="shared" si="2"/>
        <v>-0.81397208834180412</v>
      </c>
      <c r="CB10" s="83">
        <f t="shared" si="3"/>
        <v>-0.42422059246381616</v>
      </c>
      <c r="CC10" s="83">
        <f t="shared" si="4"/>
        <v>0.72733822260855141</v>
      </c>
      <c r="CD10" s="83">
        <f t="shared" si="5"/>
        <v>0.72733822260855141</v>
      </c>
      <c r="CE10" s="83">
        <f t="shared" si="6"/>
        <v>1.87889703768092</v>
      </c>
      <c r="CF10" s="83">
        <f t="shared" si="7"/>
        <v>-1</v>
      </c>
      <c r="CG10" s="83">
        <f t="shared" si="8"/>
        <v>-0.88838325300508247</v>
      </c>
      <c r="CH10" s="83">
        <f t="shared" si="9"/>
        <v>-1</v>
      </c>
      <c r="CI10" s="83">
        <f t="shared" si="10"/>
        <v>-0.84050431924205427</v>
      </c>
      <c r="CJ10" s="83">
        <f t="shared" si="11"/>
        <v>-0.86978046183926283</v>
      </c>
      <c r="CK10" s="83">
        <f t="shared" si="12"/>
        <v>2.010690837044065</v>
      </c>
      <c r="CL10" s="83">
        <f t="shared" si="13"/>
        <v>-0.86568784778278252</v>
      </c>
      <c r="CM10" s="83">
        <f t="shared" si="14"/>
        <v>0.44539757518784406</v>
      </c>
      <c r="CN10" s="83">
        <f t="shared" si="15"/>
        <v>-0.7645340081441907</v>
      </c>
      <c r="CO10" s="83">
        <f t="shared" si="16"/>
        <v>0.90406473868383785</v>
      </c>
      <c r="CP10" s="83">
        <f t="shared" si="17"/>
        <v>1.4798441462200218</v>
      </c>
      <c r="CQ10" s="83">
        <f t="shared" si="18"/>
        <v>0.98995529821739403</v>
      </c>
      <c r="CR10" s="83">
        <f t="shared" si="19"/>
        <v>-0.53538378015662191</v>
      </c>
      <c r="CS10" s="83">
        <f t="shared" si="20"/>
        <v>-0.13633088869572429</v>
      </c>
      <c r="CT10" s="83">
        <f t="shared" si="21"/>
        <v>-3.0294979050552784E-2</v>
      </c>
      <c r="CU10" s="3"/>
      <c r="CV10" s="84">
        <f t="shared" si="43"/>
        <v>0.98872663483344458</v>
      </c>
    </row>
    <row r="11" spans="1:100" x14ac:dyDescent="0.25">
      <c r="A11" s="85">
        <v>45047</v>
      </c>
      <c r="B11" s="86">
        <v>27</v>
      </c>
      <c r="C11" s="43" t="str" cm="1">
        <f t="array" ref="C11">IF(B11="","",INDEX(UWS!$B$10:$B$41,B11))</f>
        <v>Cable adduction</v>
      </c>
      <c r="D11" s="40">
        <f t="shared" si="0"/>
        <v>0.4</v>
      </c>
      <c r="E11" s="69">
        <f t="shared" si="22"/>
        <v>0.69398933950804098</v>
      </c>
      <c r="F11" s="48" cm="1">
        <f t="array" ref="F11">0.1+IFERROR(INDEX($F$5:$F10,SUMPRODUCT(MAX(ROW($C$5:$C10)*($C11=$C$5:$C10))-ROW($A$4)))*0.9^($A11-INDEX($A$5:A10,SUMPRODUCT(MAX(ROW($C$5:$C10)*($C11=$C$5:$C10))-ROW($A$4)))),0)</f>
        <v>0.1</v>
      </c>
      <c r="G11" s="55">
        <f>INDEX(UWS!$AB$10:$AB$41,MATCH(C11,UWS!$B$10:$B$41,0))</f>
        <v>1</v>
      </c>
      <c r="H11" s="48">
        <f>INDEX(UWS!$C$10:$C$41,MATCH(C11,UWS!$B$10:$B$41,0))</f>
        <v>1</v>
      </c>
      <c r="I11" s="27">
        <f t="shared" si="44"/>
        <v>2</v>
      </c>
      <c r="J11" s="27">
        <f>INDEX(UWS!$E$10:$E$41,MATCH(C11,UWS!$B$10:$B$41,0))</f>
        <v>1</v>
      </c>
      <c r="L11" s="108" t="str" cm="1">
        <f t="array" ref="L11">IF(K11="","",INDEX(UWS!$B$10:$B$41,K11))</f>
        <v/>
      </c>
      <c r="N11" s="108" t="str" cm="1">
        <f t="array" ref="N11">IF(M11="","",INDEX(UWS!$B$10:$B$41,M11))</f>
        <v/>
      </c>
      <c r="P11">
        <f>IFERROR(INDEX(UWS!$G$10:$Z$41,MATCH($C11,UWS!$B$10:$B$41,0),MATCH(P$4,UWS!$G$3:$Z$3,0)),0)</f>
        <v>0</v>
      </c>
      <c r="Q11">
        <f>IFERROR(INDEX(UWS!$G$10:$Z$41,MATCH($C11,UWS!$B$10:$B$41,0),MATCH(Q$4,UWS!$G$3:$Z$3,0)),0)</f>
        <v>0</v>
      </c>
      <c r="R11">
        <f>IFERROR(INDEX(UWS!$G$10:$Z$41,MATCH($C11,UWS!$B$10:$B$41,0),MATCH(R$4,UWS!$G$3:$Z$3,0)),0)</f>
        <v>0</v>
      </c>
      <c r="S11">
        <f>IFERROR(INDEX(UWS!$G$10:$Z$41,MATCH($C11,UWS!$B$10:$B$41,0),MATCH(S$4,UWS!$G$3:$Z$3,0)),0)</f>
        <v>0</v>
      </c>
      <c r="T11">
        <f>IFERROR(INDEX(UWS!$G$10:$Z$41,MATCH($C11,UWS!$B$10:$B$41,0),MATCH(T$4,UWS!$G$3:$Z$3,0)),0)</f>
        <v>0</v>
      </c>
      <c r="U11">
        <f>IFERROR(INDEX(UWS!$G$10:$Z$41,MATCH($C11,UWS!$B$10:$B$41,0),MATCH(U$4,UWS!$G$3:$Z$3,0)),0)</f>
        <v>0</v>
      </c>
      <c r="V11">
        <f>IFERROR(INDEX(UWS!$G$10:$Z$41,MATCH($C11,UWS!$B$10:$B$41,0),MATCH(V$4,UWS!$G$3:$Z$3,0)),0)</f>
        <v>0</v>
      </c>
      <c r="W11">
        <f>IFERROR(INDEX(UWS!$G$10:$Z$41,MATCH($C11,UWS!$B$10:$B$41,0),MATCH(W$4,UWS!$G$3:$Z$3,0)),0)</f>
        <v>0</v>
      </c>
      <c r="X11">
        <f>IFERROR(INDEX(UWS!$G$10:$Z$41,MATCH($C11,UWS!$B$10:$B$41,0),MATCH(X$4,UWS!$G$3:$Z$3,0)),0)</f>
        <v>0</v>
      </c>
      <c r="Y11">
        <f>IFERROR(INDEX(UWS!$G$10:$Z$41,MATCH($C11,UWS!$B$10:$B$41,0),MATCH(Y$4,UWS!$G$3:$Z$3,0)),0)</f>
        <v>0</v>
      </c>
      <c r="Z11">
        <f>IFERROR(INDEX(UWS!$G$10:$Z$41,MATCH($C11,UWS!$B$10:$B$41,0),MATCH(Z$4,UWS!$G$3:$Z$3,0)),0)</f>
        <v>0</v>
      </c>
      <c r="AA11">
        <f>IFERROR(INDEX(UWS!$G$10:$Z$41,MATCH($C11,UWS!$B$10:$B$41,0),MATCH(AA$4,UWS!$G$3:$Z$3,0)),0)</f>
        <v>0</v>
      </c>
      <c r="AB11">
        <f>IFERROR(INDEX(UWS!$G$10:$Z$41,MATCH($C11,UWS!$B$10:$B$41,0),MATCH(AB$4,UWS!$G$3:$Z$3,0)),0)</f>
        <v>0</v>
      </c>
      <c r="AC11">
        <f>IFERROR(INDEX(UWS!$G$10:$Z$41,MATCH($C11,UWS!$B$10:$B$41,0),MATCH(AC$4,UWS!$G$3:$Z$3,0)),0)</f>
        <v>0</v>
      </c>
      <c r="AD11">
        <f>IFERROR(INDEX(UWS!$G$10:$Z$41,MATCH($C11,UWS!$B$10:$B$41,0),MATCH(AD$4,UWS!$G$3:$Z$3,0)),0)</f>
        <v>0</v>
      </c>
      <c r="AE11">
        <f>IFERROR(INDEX(UWS!$G$10:$Z$41,MATCH($C11,UWS!$B$10:$B$41,0),MATCH(AE$4,UWS!$G$3:$Z$3,0)),0)</f>
        <v>0</v>
      </c>
      <c r="AF11">
        <f>IFERROR(INDEX(UWS!$G$10:$Z$41,MATCH($C11,UWS!$B$10:$B$41,0),MATCH(AF$4,UWS!$G$3:$Z$3,0)),0)</f>
        <v>0</v>
      </c>
      <c r="AG11">
        <f>IFERROR(INDEX(UWS!$G$10:$Z$41,MATCH($C11,UWS!$B$10:$B$41,0),MATCH(AG$4,UWS!$G$3:$Z$3,0)),0)</f>
        <v>0</v>
      </c>
      <c r="AH11">
        <f>IFERROR(INDEX(UWS!$G$10:$Z$41,MATCH($C11,UWS!$B$10:$B$41,0),MATCH(AH$4,UWS!$G$3:$Z$3,0)),0)</f>
        <v>1</v>
      </c>
      <c r="AI11">
        <f>IFERROR(INDEX(UWS!$G$10:$Z$41,MATCH($C11,UWS!$B$10:$B$41,0),MATCH(AI$4,UWS!$G$3:$Z$3,0)),0)</f>
        <v>0</v>
      </c>
      <c r="AK11">
        <f>IF(OR($J11=0,COUNTIFS($A$4:$A10,"&gt;="&amp;$A11-1,$A$4:$A10,"&lt;="&amp;$A11,$B$4:$B10,$B11)&gt;0,MIN(AK$1,IF($A11=$A10,AK10,1))-P11&lt;0),-1,MIN(1,IF($A11=$A10,AK10,1)-P11+$D$3))</f>
        <v>0.8</v>
      </c>
      <c r="AL11">
        <f>IF(OR($J11=0,COUNTIFS($A$4:$A10,"&gt;="&amp;$A11-1,$A$4:$A10,"&lt;="&amp;$A11,$B$4:$B10,$B11)&gt;0,MIN(AL$1,IF($A11=$A10,AL10,1))-Q11&lt;0),-1,MIN(1,IF($A11=$A10,AL10,1)-Q11+$D$3))</f>
        <v>1</v>
      </c>
      <c r="AM11">
        <f>IF(OR($J11=0,COUNTIFS($A$4:$A10,"&gt;="&amp;$A11-1,$A$4:$A10,"&lt;="&amp;$A11,$B$4:$B10,$B11)&gt;0,MIN(AM$1,IF($A11=$A10,AM10,1))-R11&lt;0),-1,MIN(1,IF($A11=$A10,AM10,1)-R11+$D$3))</f>
        <v>1</v>
      </c>
      <c r="AN11">
        <f>IF(OR($J11=0,COUNTIFS($A$4:$A10,"&gt;="&amp;$A11-1,$A$4:$A10,"&lt;="&amp;$A11,$B$4:$B10,$B11)&gt;0,MIN(AN$1,IF($A11=$A10,AN10,1))-S11&lt;0),-1,MIN(1,IF($A11=$A10,AN10,1)-S11+$D$3))</f>
        <v>1</v>
      </c>
      <c r="AO11">
        <f>IF(OR($J11=0,COUNTIFS($A$4:$A10,"&gt;="&amp;$A11-1,$A$4:$A10,"&lt;="&amp;$A11,$B$4:$B10,$B11)&gt;0,MIN(AO$1,IF($A11=$A10,AO10,1))-T11&lt;0),-1,MIN(1,IF($A11=$A10,AO10,1)-T11+$D$3))</f>
        <v>1</v>
      </c>
      <c r="AP11">
        <f>IF(OR($J11=0,COUNTIFS($A$4:$A10,"&gt;="&amp;$A11-1,$A$4:$A10,"&lt;="&amp;$A11,$B$4:$B10,$B11)&gt;0,MIN(AP$1,IF($A11=$A10,AP10,1))-U11&lt;0),-1,MIN(1,IF($A11=$A10,AP10,1)-U11+$D$3))</f>
        <v>1</v>
      </c>
      <c r="AQ11">
        <f>IF(OR($J11=0,COUNTIFS($A$4:$A10,"&gt;="&amp;$A11-1,$A$4:$A10,"&lt;="&amp;$A11,$B$4:$B10,$B11)&gt;0,MIN(AQ$1,IF($A11=$A10,AQ10,1))-V11&lt;0),-1,MIN(1,IF($A11=$A10,AQ10,1)-V11+$D$3))</f>
        <v>1</v>
      </c>
      <c r="AR11">
        <f>IF(OR($J11=0,COUNTIFS($A$4:$A10,"&gt;="&amp;$A11-1,$A$4:$A10,"&lt;="&amp;$A11,$B$4:$B10,$B11)&gt;0,MIN(AR$1,IF($A11=$A10,AR10,1))-W11&lt;0),-1,MIN(1,IF($A11=$A10,AR10,1)-W11+$D$3))</f>
        <v>1</v>
      </c>
      <c r="AS11">
        <f>IF(OR($J11=0,COUNTIFS($A$4:$A10,"&gt;="&amp;$A11-1,$A$4:$A10,"&lt;="&amp;$A11,$B$4:$B10,$B11)&gt;0,MIN(AS$1,IF($A11=$A10,AS10,1))-X11&lt;0),-1,MIN(1,IF($A11=$A10,AS10,1)-X11+$D$3))</f>
        <v>1</v>
      </c>
      <c r="AT11">
        <f>IF(OR($J11=0,COUNTIFS($A$4:$A10,"&gt;="&amp;$A11-1,$A$4:$A10,"&lt;="&amp;$A11,$B$4:$B10,$B11)&gt;0,MIN(AT$1,IF($A11=$A10,AT10,1))-Y11&lt;0),-1,MIN(1,IF($A11=$A10,AT10,1)-Y11+$D$3))</f>
        <v>1</v>
      </c>
      <c r="AU11">
        <f>IF(OR($J11=0,COUNTIFS($A$4:$A10,"&gt;="&amp;$A11-1,$A$4:$A10,"&lt;="&amp;$A11,$B$4:$B10,$B11)&gt;0,MIN(AU$1,IF($A11=$A10,AU10,1))-Z11&lt;0),-1,MIN(1,IF($A11=$A10,AU10,1)-Z11+$D$3))</f>
        <v>1</v>
      </c>
      <c r="AV11">
        <f>IF(OR($J11=0,COUNTIFS($A$4:$A10,"&gt;="&amp;$A11-1,$A$4:$A10,"&lt;="&amp;$A11,$B$4:$B10,$B11)&gt;0,MIN(AV$1,IF($A11=$A10,AV10,1))-AA11&lt;0),-1,MIN(1,IF($A11=$A10,AV10,1)-AA11+$D$3))</f>
        <v>1</v>
      </c>
      <c r="AW11">
        <f>IF(OR($J11=0,COUNTIFS($A$4:$A10,"&gt;="&amp;$A11-1,$A$4:$A10,"&lt;="&amp;$A11,$B$4:$B10,$B11)&gt;0,MIN(AW$1,IF($A11=$A10,AW10,1))-AB11&lt;0),-1,MIN(1,IF($A11=$A10,AW10,1)-AB11+$D$3))</f>
        <v>1</v>
      </c>
      <c r="AX11">
        <f>IF(OR($J11=0,COUNTIFS($A$4:$A10,"&gt;="&amp;$A11-1,$A$4:$A10,"&lt;="&amp;$A11,$B$4:$B10,$B11)&gt;0,MIN(AX$1,IF($A11=$A10,AX10,1))-AC11&lt;0),-1,MIN(1,IF($A11=$A10,AX10,1)-AC11+$D$3))</f>
        <v>1</v>
      </c>
      <c r="AY11">
        <f>IF(OR($J11=0,COUNTIFS($A$4:$A10,"&gt;="&amp;$A11-1,$A$4:$A10,"&lt;="&amp;$A11,$B$4:$B10,$B11)&gt;0,MIN(AY$1,IF($A11=$A10,AY10,1))-AD11&lt;0),-1,MIN(1,IF($A11=$A10,AY10,1)-AD11+$D$3))</f>
        <v>1</v>
      </c>
      <c r="AZ11">
        <f>IF(OR($J11=0,COUNTIFS($A$4:$A10,"&gt;="&amp;$A11-1,$A$4:$A10,"&lt;="&amp;$A11,$B$4:$B10,$B11)&gt;0,MIN(AZ$1,IF($A11=$A10,AZ10,1))-AE11&lt;0),-1,MIN(1,IF($A11=$A10,AZ10,1)-AE11+$D$3))</f>
        <v>1</v>
      </c>
      <c r="BA11">
        <f>IF(OR($J11=0,COUNTIFS($A$4:$A10,"&gt;="&amp;$A11-1,$A$4:$A10,"&lt;="&amp;$A11,$B$4:$B10,$B11)&gt;0,MIN(BA$1,IF($A11=$A10,BA10,1))-AF11&lt;0),-1,MIN(1,IF($A11=$A10,BA10,1)-AF11+$D$3))</f>
        <v>1</v>
      </c>
      <c r="BB11">
        <f>IF(OR($J11=0,COUNTIFS($A$4:$A10,"&gt;="&amp;$A11-1,$A$4:$A10,"&lt;="&amp;$A11,$B$4:$B10,$B11)&gt;0,MIN(BB$1,IF($A11=$A10,BB10,1))-AG11&lt;0),-1,MIN(1,IF($A11=$A10,BB10,1)-AG11+$D$3))</f>
        <v>1</v>
      </c>
      <c r="BC11">
        <f>IF(OR($J11=0,COUNTIFS($A$4:$A10,"&gt;="&amp;$A11-1,$A$4:$A10,"&lt;="&amp;$A11,$B$4:$B10,$B11)&gt;0,MIN(BC$1,IF($A11=$A10,BC10,1))-AH11&lt;0),-1,MIN(1,IF($A11=$A10,BC10,1)-AH11+$D$3))</f>
        <v>0.4</v>
      </c>
      <c r="BD11">
        <f>IF(OR($J11=0,COUNTIFS($A$4:$A10,"&gt;="&amp;$A11-1,$A$4:$A10,"&lt;="&amp;$A11,$B$4:$B10,$B11)&gt;0,MIN(BD$1,IF($A11=$A10,BD10,1))-AI11&lt;0),-1,MIN(1,IF($A11=$A10,BD10,1)-AI11+$D$3))</f>
        <v>1</v>
      </c>
      <c r="BF11" s="87">
        <f t="shared" si="23"/>
        <v>4.7500000000000001E-2</v>
      </c>
      <c r="BG11" s="87">
        <f t="shared" si="24"/>
        <v>0.22052756718749994</v>
      </c>
      <c r="BH11" s="87">
        <f t="shared" si="25"/>
        <v>0.44105513437499988</v>
      </c>
      <c r="BI11" s="87">
        <f t="shared" si="26"/>
        <v>0.44105513437499988</v>
      </c>
      <c r="BJ11" s="87">
        <f t="shared" si="27"/>
        <v>0.7350918906249998</v>
      </c>
      <c r="BK11" s="87">
        <f t="shared" si="28"/>
        <v>0</v>
      </c>
      <c r="BL11" s="87">
        <f t="shared" si="29"/>
        <v>2.8499999999999998E-2</v>
      </c>
      <c r="BM11" s="87">
        <f t="shared" si="30"/>
        <v>0</v>
      </c>
      <c r="BN11" s="87">
        <f t="shared" si="31"/>
        <v>4.0725312499999992E-2</v>
      </c>
      <c r="BO11" s="87">
        <f t="shared" si="32"/>
        <v>3.3249999999999995E-2</v>
      </c>
      <c r="BP11" s="87">
        <f t="shared" si="33"/>
        <v>0.768743859375</v>
      </c>
      <c r="BQ11" s="87">
        <f t="shared" si="34"/>
        <v>3.4295000000000006E-2</v>
      </c>
      <c r="BR11" s="87">
        <f t="shared" si="35"/>
        <v>0.55359744843749992</v>
      </c>
      <c r="BS11" s="87">
        <f t="shared" si="36"/>
        <v>6.0123421874999985E-2</v>
      </c>
      <c r="BT11" s="87">
        <f t="shared" si="37"/>
        <v>0.48618013437499991</v>
      </c>
      <c r="BU11" s="87">
        <f t="shared" si="38"/>
        <v>0.63319851249999981</v>
      </c>
      <c r="BV11" s="87">
        <f t="shared" si="39"/>
        <v>0.76216689062499987</v>
      </c>
      <c r="BW11" s="87">
        <f t="shared" si="40"/>
        <v>0.11863418906249998</v>
      </c>
      <c r="BX11" s="87">
        <f t="shared" si="41"/>
        <v>0.27052756718749993</v>
      </c>
      <c r="BY11" s="87">
        <f t="shared" si="42"/>
        <v>0.24760256718749987</v>
      </c>
      <c r="CA11" s="87">
        <f t="shared" si="2"/>
        <v>-0.81554253397994936</v>
      </c>
      <c r="CB11" s="87">
        <f t="shared" si="3"/>
        <v>-0.42908131605652344</v>
      </c>
      <c r="CC11" s="87">
        <f t="shared" si="4"/>
        <v>0.71275605183042989</v>
      </c>
      <c r="CD11" s="87">
        <f t="shared" si="5"/>
        <v>0.71275605183042989</v>
      </c>
      <c r="CE11" s="87">
        <f t="shared" si="6"/>
        <v>1.854593419717383</v>
      </c>
      <c r="CF11" s="87">
        <f t="shared" si="7"/>
        <v>-1</v>
      </c>
      <c r="CG11" s="87">
        <f t="shared" si="8"/>
        <v>-0.88932552038796964</v>
      </c>
      <c r="CH11" s="87">
        <f t="shared" si="9"/>
        <v>-1</v>
      </c>
      <c r="CI11" s="87">
        <f t="shared" si="10"/>
        <v>-0.84185078007105907</v>
      </c>
      <c r="CJ11" s="87">
        <f t="shared" si="11"/>
        <v>-0.87087977378596459</v>
      </c>
      <c r="CK11" s="87">
        <f t="shared" si="12"/>
        <v>1.9852746172376139</v>
      </c>
      <c r="CL11" s="87">
        <f t="shared" si="13"/>
        <v>-0.86682170953352344</v>
      </c>
      <c r="CM11" s="87">
        <f t="shared" si="14"/>
        <v>0.43319554433609642</v>
      </c>
      <c r="CN11" s="87">
        <f t="shared" si="15"/>
        <v>-0.76652180952595828</v>
      </c>
      <c r="CO11" s="87">
        <f t="shared" si="16"/>
        <v>0.88799064454947807</v>
      </c>
      <c r="CP11" s="87">
        <f t="shared" si="17"/>
        <v>1.458909328492954</v>
      </c>
      <c r="CQ11" s="87">
        <f t="shared" si="18"/>
        <v>0.973156116899208</v>
      </c>
      <c r="CR11" s="87">
        <f t="shared" si="19"/>
        <v>-0.53930606530921366</v>
      </c>
      <c r="CS11" s="87">
        <f t="shared" si="20"/>
        <v>5.0543779620531248E-2</v>
      </c>
      <c r="CT11" s="87">
        <f t="shared" si="21"/>
        <v>-3.8481218453356503E-2</v>
      </c>
      <c r="CV11" s="88">
        <f t="shared" si="43"/>
        <v>0.97953040092556842</v>
      </c>
    </row>
    <row r="12" spans="1:100" x14ac:dyDescent="0.25">
      <c r="A12" s="85">
        <v>45047</v>
      </c>
      <c r="B12" s="86">
        <v>20</v>
      </c>
      <c r="C12" s="43" t="str" cm="1">
        <f t="array" ref="C12">IF(B12="","",INDEX(UWS!$B$10:$B$41,B12))</f>
        <v>Barbell military press</v>
      </c>
      <c r="D12" s="40">
        <f t="shared" si="0"/>
        <v>0.4</v>
      </c>
      <c r="E12" s="69">
        <f t="shared" si="22"/>
        <v>1.3349962876775872</v>
      </c>
      <c r="F12" s="48" cm="1">
        <f t="array" ref="F12">0.1+IFERROR(INDEX($F$5:$F11,SUMPRODUCT(MAX(ROW($C$5:$C11)*($C12=$C$5:$C11))-ROW($A$4)))*0.9^($A12-INDEX($A$5:A11,SUMPRODUCT(MAX(ROW($C$5:$C11)*($C12=$C$5:$C11))-ROW($A$4)))),0)</f>
        <v>0.1</v>
      </c>
      <c r="G12" s="55">
        <f>INDEX(UWS!$AB$10:$AB$41,MATCH(C12,UWS!$B$10:$B$41,0))</f>
        <v>2</v>
      </c>
      <c r="H12" s="48">
        <f>INDEX(UWS!$C$10:$C$41,MATCH(C12,UWS!$B$10:$B$41,0))</f>
        <v>1.1000000000000001</v>
      </c>
      <c r="I12" s="27">
        <f t="shared" si="44"/>
        <v>3</v>
      </c>
      <c r="J12" s="27">
        <f>INDEX(UWS!$E$10:$E$41,MATCH(C12,UWS!$B$10:$B$41,0))</f>
        <v>1</v>
      </c>
      <c r="L12" s="108" t="str" cm="1">
        <f t="array" ref="L12">IF(K12="","",INDEX(UWS!$B$10:$B$41,K12))</f>
        <v/>
      </c>
      <c r="N12" s="108" t="str" cm="1">
        <f t="array" ref="N12">IF(M12="","",INDEX(UWS!$B$10:$B$41,M12))</f>
        <v/>
      </c>
      <c r="P12">
        <f>IFERROR(INDEX(UWS!$G$10:$Z$41,MATCH($C12,UWS!$B$10:$B$41,0),MATCH(P$4,UWS!$G$3:$Z$3,0)),0)</f>
        <v>0</v>
      </c>
      <c r="Q12">
        <f>IFERROR(INDEX(UWS!$G$10:$Z$41,MATCH($C12,UWS!$B$10:$B$41,0),MATCH(Q$4,UWS!$G$3:$Z$3,0)),0)</f>
        <v>0</v>
      </c>
      <c r="R12">
        <f>IFERROR(INDEX(UWS!$G$10:$Z$41,MATCH($C12,UWS!$B$10:$B$41,0),MATCH(R$4,UWS!$G$3:$Z$3,0)),0)</f>
        <v>0.3</v>
      </c>
      <c r="S12">
        <f>IFERROR(INDEX(UWS!$G$10:$Z$41,MATCH($C12,UWS!$B$10:$B$41,0),MATCH(S$4,UWS!$G$3:$Z$3,0)),0)</f>
        <v>0</v>
      </c>
      <c r="T12">
        <f>IFERROR(INDEX(UWS!$G$10:$Z$41,MATCH($C12,UWS!$B$10:$B$41,0),MATCH(T$4,UWS!$G$3:$Z$3,0)),0)</f>
        <v>0</v>
      </c>
      <c r="U12">
        <f>IFERROR(INDEX(UWS!$G$10:$Z$41,MATCH($C12,UWS!$B$10:$B$41,0),MATCH(U$4,UWS!$G$3:$Z$3,0)),0)</f>
        <v>0.7</v>
      </c>
      <c r="V12">
        <f>IFERROR(INDEX(UWS!$G$10:$Z$41,MATCH($C12,UWS!$B$10:$B$41,0),MATCH(V$4,UWS!$G$3:$Z$3,0)),0)</f>
        <v>1</v>
      </c>
      <c r="W12">
        <f>IFERROR(INDEX(UWS!$G$10:$Z$41,MATCH($C12,UWS!$B$10:$B$41,0),MATCH(W$4,UWS!$G$3:$Z$3,0)),0)</f>
        <v>0</v>
      </c>
      <c r="X12">
        <f>IFERROR(INDEX(UWS!$G$10:$Z$41,MATCH($C12,UWS!$B$10:$B$41,0),MATCH(X$4,UWS!$G$3:$Z$3,0)),0)</f>
        <v>0</v>
      </c>
      <c r="Y12">
        <f>IFERROR(INDEX(UWS!$G$10:$Z$41,MATCH($C12,UWS!$B$10:$B$41,0),MATCH(Y$4,UWS!$G$3:$Z$3,0)),0)</f>
        <v>0</v>
      </c>
      <c r="Z12">
        <f>IFERROR(INDEX(UWS!$G$10:$Z$41,MATCH($C12,UWS!$B$10:$B$41,0),MATCH(Z$4,UWS!$G$3:$Z$3,0)),0)</f>
        <v>0</v>
      </c>
      <c r="AA12">
        <f>IFERROR(INDEX(UWS!$G$10:$Z$41,MATCH($C12,UWS!$B$10:$B$41,0),MATCH(AA$4,UWS!$G$3:$Z$3,0)),0)</f>
        <v>0</v>
      </c>
      <c r="AB12">
        <f>IFERROR(INDEX(UWS!$G$10:$Z$41,MATCH($C12,UWS!$B$10:$B$41,0),MATCH(AB$4,UWS!$G$3:$Z$3,0)),0)</f>
        <v>0</v>
      </c>
      <c r="AC12">
        <f>IFERROR(INDEX(UWS!$G$10:$Z$41,MATCH($C12,UWS!$B$10:$B$41,0),MATCH(AC$4,UWS!$G$3:$Z$3,0)),0)</f>
        <v>0</v>
      </c>
      <c r="AD12">
        <f>IFERROR(INDEX(UWS!$G$10:$Z$41,MATCH($C12,UWS!$B$10:$B$41,0),MATCH(AD$4,UWS!$G$3:$Z$3,0)),0)</f>
        <v>0</v>
      </c>
      <c r="AE12">
        <f>IFERROR(INDEX(UWS!$G$10:$Z$41,MATCH($C12,UWS!$B$10:$B$41,0),MATCH(AE$4,UWS!$G$3:$Z$3,0)),0)</f>
        <v>0</v>
      </c>
      <c r="AF12">
        <f>IFERROR(INDEX(UWS!$G$10:$Z$41,MATCH($C12,UWS!$B$10:$B$41,0),MATCH(AF$4,UWS!$G$3:$Z$3,0)),0)</f>
        <v>0</v>
      </c>
      <c r="AG12">
        <f>IFERROR(INDEX(UWS!$G$10:$Z$41,MATCH($C12,UWS!$B$10:$B$41,0),MATCH(AG$4,UWS!$G$3:$Z$3,0)),0)</f>
        <v>0</v>
      </c>
      <c r="AH12">
        <f>IFERROR(INDEX(UWS!$G$10:$Z$41,MATCH($C12,UWS!$B$10:$B$41,0),MATCH(AH$4,UWS!$G$3:$Z$3,0)),0)</f>
        <v>0</v>
      </c>
      <c r="AI12">
        <f>IFERROR(INDEX(UWS!$G$10:$Z$41,MATCH($C12,UWS!$B$10:$B$41,0),MATCH(AI$4,UWS!$G$3:$Z$3,0)),0)</f>
        <v>0</v>
      </c>
      <c r="AK12">
        <f>IF(OR($J12=0,COUNTIFS($A$4:$A11,"&gt;="&amp;$A12-1,$A$4:$A11,"&lt;="&amp;$A12,$B$4:$B11,$B12)&gt;0,MIN(AK$1,IF($A12=$A11,AK11,1))-P12&lt;0),-1,MIN(1,IF($A12=$A11,AK11,1)-P12+$D$3))</f>
        <v>1</v>
      </c>
      <c r="AL12">
        <f>IF(OR($J12=0,COUNTIFS($A$4:$A11,"&gt;="&amp;$A12-1,$A$4:$A11,"&lt;="&amp;$A12,$B$4:$B11,$B12)&gt;0,MIN(AL$1,IF($A12=$A11,AL11,1))-Q12&lt;0),-1,MIN(1,IF($A12=$A11,AL11,1)-Q12+$D$3))</f>
        <v>1</v>
      </c>
      <c r="AM12">
        <f>IF(OR($J12=0,COUNTIFS($A$4:$A11,"&gt;="&amp;$A12-1,$A$4:$A11,"&lt;="&amp;$A12,$B$4:$B11,$B12)&gt;0,MIN(AM$1,IF($A12=$A11,AM11,1))-R12&lt;0),-1,MIN(1,IF($A12=$A11,AM11,1)-R12+$D$3))</f>
        <v>1</v>
      </c>
      <c r="AN12">
        <f>IF(OR($J12=0,COUNTIFS($A$4:$A11,"&gt;="&amp;$A12-1,$A$4:$A11,"&lt;="&amp;$A12,$B$4:$B11,$B12)&gt;0,MIN(AN$1,IF($A12=$A11,AN11,1))-S12&lt;0),-1,MIN(1,IF($A12=$A11,AN11,1)-S12+$D$3))</f>
        <v>1</v>
      </c>
      <c r="AO12">
        <f>IF(OR($J12=0,COUNTIFS($A$4:$A11,"&gt;="&amp;$A12-1,$A$4:$A11,"&lt;="&amp;$A12,$B$4:$B11,$B12)&gt;0,MIN(AO$1,IF($A12=$A11,AO11,1))-T12&lt;0),-1,MIN(1,IF($A12=$A11,AO11,1)-T12+$D$3))</f>
        <v>1</v>
      </c>
      <c r="AP12">
        <f>IF(OR($J12=0,COUNTIFS($A$4:$A11,"&gt;="&amp;$A12-1,$A$4:$A11,"&lt;="&amp;$A12,$B$4:$B11,$B12)&gt;0,MIN(AP$1,IF($A12=$A11,AP11,1))-U12&lt;0),-1,MIN(1,IF($A12=$A11,AP11,1)-U12+$D$3))</f>
        <v>0.70000000000000007</v>
      </c>
      <c r="AQ12">
        <f>IF(OR($J12=0,COUNTIFS($A$4:$A11,"&gt;="&amp;$A12-1,$A$4:$A11,"&lt;="&amp;$A12,$B$4:$B11,$B12)&gt;0,MIN(AQ$1,IF($A12=$A11,AQ11,1))-V12&lt;0),-1,MIN(1,IF($A12=$A11,AQ11,1)-V12+$D$3))</f>
        <v>0.4</v>
      </c>
      <c r="AR12">
        <f>IF(OR($J12=0,COUNTIFS($A$4:$A11,"&gt;="&amp;$A12-1,$A$4:$A11,"&lt;="&amp;$A12,$B$4:$B11,$B12)&gt;0,MIN(AR$1,IF($A12=$A11,AR11,1))-W12&lt;0),-1,MIN(1,IF($A12=$A11,AR11,1)-W12+$D$3))</f>
        <v>1</v>
      </c>
      <c r="AS12">
        <f>IF(OR($J12=0,COUNTIFS($A$4:$A11,"&gt;="&amp;$A12-1,$A$4:$A11,"&lt;="&amp;$A12,$B$4:$B11,$B12)&gt;0,MIN(AS$1,IF($A12=$A11,AS11,1))-X12&lt;0),-1,MIN(1,IF($A12=$A11,AS11,1)-X12+$D$3))</f>
        <v>1</v>
      </c>
      <c r="AT12">
        <f>IF(OR($J12=0,COUNTIFS($A$4:$A11,"&gt;="&amp;$A12-1,$A$4:$A11,"&lt;="&amp;$A12,$B$4:$B11,$B12)&gt;0,MIN(AT$1,IF($A12=$A11,AT11,1))-Y12&lt;0),-1,MIN(1,IF($A12=$A11,AT11,1)-Y12+$D$3))</f>
        <v>1</v>
      </c>
      <c r="AU12">
        <f>IF(OR($J12=0,COUNTIFS($A$4:$A11,"&gt;="&amp;$A12-1,$A$4:$A11,"&lt;="&amp;$A12,$B$4:$B11,$B12)&gt;0,MIN(AU$1,IF($A12=$A11,AU11,1))-Z12&lt;0),-1,MIN(1,IF($A12=$A11,AU11,1)-Z12+$D$3))</f>
        <v>1</v>
      </c>
      <c r="AV12">
        <f>IF(OR($J12=0,COUNTIFS($A$4:$A11,"&gt;="&amp;$A12-1,$A$4:$A11,"&lt;="&amp;$A12,$B$4:$B11,$B12)&gt;0,MIN(AV$1,IF($A12=$A11,AV11,1))-AA12&lt;0),-1,MIN(1,IF($A12=$A11,AV11,1)-AA12+$D$3))</f>
        <v>1</v>
      </c>
      <c r="AW12">
        <f>IF(OR($J12=0,COUNTIFS($A$4:$A11,"&gt;="&amp;$A12-1,$A$4:$A11,"&lt;="&amp;$A12,$B$4:$B11,$B12)&gt;0,MIN(AW$1,IF($A12=$A11,AW11,1))-AB12&lt;0),-1,MIN(1,IF($A12=$A11,AW11,1)-AB12+$D$3))</f>
        <v>1</v>
      </c>
      <c r="AX12">
        <f>IF(OR($J12=0,COUNTIFS($A$4:$A11,"&gt;="&amp;$A12-1,$A$4:$A11,"&lt;="&amp;$A12,$B$4:$B11,$B12)&gt;0,MIN(AX$1,IF($A12=$A11,AX11,1))-AC12&lt;0),-1,MIN(1,IF($A12=$A11,AX11,1)-AC12+$D$3))</f>
        <v>1</v>
      </c>
      <c r="AY12">
        <f>IF(OR($J12=0,COUNTIFS($A$4:$A11,"&gt;="&amp;$A12-1,$A$4:$A11,"&lt;="&amp;$A12,$B$4:$B11,$B12)&gt;0,MIN(AY$1,IF($A12=$A11,AY11,1))-AD12&lt;0),-1,MIN(1,IF($A12=$A11,AY11,1)-AD12+$D$3))</f>
        <v>1</v>
      </c>
      <c r="AZ12">
        <f>IF(OR($J12=0,COUNTIFS($A$4:$A11,"&gt;="&amp;$A12-1,$A$4:$A11,"&lt;="&amp;$A12,$B$4:$B11,$B12)&gt;0,MIN(AZ$1,IF($A12=$A11,AZ11,1))-AE12&lt;0),-1,MIN(1,IF($A12=$A11,AZ11,1)-AE12+$D$3))</f>
        <v>1</v>
      </c>
      <c r="BA12">
        <f>IF(OR($J12=0,COUNTIFS($A$4:$A11,"&gt;="&amp;$A12-1,$A$4:$A11,"&lt;="&amp;$A12,$B$4:$B11,$B12)&gt;0,MIN(BA$1,IF($A12=$A11,BA11,1))-AF12&lt;0),-1,MIN(1,IF($A12=$A11,BA11,1)-AF12+$D$3))</f>
        <v>1</v>
      </c>
      <c r="BB12">
        <f>IF(OR($J12=0,COUNTIFS($A$4:$A11,"&gt;="&amp;$A12-1,$A$4:$A11,"&lt;="&amp;$A12,$B$4:$B11,$B12)&gt;0,MIN(BB$1,IF($A12=$A11,BB11,1))-AG12&lt;0),-1,MIN(1,IF($A12=$A11,BB11,1)-AG12+$D$3))</f>
        <v>1</v>
      </c>
      <c r="BC12">
        <f>IF(OR($J12=0,COUNTIFS($A$4:$A11,"&gt;="&amp;$A12-1,$A$4:$A11,"&lt;="&amp;$A12,$B$4:$B11,$B12)&gt;0,MIN(BC$1,IF($A12=$A11,BC11,1))-AH12&lt;0),-1,MIN(1,IF($A12=$A11,BC11,1)-AH12+$D$3))</f>
        <v>0.8</v>
      </c>
      <c r="BD12">
        <f>IF(OR($J12=0,COUNTIFS($A$4:$A11,"&gt;="&amp;$A12-1,$A$4:$A11,"&lt;="&amp;$A12,$B$4:$B11,$B12)&gt;0,MIN(BD$1,IF($A12=$A11,BD11,1))-AI12&lt;0),-1,MIN(1,IF($A12=$A11,BD11,1)-AI12+$D$3))</f>
        <v>1</v>
      </c>
      <c r="BF12" s="87">
        <f t="shared" si="23"/>
        <v>4.5124999999999998E-2</v>
      </c>
      <c r="BG12" s="87">
        <f t="shared" si="24"/>
        <v>0.20950118882812493</v>
      </c>
      <c r="BH12" s="87">
        <f t="shared" si="25"/>
        <v>0.43400237765624988</v>
      </c>
      <c r="BI12" s="87">
        <f t="shared" si="26"/>
        <v>0.41900237765624987</v>
      </c>
      <c r="BJ12" s="87">
        <f t="shared" si="27"/>
        <v>0.69833729609374973</v>
      </c>
      <c r="BK12" s="87">
        <f t="shared" si="28"/>
        <v>3.4999999999999996E-2</v>
      </c>
      <c r="BL12" s="87">
        <f t="shared" si="29"/>
        <v>7.7075000000000005E-2</v>
      </c>
      <c r="BM12" s="87">
        <f t="shared" si="30"/>
        <v>0</v>
      </c>
      <c r="BN12" s="87">
        <f t="shared" si="31"/>
        <v>3.8689046874999994E-2</v>
      </c>
      <c r="BO12" s="87">
        <f t="shared" si="32"/>
        <v>3.1587499999999991E-2</v>
      </c>
      <c r="BP12" s="87">
        <f t="shared" si="33"/>
        <v>0.73030666640624997</v>
      </c>
      <c r="BQ12" s="87">
        <f t="shared" si="34"/>
        <v>3.2580250000000005E-2</v>
      </c>
      <c r="BR12" s="87">
        <f t="shared" si="35"/>
        <v>0.52591757601562494</v>
      </c>
      <c r="BS12" s="87">
        <f t="shared" si="36"/>
        <v>5.7117250781249983E-2</v>
      </c>
      <c r="BT12" s="87">
        <f t="shared" si="37"/>
        <v>0.46187112765624988</v>
      </c>
      <c r="BU12" s="87">
        <f t="shared" si="38"/>
        <v>0.60153858687499984</v>
      </c>
      <c r="BV12" s="87">
        <f t="shared" si="39"/>
        <v>0.72405854609374987</v>
      </c>
      <c r="BW12" s="87">
        <f t="shared" si="40"/>
        <v>0.11270247960937498</v>
      </c>
      <c r="BX12" s="87">
        <f t="shared" si="41"/>
        <v>0.25700118882812489</v>
      </c>
      <c r="BY12" s="87">
        <f t="shared" si="42"/>
        <v>0.23522243882812488</v>
      </c>
      <c r="CA12" s="87">
        <f t="shared" si="2"/>
        <v>-0.81876357805013245</v>
      </c>
      <c r="CB12" s="87">
        <f t="shared" si="3"/>
        <v>-0.43905084605794376</v>
      </c>
      <c r="CC12" s="87">
        <f t="shared" si="4"/>
        <v>0.74309225582612437</v>
      </c>
      <c r="CD12" s="87">
        <f t="shared" si="5"/>
        <v>0.68284746182616862</v>
      </c>
      <c r="CE12" s="87">
        <f t="shared" si="6"/>
        <v>1.8047457697102809</v>
      </c>
      <c r="CF12" s="87">
        <f t="shared" si="7"/>
        <v>-0.92971440700005137</v>
      </c>
      <c r="CG12" s="87">
        <f t="shared" si="8"/>
        <v>-0.69044216683022619</v>
      </c>
      <c r="CH12" s="87">
        <f t="shared" si="9"/>
        <v>-1</v>
      </c>
      <c r="CI12" s="87">
        <f t="shared" si="10"/>
        <v>-0.84461242273073234</v>
      </c>
      <c r="CJ12" s="87">
        <f t="shared" si="11"/>
        <v>-0.87313450463509279</v>
      </c>
      <c r="CK12" s="87">
        <f t="shared" si="12"/>
        <v>1.9331449782959393</v>
      </c>
      <c r="CL12" s="87">
        <f t="shared" si="13"/>
        <v>-0.86914730335219559</v>
      </c>
      <c r="CM12" s="87">
        <f t="shared" si="14"/>
        <v>0.40816871235633378</v>
      </c>
      <c r="CN12" s="87">
        <f t="shared" si="15"/>
        <v>-0.77059886618931805</v>
      </c>
      <c r="CO12" s="87">
        <f t="shared" si="16"/>
        <v>0.85502206267854275</v>
      </c>
      <c r="CP12" s="87">
        <f t="shared" si="17"/>
        <v>1.4159712166205991</v>
      </c>
      <c r="CQ12" s="87">
        <f t="shared" si="18"/>
        <v>0.93870035348113734</v>
      </c>
      <c r="CR12" s="87">
        <f t="shared" si="19"/>
        <v>-0.5473508221765977</v>
      </c>
      <c r="CS12" s="87">
        <f t="shared" si="20"/>
        <v>3.2198911912944661E-2</v>
      </c>
      <c r="CT12" s="87">
        <f t="shared" si="21"/>
        <v>-5.5271508575491457E-2</v>
      </c>
      <c r="CV12" s="88">
        <f t="shared" si="43"/>
        <v>0.95208449773249904</v>
      </c>
    </row>
    <row r="13" spans="1:100" x14ac:dyDescent="0.25">
      <c r="A13" s="85">
        <v>45047</v>
      </c>
      <c r="B13" s="86">
        <v>23</v>
      </c>
      <c r="C13" s="43" t="str" cm="1">
        <f t="array" ref="C13">IF(B13="","",INDEX(UWS!$B$10:$B$41,B13))</f>
        <v>Cable mid chest crossover</v>
      </c>
      <c r="D13" s="40">
        <f t="shared" si="0"/>
        <v>0.4</v>
      </c>
      <c r="E13" s="69">
        <f t="shared" si="22"/>
        <v>2.0608919046025731</v>
      </c>
      <c r="F13" s="48" cm="1">
        <f t="array" ref="F13">0.1+IFERROR(INDEX($F$5:$F12,SUMPRODUCT(MAX(ROW($C$5:$C12)*($C13=$C$5:$C12))-ROW($A$4)))*0.9^($A13-INDEX($A$5:A12,SUMPRODUCT(MAX(ROW($C$5:$C12)*($C13=$C$5:$C12))-ROW($A$4)))),0)</f>
        <v>0.1</v>
      </c>
      <c r="G13" s="55">
        <f>INDEX(UWS!$AB$10:$AB$41,MATCH(C13,UWS!$B$10:$B$41,0))</f>
        <v>1</v>
      </c>
      <c r="H13" s="48">
        <f>INDEX(UWS!$C$10:$C$41,MATCH(C13,UWS!$B$10:$B$41,0))</f>
        <v>1</v>
      </c>
      <c r="I13" s="27">
        <f t="shared" si="44"/>
        <v>4</v>
      </c>
      <c r="J13" s="27">
        <f>INDEX(UWS!$E$10:$E$41,MATCH(C13,UWS!$B$10:$B$41,0))</f>
        <v>1</v>
      </c>
      <c r="L13" s="108" t="str" cm="1">
        <f t="array" ref="L13">IF(K13="","",INDEX(UWS!$B$10:$B$41,K13))</f>
        <v/>
      </c>
      <c r="N13" s="108" t="str" cm="1">
        <f t="array" ref="N13">IF(M13="","",INDEX(UWS!$B$10:$B$41,M13))</f>
        <v/>
      </c>
      <c r="P13">
        <f>IFERROR(INDEX(UWS!$G$10:$Z$41,MATCH($C13,UWS!$B$10:$B$41,0),MATCH(P$4,UWS!$G$3:$Z$3,0)),0)</f>
        <v>1</v>
      </c>
      <c r="Q13">
        <f>IFERROR(INDEX(UWS!$G$10:$Z$41,MATCH($C13,UWS!$B$10:$B$41,0),MATCH(Q$4,UWS!$G$3:$Z$3,0)),0)</f>
        <v>0</v>
      </c>
      <c r="R13">
        <f>IFERROR(INDEX(UWS!$G$10:$Z$41,MATCH($C13,UWS!$B$10:$B$41,0),MATCH(R$4,UWS!$G$3:$Z$3,0)),0)</f>
        <v>0</v>
      </c>
      <c r="S13">
        <f>IFERROR(INDEX(UWS!$G$10:$Z$41,MATCH($C13,UWS!$B$10:$B$41,0),MATCH(S$4,UWS!$G$3:$Z$3,0)),0)</f>
        <v>0</v>
      </c>
      <c r="T13">
        <f>IFERROR(INDEX(UWS!$G$10:$Z$41,MATCH($C13,UWS!$B$10:$B$41,0),MATCH(T$4,UWS!$G$3:$Z$3,0)),0)</f>
        <v>0</v>
      </c>
      <c r="U13">
        <f>IFERROR(INDEX(UWS!$G$10:$Z$41,MATCH($C13,UWS!$B$10:$B$41,0),MATCH(U$4,UWS!$G$3:$Z$3,0)),0)</f>
        <v>0</v>
      </c>
      <c r="V13">
        <f>IFERROR(INDEX(UWS!$G$10:$Z$41,MATCH($C13,UWS!$B$10:$B$41,0),MATCH(V$4,UWS!$G$3:$Z$3,0)),0)</f>
        <v>0</v>
      </c>
      <c r="W13">
        <f>IFERROR(INDEX(UWS!$G$10:$Z$41,MATCH($C13,UWS!$B$10:$B$41,0),MATCH(W$4,UWS!$G$3:$Z$3,0)),0)</f>
        <v>0</v>
      </c>
      <c r="X13">
        <f>IFERROR(INDEX(UWS!$G$10:$Z$41,MATCH($C13,UWS!$B$10:$B$41,0),MATCH(X$4,UWS!$G$3:$Z$3,0)),0)</f>
        <v>0</v>
      </c>
      <c r="Y13">
        <f>IFERROR(INDEX(UWS!$G$10:$Z$41,MATCH($C13,UWS!$B$10:$B$41,0),MATCH(Y$4,UWS!$G$3:$Z$3,0)),0)</f>
        <v>0</v>
      </c>
      <c r="Z13">
        <f>IFERROR(INDEX(UWS!$G$10:$Z$41,MATCH($C13,UWS!$B$10:$B$41,0),MATCH(Z$4,UWS!$G$3:$Z$3,0)),0)</f>
        <v>0</v>
      </c>
      <c r="AA13">
        <f>IFERROR(INDEX(UWS!$G$10:$Z$41,MATCH($C13,UWS!$B$10:$B$41,0),MATCH(AA$4,UWS!$G$3:$Z$3,0)),0)</f>
        <v>0</v>
      </c>
      <c r="AB13">
        <f>IFERROR(INDEX(UWS!$G$10:$Z$41,MATCH($C13,UWS!$B$10:$B$41,0),MATCH(AB$4,UWS!$G$3:$Z$3,0)),0)</f>
        <v>0</v>
      </c>
      <c r="AC13">
        <f>IFERROR(INDEX(UWS!$G$10:$Z$41,MATCH($C13,UWS!$B$10:$B$41,0),MATCH(AC$4,UWS!$G$3:$Z$3,0)),0)</f>
        <v>0</v>
      </c>
      <c r="AD13">
        <f>IFERROR(INDEX(UWS!$G$10:$Z$41,MATCH($C13,UWS!$B$10:$B$41,0),MATCH(AD$4,UWS!$G$3:$Z$3,0)),0)</f>
        <v>0</v>
      </c>
      <c r="AE13">
        <f>IFERROR(INDEX(UWS!$G$10:$Z$41,MATCH($C13,UWS!$B$10:$B$41,0),MATCH(AE$4,UWS!$G$3:$Z$3,0)),0)</f>
        <v>0</v>
      </c>
      <c r="AF13">
        <f>IFERROR(INDEX(UWS!$G$10:$Z$41,MATCH($C13,UWS!$B$10:$B$41,0),MATCH(AF$4,UWS!$G$3:$Z$3,0)),0)</f>
        <v>0</v>
      </c>
      <c r="AG13">
        <f>IFERROR(INDEX(UWS!$G$10:$Z$41,MATCH($C13,UWS!$B$10:$B$41,0),MATCH(AG$4,UWS!$G$3:$Z$3,0)),0)</f>
        <v>0</v>
      </c>
      <c r="AH13">
        <f>IFERROR(INDEX(UWS!$G$10:$Z$41,MATCH($C13,UWS!$B$10:$B$41,0),MATCH(AH$4,UWS!$G$3:$Z$3,0)),0)</f>
        <v>0</v>
      </c>
      <c r="AI13">
        <f>IFERROR(INDEX(UWS!$G$10:$Z$41,MATCH($C13,UWS!$B$10:$B$41,0),MATCH(AI$4,UWS!$G$3:$Z$3,0)),0)</f>
        <v>0</v>
      </c>
      <c r="AK13">
        <f>IF(OR($J13=0,COUNTIFS($A$4:$A12,"&gt;="&amp;$A13-1,$A$4:$A12,"&lt;="&amp;$A13,$B$4:$B12,$B13)&gt;0,MIN(AK$1,IF($A13=$A12,AK12,1))-P13&lt;0),-1,MIN(1,IF($A13=$A12,AK12,1)-P13+$D$3))</f>
        <v>0.4</v>
      </c>
      <c r="AL13">
        <f>IF(OR($J13=0,COUNTIFS($A$4:$A12,"&gt;="&amp;$A13-1,$A$4:$A12,"&lt;="&amp;$A13,$B$4:$B12,$B13)&gt;0,MIN(AL$1,IF($A13=$A12,AL12,1))-Q13&lt;0),-1,MIN(1,IF($A13=$A12,AL12,1)-Q13+$D$3))</f>
        <v>1</v>
      </c>
      <c r="AM13">
        <f>IF(OR($J13=0,COUNTIFS($A$4:$A12,"&gt;="&amp;$A13-1,$A$4:$A12,"&lt;="&amp;$A13,$B$4:$B12,$B13)&gt;0,MIN(AM$1,IF($A13=$A12,AM12,1))-R13&lt;0),-1,MIN(1,IF($A13=$A12,AM12,1)-R13+$D$3))</f>
        <v>1</v>
      </c>
      <c r="AN13">
        <f>IF(OR($J13=0,COUNTIFS($A$4:$A12,"&gt;="&amp;$A13-1,$A$4:$A12,"&lt;="&amp;$A13,$B$4:$B12,$B13)&gt;0,MIN(AN$1,IF($A13=$A12,AN12,1))-S13&lt;0),-1,MIN(1,IF($A13=$A12,AN12,1)-S13+$D$3))</f>
        <v>1</v>
      </c>
      <c r="AO13">
        <f>IF(OR($J13=0,COUNTIFS($A$4:$A12,"&gt;="&amp;$A13-1,$A$4:$A12,"&lt;="&amp;$A13,$B$4:$B12,$B13)&gt;0,MIN(AO$1,IF($A13=$A12,AO12,1))-T13&lt;0),-1,MIN(1,IF($A13=$A12,AO12,1)-T13+$D$3))</f>
        <v>1</v>
      </c>
      <c r="AP13">
        <f>IF(OR($J13=0,COUNTIFS($A$4:$A12,"&gt;="&amp;$A13-1,$A$4:$A12,"&lt;="&amp;$A13,$B$4:$B12,$B13)&gt;0,MIN(AP$1,IF($A13=$A12,AP12,1))-U13&lt;0),-1,MIN(1,IF($A13=$A12,AP12,1)-U13+$D$3))</f>
        <v>1</v>
      </c>
      <c r="AQ13">
        <f>IF(OR($J13=0,COUNTIFS($A$4:$A12,"&gt;="&amp;$A13-1,$A$4:$A12,"&lt;="&amp;$A13,$B$4:$B12,$B13)&gt;0,MIN(AQ$1,IF($A13=$A12,AQ12,1))-V13&lt;0),-1,MIN(1,IF($A13=$A12,AQ12,1)-V13+$D$3))</f>
        <v>0.8</v>
      </c>
      <c r="AR13">
        <f>IF(OR($J13=0,COUNTIFS($A$4:$A12,"&gt;="&amp;$A13-1,$A$4:$A12,"&lt;="&amp;$A13,$B$4:$B12,$B13)&gt;0,MIN(AR$1,IF($A13=$A12,AR12,1))-W13&lt;0),-1,MIN(1,IF($A13=$A12,AR12,1)-W13+$D$3))</f>
        <v>1</v>
      </c>
      <c r="AS13">
        <f>IF(OR($J13=0,COUNTIFS($A$4:$A12,"&gt;="&amp;$A13-1,$A$4:$A12,"&lt;="&amp;$A13,$B$4:$B12,$B13)&gt;0,MIN(AS$1,IF($A13=$A12,AS12,1))-X13&lt;0),-1,MIN(1,IF($A13=$A12,AS12,1)-X13+$D$3))</f>
        <v>1</v>
      </c>
      <c r="AT13">
        <f>IF(OR($J13=0,COUNTIFS($A$4:$A12,"&gt;="&amp;$A13-1,$A$4:$A12,"&lt;="&amp;$A13,$B$4:$B12,$B13)&gt;0,MIN(AT$1,IF($A13=$A12,AT12,1))-Y13&lt;0),-1,MIN(1,IF($A13=$A12,AT12,1)-Y13+$D$3))</f>
        <v>1</v>
      </c>
      <c r="AU13">
        <f>IF(OR($J13=0,COUNTIFS($A$4:$A12,"&gt;="&amp;$A13-1,$A$4:$A12,"&lt;="&amp;$A13,$B$4:$B12,$B13)&gt;0,MIN(AU$1,IF($A13=$A12,AU12,1))-Z13&lt;0),-1,MIN(1,IF($A13=$A12,AU12,1)-Z13+$D$3))</f>
        <v>1</v>
      </c>
      <c r="AV13">
        <f>IF(OR($J13=0,COUNTIFS($A$4:$A12,"&gt;="&amp;$A13-1,$A$4:$A12,"&lt;="&amp;$A13,$B$4:$B12,$B13)&gt;0,MIN(AV$1,IF($A13=$A12,AV12,1))-AA13&lt;0),-1,MIN(1,IF($A13=$A12,AV12,1)-AA13+$D$3))</f>
        <v>1</v>
      </c>
      <c r="AW13">
        <f>IF(OR($J13=0,COUNTIFS($A$4:$A12,"&gt;="&amp;$A13-1,$A$4:$A12,"&lt;="&amp;$A13,$B$4:$B12,$B13)&gt;0,MIN(AW$1,IF($A13=$A12,AW12,1))-AB13&lt;0),-1,MIN(1,IF($A13=$A12,AW12,1)-AB13+$D$3))</f>
        <v>1</v>
      </c>
      <c r="AX13">
        <f>IF(OR($J13=0,COUNTIFS($A$4:$A12,"&gt;="&amp;$A13-1,$A$4:$A12,"&lt;="&amp;$A13,$B$4:$B12,$B13)&gt;0,MIN(AX$1,IF($A13=$A12,AX12,1))-AC13&lt;0),-1,MIN(1,IF($A13=$A12,AX12,1)-AC13+$D$3))</f>
        <v>1</v>
      </c>
      <c r="AY13">
        <f>IF(OR($J13=0,COUNTIFS($A$4:$A12,"&gt;="&amp;$A13-1,$A$4:$A12,"&lt;="&amp;$A13,$B$4:$B12,$B13)&gt;0,MIN(AY$1,IF($A13=$A12,AY12,1))-AD13&lt;0),-1,MIN(1,IF($A13=$A12,AY12,1)-AD13+$D$3))</f>
        <v>1</v>
      </c>
      <c r="AZ13">
        <f>IF(OR($J13=0,COUNTIFS($A$4:$A12,"&gt;="&amp;$A13-1,$A$4:$A12,"&lt;="&amp;$A13,$B$4:$B12,$B13)&gt;0,MIN(AZ$1,IF($A13=$A12,AZ12,1))-AE13&lt;0),-1,MIN(1,IF($A13=$A12,AZ12,1)-AE13+$D$3))</f>
        <v>1</v>
      </c>
      <c r="BA13">
        <f>IF(OR($J13=0,COUNTIFS($A$4:$A12,"&gt;="&amp;$A13-1,$A$4:$A12,"&lt;="&amp;$A13,$B$4:$B12,$B13)&gt;0,MIN(BA$1,IF($A13=$A12,BA12,1))-AF13&lt;0),-1,MIN(1,IF($A13=$A12,BA12,1)-AF13+$D$3))</f>
        <v>1</v>
      </c>
      <c r="BB13">
        <f>IF(OR($J13=0,COUNTIFS($A$4:$A12,"&gt;="&amp;$A13-1,$A$4:$A12,"&lt;="&amp;$A13,$B$4:$B12,$B13)&gt;0,MIN(BB$1,IF($A13=$A12,BB12,1))-AG13&lt;0),-1,MIN(1,IF($A13=$A12,BB12,1)-AG13+$D$3))</f>
        <v>1</v>
      </c>
      <c r="BC13">
        <f>IF(OR($J13=0,COUNTIFS($A$4:$A12,"&gt;="&amp;$A13-1,$A$4:$A12,"&lt;="&amp;$A13,$B$4:$B12,$B13)&gt;0,MIN(BC$1,IF($A13=$A12,BC12,1))-AH13&lt;0),-1,MIN(1,IF($A13=$A12,BC12,1)-AH13+$D$3))</f>
        <v>1</v>
      </c>
      <c r="BD13">
        <f>IF(OR($J13=0,COUNTIFS($A$4:$A12,"&gt;="&amp;$A13-1,$A$4:$A12,"&lt;="&amp;$A13,$B$4:$B12,$B13)&gt;0,MIN(BD$1,IF($A13=$A12,BD12,1))-AI13&lt;0),-1,MIN(1,IF($A13=$A12,BD12,1)-AI13+$D$3))</f>
        <v>1</v>
      </c>
      <c r="BF13" s="87">
        <f t="shared" si="23"/>
        <v>9.286875E-2</v>
      </c>
      <c r="BG13" s="87">
        <f t="shared" si="24"/>
        <v>0.19902612938671868</v>
      </c>
      <c r="BH13" s="87">
        <f t="shared" si="25"/>
        <v>0.41230225877343735</v>
      </c>
      <c r="BI13" s="87">
        <f t="shared" si="26"/>
        <v>0.39805225877343736</v>
      </c>
      <c r="BJ13" s="87">
        <f t="shared" si="27"/>
        <v>0.66342043128906225</v>
      </c>
      <c r="BK13" s="87">
        <f t="shared" si="28"/>
        <v>3.3249999999999995E-2</v>
      </c>
      <c r="BL13" s="87">
        <f t="shared" si="29"/>
        <v>7.3221250000000002E-2</v>
      </c>
      <c r="BM13" s="87">
        <f t="shared" si="30"/>
        <v>0</v>
      </c>
      <c r="BN13" s="87">
        <f t="shared" si="31"/>
        <v>3.675459453124999E-2</v>
      </c>
      <c r="BO13" s="87">
        <f t="shared" si="32"/>
        <v>3.000812499999999E-2</v>
      </c>
      <c r="BP13" s="87">
        <f t="shared" si="33"/>
        <v>0.69379133308593743</v>
      </c>
      <c r="BQ13" s="87">
        <f t="shared" si="34"/>
        <v>3.0951237500000003E-2</v>
      </c>
      <c r="BR13" s="87">
        <f t="shared" si="35"/>
        <v>0.49962169721484367</v>
      </c>
      <c r="BS13" s="87">
        <f t="shared" si="36"/>
        <v>5.4261388242187479E-2</v>
      </c>
      <c r="BT13" s="87">
        <f t="shared" si="37"/>
        <v>0.43877757127343736</v>
      </c>
      <c r="BU13" s="87">
        <f t="shared" si="38"/>
        <v>0.57146165753124978</v>
      </c>
      <c r="BV13" s="87">
        <f t="shared" si="39"/>
        <v>0.68785561878906232</v>
      </c>
      <c r="BW13" s="87">
        <f t="shared" si="40"/>
        <v>0.10706735562890622</v>
      </c>
      <c r="BX13" s="87">
        <f t="shared" si="41"/>
        <v>0.24415112938671862</v>
      </c>
      <c r="BY13" s="87">
        <f t="shared" si="42"/>
        <v>0.22346131688671864</v>
      </c>
      <c r="CA13" s="87">
        <f t="shared" si="2"/>
        <v>-0.61095392717520258</v>
      </c>
      <c r="CB13" s="87">
        <f t="shared" si="3"/>
        <v>-0.44415938962300439</v>
      </c>
      <c r="CC13" s="87">
        <f t="shared" si="4"/>
        <v>0.7272179779807435</v>
      </c>
      <c r="CD13" s="87">
        <f t="shared" si="5"/>
        <v>0.66752183113098673</v>
      </c>
      <c r="CE13" s="87">
        <f t="shared" si="6"/>
        <v>1.7792030518849775</v>
      </c>
      <c r="CF13" s="87">
        <f t="shared" si="7"/>
        <v>-0.93035449534195025</v>
      </c>
      <c r="CG13" s="87">
        <f t="shared" si="8"/>
        <v>-0.69326129877033238</v>
      </c>
      <c r="CH13" s="87">
        <f t="shared" si="9"/>
        <v>-1</v>
      </c>
      <c r="CI13" s="87">
        <f t="shared" si="10"/>
        <v>-0.84602753175152479</v>
      </c>
      <c r="CJ13" s="87">
        <f t="shared" si="11"/>
        <v>-0.87428986409222031</v>
      </c>
      <c r="CK13" s="87">
        <f t="shared" si="12"/>
        <v>1.9064329335429289</v>
      </c>
      <c r="CL13" s="87">
        <f t="shared" si="13"/>
        <v>-0.87033897410654715</v>
      </c>
      <c r="CM13" s="87">
        <f t="shared" si="14"/>
        <v>0.39534457105319731</v>
      </c>
      <c r="CN13" s="87">
        <f t="shared" si="15"/>
        <v>-0.77268801398054054</v>
      </c>
      <c r="CO13" s="87">
        <f t="shared" si="16"/>
        <v>0.83812844414868781</v>
      </c>
      <c r="CP13" s="87">
        <f t="shared" si="17"/>
        <v>1.3939690545256829</v>
      </c>
      <c r="CQ13" s="87">
        <f t="shared" si="18"/>
        <v>0.92104467979706572</v>
      </c>
      <c r="CR13" s="87">
        <f t="shared" si="19"/>
        <v>-0.55147308179380117</v>
      </c>
      <c r="CS13" s="87">
        <f t="shared" si="20"/>
        <v>2.2798713923056768E-2</v>
      </c>
      <c r="CT13" s="87">
        <f t="shared" si="21"/>
        <v>-6.3875116623886119E-2</v>
      </c>
      <c r="CV13" s="88">
        <f t="shared" si="43"/>
        <v>0.93500878225375572</v>
      </c>
    </row>
    <row r="14" spans="1:100" x14ac:dyDescent="0.25">
      <c r="A14" s="89">
        <v>45047</v>
      </c>
      <c r="B14" s="57">
        <v>1</v>
      </c>
      <c r="C14" s="51" t="str" cm="1">
        <f t="array" ref="C14">IF(B14="","",INDEX(UWS!$B$10:$B$41,B14))</f>
        <v>Rowing machine</v>
      </c>
      <c r="D14" s="45">
        <f t="shared" si="0"/>
        <v>0.4</v>
      </c>
      <c r="E14" s="70">
        <f t="shared" si="22"/>
        <v>1.3496926213401825</v>
      </c>
      <c r="F14" s="52" cm="1">
        <f t="array" ref="F14">0.1+IFERROR(INDEX($F$5:$F13,SUMPRODUCT(MAX(ROW($C$5:$C13)*($C14=$C$5:$C13))-ROW($A$4)))*0.9^($A14-INDEX($A$5:A13,SUMPRODUCT(MAX(ROW($C$5:$C13)*($C14=$C$5:$C13))-ROW($A$4)))),0)</f>
        <v>0.1</v>
      </c>
      <c r="G14" s="56">
        <f>INDEX(UWS!$AB$10:$AB$41,MATCH(C14,UWS!$B$10:$B$41,0))</f>
        <v>8.2000000000000011</v>
      </c>
      <c r="H14" s="52">
        <f>INDEX(UWS!$C$10:$C$41,MATCH(C14,UWS!$B$10:$B$41,0))</f>
        <v>1.1000000000000001</v>
      </c>
      <c r="I14" s="46">
        <f t="shared" si="44"/>
        <v>5</v>
      </c>
      <c r="J14" s="46">
        <f>INDEX(UWS!$E$10:$E$41,MATCH(C14,UWS!$B$10:$B$41,0))</f>
        <v>1</v>
      </c>
      <c r="K14" s="46"/>
      <c r="L14" s="109" t="str" cm="1">
        <f t="array" ref="L14">IF(K14="","",INDEX(UWS!$B$10:$B$41,K14))</f>
        <v/>
      </c>
      <c r="M14" s="46"/>
      <c r="N14" s="109" t="str" cm="1">
        <f t="array" ref="N14">IF(M14="","",INDEX(UWS!$B$10:$B$41,M14))</f>
        <v/>
      </c>
      <c r="O14" s="47"/>
      <c r="P14" s="47">
        <f>IFERROR(INDEX(UWS!$G$10:$Z$41,MATCH($C14,UWS!$B$10:$B$41,0),MATCH(P$4,UWS!$G$3:$Z$3,0)),0)</f>
        <v>0</v>
      </c>
      <c r="Q14" s="47">
        <f>IFERROR(INDEX(UWS!$G$10:$Z$41,MATCH($C14,UWS!$B$10:$B$41,0),MATCH(Q$4,UWS!$G$3:$Z$3,0)),0)</f>
        <v>1</v>
      </c>
      <c r="R14" s="47">
        <f>IFERROR(INDEX(UWS!$G$10:$Z$41,MATCH($C14,UWS!$B$10:$B$41,0),MATCH(R$4,UWS!$G$3:$Z$3,0)),0)</f>
        <v>0.8</v>
      </c>
      <c r="S14" s="47">
        <f>IFERROR(INDEX(UWS!$G$10:$Z$41,MATCH($C14,UWS!$B$10:$B$41,0),MATCH(S$4,UWS!$G$3:$Z$3,0)),0)</f>
        <v>0.8</v>
      </c>
      <c r="T14" s="47">
        <f>IFERROR(INDEX(UWS!$G$10:$Z$41,MATCH($C14,UWS!$B$10:$B$41,0),MATCH(T$4,UWS!$G$3:$Z$3,0)),0)</f>
        <v>0.7</v>
      </c>
      <c r="U14" s="47">
        <f>IFERROR(INDEX(UWS!$G$10:$Z$41,MATCH($C14,UWS!$B$10:$B$41,0),MATCH(U$4,UWS!$G$3:$Z$3,0)),0)</f>
        <v>0.6</v>
      </c>
      <c r="V14" s="47">
        <f>IFERROR(INDEX(UWS!$G$10:$Z$41,MATCH($C14,UWS!$B$10:$B$41,0),MATCH(V$4,UWS!$G$3:$Z$3,0)),0)</f>
        <v>0</v>
      </c>
      <c r="W14" s="47">
        <f>IFERROR(INDEX(UWS!$G$10:$Z$41,MATCH($C14,UWS!$B$10:$B$41,0),MATCH(W$4,UWS!$G$3:$Z$3,0)),0)</f>
        <v>0.6</v>
      </c>
      <c r="X14" s="47">
        <f>IFERROR(INDEX(UWS!$G$10:$Z$41,MATCH($C14,UWS!$B$10:$B$41,0),MATCH(X$4,UWS!$G$3:$Z$3,0)),0)</f>
        <v>0.4</v>
      </c>
      <c r="Y14" s="47">
        <f>IFERROR(INDEX(UWS!$G$10:$Z$41,MATCH($C14,UWS!$B$10:$B$41,0),MATCH(Y$4,UWS!$G$3:$Z$3,0)),0)</f>
        <v>0</v>
      </c>
      <c r="Z14" s="47">
        <f>IFERROR(INDEX(UWS!$G$10:$Z$41,MATCH($C14,UWS!$B$10:$B$41,0),MATCH(Z$4,UWS!$G$3:$Z$3,0)),0)</f>
        <v>0</v>
      </c>
      <c r="AA14" s="47">
        <f>IFERROR(INDEX(UWS!$G$10:$Z$41,MATCH($C14,UWS!$B$10:$B$41,0),MATCH(AA$4,UWS!$G$3:$Z$3,0)),0)</f>
        <v>0</v>
      </c>
      <c r="AB14" s="47">
        <f>IFERROR(INDEX(UWS!$G$10:$Z$41,MATCH($C14,UWS!$B$10:$B$41,0),MATCH(AB$4,UWS!$G$3:$Z$3,0)),0)</f>
        <v>0</v>
      </c>
      <c r="AC14" s="47">
        <f>IFERROR(INDEX(UWS!$G$10:$Z$41,MATCH($C14,UWS!$B$10:$B$41,0),MATCH(AC$4,UWS!$G$3:$Z$3,0)),0)</f>
        <v>0</v>
      </c>
      <c r="AD14" s="47">
        <f>IFERROR(INDEX(UWS!$G$10:$Z$41,MATCH($C14,UWS!$B$10:$B$41,0),MATCH(AD$4,UWS!$G$3:$Z$3,0)),0)</f>
        <v>1</v>
      </c>
      <c r="AE14" s="47">
        <f>IFERROR(INDEX(UWS!$G$10:$Z$41,MATCH($C14,UWS!$B$10:$B$41,0),MATCH(AE$4,UWS!$G$3:$Z$3,0)),0)</f>
        <v>0.7</v>
      </c>
      <c r="AF14" s="47">
        <f>IFERROR(INDEX(UWS!$G$10:$Z$41,MATCH($C14,UWS!$B$10:$B$41,0),MATCH(AF$4,UWS!$G$3:$Z$3,0)),0)</f>
        <v>0.7</v>
      </c>
      <c r="AG14" s="47">
        <f>IFERROR(INDEX(UWS!$G$10:$Z$41,MATCH($C14,UWS!$B$10:$B$41,0),MATCH(AG$4,UWS!$G$3:$Z$3,0)),0)</f>
        <v>0.3</v>
      </c>
      <c r="AH14" s="47">
        <f>IFERROR(INDEX(UWS!$G$10:$Z$41,MATCH($C14,UWS!$B$10:$B$41,0),MATCH(AH$4,UWS!$G$3:$Z$3,0)),0)</f>
        <v>0.3</v>
      </c>
      <c r="AI14" s="47">
        <f>IFERROR(INDEX(UWS!$G$10:$Z$41,MATCH($C14,UWS!$B$10:$B$41,0),MATCH(AI$4,UWS!$G$3:$Z$3,0)),0)</f>
        <v>0.3</v>
      </c>
      <c r="AJ14" s="47"/>
      <c r="AK14" s="47">
        <f>IF(OR($J14=0,COUNTIFS($A$4:$A13,"&gt;="&amp;$A14-1,$A$4:$A13,"&lt;="&amp;$A14,$B$4:$B13,$B14)&gt;0,MIN(AK$1,IF($A14=$A13,AK13,1))-P14&lt;0),-1,MIN(1,IF($A14=$A13,AK13,1)-P14+$D$3))</f>
        <v>0.8</v>
      </c>
      <c r="AL14" s="47">
        <f>IF(OR($J14=0,COUNTIFS($A$4:$A13,"&gt;="&amp;$A14-1,$A$4:$A13,"&lt;="&amp;$A14,$B$4:$B13,$B14)&gt;0,MIN(AL$1,IF($A14=$A13,AL13,1))-Q14&lt;0),-1,MIN(1,IF($A14=$A13,AL13,1)-Q14+$D$3))</f>
        <v>0.4</v>
      </c>
      <c r="AM14" s="47">
        <f>IF(OR($J14=0,COUNTIFS($A$4:$A13,"&gt;="&amp;$A14-1,$A$4:$A13,"&lt;="&amp;$A14,$B$4:$B13,$B14)&gt;0,MIN(AM$1,IF($A14=$A13,AM13,1))-R14&lt;0),-1,MIN(1,IF($A14=$A13,AM13,1)-R14+$D$3))</f>
        <v>0.6</v>
      </c>
      <c r="AN14" s="47">
        <f>IF(OR($J14=0,COUNTIFS($A$4:$A13,"&gt;="&amp;$A14-1,$A$4:$A13,"&lt;="&amp;$A14,$B$4:$B13,$B14)&gt;0,MIN(AN$1,IF($A14=$A13,AN13,1))-S14&lt;0),-1,MIN(1,IF($A14=$A13,AN13,1)-S14+$D$3))</f>
        <v>0.6</v>
      </c>
      <c r="AO14" s="47">
        <f>IF(OR($J14=0,COUNTIFS($A$4:$A13,"&gt;="&amp;$A14-1,$A$4:$A13,"&lt;="&amp;$A14,$B$4:$B13,$B14)&gt;0,MIN(AO$1,IF($A14=$A13,AO13,1))-T14&lt;0),-1,MIN(1,IF($A14=$A13,AO13,1)-T14+$D$3))</f>
        <v>0.70000000000000007</v>
      </c>
      <c r="AP14" s="47">
        <f>IF(OR($J14=0,COUNTIFS($A$4:$A13,"&gt;="&amp;$A14-1,$A$4:$A13,"&lt;="&amp;$A14,$B$4:$B13,$B14)&gt;0,MIN(AP$1,IF($A14=$A13,AP13,1))-U14&lt;0),-1,MIN(1,IF($A14=$A13,AP13,1)-U14+$D$3))</f>
        <v>0.8</v>
      </c>
      <c r="AQ14" s="47">
        <f>IF(OR($J14=0,COUNTIFS($A$4:$A13,"&gt;="&amp;$A14-1,$A$4:$A13,"&lt;="&amp;$A14,$B$4:$B13,$B14)&gt;0,MIN(AQ$1,IF($A14=$A13,AQ13,1))-V14&lt;0),-1,MIN(1,IF($A14=$A13,AQ13,1)-V14+$D$3))</f>
        <v>1</v>
      </c>
      <c r="AR14" s="47">
        <f>IF(OR($J14=0,COUNTIFS($A$4:$A13,"&gt;="&amp;$A14-1,$A$4:$A13,"&lt;="&amp;$A14,$B$4:$B13,$B14)&gt;0,MIN(AR$1,IF($A14=$A13,AR13,1))-W14&lt;0),-1,MIN(1,IF($A14=$A13,AR13,1)-W14+$D$3))</f>
        <v>0.8</v>
      </c>
      <c r="AS14" s="47">
        <f>IF(OR($J14=0,COUNTIFS($A$4:$A13,"&gt;="&amp;$A14-1,$A$4:$A13,"&lt;="&amp;$A14,$B$4:$B13,$B14)&gt;0,MIN(AS$1,IF($A14=$A13,AS13,1))-X14&lt;0),-1,MIN(1,IF($A14=$A13,AS13,1)-X14+$D$3))</f>
        <v>1</v>
      </c>
      <c r="AT14" s="47">
        <f>IF(OR($J14=0,COUNTIFS($A$4:$A13,"&gt;="&amp;$A14-1,$A$4:$A13,"&lt;="&amp;$A14,$B$4:$B13,$B14)&gt;0,MIN(AT$1,IF($A14=$A13,AT13,1))-Y14&lt;0),-1,MIN(1,IF($A14=$A13,AT13,1)-Y14+$D$3))</f>
        <v>1</v>
      </c>
      <c r="AU14" s="47">
        <f>IF(OR($J14=0,COUNTIFS($A$4:$A13,"&gt;="&amp;$A14-1,$A$4:$A13,"&lt;="&amp;$A14,$B$4:$B13,$B14)&gt;0,MIN(AU$1,IF($A14=$A13,AU13,1))-Z14&lt;0),-1,MIN(1,IF($A14=$A13,AU13,1)-Z14+$D$3))</f>
        <v>1</v>
      </c>
      <c r="AV14" s="47">
        <f>IF(OR($J14=0,COUNTIFS($A$4:$A13,"&gt;="&amp;$A14-1,$A$4:$A13,"&lt;="&amp;$A14,$B$4:$B13,$B14)&gt;0,MIN(AV$1,IF($A14=$A13,AV13,1))-AA14&lt;0),-1,MIN(1,IF($A14=$A13,AV13,1)-AA14+$D$3))</f>
        <v>1</v>
      </c>
      <c r="AW14" s="47">
        <f>IF(OR($J14=0,COUNTIFS($A$4:$A13,"&gt;="&amp;$A14-1,$A$4:$A13,"&lt;="&amp;$A14,$B$4:$B13,$B14)&gt;0,MIN(AW$1,IF($A14=$A13,AW13,1))-AB14&lt;0),-1,MIN(1,IF($A14=$A13,AW13,1)-AB14+$D$3))</f>
        <v>1</v>
      </c>
      <c r="AX14" s="47">
        <f>IF(OR($J14=0,COUNTIFS($A$4:$A13,"&gt;="&amp;$A14-1,$A$4:$A13,"&lt;="&amp;$A14,$B$4:$B13,$B14)&gt;0,MIN(AX$1,IF($A14=$A13,AX13,1))-AC14&lt;0),-1,MIN(1,IF($A14=$A13,AX13,1)-AC14+$D$3))</f>
        <v>1</v>
      </c>
      <c r="AY14" s="47">
        <f>IF(OR($J14=0,COUNTIFS($A$4:$A13,"&gt;="&amp;$A14-1,$A$4:$A13,"&lt;="&amp;$A14,$B$4:$B13,$B14)&gt;0,MIN(AY$1,IF($A14=$A13,AY13,1))-AD14&lt;0),-1,MIN(1,IF($A14=$A13,AY13,1)-AD14+$D$3))</f>
        <v>0.4</v>
      </c>
      <c r="AZ14" s="47">
        <f>IF(OR($J14=0,COUNTIFS($A$4:$A13,"&gt;="&amp;$A14-1,$A$4:$A13,"&lt;="&amp;$A14,$B$4:$B13,$B14)&gt;0,MIN(AZ$1,IF($A14=$A13,AZ13,1))-AE14&lt;0),-1,MIN(1,IF($A14=$A13,AZ13,1)-AE14+$D$3))</f>
        <v>0.70000000000000007</v>
      </c>
      <c r="BA14" s="47">
        <f>IF(OR($J14=0,COUNTIFS($A$4:$A13,"&gt;="&amp;$A14-1,$A$4:$A13,"&lt;="&amp;$A14,$B$4:$B13,$B14)&gt;0,MIN(BA$1,IF($A14=$A13,BA13,1))-AF14&lt;0),-1,MIN(1,IF($A14=$A13,BA13,1)-AF14+$D$3))</f>
        <v>0.70000000000000007</v>
      </c>
      <c r="BB14" s="47">
        <f>IF(OR($J14=0,COUNTIFS($A$4:$A13,"&gt;="&amp;$A14-1,$A$4:$A13,"&lt;="&amp;$A14,$B$4:$B13,$B14)&gt;0,MIN(BB$1,IF($A14=$A13,BB13,1))-AG14&lt;0),-1,MIN(1,IF($A14=$A13,BB13,1)-AG14+$D$3))</f>
        <v>1</v>
      </c>
      <c r="BC14" s="47">
        <f>IF(OR($J14=0,COUNTIFS($A$4:$A13,"&gt;="&amp;$A14-1,$A$4:$A13,"&lt;="&amp;$A14,$B$4:$B13,$B14)&gt;0,MIN(BC$1,IF($A14=$A13,BC13,1))-AH14&lt;0),-1,MIN(1,IF($A14=$A13,BC13,1)-AH14+$D$3))</f>
        <v>1</v>
      </c>
      <c r="BD14" s="47">
        <f>IF(OR($J14=0,COUNTIFS($A$4:$A13,"&gt;="&amp;$A14-1,$A$4:$A13,"&lt;="&amp;$A14,$B$4:$B13,$B14)&gt;0,MIN(BD$1,IF($A14=$A13,BD13,1))-AI14&lt;0),-1,MIN(1,IF($A14=$A13,BD13,1)-AI14+$D$3))</f>
        <v>1</v>
      </c>
      <c r="BE14" s="47"/>
      <c r="BF14" s="53">
        <f t="shared" si="23"/>
        <v>8.82253125E-2</v>
      </c>
      <c r="BG14" s="53">
        <f t="shared" si="24"/>
        <v>0.23907482291738275</v>
      </c>
      <c r="BH14" s="53">
        <f t="shared" si="25"/>
        <v>0.43168714583476542</v>
      </c>
      <c r="BI14" s="53">
        <f t="shared" si="26"/>
        <v>0.41814964583476544</v>
      </c>
      <c r="BJ14" s="53">
        <f t="shared" si="27"/>
        <v>0.66524940972460911</v>
      </c>
      <c r="BK14" s="53">
        <f t="shared" si="28"/>
        <v>6.1587499999999989E-2</v>
      </c>
      <c r="BL14" s="53">
        <f t="shared" si="29"/>
        <v>6.9560187499999995E-2</v>
      </c>
      <c r="BM14" s="53">
        <f t="shared" si="30"/>
        <v>0.03</v>
      </c>
      <c r="BN14" s="53">
        <f t="shared" si="31"/>
        <v>5.4916864804687493E-2</v>
      </c>
      <c r="BO14" s="53">
        <f t="shared" si="32"/>
        <v>2.8507718749999991E-2</v>
      </c>
      <c r="BP14" s="53">
        <f t="shared" si="33"/>
        <v>0.65910176643164053</v>
      </c>
      <c r="BQ14" s="53">
        <f t="shared" si="34"/>
        <v>2.9403675625E-2</v>
      </c>
      <c r="BR14" s="53">
        <f t="shared" si="35"/>
        <v>0.47464061235410149</v>
      </c>
      <c r="BS14" s="53">
        <f t="shared" si="36"/>
        <v>5.1548318830078106E-2</v>
      </c>
      <c r="BT14" s="53">
        <f t="shared" si="37"/>
        <v>0.46683869270976547</v>
      </c>
      <c r="BU14" s="53">
        <f t="shared" si="38"/>
        <v>0.57788857465468735</v>
      </c>
      <c r="BV14" s="53">
        <f t="shared" si="39"/>
        <v>0.68846283784960915</v>
      </c>
      <c r="BW14" s="53">
        <f t="shared" si="40"/>
        <v>0.11671398784746091</v>
      </c>
      <c r="BX14" s="53">
        <f t="shared" si="41"/>
        <v>0.24694357291738267</v>
      </c>
      <c r="BY14" s="53">
        <f t="shared" si="42"/>
        <v>0.22728825104238271</v>
      </c>
      <c r="BZ14" s="47"/>
      <c r="CA14" s="53">
        <f t="shared" si="2"/>
        <v>-0.63930708666030767</v>
      </c>
      <c r="CB14" s="53">
        <f t="shared" si="3"/>
        <v>-0.34839112917666104</v>
      </c>
      <c r="CC14" s="53">
        <f t="shared" si="4"/>
        <v>0.76487325315439536</v>
      </c>
      <c r="CD14" s="53">
        <f t="shared" si="5"/>
        <v>0.70952768195751137</v>
      </c>
      <c r="CE14" s="53">
        <f t="shared" si="6"/>
        <v>1.719749478825364</v>
      </c>
      <c r="CF14" s="53">
        <f t="shared" si="7"/>
        <v>-0.87410543430884258</v>
      </c>
      <c r="CG14" s="53">
        <f t="shared" si="8"/>
        <v>-0.71561600666667813</v>
      </c>
      <c r="CH14" s="53">
        <f t="shared" si="9"/>
        <v>-0.91823368982916498</v>
      </c>
      <c r="CI14" s="53">
        <f t="shared" si="10"/>
        <v>-0.77548252993850553</v>
      </c>
      <c r="CJ14" s="53">
        <f t="shared" si="11"/>
        <v>-0.8834514513212286</v>
      </c>
      <c r="CK14" s="53">
        <f t="shared" si="12"/>
        <v>1.6946159734097379</v>
      </c>
      <c r="CL14" s="53">
        <f t="shared" si="13"/>
        <v>-0.87978849693418149</v>
      </c>
      <c r="CM14" s="53">
        <f t="shared" si="14"/>
        <v>0.29365371764735038</v>
      </c>
      <c r="CN14" s="53">
        <f t="shared" si="15"/>
        <v>-0.78925420868773699</v>
      </c>
      <c r="CO14" s="53">
        <f t="shared" si="16"/>
        <v>0.90858386739269026</v>
      </c>
      <c r="CP14" s="53">
        <f t="shared" si="17"/>
        <v>1.362590821969845</v>
      </c>
      <c r="CQ14" s="53">
        <f t="shared" si="18"/>
        <v>0.87643553135681374</v>
      </c>
      <c r="CR14" s="53">
        <f t="shared" si="19"/>
        <v>-0.5228363934194723</v>
      </c>
      <c r="CS14" s="53">
        <f t="shared" si="20"/>
        <v>9.5832388928460688E-3</v>
      </c>
      <c r="CT14" s="53">
        <f t="shared" si="21"/>
        <v>-7.0773918354096299E-2</v>
      </c>
      <c r="CU14" s="47"/>
      <c r="CV14" s="90">
        <f t="shared" si="43"/>
        <v>0.89891463042419684</v>
      </c>
    </row>
    <row r="15" spans="1:100" x14ac:dyDescent="0.25">
      <c r="A15" s="75">
        <v>45049</v>
      </c>
      <c r="B15" s="76">
        <v>30</v>
      </c>
      <c r="C15" s="77" t="str" cm="1">
        <f t="array" ref="C15">IF(B15="","",INDEX(UWS!$B$10:$B$41,B15))</f>
        <v>Hanging leg raise</v>
      </c>
      <c r="D15" s="78">
        <f t="shared" si="0"/>
        <v>0.6</v>
      </c>
      <c r="E15" s="79">
        <f t="shared" si="22"/>
        <v>0.78069647047343893</v>
      </c>
      <c r="F15" s="80" cm="1">
        <f t="array" ref="F15">0.1+IFERROR(INDEX($F$5:$F14,SUMPRODUCT(MAX(ROW($C$5:$C14)*($C15=$C$5:$C14))-ROW($A$4)))*0.9^($A15-INDEX($A$5:A14,SUMPRODUCT(MAX(ROW($C$5:$C14)*($C15=$C$5:$C14))-ROW($A$4)))),0)</f>
        <v>0.1729</v>
      </c>
      <c r="G15" s="81">
        <f>INDEX(UWS!$AB$10:$AB$41,MATCH(C15,UWS!$B$10:$B$41,0))</f>
        <v>2.5</v>
      </c>
      <c r="H15" s="80">
        <f>INDEX(UWS!$C$10:$C$41,MATCH(C15,UWS!$B$10:$B$41,0))</f>
        <v>1</v>
      </c>
      <c r="I15" s="82">
        <f t="shared" si="44"/>
        <v>1</v>
      </c>
      <c r="J15" s="82">
        <f>INDEX(UWS!$E$10:$E$41,MATCH(C15,UWS!$B$10:$B$41,0))</f>
        <v>1</v>
      </c>
      <c r="K15" s="82"/>
      <c r="L15" s="107" t="str" cm="1">
        <f t="array" ref="L15">IF(K15="","",INDEX(UWS!$B$10:$B$41,K15))</f>
        <v/>
      </c>
      <c r="M15" s="82"/>
      <c r="N15" s="107" t="str" cm="1">
        <f t="array" ref="N15">IF(M15="","",INDEX(UWS!$B$10:$B$41,M15))</f>
        <v/>
      </c>
      <c r="O15" s="3"/>
      <c r="P15" s="3">
        <f>IFERROR(INDEX(UWS!$G$10:$Z$41,MATCH($C15,UWS!$B$10:$B$41,0),MATCH(P$4,UWS!$G$3:$Z$3,0)),0)</f>
        <v>0</v>
      </c>
      <c r="Q15" s="3">
        <f>IFERROR(INDEX(UWS!$G$10:$Z$41,MATCH($C15,UWS!$B$10:$B$41,0),MATCH(Q$4,UWS!$G$3:$Z$3,0)),0)</f>
        <v>0</v>
      </c>
      <c r="R15" s="3">
        <f>IFERROR(INDEX(UWS!$G$10:$Z$41,MATCH($C15,UWS!$B$10:$B$41,0),MATCH(R$4,UWS!$G$3:$Z$3,0)),0)</f>
        <v>0</v>
      </c>
      <c r="S15" s="3">
        <f>IFERROR(INDEX(UWS!$G$10:$Z$41,MATCH($C15,UWS!$B$10:$B$41,0),MATCH(S$4,UWS!$G$3:$Z$3,0)),0)</f>
        <v>0</v>
      </c>
      <c r="T15" s="3">
        <f>IFERROR(INDEX(UWS!$G$10:$Z$41,MATCH($C15,UWS!$B$10:$B$41,0),MATCH(T$4,UWS!$G$3:$Z$3,0)),0)</f>
        <v>0</v>
      </c>
      <c r="U15" s="3">
        <f>IFERROR(INDEX(UWS!$G$10:$Z$41,MATCH($C15,UWS!$B$10:$B$41,0),MATCH(U$4,UWS!$G$3:$Z$3,0)),0)</f>
        <v>0</v>
      </c>
      <c r="V15" s="3">
        <f>IFERROR(INDEX(UWS!$G$10:$Z$41,MATCH($C15,UWS!$B$10:$B$41,0),MATCH(V$4,UWS!$G$3:$Z$3,0)),0)</f>
        <v>0</v>
      </c>
      <c r="W15" s="3">
        <f>IFERROR(INDEX(UWS!$G$10:$Z$41,MATCH($C15,UWS!$B$10:$B$41,0),MATCH(W$4,UWS!$G$3:$Z$3,0)),0)</f>
        <v>0</v>
      </c>
      <c r="X15" s="3">
        <f>IFERROR(INDEX(UWS!$G$10:$Z$41,MATCH($C15,UWS!$B$10:$B$41,0),MATCH(X$4,UWS!$G$3:$Z$3,0)),0)</f>
        <v>0</v>
      </c>
      <c r="Y15" s="3">
        <f>IFERROR(INDEX(UWS!$G$10:$Z$41,MATCH($C15,UWS!$B$10:$B$41,0),MATCH(Y$4,UWS!$G$3:$Z$3,0)),0)</f>
        <v>0</v>
      </c>
      <c r="Z15" s="3">
        <f>IFERROR(INDEX(UWS!$G$10:$Z$41,MATCH($C15,UWS!$B$10:$B$41,0),MATCH(Z$4,UWS!$G$3:$Z$3,0)),0)</f>
        <v>0.5</v>
      </c>
      <c r="AA15" s="3">
        <f>IFERROR(INDEX(UWS!$G$10:$Z$41,MATCH($C15,UWS!$B$10:$B$41,0),MATCH(AA$4,UWS!$G$3:$Z$3,0)),0)</f>
        <v>0.8</v>
      </c>
      <c r="AB15" s="3">
        <f>IFERROR(INDEX(UWS!$G$10:$Z$41,MATCH($C15,UWS!$B$10:$B$41,0),MATCH(AB$4,UWS!$G$3:$Z$3,0)),0)</f>
        <v>0.7</v>
      </c>
      <c r="AC15" s="3">
        <f>IFERROR(INDEX(UWS!$G$10:$Z$41,MATCH($C15,UWS!$B$10:$B$41,0),MATCH(AC$4,UWS!$G$3:$Z$3,0)),0)</f>
        <v>0.5</v>
      </c>
      <c r="AD15" s="3">
        <f>IFERROR(INDEX(UWS!$G$10:$Z$41,MATCH($C15,UWS!$B$10:$B$41,0),MATCH(AD$4,UWS!$G$3:$Z$3,0)),0)</f>
        <v>0</v>
      </c>
      <c r="AE15" s="3">
        <f>IFERROR(INDEX(UWS!$G$10:$Z$41,MATCH($C15,UWS!$B$10:$B$41,0),MATCH(AE$4,UWS!$G$3:$Z$3,0)),0)</f>
        <v>0</v>
      </c>
      <c r="AF15" s="3">
        <f>IFERROR(INDEX(UWS!$G$10:$Z$41,MATCH($C15,UWS!$B$10:$B$41,0),MATCH(AF$4,UWS!$G$3:$Z$3,0)),0)</f>
        <v>0</v>
      </c>
      <c r="AG15" s="3">
        <f>IFERROR(INDEX(UWS!$G$10:$Z$41,MATCH($C15,UWS!$B$10:$B$41,0),MATCH(AG$4,UWS!$G$3:$Z$3,0)),0)</f>
        <v>0</v>
      </c>
      <c r="AH15" s="3">
        <f>IFERROR(INDEX(UWS!$G$10:$Z$41,MATCH($C15,UWS!$B$10:$B$41,0),MATCH(AH$4,UWS!$G$3:$Z$3,0)),0)</f>
        <v>0</v>
      </c>
      <c r="AI15" s="3">
        <f>IFERROR(INDEX(UWS!$G$10:$Z$41,MATCH($C15,UWS!$B$10:$B$41,0),MATCH(AI$4,UWS!$G$3:$Z$3,0)),0)</f>
        <v>0</v>
      </c>
      <c r="AJ15" s="3"/>
      <c r="AK15" s="3">
        <f>IF(OR($J15=0,COUNTIFS($A$4:$A14,"&gt;="&amp;$A15-1,$A$4:$A14,"&lt;="&amp;$A15,$B$4:$B14,$B15)&gt;0,MIN(AK$1,IF($A15=$A14,AK14,1))-P15&lt;0),-1,MIN(1,IF($A15=$A14,AK14,1)-P15+$D$3))</f>
        <v>1</v>
      </c>
      <c r="AL15" s="3">
        <f>IF(OR($J15=0,COUNTIFS($A$4:$A14,"&gt;="&amp;$A15-1,$A$4:$A14,"&lt;="&amp;$A15,$B$4:$B14,$B15)&gt;0,MIN(AL$1,IF($A15=$A14,AL14,1))-Q15&lt;0),-1,MIN(1,IF($A15=$A14,AL14,1)-Q15+$D$3))</f>
        <v>1</v>
      </c>
      <c r="AM15" s="3">
        <f>IF(OR($J15=0,COUNTIFS($A$4:$A14,"&gt;="&amp;$A15-1,$A$4:$A14,"&lt;="&amp;$A15,$B$4:$B14,$B15)&gt;0,MIN(AM$1,IF($A15=$A14,AM14,1))-R15&lt;0),-1,MIN(1,IF($A15=$A14,AM14,1)-R15+$D$3))</f>
        <v>1</v>
      </c>
      <c r="AN15" s="3">
        <f>IF(OR($J15=0,COUNTIFS($A$4:$A14,"&gt;="&amp;$A15-1,$A$4:$A14,"&lt;="&amp;$A15,$B$4:$B14,$B15)&gt;0,MIN(AN$1,IF($A15=$A14,AN14,1))-S15&lt;0),-1,MIN(1,IF($A15=$A14,AN14,1)-S15+$D$3))</f>
        <v>1</v>
      </c>
      <c r="AO15" s="3">
        <f>IF(OR($J15=0,COUNTIFS($A$4:$A14,"&gt;="&amp;$A15-1,$A$4:$A14,"&lt;="&amp;$A15,$B$4:$B14,$B15)&gt;0,MIN(AO$1,IF($A15=$A14,AO14,1))-T15&lt;0),-1,MIN(1,IF($A15=$A14,AO14,1)-T15+$D$3))</f>
        <v>1</v>
      </c>
      <c r="AP15" s="3">
        <f>IF(OR($J15=0,COUNTIFS($A$4:$A14,"&gt;="&amp;$A15-1,$A$4:$A14,"&lt;="&amp;$A15,$B$4:$B14,$B15)&gt;0,MIN(AP$1,IF($A15=$A14,AP14,1))-U15&lt;0),-1,MIN(1,IF($A15=$A14,AP14,1)-U15+$D$3))</f>
        <v>1</v>
      </c>
      <c r="AQ15" s="3">
        <f>IF(OR($J15=0,COUNTIFS($A$4:$A14,"&gt;="&amp;$A15-1,$A$4:$A14,"&lt;="&amp;$A15,$B$4:$B14,$B15)&gt;0,MIN(AQ$1,IF($A15=$A14,AQ14,1))-V15&lt;0),-1,MIN(1,IF($A15=$A14,AQ14,1)-V15+$D$3))</f>
        <v>1</v>
      </c>
      <c r="AR15" s="3">
        <f>IF(OR($J15=0,COUNTIFS($A$4:$A14,"&gt;="&amp;$A15-1,$A$4:$A14,"&lt;="&amp;$A15,$B$4:$B14,$B15)&gt;0,MIN(AR$1,IF($A15=$A14,AR14,1))-W15&lt;0),-1,MIN(1,IF($A15=$A14,AR14,1)-W15+$D$3))</f>
        <v>1</v>
      </c>
      <c r="AS15" s="3">
        <f>IF(OR($J15=0,COUNTIFS($A$4:$A14,"&gt;="&amp;$A15-1,$A$4:$A14,"&lt;="&amp;$A15,$B$4:$B14,$B15)&gt;0,MIN(AS$1,IF($A15=$A14,AS14,1))-X15&lt;0),-1,MIN(1,IF($A15=$A14,AS14,1)-X15+$D$3))</f>
        <v>1</v>
      </c>
      <c r="AT15" s="3">
        <f>IF(OR($J15=0,COUNTIFS($A$4:$A14,"&gt;="&amp;$A15-1,$A$4:$A14,"&lt;="&amp;$A15,$B$4:$B14,$B15)&gt;0,MIN(AT$1,IF($A15=$A14,AT14,1))-Y15&lt;0),-1,MIN(1,IF($A15=$A14,AT14,1)-Y15+$D$3))</f>
        <v>1</v>
      </c>
      <c r="AU15" s="3">
        <f>IF(OR($J15=0,COUNTIFS($A$4:$A14,"&gt;="&amp;$A15-1,$A$4:$A14,"&lt;="&amp;$A15,$B$4:$B14,$B15)&gt;0,MIN(AU$1,IF($A15=$A14,AU14,1))-Z15&lt;0),-1,MIN(1,IF($A15=$A14,AU14,1)-Z15+$D$3))</f>
        <v>0.9</v>
      </c>
      <c r="AV15" s="3">
        <f>IF(OR($J15=0,COUNTIFS($A$4:$A14,"&gt;="&amp;$A15-1,$A$4:$A14,"&lt;="&amp;$A15,$B$4:$B14,$B15)&gt;0,MIN(AV$1,IF($A15=$A14,AV14,1))-AA15&lt;0),-1,MIN(1,IF($A15=$A14,AV14,1)-AA15+$D$3))</f>
        <v>0.6</v>
      </c>
      <c r="AW15" s="3">
        <f>IF(OR($J15=0,COUNTIFS($A$4:$A14,"&gt;="&amp;$A15-1,$A$4:$A14,"&lt;="&amp;$A15,$B$4:$B14,$B15)&gt;0,MIN(AW$1,IF($A15=$A14,AW14,1))-AB15&lt;0),-1,MIN(1,IF($A15=$A14,AW14,1)-AB15+$D$3))</f>
        <v>0.70000000000000007</v>
      </c>
      <c r="AX15" s="3">
        <f>IF(OR($J15=0,COUNTIFS($A$4:$A14,"&gt;="&amp;$A15-1,$A$4:$A14,"&lt;="&amp;$A15,$B$4:$B14,$B15)&gt;0,MIN(AX$1,IF($A15=$A14,AX14,1))-AC15&lt;0),-1,MIN(1,IF($A15=$A14,AX14,1)-AC15+$D$3))</f>
        <v>0.9</v>
      </c>
      <c r="AY15" s="3">
        <f>IF(OR($J15=0,COUNTIFS($A$4:$A14,"&gt;="&amp;$A15-1,$A$4:$A14,"&lt;="&amp;$A15,$B$4:$B14,$B15)&gt;0,MIN(AY$1,IF($A15=$A14,AY14,1))-AD15&lt;0),-1,MIN(1,IF($A15=$A14,AY14,1)-AD15+$D$3))</f>
        <v>1</v>
      </c>
      <c r="AZ15" s="3">
        <f>IF(OR($J15=0,COUNTIFS($A$4:$A14,"&gt;="&amp;$A15-1,$A$4:$A14,"&lt;="&amp;$A15,$B$4:$B14,$B15)&gt;0,MIN(AZ$1,IF($A15=$A14,AZ14,1))-AE15&lt;0),-1,MIN(1,IF($A15=$A14,AZ14,1)-AE15+$D$3))</f>
        <v>1</v>
      </c>
      <c r="BA15" s="3">
        <f>IF(OR($J15=0,COUNTIFS($A$4:$A14,"&gt;="&amp;$A15-1,$A$4:$A14,"&lt;="&amp;$A15,$B$4:$B14,$B15)&gt;0,MIN(BA$1,IF($A15=$A14,BA14,1))-AF15&lt;0),-1,MIN(1,IF($A15=$A14,BA14,1)-AF15+$D$3))</f>
        <v>1</v>
      </c>
      <c r="BB15" s="3">
        <f>IF(OR($J15=0,COUNTIFS($A$4:$A14,"&gt;="&amp;$A15-1,$A$4:$A14,"&lt;="&amp;$A15,$B$4:$B14,$B15)&gt;0,MIN(BB$1,IF($A15=$A14,BB14,1))-AG15&lt;0),-1,MIN(1,IF($A15=$A14,BB14,1)-AG15+$D$3))</f>
        <v>1</v>
      </c>
      <c r="BC15" s="3">
        <f>IF(OR($J15=0,COUNTIFS($A$4:$A14,"&gt;="&amp;$A15-1,$A$4:$A14,"&lt;="&amp;$A15,$B$4:$B14,$B15)&gt;0,MIN(BC$1,IF($A15=$A14,BC14,1))-AH15&lt;0),-1,MIN(1,IF($A15=$A14,BC14,1)-AH15+$D$3))</f>
        <v>1</v>
      </c>
      <c r="BD15" s="3">
        <f>IF(OR($J15=0,COUNTIFS($A$4:$A14,"&gt;="&amp;$A15-1,$A$4:$A14,"&lt;="&amp;$A15,$B$4:$B14,$B15)&gt;0,MIN(BD$1,IF($A15=$A14,BD14,1))-AI15&lt;0),-1,MIN(1,IF($A15=$A14,BD14,1)-AI15+$D$3))</f>
        <v>1</v>
      </c>
      <c r="BE15" s="3"/>
      <c r="BF15" s="83">
        <f t="shared" si="23"/>
        <v>8.3814046874999992E-2</v>
      </c>
      <c r="BG15" s="83">
        <f t="shared" si="24"/>
        <v>0.22712108177151361</v>
      </c>
      <c r="BH15" s="83">
        <f t="shared" si="25"/>
        <v>0.41010278854302712</v>
      </c>
      <c r="BI15" s="83">
        <f t="shared" si="26"/>
        <v>0.39724216354302716</v>
      </c>
      <c r="BJ15" s="83">
        <f t="shared" si="27"/>
        <v>0.63198693923837868</v>
      </c>
      <c r="BK15" s="83">
        <f t="shared" si="28"/>
        <v>5.8508124999999987E-2</v>
      </c>
      <c r="BL15" s="83">
        <f t="shared" si="29"/>
        <v>6.6082178124999988E-2</v>
      </c>
      <c r="BM15" s="83">
        <f t="shared" si="30"/>
        <v>2.8499999999999998E-2</v>
      </c>
      <c r="BN15" s="83">
        <f t="shared" si="31"/>
        <v>5.2171021564453114E-2</v>
      </c>
      <c r="BO15" s="83">
        <f t="shared" si="32"/>
        <v>2.7082332812499988E-2</v>
      </c>
      <c r="BP15" s="83">
        <f t="shared" si="33"/>
        <v>0.65114667811005855</v>
      </c>
      <c r="BQ15" s="83">
        <f t="shared" si="34"/>
        <v>6.7933491843749999E-2</v>
      </c>
      <c r="BR15" s="83">
        <f t="shared" si="35"/>
        <v>0.48590858173639639</v>
      </c>
      <c r="BS15" s="83">
        <f t="shared" si="36"/>
        <v>7.3970902888574191E-2</v>
      </c>
      <c r="BT15" s="83">
        <f t="shared" si="37"/>
        <v>0.44349675807427719</v>
      </c>
      <c r="BU15" s="83">
        <f t="shared" si="38"/>
        <v>0.54899414592195295</v>
      </c>
      <c r="BV15" s="83">
        <f t="shared" si="39"/>
        <v>0.65403969595712863</v>
      </c>
      <c r="BW15" s="83">
        <f t="shared" si="40"/>
        <v>0.11087828845508786</v>
      </c>
      <c r="BX15" s="83">
        <f t="shared" si="41"/>
        <v>0.23459639427151352</v>
      </c>
      <c r="BY15" s="83">
        <f t="shared" si="42"/>
        <v>0.21592383849026356</v>
      </c>
      <c r="BZ15" s="3"/>
      <c r="CA15" s="83">
        <f t="shared" si="2"/>
        <v>-0.64755036642531505</v>
      </c>
      <c r="CB15" s="83">
        <f t="shared" si="3"/>
        <v>-0.36328300539852243</v>
      </c>
      <c r="CC15" s="83">
        <f t="shared" si="4"/>
        <v>0.72453882062888342</v>
      </c>
      <c r="CD15" s="83">
        <f t="shared" si="5"/>
        <v>0.67045811771817077</v>
      </c>
      <c r="CE15" s="83">
        <f t="shared" si="6"/>
        <v>1.6575922946514248</v>
      </c>
      <c r="CF15" s="83">
        <f t="shared" si="7"/>
        <v>-0.87698263008260291</v>
      </c>
      <c r="CG15" s="83">
        <f t="shared" si="8"/>
        <v>-0.72211532154378733</v>
      </c>
      <c r="CH15" s="83">
        <f t="shared" si="9"/>
        <v>-0.92010237797124605</v>
      </c>
      <c r="CI15" s="83">
        <f t="shared" si="10"/>
        <v>-0.78061365464154497</v>
      </c>
      <c r="CJ15" s="83">
        <f t="shared" si="11"/>
        <v>-0.88611505312052397</v>
      </c>
      <c r="CK15" s="83">
        <f t="shared" si="12"/>
        <v>1.7381616406797984</v>
      </c>
      <c r="CL15" s="83">
        <f t="shared" si="13"/>
        <v>-0.71433029187234864</v>
      </c>
      <c r="CM15" s="83">
        <f t="shared" si="14"/>
        <v>0.36220842821412247</v>
      </c>
      <c r="CN15" s="83">
        <f t="shared" si="15"/>
        <v>-0.68894214525700193</v>
      </c>
      <c r="CO15" s="83">
        <f t="shared" si="16"/>
        <v>0.86496507092612251</v>
      </c>
      <c r="CP15" s="83">
        <f t="shared" si="17"/>
        <v>1.3085961456247781</v>
      </c>
      <c r="CQ15" s="83">
        <f t="shared" si="18"/>
        <v>0.83355145331171276</v>
      </c>
      <c r="CR15" s="83">
        <f t="shared" si="19"/>
        <v>-0.53374149567474938</v>
      </c>
      <c r="CS15" s="83">
        <f t="shared" si="20"/>
        <v>-1.3489787430846056E-2</v>
      </c>
      <c r="CT15" s="83">
        <f t="shared" si="21"/>
        <v>-9.2010461331958449E-2</v>
      </c>
      <c r="CU15" s="3"/>
      <c r="CV15" s="84">
        <f t="shared" si="43"/>
        <v>0.87724876978878497</v>
      </c>
    </row>
    <row r="16" spans="1:100" x14ac:dyDescent="0.25">
      <c r="A16" s="85">
        <v>45049</v>
      </c>
      <c r="B16" s="86">
        <v>7</v>
      </c>
      <c r="C16" s="43" t="str" cm="1">
        <f t="array" ref="C16">IF(B16="","",INDEX(UWS!$B$10:$B$41,B16))</f>
        <v>Dumbbell walking lunge</v>
      </c>
      <c r="D16" s="40">
        <f t="shared" si="0"/>
        <v>0.4</v>
      </c>
      <c r="E16" s="69">
        <f t="shared" si="22"/>
        <v>1.4952845843950773</v>
      </c>
      <c r="F16" s="48" cm="1">
        <f t="array" ref="F16">0.1+IFERROR(INDEX($F$5:$F15,SUMPRODUCT(MAX(ROW($C$5:$C15)*($C16=$C$5:$C15))-ROW($A$4)))*0.9^($A16-INDEX($A$5:A15,SUMPRODUCT(MAX(ROW($C$5:$C15)*($C16=$C$5:$C15))-ROW($A$4)))),0)</f>
        <v>0.1</v>
      </c>
      <c r="G16" s="55">
        <f>INDEX(UWS!$AB$10:$AB$41,MATCH(C16,UWS!$B$10:$B$41,0))</f>
        <v>4.6999999999999993</v>
      </c>
      <c r="H16" s="48">
        <f>INDEX(UWS!$C$10:$C$41,MATCH(C16,UWS!$B$10:$B$41,0))</f>
        <v>1</v>
      </c>
      <c r="I16" s="27">
        <f t="shared" si="44"/>
        <v>2</v>
      </c>
      <c r="J16" s="27">
        <f>INDEX(UWS!$E$10:$E$41,MATCH(C16,UWS!$B$10:$B$41,0))</f>
        <v>1</v>
      </c>
      <c r="L16" s="108" t="str" cm="1">
        <f t="array" ref="L16">IF(K16="","",INDEX(UWS!$B$10:$B$41,K16))</f>
        <v/>
      </c>
      <c r="N16" s="108" t="str" cm="1">
        <f t="array" ref="N16">IF(M16="","",INDEX(UWS!$B$10:$B$41,M16))</f>
        <v/>
      </c>
      <c r="P16">
        <f>IFERROR(INDEX(UWS!$G$10:$Z$41,MATCH($C16,UWS!$B$10:$B$41,0),MATCH(P$4,UWS!$G$3:$Z$3,0)),0)</f>
        <v>0</v>
      </c>
      <c r="Q16">
        <f>IFERROR(INDEX(UWS!$G$10:$Z$41,MATCH($C16,UWS!$B$10:$B$41,0),MATCH(Q$4,UWS!$G$3:$Z$3,0)),0)</f>
        <v>0</v>
      </c>
      <c r="R16">
        <f>IFERROR(INDEX(UWS!$G$10:$Z$41,MATCH($C16,UWS!$B$10:$B$41,0),MATCH(R$4,UWS!$G$3:$Z$3,0)),0)</f>
        <v>0</v>
      </c>
      <c r="S16">
        <f>IFERROR(INDEX(UWS!$G$10:$Z$41,MATCH($C16,UWS!$B$10:$B$41,0),MATCH(S$4,UWS!$G$3:$Z$3,0)),0)</f>
        <v>0</v>
      </c>
      <c r="T16">
        <f>IFERROR(INDEX(UWS!$G$10:$Z$41,MATCH($C16,UWS!$B$10:$B$41,0),MATCH(T$4,UWS!$G$3:$Z$3,0)),0)</f>
        <v>0.5</v>
      </c>
      <c r="U16">
        <f>IFERROR(INDEX(UWS!$G$10:$Z$41,MATCH($C16,UWS!$B$10:$B$41,0),MATCH(U$4,UWS!$G$3:$Z$3,0)),0)</f>
        <v>0</v>
      </c>
      <c r="V16">
        <f>IFERROR(INDEX(UWS!$G$10:$Z$41,MATCH($C16,UWS!$B$10:$B$41,0),MATCH(V$4,UWS!$G$3:$Z$3,0)),0)</f>
        <v>0</v>
      </c>
      <c r="W16">
        <f>IFERROR(INDEX(UWS!$G$10:$Z$41,MATCH($C16,UWS!$B$10:$B$41,0),MATCH(W$4,UWS!$G$3:$Z$3,0)),0)</f>
        <v>0</v>
      </c>
      <c r="X16">
        <f>IFERROR(INDEX(UWS!$G$10:$Z$41,MATCH($C16,UWS!$B$10:$B$41,0),MATCH(X$4,UWS!$G$3:$Z$3,0)),0)</f>
        <v>0</v>
      </c>
      <c r="Y16">
        <f>IFERROR(INDEX(UWS!$G$10:$Z$41,MATCH($C16,UWS!$B$10:$B$41,0),MATCH(Y$4,UWS!$G$3:$Z$3,0)),0)</f>
        <v>0</v>
      </c>
      <c r="Z16">
        <f>IFERROR(INDEX(UWS!$G$10:$Z$41,MATCH($C16,UWS!$B$10:$B$41,0),MATCH(Z$4,UWS!$G$3:$Z$3,0)),0)</f>
        <v>0.1</v>
      </c>
      <c r="AA16">
        <f>IFERROR(INDEX(UWS!$G$10:$Z$41,MATCH($C16,UWS!$B$10:$B$41,0),MATCH(AA$4,UWS!$G$3:$Z$3,0)),0)</f>
        <v>0</v>
      </c>
      <c r="AB16">
        <f>IFERROR(INDEX(UWS!$G$10:$Z$41,MATCH($C16,UWS!$B$10:$B$41,0),MATCH(AB$4,UWS!$G$3:$Z$3,0)),0)</f>
        <v>0.3</v>
      </c>
      <c r="AC16">
        <f>IFERROR(INDEX(UWS!$G$10:$Z$41,MATCH($C16,UWS!$B$10:$B$41,0),MATCH(AC$4,UWS!$G$3:$Z$3,0)),0)</f>
        <v>0.2</v>
      </c>
      <c r="AD16">
        <f>IFERROR(INDEX(UWS!$G$10:$Z$41,MATCH($C16,UWS!$B$10:$B$41,0),MATCH(AD$4,UWS!$G$3:$Z$3,0)),0)</f>
        <v>1</v>
      </c>
      <c r="AE16">
        <f>IFERROR(INDEX(UWS!$G$10:$Z$41,MATCH($C16,UWS!$B$10:$B$41,0),MATCH(AE$4,UWS!$G$3:$Z$3,0)),0)</f>
        <v>0.6</v>
      </c>
      <c r="AF16">
        <f>IFERROR(INDEX(UWS!$G$10:$Z$41,MATCH($C16,UWS!$B$10:$B$41,0),MATCH(AF$4,UWS!$G$3:$Z$3,0)),0)</f>
        <v>0.9</v>
      </c>
      <c r="AG16">
        <f>IFERROR(INDEX(UWS!$G$10:$Z$41,MATCH($C16,UWS!$B$10:$B$41,0),MATCH(AG$4,UWS!$G$3:$Z$3,0)),0)</f>
        <v>0.1</v>
      </c>
      <c r="AH16">
        <f>IFERROR(INDEX(UWS!$G$10:$Z$41,MATCH($C16,UWS!$B$10:$B$41,0),MATCH(AH$4,UWS!$G$3:$Z$3,0)),0)</f>
        <v>0.5</v>
      </c>
      <c r="AI16">
        <f>IFERROR(INDEX(UWS!$G$10:$Z$41,MATCH($C16,UWS!$B$10:$B$41,0),MATCH(AI$4,UWS!$G$3:$Z$3,0)),0)</f>
        <v>0.5</v>
      </c>
      <c r="AK16">
        <f>IF(OR($J16=0,COUNTIFS($A$4:$A15,"&gt;="&amp;$A16-1,$A$4:$A15,"&lt;="&amp;$A16,$B$4:$B15,$B16)&gt;0,MIN(AK$1,IF($A16=$A15,AK15,1))-P16&lt;0),-1,MIN(1,IF($A16=$A15,AK15,1)-P16+$D$3))</f>
        <v>1</v>
      </c>
      <c r="AL16">
        <f>IF(OR($J16=0,COUNTIFS($A$4:$A15,"&gt;="&amp;$A16-1,$A$4:$A15,"&lt;="&amp;$A16,$B$4:$B15,$B16)&gt;0,MIN(AL$1,IF($A16=$A15,AL15,1))-Q16&lt;0),-1,MIN(1,IF($A16=$A15,AL15,1)-Q16+$D$3))</f>
        <v>1</v>
      </c>
      <c r="AM16">
        <f>IF(OR($J16=0,COUNTIFS($A$4:$A15,"&gt;="&amp;$A16-1,$A$4:$A15,"&lt;="&amp;$A16,$B$4:$B15,$B16)&gt;0,MIN(AM$1,IF($A16=$A15,AM15,1))-R16&lt;0),-1,MIN(1,IF($A16=$A15,AM15,1)-R16+$D$3))</f>
        <v>1</v>
      </c>
      <c r="AN16">
        <f>IF(OR($J16=0,COUNTIFS($A$4:$A15,"&gt;="&amp;$A16-1,$A$4:$A15,"&lt;="&amp;$A16,$B$4:$B15,$B16)&gt;0,MIN(AN$1,IF($A16=$A15,AN15,1))-S16&lt;0),-1,MIN(1,IF($A16=$A15,AN15,1)-S16+$D$3))</f>
        <v>1</v>
      </c>
      <c r="AO16">
        <f>IF(OR($J16=0,COUNTIFS($A$4:$A15,"&gt;="&amp;$A16-1,$A$4:$A15,"&lt;="&amp;$A16,$B$4:$B15,$B16)&gt;0,MIN(AO$1,IF($A16=$A15,AO15,1))-T16&lt;0),-1,MIN(1,IF($A16=$A15,AO15,1)-T16+$D$3))</f>
        <v>0.9</v>
      </c>
      <c r="AP16">
        <f>IF(OR($J16=0,COUNTIFS($A$4:$A15,"&gt;="&amp;$A16-1,$A$4:$A15,"&lt;="&amp;$A16,$B$4:$B15,$B16)&gt;0,MIN(AP$1,IF($A16=$A15,AP15,1))-U16&lt;0),-1,MIN(1,IF($A16=$A15,AP15,1)-U16+$D$3))</f>
        <v>1</v>
      </c>
      <c r="AQ16">
        <f>IF(OR($J16=0,COUNTIFS($A$4:$A15,"&gt;="&amp;$A16-1,$A$4:$A15,"&lt;="&amp;$A16,$B$4:$B15,$B16)&gt;0,MIN(AQ$1,IF($A16=$A15,AQ15,1))-V16&lt;0),-1,MIN(1,IF($A16=$A15,AQ15,1)-V16+$D$3))</f>
        <v>1</v>
      </c>
      <c r="AR16">
        <f>IF(OR($J16=0,COUNTIFS($A$4:$A15,"&gt;="&amp;$A16-1,$A$4:$A15,"&lt;="&amp;$A16,$B$4:$B15,$B16)&gt;0,MIN(AR$1,IF($A16=$A15,AR15,1))-W16&lt;0),-1,MIN(1,IF($A16=$A15,AR15,1)-W16+$D$3))</f>
        <v>1</v>
      </c>
      <c r="AS16">
        <f>IF(OR($J16=0,COUNTIFS($A$4:$A15,"&gt;="&amp;$A16-1,$A$4:$A15,"&lt;="&amp;$A16,$B$4:$B15,$B16)&gt;0,MIN(AS$1,IF($A16=$A15,AS15,1))-X16&lt;0),-1,MIN(1,IF($A16=$A15,AS15,1)-X16+$D$3))</f>
        <v>1</v>
      </c>
      <c r="AT16">
        <f>IF(OR($J16=0,COUNTIFS($A$4:$A15,"&gt;="&amp;$A16-1,$A$4:$A15,"&lt;="&amp;$A16,$B$4:$B15,$B16)&gt;0,MIN(AT$1,IF($A16=$A15,AT15,1))-Y16&lt;0),-1,MIN(1,IF($A16=$A15,AT15,1)-Y16+$D$3))</f>
        <v>1</v>
      </c>
      <c r="AU16">
        <f>IF(OR($J16=0,COUNTIFS($A$4:$A15,"&gt;="&amp;$A16-1,$A$4:$A15,"&lt;="&amp;$A16,$B$4:$B15,$B16)&gt;0,MIN(AU$1,IF($A16=$A15,AU15,1))-Z16&lt;0),-1,MIN(1,IF($A16=$A15,AU15,1)-Z16+$D$3))</f>
        <v>1</v>
      </c>
      <c r="AV16">
        <f>IF(OR($J16=0,COUNTIFS($A$4:$A15,"&gt;="&amp;$A16-1,$A$4:$A15,"&lt;="&amp;$A16,$B$4:$B15,$B16)&gt;0,MIN(AV$1,IF($A16=$A15,AV15,1))-AA16&lt;0),-1,MIN(1,IF($A16=$A15,AV15,1)-AA16+$D$3))</f>
        <v>1</v>
      </c>
      <c r="AW16">
        <f>IF(OR($J16=0,COUNTIFS($A$4:$A15,"&gt;="&amp;$A16-1,$A$4:$A15,"&lt;="&amp;$A16,$B$4:$B15,$B16)&gt;0,MIN(AW$1,IF($A16=$A15,AW15,1))-AB16&lt;0),-1,MIN(1,IF($A16=$A15,AW15,1)-AB16+$D$3))</f>
        <v>0.8</v>
      </c>
      <c r="AX16">
        <f>IF(OR($J16=0,COUNTIFS($A$4:$A15,"&gt;="&amp;$A16-1,$A$4:$A15,"&lt;="&amp;$A16,$B$4:$B15,$B16)&gt;0,MIN(AX$1,IF($A16=$A15,AX15,1))-AC16&lt;0),-1,MIN(1,IF($A16=$A15,AX15,1)-AC16+$D$3))</f>
        <v>1</v>
      </c>
      <c r="AY16">
        <f>IF(OR($J16=0,COUNTIFS($A$4:$A15,"&gt;="&amp;$A16-1,$A$4:$A15,"&lt;="&amp;$A16,$B$4:$B15,$B16)&gt;0,MIN(AY$1,IF($A16=$A15,AY15,1))-AD16&lt;0),-1,MIN(1,IF($A16=$A15,AY15,1)-AD16+$D$3))</f>
        <v>0.4</v>
      </c>
      <c r="AZ16">
        <f>IF(OR($J16=0,COUNTIFS($A$4:$A15,"&gt;="&amp;$A16-1,$A$4:$A15,"&lt;="&amp;$A16,$B$4:$B15,$B16)&gt;0,MIN(AZ$1,IF($A16=$A15,AZ15,1))-AE16&lt;0),-1,MIN(1,IF($A16=$A15,AZ15,1)-AE16+$D$3))</f>
        <v>0.8</v>
      </c>
      <c r="BA16">
        <f>IF(OR($J16=0,COUNTIFS($A$4:$A15,"&gt;="&amp;$A16-1,$A$4:$A15,"&lt;="&amp;$A16,$B$4:$B15,$B16)&gt;0,MIN(BA$1,IF($A16=$A15,BA15,1))-AF16&lt;0),-1,MIN(1,IF($A16=$A15,BA15,1)-AF16+$D$3))</f>
        <v>0.5</v>
      </c>
      <c r="BB16">
        <f>IF(OR($J16=0,COUNTIFS($A$4:$A15,"&gt;="&amp;$A16-1,$A$4:$A15,"&lt;="&amp;$A16,$B$4:$B15,$B16)&gt;0,MIN(BB$1,IF($A16=$A15,BB15,1))-AG16&lt;0),-1,MIN(1,IF($A16=$A15,BB15,1)-AG16+$D$3))</f>
        <v>1</v>
      </c>
      <c r="BC16">
        <f>IF(OR($J16=0,COUNTIFS($A$4:$A15,"&gt;="&amp;$A16-1,$A$4:$A15,"&lt;="&amp;$A16,$B$4:$B15,$B16)&gt;0,MIN(BC$1,IF($A16=$A15,BC15,1))-AH16&lt;0),-1,MIN(1,IF($A16=$A15,BC15,1)-AH16+$D$3))</f>
        <v>0.9</v>
      </c>
      <c r="BD16">
        <f>IF(OR($J16=0,COUNTIFS($A$4:$A15,"&gt;="&amp;$A16-1,$A$4:$A15,"&lt;="&amp;$A16,$B$4:$B15,$B16)&gt;0,MIN(BD$1,IF($A16=$A15,BD15,1))-AI16&lt;0),-1,MIN(1,IF($A16=$A15,BD15,1)-AI16+$D$3))</f>
        <v>0.9</v>
      </c>
      <c r="BF16" s="87">
        <f t="shared" si="23"/>
        <v>7.9623344531249987E-2</v>
      </c>
      <c r="BG16" s="87">
        <f t="shared" si="24"/>
        <v>0.21576502768293793</v>
      </c>
      <c r="BH16" s="87">
        <f t="shared" si="25"/>
        <v>0.38959764911587574</v>
      </c>
      <c r="BI16" s="87">
        <f t="shared" si="26"/>
        <v>0.37738005536587577</v>
      </c>
      <c r="BJ16" s="87">
        <f t="shared" si="27"/>
        <v>0.62538759227645968</v>
      </c>
      <c r="BK16" s="87">
        <f t="shared" si="28"/>
        <v>5.5582718749999982E-2</v>
      </c>
      <c r="BL16" s="87">
        <f t="shared" si="29"/>
        <v>6.2778069218749982E-2</v>
      </c>
      <c r="BM16" s="87">
        <f t="shared" si="30"/>
        <v>2.7074999999999995E-2</v>
      </c>
      <c r="BN16" s="87">
        <f t="shared" si="31"/>
        <v>4.9562470486230456E-2</v>
      </c>
      <c r="BO16" s="87">
        <f t="shared" si="32"/>
        <v>2.5728216171874988E-2</v>
      </c>
      <c r="BP16" s="87">
        <f t="shared" si="33"/>
        <v>0.62358934420455558</v>
      </c>
      <c r="BQ16" s="87">
        <f t="shared" si="34"/>
        <v>6.4536817251562489E-2</v>
      </c>
      <c r="BR16" s="87">
        <f t="shared" si="35"/>
        <v>0.47661315264957654</v>
      </c>
      <c r="BS16" s="87">
        <f t="shared" si="36"/>
        <v>8.0272357744145484E-2</v>
      </c>
      <c r="BT16" s="87">
        <f t="shared" si="37"/>
        <v>0.47132192017056329</v>
      </c>
      <c r="BU16" s="87">
        <f t="shared" si="38"/>
        <v>0.55154443862585534</v>
      </c>
      <c r="BV16" s="87">
        <f t="shared" si="39"/>
        <v>0.66633771115927221</v>
      </c>
      <c r="BW16" s="87">
        <f t="shared" si="40"/>
        <v>0.11033437403233347</v>
      </c>
      <c r="BX16" s="87">
        <f t="shared" si="41"/>
        <v>0.24786657455793784</v>
      </c>
      <c r="BY16" s="87">
        <f t="shared" si="42"/>
        <v>0.23012764656575035</v>
      </c>
      <c r="CA16" s="87">
        <f t="shared" si="2"/>
        <v>-0.66280083421210323</v>
      </c>
      <c r="CB16" s="87">
        <f t="shared" si="3"/>
        <v>-0.39083369942814972</v>
      </c>
      <c r="CC16" s="87">
        <f t="shared" si="4"/>
        <v>0.6499181621696275</v>
      </c>
      <c r="CD16" s="87">
        <f t="shared" si="5"/>
        <v>0.59817752699926574</v>
      </c>
      <c r="CE16" s="87">
        <f t="shared" si="6"/>
        <v>1.6484716969777478</v>
      </c>
      <c r="CF16" s="87">
        <f t="shared" si="7"/>
        <v>-0.8823055819555069</v>
      </c>
      <c r="CG16" s="87">
        <f t="shared" si="8"/>
        <v>-0.73413936961629145</v>
      </c>
      <c r="CH16" s="87">
        <f t="shared" si="9"/>
        <v>-0.92355954176123845</v>
      </c>
      <c r="CI16" s="87">
        <f t="shared" si="10"/>
        <v>-0.79010648446467857</v>
      </c>
      <c r="CJ16" s="87">
        <f t="shared" si="11"/>
        <v>-0.89104284577041337</v>
      </c>
      <c r="CK16" s="87">
        <f t="shared" si="12"/>
        <v>1.6408562450861512</v>
      </c>
      <c r="CL16" s="87">
        <f t="shared" si="13"/>
        <v>-0.72669119756339895</v>
      </c>
      <c r="CM16" s="87">
        <f t="shared" si="14"/>
        <v>0.34561506153848343</v>
      </c>
      <c r="CN16" s="87">
        <f t="shared" si="15"/>
        <v>-0.66005230970258832</v>
      </c>
      <c r="CO16" s="87">
        <f t="shared" si="16"/>
        <v>0.99601460142996379</v>
      </c>
      <c r="CP16" s="87">
        <f t="shared" si="17"/>
        <v>1.3357512259058661</v>
      </c>
      <c r="CQ16" s="87">
        <f t="shared" si="18"/>
        <v>0.88126167988115611</v>
      </c>
      <c r="CR16" s="87">
        <f t="shared" si="19"/>
        <v>-0.53274182213193999</v>
      </c>
      <c r="CS16" s="87">
        <f t="shared" si="20"/>
        <v>4.9697204503098336E-2</v>
      </c>
      <c r="CT16" s="87">
        <f t="shared" si="21"/>
        <v>-2.5425886044669443E-2</v>
      </c>
      <c r="CV16" s="88">
        <f t="shared" si="43"/>
        <v>0.87446478686868911</v>
      </c>
    </row>
    <row r="17" spans="1:100" x14ac:dyDescent="0.25">
      <c r="A17" s="85">
        <v>45049</v>
      </c>
      <c r="B17" s="86">
        <v>13</v>
      </c>
      <c r="C17" s="43" t="str" cm="1">
        <f t="array" ref="C17">IF(B17="","",INDEX(UWS!$B$10:$B$41,B17))</f>
        <v>Barbell bent-over row</v>
      </c>
      <c r="D17" s="40">
        <f t="shared" si="0"/>
        <v>0.4</v>
      </c>
      <c r="E17" s="69">
        <f t="shared" si="22"/>
        <v>1.3293239269678516</v>
      </c>
      <c r="F17" s="48" cm="1">
        <f t="array" ref="F17">0.1+IFERROR(INDEX($F$5:$F16,SUMPRODUCT(MAX(ROW($C$5:$C16)*($C17=$C$5:$C16))-ROW($A$4)))*0.9^($A17-INDEX($A$5:A16,SUMPRODUCT(MAX(ROW($C$5:$C16)*($C17=$C$5:$C16))-ROW($A$4)))),0)</f>
        <v>0.1</v>
      </c>
      <c r="G17" s="55">
        <f>INDEX(UWS!$AB$10:$AB$41,MATCH(C17,UWS!$B$10:$B$41,0))</f>
        <v>4.3</v>
      </c>
      <c r="H17" s="48">
        <f>INDEX(UWS!$C$10:$C$41,MATCH(C17,UWS!$B$10:$B$41,0))</f>
        <v>1.1000000000000001</v>
      </c>
      <c r="I17" s="27">
        <f t="shared" si="44"/>
        <v>3</v>
      </c>
      <c r="J17" s="27">
        <f>INDEX(UWS!$E$10:$E$41,MATCH(C17,UWS!$B$10:$B$41,0))</f>
        <v>1</v>
      </c>
      <c r="L17" s="108" t="str" cm="1">
        <f t="array" ref="L17">IF(K17="","",INDEX(UWS!$B$10:$B$41,K17))</f>
        <v/>
      </c>
      <c r="N17" s="108" t="str" cm="1">
        <f t="array" ref="N17">IF(M17="","",INDEX(UWS!$B$10:$B$41,M17))</f>
        <v/>
      </c>
      <c r="P17">
        <f>IFERROR(INDEX(UWS!$G$10:$Z$41,MATCH($C17,UWS!$B$10:$B$41,0),MATCH(P$4,UWS!$G$3:$Z$3,0)),0)</f>
        <v>0</v>
      </c>
      <c r="Q17">
        <f>IFERROR(INDEX(UWS!$G$10:$Z$41,MATCH($C17,UWS!$B$10:$B$41,0),MATCH(Q$4,UWS!$G$3:$Z$3,0)),0)</f>
        <v>1</v>
      </c>
      <c r="R17">
        <f>IFERROR(INDEX(UWS!$G$10:$Z$41,MATCH($C17,UWS!$B$10:$B$41,0),MATCH(R$4,UWS!$G$3:$Z$3,0)),0)</f>
        <v>0.7</v>
      </c>
      <c r="S17">
        <f>IFERROR(INDEX(UWS!$G$10:$Z$41,MATCH($C17,UWS!$B$10:$B$41,0),MATCH(S$4,UWS!$G$3:$Z$3,0)),0)</f>
        <v>0.7</v>
      </c>
      <c r="T17">
        <f>IFERROR(INDEX(UWS!$G$10:$Z$41,MATCH($C17,UWS!$B$10:$B$41,0),MATCH(T$4,UWS!$G$3:$Z$3,0)),0)</f>
        <v>0.6</v>
      </c>
      <c r="U17">
        <f>IFERROR(INDEX(UWS!$G$10:$Z$41,MATCH($C17,UWS!$B$10:$B$41,0),MATCH(U$4,UWS!$G$3:$Z$3,0)),0)</f>
        <v>0</v>
      </c>
      <c r="V17">
        <f>IFERROR(INDEX(UWS!$G$10:$Z$41,MATCH($C17,UWS!$B$10:$B$41,0),MATCH(V$4,UWS!$G$3:$Z$3,0)),0)</f>
        <v>0</v>
      </c>
      <c r="W17">
        <f>IFERROR(INDEX(UWS!$G$10:$Z$41,MATCH($C17,UWS!$B$10:$B$41,0),MATCH(W$4,UWS!$G$3:$Z$3,0)),0)</f>
        <v>0.6</v>
      </c>
      <c r="X17">
        <f>IFERROR(INDEX(UWS!$G$10:$Z$41,MATCH($C17,UWS!$B$10:$B$41,0),MATCH(X$4,UWS!$G$3:$Z$3,0)),0)</f>
        <v>0.5</v>
      </c>
      <c r="Y17">
        <f>IFERROR(INDEX(UWS!$G$10:$Z$41,MATCH($C17,UWS!$B$10:$B$41,0),MATCH(Y$4,UWS!$G$3:$Z$3,0)),0)</f>
        <v>0</v>
      </c>
      <c r="Z17">
        <f>IFERROR(INDEX(UWS!$G$10:$Z$41,MATCH($C17,UWS!$B$10:$B$41,0),MATCH(Z$4,UWS!$G$3:$Z$3,0)),0)</f>
        <v>0.2</v>
      </c>
      <c r="AA17">
        <f>IFERROR(INDEX(UWS!$G$10:$Z$41,MATCH($C17,UWS!$B$10:$B$41,0),MATCH(AA$4,UWS!$G$3:$Z$3,0)),0)</f>
        <v>0</v>
      </c>
      <c r="AB17">
        <f>IFERROR(INDEX(UWS!$G$10:$Z$41,MATCH($C17,UWS!$B$10:$B$41,0),MATCH(AB$4,UWS!$G$3:$Z$3,0)),0)</f>
        <v>0</v>
      </c>
      <c r="AC17">
        <f>IFERROR(INDEX(UWS!$G$10:$Z$41,MATCH($C17,UWS!$B$10:$B$41,0),MATCH(AC$4,UWS!$G$3:$Z$3,0)),0)</f>
        <v>0</v>
      </c>
      <c r="AD17">
        <f>IFERROR(INDEX(UWS!$G$10:$Z$41,MATCH($C17,UWS!$B$10:$B$41,0),MATCH(AD$4,UWS!$G$3:$Z$3,0)),0)</f>
        <v>0</v>
      </c>
      <c r="AE17">
        <f>IFERROR(INDEX(UWS!$G$10:$Z$41,MATCH($C17,UWS!$B$10:$B$41,0),MATCH(AE$4,UWS!$G$3:$Z$3,0)),0)</f>
        <v>0</v>
      </c>
      <c r="AF17">
        <f>IFERROR(INDEX(UWS!$G$10:$Z$41,MATCH($C17,UWS!$B$10:$B$41,0),MATCH(AF$4,UWS!$G$3:$Z$3,0)),0)</f>
        <v>0</v>
      </c>
      <c r="AG17">
        <f>IFERROR(INDEX(UWS!$G$10:$Z$41,MATCH($C17,UWS!$B$10:$B$41,0),MATCH(AG$4,UWS!$G$3:$Z$3,0)),0)</f>
        <v>0</v>
      </c>
      <c r="AH17">
        <f>IFERROR(INDEX(UWS!$G$10:$Z$41,MATCH($C17,UWS!$B$10:$B$41,0),MATCH(AH$4,UWS!$G$3:$Z$3,0)),0)</f>
        <v>0</v>
      </c>
      <c r="AI17">
        <f>IFERROR(INDEX(UWS!$G$10:$Z$41,MATCH($C17,UWS!$B$10:$B$41,0),MATCH(AI$4,UWS!$G$3:$Z$3,0)),0)</f>
        <v>0</v>
      </c>
      <c r="AK17">
        <f>IF(OR($J17=0,COUNTIFS($A$4:$A16,"&gt;="&amp;$A17-1,$A$4:$A16,"&lt;="&amp;$A17,$B$4:$B16,$B17)&gt;0,MIN(AK$1,IF($A17=$A16,AK16,1))-P17&lt;0),-1,MIN(1,IF($A17=$A16,AK16,1)-P17+$D$3))</f>
        <v>1</v>
      </c>
      <c r="AL17">
        <f>IF(OR($J17=0,COUNTIFS($A$4:$A16,"&gt;="&amp;$A17-1,$A$4:$A16,"&lt;="&amp;$A17,$B$4:$B16,$B17)&gt;0,MIN(AL$1,IF($A17=$A16,AL16,1))-Q17&lt;0),-1,MIN(1,IF($A17=$A16,AL16,1)-Q17+$D$3))</f>
        <v>0.4</v>
      </c>
      <c r="AM17">
        <f>IF(OR($J17=0,COUNTIFS($A$4:$A16,"&gt;="&amp;$A17-1,$A$4:$A16,"&lt;="&amp;$A17,$B$4:$B16,$B17)&gt;0,MIN(AM$1,IF($A17=$A16,AM16,1))-R17&lt;0),-1,MIN(1,IF($A17=$A16,AM16,1)-R17+$D$3))</f>
        <v>0.70000000000000007</v>
      </c>
      <c r="AN17">
        <f>IF(OR($J17=0,COUNTIFS($A$4:$A16,"&gt;="&amp;$A17-1,$A$4:$A16,"&lt;="&amp;$A17,$B$4:$B16,$B17)&gt;0,MIN(AN$1,IF($A17=$A16,AN16,1))-S17&lt;0),-1,MIN(1,IF($A17=$A16,AN16,1)-S17+$D$3))</f>
        <v>0.70000000000000007</v>
      </c>
      <c r="AO17">
        <f>IF(OR($J17=0,COUNTIFS($A$4:$A16,"&gt;="&amp;$A17-1,$A$4:$A16,"&lt;="&amp;$A17,$B$4:$B16,$B17)&gt;0,MIN(AO$1,IF($A17=$A16,AO16,1))-T17&lt;0),-1,MIN(1,IF($A17=$A16,AO16,1)-T17+$D$3))</f>
        <v>0.70000000000000007</v>
      </c>
      <c r="AP17">
        <f>IF(OR($J17=0,COUNTIFS($A$4:$A16,"&gt;="&amp;$A17-1,$A$4:$A16,"&lt;="&amp;$A17,$B$4:$B16,$B17)&gt;0,MIN(AP$1,IF($A17=$A16,AP16,1))-U17&lt;0),-1,MIN(1,IF($A17=$A16,AP16,1)-U17+$D$3))</f>
        <v>1</v>
      </c>
      <c r="AQ17">
        <f>IF(OR($J17=0,COUNTIFS($A$4:$A16,"&gt;="&amp;$A17-1,$A$4:$A16,"&lt;="&amp;$A17,$B$4:$B16,$B17)&gt;0,MIN(AQ$1,IF($A17=$A16,AQ16,1))-V17&lt;0),-1,MIN(1,IF($A17=$A16,AQ16,1)-V17+$D$3))</f>
        <v>1</v>
      </c>
      <c r="AR17">
        <f>IF(OR($J17=0,COUNTIFS($A$4:$A16,"&gt;="&amp;$A17-1,$A$4:$A16,"&lt;="&amp;$A17,$B$4:$B16,$B17)&gt;0,MIN(AR$1,IF($A17=$A16,AR16,1))-W17&lt;0),-1,MIN(1,IF($A17=$A16,AR16,1)-W17+$D$3))</f>
        <v>0.8</v>
      </c>
      <c r="AS17">
        <f>IF(OR($J17=0,COUNTIFS($A$4:$A16,"&gt;="&amp;$A17-1,$A$4:$A16,"&lt;="&amp;$A17,$B$4:$B16,$B17)&gt;0,MIN(AS$1,IF($A17=$A16,AS16,1))-X17&lt;0),-1,MIN(1,IF($A17=$A16,AS16,1)-X17+$D$3))</f>
        <v>0.9</v>
      </c>
      <c r="AT17">
        <f>IF(OR($J17=0,COUNTIFS($A$4:$A16,"&gt;="&amp;$A17-1,$A$4:$A16,"&lt;="&amp;$A17,$B$4:$B16,$B17)&gt;0,MIN(AT$1,IF($A17=$A16,AT16,1))-Y17&lt;0),-1,MIN(1,IF($A17=$A16,AT16,1)-Y17+$D$3))</f>
        <v>1</v>
      </c>
      <c r="AU17">
        <f>IF(OR($J17=0,COUNTIFS($A$4:$A16,"&gt;="&amp;$A17-1,$A$4:$A16,"&lt;="&amp;$A17,$B$4:$B16,$B17)&gt;0,MIN(AU$1,IF($A17=$A16,AU16,1))-Z17&lt;0),-1,MIN(1,IF($A17=$A16,AU16,1)-Z17+$D$3))</f>
        <v>1</v>
      </c>
      <c r="AV17">
        <f>IF(OR($J17=0,COUNTIFS($A$4:$A16,"&gt;="&amp;$A17-1,$A$4:$A16,"&lt;="&amp;$A17,$B$4:$B16,$B17)&gt;0,MIN(AV$1,IF($A17=$A16,AV16,1))-AA17&lt;0),-1,MIN(1,IF($A17=$A16,AV16,1)-AA17+$D$3))</f>
        <v>1</v>
      </c>
      <c r="AW17">
        <f>IF(OR($J17=0,COUNTIFS($A$4:$A16,"&gt;="&amp;$A17-1,$A$4:$A16,"&lt;="&amp;$A17,$B$4:$B16,$B17)&gt;0,MIN(AW$1,IF($A17=$A16,AW16,1))-AB17&lt;0),-1,MIN(1,IF($A17=$A16,AW16,1)-AB17+$D$3))</f>
        <v>1</v>
      </c>
      <c r="AX17">
        <f>IF(OR($J17=0,COUNTIFS($A$4:$A16,"&gt;="&amp;$A17-1,$A$4:$A16,"&lt;="&amp;$A17,$B$4:$B16,$B17)&gt;0,MIN(AX$1,IF($A17=$A16,AX16,1))-AC17&lt;0),-1,MIN(1,IF($A17=$A16,AX16,1)-AC17+$D$3))</f>
        <v>1</v>
      </c>
      <c r="AY17">
        <f>IF(OR($J17=0,COUNTIFS($A$4:$A16,"&gt;="&amp;$A17-1,$A$4:$A16,"&lt;="&amp;$A17,$B$4:$B16,$B17)&gt;0,MIN(AY$1,IF($A17=$A16,AY16,1))-AD17&lt;0),-1,MIN(1,IF($A17=$A16,AY16,1)-AD17+$D$3))</f>
        <v>0.8</v>
      </c>
      <c r="AZ17">
        <f>IF(OR($J17=0,COUNTIFS($A$4:$A16,"&gt;="&amp;$A17-1,$A$4:$A16,"&lt;="&amp;$A17,$B$4:$B16,$B17)&gt;0,MIN(AZ$1,IF($A17=$A16,AZ16,1))-AE17&lt;0),-1,MIN(1,IF($A17=$A16,AZ16,1)-AE17+$D$3))</f>
        <v>1</v>
      </c>
      <c r="BA17">
        <f>IF(OR($J17=0,COUNTIFS($A$4:$A16,"&gt;="&amp;$A17-1,$A$4:$A16,"&lt;="&amp;$A17,$B$4:$B16,$B17)&gt;0,MIN(BA$1,IF($A17=$A16,BA16,1))-AF17&lt;0),-1,MIN(1,IF($A17=$A16,BA16,1)-AF17+$D$3))</f>
        <v>0.9</v>
      </c>
      <c r="BB17">
        <f>IF(OR($J17=0,COUNTIFS($A$4:$A16,"&gt;="&amp;$A17-1,$A$4:$A16,"&lt;="&amp;$A17,$B$4:$B16,$B17)&gt;0,MIN(BB$1,IF($A17=$A16,BB16,1))-AG17&lt;0),-1,MIN(1,IF($A17=$A16,BB16,1)-AG17+$D$3))</f>
        <v>1</v>
      </c>
      <c r="BC17">
        <f>IF(OR($J17=0,COUNTIFS($A$4:$A16,"&gt;="&amp;$A17-1,$A$4:$A16,"&lt;="&amp;$A17,$B$4:$B16,$B17)&gt;0,MIN(BC$1,IF($A17=$A16,BC16,1))-AH17&lt;0),-1,MIN(1,IF($A17=$A16,BC16,1)-AH17+$D$3))</f>
        <v>1</v>
      </c>
      <c r="BD17">
        <f>IF(OR($J17=0,COUNTIFS($A$4:$A16,"&gt;="&amp;$A17-1,$A$4:$A16,"&lt;="&amp;$A17,$B$4:$B16,$B17)&gt;0,MIN(BD$1,IF($A17=$A16,BD16,1))-AI17&lt;0),-1,MIN(1,IF($A17=$A16,BD16,1)-AI17+$D$3))</f>
        <v>1</v>
      </c>
      <c r="BF17" s="87">
        <f t="shared" si="23"/>
        <v>7.5642177304687488E-2</v>
      </c>
      <c r="BG17" s="87">
        <f t="shared" si="24"/>
        <v>0.25497677629879101</v>
      </c>
      <c r="BH17" s="87">
        <f t="shared" si="25"/>
        <v>0.40511776666008192</v>
      </c>
      <c r="BI17" s="87">
        <f t="shared" si="26"/>
        <v>0.39351105259758196</v>
      </c>
      <c r="BJ17" s="87">
        <f t="shared" si="27"/>
        <v>0.62411821266263667</v>
      </c>
      <c r="BK17" s="87">
        <f t="shared" si="28"/>
        <v>5.2803582812499979E-2</v>
      </c>
      <c r="BL17" s="87">
        <f t="shared" si="29"/>
        <v>5.963916575781248E-2</v>
      </c>
      <c r="BM17" s="87">
        <f t="shared" si="30"/>
        <v>5.5721249999999993E-2</v>
      </c>
      <c r="BN17" s="87">
        <f t="shared" si="31"/>
        <v>7.2084346961918927E-2</v>
      </c>
      <c r="BO17" s="87">
        <f t="shared" si="32"/>
        <v>2.4441805363281239E-2</v>
      </c>
      <c r="BP17" s="87">
        <f t="shared" si="33"/>
        <v>0.6024098769943278</v>
      </c>
      <c r="BQ17" s="87">
        <f t="shared" si="34"/>
        <v>6.1309976388984361E-2</v>
      </c>
      <c r="BR17" s="87">
        <f t="shared" si="35"/>
        <v>0.45278249501709772</v>
      </c>
      <c r="BS17" s="87">
        <f t="shared" si="36"/>
        <v>7.6258739856938207E-2</v>
      </c>
      <c r="BT17" s="87">
        <f t="shared" si="37"/>
        <v>0.44775582416203513</v>
      </c>
      <c r="BU17" s="87">
        <f t="shared" si="38"/>
        <v>0.52396721669456259</v>
      </c>
      <c r="BV17" s="87">
        <f t="shared" si="39"/>
        <v>0.63302082560130857</v>
      </c>
      <c r="BW17" s="87">
        <f t="shared" si="40"/>
        <v>0.10481765533071678</v>
      </c>
      <c r="BX17" s="87">
        <f t="shared" si="41"/>
        <v>0.23547324583004095</v>
      </c>
      <c r="BY17" s="87">
        <f t="shared" si="42"/>
        <v>0.21862126423746284</v>
      </c>
      <c r="CA17" s="87">
        <f t="shared" si="2"/>
        <v>-0.67629012277750356</v>
      </c>
      <c r="CB17" s="87">
        <f t="shared" si="3"/>
        <v>-0.27255310118142484</v>
      </c>
      <c r="CC17" s="87">
        <f t="shared" si="4"/>
        <v>0.73369708777619214</v>
      </c>
      <c r="CD17" s="87">
        <f t="shared" si="5"/>
        <v>0.68402628085329775</v>
      </c>
      <c r="CE17" s="87">
        <f t="shared" si="6"/>
        <v>1.6709071207661577</v>
      </c>
      <c r="CF17" s="87">
        <f t="shared" si="7"/>
        <v>-0.88701382007890028</v>
      </c>
      <c r="CG17" s="87">
        <f t="shared" si="8"/>
        <v>-0.74477483709452619</v>
      </c>
      <c r="CH17" s="87">
        <f t="shared" si="9"/>
        <v>-0.84102767671948675</v>
      </c>
      <c r="CI17" s="87">
        <f t="shared" si="10"/>
        <v>-0.69151581913466953</v>
      </c>
      <c r="CJ17" s="87">
        <f t="shared" si="11"/>
        <v>-0.89540155908820429</v>
      </c>
      <c r="CK17" s="87">
        <f t="shared" si="12"/>
        <v>1.5780065337618021</v>
      </c>
      <c r="CL17" s="87">
        <f t="shared" si="13"/>
        <v>-0.73762462112308336</v>
      </c>
      <c r="CM17" s="87">
        <f t="shared" si="14"/>
        <v>0.29178518381435214</v>
      </c>
      <c r="CN17" s="87">
        <f t="shared" si="15"/>
        <v>-0.67365155002350774</v>
      </c>
      <c r="CO17" s="87">
        <f t="shared" si="16"/>
        <v>0.91616619232572116</v>
      </c>
      <c r="CP17" s="87">
        <f t="shared" si="17"/>
        <v>1.2423120199410129</v>
      </c>
      <c r="CQ17" s="87">
        <f t="shared" si="18"/>
        <v>0.80600383750882587</v>
      </c>
      <c r="CR17" s="87">
        <f t="shared" si="19"/>
        <v>-0.55143398105551844</v>
      </c>
      <c r="CS17" s="87">
        <f t="shared" si="20"/>
        <v>7.7052011576836943E-3</v>
      </c>
      <c r="CT17" s="87">
        <f t="shared" si="21"/>
        <v>-6.4412671260449139E-2</v>
      </c>
      <c r="CV17" s="88">
        <f t="shared" si="43"/>
        <v>0.85358964216848077</v>
      </c>
    </row>
    <row r="18" spans="1:100" x14ac:dyDescent="0.25">
      <c r="A18" s="85">
        <v>45049</v>
      </c>
      <c r="B18" s="86">
        <v>32</v>
      </c>
      <c r="C18" s="43" t="str" cm="1">
        <f t="array" ref="C18">IF(B18="","",INDEX(UWS!$B$10:$B$41,B18))</f>
        <v>Seated leg extension</v>
      </c>
      <c r="D18" s="40">
        <f t="shared" si="0"/>
        <v>-1</v>
      </c>
      <c r="E18" s="69">
        <f t="shared" si="22"/>
        <v>1.8120126424902234</v>
      </c>
      <c r="F18" s="48" cm="1">
        <f t="array" ref="F18">0.1+IFERROR(INDEX($F$5:$F17,SUMPRODUCT(MAX(ROW($C$5:$C17)*($C18=$C$5:$C17))-ROW($A$4)))*0.9^($A18-INDEX($A$5:A17,SUMPRODUCT(MAX(ROW($C$5:$C17)*($C18=$C$5:$C17))-ROW($A$4)))),0)</f>
        <v>0.1</v>
      </c>
      <c r="G18" s="55">
        <f>INDEX(UWS!$AB$10:$AB$41,MATCH(C18,UWS!$B$10:$B$41,0))</f>
        <v>1</v>
      </c>
      <c r="H18" s="48">
        <f>INDEX(UWS!$C$10:$C$41,MATCH(C18,UWS!$B$10:$B$41,0))</f>
        <v>0.9</v>
      </c>
      <c r="I18" s="27">
        <f t="shared" si="44"/>
        <v>4</v>
      </c>
      <c r="J18" s="27">
        <f>INDEX(UWS!$E$10:$E$41,MATCH(C18,UWS!$B$10:$B$41,0))</f>
        <v>1</v>
      </c>
      <c r="L18" s="108" t="str" cm="1">
        <f t="array" ref="L18">IF(K18="","",INDEX(UWS!$B$10:$B$41,K18))</f>
        <v/>
      </c>
      <c r="N18" s="108" t="str" cm="1">
        <f t="array" ref="N18">IF(M18="","",INDEX(UWS!$B$10:$B$41,M18))</f>
        <v/>
      </c>
      <c r="P18">
        <f>IFERROR(INDEX(UWS!$G$10:$Z$41,MATCH($C18,UWS!$B$10:$B$41,0),MATCH(P$4,UWS!$G$3:$Z$3,0)),0)</f>
        <v>0</v>
      </c>
      <c r="Q18">
        <f>IFERROR(INDEX(UWS!$G$10:$Z$41,MATCH($C18,UWS!$B$10:$B$41,0),MATCH(Q$4,UWS!$G$3:$Z$3,0)),0)</f>
        <v>0</v>
      </c>
      <c r="R18">
        <f>IFERROR(INDEX(UWS!$G$10:$Z$41,MATCH($C18,UWS!$B$10:$B$41,0),MATCH(R$4,UWS!$G$3:$Z$3,0)),0)</f>
        <v>0</v>
      </c>
      <c r="S18">
        <f>IFERROR(INDEX(UWS!$G$10:$Z$41,MATCH($C18,UWS!$B$10:$B$41,0),MATCH(S$4,UWS!$G$3:$Z$3,0)),0)</f>
        <v>0</v>
      </c>
      <c r="T18">
        <f>IFERROR(INDEX(UWS!$G$10:$Z$41,MATCH($C18,UWS!$B$10:$B$41,0),MATCH(T$4,UWS!$G$3:$Z$3,0)),0)</f>
        <v>0</v>
      </c>
      <c r="U18">
        <f>IFERROR(INDEX(UWS!$G$10:$Z$41,MATCH($C18,UWS!$B$10:$B$41,0),MATCH(U$4,UWS!$G$3:$Z$3,0)),0)</f>
        <v>0</v>
      </c>
      <c r="V18">
        <f>IFERROR(INDEX(UWS!$G$10:$Z$41,MATCH($C18,UWS!$B$10:$B$41,0),MATCH(V$4,UWS!$G$3:$Z$3,0)),0)</f>
        <v>0</v>
      </c>
      <c r="W18">
        <f>IFERROR(INDEX(UWS!$G$10:$Z$41,MATCH($C18,UWS!$B$10:$B$41,0),MATCH(W$4,UWS!$G$3:$Z$3,0)),0)</f>
        <v>0</v>
      </c>
      <c r="X18">
        <f>IFERROR(INDEX(UWS!$G$10:$Z$41,MATCH($C18,UWS!$B$10:$B$41,0),MATCH(X$4,UWS!$G$3:$Z$3,0)),0)</f>
        <v>0</v>
      </c>
      <c r="Y18">
        <f>IFERROR(INDEX(UWS!$G$10:$Z$41,MATCH($C18,UWS!$B$10:$B$41,0),MATCH(Y$4,UWS!$G$3:$Z$3,0)),0)</f>
        <v>0</v>
      </c>
      <c r="Z18">
        <f>IFERROR(INDEX(UWS!$G$10:$Z$41,MATCH($C18,UWS!$B$10:$B$41,0),MATCH(Z$4,UWS!$G$3:$Z$3,0)),0)</f>
        <v>0</v>
      </c>
      <c r="AA18">
        <f>IFERROR(INDEX(UWS!$G$10:$Z$41,MATCH($C18,UWS!$B$10:$B$41,0),MATCH(AA$4,UWS!$G$3:$Z$3,0)),0)</f>
        <v>0</v>
      </c>
      <c r="AB18">
        <f>IFERROR(INDEX(UWS!$G$10:$Z$41,MATCH($C18,UWS!$B$10:$B$41,0),MATCH(AB$4,UWS!$G$3:$Z$3,0)),0)</f>
        <v>0</v>
      </c>
      <c r="AC18">
        <f>IFERROR(INDEX(UWS!$G$10:$Z$41,MATCH($C18,UWS!$B$10:$B$41,0),MATCH(AC$4,UWS!$G$3:$Z$3,0)),0)</f>
        <v>0</v>
      </c>
      <c r="AD18">
        <f>IFERROR(INDEX(UWS!$G$10:$Z$41,MATCH($C18,UWS!$B$10:$B$41,0),MATCH(AD$4,UWS!$G$3:$Z$3,0)),0)</f>
        <v>1</v>
      </c>
      <c r="AE18">
        <f>IFERROR(INDEX(UWS!$G$10:$Z$41,MATCH($C18,UWS!$B$10:$B$41,0),MATCH(AE$4,UWS!$G$3:$Z$3,0)),0)</f>
        <v>0</v>
      </c>
      <c r="AF18">
        <f>IFERROR(INDEX(UWS!$G$10:$Z$41,MATCH($C18,UWS!$B$10:$B$41,0),MATCH(AF$4,UWS!$G$3:$Z$3,0)),0)</f>
        <v>0</v>
      </c>
      <c r="AG18">
        <f>IFERROR(INDEX(UWS!$G$10:$Z$41,MATCH($C18,UWS!$B$10:$B$41,0),MATCH(AG$4,UWS!$G$3:$Z$3,0)),0)</f>
        <v>0</v>
      </c>
      <c r="AH18">
        <f>IFERROR(INDEX(UWS!$G$10:$Z$41,MATCH($C18,UWS!$B$10:$B$41,0),MATCH(AH$4,UWS!$G$3:$Z$3,0)),0)</f>
        <v>0</v>
      </c>
      <c r="AI18">
        <f>IFERROR(INDEX(UWS!$G$10:$Z$41,MATCH($C18,UWS!$B$10:$B$41,0),MATCH(AI$4,UWS!$G$3:$Z$3,0)),0)</f>
        <v>0</v>
      </c>
      <c r="AK18">
        <f>IF(OR($J18=0,COUNTIFS($A$4:$A17,"&gt;="&amp;$A18-1,$A$4:$A17,"&lt;="&amp;$A18,$B$4:$B17,$B18)&gt;0,MIN(AK$1,IF($A18=$A17,AK17,1))-P18&lt;0),-1,MIN(1,IF($A18=$A17,AK17,1)-P18+$D$3))</f>
        <v>1</v>
      </c>
      <c r="AL18">
        <f>IF(OR($J18=0,COUNTIFS($A$4:$A17,"&gt;="&amp;$A18-1,$A$4:$A17,"&lt;="&amp;$A18,$B$4:$B17,$B18)&gt;0,MIN(AL$1,IF($A18=$A17,AL17,1))-Q18&lt;0),-1,MIN(1,IF($A18=$A17,AL17,1)-Q18+$D$3))</f>
        <v>0.8</v>
      </c>
      <c r="AM18">
        <f>IF(OR($J18=0,COUNTIFS($A$4:$A17,"&gt;="&amp;$A18-1,$A$4:$A17,"&lt;="&amp;$A18,$B$4:$B17,$B18)&gt;0,MIN(AM$1,IF($A18=$A17,AM17,1))-R18&lt;0),-1,MIN(1,IF($A18=$A17,AM17,1)-R18+$D$3))</f>
        <v>1</v>
      </c>
      <c r="AN18">
        <f>IF(OR($J18=0,COUNTIFS($A$4:$A17,"&gt;="&amp;$A18-1,$A$4:$A17,"&lt;="&amp;$A18,$B$4:$B17,$B18)&gt;0,MIN(AN$1,IF($A18=$A17,AN17,1))-S18&lt;0),-1,MIN(1,IF($A18=$A17,AN17,1)-S18+$D$3))</f>
        <v>1</v>
      </c>
      <c r="AO18">
        <f>IF(OR($J18=0,COUNTIFS($A$4:$A17,"&gt;="&amp;$A18-1,$A$4:$A17,"&lt;="&amp;$A18,$B$4:$B17,$B18)&gt;0,MIN(AO$1,IF($A18=$A17,AO17,1))-T18&lt;0),-1,MIN(1,IF($A18=$A17,AO17,1)-T18+$D$3))</f>
        <v>1</v>
      </c>
      <c r="AP18">
        <f>IF(OR($J18=0,COUNTIFS($A$4:$A17,"&gt;="&amp;$A18-1,$A$4:$A17,"&lt;="&amp;$A18,$B$4:$B17,$B18)&gt;0,MIN(AP$1,IF($A18=$A17,AP17,1))-U18&lt;0),-1,MIN(1,IF($A18=$A17,AP17,1)-U18+$D$3))</f>
        <v>1</v>
      </c>
      <c r="AQ18">
        <f>IF(OR($J18=0,COUNTIFS($A$4:$A17,"&gt;="&amp;$A18-1,$A$4:$A17,"&lt;="&amp;$A18,$B$4:$B17,$B18)&gt;0,MIN(AQ$1,IF($A18=$A17,AQ17,1))-V18&lt;0),-1,MIN(1,IF($A18=$A17,AQ17,1)-V18+$D$3))</f>
        <v>1</v>
      </c>
      <c r="AR18">
        <f>IF(OR($J18=0,COUNTIFS($A$4:$A17,"&gt;="&amp;$A18-1,$A$4:$A17,"&lt;="&amp;$A18,$B$4:$B17,$B18)&gt;0,MIN(AR$1,IF($A18=$A17,AR17,1))-W18&lt;0),-1,MIN(1,IF($A18=$A17,AR17,1)-W18+$D$3))</f>
        <v>1</v>
      </c>
      <c r="AS18">
        <f>IF(OR($J18=0,COUNTIFS($A$4:$A17,"&gt;="&amp;$A18-1,$A$4:$A17,"&lt;="&amp;$A18,$B$4:$B17,$B18)&gt;0,MIN(AS$1,IF($A18=$A17,AS17,1))-X18&lt;0),-1,MIN(1,IF($A18=$A17,AS17,1)-X18+$D$3))</f>
        <v>1</v>
      </c>
      <c r="AT18">
        <f>IF(OR($J18=0,COUNTIFS($A$4:$A17,"&gt;="&amp;$A18-1,$A$4:$A17,"&lt;="&amp;$A18,$B$4:$B17,$B18)&gt;0,MIN(AT$1,IF($A18=$A17,AT17,1))-Y18&lt;0),-1,MIN(1,IF($A18=$A17,AT17,1)-Y18+$D$3))</f>
        <v>1</v>
      </c>
      <c r="AU18">
        <f>IF(OR($J18=0,COUNTIFS($A$4:$A17,"&gt;="&amp;$A18-1,$A$4:$A17,"&lt;="&amp;$A18,$B$4:$B17,$B18)&gt;0,MIN(AU$1,IF($A18=$A17,AU17,1))-Z18&lt;0),-1,MIN(1,IF($A18=$A17,AU17,1)-Z18+$D$3))</f>
        <v>1</v>
      </c>
      <c r="AV18">
        <f>IF(OR($J18=0,COUNTIFS($A$4:$A17,"&gt;="&amp;$A18-1,$A$4:$A17,"&lt;="&amp;$A18,$B$4:$B17,$B18)&gt;0,MIN(AV$1,IF($A18=$A17,AV17,1))-AA18&lt;0),-1,MIN(1,IF($A18=$A17,AV17,1)-AA18+$D$3))</f>
        <v>1</v>
      </c>
      <c r="AW18">
        <f>IF(OR($J18=0,COUNTIFS($A$4:$A17,"&gt;="&amp;$A18-1,$A$4:$A17,"&lt;="&amp;$A18,$B$4:$B17,$B18)&gt;0,MIN(AW$1,IF($A18=$A17,AW17,1))-AB18&lt;0),-1,MIN(1,IF($A18=$A17,AW17,1)-AB18+$D$3))</f>
        <v>1</v>
      </c>
      <c r="AX18">
        <f>IF(OR($J18=0,COUNTIFS($A$4:$A17,"&gt;="&amp;$A18-1,$A$4:$A17,"&lt;="&amp;$A18,$B$4:$B17,$B18)&gt;0,MIN(AX$1,IF($A18=$A17,AX17,1))-AC18&lt;0),-1,MIN(1,IF($A18=$A17,AX17,1)-AC18+$D$3))</f>
        <v>1</v>
      </c>
      <c r="AY18">
        <f>IF(OR($J18=0,COUNTIFS($A$4:$A17,"&gt;="&amp;$A18-1,$A$4:$A17,"&lt;="&amp;$A18,$B$4:$B17,$B18)&gt;0,MIN(AY$1,IF($A18=$A17,AY17,1))-AD18&lt;0),-1,MIN(1,IF($A18=$A17,AY17,1)-AD18+$D$3))</f>
        <v>-1</v>
      </c>
      <c r="AZ18">
        <f>IF(OR($J18=0,COUNTIFS($A$4:$A17,"&gt;="&amp;$A18-1,$A$4:$A17,"&lt;="&amp;$A18,$B$4:$B17,$B18)&gt;0,MIN(AZ$1,IF($A18=$A17,AZ17,1))-AE18&lt;0),-1,MIN(1,IF($A18=$A17,AZ17,1)-AE18+$D$3))</f>
        <v>1</v>
      </c>
      <c r="BA18">
        <f>IF(OR($J18=0,COUNTIFS($A$4:$A17,"&gt;="&amp;$A18-1,$A$4:$A17,"&lt;="&amp;$A18,$B$4:$B17,$B18)&gt;0,MIN(BA$1,IF($A18=$A17,BA17,1))-AF18&lt;0),-1,MIN(1,IF($A18=$A17,BA17,1)-AF18+$D$3))</f>
        <v>1</v>
      </c>
      <c r="BB18">
        <f>IF(OR($J18=0,COUNTIFS($A$4:$A17,"&gt;="&amp;$A18-1,$A$4:$A17,"&lt;="&amp;$A18,$B$4:$B17,$B18)&gt;0,MIN(BB$1,IF($A18=$A17,BB17,1))-AG18&lt;0),-1,MIN(1,IF($A18=$A17,BB17,1)-AG18+$D$3))</f>
        <v>1</v>
      </c>
      <c r="BC18">
        <f>IF(OR($J18=0,COUNTIFS($A$4:$A17,"&gt;="&amp;$A18-1,$A$4:$A17,"&lt;="&amp;$A18,$B$4:$B17,$B18)&gt;0,MIN(BC$1,IF($A18=$A17,BC17,1))-AH18&lt;0),-1,MIN(1,IF($A18=$A17,BC17,1)-AH18+$D$3))</f>
        <v>1</v>
      </c>
      <c r="BD18">
        <f>IF(OR($J18=0,COUNTIFS($A$4:$A17,"&gt;="&amp;$A18-1,$A$4:$A17,"&lt;="&amp;$A18,$B$4:$B17,$B18)&gt;0,MIN(BD$1,IF($A18=$A17,BD17,1))-AI18&lt;0),-1,MIN(1,IF($A18=$A17,BD17,1)-AI18+$D$3))</f>
        <v>1</v>
      </c>
      <c r="BF18" s="87">
        <f t="shared" si="23"/>
        <v>7.1860068439453112E-2</v>
      </c>
      <c r="BG18" s="87">
        <f t="shared" si="24"/>
        <v>0.24222793748385144</v>
      </c>
      <c r="BH18" s="87">
        <f t="shared" si="25"/>
        <v>0.3848618783270778</v>
      </c>
      <c r="BI18" s="87">
        <f t="shared" si="26"/>
        <v>0.37383549996770282</v>
      </c>
      <c r="BJ18" s="87">
        <f t="shared" si="27"/>
        <v>0.59291230202950485</v>
      </c>
      <c r="BK18" s="87">
        <f t="shared" si="28"/>
        <v>5.0163403671874975E-2</v>
      </c>
      <c r="BL18" s="87">
        <f t="shared" si="29"/>
        <v>5.6657207469921853E-2</v>
      </c>
      <c r="BM18" s="87">
        <f t="shared" si="30"/>
        <v>5.2935187499999987E-2</v>
      </c>
      <c r="BN18" s="87">
        <f t="shared" si="31"/>
        <v>6.8480129613822979E-2</v>
      </c>
      <c r="BO18" s="87">
        <f t="shared" si="32"/>
        <v>2.3219715095117176E-2</v>
      </c>
      <c r="BP18" s="87">
        <f t="shared" si="33"/>
        <v>0.57228938314461142</v>
      </c>
      <c r="BQ18" s="87">
        <f t="shared" si="34"/>
        <v>5.8244477569535137E-2</v>
      </c>
      <c r="BR18" s="87">
        <f t="shared" si="35"/>
        <v>0.43014337026624283</v>
      </c>
      <c r="BS18" s="87">
        <f t="shared" si="36"/>
        <v>7.2445802864091288E-2</v>
      </c>
      <c r="BT18" s="87">
        <f t="shared" si="37"/>
        <v>0.47536803295393332</v>
      </c>
      <c r="BU18" s="87">
        <f t="shared" si="38"/>
        <v>0.49776885585983444</v>
      </c>
      <c r="BV18" s="87">
        <f t="shared" si="39"/>
        <v>0.60136978432124311</v>
      </c>
      <c r="BW18" s="87">
        <f t="shared" si="40"/>
        <v>9.9576772564180946E-2</v>
      </c>
      <c r="BX18" s="87">
        <f t="shared" si="41"/>
        <v>0.22369958353853889</v>
      </c>
      <c r="BY18" s="87">
        <f t="shared" si="42"/>
        <v>0.20769020102558969</v>
      </c>
      <c r="CA18" s="87">
        <f t="shared" si="2"/>
        <v>-0.67942943231280051</v>
      </c>
      <c r="CB18" s="87">
        <f t="shared" si="3"/>
        <v>-0.27960781636490284</v>
      </c>
      <c r="CC18" s="87">
        <f t="shared" si="4"/>
        <v>0.71688384795270843</v>
      </c>
      <c r="CD18" s="87">
        <f t="shared" si="5"/>
        <v>0.66769474408792506</v>
      </c>
      <c r="CE18" s="87">
        <f t="shared" si="6"/>
        <v>1.6450049015813208</v>
      </c>
      <c r="CF18" s="87">
        <f t="shared" si="7"/>
        <v>-0.88810954998070768</v>
      </c>
      <c r="CG18" s="87">
        <f t="shared" si="8"/>
        <v>-0.74724998797478859</v>
      </c>
      <c r="CH18" s="87">
        <f t="shared" si="9"/>
        <v>-0.84256937614060079</v>
      </c>
      <c r="CI18" s="87">
        <f t="shared" si="10"/>
        <v>-0.69450747122384304</v>
      </c>
      <c r="CJ18" s="87">
        <f t="shared" si="11"/>
        <v>-0.8964159454447439</v>
      </c>
      <c r="CK18" s="87">
        <f t="shared" si="12"/>
        <v>1.5530052561890035</v>
      </c>
      <c r="CL18" s="87">
        <f t="shared" si="13"/>
        <v>-0.74016911416049946</v>
      </c>
      <c r="CM18" s="87">
        <f t="shared" si="14"/>
        <v>0.27925756624549947</v>
      </c>
      <c r="CN18" s="87">
        <f t="shared" si="15"/>
        <v>-0.67681644820218279</v>
      </c>
      <c r="CO18" s="87">
        <f t="shared" si="16"/>
        <v>1.1206353332767507</v>
      </c>
      <c r="CP18" s="87">
        <f t="shared" si="17"/>
        <v>1.220566277840986</v>
      </c>
      <c r="CQ18" s="87">
        <f t="shared" si="18"/>
        <v>0.78848937327152546</v>
      </c>
      <c r="CR18" s="87">
        <f t="shared" si="19"/>
        <v>-0.55578413432413409</v>
      </c>
      <c r="CS18" s="87">
        <f t="shared" si="20"/>
        <v>-2.067434060945339E-3</v>
      </c>
      <c r="CT18" s="87">
        <f t="shared" si="21"/>
        <v>-7.348591378062197E-2</v>
      </c>
      <c r="CV18" s="88">
        <f t="shared" ref="CV18:CV28" si="45">SQRT(SUMPRODUCT(CA18:CT18,CA18:CT18)/20)</f>
        <v>0.85807615203039778</v>
      </c>
    </row>
    <row r="19" spans="1:100" x14ac:dyDescent="0.25">
      <c r="A19" s="89">
        <v>45049</v>
      </c>
      <c r="B19" s="57">
        <v>5</v>
      </c>
      <c r="C19" s="51" t="str" cm="1">
        <f t="array" ref="C19">IF(B19="","",INDEX(UWS!$B$10:$B$41,B19))</f>
        <v>Lateral elliptical machine</v>
      </c>
      <c r="D19" s="45">
        <f t="shared" si="0"/>
        <v>-1</v>
      </c>
      <c r="E19" s="70">
        <f t="shared" si="22"/>
        <v>1.2120075146053917</v>
      </c>
      <c r="F19" s="52" cm="1">
        <f t="array" ref="F19">0.1+IFERROR(INDEX($F$5:$F18,SUMPRODUCT(MAX(ROW($C$5:$C18)*($C19=$C$5:$C18))-ROW($A$4)))*0.9^($A19-INDEX($A$5:A18,SUMPRODUCT(MAX(ROW($C$5:$C18)*($C19=$C$5:$C18))-ROW($A$4)))),0)</f>
        <v>0.1</v>
      </c>
      <c r="G19" s="56">
        <f>INDEX(UWS!$AB$10:$AB$41,MATCH(C19,UWS!$B$10:$B$41,0))</f>
        <v>4.5</v>
      </c>
      <c r="H19" s="52">
        <f>INDEX(UWS!$C$10:$C$41,MATCH(C19,UWS!$B$10:$B$41,0))</f>
        <v>1</v>
      </c>
      <c r="I19" s="46">
        <f t="shared" si="44"/>
        <v>5</v>
      </c>
      <c r="J19" s="46">
        <f>INDEX(UWS!$E$10:$E$41,MATCH(C19,UWS!$B$10:$B$41,0))</f>
        <v>1</v>
      </c>
      <c r="K19" s="46"/>
      <c r="L19" s="109" t="str" cm="1">
        <f t="array" ref="L19">IF(K19="","",INDEX(UWS!$B$10:$B$41,K19))</f>
        <v/>
      </c>
      <c r="M19" s="46"/>
      <c r="N19" s="109" t="str" cm="1">
        <f t="array" ref="N19">IF(M19="","",INDEX(UWS!$B$10:$B$41,M19))</f>
        <v/>
      </c>
      <c r="O19" s="47"/>
      <c r="P19" s="47">
        <f>IFERROR(INDEX(UWS!$G$10:$Z$41,MATCH($C19,UWS!$B$10:$B$41,0),MATCH(P$4,UWS!$G$3:$Z$3,0)),0)</f>
        <v>0</v>
      </c>
      <c r="Q19" s="47">
        <f>IFERROR(INDEX(UWS!$G$10:$Z$41,MATCH($C19,UWS!$B$10:$B$41,0),MATCH(Q$4,UWS!$G$3:$Z$3,0)),0)</f>
        <v>0</v>
      </c>
      <c r="R19" s="47">
        <f>IFERROR(INDEX(UWS!$G$10:$Z$41,MATCH($C19,UWS!$B$10:$B$41,0),MATCH(R$4,UWS!$G$3:$Z$3,0)),0)</f>
        <v>0</v>
      </c>
      <c r="S19" s="47">
        <f>IFERROR(INDEX(UWS!$G$10:$Z$41,MATCH($C19,UWS!$B$10:$B$41,0),MATCH(S$4,UWS!$G$3:$Z$3,0)),0)</f>
        <v>0</v>
      </c>
      <c r="T19" s="47">
        <f>IFERROR(INDEX(UWS!$G$10:$Z$41,MATCH($C19,UWS!$B$10:$B$41,0),MATCH(T$4,UWS!$G$3:$Z$3,0)),0)</f>
        <v>0</v>
      </c>
      <c r="U19" s="47">
        <f>IFERROR(INDEX(UWS!$G$10:$Z$41,MATCH($C19,UWS!$B$10:$B$41,0),MATCH(U$4,UWS!$G$3:$Z$3,0)),0)</f>
        <v>0</v>
      </c>
      <c r="V19" s="47">
        <f>IFERROR(INDEX(UWS!$G$10:$Z$41,MATCH($C19,UWS!$B$10:$B$41,0),MATCH(V$4,UWS!$G$3:$Z$3,0)),0)</f>
        <v>0</v>
      </c>
      <c r="W19" s="47">
        <f>IFERROR(INDEX(UWS!$G$10:$Z$41,MATCH($C19,UWS!$B$10:$B$41,0),MATCH(W$4,UWS!$G$3:$Z$3,0)),0)</f>
        <v>0</v>
      </c>
      <c r="X19" s="47">
        <f>IFERROR(INDEX(UWS!$G$10:$Z$41,MATCH($C19,UWS!$B$10:$B$41,0),MATCH(X$4,UWS!$G$3:$Z$3,0)),0)</f>
        <v>0</v>
      </c>
      <c r="Y19" s="47">
        <f>IFERROR(INDEX(UWS!$G$10:$Z$41,MATCH($C19,UWS!$B$10:$B$41,0),MATCH(Y$4,UWS!$G$3:$Z$3,0)),0)</f>
        <v>0</v>
      </c>
      <c r="Z19" s="47">
        <f>IFERROR(INDEX(UWS!$G$10:$Z$41,MATCH($C19,UWS!$B$10:$B$41,0),MATCH(Z$4,UWS!$G$3:$Z$3,0)),0)</f>
        <v>0</v>
      </c>
      <c r="AA19" s="47">
        <f>IFERROR(INDEX(UWS!$G$10:$Z$41,MATCH($C19,UWS!$B$10:$B$41,0),MATCH(AA$4,UWS!$G$3:$Z$3,0)),0)</f>
        <v>0</v>
      </c>
      <c r="AB19" s="47">
        <f>IFERROR(INDEX(UWS!$G$10:$Z$41,MATCH($C19,UWS!$B$10:$B$41,0),MATCH(AB$4,UWS!$G$3:$Z$3,0)),0)</f>
        <v>0</v>
      </c>
      <c r="AC19" s="47">
        <f>IFERROR(INDEX(UWS!$G$10:$Z$41,MATCH($C19,UWS!$B$10:$B$41,0),MATCH(AC$4,UWS!$G$3:$Z$3,0)),0)</f>
        <v>0.5</v>
      </c>
      <c r="AD19" s="47">
        <f>IFERROR(INDEX(UWS!$G$10:$Z$41,MATCH($C19,UWS!$B$10:$B$41,0),MATCH(AD$4,UWS!$G$3:$Z$3,0)),0)</f>
        <v>1</v>
      </c>
      <c r="AE19" s="47">
        <f>IFERROR(INDEX(UWS!$G$10:$Z$41,MATCH($C19,UWS!$B$10:$B$41,0),MATCH(AE$4,UWS!$G$3:$Z$3,0)),0)</f>
        <v>0.5</v>
      </c>
      <c r="AF19" s="47">
        <f>IFERROR(INDEX(UWS!$G$10:$Z$41,MATCH($C19,UWS!$B$10:$B$41,0),MATCH(AF$4,UWS!$G$3:$Z$3,0)),0)</f>
        <v>0.5</v>
      </c>
      <c r="AG19" s="47">
        <f>IFERROR(INDEX(UWS!$G$10:$Z$41,MATCH($C19,UWS!$B$10:$B$41,0),MATCH(AG$4,UWS!$G$3:$Z$3,0)),0)</f>
        <v>1</v>
      </c>
      <c r="AH19" s="47">
        <f>IFERROR(INDEX(UWS!$G$10:$Z$41,MATCH($C19,UWS!$B$10:$B$41,0),MATCH(AH$4,UWS!$G$3:$Z$3,0)),0)</f>
        <v>0.5</v>
      </c>
      <c r="AI19" s="47">
        <f>IFERROR(INDEX(UWS!$G$10:$Z$41,MATCH($C19,UWS!$B$10:$B$41,0),MATCH(AI$4,UWS!$G$3:$Z$3,0)),0)</f>
        <v>0.5</v>
      </c>
      <c r="AJ19" s="47"/>
      <c r="AK19" s="47">
        <f>IF(OR($J19=0,COUNTIFS($A$4:$A18,"&gt;="&amp;$A19-1,$A$4:$A18,"&lt;="&amp;$A19,$B$4:$B18,$B19)&gt;0,MIN(AK$1,IF($A19=$A18,AK18,1))-P19&lt;0),-1,MIN(1,IF($A19=$A18,AK18,1)-P19+$D$3))</f>
        <v>1</v>
      </c>
      <c r="AL19" s="47">
        <f>IF(OR($J19=0,COUNTIFS($A$4:$A18,"&gt;="&amp;$A19-1,$A$4:$A18,"&lt;="&amp;$A19,$B$4:$B18,$B19)&gt;0,MIN(AL$1,IF($A19=$A18,AL18,1))-Q19&lt;0),-1,MIN(1,IF($A19=$A18,AL18,1)-Q19+$D$3))</f>
        <v>1</v>
      </c>
      <c r="AM19" s="47">
        <f>IF(OR($J19=0,COUNTIFS($A$4:$A18,"&gt;="&amp;$A19-1,$A$4:$A18,"&lt;="&amp;$A19,$B$4:$B18,$B19)&gt;0,MIN(AM$1,IF($A19=$A18,AM18,1))-R19&lt;0),-1,MIN(1,IF($A19=$A18,AM18,1)-R19+$D$3))</f>
        <v>1</v>
      </c>
      <c r="AN19" s="47">
        <f>IF(OR($J19=0,COUNTIFS($A$4:$A18,"&gt;="&amp;$A19-1,$A$4:$A18,"&lt;="&amp;$A19,$B$4:$B18,$B19)&gt;0,MIN(AN$1,IF($A19=$A18,AN18,1))-S19&lt;0),-1,MIN(1,IF($A19=$A18,AN18,1)-S19+$D$3))</f>
        <v>1</v>
      </c>
      <c r="AO19" s="47">
        <f>IF(OR($J19=0,COUNTIFS($A$4:$A18,"&gt;="&amp;$A19-1,$A$4:$A18,"&lt;="&amp;$A19,$B$4:$B18,$B19)&gt;0,MIN(AO$1,IF($A19=$A18,AO18,1))-T19&lt;0),-1,MIN(1,IF($A19=$A18,AO18,1)-T19+$D$3))</f>
        <v>1</v>
      </c>
      <c r="AP19" s="47">
        <f>IF(OR($J19=0,COUNTIFS($A$4:$A18,"&gt;="&amp;$A19-1,$A$4:$A18,"&lt;="&amp;$A19,$B$4:$B18,$B19)&gt;0,MIN(AP$1,IF($A19=$A18,AP18,1))-U19&lt;0),-1,MIN(1,IF($A19=$A18,AP18,1)-U19+$D$3))</f>
        <v>1</v>
      </c>
      <c r="AQ19" s="47">
        <f>IF(OR($J19=0,COUNTIFS($A$4:$A18,"&gt;="&amp;$A19-1,$A$4:$A18,"&lt;="&amp;$A19,$B$4:$B18,$B19)&gt;0,MIN(AQ$1,IF($A19=$A18,AQ18,1))-V19&lt;0),-1,MIN(1,IF($A19=$A18,AQ18,1)-V19+$D$3))</f>
        <v>1</v>
      </c>
      <c r="AR19" s="47">
        <f>IF(OR($J19=0,COUNTIFS($A$4:$A18,"&gt;="&amp;$A19-1,$A$4:$A18,"&lt;="&amp;$A19,$B$4:$B18,$B19)&gt;0,MIN(AR$1,IF($A19=$A18,AR18,1))-W19&lt;0),-1,MIN(1,IF($A19=$A18,AR18,1)-W19+$D$3))</f>
        <v>1</v>
      </c>
      <c r="AS19" s="47">
        <f>IF(OR($J19=0,COUNTIFS($A$4:$A18,"&gt;="&amp;$A19-1,$A$4:$A18,"&lt;="&amp;$A19,$B$4:$B18,$B19)&gt;0,MIN(AS$1,IF($A19=$A18,AS18,1))-X19&lt;0),-1,MIN(1,IF($A19=$A18,AS18,1)-X19+$D$3))</f>
        <v>1</v>
      </c>
      <c r="AT19" s="47">
        <f>IF(OR($J19=0,COUNTIFS($A$4:$A18,"&gt;="&amp;$A19-1,$A$4:$A18,"&lt;="&amp;$A19,$B$4:$B18,$B19)&gt;0,MIN(AT$1,IF($A19=$A18,AT18,1))-Y19&lt;0),-1,MIN(1,IF($A19=$A18,AT18,1)-Y19+$D$3))</f>
        <v>1</v>
      </c>
      <c r="AU19" s="47">
        <f>IF(OR($J19=0,COUNTIFS($A$4:$A18,"&gt;="&amp;$A19-1,$A$4:$A18,"&lt;="&amp;$A19,$B$4:$B18,$B19)&gt;0,MIN(AU$1,IF($A19=$A18,AU18,1))-Z19&lt;0),-1,MIN(1,IF($A19=$A18,AU18,1)-Z19+$D$3))</f>
        <v>1</v>
      </c>
      <c r="AV19" s="47">
        <f>IF(OR($J19=0,COUNTIFS($A$4:$A18,"&gt;="&amp;$A19-1,$A$4:$A18,"&lt;="&amp;$A19,$B$4:$B18,$B19)&gt;0,MIN(AV$1,IF($A19=$A18,AV18,1))-AA19&lt;0),-1,MIN(1,IF($A19=$A18,AV18,1)-AA19+$D$3))</f>
        <v>1</v>
      </c>
      <c r="AW19" s="47">
        <f>IF(OR($J19=0,COUNTIFS($A$4:$A18,"&gt;="&amp;$A19-1,$A$4:$A18,"&lt;="&amp;$A19,$B$4:$B18,$B19)&gt;0,MIN(AW$1,IF($A19=$A18,AW18,1))-AB19&lt;0),-1,MIN(1,IF($A19=$A18,AW18,1)-AB19+$D$3))</f>
        <v>1</v>
      </c>
      <c r="AX19" s="47">
        <f>IF(OR($J19=0,COUNTIFS($A$4:$A18,"&gt;="&amp;$A19-1,$A$4:$A18,"&lt;="&amp;$A19,$B$4:$B18,$B19)&gt;0,MIN(AX$1,IF($A19=$A18,AX18,1))-AC19&lt;0),-1,MIN(1,IF($A19=$A18,AX18,1)-AC19+$D$3))</f>
        <v>0.9</v>
      </c>
      <c r="AY19" s="47">
        <f>IF(OR($J19=0,COUNTIFS($A$4:$A18,"&gt;="&amp;$A19-1,$A$4:$A18,"&lt;="&amp;$A19,$B$4:$B18,$B19)&gt;0,MIN(AY$1,IF($A19=$A18,AY18,1))-AD19&lt;0),-1,MIN(1,IF($A19=$A18,AY18,1)-AD19+$D$3))</f>
        <v>-1</v>
      </c>
      <c r="AZ19" s="47">
        <f>IF(OR($J19=0,COUNTIFS($A$4:$A18,"&gt;="&amp;$A19-1,$A$4:$A18,"&lt;="&amp;$A19,$B$4:$B18,$B19)&gt;0,MIN(AZ$1,IF($A19=$A18,AZ18,1))-AE19&lt;0),-1,MIN(1,IF($A19=$A18,AZ18,1)-AE19+$D$3))</f>
        <v>0.9</v>
      </c>
      <c r="BA19" s="47">
        <f>IF(OR($J19=0,COUNTIFS($A$4:$A18,"&gt;="&amp;$A19-1,$A$4:$A18,"&lt;="&amp;$A19,$B$4:$B18,$B19)&gt;0,MIN(BA$1,IF($A19=$A18,BA18,1))-AF19&lt;0),-1,MIN(1,IF($A19=$A18,BA18,1)-AF19+$D$3))</f>
        <v>0.9</v>
      </c>
      <c r="BB19" s="47">
        <f>IF(OR($J19=0,COUNTIFS($A$4:$A18,"&gt;="&amp;$A19-1,$A$4:$A18,"&lt;="&amp;$A19,$B$4:$B18,$B19)&gt;0,MIN(BB$1,IF($A19=$A18,BB18,1))-AG19&lt;0),-1,MIN(1,IF($A19=$A18,BB18,1)-AG19+$D$3))</f>
        <v>0.4</v>
      </c>
      <c r="BC19" s="47">
        <f>IF(OR($J19=0,COUNTIFS($A$4:$A18,"&gt;="&amp;$A19-1,$A$4:$A18,"&lt;="&amp;$A19,$B$4:$B18,$B19)&gt;0,MIN(BC$1,IF($A19=$A18,BC18,1))-AH19&lt;0),-1,MIN(1,IF($A19=$A18,BC18,1)-AH19+$D$3))</f>
        <v>0.9</v>
      </c>
      <c r="BD19" s="47">
        <f>IF(OR($J19=0,COUNTIFS($A$4:$A18,"&gt;="&amp;$A19-1,$A$4:$A18,"&lt;="&amp;$A19,$B$4:$B18,$B19)&gt;0,MIN(BD$1,IF($A19=$A18,BD18,1))-AI19&lt;0),-1,MIN(1,IF($A19=$A18,BD18,1)-AI19+$D$3))</f>
        <v>0.9</v>
      </c>
      <c r="BE19" s="47"/>
      <c r="BF19" s="53">
        <f t="shared" si="23"/>
        <v>6.8267065017480449E-2</v>
      </c>
      <c r="BG19" s="53">
        <f t="shared" si="24"/>
        <v>0.23011654060965886</v>
      </c>
      <c r="BH19" s="53">
        <f t="shared" si="25"/>
        <v>0.36561878441072387</v>
      </c>
      <c r="BI19" s="53">
        <f t="shared" si="26"/>
        <v>0.35514372496931768</v>
      </c>
      <c r="BJ19" s="53">
        <f t="shared" si="27"/>
        <v>0.56326668692802961</v>
      </c>
      <c r="BK19" s="53">
        <f t="shared" si="28"/>
        <v>4.7655233488281226E-2</v>
      </c>
      <c r="BL19" s="53">
        <f t="shared" si="29"/>
        <v>5.3824347096425758E-2</v>
      </c>
      <c r="BM19" s="53">
        <f t="shared" si="30"/>
        <v>5.0288428124999986E-2</v>
      </c>
      <c r="BN19" s="53">
        <f t="shared" si="31"/>
        <v>6.5056123133131832E-2</v>
      </c>
      <c r="BO19" s="53">
        <f t="shared" si="32"/>
        <v>2.2058729340361318E-2</v>
      </c>
      <c r="BP19" s="53">
        <f t="shared" si="33"/>
        <v>0.54367491398738077</v>
      </c>
      <c r="BQ19" s="53">
        <f t="shared" si="34"/>
        <v>5.5332253691058375E-2</v>
      </c>
      <c r="BR19" s="53">
        <f t="shared" si="35"/>
        <v>0.40863620175293069</v>
      </c>
      <c r="BS19" s="53">
        <f t="shared" si="36"/>
        <v>9.3823512720886709E-2</v>
      </c>
      <c r="BT19" s="53">
        <f t="shared" si="37"/>
        <v>0.50159963130623664</v>
      </c>
      <c r="BU19" s="53">
        <f t="shared" si="38"/>
        <v>0.49788041306684272</v>
      </c>
      <c r="BV19" s="53">
        <f t="shared" si="39"/>
        <v>0.59630129510518093</v>
      </c>
      <c r="BW19" s="53">
        <f t="shared" si="40"/>
        <v>0.1445979339359719</v>
      </c>
      <c r="BX19" s="53">
        <f t="shared" si="41"/>
        <v>0.23751460436161193</v>
      </c>
      <c r="BY19" s="53">
        <f t="shared" si="42"/>
        <v>0.22230569097431019</v>
      </c>
      <c r="BZ19" s="47"/>
      <c r="CA19" s="53">
        <f t="shared" si="2"/>
        <v>-0.69350886060531414</v>
      </c>
      <c r="CB19" s="53">
        <f t="shared" si="3"/>
        <v>-0.3112473713157945</v>
      </c>
      <c r="CC19" s="53">
        <f t="shared" si="4"/>
        <v>0.64147847559359672</v>
      </c>
      <c r="CD19" s="53">
        <f t="shared" si="5"/>
        <v>0.59444975240765707</v>
      </c>
      <c r="CE19" s="53">
        <f t="shared" si="6"/>
        <v>1.5288365424152395</v>
      </c>
      <c r="CF19" s="53">
        <f t="shared" si="7"/>
        <v>-0.89302376771139114</v>
      </c>
      <c r="CG19" s="53">
        <f t="shared" si="8"/>
        <v>-0.75835074402957792</v>
      </c>
      <c r="CH19" s="53">
        <f t="shared" si="9"/>
        <v>-0.84948371389676347</v>
      </c>
      <c r="CI19" s="53">
        <f t="shared" si="10"/>
        <v>-0.70792467350736477</v>
      </c>
      <c r="CJ19" s="53">
        <f t="shared" si="11"/>
        <v>-0.90096534709094123</v>
      </c>
      <c r="CK19" s="53">
        <f t="shared" si="12"/>
        <v>1.4408775125403812</v>
      </c>
      <c r="CL19" s="53">
        <f t="shared" si="13"/>
        <v>-0.7515808615075833</v>
      </c>
      <c r="CM19" s="53">
        <f t="shared" si="14"/>
        <v>0.22307269780435268</v>
      </c>
      <c r="CN19" s="53">
        <f t="shared" si="15"/>
        <v>-0.57877088595396486</v>
      </c>
      <c r="CO19" s="53">
        <f t="shared" si="16"/>
        <v>1.2519767398765018</v>
      </c>
      <c r="CP19" s="53">
        <f t="shared" si="17"/>
        <v>1.2352789744817616</v>
      </c>
      <c r="CQ19" s="53">
        <f t="shared" si="18"/>
        <v>0.78476559487375996</v>
      </c>
      <c r="CR19" s="53">
        <f t="shared" si="19"/>
        <v>-0.35081454703222581</v>
      </c>
      <c r="CS19" s="53">
        <f t="shared" si="20"/>
        <v>6.6343216821000084E-2</v>
      </c>
      <c r="CT19" s="53">
        <f t="shared" si="21"/>
        <v>-1.9385701847194348E-3</v>
      </c>
      <c r="CU19" s="47"/>
      <c r="CV19" s="90">
        <f t="shared" si="45"/>
        <v>0.83515188723950351</v>
      </c>
    </row>
    <row r="20" spans="1:100" x14ac:dyDescent="0.25">
      <c r="A20" s="75">
        <v>45050</v>
      </c>
      <c r="B20" s="76">
        <v>6</v>
      </c>
      <c r="C20" s="77" t="str" cm="1">
        <f t="array" ref="C20">IF(B20="","",INDEX(UWS!$B$10:$B$41,B20))</f>
        <v>Barbell squat</v>
      </c>
      <c r="D20" s="78">
        <f t="shared" si="0"/>
        <v>0.4</v>
      </c>
      <c r="E20" s="79">
        <f t="shared" si="22"/>
        <v>2.2119189555407646</v>
      </c>
      <c r="F20" s="80" cm="1">
        <f t="array" ref="F20">0.1+IFERROR(INDEX($F$5:$F19,SUMPRODUCT(MAX(ROW($C$5:$C19)*($C20=$C$5:$C19))-ROW($A$4)))*0.9^($A20-INDEX($A$5:A19,SUMPRODUCT(MAX(ROW($C$5:$C19)*($C20=$C$5:$C19))-ROW($A$4)))),0)</f>
        <v>0.1</v>
      </c>
      <c r="G20" s="81">
        <f>INDEX(UWS!$AB$10:$AB$41,MATCH(C20,UWS!$B$10:$B$41,0))</f>
        <v>5.1000000000000005</v>
      </c>
      <c r="H20" s="80">
        <f>INDEX(UWS!$C$10:$C$41,MATCH(C20,UWS!$B$10:$B$41,0))</f>
        <v>1.1000000000000001</v>
      </c>
      <c r="I20" s="82">
        <f t="shared" si="44"/>
        <v>1</v>
      </c>
      <c r="J20" s="82">
        <f>INDEX(UWS!$E$10:$E$41,MATCH(C20,UWS!$B$10:$B$41,0))</f>
        <v>1</v>
      </c>
      <c r="K20" s="82"/>
      <c r="L20" s="107" t="str" cm="1">
        <f t="array" ref="L20">IF(K20="","",INDEX(UWS!$B$10:$B$41,K20))</f>
        <v/>
      </c>
      <c r="M20" s="82"/>
      <c r="N20" s="107" t="str" cm="1">
        <f t="array" ref="N20">IF(M20="","",INDEX(UWS!$B$10:$B$41,M20))</f>
        <v/>
      </c>
      <c r="O20" s="3"/>
      <c r="P20" s="3">
        <f>IFERROR(INDEX(UWS!$G$10:$Z$41,MATCH($C20,UWS!$B$10:$B$41,0),MATCH(P$4,UWS!$G$3:$Z$3,0)),0)</f>
        <v>0</v>
      </c>
      <c r="Q20" s="3">
        <f>IFERROR(INDEX(UWS!$G$10:$Z$41,MATCH($C20,UWS!$B$10:$B$41,0),MATCH(Q$4,UWS!$G$3:$Z$3,0)),0)</f>
        <v>0</v>
      </c>
      <c r="R20" s="3">
        <f>IFERROR(INDEX(UWS!$G$10:$Z$41,MATCH($C20,UWS!$B$10:$B$41,0),MATCH(R$4,UWS!$G$3:$Z$3,0)),0)</f>
        <v>0</v>
      </c>
      <c r="S20" s="3">
        <f>IFERROR(INDEX(UWS!$G$10:$Z$41,MATCH($C20,UWS!$B$10:$B$41,0),MATCH(S$4,UWS!$G$3:$Z$3,0)),0)</f>
        <v>0</v>
      </c>
      <c r="T20" s="3">
        <f>IFERROR(INDEX(UWS!$G$10:$Z$41,MATCH($C20,UWS!$B$10:$B$41,0),MATCH(T$4,UWS!$G$3:$Z$3,0)),0)</f>
        <v>1</v>
      </c>
      <c r="U20" s="3">
        <f>IFERROR(INDEX(UWS!$G$10:$Z$41,MATCH($C20,UWS!$B$10:$B$41,0),MATCH(U$4,UWS!$G$3:$Z$3,0)),0)</f>
        <v>0</v>
      </c>
      <c r="V20" s="3">
        <f>IFERROR(INDEX(UWS!$G$10:$Z$41,MATCH($C20,UWS!$B$10:$B$41,0),MATCH(V$4,UWS!$G$3:$Z$3,0)),0)</f>
        <v>0</v>
      </c>
      <c r="W20" s="3">
        <f>IFERROR(INDEX(UWS!$G$10:$Z$41,MATCH($C20,UWS!$B$10:$B$41,0),MATCH(W$4,UWS!$G$3:$Z$3,0)),0)</f>
        <v>0</v>
      </c>
      <c r="X20" s="3">
        <f>IFERROR(INDEX(UWS!$G$10:$Z$41,MATCH($C20,UWS!$B$10:$B$41,0),MATCH(X$4,UWS!$G$3:$Z$3,0)),0)</f>
        <v>0</v>
      </c>
      <c r="Y20" s="3">
        <f>IFERROR(INDEX(UWS!$G$10:$Z$41,MATCH($C20,UWS!$B$10:$B$41,0),MATCH(Y$4,UWS!$G$3:$Z$3,0)),0)</f>
        <v>0</v>
      </c>
      <c r="Z20" s="3">
        <f>IFERROR(INDEX(UWS!$G$10:$Z$41,MATCH($C20,UWS!$B$10:$B$41,0),MATCH(Z$4,UWS!$G$3:$Z$3,0)),0)</f>
        <v>0</v>
      </c>
      <c r="AA20" s="3">
        <f>IFERROR(INDEX(UWS!$G$10:$Z$41,MATCH($C20,UWS!$B$10:$B$41,0),MATCH(AA$4,UWS!$G$3:$Z$3,0)),0)</f>
        <v>0</v>
      </c>
      <c r="AB20" s="3">
        <f>IFERROR(INDEX(UWS!$G$10:$Z$41,MATCH($C20,UWS!$B$10:$B$41,0),MATCH(AB$4,UWS!$G$3:$Z$3,0)),0)</f>
        <v>0.6</v>
      </c>
      <c r="AC20" s="3">
        <f>IFERROR(INDEX(UWS!$G$10:$Z$41,MATCH($C20,UWS!$B$10:$B$41,0),MATCH(AC$4,UWS!$G$3:$Z$3,0)),0)</f>
        <v>0</v>
      </c>
      <c r="AD20" s="3">
        <f>IFERROR(INDEX(UWS!$G$10:$Z$41,MATCH($C20,UWS!$B$10:$B$41,0),MATCH(AD$4,UWS!$G$3:$Z$3,0)),0)</f>
        <v>1</v>
      </c>
      <c r="AE20" s="3">
        <f>IFERROR(INDEX(UWS!$G$10:$Z$41,MATCH($C20,UWS!$B$10:$B$41,0),MATCH(AE$4,UWS!$G$3:$Z$3,0)),0)</f>
        <v>0.7</v>
      </c>
      <c r="AF20" s="3">
        <f>IFERROR(INDEX(UWS!$G$10:$Z$41,MATCH($C20,UWS!$B$10:$B$41,0),MATCH(AF$4,UWS!$G$3:$Z$3,0)),0)</f>
        <v>0.9</v>
      </c>
      <c r="AG20" s="3">
        <f>IFERROR(INDEX(UWS!$G$10:$Z$41,MATCH($C20,UWS!$B$10:$B$41,0),MATCH(AG$4,UWS!$G$3:$Z$3,0)),0)</f>
        <v>0.1</v>
      </c>
      <c r="AH20" s="3">
        <f>IFERROR(INDEX(UWS!$G$10:$Z$41,MATCH($C20,UWS!$B$10:$B$41,0),MATCH(AH$4,UWS!$G$3:$Z$3,0)),0)</f>
        <v>0.4</v>
      </c>
      <c r="AI20" s="3">
        <f>IFERROR(INDEX(UWS!$G$10:$Z$41,MATCH($C20,UWS!$B$10:$B$41,0),MATCH(AI$4,UWS!$G$3:$Z$3,0)),0)</f>
        <v>0.4</v>
      </c>
      <c r="AJ20" s="3"/>
      <c r="AK20" s="3">
        <f>IF(OR($J20=0,COUNTIFS($A$4:$A19,"&gt;="&amp;$A20-1,$A$4:$A19,"&lt;="&amp;$A20,$B$4:$B19,$B20)&gt;0,MIN(AK$1,IF($A20=$A19,AK19,1))-P20&lt;0),-1,MIN(1,IF($A20=$A19,AK19,1)-P20+$D$3))</f>
        <v>1</v>
      </c>
      <c r="AL20" s="3">
        <f>IF(OR($J20=0,COUNTIFS($A$4:$A19,"&gt;="&amp;$A20-1,$A$4:$A19,"&lt;="&amp;$A20,$B$4:$B19,$B20)&gt;0,MIN(AL$1,IF($A20=$A19,AL19,1))-Q20&lt;0),-1,MIN(1,IF($A20=$A19,AL19,1)-Q20+$D$3))</f>
        <v>1</v>
      </c>
      <c r="AM20" s="3">
        <f>IF(OR($J20=0,COUNTIFS($A$4:$A19,"&gt;="&amp;$A20-1,$A$4:$A19,"&lt;="&amp;$A20,$B$4:$B19,$B20)&gt;0,MIN(AM$1,IF($A20=$A19,AM19,1))-R20&lt;0),-1,MIN(1,IF($A20=$A19,AM19,1)-R20+$D$3))</f>
        <v>1</v>
      </c>
      <c r="AN20" s="3">
        <f>IF(OR($J20=0,COUNTIFS($A$4:$A19,"&gt;="&amp;$A20-1,$A$4:$A19,"&lt;="&amp;$A20,$B$4:$B19,$B20)&gt;0,MIN(AN$1,IF($A20=$A19,AN19,1))-S20&lt;0),-1,MIN(1,IF($A20=$A19,AN19,1)-S20+$D$3))</f>
        <v>1</v>
      </c>
      <c r="AO20" s="3">
        <f>IF(OR($J20=0,COUNTIFS($A$4:$A19,"&gt;="&amp;$A20-1,$A$4:$A19,"&lt;="&amp;$A20,$B$4:$B19,$B20)&gt;0,MIN(AO$1,IF($A20=$A19,AO19,1))-T20&lt;0),-1,MIN(1,IF($A20=$A19,AO19,1)-T20+$D$3))</f>
        <v>0.4</v>
      </c>
      <c r="AP20" s="3">
        <f>IF(OR($J20=0,COUNTIFS($A$4:$A19,"&gt;="&amp;$A20-1,$A$4:$A19,"&lt;="&amp;$A20,$B$4:$B19,$B20)&gt;0,MIN(AP$1,IF($A20=$A19,AP19,1))-U20&lt;0),-1,MIN(1,IF($A20=$A19,AP19,1)-U20+$D$3))</f>
        <v>1</v>
      </c>
      <c r="AQ20" s="3">
        <f>IF(OR($J20=0,COUNTIFS($A$4:$A19,"&gt;="&amp;$A20-1,$A$4:$A19,"&lt;="&amp;$A20,$B$4:$B19,$B20)&gt;0,MIN(AQ$1,IF($A20=$A19,AQ19,1))-V20&lt;0),-1,MIN(1,IF($A20=$A19,AQ19,1)-V20+$D$3))</f>
        <v>1</v>
      </c>
      <c r="AR20" s="3">
        <f>IF(OR($J20=0,COUNTIFS($A$4:$A19,"&gt;="&amp;$A20-1,$A$4:$A19,"&lt;="&amp;$A20,$B$4:$B19,$B20)&gt;0,MIN(AR$1,IF($A20=$A19,AR19,1))-W20&lt;0),-1,MIN(1,IF($A20=$A19,AR19,1)-W20+$D$3))</f>
        <v>1</v>
      </c>
      <c r="AS20" s="3">
        <f>IF(OR($J20=0,COUNTIFS($A$4:$A19,"&gt;="&amp;$A20-1,$A$4:$A19,"&lt;="&amp;$A20,$B$4:$B19,$B20)&gt;0,MIN(AS$1,IF($A20=$A19,AS19,1))-X20&lt;0),-1,MIN(1,IF($A20=$A19,AS19,1)-X20+$D$3))</f>
        <v>1</v>
      </c>
      <c r="AT20" s="3">
        <f>IF(OR($J20=0,COUNTIFS($A$4:$A19,"&gt;="&amp;$A20-1,$A$4:$A19,"&lt;="&amp;$A20,$B$4:$B19,$B20)&gt;0,MIN(AT$1,IF($A20=$A19,AT19,1))-Y20&lt;0),-1,MIN(1,IF($A20=$A19,AT19,1)-Y20+$D$3))</f>
        <v>1</v>
      </c>
      <c r="AU20" s="3">
        <f>IF(OR($J20=0,COUNTIFS($A$4:$A19,"&gt;="&amp;$A20-1,$A$4:$A19,"&lt;="&amp;$A20,$B$4:$B19,$B20)&gt;0,MIN(AU$1,IF($A20=$A19,AU19,1))-Z20&lt;0),-1,MIN(1,IF($A20=$A19,AU19,1)-Z20+$D$3))</f>
        <v>1</v>
      </c>
      <c r="AV20" s="3">
        <f>IF(OR($J20=0,COUNTIFS($A$4:$A19,"&gt;="&amp;$A20-1,$A$4:$A19,"&lt;="&amp;$A20,$B$4:$B19,$B20)&gt;0,MIN(AV$1,IF($A20=$A19,AV19,1))-AA20&lt;0),-1,MIN(1,IF($A20=$A19,AV19,1)-AA20+$D$3))</f>
        <v>1</v>
      </c>
      <c r="AW20" s="3">
        <f>IF(OR($J20=0,COUNTIFS($A$4:$A19,"&gt;="&amp;$A20-1,$A$4:$A19,"&lt;="&amp;$A20,$B$4:$B19,$B20)&gt;0,MIN(AW$1,IF($A20=$A19,AW19,1))-AB20&lt;0),-1,MIN(1,IF($A20=$A19,AW19,1)-AB20+$D$3))</f>
        <v>0.8</v>
      </c>
      <c r="AX20" s="3">
        <f>IF(OR($J20=0,COUNTIFS($A$4:$A19,"&gt;="&amp;$A20-1,$A$4:$A19,"&lt;="&amp;$A20,$B$4:$B19,$B20)&gt;0,MIN(AX$1,IF($A20=$A19,AX19,1))-AC20&lt;0),-1,MIN(1,IF($A20=$A19,AX19,1)-AC20+$D$3))</f>
        <v>1</v>
      </c>
      <c r="AY20" s="3">
        <f>IF(OR($J20=0,COUNTIFS($A$4:$A19,"&gt;="&amp;$A20-1,$A$4:$A19,"&lt;="&amp;$A20,$B$4:$B19,$B20)&gt;0,MIN(AY$1,IF($A20=$A19,AY19,1))-AD20&lt;0),-1,MIN(1,IF($A20=$A19,AY19,1)-AD20+$D$3))</f>
        <v>0.4</v>
      </c>
      <c r="AZ20" s="3">
        <f>IF(OR($J20=0,COUNTIFS($A$4:$A19,"&gt;="&amp;$A20-1,$A$4:$A19,"&lt;="&amp;$A20,$B$4:$B19,$B20)&gt;0,MIN(AZ$1,IF($A20=$A19,AZ19,1))-AE20&lt;0),-1,MIN(1,IF($A20=$A19,AZ19,1)-AE20+$D$3))</f>
        <v>0.70000000000000007</v>
      </c>
      <c r="BA20" s="3">
        <f>IF(OR($J20=0,COUNTIFS($A$4:$A19,"&gt;="&amp;$A20-1,$A$4:$A19,"&lt;="&amp;$A20,$B$4:$B19,$B20)&gt;0,MIN(BA$1,IF($A20=$A19,BA19,1))-AF20&lt;0),-1,MIN(1,IF($A20=$A19,BA19,1)-AF20+$D$3))</f>
        <v>0.5</v>
      </c>
      <c r="BB20" s="3">
        <f>IF(OR($J20=0,COUNTIFS($A$4:$A19,"&gt;="&amp;$A20-1,$A$4:$A19,"&lt;="&amp;$A20,$B$4:$B19,$B20)&gt;0,MIN(BB$1,IF($A20=$A19,BB19,1))-AG20&lt;0),-1,MIN(1,IF($A20=$A19,BB19,1)-AG20+$D$3))</f>
        <v>1</v>
      </c>
      <c r="BC20" s="3">
        <f>IF(OR($J20=0,COUNTIFS($A$4:$A19,"&gt;="&amp;$A20-1,$A$4:$A19,"&lt;="&amp;$A20,$B$4:$B19,$B20)&gt;0,MIN(BC$1,IF($A20=$A19,BC19,1))-AH20&lt;0),-1,MIN(1,IF($A20=$A19,BC19,1)-AH20+$D$3))</f>
        <v>1</v>
      </c>
      <c r="BD20" s="3">
        <f>IF(OR($J20=0,COUNTIFS($A$4:$A19,"&gt;="&amp;$A20-1,$A$4:$A19,"&lt;="&amp;$A20,$B$4:$B19,$B20)&gt;0,MIN(BD$1,IF($A20=$A19,BD19,1))-AI20&lt;0),-1,MIN(1,IF($A20=$A19,BD19,1)-AI20+$D$3))</f>
        <v>1</v>
      </c>
      <c r="BE20" s="3"/>
      <c r="BF20" s="83">
        <f t="shared" si="23"/>
        <v>6.4853711766606426E-2</v>
      </c>
      <c r="BG20" s="83">
        <f t="shared" si="24"/>
        <v>0.21861071357917591</v>
      </c>
      <c r="BH20" s="83">
        <f t="shared" si="25"/>
        <v>0.34733784519018768</v>
      </c>
      <c r="BI20" s="83">
        <f t="shared" si="26"/>
        <v>0.33738653872085178</v>
      </c>
      <c r="BJ20" s="83">
        <f t="shared" si="27"/>
        <v>0.58510335258162816</v>
      </c>
      <c r="BK20" s="83">
        <f t="shared" si="28"/>
        <v>4.5272471813867163E-2</v>
      </c>
      <c r="BL20" s="83">
        <f t="shared" si="29"/>
        <v>5.1133129741604465E-2</v>
      </c>
      <c r="BM20" s="83">
        <f t="shared" si="30"/>
        <v>4.7774006718749984E-2</v>
      </c>
      <c r="BN20" s="83">
        <f t="shared" si="31"/>
        <v>6.1803316976475238E-2</v>
      </c>
      <c r="BO20" s="83">
        <f t="shared" si="32"/>
        <v>2.0955792873343253E-2</v>
      </c>
      <c r="BP20" s="83">
        <f t="shared" si="33"/>
        <v>0.51649116828801167</v>
      </c>
      <c r="BQ20" s="83">
        <f t="shared" si="34"/>
        <v>5.2565641006505452E-2</v>
      </c>
      <c r="BR20" s="83">
        <f t="shared" si="35"/>
        <v>0.41820439166528411</v>
      </c>
      <c r="BS20" s="83">
        <f t="shared" si="36"/>
        <v>8.9132337084842375E-2</v>
      </c>
      <c r="BT20" s="83">
        <f t="shared" si="37"/>
        <v>0.5265196497409248</v>
      </c>
      <c r="BU20" s="83">
        <f t="shared" si="38"/>
        <v>0.50798639241350052</v>
      </c>
      <c r="BV20" s="83">
        <f t="shared" si="39"/>
        <v>0.61148623034992189</v>
      </c>
      <c r="BW20" s="83">
        <f t="shared" si="40"/>
        <v>0.1423680372391733</v>
      </c>
      <c r="BX20" s="83">
        <f t="shared" si="41"/>
        <v>0.24563887414353131</v>
      </c>
      <c r="BY20" s="83">
        <f t="shared" si="42"/>
        <v>0.23119040642559469</v>
      </c>
      <c r="BZ20" s="3"/>
      <c r="CA20" s="83">
        <f t="shared" si="2"/>
        <v>-0.70876814968115531</v>
      </c>
      <c r="CB20" s="83">
        <f t="shared" si="3"/>
        <v>-0.34553833151645341</v>
      </c>
      <c r="CC20" s="83">
        <f t="shared" si="4"/>
        <v>0.55975410789956581</v>
      </c>
      <c r="CD20" s="83">
        <f t="shared" si="5"/>
        <v>0.5150668060133714</v>
      </c>
      <c r="CE20" s="83">
        <f t="shared" si="6"/>
        <v>1.6274630604542719</v>
      </c>
      <c r="CF20" s="83">
        <f t="shared" si="7"/>
        <v>-0.8983497985257245</v>
      </c>
      <c r="CG20" s="83">
        <f t="shared" si="8"/>
        <v>-0.7703817471414367</v>
      </c>
      <c r="CH20" s="83">
        <f t="shared" si="9"/>
        <v>-0.85697747546131431</v>
      </c>
      <c r="CI20" s="83">
        <f t="shared" si="10"/>
        <v>-0.72246624181395291</v>
      </c>
      <c r="CJ20" s="83">
        <f t="shared" si="11"/>
        <v>-0.90589599011132182</v>
      </c>
      <c r="CK20" s="83">
        <f t="shared" si="12"/>
        <v>1.3193534266038869</v>
      </c>
      <c r="CL20" s="83">
        <f t="shared" si="13"/>
        <v>-0.76394891708567858</v>
      </c>
      <c r="CM20" s="83">
        <f t="shared" si="14"/>
        <v>0.25199144843045795</v>
      </c>
      <c r="CN20" s="83">
        <f t="shared" si="15"/>
        <v>-0.59974264008389966</v>
      </c>
      <c r="CO20" s="83">
        <f t="shared" si="16"/>
        <v>1.3643872902003253</v>
      </c>
      <c r="CP20" s="83">
        <f t="shared" si="17"/>
        <v>1.2811619099271763</v>
      </c>
      <c r="CQ20" s="83">
        <f t="shared" si="18"/>
        <v>0.83062527914297646</v>
      </c>
      <c r="CR20" s="83">
        <f t="shared" si="19"/>
        <v>-0.36068259191333263</v>
      </c>
      <c r="CS20" s="83">
        <f t="shared" si="20"/>
        <v>0.10306506564353235</v>
      </c>
      <c r="CT20" s="83">
        <f t="shared" si="21"/>
        <v>3.8182827246601825E-2</v>
      </c>
      <c r="CU20" s="3"/>
      <c r="CV20" s="84">
        <f t="shared" si="45"/>
        <v>0.84879564088345205</v>
      </c>
    </row>
    <row r="21" spans="1:100" x14ac:dyDescent="0.25">
      <c r="A21" s="85">
        <v>45050</v>
      </c>
      <c r="B21" s="86">
        <v>14</v>
      </c>
      <c r="C21" s="43" t="str" cm="1">
        <f t="array" ref="C21">IF(B21="","",INDEX(UWS!$B$10:$B$41,B21))</f>
        <v>Cable seated row</v>
      </c>
      <c r="D21" s="40">
        <f t="shared" si="0"/>
        <v>0.4</v>
      </c>
      <c r="E21" s="69">
        <f t="shared" si="22"/>
        <v>1.3751466532113938</v>
      </c>
      <c r="F21" s="48" cm="1">
        <f t="array" ref="F21">0.1+IFERROR(INDEX($F$5:$F20,SUMPRODUCT(MAX(ROW($C$5:$C20)*($C21=$C$5:$C20))-ROW($A$4)))*0.9^($A21-INDEX($A$5:A20,SUMPRODUCT(MAX(ROW($C$5:$C20)*($C21=$C$5:$C20))-ROW($A$4)))),0)</f>
        <v>0.1</v>
      </c>
      <c r="G21" s="55">
        <f>INDEX(UWS!$AB$10:$AB$41,MATCH(C21,UWS!$B$10:$B$41,0))</f>
        <v>3.7</v>
      </c>
      <c r="H21" s="48">
        <f>INDEX(UWS!$C$10:$C$41,MATCH(C21,UWS!$B$10:$B$41,0))</f>
        <v>1</v>
      </c>
      <c r="I21" s="27">
        <f t="shared" si="44"/>
        <v>2</v>
      </c>
      <c r="J21" s="27">
        <f>INDEX(UWS!$E$10:$E$41,MATCH(C21,UWS!$B$10:$B$41,0))</f>
        <v>1</v>
      </c>
      <c r="L21" s="108" t="str" cm="1">
        <f t="array" ref="L21">IF(K21="","",INDEX(UWS!$B$10:$B$41,K21))</f>
        <v/>
      </c>
      <c r="N21" s="108" t="str" cm="1">
        <f t="array" ref="N21">IF(M21="","",INDEX(UWS!$B$10:$B$41,M21))</f>
        <v/>
      </c>
      <c r="P21">
        <f>IFERROR(INDEX(UWS!$G$10:$Z$41,MATCH($C21,UWS!$B$10:$B$41,0),MATCH(P$4,UWS!$G$3:$Z$3,0)),0)</f>
        <v>0</v>
      </c>
      <c r="Q21">
        <f>IFERROR(INDEX(UWS!$G$10:$Z$41,MATCH($C21,UWS!$B$10:$B$41,0),MATCH(Q$4,UWS!$G$3:$Z$3,0)),0)</f>
        <v>1</v>
      </c>
      <c r="R21">
        <f>IFERROR(INDEX(UWS!$G$10:$Z$41,MATCH($C21,UWS!$B$10:$B$41,0),MATCH(R$4,UWS!$G$3:$Z$3,0)),0)</f>
        <v>0.7</v>
      </c>
      <c r="S21">
        <f>IFERROR(INDEX(UWS!$G$10:$Z$41,MATCH($C21,UWS!$B$10:$B$41,0),MATCH(S$4,UWS!$G$3:$Z$3,0)),0)</f>
        <v>0.7</v>
      </c>
      <c r="T21">
        <f>IFERROR(INDEX(UWS!$G$10:$Z$41,MATCH($C21,UWS!$B$10:$B$41,0),MATCH(T$4,UWS!$G$3:$Z$3,0)),0)</f>
        <v>0</v>
      </c>
      <c r="U21">
        <f>IFERROR(INDEX(UWS!$G$10:$Z$41,MATCH($C21,UWS!$B$10:$B$41,0),MATCH(U$4,UWS!$G$3:$Z$3,0)),0)</f>
        <v>0</v>
      </c>
      <c r="V21">
        <f>IFERROR(INDEX(UWS!$G$10:$Z$41,MATCH($C21,UWS!$B$10:$B$41,0),MATCH(V$4,UWS!$G$3:$Z$3,0)),0)</f>
        <v>0</v>
      </c>
      <c r="W21">
        <f>IFERROR(INDEX(UWS!$G$10:$Z$41,MATCH($C21,UWS!$B$10:$B$41,0),MATCH(W$4,UWS!$G$3:$Z$3,0)),0)</f>
        <v>0.6</v>
      </c>
      <c r="X21">
        <f>IFERROR(INDEX(UWS!$G$10:$Z$41,MATCH($C21,UWS!$B$10:$B$41,0),MATCH(X$4,UWS!$G$3:$Z$3,0)),0)</f>
        <v>0.6</v>
      </c>
      <c r="Y21">
        <f>IFERROR(INDEX(UWS!$G$10:$Z$41,MATCH($C21,UWS!$B$10:$B$41,0),MATCH(Y$4,UWS!$G$3:$Z$3,0)),0)</f>
        <v>0</v>
      </c>
      <c r="Z21">
        <f>IFERROR(INDEX(UWS!$G$10:$Z$41,MATCH($C21,UWS!$B$10:$B$41,0),MATCH(Z$4,UWS!$G$3:$Z$3,0)),0)</f>
        <v>0.1</v>
      </c>
      <c r="AA21">
        <f>IFERROR(INDEX(UWS!$G$10:$Z$41,MATCH($C21,UWS!$B$10:$B$41,0),MATCH(AA$4,UWS!$G$3:$Z$3,0)),0)</f>
        <v>0</v>
      </c>
      <c r="AB21">
        <f>IFERROR(INDEX(UWS!$G$10:$Z$41,MATCH($C21,UWS!$B$10:$B$41,0),MATCH(AB$4,UWS!$G$3:$Z$3,0)),0)</f>
        <v>0</v>
      </c>
      <c r="AC21">
        <f>IFERROR(INDEX(UWS!$G$10:$Z$41,MATCH($C21,UWS!$B$10:$B$41,0),MATCH(AC$4,UWS!$G$3:$Z$3,0)),0)</f>
        <v>0</v>
      </c>
      <c r="AD21">
        <f>IFERROR(INDEX(UWS!$G$10:$Z$41,MATCH($C21,UWS!$B$10:$B$41,0),MATCH(AD$4,UWS!$G$3:$Z$3,0)),0)</f>
        <v>0</v>
      </c>
      <c r="AE21">
        <f>IFERROR(INDEX(UWS!$G$10:$Z$41,MATCH($C21,UWS!$B$10:$B$41,0),MATCH(AE$4,UWS!$G$3:$Z$3,0)),0)</f>
        <v>0</v>
      </c>
      <c r="AF21">
        <f>IFERROR(INDEX(UWS!$G$10:$Z$41,MATCH($C21,UWS!$B$10:$B$41,0),MATCH(AF$4,UWS!$G$3:$Z$3,0)),0)</f>
        <v>0</v>
      </c>
      <c r="AG21">
        <f>IFERROR(INDEX(UWS!$G$10:$Z$41,MATCH($C21,UWS!$B$10:$B$41,0),MATCH(AG$4,UWS!$G$3:$Z$3,0)),0)</f>
        <v>0</v>
      </c>
      <c r="AH21">
        <f>IFERROR(INDEX(UWS!$G$10:$Z$41,MATCH($C21,UWS!$B$10:$B$41,0),MATCH(AH$4,UWS!$G$3:$Z$3,0)),0)</f>
        <v>0</v>
      </c>
      <c r="AI21">
        <f>IFERROR(INDEX(UWS!$G$10:$Z$41,MATCH($C21,UWS!$B$10:$B$41,0),MATCH(AI$4,UWS!$G$3:$Z$3,0)),0)</f>
        <v>0</v>
      </c>
      <c r="AK21">
        <f>IF(OR($J21=0,COUNTIFS($A$4:$A20,"&gt;="&amp;$A21-1,$A$4:$A20,"&lt;="&amp;$A21,$B$4:$B20,$B21)&gt;0,MIN(AK$1,IF($A21=$A20,AK20,1))-P21&lt;0),-1,MIN(1,IF($A21=$A20,AK20,1)-P21+$D$3))</f>
        <v>1</v>
      </c>
      <c r="AL21">
        <f>IF(OR($J21=0,COUNTIFS($A$4:$A20,"&gt;="&amp;$A21-1,$A$4:$A20,"&lt;="&amp;$A21,$B$4:$B20,$B21)&gt;0,MIN(AL$1,IF($A21=$A20,AL20,1))-Q21&lt;0),-1,MIN(1,IF($A21=$A20,AL20,1)-Q21+$D$3))</f>
        <v>0.4</v>
      </c>
      <c r="AM21">
        <f>IF(OR($J21=0,COUNTIFS($A$4:$A20,"&gt;="&amp;$A21-1,$A$4:$A20,"&lt;="&amp;$A21,$B$4:$B20,$B21)&gt;0,MIN(AM$1,IF($A21=$A20,AM20,1))-R21&lt;0),-1,MIN(1,IF($A21=$A20,AM20,1)-R21+$D$3))</f>
        <v>0.70000000000000007</v>
      </c>
      <c r="AN21">
        <f>IF(OR($J21=0,COUNTIFS($A$4:$A20,"&gt;="&amp;$A21-1,$A$4:$A20,"&lt;="&amp;$A21,$B$4:$B20,$B21)&gt;0,MIN(AN$1,IF($A21=$A20,AN20,1))-S21&lt;0),-1,MIN(1,IF($A21=$A20,AN20,1)-S21+$D$3))</f>
        <v>0.70000000000000007</v>
      </c>
      <c r="AO21">
        <f>IF(OR($J21=0,COUNTIFS($A$4:$A20,"&gt;="&amp;$A21-1,$A$4:$A20,"&lt;="&amp;$A21,$B$4:$B20,$B21)&gt;0,MIN(AO$1,IF($A21=$A20,AO20,1))-T21&lt;0),-1,MIN(1,IF($A21=$A20,AO20,1)-T21+$D$3))</f>
        <v>0.8</v>
      </c>
      <c r="AP21">
        <f>IF(OR($J21=0,COUNTIFS($A$4:$A20,"&gt;="&amp;$A21-1,$A$4:$A20,"&lt;="&amp;$A21,$B$4:$B20,$B21)&gt;0,MIN(AP$1,IF($A21=$A20,AP20,1))-U21&lt;0),-1,MIN(1,IF($A21=$A20,AP20,1)-U21+$D$3))</f>
        <v>1</v>
      </c>
      <c r="AQ21">
        <f>IF(OR($J21=0,COUNTIFS($A$4:$A20,"&gt;="&amp;$A21-1,$A$4:$A20,"&lt;="&amp;$A21,$B$4:$B20,$B21)&gt;0,MIN(AQ$1,IF($A21=$A20,AQ20,1))-V21&lt;0),-1,MIN(1,IF($A21=$A20,AQ20,1)-V21+$D$3))</f>
        <v>1</v>
      </c>
      <c r="AR21">
        <f>IF(OR($J21=0,COUNTIFS($A$4:$A20,"&gt;="&amp;$A21-1,$A$4:$A20,"&lt;="&amp;$A21,$B$4:$B20,$B21)&gt;0,MIN(AR$1,IF($A21=$A20,AR20,1))-W21&lt;0),-1,MIN(1,IF($A21=$A20,AR20,1)-W21+$D$3))</f>
        <v>0.8</v>
      </c>
      <c r="AS21">
        <f>IF(OR($J21=0,COUNTIFS($A$4:$A20,"&gt;="&amp;$A21-1,$A$4:$A20,"&lt;="&amp;$A21,$B$4:$B20,$B21)&gt;0,MIN(AS$1,IF($A21=$A20,AS20,1))-X21&lt;0),-1,MIN(1,IF($A21=$A20,AS20,1)-X21+$D$3))</f>
        <v>0.8</v>
      </c>
      <c r="AT21">
        <f>IF(OR($J21=0,COUNTIFS($A$4:$A20,"&gt;="&amp;$A21-1,$A$4:$A20,"&lt;="&amp;$A21,$B$4:$B20,$B21)&gt;0,MIN(AT$1,IF($A21=$A20,AT20,1))-Y21&lt;0),-1,MIN(1,IF($A21=$A20,AT20,1)-Y21+$D$3))</f>
        <v>1</v>
      </c>
      <c r="AU21">
        <f>IF(OR($J21=0,COUNTIFS($A$4:$A20,"&gt;="&amp;$A21-1,$A$4:$A20,"&lt;="&amp;$A21,$B$4:$B20,$B21)&gt;0,MIN(AU$1,IF($A21=$A20,AU20,1))-Z21&lt;0),-1,MIN(1,IF($A21=$A20,AU20,1)-Z21+$D$3))</f>
        <v>1</v>
      </c>
      <c r="AV21">
        <f>IF(OR($J21=0,COUNTIFS($A$4:$A20,"&gt;="&amp;$A21-1,$A$4:$A20,"&lt;="&amp;$A21,$B$4:$B20,$B21)&gt;0,MIN(AV$1,IF($A21=$A20,AV20,1))-AA21&lt;0),-1,MIN(1,IF($A21=$A20,AV20,1)-AA21+$D$3))</f>
        <v>1</v>
      </c>
      <c r="AW21">
        <f>IF(OR($J21=0,COUNTIFS($A$4:$A20,"&gt;="&amp;$A21-1,$A$4:$A20,"&lt;="&amp;$A21,$B$4:$B20,$B21)&gt;0,MIN(AW$1,IF($A21=$A20,AW20,1))-AB21&lt;0),-1,MIN(1,IF($A21=$A20,AW20,1)-AB21+$D$3))</f>
        <v>1</v>
      </c>
      <c r="AX21">
        <f>IF(OR($J21=0,COUNTIFS($A$4:$A20,"&gt;="&amp;$A21-1,$A$4:$A20,"&lt;="&amp;$A21,$B$4:$B20,$B21)&gt;0,MIN(AX$1,IF($A21=$A20,AX20,1))-AC21&lt;0),-1,MIN(1,IF($A21=$A20,AX20,1)-AC21+$D$3))</f>
        <v>1</v>
      </c>
      <c r="AY21">
        <f>IF(OR($J21=0,COUNTIFS($A$4:$A20,"&gt;="&amp;$A21-1,$A$4:$A20,"&lt;="&amp;$A21,$B$4:$B20,$B21)&gt;0,MIN(AY$1,IF($A21=$A20,AY20,1))-AD21&lt;0),-1,MIN(1,IF($A21=$A20,AY20,1)-AD21+$D$3))</f>
        <v>0.8</v>
      </c>
      <c r="AZ21">
        <f>IF(OR($J21=0,COUNTIFS($A$4:$A20,"&gt;="&amp;$A21-1,$A$4:$A20,"&lt;="&amp;$A21,$B$4:$B20,$B21)&gt;0,MIN(AZ$1,IF($A21=$A20,AZ20,1))-AE21&lt;0),-1,MIN(1,IF($A21=$A20,AZ20,1)-AE21+$D$3))</f>
        <v>1</v>
      </c>
      <c r="BA21">
        <f>IF(OR($J21=0,COUNTIFS($A$4:$A20,"&gt;="&amp;$A21-1,$A$4:$A20,"&lt;="&amp;$A21,$B$4:$B20,$B21)&gt;0,MIN(BA$1,IF($A21=$A20,BA20,1))-AF21&lt;0),-1,MIN(1,IF($A21=$A20,BA20,1)-AF21+$D$3))</f>
        <v>0.9</v>
      </c>
      <c r="BB21">
        <f>IF(OR($J21=0,COUNTIFS($A$4:$A20,"&gt;="&amp;$A21-1,$A$4:$A20,"&lt;="&amp;$A21,$B$4:$B20,$B21)&gt;0,MIN(BB$1,IF($A21=$A20,BB20,1))-AG21&lt;0),-1,MIN(1,IF($A21=$A20,BB20,1)-AG21+$D$3))</f>
        <v>1</v>
      </c>
      <c r="BC21">
        <f>IF(OR($J21=0,COUNTIFS($A$4:$A20,"&gt;="&amp;$A21-1,$A$4:$A20,"&lt;="&amp;$A21,$B$4:$B20,$B21)&gt;0,MIN(BC$1,IF($A21=$A20,BC20,1))-AH21&lt;0),-1,MIN(1,IF($A21=$A20,BC20,1)-AH21+$D$3))</f>
        <v>1</v>
      </c>
      <c r="BD21">
        <f>IF(OR($J21=0,COUNTIFS($A$4:$A20,"&gt;="&amp;$A21-1,$A$4:$A20,"&lt;="&amp;$A21,$B$4:$B20,$B21)&gt;0,MIN(BD$1,IF($A21=$A20,BD20,1))-AI21&lt;0),-1,MIN(1,IF($A21=$A20,BD20,1)-AI21+$D$3))</f>
        <v>1</v>
      </c>
      <c r="BF21" s="87">
        <f t="shared" si="23"/>
        <v>6.1611026178276102E-2</v>
      </c>
      <c r="BG21" s="87">
        <f t="shared" si="24"/>
        <v>0.25768017790021713</v>
      </c>
      <c r="BH21" s="87">
        <f t="shared" si="25"/>
        <v>0.36497095293067827</v>
      </c>
      <c r="BI21" s="87">
        <f t="shared" si="26"/>
        <v>0.35551721178480916</v>
      </c>
      <c r="BJ21" s="87">
        <f t="shared" si="27"/>
        <v>0.55584818495254673</v>
      </c>
      <c r="BK21" s="87">
        <f t="shared" si="28"/>
        <v>4.3008848223173801E-2</v>
      </c>
      <c r="BL21" s="87">
        <f t="shared" si="29"/>
        <v>4.8576473254524237E-2</v>
      </c>
      <c r="BM21" s="87">
        <f t="shared" si="30"/>
        <v>7.5385306382812489E-2</v>
      </c>
      <c r="BN21" s="87">
        <f t="shared" si="31"/>
        <v>8.8713151127651463E-2</v>
      </c>
      <c r="BO21" s="87">
        <f t="shared" si="32"/>
        <v>1.9908003229676088E-2</v>
      </c>
      <c r="BP21" s="87">
        <f t="shared" si="33"/>
        <v>0.49566660987361105</v>
      </c>
      <c r="BQ21" s="87">
        <f t="shared" si="34"/>
        <v>4.9937358956180178E-2</v>
      </c>
      <c r="BR21" s="87">
        <f t="shared" si="35"/>
        <v>0.39729417208201989</v>
      </c>
      <c r="BS21" s="87">
        <f t="shared" si="36"/>
        <v>8.4675720230600257E-2</v>
      </c>
      <c r="BT21" s="87">
        <f t="shared" si="37"/>
        <v>0.50019366725387848</v>
      </c>
      <c r="BU21" s="87">
        <f t="shared" si="38"/>
        <v>0.48258707279282548</v>
      </c>
      <c r="BV21" s="87">
        <f t="shared" si="39"/>
        <v>0.58091191883242577</v>
      </c>
      <c r="BW21" s="87">
        <f t="shared" si="40"/>
        <v>0.13524963537721463</v>
      </c>
      <c r="BX21" s="87">
        <f t="shared" si="41"/>
        <v>0.23335693043635472</v>
      </c>
      <c r="BY21" s="87">
        <f t="shared" si="42"/>
        <v>0.21963088610431494</v>
      </c>
      <c r="CA21" s="87">
        <f t="shared" si="2"/>
        <v>-0.71943551136867323</v>
      </c>
      <c r="CB21" s="87">
        <f t="shared" si="3"/>
        <v>-0.21771678623660506</v>
      </c>
      <c r="CC21" s="87">
        <f t="shared" si="4"/>
        <v>0.66200589611976035</v>
      </c>
      <c r="CD21" s="87">
        <f t="shared" si="5"/>
        <v>0.61895541936631648</v>
      </c>
      <c r="CE21" s="87">
        <f t="shared" si="6"/>
        <v>1.5312232475499727</v>
      </c>
      <c r="CF21" s="87">
        <f t="shared" si="7"/>
        <v>-0.9020730845040541</v>
      </c>
      <c r="CG21" s="87">
        <f t="shared" si="8"/>
        <v>-0.77879230028188673</v>
      </c>
      <c r="CH21" s="87">
        <f t="shared" si="9"/>
        <v>-0.77114009999433863</v>
      </c>
      <c r="CI21" s="87">
        <f t="shared" si="10"/>
        <v>-0.59601776784267857</v>
      </c>
      <c r="CJ21" s="87">
        <f t="shared" si="11"/>
        <v>-0.90934287103670575</v>
      </c>
      <c r="CK21" s="87">
        <f t="shared" si="12"/>
        <v>1.2571681979198641</v>
      </c>
      <c r="CL21" s="87">
        <f t="shared" si="13"/>
        <v>-0.77259509460857156</v>
      </c>
      <c r="CM21" s="87">
        <f t="shared" si="14"/>
        <v>0.20613298344640718</v>
      </c>
      <c r="CN21" s="87">
        <f t="shared" si="15"/>
        <v>-0.61440343361194794</v>
      </c>
      <c r="CO21" s="87">
        <f t="shared" si="16"/>
        <v>1.277783526338907</v>
      </c>
      <c r="CP21" s="87">
        <f t="shared" si="17"/>
        <v>1.1976065600080612</v>
      </c>
      <c r="CQ21" s="87">
        <f t="shared" si="18"/>
        <v>0.76357237285696389</v>
      </c>
      <c r="CR21" s="87">
        <f t="shared" si="19"/>
        <v>-0.38409977659873196</v>
      </c>
      <c r="CS21" s="87">
        <f t="shared" si="20"/>
        <v>6.2661538326026278E-2</v>
      </c>
      <c r="CT21" s="87">
        <f t="shared" si="21"/>
        <v>1.5583361975513021E-4</v>
      </c>
      <c r="CV21" s="88">
        <f t="shared" si="45"/>
        <v>0.81629938899194643</v>
      </c>
    </row>
    <row r="22" spans="1:100" x14ac:dyDescent="0.25">
      <c r="A22" s="85">
        <v>45050</v>
      </c>
      <c r="B22" s="86">
        <v>12</v>
      </c>
      <c r="C22" s="43" t="str" cm="1">
        <f t="array" ref="C22">IF(B22="","",INDEX(UWS!$B$10:$B$41,B22))</f>
        <v>Machine seated leg curl</v>
      </c>
      <c r="D22" s="40">
        <f t="shared" si="0"/>
        <v>0.4</v>
      </c>
      <c r="E22" s="69">
        <f t="shared" si="22"/>
        <v>1.1655567882277265</v>
      </c>
      <c r="F22" s="48" cm="1">
        <f t="array" ref="F22">0.1+IFERROR(INDEX($F$5:$F21,SUMPRODUCT(MAX(ROW($C$5:$C21)*($C22=$C$5:$C21))-ROW($A$4)))*0.9^($A22-INDEX($A$5:A21,SUMPRODUCT(MAX(ROW($C$5:$C21)*($C22=$C$5:$C21))-ROW($A$4)))),0)</f>
        <v>0.1</v>
      </c>
      <c r="G22" s="55">
        <f>INDEX(UWS!$AB$10:$AB$41,MATCH(C22,UWS!$B$10:$B$41,0))</f>
        <v>1</v>
      </c>
      <c r="H22" s="48">
        <f>INDEX(UWS!$C$10:$C$41,MATCH(C22,UWS!$B$10:$B$41,0))</f>
        <v>1</v>
      </c>
      <c r="I22" s="27">
        <f t="shared" si="44"/>
        <v>3</v>
      </c>
      <c r="J22" s="27">
        <f>INDEX(UWS!$E$10:$E$41,MATCH(C22,UWS!$B$10:$B$41,0))</f>
        <v>1</v>
      </c>
      <c r="L22" s="108" t="str" cm="1">
        <f t="array" ref="L22">IF(K22="","",INDEX(UWS!$B$10:$B$41,K22))</f>
        <v/>
      </c>
      <c r="N22" s="108" t="str" cm="1">
        <f t="array" ref="N22">IF(M22="","",INDEX(UWS!$B$10:$B$41,M22))</f>
        <v/>
      </c>
      <c r="P22">
        <f>IFERROR(INDEX(UWS!$G$10:$Z$41,MATCH($C22,UWS!$B$10:$B$41,0),MATCH(P$4,UWS!$G$3:$Z$3,0)),0)</f>
        <v>0</v>
      </c>
      <c r="Q22">
        <f>IFERROR(INDEX(UWS!$G$10:$Z$41,MATCH($C22,UWS!$B$10:$B$41,0),MATCH(Q$4,UWS!$G$3:$Z$3,0)),0)</f>
        <v>0</v>
      </c>
      <c r="R22">
        <f>IFERROR(INDEX(UWS!$G$10:$Z$41,MATCH($C22,UWS!$B$10:$B$41,0),MATCH(R$4,UWS!$G$3:$Z$3,0)),0)</f>
        <v>0</v>
      </c>
      <c r="S22">
        <f>IFERROR(INDEX(UWS!$G$10:$Z$41,MATCH($C22,UWS!$B$10:$B$41,0),MATCH(S$4,UWS!$G$3:$Z$3,0)),0)</f>
        <v>0</v>
      </c>
      <c r="T22">
        <f>IFERROR(INDEX(UWS!$G$10:$Z$41,MATCH($C22,UWS!$B$10:$B$41,0),MATCH(T$4,UWS!$G$3:$Z$3,0)),0)</f>
        <v>0</v>
      </c>
      <c r="U22">
        <f>IFERROR(INDEX(UWS!$G$10:$Z$41,MATCH($C22,UWS!$B$10:$B$41,0),MATCH(U$4,UWS!$G$3:$Z$3,0)),0)</f>
        <v>0</v>
      </c>
      <c r="V22">
        <f>IFERROR(INDEX(UWS!$G$10:$Z$41,MATCH($C22,UWS!$B$10:$B$41,0),MATCH(V$4,UWS!$G$3:$Z$3,0)),0)</f>
        <v>0</v>
      </c>
      <c r="W22">
        <f>IFERROR(INDEX(UWS!$G$10:$Z$41,MATCH($C22,UWS!$B$10:$B$41,0),MATCH(W$4,UWS!$G$3:$Z$3,0)),0)</f>
        <v>0</v>
      </c>
      <c r="X22">
        <f>IFERROR(INDEX(UWS!$G$10:$Z$41,MATCH($C22,UWS!$B$10:$B$41,0),MATCH(X$4,UWS!$G$3:$Z$3,0)),0)</f>
        <v>0</v>
      </c>
      <c r="Y22">
        <f>IFERROR(INDEX(UWS!$G$10:$Z$41,MATCH($C22,UWS!$B$10:$B$41,0),MATCH(Y$4,UWS!$G$3:$Z$3,0)),0)</f>
        <v>0</v>
      </c>
      <c r="Z22">
        <f>IFERROR(INDEX(UWS!$G$10:$Z$41,MATCH($C22,UWS!$B$10:$B$41,0),MATCH(Z$4,UWS!$G$3:$Z$3,0)),0)</f>
        <v>0</v>
      </c>
      <c r="AA22">
        <f>IFERROR(INDEX(UWS!$G$10:$Z$41,MATCH($C22,UWS!$B$10:$B$41,0),MATCH(AA$4,UWS!$G$3:$Z$3,0)),0)</f>
        <v>0</v>
      </c>
      <c r="AB22">
        <f>IFERROR(INDEX(UWS!$G$10:$Z$41,MATCH($C22,UWS!$B$10:$B$41,0),MATCH(AB$4,UWS!$G$3:$Z$3,0)),0)</f>
        <v>0</v>
      </c>
      <c r="AC22">
        <f>IFERROR(INDEX(UWS!$G$10:$Z$41,MATCH($C22,UWS!$B$10:$B$41,0),MATCH(AC$4,UWS!$G$3:$Z$3,0)),0)</f>
        <v>0</v>
      </c>
      <c r="AD22">
        <f>IFERROR(INDEX(UWS!$G$10:$Z$41,MATCH($C22,UWS!$B$10:$B$41,0),MATCH(AD$4,UWS!$G$3:$Z$3,0)),0)</f>
        <v>0</v>
      </c>
      <c r="AE22">
        <f>IFERROR(INDEX(UWS!$G$10:$Z$41,MATCH($C22,UWS!$B$10:$B$41,0),MATCH(AE$4,UWS!$G$3:$Z$3,0)),0)</f>
        <v>1</v>
      </c>
      <c r="AF22">
        <f>IFERROR(INDEX(UWS!$G$10:$Z$41,MATCH($C22,UWS!$B$10:$B$41,0),MATCH(AF$4,UWS!$G$3:$Z$3,0)),0)</f>
        <v>0</v>
      </c>
      <c r="AG22">
        <f>IFERROR(INDEX(UWS!$G$10:$Z$41,MATCH($C22,UWS!$B$10:$B$41,0),MATCH(AG$4,UWS!$G$3:$Z$3,0)),0)</f>
        <v>0</v>
      </c>
      <c r="AH22">
        <f>IFERROR(INDEX(UWS!$G$10:$Z$41,MATCH($C22,UWS!$B$10:$B$41,0),MATCH(AH$4,UWS!$G$3:$Z$3,0)),0)</f>
        <v>0</v>
      </c>
      <c r="AI22">
        <f>IFERROR(INDEX(UWS!$G$10:$Z$41,MATCH($C22,UWS!$B$10:$B$41,0),MATCH(AI$4,UWS!$G$3:$Z$3,0)),0)</f>
        <v>0</v>
      </c>
      <c r="AK22">
        <f>IF(OR($J22=0,COUNTIFS($A$4:$A21,"&gt;="&amp;$A22-1,$A$4:$A21,"&lt;="&amp;$A22,$B$4:$B21,$B22)&gt;0,MIN(AK$1,IF($A22=$A21,AK21,1))-P22&lt;0),-1,MIN(1,IF($A22=$A21,AK21,1)-P22+$D$3))</f>
        <v>1</v>
      </c>
      <c r="AL22">
        <f>IF(OR($J22=0,COUNTIFS($A$4:$A21,"&gt;="&amp;$A22-1,$A$4:$A21,"&lt;="&amp;$A22,$B$4:$B21,$B22)&gt;0,MIN(AL$1,IF($A22=$A21,AL21,1))-Q22&lt;0),-1,MIN(1,IF($A22=$A21,AL21,1)-Q22+$D$3))</f>
        <v>0.8</v>
      </c>
      <c r="AM22">
        <f>IF(OR($J22=0,COUNTIFS($A$4:$A21,"&gt;="&amp;$A22-1,$A$4:$A21,"&lt;="&amp;$A22,$B$4:$B21,$B22)&gt;0,MIN(AM$1,IF($A22=$A21,AM21,1))-R22&lt;0),-1,MIN(1,IF($A22=$A21,AM21,1)-R22+$D$3))</f>
        <v>1</v>
      </c>
      <c r="AN22">
        <f>IF(OR($J22=0,COUNTIFS($A$4:$A21,"&gt;="&amp;$A22-1,$A$4:$A21,"&lt;="&amp;$A22,$B$4:$B21,$B22)&gt;0,MIN(AN$1,IF($A22=$A21,AN21,1))-S22&lt;0),-1,MIN(1,IF($A22=$A21,AN21,1)-S22+$D$3))</f>
        <v>1</v>
      </c>
      <c r="AO22">
        <f>IF(OR($J22=0,COUNTIFS($A$4:$A21,"&gt;="&amp;$A22-1,$A$4:$A21,"&lt;="&amp;$A22,$B$4:$B21,$B22)&gt;0,MIN(AO$1,IF($A22=$A21,AO21,1))-T22&lt;0),-1,MIN(1,IF($A22=$A21,AO21,1)-T22+$D$3))</f>
        <v>1</v>
      </c>
      <c r="AP22">
        <f>IF(OR($J22=0,COUNTIFS($A$4:$A21,"&gt;="&amp;$A22-1,$A$4:$A21,"&lt;="&amp;$A22,$B$4:$B21,$B22)&gt;0,MIN(AP$1,IF($A22=$A21,AP21,1))-U22&lt;0),-1,MIN(1,IF($A22=$A21,AP21,1)-U22+$D$3))</f>
        <v>1</v>
      </c>
      <c r="AQ22">
        <f>IF(OR($J22=0,COUNTIFS($A$4:$A21,"&gt;="&amp;$A22-1,$A$4:$A21,"&lt;="&amp;$A22,$B$4:$B21,$B22)&gt;0,MIN(AQ$1,IF($A22=$A21,AQ21,1))-V22&lt;0),-1,MIN(1,IF($A22=$A21,AQ21,1)-V22+$D$3))</f>
        <v>1</v>
      </c>
      <c r="AR22">
        <f>IF(OR($J22=0,COUNTIFS($A$4:$A21,"&gt;="&amp;$A22-1,$A$4:$A21,"&lt;="&amp;$A22,$B$4:$B21,$B22)&gt;0,MIN(AR$1,IF($A22=$A21,AR21,1))-W22&lt;0),-1,MIN(1,IF($A22=$A21,AR21,1)-W22+$D$3))</f>
        <v>1</v>
      </c>
      <c r="AS22">
        <f>IF(OR($J22=0,COUNTIFS($A$4:$A21,"&gt;="&amp;$A22-1,$A$4:$A21,"&lt;="&amp;$A22,$B$4:$B21,$B22)&gt;0,MIN(AS$1,IF($A22=$A21,AS21,1))-X22&lt;0),-1,MIN(1,IF($A22=$A21,AS21,1)-X22+$D$3))</f>
        <v>1</v>
      </c>
      <c r="AT22">
        <f>IF(OR($J22=0,COUNTIFS($A$4:$A21,"&gt;="&amp;$A22-1,$A$4:$A21,"&lt;="&amp;$A22,$B$4:$B21,$B22)&gt;0,MIN(AT$1,IF($A22=$A21,AT21,1))-Y22&lt;0),-1,MIN(1,IF($A22=$A21,AT21,1)-Y22+$D$3))</f>
        <v>1</v>
      </c>
      <c r="AU22">
        <f>IF(OR($J22=0,COUNTIFS($A$4:$A21,"&gt;="&amp;$A22-1,$A$4:$A21,"&lt;="&amp;$A22,$B$4:$B21,$B22)&gt;0,MIN(AU$1,IF($A22=$A21,AU21,1))-Z22&lt;0),-1,MIN(1,IF($A22=$A21,AU21,1)-Z22+$D$3))</f>
        <v>1</v>
      </c>
      <c r="AV22">
        <f>IF(OR($J22=0,COUNTIFS($A$4:$A21,"&gt;="&amp;$A22-1,$A$4:$A21,"&lt;="&amp;$A22,$B$4:$B21,$B22)&gt;0,MIN(AV$1,IF($A22=$A21,AV21,1))-AA22&lt;0),-1,MIN(1,IF($A22=$A21,AV21,1)-AA22+$D$3))</f>
        <v>1</v>
      </c>
      <c r="AW22">
        <f>IF(OR($J22=0,COUNTIFS($A$4:$A21,"&gt;="&amp;$A22-1,$A$4:$A21,"&lt;="&amp;$A22,$B$4:$B21,$B22)&gt;0,MIN(AW$1,IF($A22=$A21,AW21,1))-AB22&lt;0),-1,MIN(1,IF($A22=$A21,AW21,1)-AB22+$D$3))</f>
        <v>1</v>
      </c>
      <c r="AX22">
        <f>IF(OR($J22=0,COUNTIFS($A$4:$A21,"&gt;="&amp;$A22-1,$A$4:$A21,"&lt;="&amp;$A22,$B$4:$B21,$B22)&gt;0,MIN(AX$1,IF($A22=$A21,AX21,1))-AC22&lt;0),-1,MIN(1,IF($A22=$A21,AX21,1)-AC22+$D$3))</f>
        <v>1</v>
      </c>
      <c r="AY22">
        <f>IF(OR($J22=0,COUNTIFS($A$4:$A21,"&gt;="&amp;$A22-1,$A$4:$A21,"&lt;="&amp;$A22,$B$4:$B21,$B22)&gt;0,MIN(AY$1,IF($A22=$A21,AY21,1))-AD22&lt;0),-1,MIN(1,IF($A22=$A21,AY21,1)-AD22+$D$3))</f>
        <v>1</v>
      </c>
      <c r="AZ22">
        <f>IF(OR($J22=0,COUNTIFS($A$4:$A21,"&gt;="&amp;$A22-1,$A$4:$A21,"&lt;="&amp;$A22,$B$4:$B21,$B22)&gt;0,MIN(AZ$1,IF($A22=$A21,AZ21,1))-AE22&lt;0),-1,MIN(1,IF($A22=$A21,AZ21,1)-AE22+$D$3))</f>
        <v>0.4</v>
      </c>
      <c r="BA22">
        <f>IF(OR($J22=0,COUNTIFS($A$4:$A21,"&gt;="&amp;$A22-1,$A$4:$A21,"&lt;="&amp;$A22,$B$4:$B21,$B22)&gt;0,MIN(BA$1,IF($A22=$A21,BA21,1))-AF22&lt;0),-1,MIN(1,IF($A22=$A21,BA21,1)-AF22+$D$3))</f>
        <v>1</v>
      </c>
      <c r="BB22">
        <f>IF(OR($J22=0,COUNTIFS($A$4:$A21,"&gt;="&amp;$A22-1,$A$4:$A21,"&lt;="&amp;$A22,$B$4:$B21,$B22)&gt;0,MIN(BB$1,IF($A22=$A21,BB21,1))-AG22&lt;0),-1,MIN(1,IF($A22=$A21,BB21,1)-AG22+$D$3))</f>
        <v>1</v>
      </c>
      <c r="BC22">
        <f>IF(OR($J22=0,COUNTIFS($A$4:$A21,"&gt;="&amp;$A22-1,$A$4:$A21,"&lt;="&amp;$A22,$B$4:$B21,$B22)&gt;0,MIN(BC$1,IF($A22=$A21,BC21,1))-AH22&lt;0),-1,MIN(1,IF($A22=$A21,BC21,1)-AH22+$D$3))</f>
        <v>1</v>
      </c>
      <c r="BD22">
        <f>IF(OR($J22=0,COUNTIFS($A$4:$A21,"&gt;="&amp;$A22-1,$A$4:$A21,"&lt;="&amp;$A22,$B$4:$B21,$B22)&gt;0,MIN(BD$1,IF($A22=$A21,BD21,1))-AI22&lt;0),-1,MIN(1,IF($A22=$A21,BD21,1)-AI22+$D$3))</f>
        <v>1</v>
      </c>
      <c r="BF22" s="87">
        <f t="shared" si="23"/>
        <v>5.8530474869362296E-2</v>
      </c>
      <c r="BG22" s="87">
        <f t="shared" si="24"/>
        <v>0.24479616900520626</v>
      </c>
      <c r="BH22" s="87">
        <f t="shared" si="25"/>
        <v>0.34672240528414433</v>
      </c>
      <c r="BI22" s="87">
        <f t="shared" si="26"/>
        <v>0.3377413511955687</v>
      </c>
      <c r="BJ22" s="87">
        <f t="shared" si="27"/>
        <v>0.52805577570491935</v>
      </c>
      <c r="BK22" s="87">
        <f t="shared" si="28"/>
        <v>4.0858405812015108E-2</v>
      </c>
      <c r="BL22" s="87">
        <f t="shared" si="29"/>
        <v>4.6147649591798026E-2</v>
      </c>
      <c r="BM22" s="87">
        <f t="shared" si="30"/>
        <v>7.1616041063671865E-2</v>
      </c>
      <c r="BN22" s="87">
        <f t="shared" si="31"/>
        <v>8.4277493571268888E-2</v>
      </c>
      <c r="BO22" s="87">
        <f t="shared" si="32"/>
        <v>1.8912603068192282E-2</v>
      </c>
      <c r="BP22" s="87">
        <f t="shared" si="33"/>
        <v>0.47088327937993046</v>
      </c>
      <c r="BQ22" s="87">
        <f t="shared" si="34"/>
        <v>4.7440491008371166E-2</v>
      </c>
      <c r="BR22" s="87">
        <f t="shared" si="35"/>
        <v>0.37742946347791889</v>
      </c>
      <c r="BS22" s="87">
        <f t="shared" si="36"/>
        <v>8.0441934219070241E-2</v>
      </c>
      <c r="BT22" s="87">
        <f t="shared" si="37"/>
        <v>0.47518398389118455</v>
      </c>
      <c r="BU22" s="87">
        <f t="shared" si="38"/>
        <v>0.50845771915318416</v>
      </c>
      <c r="BV22" s="87">
        <f t="shared" si="39"/>
        <v>0.55186632289080451</v>
      </c>
      <c r="BW22" s="87">
        <f t="shared" si="40"/>
        <v>0.12848715360835389</v>
      </c>
      <c r="BX22" s="87">
        <f t="shared" si="41"/>
        <v>0.22168908391453698</v>
      </c>
      <c r="BY22" s="87">
        <f t="shared" si="42"/>
        <v>0.20864934179909919</v>
      </c>
      <c r="CA22" s="87">
        <f t="shared" si="2"/>
        <v>-0.72232901032389463</v>
      </c>
      <c r="CB22" s="87">
        <f t="shared" si="3"/>
        <v>-0.2257845772558954</v>
      </c>
      <c r="CC22" s="87">
        <f t="shared" si="4"/>
        <v>0.64486540785820567</v>
      </c>
      <c r="CD22" s="87">
        <f t="shared" si="5"/>
        <v>0.60225891640780405</v>
      </c>
      <c r="CE22" s="87">
        <f t="shared" si="6"/>
        <v>1.5051184049237838</v>
      </c>
      <c r="CF22" s="87">
        <f t="shared" si="7"/>
        <v>-0.90308301783188849</v>
      </c>
      <c r="CG22" s="87">
        <f t="shared" si="8"/>
        <v>-0.78107364476401886</v>
      </c>
      <c r="CH22" s="87">
        <f t="shared" si="9"/>
        <v>-0.77350036263765776</v>
      </c>
      <c r="CI22" s="87">
        <f t="shared" si="10"/>
        <v>-0.60018409043174725</v>
      </c>
      <c r="CJ22" s="87">
        <f t="shared" si="11"/>
        <v>-0.91027783008736218</v>
      </c>
      <c r="CK22" s="87">
        <f t="shared" si="12"/>
        <v>1.2338897215371234</v>
      </c>
      <c r="CL22" s="87">
        <f t="shared" si="13"/>
        <v>-0.77494035169856257</v>
      </c>
      <c r="CM22" s="87">
        <f t="shared" si="14"/>
        <v>0.19369397327628479</v>
      </c>
      <c r="CN22" s="87">
        <f t="shared" si="15"/>
        <v>-0.61838014238013028</v>
      </c>
      <c r="CO22" s="87">
        <f t="shared" si="16"/>
        <v>1.25429244132728</v>
      </c>
      <c r="CP22" s="87">
        <f t="shared" si="17"/>
        <v>1.4121444153808231</v>
      </c>
      <c r="CQ22" s="87">
        <f t="shared" si="18"/>
        <v>0.74538441598753846</v>
      </c>
      <c r="CR22" s="87">
        <f t="shared" si="19"/>
        <v>-0.39045163766862645</v>
      </c>
      <c r="CS22" s="87">
        <f t="shared" si="20"/>
        <v>5.1702168286360539E-2</v>
      </c>
      <c r="CT22" s="87">
        <f t="shared" si="21"/>
        <v>-1.0158906758668373E-2</v>
      </c>
      <c r="CV22" s="88">
        <f t="shared" si="45"/>
        <v>0.82615394434553213</v>
      </c>
    </row>
    <row r="23" spans="1:100" x14ac:dyDescent="0.25">
      <c r="A23" s="85">
        <v>45050</v>
      </c>
      <c r="B23" s="86">
        <v>11</v>
      </c>
      <c r="C23" s="43" t="str" cm="1">
        <f t="array" ref="C23">IF(B23="","",INDEX(UWS!$B$10:$B$41,B23))</f>
        <v>Calf press</v>
      </c>
      <c r="D23" s="40">
        <f t="shared" si="0"/>
        <v>0.4</v>
      </c>
      <c r="E23" s="69">
        <f t="shared" si="22"/>
        <v>2.057689956576934</v>
      </c>
      <c r="F23" s="48" cm="1">
        <f t="array" ref="F23">0.1+IFERROR(INDEX($F$5:$F22,SUMPRODUCT(MAX(ROW($C$5:$C22)*($C23=$C$5:$C22))-ROW($A$4)))*0.9^($A23-INDEX($A$5:A22,SUMPRODUCT(MAX(ROW($C$5:$C22)*($C23=$C$5:$C22))-ROW($A$4)))),0)</f>
        <v>0.1</v>
      </c>
      <c r="G23" s="55">
        <f>INDEX(UWS!$AB$10:$AB$41,MATCH(C23,UWS!$B$10:$B$41,0))</f>
        <v>1</v>
      </c>
      <c r="H23" s="48">
        <f>INDEX(UWS!$C$10:$C$41,MATCH(C23,UWS!$B$10:$B$41,0))</f>
        <v>1</v>
      </c>
      <c r="I23" s="27">
        <f t="shared" si="44"/>
        <v>4</v>
      </c>
      <c r="J23" s="27">
        <f>INDEX(UWS!$E$10:$E$41,MATCH(C23,UWS!$B$10:$B$41,0))</f>
        <v>1</v>
      </c>
      <c r="L23" s="108" t="str" cm="1">
        <f t="array" ref="L23">IF(K23="","",INDEX(UWS!$B$10:$B$41,K23))</f>
        <v/>
      </c>
      <c r="N23" s="108" t="str" cm="1">
        <f t="array" ref="N23">IF(M23="","",INDEX(UWS!$B$10:$B$41,M23))</f>
        <v/>
      </c>
      <c r="P23">
        <f>IFERROR(INDEX(UWS!$G$10:$Z$41,MATCH($C23,UWS!$B$10:$B$41,0),MATCH(P$4,UWS!$G$3:$Z$3,0)),0)</f>
        <v>0</v>
      </c>
      <c r="Q23">
        <f>IFERROR(INDEX(UWS!$G$10:$Z$41,MATCH($C23,UWS!$B$10:$B$41,0),MATCH(Q$4,UWS!$G$3:$Z$3,0)),0)</f>
        <v>0</v>
      </c>
      <c r="R23">
        <f>IFERROR(INDEX(UWS!$G$10:$Z$41,MATCH($C23,UWS!$B$10:$B$41,0),MATCH(R$4,UWS!$G$3:$Z$3,0)),0)</f>
        <v>0</v>
      </c>
      <c r="S23">
        <f>IFERROR(INDEX(UWS!$G$10:$Z$41,MATCH($C23,UWS!$B$10:$B$41,0),MATCH(S$4,UWS!$G$3:$Z$3,0)),0)</f>
        <v>0</v>
      </c>
      <c r="T23">
        <f>IFERROR(INDEX(UWS!$G$10:$Z$41,MATCH($C23,UWS!$B$10:$B$41,0),MATCH(T$4,UWS!$G$3:$Z$3,0)),0)</f>
        <v>0</v>
      </c>
      <c r="U23">
        <f>IFERROR(INDEX(UWS!$G$10:$Z$41,MATCH($C23,UWS!$B$10:$B$41,0),MATCH(U$4,UWS!$G$3:$Z$3,0)),0)</f>
        <v>0</v>
      </c>
      <c r="V23">
        <f>IFERROR(INDEX(UWS!$G$10:$Z$41,MATCH($C23,UWS!$B$10:$B$41,0),MATCH(V$4,UWS!$G$3:$Z$3,0)),0)</f>
        <v>0</v>
      </c>
      <c r="W23">
        <f>IFERROR(INDEX(UWS!$G$10:$Z$41,MATCH($C23,UWS!$B$10:$B$41,0),MATCH(W$4,UWS!$G$3:$Z$3,0)),0)</f>
        <v>0</v>
      </c>
      <c r="X23">
        <f>IFERROR(INDEX(UWS!$G$10:$Z$41,MATCH($C23,UWS!$B$10:$B$41,0),MATCH(X$4,UWS!$G$3:$Z$3,0)),0)</f>
        <v>0</v>
      </c>
      <c r="Y23">
        <f>IFERROR(INDEX(UWS!$G$10:$Z$41,MATCH($C23,UWS!$B$10:$B$41,0),MATCH(Y$4,UWS!$G$3:$Z$3,0)),0)</f>
        <v>0</v>
      </c>
      <c r="Z23">
        <f>IFERROR(INDEX(UWS!$G$10:$Z$41,MATCH($C23,UWS!$B$10:$B$41,0),MATCH(Z$4,UWS!$G$3:$Z$3,0)),0)</f>
        <v>0</v>
      </c>
      <c r="AA23">
        <f>IFERROR(INDEX(UWS!$G$10:$Z$41,MATCH($C23,UWS!$B$10:$B$41,0),MATCH(AA$4,UWS!$G$3:$Z$3,0)),0)</f>
        <v>0</v>
      </c>
      <c r="AB23">
        <f>IFERROR(INDEX(UWS!$G$10:$Z$41,MATCH($C23,UWS!$B$10:$B$41,0),MATCH(AB$4,UWS!$G$3:$Z$3,0)),0)</f>
        <v>0</v>
      </c>
      <c r="AC23">
        <f>IFERROR(INDEX(UWS!$G$10:$Z$41,MATCH($C23,UWS!$B$10:$B$41,0),MATCH(AC$4,UWS!$G$3:$Z$3,0)),0)</f>
        <v>0</v>
      </c>
      <c r="AD23">
        <f>IFERROR(INDEX(UWS!$G$10:$Z$41,MATCH($C23,UWS!$B$10:$B$41,0),MATCH(AD$4,UWS!$G$3:$Z$3,0)),0)</f>
        <v>0</v>
      </c>
      <c r="AE23">
        <f>IFERROR(INDEX(UWS!$G$10:$Z$41,MATCH($C23,UWS!$B$10:$B$41,0),MATCH(AE$4,UWS!$G$3:$Z$3,0)),0)</f>
        <v>0</v>
      </c>
      <c r="AF23">
        <f>IFERROR(INDEX(UWS!$G$10:$Z$41,MATCH($C23,UWS!$B$10:$B$41,0),MATCH(AF$4,UWS!$G$3:$Z$3,0)),0)</f>
        <v>0</v>
      </c>
      <c r="AG23">
        <f>IFERROR(INDEX(UWS!$G$10:$Z$41,MATCH($C23,UWS!$B$10:$B$41,0),MATCH(AG$4,UWS!$G$3:$Z$3,0)),0)</f>
        <v>1</v>
      </c>
      <c r="AH23">
        <f>IFERROR(INDEX(UWS!$G$10:$Z$41,MATCH($C23,UWS!$B$10:$B$41,0),MATCH(AH$4,UWS!$G$3:$Z$3,0)),0)</f>
        <v>0</v>
      </c>
      <c r="AI23">
        <f>IFERROR(INDEX(UWS!$G$10:$Z$41,MATCH($C23,UWS!$B$10:$B$41,0),MATCH(AI$4,UWS!$G$3:$Z$3,0)),0)</f>
        <v>0</v>
      </c>
      <c r="AK23">
        <f>IF(OR($J23=0,COUNTIFS($A$4:$A22,"&gt;="&amp;$A23-1,$A$4:$A22,"&lt;="&amp;$A23,$B$4:$B22,$B23)&gt;0,MIN(AK$1,IF($A23=$A22,AK22,1))-P23&lt;0),-1,MIN(1,IF($A23=$A22,AK22,1)-P23+$D$3))</f>
        <v>1</v>
      </c>
      <c r="AL23">
        <f>IF(OR($J23=0,COUNTIFS($A$4:$A22,"&gt;="&amp;$A23-1,$A$4:$A22,"&lt;="&amp;$A23,$B$4:$B22,$B23)&gt;0,MIN(AL$1,IF($A23=$A22,AL22,1))-Q23&lt;0),-1,MIN(1,IF($A23=$A22,AL22,1)-Q23+$D$3))</f>
        <v>1</v>
      </c>
      <c r="AM23">
        <f>IF(OR($J23=0,COUNTIFS($A$4:$A22,"&gt;="&amp;$A23-1,$A$4:$A22,"&lt;="&amp;$A23,$B$4:$B22,$B23)&gt;0,MIN(AM$1,IF($A23=$A22,AM22,1))-R23&lt;0),-1,MIN(1,IF($A23=$A22,AM22,1)-R23+$D$3))</f>
        <v>1</v>
      </c>
      <c r="AN23">
        <f>IF(OR($J23=0,COUNTIFS($A$4:$A22,"&gt;="&amp;$A23-1,$A$4:$A22,"&lt;="&amp;$A23,$B$4:$B22,$B23)&gt;0,MIN(AN$1,IF($A23=$A22,AN22,1))-S23&lt;0),-1,MIN(1,IF($A23=$A22,AN22,1)-S23+$D$3))</f>
        <v>1</v>
      </c>
      <c r="AO23">
        <f>IF(OR($J23=0,COUNTIFS($A$4:$A22,"&gt;="&amp;$A23-1,$A$4:$A22,"&lt;="&amp;$A23,$B$4:$B22,$B23)&gt;0,MIN(AO$1,IF($A23=$A22,AO22,1))-T23&lt;0),-1,MIN(1,IF($A23=$A22,AO22,1)-T23+$D$3))</f>
        <v>1</v>
      </c>
      <c r="AP23">
        <f>IF(OR($J23=0,COUNTIFS($A$4:$A22,"&gt;="&amp;$A23-1,$A$4:$A22,"&lt;="&amp;$A23,$B$4:$B22,$B23)&gt;0,MIN(AP$1,IF($A23=$A22,AP22,1))-U23&lt;0),-1,MIN(1,IF($A23=$A22,AP22,1)-U23+$D$3))</f>
        <v>1</v>
      </c>
      <c r="AQ23">
        <f>IF(OR($J23=0,COUNTIFS($A$4:$A22,"&gt;="&amp;$A23-1,$A$4:$A22,"&lt;="&amp;$A23,$B$4:$B22,$B23)&gt;0,MIN(AQ$1,IF($A23=$A22,AQ22,1))-V23&lt;0),-1,MIN(1,IF($A23=$A22,AQ22,1)-V23+$D$3))</f>
        <v>1</v>
      </c>
      <c r="AR23">
        <f>IF(OR($J23=0,COUNTIFS($A$4:$A22,"&gt;="&amp;$A23-1,$A$4:$A22,"&lt;="&amp;$A23,$B$4:$B22,$B23)&gt;0,MIN(AR$1,IF($A23=$A22,AR22,1))-W23&lt;0),-1,MIN(1,IF($A23=$A22,AR22,1)-W23+$D$3))</f>
        <v>1</v>
      </c>
      <c r="AS23">
        <f>IF(OR($J23=0,COUNTIFS($A$4:$A22,"&gt;="&amp;$A23-1,$A$4:$A22,"&lt;="&amp;$A23,$B$4:$B22,$B23)&gt;0,MIN(AS$1,IF($A23=$A22,AS22,1))-X23&lt;0),-1,MIN(1,IF($A23=$A22,AS22,1)-X23+$D$3))</f>
        <v>1</v>
      </c>
      <c r="AT23">
        <f>IF(OR($J23=0,COUNTIFS($A$4:$A22,"&gt;="&amp;$A23-1,$A$4:$A22,"&lt;="&amp;$A23,$B$4:$B22,$B23)&gt;0,MIN(AT$1,IF($A23=$A22,AT22,1))-Y23&lt;0),-1,MIN(1,IF($A23=$A22,AT22,1)-Y23+$D$3))</f>
        <v>1</v>
      </c>
      <c r="AU23">
        <f>IF(OR($J23=0,COUNTIFS($A$4:$A22,"&gt;="&amp;$A23-1,$A$4:$A22,"&lt;="&amp;$A23,$B$4:$B22,$B23)&gt;0,MIN(AU$1,IF($A23=$A22,AU22,1))-Z23&lt;0),-1,MIN(1,IF($A23=$A22,AU22,1)-Z23+$D$3))</f>
        <v>1</v>
      </c>
      <c r="AV23">
        <f>IF(OR($J23=0,COUNTIFS($A$4:$A22,"&gt;="&amp;$A23-1,$A$4:$A22,"&lt;="&amp;$A23,$B$4:$B22,$B23)&gt;0,MIN(AV$1,IF($A23=$A22,AV22,1))-AA23&lt;0),-1,MIN(1,IF($A23=$A22,AV22,1)-AA23+$D$3))</f>
        <v>1</v>
      </c>
      <c r="AW23">
        <f>IF(OR($J23=0,COUNTIFS($A$4:$A22,"&gt;="&amp;$A23-1,$A$4:$A22,"&lt;="&amp;$A23,$B$4:$B22,$B23)&gt;0,MIN(AW$1,IF($A23=$A22,AW22,1))-AB23&lt;0),-1,MIN(1,IF($A23=$A22,AW22,1)-AB23+$D$3))</f>
        <v>1</v>
      </c>
      <c r="AX23">
        <f>IF(OR($J23=0,COUNTIFS($A$4:$A22,"&gt;="&amp;$A23-1,$A$4:$A22,"&lt;="&amp;$A23,$B$4:$B22,$B23)&gt;0,MIN(AX$1,IF($A23=$A22,AX22,1))-AC23&lt;0),-1,MIN(1,IF($A23=$A22,AX22,1)-AC23+$D$3))</f>
        <v>1</v>
      </c>
      <c r="AY23">
        <f>IF(OR($J23=0,COUNTIFS($A$4:$A22,"&gt;="&amp;$A23-1,$A$4:$A22,"&lt;="&amp;$A23,$B$4:$B22,$B23)&gt;0,MIN(AY$1,IF($A23=$A22,AY22,1))-AD23&lt;0),-1,MIN(1,IF($A23=$A22,AY22,1)-AD23+$D$3))</f>
        <v>1</v>
      </c>
      <c r="AZ23">
        <f>IF(OR($J23=0,COUNTIFS($A$4:$A22,"&gt;="&amp;$A23-1,$A$4:$A22,"&lt;="&amp;$A23,$B$4:$B22,$B23)&gt;0,MIN(AZ$1,IF($A23=$A22,AZ22,1))-AE23&lt;0),-1,MIN(1,IF($A23=$A22,AZ22,1)-AE23+$D$3))</f>
        <v>0.8</v>
      </c>
      <c r="BA23">
        <f>IF(OR($J23=0,COUNTIFS($A$4:$A22,"&gt;="&amp;$A23-1,$A$4:$A22,"&lt;="&amp;$A23,$B$4:$B22,$B23)&gt;0,MIN(BA$1,IF($A23=$A22,BA22,1))-AF23&lt;0),-1,MIN(1,IF($A23=$A22,BA22,1)-AF23+$D$3))</f>
        <v>1</v>
      </c>
      <c r="BB23">
        <f>IF(OR($J23=0,COUNTIFS($A$4:$A22,"&gt;="&amp;$A23-1,$A$4:$A22,"&lt;="&amp;$A23,$B$4:$B22,$B23)&gt;0,MIN(BB$1,IF($A23=$A22,BB22,1))-AG23&lt;0),-1,MIN(1,IF($A23=$A22,BB22,1)-AG23+$D$3))</f>
        <v>0.4</v>
      </c>
      <c r="BC23">
        <f>IF(OR($J23=0,COUNTIFS($A$4:$A22,"&gt;="&amp;$A23-1,$A$4:$A22,"&lt;="&amp;$A23,$B$4:$B22,$B23)&gt;0,MIN(BC$1,IF($A23=$A22,BC22,1))-AH23&lt;0),-1,MIN(1,IF($A23=$A22,BC22,1)-AH23+$D$3))</f>
        <v>1</v>
      </c>
      <c r="BD23">
        <f>IF(OR($J23=0,COUNTIFS($A$4:$A22,"&gt;="&amp;$A23-1,$A$4:$A22,"&lt;="&amp;$A23,$B$4:$B22,$B23)&gt;0,MIN(BD$1,IF($A23=$A22,BD22,1))-AI23&lt;0),-1,MIN(1,IF($A23=$A22,BD22,1)-AI23+$D$3))</f>
        <v>1</v>
      </c>
      <c r="BF23" s="87">
        <f t="shared" si="23"/>
        <v>5.5603951125894176E-2</v>
      </c>
      <c r="BG23" s="87">
        <f t="shared" si="24"/>
        <v>0.23255636055494594</v>
      </c>
      <c r="BH23" s="87">
        <f t="shared" si="25"/>
        <v>0.32938628501993711</v>
      </c>
      <c r="BI23" s="87">
        <f t="shared" si="26"/>
        <v>0.32085428363579027</v>
      </c>
      <c r="BJ23" s="87">
        <f t="shared" si="27"/>
        <v>0.5016529869196733</v>
      </c>
      <c r="BK23" s="87">
        <f t="shared" si="28"/>
        <v>3.8815485521414353E-2</v>
      </c>
      <c r="BL23" s="87">
        <f t="shared" si="29"/>
        <v>4.384026711220812E-2</v>
      </c>
      <c r="BM23" s="87">
        <f t="shared" si="30"/>
        <v>6.8035239010488274E-2</v>
      </c>
      <c r="BN23" s="87">
        <f t="shared" si="31"/>
        <v>8.006361889270544E-2</v>
      </c>
      <c r="BO23" s="87">
        <f t="shared" si="32"/>
        <v>1.7966972914782667E-2</v>
      </c>
      <c r="BP23" s="87">
        <f t="shared" si="33"/>
        <v>0.44733911541093391</v>
      </c>
      <c r="BQ23" s="87">
        <f t="shared" si="34"/>
        <v>4.5068466457952608E-2</v>
      </c>
      <c r="BR23" s="87">
        <f t="shared" si="35"/>
        <v>0.35855799030402291</v>
      </c>
      <c r="BS23" s="87">
        <f t="shared" si="36"/>
        <v>7.641983750811672E-2</v>
      </c>
      <c r="BT23" s="87">
        <f t="shared" si="37"/>
        <v>0.45142478469662528</v>
      </c>
      <c r="BU23" s="87">
        <f t="shared" si="38"/>
        <v>0.48303483319552493</v>
      </c>
      <c r="BV23" s="87">
        <f t="shared" si="39"/>
        <v>0.5242730067462642</v>
      </c>
      <c r="BW23" s="87">
        <f t="shared" si="40"/>
        <v>0.17206279592793619</v>
      </c>
      <c r="BX23" s="87">
        <f t="shared" si="41"/>
        <v>0.21060462971881011</v>
      </c>
      <c r="BY23" s="87">
        <f t="shared" si="42"/>
        <v>0.19821687470914423</v>
      </c>
      <c r="CA23" s="87">
        <f t="shared" si="2"/>
        <v>-0.72531101464708048</v>
      </c>
      <c r="CB23" s="87">
        <f t="shared" si="3"/>
        <v>-0.23409914313976099</v>
      </c>
      <c r="CC23" s="87">
        <f t="shared" si="4"/>
        <v>0.6272006321356367</v>
      </c>
      <c r="CD23" s="87">
        <f t="shared" si="5"/>
        <v>0.58505170646064864</v>
      </c>
      <c r="CE23" s="87">
        <f t="shared" si="6"/>
        <v>1.4782150761954593</v>
      </c>
      <c r="CF23" s="87">
        <f t="shared" si="7"/>
        <v>-0.90412384265897094</v>
      </c>
      <c r="CG23" s="87">
        <f t="shared" si="8"/>
        <v>-0.78342477024001678</v>
      </c>
      <c r="CH23" s="87">
        <f t="shared" si="9"/>
        <v>-0.77593282019688059</v>
      </c>
      <c r="CI23" s="87">
        <f t="shared" si="10"/>
        <v>-0.60447785108784524</v>
      </c>
      <c r="CJ23" s="87">
        <f t="shared" si="11"/>
        <v>-0.91124138734941973</v>
      </c>
      <c r="CK23" s="87">
        <f t="shared" si="12"/>
        <v>1.2098992109875168</v>
      </c>
      <c r="CL23" s="87">
        <f t="shared" si="13"/>
        <v>-0.77735734471966433</v>
      </c>
      <c r="CM23" s="87">
        <f t="shared" si="14"/>
        <v>0.18087448286778707</v>
      </c>
      <c r="CN23" s="87">
        <f t="shared" si="15"/>
        <v>-0.62247848937188288</v>
      </c>
      <c r="CO23" s="87">
        <f t="shared" si="16"/>
        <v>1.2300828189479143</v>
      </c>
      <c r="CP23" s="87">
        <f t="shared" si="17"/>
        <v>1.3862395663247344</v>
      </c>
      <c r="CQ23" s="87">
        <f t="shared" si="18"/>
        <v>0.72664013204139288</v>
      </c>
      <c r="CR23" s="87">
        <f t="shared" si="19"/>
        <v>-0.14999287148820972</v>
      </c>
      <c r="CS23" s="87">
        <f t="shared" si="20"/>
        <v>4.0407576740473017E-2</v>
      </c>
      <c r="CT23" s="87">
        <f t="shared" si="21"/>
        <v>-2.0789150929137246E-2</v>
      </c>
      <c r="CV23" s="88">
        <f t="shared" si="45"/>
        <v>0.81259931593210843</v>
      </c>
    </row>
    <row r="24" spans="1:100" x14ac:dyDescent="0.25">
      <c r="A24" s="89">
        <v>45050</v>
      </c>
      <c r="B24" s="57">
        <v>1</v>
      </c>
      <c r="C24" s="51" t="str" cm="1">
        <f t="array" ref="C24">IF(B24="","",INDEX(UWS!$B$10:$B$41,B24))</f>
        <v>Rowing machine</v>
      </c>
      <c r="D24" s="45">
        <f t="shared" si="0"/>
        <v>0.4</v>
      </c>
      <c r="E24" s="70">
        <f t="shared" si="22"/>
        <v>1.0117234513199398</v>
      </c>
      <c r="F24" s="52" cm="1">
        <f t="array" ref="F24">0.1+IFERROR(INDEX($F$5:$F23,SUMPRODUCT(MAX(ROW($C$5:$C23)*($C24=$C$5:$C23))-ROW($A$4)))*0.9^($A24-INDEX($A$5:A23,SUMPRODUCT(MAX(ROW($C$5:$C23)*($C24=$C$5:$C23))-ROW($A$4)))),0)</f>
        <v>0.1729</v>
      </c>
      <c r="G24" s="56">
        <f>INDEX(UWS!$AB$10:$AB$41,MATCH(C24,UWS!$B$10:$B$41,0))</f>
        <v>8.2000000000000011</v>
      </c>
      <c r="H24" s="52">
        <f>INDEX(UWS!$C$10:$C$41,MATCH(C24,UWS!$B$10:$B$41,0))</f>
        <v>1.1000000000000001</v>
      </c>
      <c r="I24" s="46">
        <f t="shared" si="44"/>
        <v>5</v>
      </c>
      <c r="J24" s="46">
        <f>INDEX(UWS!$E$10:$E$41,MATCH(C24,UWS!$B$10:$B$41,0))</f>
        <v>1</v>
      </c>
      <c r="K24" s="46"/>
      <c r="L24" s="109" t="str" cm="1">
        <f t="array" ref="L24">IF(K24="","",INDEX(UWS!$B$10:$B$41,K24))</f>
        <v/>
      </c>
      <c r="M24" s="46"/>
      <c r="N24" s="109" t="str" cm="1">
        <f t="array" ref="N24">IF(M24="","",INDEX(UWS!$B$10:$B$41,M24))</f>
        <v/>
      </c>
      <c r="O24" s="47"/>
      <c r="P24" s="47">
        <f>IFERROR(INDEX(UWS!$G$10:$Z$41,MATCH($C24,UWS!$B$10:$B$41,0),MATCH(P$4,UWS!$G$3:$Z$3,0)),0)</f>
        <v>0</v>
      </c>
      <c r="Q24" s="47">
        <f>IFERROR(INDEX(UWS!$G$10:$Z$41,MATCH($C24,UWS!$B$10:$B$41,0),MATCH(Q$4,UWS!$G$3:$Z$3,0)),0)</f>
        <v>1</v>
      </c>
      <c r="R24" s="47">
        <f>IFERROR(INDEX(UWS!$G$10:$Z$41,MATCH($C24,UWS!$B$10:$B$41,0),MATCH(R$4,UWS!$G$3:$Z$3,0)),0)</f>
        <v>0.8</v>
      </c>
      <c r="S24" s="47">
        <f>IFERROR(INDEX(UWS!$G$10:$Z$41,MATCH($C24,UWS!$B$10:$B$41,0),MATCH(S$4,UWS!$G$3:$Z$3,0)),0)</f>
        <v>0.8</v>
      </c>
      <c r="T24" s="47">
        <f>IFERROR(INDEX(UWS!$G$10:$Z$41,MATCH($C24,UWS!$B$10:$B$41,0),MATCH(T$4,UWS!$G$3:$Z$3,0)),0)</f>
        <v>0.7</v>
      </c>
      <c r="U24" s="47">
        <f>IFERROR(INDEX(UWS!$G$10:$Z$41,MATCH($C24,UWS!$B$10:$B$41,0),MATCH(U$4,UWS!$G$3:$Z$3,0)),0)</f>
        <v>0.6</v>
      </c>
      <c r="V24" s="47">
        <f>IFERROR(INDEX(UWS!$G$10:$Z$41,MATCH($C24,UWS!$B$10:$B$41,0),MATCH(V$4,UWS!$G$3:$Z$3,0)),0)</f>
        <v>0</v>
      </c>
      <c r="W24" s="47">
        <f>IFERROR(INDEX(UWS!$G$10:$Z$41,MATCH($C24,UWS!$B$10:$B$41,0),MATCH(W$4,UWS!$G$3:$Z$3,0)),0)</f>
        <v>0.6</v>
      </c>
      <c r="X24" s="47">
        <f>IFERROR(INDEX(UWS!$G$10:$Z$41,MATCH($C24,UWS!$B$10:$B$41,0),MATCH(X$4,UWS!$G$3:$Z$3,0)),0)</f>
        <v>0.4</v>
      </c>
      <c r="Y24" s="47">
        <f>IFERROR(INDEX(UWS!$G$10:$Z$41,MATCH($C24,UWS!$B$10:$B$41,0),MATCH(Y$4,UWS!$G$3:$Z$3,0)),0)</f>
        <v>0</v>
      </c>
      <c r="Z24" s="47">
        <f>IFERROR(INDEX(UWS!$G$10:$Z$41,MATCH($C24,UWS!$B$10:$B$41,0),MATCH(Z$4,UWS!$G$3:$Z$3,0)),0)</f>
        <v>0</v>
      </c>
      <c r="AA24" s="47">
        <f>IFERROR(INDEX(UWS!$G$10:$Z$41,MATCH($C24,UWS!$B$10:$B$41,0),MATCH(AA$4,UWS!$G$3:$Z$3,0)),0)</f>
        <v>0</v>
      </c>
      <c r="AB24" s="47">
        <f>IFERROR(INDEX(UWS!$G$10:$Z$41,MATCH($C24,UWS!$B$10:$B$41,0),MATCH(AB$4,UWS!$G$3:$Z$3,0)),0)</f>
        <v>0</v>
      </c>
      <c r="AC24" s="47">
        <f>IFERROR(INDEX(UWS!$G$10:$Z$41,MATCH($C24,UWS!$B$10:$B$41,0),MATCH(AC$4,UWS!$G$3:$Z$3,0)),0)</f>
        <v>0</v>
      </c>
      <c r="AD24" s="47">
        <f>IFERROR(INDEX(UWS!$G$10:$Z$41,MATCH($C24,UWS!$B$10:$B$41,0),MATCH(AD$4,UWS!$G$3:$Z$3,0)),0)</f>
        <v>1</v>
      </c>
      <c r="AE24" s="47">
        <f>IFERROR(INDEX(UWS!$G$10:$Z$41,MATCH($C24,UWS!$B$10:$B$41,0),MATCH(AE$4,UWS!$G$3:$Z$3,0)),0)</f>
        <v>0.7</v>
      </c>
      <c r="AF24" s="47">
        <f>IFERROR(INDEX(UWS!$G$10:$Z$41,MATCH($C24,UWS!$B$10:$B$41,0),MATCH(AF$4,UWS!$G$3:$Z$3,0)),0)</f>
        <v>0.7</v>
      </c>
      <c r="AG24" s="47">
        <f>IFERROR(INDEX(UWS!$G$10:$Z$41,MATCH($C24,UWS!$B$10:$B$41,0),MATCH(AG$4,UWS!$G$3:$Z$3,0)),0)</f>
        <v>0.3</v>
      </c>
      <c r="AH24" s="47">
        <f>IFERROR(INDEX(UWS!$G$10:$Z$41,MATCH($C24,UWS!$B$10:$B$41,0),MATCH(AH$4,UWS!$G$3:$Z$3,0)),0)</f>
        <v>0.3</v>
      </c>
      <c r="AI24" s="47">
        <f>IFERROR(INDEX(UWS!$G$10:$Z$41,MATCH($C24,UWS!$B$10:$B$41,0),MATCH(AI$4,UWS!$G$3:$Z$3,0)),0)</f>
        <v>0.3</v>
      </c>
      <c r="AJ24" s="47"/>
      <c r="AK24" s="47">
        <f>IF(OR($J24=0,COUNTIFS($A$4:$A23,"&gt;="&amp;$A24-1,$A$4:$A23,"&lt;="&amp;$A24,$B$4:$B23,$B24)&gt;0,MIN(AK$1,IF($A24=$A23,AK23,1))-P24&lt;0),-1,MIN(1,IF($A24=$A23,AK23,1)-P24+$D$3))</f>
        <v>1</v>
      </c>
      <c r="AL24" s="47">
        <f>IF(OR($J24=0,COUNTIFS($A$4:$A23,"&gt;="&amp;$A24-1,$A$4:$A23,"&lt;="&amp;$A24,$B$4:$B23,$B24)&gt;0,MIN(AL$1,IF($A24=$A23,AL23,1))-Q24&lt;0),-1,MIN(1,IF($A24=$A23,AL23,1)-Q24+$D$3))</f>
        <v>0.4</v>
      </c>
      <c r="AM24" s="47">
        <f>IF(OR($J24=0,COUNTIFS($A$4:$A23,"&gt;="&amp;$A24-1,$A$4:$A23,"&lt;="&amp;$A24,$B$4:$B23,$B24)&gt;0,MIN(AM$1,IF($A24=$A23,AM23,1))-R24&lt;0),-1,MIN(1,IF($A24=$A23,AM23,1)-R24+$D$3))</f>
        <v>0.6</v>
      </c>
      <c r="AN24" s="47">
        <f>IF(OR($J24=0,COUNTIFS($A$4:$A23,"&gt;="&amp;$A24-1,$A$4:$A23,"&lt;="&amp;$A24,$B$4:$B23,$B24)&gt;0,MIN(AN$1,IF($A24=$A23,AN23,1))-S24&lt;0),-1,MIN(1,IF($A24=$A23,AN23,1)-S24+$D$3))</f>
        <v>0.6</v>
      </c>
      <c r="AO24" s="47">
        <f>IF(OR($J24=0,COUNTIFS($A$4:$A23,"&gt;="&amp;$A24-1,$A$4:$A23,"&lt;="&amp;$A24,$B$4:$B23,$B24)&gt;0,MIN(AO$1,IF($A24=$A23,AO23,1))-T24&lt;0),-1,MIN(1,IF($A24=$A23,AO23,1)-T24+$D$3))</f>
        <v>0.70000000000000007</v>
      </c>
      <c r="AP24" s="47">
        <f>IF(OR($J24=0,COUNTIFS($A$4:$A23,"&gt;="&amp;$A24-1,$A$4:$A23,"&lt;="&amp;$A24,$B$4:$B23,$B24)&gt;0,MIN(AP$1,IF($A24=$A23,AP23,1))-U24&lt;0),-1,MIN(1,IF($A24=$A23,AP23,1)-U24+$D$3))</f>
        <v>0.8</v>
      </c>
      <c r="AQ24" s="47">
        <f>IF(OR($J24=0,COUNTIFS($A$4:$A23,"&gt;="&amp;$A24-1,$A$4:$A23,"&lt;="&amp;$A24,$B$4:$B23,$B24)&gt;0,MIN(AQ$1,IF($A24=$A23,AQ23,1))-V24&lt;0),-1,MIN(1,IF($A24=$A23,AQ23,1)-V24+$D$3))</f>
        <v>1</v>
      </c>
      <c r="AR24" s="47">
        <f>IF(OR($J24=0,COUNTIFS($A$4:$A23,"&gt;="&amp;$A24-1,$A$4:$A23,"&lt;="&amp;$A24,$B$4:$B23,$B24)&gt;0,MIN(AR$1,IF($A24=$A23,AR23,1))-W24&lt;0),-1,MIN(1,IF($A24=$A23,AR23,1)-W24+$D$3))</f>
        <v>0.8</v>
      </c>
      <c r="AS24" s="47">
        <f>IF(OR($J24=0,COUNTIFS($A$4:$A23,"&gt;="&amp;$A24-1,$A$4:$A23,"&lt;="&amp;$A24,$B$4:$B23,$B24)&gt;0,MIN(AS$1,IF($A24=$A23,AS23,1))-X24&lt;0),-1,MIN(1,IF($A24=$A23,AS23,1)-X24+$D$3))</f>
        <v>1</v>
      </c>
      <c r="AT24" s="47">
        <f>IF(OR($J24=0,COUNTIFS($A$4:$A23,"&gt;="&amp;$A24-1,$A$4:$A23,"&lt;="&amp;$A24,$B$4:$B23,$B24)&gt;0,MIN(AT$1,IF($A24=$A23,AT23,1))-Y24&lt;0),-1,MIN(1,IF($A24=$A23,AT23,1)-Y24+$D$3))</f>
        <v>1</v>
      </c>
      <c r="AU24" s="47">
        <f>IF(OR($J24=0,COUNTIFS($A$4:$A23,"&gt;="&amp;$A24-1,$A$4:$A23,"&lt;="&amp;$A24,$B$4:$B23,$B24)&gt;0,MIN(AU$1,IF($A24=$A23,AU23,1))-Z24&lt;0),-1,MIN(1,IF($A24=$A23,AU23,1)-Z24+$D$3))</f>
        <v>1</v>
      </c>
      <c r="AV24" s="47">
        <f>IF(OR($J24=0,COUNTIFS($A$4:$A23,"&gt;="&amp;$A24-1,$A$4:$A23,"&lt;="&amp;$A24,$B$4:$B23,$B24)&gt;0,MIN(AV$1,IF($A24=$A23,AV23,1))-AA24&lt;0),-1,MIN(1,IF($A24=$A23,AV23,1)-AA24+$D$3))</f>
        <v>1</v>
      </c>
      <c r="AW24" s="47">
        <f>IF(OR($J24=0,COUNTIFS($A$4:$A23,"&gt;="&amp;$A24-1,$A$4:$A23,"&lt;="&amp;$A24,$B$4:$B23,$B24)&gt;0,MIN(AW$1,IF($A24=$A23,AW23,1))-AB24&lt;0),-1,MIN(1,IF($A24=$A23,AW23,1)-AB24+$D$3))</f>
        <v>1</v>
      </c>
      <c r="AX24" s="47">
        <f>IF(OR($J24=0,COUNTIFS($A$4:$A23,"&gt;="&amp;$A24-1,$A$4:$A23,"&lt;="&amp;$A24,$B$4:$B23,$B24)&gt;0,MIN(AX$1,IF($A24=$A23,AX23,1))-AC24&lt;0),-1,MIN(1,IF($A24=$A23,AX23,1)-AC24+$D$3))</f>
        <v>1</v>
      </c>
      <c r="AY24" s="47">
        <f>IF(OR($J24=0,COUNTIFS($A$4:$A23,"&gt;="&amp;$A24-1,$A$4:$A23,"&lt;="&amp;$A24,$B$4:$B23,$B24)&gt;0,MIN(AY$1,IF($A24=$A23,AY23,1))-AD24&lt;0),-1,MIN(1,IF($A24=$A23,AY23,1)-AD24+$D$3))</f>
        <v>0.4</v>
      </c>
      <c r="AZ24" s="47">
        <f>IF(OR($J24=0,COUNTIFS($A$4:$A23,"&gt;="&amp;$A24-1,$A$4:$A23,"&lt;="&amp;$A24,$B$4:$B23,$B24)&gt;0,MIN(AZ$1,IF($A24=$A23,AZ23,1))-AE24&lt;0),-1,MIN(1,IF($A24=$A23,AZ23,1)-AE24+$D$3))</f>
        <v>0.50000000000000011</v>
      </c>
      <c r="BA24" s="47">
        <f>IF(OR($J24=0,COUNTIFS($A$4:$A23,"&gt;="&amp;$A24-1,$A$4:$A23,"&lt;="&amp;$A24,$B$4:$B23,$B24)&gt;0,MIN(BA$1,IF($A24=$A23,BA23,1))-AF24&lt;0),-1,MIN(1,IF($A24=$A23,BA23,1)-AF24+$D$3))</f>
        <v>0.70000000000000007</v>
      </c>
      <c r="BB24" s="47">
        <f>IF(OR($J24=0,COUNTIFS($A$4:$A23,"&gt;="&amp;$A24-1,$A$4:$A23,"&lt;="&amp;$A24,$B$4:$B23,$B24)&gt;0,MIN(BB$1,IF($A24=$A23,BB23,1))-AG24&lt;0),-1,MIN(1,IF($A24=$A23,BB23,1)-AG24+$D$3))</f>
        <v>0.5</v>
      </c>
      <c r="BC24" s="47">
        <f>IF(OR($J24=0,COUNTIFS($A$4:$A23,"&gt;="&amp;$A24-1,$A$4:$A23,"&lt;="&amp;$A24,$B$4:$B23,$B24)&gt;0,MIN(BC$1,IF($A24=$A23,BC23,1))-AH24&lt;0),-1,MIN(1,IF($A24=$A23,BC23,1)-AH24+$D$3))</f>
        <v>1</v>
      </c>
      <c r="BD24" s="47">
        <f>IF(OR($J24=0,COUNTIFS($A$4:$A23,"&gt;="&amp;$A24-1,$A$4:$A23,"&lt;="&amp;$A24,$B$4:$B23,$B24)&gt;0,MIN(BD$1,IF($A24=$A23,BD23,1))-AI24&lt;0),-1,MIN(1,IF($A24=$A23,BD23,1)-AI24+$D$3))</f>
        <v>1</v>
      </c>
      <c r="BE24" s="47"/>
      <c r="BF24" s="53">
        <f t="shared" si="23"/>
        <v>5.2823753569599466E-2</v>
      </c>
      <c r="BG24" s="53">
        <f t="shared" si="24"/>
        <v>0.27092854252719861</v>
      </c>
      <c r="BH24" s="53">
        <f t="shared" si="25"/>
        <v>0.35291697076894024</v>
      </c>
      <c r="BI24" s="53">
        <f t="shared" si="26"/>
        <v>0.34481156945400071</v>
      </c>
      <c r="BJ24" s="53">
        <f t="shared" si="27"/>
        <v>0.51157033757368964</v>
      </c>
      <c r="BK24" s="53">
        <f t="shared" si="28"/>
        <v>6.6874711245343638E-2</v>
      </c>
      <c r="BL24" s="53">
        <f t="shared" si="29"/>
        <v>4.1648253756597711E-2</v>
      </c>
      <c r="BM24" s="53">
        <f t="shared" si="30"/>
        <v>9.4633477059963861E-2</v>
      </c>
      <c r="BN24" s="53">
        <f t="shared" si="31"/>
        <v>9.6060437948070163E-2</v>
      </c>
      <c r="BO24" s="53">
        <f t="shared" si="32"/>
        <v>1.7068624269043535E-2</v>
      </c>
      <c r="BP24" s="53">
        <f t="shared" si="33"/>
        <v>0.4249721596403872</v>
      </c>
      <c r="BQ24" s="53">
        <f t="shared" si="34"/>
        <v>4.2815043135054978E-2</v>
      </c>
      <c r="BR24" s="53">
        <f t="shared" si="35"/>
        <v>0.34063009078882173</v>
      </c>
      <c r="BS24" s="53">
        <f t="shared" si="36"/>
        <v>7.2598845632710879E-2</v>
      </c>
      <c r="BT24" s="53">
        <f t="shared" si="37"/>
        <v>0.47885354546179398</v>
      </c>
      <c r="BU24" s="53">
        <f t="shared" si="38"/>
        <v>0.49388309153574861</v>
      </c>
      <c r="BV24" s="53">
        <f t="shared" si="39"/>
        <v>0.53305935640895097</v>
      </c>
      <c r="BW24" s="53">
        <f t="shared" si="40"/>
        <v>0.17845965613153936</v>
      </c>
      <c r="BX24" s="53">
        <f t="shared" si="41"/>
        <v>0.21507439823286961</v>
      </c>
      <c r="BY24" s="53">
        <f t="shared" si="42"/>
        <v>0.20330603097368699</v>
      </c>
      <c r="BZ24" s="47"/>
      <c r="CA24" s="53">
        <f t="shared" si="2"/>
        <v>-0.74861387886124231</v>
      </c>
      <c r="CB24" s="53">
        <f t="shared" si="3"/>
        <v>-0.14044130011886702</v>
      </c>
      <c r="CC24" s="53">
        <f t="shared" si="4"/>
        <v>0.6795176860870118</v>
      </c>
      <c r="CD24" s="53">
        <f t="shared" si="5"/>
        <v>0.64094440684908416</v>
      </c>
      <c r="CE24" s="53">
        <f t="shared" si="6"/>
        <v>1.434542685098132</v>
      </c>
      <c r="CF24" s="53">
        <f t="shared" si="7"/>
        <v>-0.84087296787712096</v>
      </c>
      <c r="CG24" s="53">
        <f t="shared" si="8"/>
        <v>-0.80179763351578159</v>
      </c>
      <c r="CH24" s="53">
        <f t="shared" si="9"/>
        <v>-0.6997620562671889</v>
      </c>
      <c r="CI24" s="53">
        <f t="shared" si="10"/>
        <v>-0.54285223485986389</v>
      </c>
      <c r="CJ24" s="53">
        <f t="shared" si="11"/>
        <v>-0.91877110280479724</v>
      </c>
      <c r="CK24" s="53">
        <f t="shared" si="12"/>
        <v>1.022425435239056</v>
      </c>
      <c r="CL24" s="53">
        <f t="shared" si="13"/>
        <v>-0.79624492973736105</v>
      </c>
      <c r="CM24" s="53">
        <f t="shared" si="14"/>
        <v>8.0696611909904181E-2</v>
      </c>
      <c r="CN24" s="53">
        <f t="shared" si="15"/>
        <v>-0.65450501016152973</v>
      </c>
      <c r="CO24" s="53">
        <f t="shared" si="16"/>
        <v>1.2788447857756982</v>
      </c>
      <c r="CP24" s="53">
        <f t="shared" si="17"/>
        <v>1.350369791756759</v>
      </c>
      <c r="CQ24" s="53">
        <f t="shared" si="18"/>
        <v>0.69120537496839396</v>
      </c>
      <c r="CR24" s="53">
        <f t="shared" si="19"/>
        <v>-0.15071766576461476</v>
      </c>
      <c r="CS24" s="53">
        <f t="shared" si="20"/>
        <v>2.3530420964432253E-2</v>
      </c>
      <c r="CT24" s="53">
        <f t="shared" si="21"/>
        <v>-3.2474766049102044E-2</v>
      </c>
      <c r="CU24" s="47"/>
      <c r="CV24" s="90">
        <f t="shared" si="45"/>
        <v>0.7926012836271803</v>
      </c>
    </row>
    <row r="25" spans="1:100" x14ac:dyDescent="0.25">
      <c r="A25" s="75">
        <v>45052</v>
      </c>
      <c r="B25" s="76">
        <v>15</v>
      </c>
      <c r="C25" s="77" t="str" cm="1">
        <f t="array" ref="C25">IF(B25="","",INDEX(UWS!$B$10:$B$41,B25))</f>
        <v>Chin up</v>
      </c>
      <c r="D25" s="78">
        <f t="shared" si="0"/>
        <v>0.4</v>
      </c>
      <c r="E25" s="79">
        <f t="shared" si="22"/>
        <v>1.7341802083837921</v>
      </c>
      <c r="F25" s="80" cm="1">
        <f t="array" ref="F25">0.1+IFERROR(INDEX($F$5:$F24,SUMPRODUCT(MAX(ROW($C$5:$C24)*($C25=$C$5:$C24))-ROW($A$4)))*0.9^($A25-INDEX($A$5:A24,SUMPRODUCT(MAX(ROW($C$5:$C24)*($C25=$C$5:$C24))-ROW($A$4)))),0)</f>
        <v>0.1</v>
      </c>
      <c r="G25" s="81">
        <f>INDEX(UWS!$AB$10:$AB$41,MATCH(C25,UWS!$B$10:$B$41,0))</f>
        <v>3.8</v>
      </c>
      <c r="H25" s="80">
        <f>INDEX(UWS!$C$10:$C$41,MATCH(C25,UWS!$B$10:$B$41,0))</f>
        <v>1.1000000000000001</v>
      </c>
      <c r="I25" s="82">
        <f t="shared" si="44"/>
        <v>1</v>
      </c>
      <c r="J25" s="82">
        <f>INDEX(UWS!$E$10:$E$41,MATCH(C25,UWS!$B$10:$B$41,0))</f>
        <v>1</v>
      </c>
      <c r="K25" s="82"/>
      <c r="L25" s="107" t="str" cm="1">
        <f t="array" ref="L25">IF(K25="","",INDEX(UWS!$B$10:$B$41,K25))</f>
        <v/>
      </c>
      <c r="M25" s="82"/>
      <c r="N25" s="107" t="str" cm="1">
        <f t="array" ref="N25">IF(M25="","",INDEX(UWS!$B$10:$B$41,M25))</f>
        <v/>
      </c>
      <c r="O25" s="3"/>
      <c r="P25" s="3">
        <f>IFERROR(INDEX(UWS!$G$10:$Z$41,MATCH($C25,UWS!$B$10:$B$41,0),MATCH(P$4,UWS!$G$3:$Z$3,0)),0)</f>
        <v>0</v>
      </c>
      <c r="Q25" s="3">
        <f>IFERROR(INDEX(UWS!$G$10:$Z$41,MATCH($C25,UWS!$B$10:$B$41,0),MATCH(Q$4,UWS!$G$3:$Z$3,0)),0)</f>
        <v>1</v>
      </c>
      <c r="R25" s="3">
        <f>IFERROR(INDEX(UWS!$G$10:$Z$41,MATCH($C25,UWS!$B$10:$B$41,0),MATCH(R$4,UWS!$G$3:$Z$3,0)),0)</f>
        <v>0.5</v>
      </c>
      <c r="S25" s="3">
        <f>IFERROR(INDEX(UWS!$G$10:$Z$41,MATCH($C25,UWS!$B$10:$B$41,0),MATCH(S$4,UWS!$G$3:$Z$3,0)),0)</f>
        <v>0.5</v>
      </c>
      <c r="T25" s="3">
        <f>IFERROR(INDEX(UWS!$G$10:$Z$41,MATCH($C25,UWS!$B$10:$B$41,0),MATCH(T$4,UWS!$G$3:$Z$3,0)),0)</f>
        <v>0</v>
      </c>
      <c r="U25" s="3">
        <f>IFERROR(INDEX(UWS!$G$10:$Z$41,MATCH($C25,UWS!$B$10:$B$41,0),MATCH(U$4,UWS!$G$3:$Z$3,0)),0)</f>
        <v>0</v>
      </c>
      <c r="V25" s="3">
        <f>IFERROR(INDEX(UWS!$G$10:$Z$41,MATCH($C25,UWS!$B$10:$B$41,0),MATCH(V$4,UWS!$G$3:$Z$3,0)),0)</f>
        <v>0</v>
      </c>
      <c r="W25" s="3">
        <f>IFERROR(INDEX(UWS!$G$10:$Z$41,MATCH($C25,UWS!$B$10:$B$41,0),MATCH(W$4,UWS!$G$3:$Z$3,0)),0)</f>
        <v>0.5</v>
      </c>
      <c r="X25" s="3">
        <f>IFERROR(INDEX(UWS!$G$10:$Z$41,MATCH($C25,UWS!$B$10:$B$41,0),MATCH(X$4,UWS!$G$3:$Z$3,0)),0)</f>
        <v>0.9</v>
      </c>
      <c r="Y25" s="3">
        <f>IFERROR(INDEX(UWS!$G$10:$Z$41,MATCH($C25,UWS!$B$10:$B$41,0),MATCH(Y$4,UWS!$G$3:$Z$3,0)),0)</f>
        <v>0</v>
      </c>
      <c r="Z25" s="3">
        <f>IFERROR(INDEX(UWS!$G$10:$Z$41,MATCH($C25,UWS!$B$10:$B$41,0),MATCH(Z$4,UWS!$G$3:$Z$3,0)),0)</f>
        <v>0.4</v>
      </c>
      <c r="AA25" s="3">
        <f>IFERROR(INDEX(UWS!$G$10:$Z$41,MATCH($C25,UWS!$B$10:$B$41,0),MATCH(AA$4,UWS!$G$3:$Z$3,0)),0)</f>
        <v>0</v>
      </c>
      <c r="AB25" s="3">
        <f>IFERROR(INDEX(UWS!$G$10:$Z$41,MATCH($C25,UWS!$B$10:$B$41,0),MATCH(AB$4,UWS!$G$3:$Z$3,0)),0)</f>
        <v>0</v>
      </c>
      <c r="AC25" s="3">
        <f>IFERROR(INDEX(UWS!$G$10:$Z$41,MATCH($C25,UWS!$B$10:$B$41,0),MATCH(AC$4,UWS!$G$3:$Z$3,0)),0)</f>
        <v>0</v>
      </c>
      <c r="AD25" s="3">
        <f>IFERROR(INDEX(UWS!$G$10:$Z$41,MATCH($C25,UWS!$B$10:$B$41,0),MATCH(AD$4,UWS!$G$3:$Z$3,0)),0)</f>
        <v>0</v>
      </c>
      <c r="AE25" s="3">
        <f>IFERROR(INDEX(UWS!$G$10:$Z$41,MATCH($C25,UWS!$B$10:$B$41,0),MATCH(AE$4,UWS!$G$3:$Z$3,0)),0)</f>
        <v>0</v>
      </c>
      <c r="AF25" s="3">
        <f>IFERROR(INDEX(UWS!$G$10:$Z$41,MATCH($C25,UWS!$B$10:$B$41,0),MATCH(AF$4,UWS!$G$3:$Z$3,0)),0)</f>
        <v>0</v>
      </c>
      <c r="AG25" s="3">
        <f>IFERROR(INDEX(UWS!$G$10:$Z$41,MATCH($C25,UWS!$B$10:$B$41,0),MATCH(AG$4,UWS!$G$3:$Z$3,0)),0)</f>
        <v>0</v>
      </c>
      <c r="AH25" s="3">
        <f>IFERROR(INDEX(UWS!$G$10:$Z$41,MATCH($C25,UWS!$B$10:$B$41,0),MATCH(AH$4,UWS!$G$3:$Z$3,0)),0)</f>
        <v>0</v>
      </c>
      <c r="AI25" s="3">
        <f>IFERROR(INDEX(UWS!$G$10:$Z$41,MATCH($C25,UWS!$B$10:$B$41,0),MATCH(AI$4,UWS!$G$3:$Z$3,0)),0)</f>
        <v>0</v>
      </c>
      <c r="AJ25" s="3"/>
      <c r="AK25" s="3">
        <f>IF(OR($J25=0,COUNTIFS($A$4:$A24,"&gt;="&amp;$A25-1,$A$4:$A24,"&lt;="&amp;$A25,$B$4:$B24,$B25)&gt;0,MIN(AK$1,IF($A25=$A24,AK24,1))-P25&lt;0),-1,MIN(1,IF($A25=$A24,AK24,1)-P25+$D$3))</f>
        <v>1</v>
      </c>
      <c r="AL25" s="3">
        <f>IF(OR($J25=0,COUNTIFS($A$4:$A24,"&gt;="&amp;$A25-1,$A$4:$A24,"&lt;="&amp;$A25,$B$4:$B24,$B25)&gt;0,MIN(AL$1,IF($A25=$A24,AL24,1))-Q25&lt;0),-1,MIN(1,IF($A25=$A24,AL24,1)-Q25+$D$3))</f>
        <v>0.4</v>
      </c>
      <c r="AM25" s="3">
        <f>IF(OR($J25=0,COUNTIFS($A$4:$A24,"&gt;="&amp;$A25-1,$A$4:$A24,"&lt;="&amp;$A25,$B$4:$B24,$B25)&gt;0,MIN(AM$1,IF($A25=$A24,AM24,1))-R25&lt;0),-1,MIN(1,IF($A25=$A24,AM24,1)-R25+$D$3))</f>
        <v>0.9</v>
      </c>
      <c r="AN25" s="3">
        <f>IF(OR($J25=0,COUNTIFS($A$4:$A24,"&gt;="&amp;$A25-1,$A$4:$A24,"&lt;="&amp;$A25,$B$4:$B24,$B25)&gt;0,MIN(AN$1,IF($A25=$A24,AN24,1))-S25&lt;0),-1,MIN(1,IF($A25=$A24,AN24,1)-S25+$D$3))</f>
        <v>0.9</v>
      </c>
      <c r="AO25" s="3">
        <f>IF(OR($J25=0,COUNTIFS($A$4:$A24,"&gt;="&amp;$A25-1,$A$4:$A24,"&lt;="&amp;$A25,$B$4:$B24,$B25)&gt;0,MIN(AO$1,IF($A25=$A24,AO24,1))-T25&lt;0),-1,MIN(1,IF($A25=$A24,AO24,1)-T25+$D$3))</f>
        <v>1</v>
      </c>
      <c r="AP25" s="3">
        <f>IF(OR($J25=0,COUNTIFS($A$4:$A24,"&gt;="&amp;$A25-1,$A$4:$A24,"&lt;="&amp;$A25,$B$4:$B24,$B25)&gt;0,MIN(AP$1,IF($A25=$A24,AP24,1))-U25&lt;0),-1,MIN(1,IF($A25=$A24,AP24,1)-U25+$D$3))</f>
        <v>1</v>
      </c>
      <c r="AQ25" s="3">
        <f>IF(OR($J25=0,COUNTIFS($A$4:$A24,"&gt;="&amp;$A25-1,$A$4:$A24,"&lt;="&amp;$A25,$B$4:$B24,$B25)&gt;0,MIN(AQ$1,IF($A25=$A24,AQ24,1))-V25&lt;0),-1,MIN(1,IF($A25=$A24,AQ24,1)-V25+$D$3))</f>
        <v>1</v>
      </c>
      <c r="AR25" s="3">
        <f>IF(OR($J25=0,COUNTIFS($A$4:$A24,"&gt;="&amp;$A25-1,$A$4:$A24,"&lt;="&amp;$A25,$B$4:$B24,$B25)&gt;0,MIN(AR$1,IF($A25=$A24,AR24,1))-W25&lt;0),-1,MIN(1,IF($A25=$A24,AR24,1)-W25+$D$3))</f>
        <v>0.9</v>
      </c>
      <c r="AS25" s="3">
        <f>IF(OR($J25=0,COUNTIFS($A$4:$A24,"&gt;="&amp;$A25-1,$A$4:$A24,"&lt;="&amp;$A25,$B$4:$B24,$B25)&gt;0,MIN(AS$1,IF($A25=$A24,AS24,1))-X25&lt;0),-1,MIN(1,IF($A25=$A24,AS24,1)-X25+$D$3))</f>
        <v>0.5</v>
      </c>
      <c r="AT25" s="3">
        <f>IF(OR($J25=0,COUNTIFS($A$4:$A24,"&gt;="&amp;$A25-1,$A$4:$A24,"&lt;="&amp;$A25,$B$4:$B24,$B25)&gt;0,MIN(AT$1,IF($A25=$A24,AT24,1))-Y25&lt;0),-1,MIN(1,IF($A25=$A24,AT24,1)-Y25+$D$3))</f>
        <v>1</v>
      </c>
      <c r="AU25" s="3">
        <f>IF(OR($J25=0,COUNTIFS($A$4:$A24,"&gt;="&amp;$A25-1,$A$4:$A24,"&lt;="&amp;$A25,$B$4:$B24,$B25)&gt;0,MIN(AU$1,IF($A25=$A24,AU24,1))-Z25&lt;0),-1,MIN(1,IF($A25=$A24,AU24,1)-Z25+$D$3))</f>
        <v>1</v>
      </c>
      <c r="AV25" s="3">
        <f>IF(OR($J25=0,COUNTIFS($A$4:$A24,"&gt;="&amp;$A25-1,$A$4:$A24,"&lt;="&amp;$A25,$B$4:$B24,$B25)&gt;0,MIN(AV$1,IF($A25=$A24,AV24,1))-AA25&lt;0),-1,MIN(1,IF($A25=$A24,AV24,1)-AA25+$D$3))</f>
        <v>1</v>
      </c>
      <c r="AW25" s="3">
        <f>IF(OR($J25=0,COUNTIFS($A$4:$A24,"&gt;="&amp;$A25-1,$A$4:$A24,"&lt;="&amp;$A25,$B$4:$B24,$B25)&gt;0,MIN(AW$1,IF($A25=$A24,AW24,1))-AB25&lt;0),-1,MIN(1,IF($A25=$A24,AW24,1)-AB25+$D$3))</f>
        <v>1</v>
      </c>
      <c r="AX25" s="3">
        <f>IF(OR($J25=0,COUNTIFS($A$4:$A24,"&gt;="&amp;$A25-1,$A$4:$A24,"&lt;="&amp;$A25,$B$4:$B24,$B25)&gt;0,MIN(AX$1,IF($A25=$A24,AX24,1))-AC25&lt;0),-1,MIN(1,IF($A25=$A24,AX24,1)-AC25+$D$3))</f>
        <v>1</v>
      </c>
      <c r="AY25" s="3">
        <f>IF(OR($J25=0,COUNTIFS($A$4:$A24,"&gt;="&amp;$A25-1,$A$4:$A24,"&lt;="&amp;$A25,$B$4:$B24,$B25)&gt;0,MIN(AY$1,IF($A25=$A24,AY24,1))-AD25&lt;0),-1,MIN(1,IF($A25=$A24,AY24,1)-AD25+$D$3))</f>
        <v>1</v>
      </c>
      <c r="AZ25" s="3">
        <f>IF(OR($J25=0,COUNTIFS($A$4:$A24,"&gt;="&amp;$A25-1,$A$4:$A24,"&lt;="&amp;$A25,$B$4:$B24,$B25)&gt;0,MIN(AZ$1,IF($A25=$A24,AZ24,1))-AE25&lt;0),-1,MIN(1,IF($A25=$A24,AZ24,1)-AE25+$D$3))</f>
        <v>1</v>
      </c>
      <c r="BA25" s="3">
        <f>IF(OR($J25=0,COUNTIFS($A$4:$A24,"&gt;="&amp;$A25-1,$A$4:$A24,"&lt;="&amp;$A25,$B$4:$B24,$B25)&gt;0,MIN(BA$1,IF($A25=$A24,BA24,1))-AF25&lt;0),-1,MIN(1,IF($A25=$A24,BA24,1)-AF25+$D$3))</f>
        <v>1</v>
      </c>
      <c r="BB25" s="3">
        <f>IF(OR($J25=0,COUNTIFS($A$4:$A24,"&gt;="&amp;$A25-1,$A$4:$A24,"&lt;="&amp;$A25,$B$4:$B24,$B25)&gt;0,MIN(BB$1,IF($A25=$A24,BB24,1))-AG25&lt;0),-1,MIN(1,IF($A25=$A24,BB24,1)-AG25+$D$3))</f>
        <v>1</v>
      </c>
      <c r="BC25" s="3">
        <f>IF(OR($J25=0,COUNTIFS($A$4:$A24,"&gt;="&amp;$A25-1,$A$4:$A24,"&lt;="&amp;$A25,$B$4:$B24,$B25)&gt;0,MIN(BC$1,IF($A25=$A24,BC24,1))-AH25&lt;0),-1,MIN(1,IF($A25=$A24,BC24,1)-AH25+$D$3))</f>
        <v>1</v>
      </c>
      <c r="BD25" s="3">
        <f>IF(OR($J25=0,COUNTIFS($A$4:$A24,"&gt;="&amp;$A25-1,$A$4:$A24,"&lt;="&amp;$A25,$B$4:$B24,$B25)&gt;0,MIN(BD$1,IF($A25=$A24,BD24,1))-AI25&lt;0),-1,MIN(1,IF($A25=$A24,BD24,1)-AI25+$D$3))</f>
        <v>1</v>
      </c>
      <c r="BE25" s="3"/>
      <c r="BF25" s="83">
        <f t="shared" si="23"/>
        <v>5.0182565891119489E-2</v>
      </c>
      <c r="BG25" s="83">
        <f t="shared" si="24"/>
        <v>0.30738211540083865</v>
      </c>
      <c r="BH25" s="83">
        <f t="shared" si="25"/>
        <v>0.36027112223049323</v>
      </c>
      <c r="BI25" s="83">
        <f t="shared" si="26"/>
        <v>0.35257099098130068</v>
      </c>
      <c r="BJ25" s="83">
        <f t="shared" si="27"/>
        <v>0.48599182069500513</v>
      </c>
      <c r="BK25" s="83">
        <f t="shared" si="28"/>
        <v>6.3530975683076446E-2</v>
      </c>
      <c r="BL25" s="83">
        <f t="shared" si="29"/>
        <v>3.9565841068767822E-2</v>
      </c>
      <c r="BM25" s="83">
        <f t="shared" si="30"/>
        <v>0.11490180320696566</v>
      </c>
      <c r="BN25" s="83">
        <f t="shared" si="31"/>
        <v>0.13625741605066666</v>
      </c>
      <c r="BO25" s="83">
        <f t="shared" si="32"/>
        <v>1.6215193055591357E-2</v>
      </c>
      <c r="BP25" s="83">
        <f t="shared" si="33"/>
        <v>0.42372355165836784</v>
      </c>
      <c r="BQ25" s="83">
        <f t="shared" si="34"/>
        <v>4.0674290978302226E-2</v>
      </c>
      <c r="BR25" s="83">
        <f t="shared" si="35"/>
        <v>0.32359858624938065</v>
      </c>
      <c r="BS25" s="83">
        <f t="shared" si="36"/>
        <v>6.8968903351075334E-2</v>
      </c>
      <c r="BT25" s="83">
        <f t="shared" si="37"/>
        <v>0.45491086818870424</v>
      </c>
      <c r="BU25" s="83">
        <f t="shared" si="38"/>
        <v>0.46918893695896113</v>
      </c>
      <c r="BV25" s="83">
        <f t="shared" si="39"/>
        <v>0.5064063885885034</v>
      </c>
      <c r="BW25" s="83">
        <f t="shared" si="40"/>
        <v>0.16953667332496239</v>
      </c>
      <c r="BX25" s="83">
        <f t="shared" si="41"/>
        <v>0.20432067832122613</v>
      </c>
      <c r="BY25" s="83">
        <f t="shared" si="42"/>
        <v>0.19314072942500263</v>
      </c>
      <c r="BZ25" s="3"/>
      <c r="CA25" s="83">
        <f t="shared" si="2"/>
        <v>-0.75860341495312023</v>
      </c>
      <c r="CB25" s="83">
        <f t="shared" si="3"/>
        <v>-1.4252703840860304E-2</v>
      </c>
      <c r="CC25" s="83">
        <f t="shared" si="4"/>
        <v>0.73303650487187078</v>
      </c>
      <c r="CD25" s="83">
        <f t="shared" si="5"/>
        <v>0.69599604360887302</v>
      </c>
      <c r="CE25" s="83">
        <f t="shared" si="6"/>
        <v>1.3377992693922933</v>
      </c>
      <c r="CF25" s="83">
        <f t="shared" si="7"/>
        <v>-0.84719632902126119</v>
      </c>
      <c r="CG25" s="83">
        <f t="shared" si="8"/>
        <v>-0.80967376321029583</v>
      </c>
      <c r="CH25" s="83">
        <f t="shared" si="9"/>
        <v>-0.63152006522118254</v>
      </c>
      <c r="CI25" s="83">
        <f t="shared" si="10"/>
        <v>-0.34455175143279093</v>
      </c>
      <c r="CJ25" s="83">
        <f t="shared" si="11"/>
        <v>-0.92199896199033693</v>
      </c>
      <c r="CK25" s="83">
        <f t="shared" si="12"/>
        <v>1.0382660104744859</v>
      </c>
      <c r="CL25" s="83">
        <f t="shared" si="13"/>
        <v>-0.80434171176761582</v>
      </c>
      <c r="CM25" s="83">
        <f t="shared" si="14"/>
        <v>3.7752085934720014E-2</v>
      </c>
      <c r="CN25" s="83">
        <f t="shared" si="15"/>
        <v>-0.66823422741075622</v>
      </c>
      <c r="CO25" s="83">
        <f t="shared" si="16"/>
        <v>1.188288464956663</v>
      </c>
      <c r="CP25" s="83">
        <f t="shared" si="17"/>
        <v>1.2569712232214103</v>
      </c>
      <c r="CQ25" s="83">
        <f t="shared" si="18"/>
        <v>0.62400056248513236</v>
      </c>
      <c r="CR25" s="83">
        <f t="shared" si="19"/>
        <v>-0.18446629314152496</v>
      </c>
      <c r="CS25" s="83">
        <f t="shared" si="20"/>
        <v>-1.7142445282290697E-2</v>
      </c>
      <c r="CT25" s="83">
        <f t="shared" si="21"/>
        <v>-7.0922108331058276E-2</v>
      </c>
      <c r="CU25" s="3"/>
      <c r="CV25" s="84">
        <f t="shared" si="45"/>
        <v>0.76556284992032275</v>
      </c>
    </row>
    <row r="26" spans="1:100" x14ac:dyDescent="0.25">
      <c r="A26" s="85">
        <v>45052</v>
      </c>
      <c r="B26" s="86">
        <v>14</v>
      </c>
      <c r="C26" s="43" t="str" cm="1">
        <f t="array" ref="C26">IF(B26="","",INDEX(UWS!$B$10:$B$41,B26))</f>
        <v>Cable seated row</v>
      </c>
      <c r="D26" s="40">
        <f t="shared" si="0"/>
        <v>-1</v>
      </c>
      <c r="E26" s="69">
        <f t="shared" si="22"/>
        <v>1.0082493540521444</v>
      </c>
      <c r="F26" s="48" cm="1">
        <f t="array" ref="F26">0.1+IFERROR(INDEX($F$5:$F25,SUMPRODUCT(MAX(ROW($C$5:$C25)*($C26=$C$5:$C25))-ROW($A$4)))*0.9^($A26-INDEX($A$5:A25,SUMPRODUCT(MAX(ROW($C$5:$C25)*($C26=$C$5:$C25))-ROW($A$4)))),0)</f>
        <v>0.18100000000000002</v>
      </c>
      <c r="G26" s="55">
        <f>INDEX(UWS!$AB$10:$AB$41,MATCH(C26,UWS!$B$10:$B$41,0))</f>
        <v>3.7</v>
      </c>
      <c r="H26" s="48">
        <f>INDEX(UWS!$C$10:$C$41,MATCH(C26,UWS!$B$10:$B$41,0))</f>
        <v>1</v>
      </c>
      <c r="I26" s="27">
        <f t="shared" si="44"/>
        <v>2</v>
      </c>
      <c r="J26" s="27">
        <f>INDEX(UWS!$E$10:$E$41,MATCH(C26,UWS!$B$10:$B$41,0))</f>
        <v>1</v>
      </c>
      <c r="L26" s="108" t="str" cm="1">
        <f t="array" ref="L26">IF(K26="","",INDEX(UWS!$B$10:$B$41,K26))</f>
        <v/>
      </c>
      <c r="N26" s="108" t="str" cm="1">
        <f t="array" ref="N26">IF(M26="","",INDEX(UWS!$B$10:$B$41,M26))</f>
        <v/>
      </c>
      <c r="P26">
        <f>IFERROR(INDEX(UWS!$G$10:$Z$41,MATCH($C26,UWS!$B$10:$B$41,0),MATCH(P$4,UWS!$G$3:$Z$3,0)),0)</f>
        <v>0</v>
      </c>
      <c r="Q26">
        <f>IFERROR(INDEX(UWS!$G$10:$Z$41,MATCH($C26,UWS!$B$10:$B$41,0),MATCH(Q$4,UWS!$G$3:$Z$3,0)),0)</f>
        <v>1</v>
      </c>
      <c r="R26">
        <f>IFERROR(INDEX(UWS!$G$10:$Z$41,MATCH($C26,UWS!$B$10:$B$41,0),MATCH(R$4,UWS!$G$3:$Z$3,0)),0)</f>
        <v>0.7</v>
      </c>
      <c r="S26">
        <f>IFERROR(INDEX(UWS!$G$10:$Z$41,MATCH($C26,UWS!$B$10:$B$41,0),MATCH(S$4,UWS!$G$3:$Z$3,0)),0)</f>
        <v>0.7</v>
      </c>
      <c r="T26">
        <f>IFERROR(INDEX(UWS!$G$10:$Z$41,MATCH($C26,UWS!$B$10:$B$41,0),MATCH(T$4,UWS!$G$3:$Z$3,0)),0)</f>
        <v>0</v>
      </c>
      <c r="U26">
        <f>IFERROR(INDEX(UWS!$G$10:$Z$41,MATCH($C26,UWS!$B$10:$B$41,0),MATCH(U$4,UWS!$G$3:$Z$3,0)),0)</f>
        <v>0</v>
      </c>
      <c r="V26">
        <f>IFERROR(INDEX(UWS!$G$10:$Z$41,MATCH($C26,UWS!$B$10:$B$41,0),MATCH(V$4,UWS!$G$3:$Z$3,0)),0)</f>
        <v>0</v>
      </c>
      <c r="W26">
        <f>IFERROR(INDEX(UWS!$G$10:$Z$41,MATCH($C26,UWS!$B$10:$B$41,0),MATCH(W$4,UWS!$G$3:$Z$3,0)),0)</f>
        <v>0.6</v>
      </c>
      <c r="X26">
        <f>IFERROR(INDEX(UWS!$G$10:$Z$41,MATCH($C26,UWS!$B$10:$B$41,0),MATCH(X$4,UWS!$G$3:$Z$3,0)),0)</f>
        <v>0.6</v>
      </c>
      <c r="Y26">
        <f>IFERROR(INDEX(UWS!$G$10:$Z$41,MATCH($C26,UWS!$B$10:$B$41,0),MATCH(Y$4,UWS!$G$3:$Z$3,0)),0)</f>
        <v>0</v>
      </c>
      <c r="Z26">
        <f>IFERROR(INDEX(UWS!$G$10:$Z$41,MATCH($C26,UWS!$B$10:$B$41,0),MATCH(Z$4,UWS!$G$3:$Z$3,0)),0)</f>
        <v>0.1</v>
      </c>
      <c r="AA26">
        <f>IFERROR(INDEX(UWS!$G$10:$Z$41,MATCH($C26,UWS!$B$10:$B$41,0),MATCH(AA$4,UWS!$G$3:$Z$3,0)),0)</f>
        <v>0</v>
      </c>
      <c r="AB26">
        <f>IFERROR(INDEX(UWS!$G$10:$Z$41,MATCH($C26,UWS!$B$10:$B$41,0),MATCH(AB$4,UWS!$G$3:$Z$3,0)),0)</f>
        <v>0</v>
      </c>
      <c r="AC26">
        <f>IFERROR(INDEX(UWS!$G$10:$Z$41,MATCH($C26,UWS!$B$10:$B$41,0),MATCH(AC$4,UWS!$G$3:$Z$3,0)),0)</f>
        <v>0</v>
      </c>
      <c r="AD26">
        <f>IFERROR(INDEX(UWS!$G$10:$Z$41,MATCH($C26,UWS!$B$10:$B$41,0),MATCH(AD$4,UWS!$G$3:$Z$3,0)),0)</f>
        <v>0</v>
      </c>
      <c r="AE26">
        <f>IFERROR(INDEX(UWS!$G$10:$Z$41,MATCH($C26,UWS!$B$10:$B$41,0),MATCH(AE$4,UWS!$G$3:$Z$3,0)),0)</f>
        <v>0</v>
      </c>
      <c r="AF26">
        <f>IFERROR(INDEX(UWS!$G$10:$Z$41,MATCH($C26,UWS!$B$10:$B$41,0),MATCH(AF$4,UWS!$G$3:$Z$3,0)),0)</f>
        <v>0</v>
      </c>
      <c r="AG26">
        <f>IFERROR(INDEX(UWS!$G$10:$Z$41,MATCH($C26,UWS!$B$10:$B$41,0),MATCH(AG$4,UWS!$G$3:$Z$3,0)),0)</f>
        <v>0</v>
      </c>
      <c r="AH26">
        <f>IFERROR(INDEX(UWS!$G$10:$Z$41,MATCH($C26,UWS!$B$10:$B$41,0),MATCH(AH$4,UWS!$G$3:$Z$3,0)),0)</f>
        <v>0</v>
      </c>
      <c r="AI26">
        <f>IFERROR(INDEX(UWS!$G$10:$Z$41,MATCH($C26,UWS!$B$10:$B$41,0),MATCH(AI$4,UWS!$G$3:$Z$3,0)),0)</f>
        <v>0</v>
      </c>
      <c r="AK26">
        <f>IF(OR($J26=0,COUNTIFS($A$4:$A25,"&gt;="&amp;$A26-1,$A$4:$A25,"&lt;="&amp;$A26,$B$4:$B25,$B26)&gt;0,MIN(AK$1,IF($A26=$A25,AK25,1))-P26&lt;0),-1,MIN(1,IF($A26=$A25,AK25,1)-P26+$D$3))</f>
        <v>1</v>
      </c>
      <c r="AL26">
        <f>IF(OR($J26=0,COUNTIFS($A$4:$A25,"&gt;="&amp;$A26-1,$A$4:$A25,"&lt;="&amp;$A26,$B$4:$B25,$B26)&gt;0,MIN(AL$1,IF($A26=$A25,AL25,1))-Q26&lt;0),-1,MIN(1,IF($A26=$A25,AL25,1)-Q26+$D$3))</f>
        <v>-1</v>
      </c>
      <c r="AM26">
        <f>IF(OR($J26=0,COUNTIFS($A$4:$A25,"&gt;="&amp;$A26-1,$A$4:$A25,"&lt;="&amp;$A26,$B$4:$B25,$B26)&gt;0,MIN(AM$1,IF($A26=$A25,AM25,1))-R26&lt;0),-1,MIN(1,IF($A26=$A25,AM25,1)-R26+$D$3))</f>
        <v>0.60000000000000009</v>
      </c>
      <c r="AN26">
        <f>IF(OR($J26=0,COUNTIFS($A$4:$A25,"&gt;="&amp;$A26-1,$A$4:$A25,"&lt;="&amp;$A26,$B$4:$B25,$B26)&gt;0,MIN(AN$1,IF($A26=$A25,AN25,1))-S26&lt;0),-1,MIN(1,IF($A26=$A25,AN25,1)-S26+$D$3))</f>
        <v>0.60000000000000009</v>
      </c>
      <c r="AO26">
        <f>IF(OR($J26=0,COUNTIFS($A$4:$A25,"&gt;="&amp;$A26-1,$A$4:$A25,"&lt;="&amp;$A26,$B$4:$B25,$B26)&gt;0,MIN(AO$1,IF($A26=$A25,AO25,1))-T26&lt;0),-1,MIN(1,IF($A26=$A25,AO25,1)-T26+$D$3))</f>
        <v>1</v>
      </c>
      <c r="AP26">
        <f>IF(OR($J26=0,COUNTIFS($A$4:$A25,"&gt;="&amp;$A26-1,$A$4:$A25,"&lt;="&amp;$A26,$B$4:$B25,$B26)&gt;0,MIN(AP$1,IF($A26=$A25,AP25,1))-U26&lt;0),-1,MIN(1,IF($A26=$A25,AP25,1)-U26+$D$3))</f>
        <v>1</v>
      </c>
      <c r="AQ26">
        <f>IF(OR($J26=0,COUNTIFS($A$4:$A25,"&gt;="&amp;$A26-1,$A$4:$A25,"&lt;="&amp;$A26,$B$4:$B25,$B26)&gt;0,MIN(AQ$1,IF($A26=$A25,AQ25,1))-V26&lt;0),-1,MIN(1,IF($A26=$A25,AQ25,1)-V26+$D$3))</f>
        <v>1</v>
      </c>
      <c r="AR26">
        <f>IF(OR($J26=0,COUNTIFS($A$4:$A25,"&gt;="&amp;$A26-1,$A$4:$A25,"&lt;="&amp;$A26,$B$4:$B25,$B26)&gt;0,MIN(AR$1,IF($A26=$A25,AR25,1))-W26&lt;0),-1,MIN(1,IF($A26=$A25,AR25,1)-W26+$D$3))</f>
        <v>0.70000000000000007</v>
      </c>
      <c r="AS26">
        <f>IF(OR($J26=0,COUNTIFS($A$4:$A25,"&gt;="&amp;$A26-1,$A$4:$A25,"&lt;="&amp;$A26,$B$4:$B25,$B26)&gt;0,MIN(AS$1,IF($A26=$A25,AS25,1))-X26&lt;0),-1,MIN(1,IF($A26=$A25,AS25,1)-X26+$D$3))</f>
        <v>-1</v>
      </c>
      <c r="AT26">
        <f>IF(OR($J26=0,COUNTIFS($A$4:$A25,"&gt;="&amp;$A26-1,$A$4:$A25,"&lt;="&amp;$A26,$B$4:$B25,$B26)&gt;0,MIN(AT$1,IF($A26=$A25,AT25,1))-Y26&lt;0),-1,MIN(1,IF($A26=$A25,AT25,1)-Y26+$D$3))</f>
        <v>1</v>
      </c>
      <c r="AU26">
        <f>IF(OR($J26=0,COUNTIFS($A$4:$A25,"&gt;="&amp;$A26-1,$A$4:$A25,"&lt;="&amp;$A26,$B$4:$B25,$B26)&gt;0,MIN(AU$1,IF($A26=$A25,AU25,1))-Z26&lt;0),-1,MIN(1,IF($A26=$A25,AU25,1)-Z26+$D$3))</f>
        <v>1</v>
      </c>
      <c r="AV26">
        <f>IF(OR($J26=0,COUNTIFS($A$4:$A25,"&gt;="&amp;$A26-1,$A$4:$A25,"&lt;="&amp;$A26,$B$4:$B25,$B26)&gt;0,MIN(AV$1,IF($A26=$A25,AV25,1))-AA26&lt;0),-1,MIN(1,IF($A26=$A25,AV25,1)-AA26+$D$3))</f>
        <v>1</v>
      </c>
      <c r="AW26">
        <f>IF(OR($J26=0,COUNTIFS($A$4:$A25,"&gt;="&amp;$A26-1,$A$4:$A25,"&lt;="&amp;$A26,$B$4:$B25,$B26)&gt;0,MIN(AW$1,IF($A26=$A25,AW25,1))-AB26&lt;0),-1,MIN(1,IF($A26=$A25,AW25,1)-AB26+$D$3))</f>
        <v>1</v>
      </c>
      <c r="AX26">
        <f>IF(OR($J26=0,COUNTIFS($A$4:$A25,"&gt;="&amp;$A26-1,$A$4:$A25,"&lt;="&amp;$A26,$B$4:$B25,$B26)&gt;0,MIN(AX$1,IF($A26=$A25,AX25,1))-AC26&lt;0),-1,MIN(1,IF($A26=$A25,AX25,1)-AC26+$D$3))</f>
        <v>1</v>
      </c>
      <c r="AY26">
        <f>IF(OR($J26=0,COUNTIFS($A$4:$A25,"&gt;="&amp;$A26-1,$A$4:$A25,"&lt;="&amp;$A26,$B$4:$B25,$B26)&gt;0,MIN(AY$1,IF($A26=$A25,AY25,1))-AD26&lt;0),-1,MIN(1,IF($A26=$A25,AY25,1)-AD26+$D$3))</f>
        <v>1</v>
      </c>
      <c r="AZ26">
        <f>IF(OR($J26=0,COUNTIFS($A$4:$A25,"&gt;="&amp;$A26-1,$A$4:$A25,"&lt;="&amp;$A26,$B$4:$B25,$B26)&gt;0,MIN(AZ$1,IF($A26=$A25,AZ25,1))-AE26&lt;0),-1,MIN(1,IF($A26=$A25,AZ25,1)-AE26+$D$3))</f>
        <v>1</v>
      </c>
      <c r="BA26">
        <f>IF(OR($J26=0,COUNTIFS($A$4:$A25,"&gt;="&amp;$A26-1,$A$4:$A25,"&lt;="&amp;$A26,$B$4:$B25,$B26)&gt;0,MIN(BA$1,IF($A26=$A25,BA25,1))-AF26&lt;0),-1,MIN(1,IF($A26=$A25,BA25,1)-AF26+$D$3))</f>
        <v>1</v>
      </c>
      <c r="BB26">
        <f>IF(OR($J26=0,COUNTIFS($A$4:$A25,"&gt;="&amp;$A26-1,$A$4:$A25,"&lt;="&amp;$A26,$B$4:$B25,$B26)&gt;0,MIN(BB$1,IF($A26=$A25,BB25,1))-AG26&lt;0),-1,MIN(1,IF($A26=$A25,BB25,1)-AG26+$D$3))</f>
        <v>1</v>
      </c>
      <c r="BC26">
        <f>IF(OR($J26=0,COUNTIFS($A$4:$A25,"&gt;="&amp;$A26-1,$A$4:$A25,"&lt;="&amp;$A26,$B$4:$B25,$B26)&gt;0,MIN(BC$1,IF($A26=$A25,BC25,1))-AH26&lt;0),-1,MIN(1,IF($A26=$A25,BC25,1)-AH26+$D$3))</f>
        <v>1</v>
      </c>
      <c r="BD26">
        <f>IF(OR($J26=0,COUNTIFS($A$4:$A25,"&gt;="&amp;$A26-1,$A$4:$A25,"&lt;="&amp;$A26,$B$4:$B25,$B26)&gt;0,MIN(BD$1,IF($A26=$A25,BD25,1))-AI26&lt;0),-1,MIN(1,IF($A26=$A25,BD25,1)-AI26+$D$3))</f>
        <v>1</v>
      </c>
      <c r="BF26" s="87">
        <f t="shared" si="23"/>
        <v>4.7673437596563513E-2</v>
      </c>
      <c r="BG26" s="87">
        <f t="shared" si="24"/>
        <v>0.34201300963079667</v>
      </c>
      <c r="BH26" s="87">
        <f t="shared" si="25"/>
        <v>0.37725756611896855</v>
      </c>
      <c r="BI26" s="87">
        <f t="shared" si="26"/>
        <v>0.36994244143223559</v>
      </c>
      <c r="BJ26" s="87">
        <f t="shared" si="27"/>
        <v>0.46169222966025486</v>
      </c>
      <c r="BK26" s="87">
        <f t="shared" si="28"/>
        <v>6.035442689892262E-2</v>
      </c>
      <c r="BL26" s="87">
        <f t="shared" si="29"/>
        <v>3.758754901532943E-2</v>
      </c>
      <c r="BM26" s="87">
        <f t="shared" si="30"/>
        <v>0.13915671304661736</v>
      </c>
      <c r="BN26" s="87">
        <f t="shared" si="31"/>
        <v>0.15944454524813331</v>
      </c>
      <c r="BO26" s="87">
        <f t="shared" si="32"/>
        <v>1.5404433402811788E-2</v>
      </c>
      <c r="BP26" s="87">
        <f t="shared" si="33"/>
        <v>0.40753737407544943</v>
      </c>
      <c r="BQ26" s="87">
        <f t="shared" si="34"/>
        <v>3.8640576429387112E-2</v>
      </c>
      <c r="BR26" s="87">
        <f t="shared" si="35"/>
        <v>0.30741865693691162</v>
      </c>
      <c r="BS26" s="87">
        <f t="shared" si="36"/>
        <v>6.5520458183521563E-2</v>
      </c>
      <c r="BT26" s="87">
        <f t="shared" si="37"/>
        <v>0.432165324779269</v>
      </c>
      <c r="BU26" s="87">
        <f t="shared" si="38"/>
        <v>0.44572949011101304</v>
      </c>
      <c r="BV26" s="87">
        <f t="shared" si="39"/>
        <v>0.4810860691590782</v>
      </c>
      <c r="BW26" s="87">
        <f t="shared" si="40"/>
        <v>0.16105983965871426</v>
      </c>
      <c r="BX26" s="87">
        <f t="shared" si="41"/>
        <v>0.19410464440516481</v>
      </c>
      <c r="BY26" s="87">
        <f t="shared" si="42"/>
        <v>0.1834836929537525</v>
      </c>
      <c r="CA26" s="87">
        <f t="shared" si="2"/>
        <v>-0.76805037796075049</v>
      </c>
      <c r="CB26" s="87">
        <f t="shared" si="3"/>
        <v>0.10934994853525293</v>
      </c>
      <c r="CC26" s="87">
        <f t="shared" si="4"/>
        <v>0.83550325473172138</v>
      </c>
      <c r="CD26" s="87">
        <f t="shared" si="5"/>
        <v>0.79991235775012837</v>
      </c>
      <c r="CE26" s="87">
        <f t="shared" si="6"/>
        <v>1.2463103893282894</v>
      </c>
      <c r="CF26" s="87">
        <f t="shared" si="7"/>
        <v>-0.85317624222875699</v>
      </c>
      <c r="CG26" s="87">
        <f t="shared" si="8"/>
        <v>-0.81712210767624849</v>
      </c>
      <c r="CH26" s="87">
        <f t="shared" si="9"/>
        <v>-0.54863268908031815</v>
      </c>
      <c r="CI26" s="87">
        <f t="shared" si="10"/>
        <v>-0.22424092175827426</v>
      </c>
      <c r="CJ26" s="87">
        <f t="shared" si="11"/>
        <v>-0.92505150277292891</v>
      </c>
      <c r="CK26" s="87">
        <f t="shared" si="12"/>
        <v>0.98282617426528329</v>
      </c>
      <c r="CL26" s="87">
        <f t="shared" si="13"/>
        <v>-0.81199872402695927</v>
      </c>
      <c r="CM26" s="87">
        <f t="shared" si="14"/>
        <v>-2.8599449480387618E-3</v>
      </c>
      <c r="CN26" s="87">
        <f t="shared" si="15"/>
        <v>-0.68121775400140705</v>
      </c>
      <c r="CO26" s="87">
        <f t="shared" si="16"/>
        <v>1.1026506330277028</v>
      </c>
      <c r="CP26" s="87">
        <f t="shared" si="17"/>
        <v>1.1686455178228936</v>
      </c>
      <c r="CQ26" s="87">
        <f t="shared" si="18"/>
        <v>0.56044592174658048</v>
      </c>
      <c r="CR26" s="87">
        <f t="shared" si="19"/>
        <v>-0.21638189277053943</v>
      </c>
      <c r="CS26" s="87">
        <f t="shared" si="20"/>
        <v>-5.56061996862105E-2</v>
      </c>
      <c r="CT26" s="87">
        <f t="shared" si="21"/>
        <v>-0.10728121619540132</v>
      </c>
      <c r="CV26" s="88">
        <f t="shared" si="45"/>
        <v>0.74639540602604781</v>
      </c>
    </row>
    <row r="27" spans="1:100" x14ac:dyDescent="0.25">
      <c r="A27" s="85">
        <v>45052</v>
      </c>
      <c r="B27" s="86">
        <v>19</v>
      </c>
      <c r="C27" s="43" t="str" cm="1">
        <f t="array" ref="C27">IF(B27="","",INDEX(UWS!$B$10:$B$41,B27))</f>
        <v>Barbell bench press</v>
      </c>
      <c r="D27" s="40">
        <f t="shared" si="0"/>
        <v>-1</v>
      </c>
      <c r="E27" s="69">
        <f t="shared" si="22"/>
        <v>1.1013035522142369</v>
      </c>
      <c r="F27" s="48" cm="1">
        <f t="array" ref="F27">0.1+IFERROR(INDEX($F$5:$F26,SUMPRODUCT(MAX(ROW($C$5:$C26)*($C27=$C$5:$C26))-ROW($A$4)))*0.9^($A27-INDEX($A$5:A26,SUMPRODUCT(MAX(ROW($C$5:$C26)*($C27=$C$5:$C26))-ROW($A$4)))),0)</f>
        <v>0.15904900000000002</v>
      </c>
      <c r="G27" s="55">
        <f>INDEX(UWS!$AB$10:$AB$41,MATCH(C27,UWS!$B$10:$B$41,0))</f>
        <v>2.2999999999999998</v>
      </c>
      <c r="H27" s="48">
        <f>INDEX(UWS!$C$10:$C$41,MATCH(C27,UWS!$B$10:$B$41,0))</f>
        <v>1.1000000000000001</v>
      </c>
      <c r="I27" s="27">
        <f t="shared" si="44"/>
        <v>3</v>
      </c>
      <c r="J27" s="27">
        <f>INDEX(UWS!$E$10:$E$41,MATCH(C27,UWS!$B$10:$B$41,0))</f>
        <v>1</v>
      </c>
      <c r="L27" s="108" t="str" cm="1">
        <f t="array" ref="L27">IF(K27="","",INDEX(UWS!$B$10:$B$41,K27))</f>
        <v/>
      </c>
      <c r="N27" s="108" t="str" cm="1">
        <f t="array" ref="N27">IF(M27="","",INDEX(UWS!$B$10:$B$41,M27))</f>
        <v/>
      </c>
      <c r="P27">
        <f>IFERROR(INDEX(UWS!$G$10:$Z$41,MATCH($C27,UWS!$B$10:$B$41,0),MATCH(P$4,UWS!$G$3:$Z$3,0)),0)</f>
        <v>1</v>
      </c>
      <c r="Q27">
        <f>IFERROR(INDEX(UWS!$G$10:$Z$41,MATCH($C27,UWS!$B$10:$B$41,0),MATCH(Q$4,UWS!$G$3:$Z$3,0)),0)</f>
        <v>0</v>
      </c>
      <c r="R27">
        <f>IFERROR(INDEX(UWS!$G$10:$Z$41,MATCH($C27,UWS!$B$10:$B$41,0),MATCH(R$4,UWS!$G$3:$Z$3,0)),0)</f>
        <v>0</v>
      </c>
      <c r="S27">
        <f>IFERROR(INDEX(UWS!$G$10:$Z$41,MATCH($C27,UWS!$B$10:$B$41,0),MATCH(S$4,UWS!$G$3:$Z$3,0)),0)</f>
        <v>0</v>
      </c>
      <c r="T27">
        <f>IFERROR(INDEX(UWS!$G$10:$Z$41,MATCH($C27,UWS!$B$10:$B$41,0),MATCH(T$4,UWS!$G$3:$Z$3,0)),0)</f>
        <v>0</v>
      </c>
      <c r="U27">
        <f>IFERROR(INDEX(UWS!$G$10:$Z$41,MATCH($C27,UWS!$B$10:$B$41,0),MATCH(U$4,UWS!$G$3:$Z$3,0)),0)</f>
        <v>0</v>
      </c>
      <c r="V27">
        <f>IFERROR(INDEX(UWS!$G$10:$Z$41,MATCH($C27,UWS!$B$10:$B$41,0),MATCH(V$4,UWS!$G$3:$Z$3,0)),0)</f>
        <v>0.6</v>
      </c>
      <c r="W27">
        <f>IFERROR(INDEX(UWS!$G$10:$Z$41,MATCH($C27,UWS!$B$10:$B$41,0),MATCH(W$4,UWS!$G$3:$Z$3,0)),0)</f>
        <v>0</v>
      </c>
      <c r="X27">
        <f>IFERROR(INDEX(UWS!$G$10:$Z$41,MATCH($C27,UWS!$B$10:$B$41,0),MATCH(X$4,UWS!$G$3:$Z$3,0)),0)</f>
        <v>0</v>
      </c>
      <c r="Y27">
        <f>IFERROR(INDEX(UWS!$G$10:$Z$41,MATCH($C27,UWS!$B$10:$B$41,0),MATCH(Y$4,UWS!$G$3:$Z$3,0)),0)</f>
        <v>0.7</v>
      </c>
      <c r="Z27">
        <f>IFERROR(INDEX(UWS!$G$10:$Z$41,MATCH($C27,UWS!$B$10:$B$41,0),MATCH(Z$4,UWS!$G$3:$Z$3,0)),0)</f>
        <v>0</v>
      </c>
      <c r="AA27">
        <f>IFERROR(INDEX(UWS!$G$10:$Z$41,MATCH($C27,UWS!$B$10:$B$41,0),MATCH(AA$4,UWS!$G$3:$Z$3,0)),0)</f>
        <v>0</v>
      </c>
      <c r="AB27">
        <f>IFERROR(INDEX(UWS!$G$10:$Z$41,MATCH($C27,UWS!$B$10:$B$41,0),MATCH(AB$4,UWS!$G$3:$Z$3,0)),0)</f>
        <v>0</v>
      </c>
      <c r="AC27">
        <f>IFERROR(INDEX(UWS!$G$10:$Z$41,MATCH($C27,UWS!$B$10:$B$41,0),MATCH(AC$4,UWS!$G$3:$Z$3,0)),0)</f>
        <v>0</v>
      </c>
      <c r="AD27">
        <f>IFERROR(INDEX(UWS!$G$10:$Z$41,MATCH($C27,UWS!$B$10:$B$41,0),MATCH(AD$4,UWS!$G$3:$Z$3,0)),0)</f>
        <v>0</v>
      </c>
      <c r="AE27">
        <f>IFERROR(INDEX(UWS!$G$10:$Z$41,MATCH($C27,UWS!$B$10:$B$41,0),MATCH(AE$4,UWS!$G$3:$Z$3,0)),0)</f>
        <v>0</v>
      </c>
      <c r="AF27">
        <f>IFERROR(INDEX(UWS!$G$10:$Z$41,MATCH($C27,UWS!$B$10:$B$41,0),MATCH(AF$4,UWS!$G$3:$Z$3,0)),0)</f>
        <v>0</v>
      </c>
      <c r="AG27">
        <f>IFERROR(INDEX(UWS!$G$10:$Z$41,MATCH($C27,UWS!$B$10:$B$41,0),MATCH(AG$4,UWS!$G$3:$Z$3,0)),0)</f>
        <v>0</v>
      </c>
      <c r="AH27">
        <f>IFERROR(INDEX(UWS!$G$10:$Z$41,MATCH($C27,UWS!$B$10:$B$41,0),MATCH(AH$4,UWS!$G$3:$Z$3,0)),0)</f>
        <v>0</v>
      </c>
      <c r="AI27">
        <f>IFERROR(INDEX(UWS!$G$10:$Z$41,MATCH($C27,UWS!$B$10:$B$41,0),MATCH(AI$4,UWS!$G$3:$Z$3,0)),0)</f>
        <v>0</v>
      </c>
      <c r="AK27">
        <f>IF(OR($J27=0,COUNTIFS($A$4:$A26,"&gt;="&amp;$A27-1,$A$4:$A26,"&lt;="&amp;$A27,$B$4:$B26,$B27)&gt;0,MIN(AK$1,IF($A27=$A26,AK26,1))-P27&lt;0),-1,MIN(1,IF($A27=$A26,AK26,1)-P27+$D$3))</f>
        <v>0.4</v>
      </c>
      <c r="AL27">
        <f>IF(OR($J27=0,COUNTIFS($A$4:$A26,"&gt;="&amp;$A27-1,$A$4:$A26,"&lt;="&amp;$A27,$B$4:$B26,$B27)&gt;0,MIN(AL$1,IF($A27=$A26,AL26,1))-Q27&lt;0),-1,MIN(1,IF($A27=$A26,AL26,1)-Q27+$D$3))</f>
        <v>-1</v>
      </c>
      <c r="AM27">
        <f>IF(OR($J27=0,COUNTIFS($A$4:$A26,"&gt;="&amp;$A27-1,$A$4:$A26,"&lt;="&amp;$A27,$B$4:$B26,$B27)&gt;0,MIN(AM$1,IF($A27=$A26,AM26,1))-R27&lt;0),-1,MIN(1,IF($A27=$A26,AM26,1)-R27+$D$3))</f>
        <v>1</v>
      </c>
      <c r="AN27">
        <f>IF(OR($J27=0,COUNTIFS($A$4:$A26,"&gt;="&amp;$A27-1,$A$4:$A26,"&lt;="&amp;$A27,$B$4:$B26,$B27)&gt;0,MIN(AN$1,IF($A27=$A26,AN26,1))-S27&lt;0),-1,MIN(1,IF($A27=$A26,AN26,1)-S27+$D$3))</f>
        <v>1</v>
      </c>
      <c r="AO27">
        <f>IF(OR($J27=0,COUNTIFS($A$4:$A26,"&gt;="&amp;$A27-1,$A$4:$A26,"&lt;="&amp;$A27,$B$4:$B26,$B27)&gt;0,MIN(AO$1,IF($A27=$A26,AO26,1))-T27&lt;0),-1,MIN(1,IF($A27=$A26,AO26,1)-T27+$D$3))</f>
        <v>1</v>
      </c>
      <c r="AP27">
        <f>IF(OR($J27=0,COUNTIFS($A$4:$A26,"&gt;="&amp;$A27-1,$A$4:$A26,"&lt;="&amp;$A27,$B$4:$B26,$B27)&gt;0,MIN(AP$1,IF($A27=$A26,AP26,1))-U27&lt;0),-1,MIN(1,IF($A27=$A26,AP26,1)-U27+$D$3))</f>
        <v>1</v>
      </c>
      <c r="AQ27">
        <f>IF(OR($J27=0,COUNTIFS($A$4:$A26,"&gt;="&amp;$A27-1,$A$4:$A26,"&lt;="&amp;$A27,$B$4:$B26,$B27)&gt;0,MIN(AQ$1,IF($A27=$A26,AQ26,1))-V27&lt;0),-1,MIN(1,IF($A27=$A26,AQ26,1)-V27+$D$3))</f>
        <v>0.8</v>
      </c>
      <c r="AR27">
        <f>IF(OR($J27=0,COUNTIFS($A$4:$A26,"&gt;="&amp;$A27-1,$A$4:$A26,"&lt;="&amp;$A27,$B$4:$B26,$B27)&gt;0,MIN(AR$1,IF($A27=$A26,AR26,1))-W27&lt;0),-1,MIN(1,IF($A27=$A26,AR26,1)-W27+$D$3))</f>
        <v>1</v>
      </c>
      <c r="AS27">
        <f>IF(OR($J27=0,COUNTIFS($A$4:$A26,"&gt;="&amp;$A27-1,$A$4:$A26,"&lt;="&amp;$A27,$B$4:$B26,$B27)&gt;0,MIN(AS$1,IF($A27=$A26,AS26,1))-X27&lt;0),-1,MIN(1,IF($A27=$A26,AS26,1)-X27+$D$3))</f>
        <v>-1</v>
      </c>
      <c r="AT27">
        <f>IF(OR($J27=0,COUNTIFS($A$4:$A26,"&gt;="&amp;$A27-1,$A$4:$A26,"&lt;="&amp;$A27,$B$4:$B26,$B27)&gt;0,MIN(AT$1,IF($A27=$A26,AT26,1))-Y27&lt;0),-1,MIN(1,IF($A27=$A26,AT26,1)-Y27+$D$3))</f>
        <v>0.70000000000000007</v>
      </c>
      <c r="AU27">
        <f>IF(OR($J27=0,COUNTIFS($A$4:$A26,"&gt;="&amp;$A27-1,$A$4:$A26,"&lt;="&amp;$A27,$B$4:$B26,$B27)&gt;0,MIN(AU$1,IF($A27=$A26,AU26,1))-Z27&lt;0),-1,MIN(1,IF($A27=$A26,AU26,1)-Z27+$D$3))</f>
        <v>1</v>
      </c>
      <c r="AV27">
        <f>IF(OR($J27=0,COUNTIFS($A$4:$A26,"&gt;="&amp;$A27-1,$A$4:$A26,"&lt;="&amp;$A27,$B$4:$B26,$B27)&gt;0,MIN(AV$1,IF($A27=$A26,AV26,1))-AA27&lt;0),-1,MIN(1,IF($A27=$A26,AV26,1)-AA27+$D$3))</f>
        <v>1</v>
      </c>
      <c r="AW27">
        <f>IF(OR($J27=0,COUNTIFS($A$4:$A26,"&gt;="&amp;$A27-1,$A$4:$A26,"&lt;="&amp;$A27,$B$4:$B26,$B27)&gt;0,MIN(AW$1,IF($A27=$A26,AW26,1))-AB27&lt;0),-1,MIN(1,IF($A27=$A26,AW26,1)-AB27+$D$3))</f>
        <v>1</v>
      </c>
      <c r="AX27">
        <f>IF(OR($J27=0,COUNTIFS($A$4:$A26,"&gt;="&amp;$A27-1,$A$4:$A26,"&lt;="&amp;$A27,$B$4:$B26,$B27)&gt;0,MIN(AX$1,IF($A27=$A26,AX26,1))-AC27&lt;0),-1,MIN(1,IF($A27=$A26,AX26,1)-AC27+$D$3))</f>
        <v>1</v>
      </c>
      <c r="AY27">
        <f>IF(OR($J27=0,COUNTIFS($A$4:$A26,"&gt;="&amp;$A27-1,$A$4:$A26,"&lt;="&amp;$A27,$B$4:$B26,$B27)&gt;0,MIN(AY$1,IF($A27=$A26,AY26,1))-AD27&lt;0),-1,MIN(1,IF($A27=$A26,AY26,1)-AD27+$D$3))</f>
        <v>1</v>
      </c>
      <c r="AZ27">
        <f>IF(OR($J27=0,COUNTIFS($A$4:$A26,"&gt;="&amp;$A27-1,$A$4:$A26,"&lt;="&amp;$A27,$B$4:$B26,$B27)&gt;0,MIN(AZ$1,IF($A27=$A26,AZ26,1))-AE27&lt;0),-1,MIN(1,IF($A27=$A26,AZ26,1)-AE27+$D$3))</f>
        <v>1</v>
      </c>
      <c r="BA27">
        <f>IF(OR($J27=0,COUNTIFS($A$4:$A26,"&gt;="&amp;$A27-1,$A$4:$A26,"&lt;="&amp;$A27,$B$4:$B26,$B27)&gt;0,MIN(BA$1,IF($A27=$A26,BA26,1))-AF27&lt;0),-1,MIN(1,IF($A27=$A26,BA26,1)-AF27+$D$3))</f>
        <v>1</v>
      </c>
      <c r="BB27">
        <f>IF(OR($J27=0,COUNTIFS($A$4:$A26,"&gt;="&amp;$A27-1,$A$4:$A26,"&lt;="&amp;$A27,$B$4:$B26,$B27)&gt;0,MIN(BB$1,IF($A27=$A26,BB26,1))-AG27&lt;0),-1,MIN(1,IF($A27=$A26,BB26,1)-AG27+$D$3))</f>
        <v>1</v>
      </c>
      <c r="BC27">
        <f>IF(OR($J27=0,COUNTIFS($A$4:$A26,"&gt;="&amp;$A27-1,$A$4:$A26,"&lt;="&amp;$A27,$B$4:$B26,$B27)&gt;0,MIN(BC$1,IF($A27=$A26,BC26,1))-AH27&lt;0),-1,MIN(1,IF($A27=$A26,BC26,1)-AH27+$D$3))</f>
        <v>1</v>
      </c>
      <c r="BD27">
        <f>IF(OR($J27=0,COUNTIFS($A$4:$A26,"&gt;="&amp;$A27-1,$A$4:$A26,"&lt;="&amp;$A27,$B$4:$B26,$B27)&gt;0,MIN(BD$1,IF($A27=$A26,BD26,1))-AI27&lt;0),-1,MIN(1,IF($A27=$A26,BD26,1)-AI27+$D$3))</f>
        <v>1</v>
      </c>
      <c r="BF27" s="87">
        <f t="shared" si="23"/>
        <v>9.5289765716735336E-2</v>
      </c>
      <c r="BG27" s="87">
        <f t="shared" si="24"/>
        <v>0.32491235914925681</v>
      </c>
      <c r="BH27" s="87">
        <f t="shared" si="25"/>
        <v>0.35839468781302009</v>
      </c>
      <c r="BI27" s="87">
        <f t="shared" si="26"/>
        <v>0.35144531936062379</v>
      </c>
      <c r="BJ27" s="87">
        <f t="shared" si="27"/>
        <v>0.43860761817724209</v>
      </c>
      <c r="BK27" s="87">
        <f t="shared" si="28"/>
        <v>5.7336705553976484E-2</v>
      </c>
      <c r="BL27" s="87">
        <f t="shared" si="29"/>
        <v>6.5708171564562962E-2</v>
      </c>
      <c r="BM27" s="87">
        <f t="shared" si="30"/>
        <v>0.13219887739428648</v>
      </c>
      <c r="BN27" s="87">
        <f t="shared" si="31"/>
        <v>0.15147231798572663</v>
      </c>
      <c r="BO27" s="87">
        <f t="shared" si="32"/>
        <v>4.9634211732671192E-2</v>
      </c>
      <c r="BP27" s="87">
        <f t="shared" si="33"/>
        <v>0.38716050537167696</v>
      </c>
      <c r="BQ27" s="87">
        <f t="shared" si="34"/>
        <v>3.6708547607917752E-2</v>
      </c>
      <c r="BR27" s="87">
        <f t="shared" si="35"/>
        <v>0.29204772409006602</v>
      </c>
      <c r="BS27" s="87">
        <f t="shared" si="36"/>
        <v>6.2244435274345485E-2</v>
      </c>
      <c r="BT27" s="87">
        <f t="shared" si="37"/>
        <v>0.41055705854030555</v>
      </c>
      <c r="BU27" s="87">
        <f t="shared" si="38"/>
        <v>0.42344301560546238</v>
      </c>
      <c r="BV27" s="87">
        <f t="shared" si="39"/>
        <v>0.45703176570112425</v>
      </c>
      <c r="BW27" s="87">
        <f t="shared" si="40"/>
        <v>0.15300684767577855</v>
      </c>
      <c r="BX27" s="87">
        <f t="shared" si="41"/>
        <v>0.18439941218490657</v>
      </c>
      <c r="BY27" s="87">
        <f t="shared" si="42"/>
        <v>0.17430950830606487</v>
      </c>
      <c r="CA27" s="87">
        <f t="shared" si="2"/>
        <v>-0.52416240082602683</v>
      </c>
      <c r="CB27" s="87">
        <f t="shared" si="3"/>
        <v>8.1651779052710038E-2</v>
      </c>
      <c r="CC27" s="87">
        <f t="shared" si="4"/>
        <v>0.78967454188736963</v>
      </c>
      <c r="CD27" s="87">
        <f t="shared" si="5"/>
        <v>0.7549722758539581</v>
      </c>
      <c r="CE27" s="87">
        <f t="shared" si="6"/>
        <v>1.1902246735844315</v>
      </c>
      <c r="CF27" s="87">
        <f t="shared" si="7"/>
        <v>-0.85684212722039677</v>
      </c>
      <c r="CG27" s="87">
        <f t="shared" si="8"/>
        <v>-0.67188062255984771</v>
      </c>
      <c r="CH27" s="87">
        <f t="shared" si="9"/>
        <v>-0.55990239553610355</v>
      </c>
      <c r="CI27" s="87">
        <f t="shared" si="10"/>
        <v>-0.24361001845777064</v>
      </c>
      <c r="CJ27" s="87">
        <f t="shared" si="11"/>
        <v>-0.75214731644975585</v>
      </c>
      <c r="CK27" s="87">
        <f t="shared" si="12"/>
        <v>0.93331911339442142</v>
      </c>
      <c r="CL27" s="87">
        <f t="shared" si="13"/>
        <v>-0.81669272632236756</v>
      </c>
      <c r="CM27" s="87">
        <f t="shared" si="14"/>
        <v>-2.775646590531522E-2</v>
      </c>
      <c r="CN27" s="87">
        <f t="shared" si="15"/>
        <v>-0.68917708612140505</v>
      </c>
      <c r="CO27" s="87">
        <f t="shared" si="16"/>
        <v>1.0501518037150279</v>
      </c>
      <c r="CP27" s="87">
        <f t="shared" si="17"/>
        <v>1.1144989329877597</v>
      </c>
      <c r="CQ27" s="87">
        <f t="shared" si="18"/>
        <v>0.52148482054857892</v>
      </c>
      <c r="CR27" s="87">
        <f t="shared" si="19"/>
        <v>-0.23594721313882294</v>
      </c>
      <c r="CS27" s="87">
        <f t="shared" si="20"/>
        <v>-7.9185755960488158E-2</v>
      </c>
      <c r="CT27" s="87">
        <f t="shared" si="21"/>
        <v>-0.12957055438549869</v>
      </c>
      <c r="CV27" s="88">
        <f t="shared" si="45"/>
        <v>0.69732314260412254</v>
      </c>
    </row>
    <row r="28" spans="1:100" x14ac:dyDescent="0.25">
      <c r="A28" s="89">
        <v>45052</v>
      </c>
      <c r="B28" s="57">
        <v>20</v>
      </c>
      <c r="C28" s="51" t="str" cm="1">
        <f t="array" ref="C28">IF(B28="","",INDEX(UWS!$B$10:$B$41,B28))</f>
        <v>Barbell military press</v>
      </c>
      <c r="D28" s="45">
        <f t="shared" si="0"/>
        <v>-1</v>
      </c>
      <c r="E28" s="70">
        <f t="shared" si="22"/>
        <v>1.3004592641112598</v>
      </c>
      <c r="F28" s="52" cm="1">
        <f t="array" ref="F28">0.1+IFERROR(INDEX($F$5:$F27,SUMPRODUCT(MAX(ROW($C$5:$C27)*($C28=$C$5:$C27))-ROW($A$4)))*0.9^($A28-INDEX($A$5:A27,SUMPRODUCT(MAX(ROW($C$5:$C27)*($C28=$C$5:$C27))-ROW($A$4)))),0)</f>
        <v>0.15904900000000002</v>
      </c>
      <c r="G28" s="56">
        <f>INDEX(UWS!$AB$10:$AB$41,MATCH(C28,UWS!$B$10:$B$41,0))</f>
        <v>2</v>
      </c>
      <c r="H28" s="52">
        <f>INDEX(UWS!$C$10:$C$41,MATCH(C28,UWS!$B$10:$B$41,0))</f>
        <v>1.1000000000000001</v>
      </c>
      <c r="I28" s="46">
        <f t="shared" si="44"/>
        <v>4</v>
      </c>
      <c r="J28" s="46">
        <f>INDEX(UWS!$E$10:$E$41,MATCH(C28,UWS!$B$10:$B$41,0))</f>
        <v>1</v>
      </c>
      <c r="K28" s="46"/>
      <c r="L28" s="109" t="str" cm="1">
        <f t="array" ref="L28">IF(K28="","",INDEX(UWS!$B$10:$B$41,K28))</f>
        <v/>
      </c>
      <c r="M28" s="46"/>
      <c r="N28" s="109" t="str" cm="1">
        <f t="array" ref="N28">IF(M28="","",INDEX(UWS!$B$10:$B$41,M28))</f>
        <v/>
      </c>
      <c r="O28" s="47"/>
      <c r="P28" s="47">
        <f>IFERROR(INDEX(UWS!$G$10:$Z$41,MATCH($C28,UWS!$B$10:$B$41,0),MATCH(P$4,UWS!$G$3:$Z$3,0)),0)</f>
        <v>0</v>
      </c>
      <c r="Q28" s="47">
        <f>IFERROR(INDEX(UWS!$G$10:$Z$41,MATCH($C28,UWS!$B$10:$B$41,0),MATCH(Q$4,UWS!$G$3:$Z$3,0)),0)</f>
        <v>0</v>
      </c>
      <c r="R28" s="47">
        <f>IFERROR(INDEX(UWS!$G$10:$Z$41,MATCH($C28,UWS!$B$10:$B$41,0),MATCH(R$4,UWS!$G$3:$Z$3,0)),0)</f>
        <v>0.3</v>
      </c>
      <c r="S28" s="47">
        <f>IFERROR(INDEX(UWS!$G$10:$Z$41,MATCH($C28,UWS!$B$10:$B$41,0),MATCH(S$4,UWS!$G$3:$Z$3,0)),0)</f>
        <v>0</v>
      </c>
      <c r="T28" s="47">
        <f>IFERROR(INDEX(UWS!$G$10:$Z$41,MATCH($C28,UWS!$B$10:$B$41,0),MATCH(T$4,UWS!$G$3:$Z$3,0)),0)</f>
        <v>0</v>
      </c>
      <c r="U28" s="47">
        <f>IFERROR(INDEX(UWS!$G$10:$Z$41,MATCH($C28,UWS!$B$10:$B$41,0),MATCH(U$4,UWS!$G$3:$Z$3,0)),0)</f>
        <v>0.7</v>
      </c>
      <c r="V28" s="47">
        <f>IFERROR(INDEX(UWS!$G$10:$Z$41,MATCH($C28,UWS!$B$10:$B$41,0),MATCH(V$4,UWS!$G$3:$Z$3,0)),0)</f>
        <v>1</v>
      </c>
      <c r="W28" s="47">
        <f>IFERROR(INDEX(UWS!$G$10:$Z$41,MATCH($C28,UWS!$B$10:$B$41,0),MATCH(W$4,UWS!$G$3:$Z$3,0)),0)</f>
        <v>0</v>
      </c>
      <c r="X28" s="47">
        <f>IFERROR(INDEX(UWS!$G$10:$Z$41,MATCH($C28,UWS!$B$10:$B$41,0),MATCH(X$4,UWS!$G$3:$Z$3,0)),0)</f>
        <v>0</v>
      </c>
      <c r="Y28" s="47">
        <f>IFERROR(INDEX(UWS!$G$10:$Z$41,MATCH($C28,UWS!$B$10:$B$41,0),MATCH(Y$4,UWS!$G$3:$Z$3,0)),0)</f>
        <v>0</v>
      </c>
      <c r="Z28" s="47">
        <f>IFERROR(INDEX(UWS!$G$10:$Z$41,MATCH($C28,UWS!$B$10:$B$41,0),MATCH(Z$4,UWS!$G$3:$Z$3,0)),0)</f>
        <v>0</v>
      </c>
      <c r="AA28" s="47">
        <f>IFERROR(INDEX(UWS!$G$10:$Z$41,MATCH($C28,UWS!$B$10:$B$41,0),MATCH(AA$4,UWS!$G$3:$Z$3,0)),0)</f>
        <v>0</v>
      </c>
      <c r="AB28" s="47">
        <f>IFERROR(INDEX(UWS!$G$10:$Z$41,MATCH($C28,UWS!$B$10:$B$41,0),MATCH(AB$4,UWS!$G$3:$Z$3,0)),0)</f>
        <v>0</v>
      </c>
      <c r="AC28" s="47">
        <f>IFERROR(INDEX(UWS!$G$10:$Z$41,MATCH($C28,UWS!$B$10:$B$41,0),MATCH(AC$4,UWS!$G$3:$Z$3,0)),0)</f>
        <v>0</v>
      </c>
      <c r="AD28" s="47">
        <f>IFERROR(INDEX(UWS!$G$10:$Z$41,MATCH($C28,UWS!$B$10:$B$41,0),MATCH(AD$4,UWS!$G$3:$Z$3,0)),0)</f>
        <v>0</v>
      </c>
      <c r="AE28" s="47">
        <f>IFERROR(INDEX(UWS!$G$10:$Z$41,MATCH($C28,UWS!$B$10:$B$41,0),MATCH(AE$4,UWS!$G$3:$Z$3,0)),0)</f>
        <v>0</v>
      </c>
      <c r="AF28" s="47">
        <f>IFERROR(INDEX(UWS!$G$10:$Z$41,MATCH($C28,UWS!$B$10:$B$41,0),MATCH(AF$4,UWS!$G$3:$Z$3,0)),0)</f>
        <v>0</v>
      </c>
      <c r="AG28" s="47">
        <f>IFERROR(INDEX(UWS!$G$10:$Z$41,MATCH($C28,UWS!$B$10:$B$41,0),MATCH(AG$4,UWS!$G$3:$Z$3,0)),0)</f>
        <v>0</v>
      </c>
      <c r="AH28" s="47">
        <f>IFERROR(INDEX(UWS!$G$10:$Z$41,MATCH($C28,UWS!$B$10:$B$41,0),MATCH(AH$4,UWS!$G$3:$Z$3,0)),0)</f>
        <v>0</v>
      </c>
      <c r="AI28" s="47">
        <f>IFERROR(INDEX(UWS!$G$10:$Z$41,MATCH($C28,UWS!$B$10:$B$41,0),MATCH(AI$4,UWS!$G$3:$Z$3,0)),0)</f>
        <v>0</v>
      </c>
      <c r="AJ28" s="47"/>
      <c r="AK28" s="47">
        <f>IF(OR($J28=0,COUNTIFS($A$4:$A27,"&gt;="&amp;$A28-1,$A$4:$A27,"&lt;="&amp;$A28,$B$4:$B27,$B28)&gt;0,MIN(AK$1,IF($A28=$A27,AK27,1))-P28&lt;0),-1,MIN(1,IF($A28=$A27,AK27,1)-P28+$D$3))</f>
        <v>0.8</v>
      </c>
      <c r="AL28" s="47">
        <f>IF(OR($J28=0,COUNTIFS($A$4:$A27,"&gt;="&amp;$A28-1,$A$4:$A27,"&lt;="&amp;$A28,$B$4:$B27,$B28)&gt;0,MIN(AL$1,IF($A28=$A27,AL27,1))-Q28&lt;0),-1,MIN(1,IF($A28=$A27,AL27,1)-Q28+$D$3))</f>
        <v>-1</v>
      </c>
      <c r="AM28" s="47">
        <f>IF(OR($J28=0,COUNTIFS($A$4:$A27,"&gt;="&amp;$A28-1,$A$4:$A27,"&lt;="&amp;$A28,$B$4:$B27,$B28)&gt;0,MIN(AM$1,IF($A28=$A27,AM27,1))-R28&lt;0),-1,MIN(1,IF($A28=$A27,AM27,1)-R28+$D$3))</f>
        <v>1</v>
      </c>
      <c r="AN28" s="47">
        <f>IF(OR($J28=0,COUNTIFS($A$4:$A27,"&gt;="&amp;$A28-1,$A$4:$A27,"&lt;="&amp;$A28,$B$4:$B27,$B28)&gt;0,MIN(AN$1,IF($A28=$A27,AN27,1))-S28&lt;0),-1,MIN(1,IF($A28=$A27,AN27,1)-S28+$D$3))</f>
        <v>1</v>
      </c>
      <c r="AO28" s="47">
        <f>IF(OR($J28=0,COUNTIFS($A$4:$A27,"&gt;="&amp;$A28-1,$A$4:$A27,"&lt;="&amp;$A28,$B$4:$B27,$B28)&gt;0,MIN(AO$1,IF($A28=$A27,AO27,1))-T28&lt;0),-1,MIN(1,IF($A28=$A27,AO27,1)-T28+$D$3))</f>
        <v>1</v>
      </c>
      <c r="AP28" s="47">
        <f>IF(OR($J28=0,COUNTIFS($A$4:$A27,"&gt;="&amp;$A28-1,$A$4:$A27,"&lt;="&amp;$A28,$B$4:$B27,$B28)&gt;0,MIN(AP$1,IF($A28=$A27,AP27,1))-U28&lt;0),-1,MIN(1,IF($A28=$A27,AP27,1)-U28+$D$3))</f>
        <v>0.70000000000000007</v>
      </c>
      <c r="AQ28" s="47">
        <f>IF(OR($J28=0,COUNTIFS($A$4:$A27,"&gt;="&amp;$A28-1,$A$4:$A27,"&lt;="&amp;$A28,$B$4:$B27,$B28)&gt;0,MIN(AQ$1,IF($A28=$A27,AQ27,1))-V28&lt;0),-1,MIN(1,IF($A28=$A27,AQ27,1)-V28+$D$3))</f>
        <v>-1</v>
      </c>
      <c r="AR28" s="47">
        <f>IF(OR($J28=0,COUNTIFS($A$4:$A27,"&gt;="&amp;$A28-1,$A$4:$A27,"&lt;="&amp;$A28,$B$4:$B27,$B28)&gt;0,MIN(AR$1,IF($A28=$A27,AR27,1))-W28&lt;0),-1,MIN(1,IF($A28=$A27,AR27,1)-W28+$D$3))</f>
        <v>1</v>
      </c>
      <c r="AS28" s="47">
        <f>IF(OR($J28=0,COUNTIFS($A$4:$A27,"&gt;="&amp;$A28-1,$A$4:$A27,"&lt;="&amp;$A28,$B$4:$B27,$B28)&gt;0,MIN(AS$1,IF($A28=$A27,AS27,1))-X28&lt;0),-1,MIN(1,IF($A28=$A27,AS27,1)-X28+$D$3))</f>
        <v>-1</v>
      </c>
      <c r="AT28" s="47">
        <f>IF(OR($J28=0,COUNTIFS($A$4:$A27,"&gt;="&amp;$A28-1,$A$4:$A27,"&lt;="&amp;$A28,$B$4:$B27,$B28)&gt;0,MIN(AT$1,IF($A28=$A27,AT27,1))-Y28&lt;0),-1,MIN(1,IF($A28=$A27,AT27,1)-Y28+$D$3))</f>
        <v>1</v>
      </c>
      <c r="AU28" s="47">
        <f>IF(OR($J28=0,COUNTIFS($A$4:$A27,"&gt;="&amp;$A28-1,$A$4:$A27,"&lt;="&amp;$A28,$B$4:$B27,$B28)&gt;0,MIN(AU$1,IF($A28=$A27,AU27,1))-Z28&lt;0),-1,MIN(1,IF($A28=$A27,AU27,1)-Z28+$D$3))</f>
        <v>1</v>
      </c>
      <c r="AV28" s="47">
        <f>IF(OR($J28=0,COUNTIFS($A$4:$A27,"&gt;="&amp;$A28-1,$A$4:$A27,"&lt;="&amp;$A28,$B$4:$B27,$B28)&gt;0,MIN(AV$1,IF($A28=$A27,AV27,1))-AA28&lt;0),-1,MIN(1,IF($A28=$A27,AV27,1)-AA28+$D$3))</f>
        <v>1</v>
      </c>
      <c r="AW28" s="47">
        <f>IF(OR($J28=0,COUNTIFS($A$4:$A27,"&gt;="&amp;$A28-1,$A$4:$A27,"&lt;="&amp;$A28,$B$4:$B27,$B28)&gt;0,MIN(AW$1,IF($A28=$A27,AW27,1))-AB28&lt;0),-1,MIN(1,IF($A28=$A27,AW27,1)-AB28+$D$3))</f>
        <v>1</v>
      </c>
      <c r="AX28" s="47">
        <f>IF(OR($J28=0,COUNTIFS($A$4:$A27,"&gt;="&amp;$A28-1,$A$4:$A27,"&lt;="&amp;$A28,$B$4:$B27,$B28)&gt;0,MIN(AX$1,IF($A28=$A27,AX27,1))-AC28&lt;0),-1,MIN(1,IF($A28=$A27,AX27,1)-AC28+$D$3))</f>
        <v>1</v>
      </c>
      <c r="AY28" s="47">
        <f>IF(OR($J28=0,COUNTIFS($A$4:$A27,"&gt;="&amp;$A28-1,$A$4:$A27,"&lt;="&amp;$A28,$B$4:$B27,$B28)&gt;0,MIN(AY$1,IF($A28=$A27,AY27,1))-AD28&lt;0),-1,MIN(1,IF($A28=$A27,AY27,1)-AD28+$D$3))</f>
        <v>1</v>
      </c>
      <c r="AZ28" s="47">
        <f>IF(OR($J28=0,COUNTIFS($A$4:$A27,"&gt;="&amp;$A28-1,$A$4:$A27,"&lt;="&amp;$A28,$B$4:$B27,$B28)&gt;0,MIN(AZ$1,IF($A28=$A27,AZ27,1))-AE28&lt;0),-1,MIN(1,IF($A28=$A27,AZ27,1)-AE28+$D$3))</f>
        <v>1</v>
      </c>
      <c r="BA28" s="47">
        <f>IF(OR($J28=0,COUNTIFS($A$4:$A27,"&gt;="&amp;$A28-1,$A$4:$A27,"&lt;="&amp;$A28,$B$4:$B27,$B28)&gt;0,MIN(BA$1,IF($A28=$A27,BA27,1))-AF28&lt;0),-1,MIN(1,IF($A28=$A27,BA27,1)-AF28+$D$3))</f>
        <v>1</v>
      </c>
      <c r="BB28" s="47">
        <f>IF(OR($J28=0,COUNTIFS($A$4:$A27,"&gt;="&amp;$A28-1,$A$4:$A27,"&lt;="&amp;$A28,$B$4:$B27,$B28)&gt;0,MIN(BB$1,IF($A28=$A27,BB27,1))-AG28&lt;0),-1,MIN(1,IF($A28=$A27,BB27,1)-AG28+$D$3))</f>
        <v>1</v>
      </c>
      <c r="BC28" s="47">
        <f>IF(OR($J28=0,COUNTIFS($A$4:$A27,"&gt;="&amp;$A28-1,$A$4:$A27,"&lt;="&amp;$A28,$B$4:$B27,$B28)&gt;0,MIN(BC$1,IF($A28=$A27,BC27,1))-AH28&lt;0),-1,MIN(1,IF($A28=$A27,BC27,1)-AH28+$D$3))</f>
        <v>1</v>
      </c>
      <c r="BD28" s="47">
        <f>IF(OR($J28=0,COUNTIFS($A$4:$A27,"&gt;="&amp;$A28-1,$A$4:$A27,"&lt;="&amp;$A28,$B$4:$B27,$B28)&gt;0,MIN(BD$1,IF($A28=$A27,BD27,1))-AI28&lt;0),-1,MIN(1,IF($A28=$A27,BD27,1)-AI28+$D$3))</f>
        <v>1</v>
      </c>
      <c r="BE28" s="47"/>
      <c r="BF28" s="53">
        <f t="shared" si="23"/>
        <v>9.0525277430898568E-2</v>
      </c>
      <c r="BG28" s="53">
        <f t="shared" si="24"/>
        <v>0.30866674119179394</v>
      </c>
      <c r="BH28" s="53">
        <f t="shared" si="25"/>
        <v>0.35547495342236907</v>
      </c>
      <c r="BI28" s="53">
        <f t="shared" si="26"/>
        <v>0.3338730533925926</v>
      </c>
      <c r="BJ28" s="53">
        <f t="shared" si="27"/>
        <v>0.41667723726837996</v>
      </c>
      <c r="BK28" s="53">
        <f t="shared" si="28"/>
        <v>8.9469870276277647E-2</v>
      </c>
      <c r="BL28" s="53">
        <f t="shared" si="29"/>
        <v>0.11242276298633481</v>
      </c>
      <c r="BM28" s="53">
        <f t="shared" si="30"/>
        <v>0.12558893352457215</v>
      </c>
      <c r="BN28" s="53">
        <f t="shared" si="31"/>
        <v>0.14389870208644029</v>
      </c>
      <c r="BO28" s="53">
        <f t="shared" si="32"/>
        <v>4.7152501146037633E-2</v>
      </c>
      <c r="BP28" s="53">
        <f t="shared" si="33"/>
        <v>0.36780248010309308</v>
      </c>
      <c r="BQ28" s="53">
        <f t="shared" si="34"/>
        <v>3.4873120227521863E-2</v>
      </c>
      <c r="BR28" s="53">
        <f t="shared" si="35"/>
        <v>0.27744533788556269</v>
      </c>
      <c r="BS28" s="53">
        <f t="shared" si="36"/>
        <v>5.9132213510628209E-2</v>
      </c>
      <c r="BT28" s="53">
        <f t="shared" si="37"/>
        <v>0.39002920561329024</v>
      </c>
      <c r="BU28" s="53">
        <f t="shared" si="38"/>
        <v>0.40227086482518926</v>
      </c>
      <c r="BV28" s="53">
        <f t="shared" si="39"/>
        <v>0.43418017741606801</v>
      </c>
      <c r="BW28" s="53">
        <f t="shared" si="40"/>
        <v>0.14535650529198962</v>
      </c>
      <c r="BX28" s="53">
        <f t="shared" si="41"/>
        <v>0.17517944157566123</v>
      </c>
      <c r="BY28" s="53">
        <f t="shared" si="42"/>
        <v>0.16559403289076161</v>
      </c>
      <c r="BZ28" s="47"/>
      <c r="CA28" s="53">
        <f t="shared" si="2"/>
        <v>-0.53479418591030581</v>
      </c>
      <c r="CB28" s="53">
        <f t="shared" si="3"/>
        <v>5.7484102368732914E-2</v>
      </c>
      <c r="CC28" s="53">
        <f t="shared" si="4"/>
        <v>0.82677170165627878</v>
      </c>
      <c r="CD28" s="53">
        <f t="shared" si="5"/>
        <v>0.71576039327440277</v>
      </c>
      <c r="CE28" s="53">
        <f t="shared" si="6"/>
        <v>1.1412878134954889</v>
      </c>
      <c r="CF28" s="53">
        <f t="shared" si="7"/>
        <v>-0.77010894073124114</v>
      </c>
      <c r="CG28" s="53">
        <f t="shared" si="8"/>
        <v>-0.42226387522321585</v>
      </c>
      <c r="CH28" s="53">
        <f t="shared" si="9"/>
        <v>-0.56973563098216484</v>
      </c>
      <c r="CI28" s="53">
        <f t="shared" si="10"/>
        <v>-0.2605102712701145</v>
      </c>
      <c r="CJ28" s="53">
        <f t="shared" si="11"/>
        <v>-0.7576851648010472</v>
      </c>
      <c r="CK28" s="53">
        <f t="shared" si="12"/>
        <v>0.89012237284970608</v>
      </c>
      <c r="CL28" s="53">
        <f t="shared" si="13"/>
        <v>-0.82078841683003001</v>
      </c>
      <c r="CM28" s="53">
        <f t="shared" si="14"/>
        <v>-4.9479600693357551E-2</v>
      </c>
      <c r="CN28" s="53">
        <f t="shared" si="15"/>
        <v>-0.69612189759776411</v>
      </c>
      <c r="CO28" s="53">
        <f t="shared" si="16"/>
        <v>1.0043446346197662</v>
      </c>
      <c r="CP28" s="53">
        <f t="shared" si="17"/>
        <v>1.0672540362929865</v>
      </c>
      <c r="CQ28" s="53">
        <f t="shared" si="18"/>
        <v>0.48748981962989113</v>
      </c>
      <c r="CR28" s="53">
        <f t="shared" si="19"/>
        <v>-0.25301867835522018</v>
      </c>
      <c r="CS28" s="53">
        <f t="shared" si="20"/>
        <v>-9.9759790383504909E-2</v>
      </c>
      <c r="CT28" s="53">
        <f t="shared" si="21"/>
        <v>-0.14901882583959647</v>
      </c>
      <c r="CU28" s="47"/>
      <c r="CV28" s="90">
        <f t="shared" si="45"/>
        <v>0.66933718261039543</v>
      </c>
    </row>
    <row r="29" spans="1:100" x14ac:dyDescent="0.25">
      <c r="A29" s="97">
        <v>45053</v>
      </c>
      <c r="B29" s="86">
        <v>6</v>
      </c>
      <c r="C29" s="43" t="str" cm="1">
        <f t="array" ref="C29">IF(B29="","",INDEX(UWS!$B$10:$B$41,B29))</f>
        <v>Barbell squat</v>
      </c>
      <c r="D29" s="40">
        <f t="shared" ref="D29:D38" si="46">IF(C29="","",MIN(AK29:BD29))</f>
        <v>0.4</v>
      </c>
      <c r="E29" s="69">
        <f t="shared" ref="E29:E38" si="47">IF(C29="","",IFERROR((H29/$H$2)^$H$1*(CV29/$CV28)^$CV$1*(F29/$F$2)^$F$1*(G29/$G$2)^IF(B29&lt;=5,0,($G$1-$G$3*(I29-1))),0))</f>
        <v>1.6602579771316526</v>
      </c>
      <c r="F29" s="48" cm="1">
        <f t="array" ref="F29">0.1+IFERROR(INDEX($F$5:$F28,SUMPRODUCT(MAX(ROW($C$5:$C28)*($C29=$C$5:$C28))-ROW($A$4)))*0.9^($A29-INDEX($A$5:A28,SUMPRODUCT(MAX(ROW($C$5:$C28)*($C29=$C$5:$C28))-ROW($A$4)))),0)</f>
        <v>0.1729</v>
      </c>
      <c r="G29" s="55">
        <f>INDEX(UWS!$AB$10:$AB$41,MATCH(C29,UWS!$B$10:$B$41,0))</f>
        <v>5.1000000000000005</v>
      </c>
      <c r="H29" s="48">
        <f>INDEX(UWS!$C$10:$C$41,MATCH(C29,UWS!$B$10:$B$41,0))</f>
        <v>1.1000000000000001</v>
      </c>
      <c r="I29" s="27">
        <f t="shared" ref="I29:I31" si="48">IF(A29&gt;A28,1,IF(A29&gt;A27,2,IF(A29&gt;A26,3,IF(A29&gt;A25,4,5))))</f>
        <v>1</v>
      </c>
      <c r="J29" s="27">
        <f>INDEX(UWS!$E$10:$E$41,MATCH(C29,UWS!$B$10:$B$41,0))</f>
        <v>1</v>
      </c>
      <c r="L29" s="108" t="str" cm="1">
        <f t="array" ref="L29">IF(K29="","",INDEX(UWS!$B$10:$B$41,K29))</f>
        <v/>
      </c>
      <c r="N29" s="108" t="str" cm="1">
        <f t="array" ref="N29">IF(M29="","",INDEX(UWS!$B$10:$B$41,M29))</f>
        <v/>
      </c>
      <c r="P29">
        <f>IFERROR(INDEX(UWS!$G$10:$Z$41,MATCH($C29,UWS!$B$10:$B$41,0),MATCH(P$4,UWS!$G$3:$Z$3,0)),0)</f>
        <v>0</v>
      </c>
      <c r="Q29">
        <f>IFERROR(INDEX(UWS!$G$10:$Z$41,MATCH($C29,UWS!$B$10:$B$41,0),MATCH(Q$4,UWS!$G$3:$Z$3,0)),0)</f>
        <v>0</v>
      </c>
      <c r="R29">
        <f>IFERROR(INDEX(UWS!$G$10:$Z$41,MATCH($C29,UWS!$B$10:$B$41,0),MATCH(R$4,UWS!$G$3:$Z$3,0)),0)</f>
        <v>0</v>
      </c>
      <c r="S29">
        <f>IFERROR(INDEX(UWS!$G$10:$Z$41,MATCH($C29,UWS!$B$10:$B$41,0),MATCH(S$4,UWS!$G$3:$Z$3,0)),0)</f>
        <v>0</v>
      </c>
      <c r="T29">
        <f>IFERROR(INDEX(UWS!$G$10:$Z$41,MATCH($C29,UWS!$B$10:$B$41,0),MATCH(T$4,UWS!$G$3:$Z$3,0)),0)</f>
        <v>1</v>
      </c>
      <c r="U29">
        <f>IFERROR(INDEX(UWS!$G$10:$Z$41,MATCH($C29,UWS!$B$10:$B$41,0),MATCH(U$4,UWS!$G$3:$Z$3,0)),0)</f>
        <v>0</v>
      </c>
      <c r="V29">
        <f>IFERROR(INDEX(UWS!$G$10:$Z$41,MATCH($C29,UWS!$B$10:$B$41,0),MATCH(V$4,UWS!$G$3:$Z$3,0)),0)</f>
        <v>0</v>
      </c>
      <c r="W29">
        <f>IFERROR(INDEX(UWS!$G$10:$Z$41,MATCH($C29,UWS!$B$10:$B$41,0),MATCH(W$4,UWS!$G$3:$Z$3,0)),0)</f>
        <v>0</v>
      </c>
      <c r="X29">
        <f>IFERROR(INDEX(UWS!$G$10:$Z$41,MATCH($C29,UWS!$B$10:$B$41,0),MATCH(X$4,UWS!$G$3:$Z$3,0)),0)</f>
        <v>0</v>
      </c>
      <c r="Y29">
        <f>IFERROR(INDEX(UWS!$G$10:$Z$41,MATCH($C29,UWS!$B$10:$B$41,0),MATCH(Y$4,UWS!$G$3:$Z$3,0)),0)</f>
        <v>0</v>
      </c>
      <c r="Z29">
        <f>IFERROR(INDEX(UWS!$G$10:$Z$41,MATCH($C29,UWS!$B$10:$B$41,0),MATCH(Z$4,UWS!$G$3:$Z$3,0)),0)</f>
        <v>0</v>
      </c>
      <c r="AA29">
        <f>IFERROR(INDEX(UWS!$G$10:$Z$41,MATCH($C29,UWS!$B$10:$B$41,0),MATCH(AA$4,UWS!$G$3:$Z$3,0)),0)</f>
        <v>0</v>
      </c>
      <c r="AB29">
        <f>IFERROR(INDEX(UWS!$G$10:$Z$41,MATCH($C29,UWS!$B$10:$B$41,0),MATCH(AB$4,UWS!$G$3:$Z$3,0)),0)</f>
        <v>0.6</v>
      </c>
      <c r="AC29">
        <f>IFERROR(INDEX(UWS!$G$10:$Z$41,MATCH($C29,UWS!$B$10:$B$41,0),MATCH(AC$4,UWS!$G$3:$Z$3,0)),0)</f>
        <v>0</v>
      </c>
      <c r="AD29">
        <f>IFERROR(INDEX(UWS!$G$10:$Z$41,MATCH($C29,UWS!$B$10:$B$41,0),MATCH(AD$4,UWS!$G$3:$Z$3,0)),0)</f>
        <v>1</v>
      </c>
      <c r="AE29">
        <f>IFERROR(INDEX(UWS!$G$10:$Z$41,MATCH($C29,UWS!$B$10:$B$41,0),MATCH(AE$4,UWS!$G$3:$Z$3,0)),0)</f>
        <v>0.7</v>
      </c>
      <c r="AF29">
        <f>IFERROR(INDEX(UWS!$G$10:$Z$41,MATCH($C29,UWS!$B$10:$B$41,0),MATCH(AF$4,UWS!$G$3:$Z$3,0)),0)</f>
        <v>0.9</v>
      </c>
      <c r="AG29">
        <f>IFERROR(INDEX(UWS!$G$10:$Z$41,MATCH($C29,UWS!$B$10:$B$41,0),MATCH(AG$4,UWS!$G$3:$Z$3,0)),0)</f>
        <v>0.1</v>
      </c>
      <c r="AH29">
        <f>IFERROR(INDEX(UWS!$G$10:$Z$41,MATCH($C29,UWS!$B$10:$B$41,0),MATCH(AH$4,UWS!$G$3:$Z$3,0)),0)</f>
        <v>0.4</v>
      </c>
      <c r="AI29">
        <f>IFERROR(INDEX(UWS!$G$10:$Z$41,MATCH($C29,UWS!$B$10:$B$41,0),MATCH(AI$4,UWS!$G$3:$Z$3,0)),0)</f>
        <v>0.4</v>
      </c>
      <c r="AK29">
        <f>IF(OR($J29=0,COUNTIFS($A$4:$A28,"&gt;="&amp;$A29-1,$A$4:$A28,"&lt;="&amp;$A29,$B$4:$B28,$B29)&gt;0,MIN(AK$1,IF($A29=$A28,AK28,1))-P29&lt;0),-1,MIN(1,IF($A29=$A28,AK28,1)-P29+$D$3))</f>
        <v>1</v>
      </c>
      <c r="AL29">
        <f>IF(OR($J29=0,COUNTIFS($A$4:$A28,"&gt;="&amp;$A29-1,$A$4:$A28,"&lt;="&amp;$A29,$B$4:$B28,$B29)&gt;0,MIN(AL$1,IF($A29=$A28,AL28,1))-Q29&lt;0),-1,MIN(1,IF($A29=$A28,AL28,1)-Q29+$D$3))</f>
        <v>1</v>
      </c>
      <c r="AM29">
        <f>IF(OR($J29=0,COUNTIFS($A$4:$A28,"&gt;="&amp;$A29-1,$A$4:$A28,"&lt;="&amp;$A29,$B$4:$B28,$B29)&gt;0,MIN(AM$1,IF($A29=$A28,AM28,1))-R29&lt;0),-1,MIN(1,IF($A29=$A28,AM28,1)-R29+$D$3))</f>
        <v>1</v>
      </c>
      <c r="AN29">
        <f>IF(OR($J29=0,COUNTIFS($A$4:$A28,"&gt;="&amp;$A29-1,$A$4:$A28,"&lt;="&amp;$A29,$B$4:$B28,$B29)&gt;0,MIN(AN$1,IF($A29=$A28,AN28,1))-S29&lt;0),-1,MIN(1,IF($A29=$A28,AN28,1)-S29+$D$3))</f>
        <v>1</v>
      </c>
      <c r="AO29">
        <f>IF(OR($J29=0,COUNTIFS($A$4:$A28,"&gt;="&amp;$A29-1,$A$4:$A28,"&lt;="&amp;$A29,$B$4:$B28,$B29)&gt;0,MIN(AO$1,IF($A29=$A28,AO28,1))-T29&lt;0),-1,MIN(1,IF($A29=$A28,AO28,1)-T29+$D$3))</f>
        <v>0.4</v>
      </c>
      <c r="AP29">
        <f>IF(OR($J29=0,COUNTIFS($A$4:$A28,"&gt;="&amp;$A29-1,$A$4:$A28,"&lt;="&amp;$A29,$B$4:$B28,$B29)&gt;0,MIN(AP$1,IF($A29=$A28,AP28,1))-U29&lt;0),-1,MIN(1,IF($A29=$A28,AP28,1)-U29+$D$3))</f>
        <v>1</v>
      </c>
      <c r="AQ29">
        <f>IF(OR($J29=0,COUNTIFS($A$4:$A28,"&gt;="&amp;$A29-1,$A$4:$A28,"&lt;="&amp;$A29,$B$4:$B28,$B29)&gt;0,MIN(AQ$1,IF($A29=$A28,AQ28,1))-V29&lt;0),-1,MIN(1,IF($A29=$A28,AQ28,1)-V29+$D$3))</f>
        <v>1</v>
      </c>
      <c r="AR29">
        <f>IF(OR($J29=0,COUNTIFS($A$4:$A28,"&gt;="&amp;$A29-1,$A$4:$A28,"&lt;="&amp;$A29,$B$4:$B28,$B29)&gt;0,MIN(AR$1,IF($A29=$A28,AR28,1))-W29&lt;0),-1,MIN(1,IF($A29=$A28,AR28,1)-W29+$D$3))</f>
        <v>1</v>
      </c>
      <c r="AS29">
        <f>IF(OR($J29=0,COUNTIFS($A$4:$A28,"&gt;="&amp;$A29-1,$A$4:$A28,"&lt;="&amp;$A29,$B$4:$B28,$B29)&gt;0,MIN(AS$1,IF($A29=$A28,AS28,1))-X29&lt;0),-1,MIN(1,IF($A29=$A28,AS28,1)-X29+$D$3))</f>
        <v>1</v>
      </c>
      <c r="AT29">
        <f>IF(OR($J29=0,COUNTIFS($A$4:$A28,"&gt;="&amp;$A29-1,$A$4:$A28,"&lt;="&amp;$A29,$B$4:$B28,$B29)&gt;0,MIN(AT$1,IF($A29=$A28,AT28,1))-Y29&lt;0),-1,MIN(1,IF($A29=$A28,AT28,1)-Y29+$D$3))</f>
        <v>1</v>
      </c>
      <c r="AU29">
        <f>IF(OR($J29=0,COUNTIFS($A$4:$A28,"&gt;="&amp;$A29-1,$A$4:$A28,"&lt;="&amp;$A29,$B$4:$B28,$B29)&gt;0,MIN(AU$1,IF($A29=$A28,AU28,1))-Z29&lt;0),-1,MIN(1,IF($A29=$A28,AU28,1)-Z29+$D$3))</f>
        <v>1</v>
      </c>
      <c r="AV29">
        <f>IF(OR($J29=0,COUNTIFS($A$4:$A28,"&gt;="&amp;$A29-1,$A$4:$A28,"&lt;="&amp;$A29,$B$4:$B28,$B29)&gt;0,MIN(AV$1,IF($A29=$A28,AV28,1))-AA29&lt;0),-1,MIN(1,IF($A29=$A28,AV28,1)-AA29+$D$3))</f>
        <v>1</v>
      </c>
      <c r="AW29">
        <f>IF(OR($J29=0,COUNTIFS($A$4:$A28,"&gt;="&amp;$A29-1,$A$4:$A28,"&lt;="&amp;$A29,$B$4:$B28,$B29)&gt;0,MIN(AW$1,IF($A29=$A28,AW28,1))-AB29&lt;0),-1,MIN(1,IF($A29=$A28,AW28,1)-AB29+$D$3))</f>
        <v>0.8</v>
      </c>
      <c r="AX29">
        <f>IF(OR($J29=0,COUNTIFS($A$4:$A28,"&gt;="&amp;$A29-1,$A$4:$A28,"&lt;="&amp;$A29,$B$4:$B28,$B29)&gt;0,MIN(AX$1,IF($A29=$A28,AX28,1))-AC29&lt;0),-1,MIN(1,IF($A29=$A28,AX28,1)-AC29+$D$3))</f>
        <v>1</v>
      </c>
      <c r="AY29">
        <f>IF(OR($J29=0,COUNTIFS($A$4:$A28,"&gt;="&amp;$A29-1,$A$4:$A28,"&lt;="&amp;$A29,$B$4:$B28,$B29)&gt;0,MIN(AY$1,IF($A29=$A28,AY28,1))-AD29&lt;0),-1,MIN(1,IF($A29=$A28,AY28,1)-AD29+$D$3))</f>
        <v>0.4</v>
      </c>
      <c r="AZ29">
        <f>IF(OR($J29=0,COUNTIFS($A$4:$A28,"&gt;="&amp;$A29-1,$A$4:$A28,"&lt;="&amp;$A29,$B$4:$B28,$B29)&gt;0,MIN(AZ$1,IF($A29=$A28,AZ28,1))-AE29&lt;0),-1,MIN(1,IF($A29=$A28,AZ28,1)-AE29+$D$3))</f>
        <v>0.70000000000000007</v>
      </c>
      <c r="BA29">
        <f>IF(OR($J29=0,COUNTIFS($A$4:$A28,"&gt;="&amp;$A29-1,$A$4:$A28,"&lt;="&amp;$A29,$B$4:$B28,$B29)&gt;0,MIN(BA$1,IF($A29=$A28,BA28,1))-AF29&lt;0),-1,MIN(1,IF($A29=$A28,BA28,1)-AF29+$D$3))</f>
        <v>0.5</v>
      </c>
      <c r="BB29">
        <f>IF(OR($J29=0,COUNTIFS($A$4:$A28,"&gt;="&amp;$A29-1,$A$4:$A28,"&lt;="&amp;$A29,$B$4:$B28,$B29)&gt;0,MIN(BB$1,IF($A29=$A28,BB28,1))-AG29&lt;0),-1,MIN(1,IF($A29=$A28,BB28,1)-AG29+$D$3))</f>
        <v>1</v>
      </c>
      <c r="BC29">
        <f>IF(OR($J29=0,COUNTIFS($A$4:$A28,"&gt;="&amp;$A29-1,$A$4:$A28,"&lt;="&amp;$A29,$B$4:$B28,$B29)&gt;0,MIN(BC$1,IF($A29=$A28,BC28,1))-AH29&lt;0),-1,MIN(1,IF($A29=$A28,BC28,1)-AH29+$D$3))</f>
        <v>1</v>
      </c>
      <c r="BD29">
        <f>IF(OR($J29=0,COUNTIFS($A$4:$A28,"&gt;="&amp;$A29-1,$A$4:$A28,"&lt;="&amp;$A29,$B$4:$B28,$B29)&gt;0,MIN(BD$1,IF($A29=$A28,BD28,1))-AI29&lt;0),-1,MIN(1,IF($A29=$A28,BD28,1)-AI29+$D$3))</f>
        <v>1</v>
      </c>
      <c r="BF29" s="44">
        <f t="shared" ref="BF29:BF31" si="49">$AN$2*P29+(1-$AN$2)*BF28</f>
        <v>8.5999013559353632E-2</v>
      </c>
      <c r="BG29" s="44">
        <f t="shared" ref="BG29:BG31" si="50">$AN$2*Q29+(1-$AN$2)*BG28</f>
        <v>0.29323340413220422</v>
      </c>
      <c r="BH29" s="44">
        <f t="shared" ref="BH29:BH31" si="51">$AN$2*R29+(1-$AN$2)*BH28</f>
        <v>0.33770120575125062</v>
      </c>
      <c r="BI29" s="44">
        <f t="shared" ref="BI29:BI31" si="52">$AN$2*S29+(1-$AN$2)*BI28</f>
        <v>0.31717940072296297</v>
      </c>
      <c r="BJ29" s="44">
        <f t="shared" ref="BJ29:BJ31" si="53">$AN$2*T29+(1-$AN$2)*BJ28</f>
        <v>0.44584337540496094</v>
      </c>
      <c r="BK29" s="44">
        <f t="shared" ref="BK29:BK31" si="54">$AN$2*U29+(1-$AN$2)*BK28</f>
        <v>8.4996376762463757E-2</v>
      </c>
      <c r="BL29" s="44">
        <f t="shared" ref="BL29:BL31" si="55">$AN$2*V29+(1-$AN$2)*BL28</f>
        <v>0.10680162483701806</v>
      </c>
      <c r="BM29" s="44">
        <f t="shared" ref="BM29:BM31" si="56">$AN$2*W29+(1-$AN$2)*BM28</f>
        <v>0.11930948684834354</v>
      </c>
      <c r="BN29" s="44">
        <f t="shared" ref="BN29:BN31" si="57">$AN$2*X29+(1-$AN$2)*BN28</f>
        <v>0.13670376698211828</v>
      </c>
      <c r="BO29" s="44">
        <f t="shared" ref="BO29:BO31" si="58">$AN$2*Y29+(1-$AN$2)*BO28</f>
        <v>4.4794876088735752E-2</v>
      </c>
      <c r="BP29" s="44">
        <f t="shared" ref="BP29:BP31" si="59">$AN$2*Z29+(1-$AN$2)*BP28</f>
        <v>0.34941235609793841</v>
      </c>
      <c r="BQ29" s="44">
        <f t="shared" ref="BQ29:BQ31" si="60">$AN$2*AA29+(1-$AN$2)*BQ28</f>
        <v>3.3129464216145765E-2</v>
      </c>
      <c r="BR29" s="44">
        <f t="shared" ref="BR29:BR31" si="61">$AN$2*AB29+(1-$AN$2)*BR28</f>
        <v>0.29357307099128449</v>
      </c>
      <c r="BS29" s="44">
        <f t="shared" ref="BS29:BS31" si="62">$AN$2*AC29+(1-$AN$2)*BS28</f>
        <v>5.6175602835096795E-2</v>
      </c>
      <c r="BT29" s="44">
        <f t="shared" ref="BT29:BT31" si="63">$AN$2*AD29+(1-$AN$2)*BT28</f>
        <v>0.42052774533262571</v>
      </c>
      <c r="BU29" s="44">
        <f t="shared" ref="BU29:BU31" si="64">$AN$2*AE29+(1-$AN$2)*BU28</f>
        <v>0.41715732158392976</v>
      </c>
      <c r="BV29" s="44">
        <f t="shared" ref="BV29:BV31" si="65">$AN$2*AF29+(1-$AN$2)*BV28</f>
        <v>0.45747116854526459</v>
      </c>
      <c r="BW29" s="44">
        <f t="shared" ref="BW29:BW31" si="66">$AN$2*AG29+(1-$AN$2)*BW28</f>
        <v>0.14308868002739014</v>
      </c>
      <c r="BX29" s="44">
        <f t="shared" ref="BX29:BX31" si="67">$AN$2*AH29+(1-$AN$2)*BX28</f>
        <v>0.18642046949687818</v>
      </c>
      <c r="BY29" s="44">
        <f t="shared" ref="BY29:BY31" si="68">$AN$2*AI29+(1-$AN$2)*BY28</f>
        <v>0.17731433124622353</v>
      </c>
      <c r="CA29" s="44">
        <f t="shared" ref="CA29:CA31" si="69">IF($A29="","",BF29/SUM($BF29:$BY29)/CA$2-1)</f>
        <v>-0.56111588218749775</v>
      </c>
      <c r="CB29" s="44">
        <f t="shared" ref="CB29:CB31" si="70">IF($A29="","",BG29/SUM($BF29:$BY29)/CB$2-1)</f>
        <v>-2.3491467383861542E-3</v>
      </c>
      <c r="CC29" s="44">
        <f t="shared" ref="CC29:CC31" si="71">IF($A29="","",BH29/SUM($BF29:$BY29)/CC$2-1)</f>
        <v>0.72341157922776866</v>
      </c>
      <c r="CD29" s="44">
        <f t="shared" ref="CD29:CD31" si="72">IF($A29="","",BI29/SUM($BF29:$BY29)/CD$2-1)</f>
        <v>0.61868137450810523</v>
      </c>
      <c r="CE29" s="44">
        <f t="shared" ref="CE29:CE31" si="73">IF($A29="","",BJ29/SUM($BF29:$BY29)/CE$2-1)</f>
        <v>1.2753002435557845</v>
      </c>
      <c r="CF29" s="44">
        <f t="shared" ref="CF29:CF31" si="74">IF($A29="","",BK29/SUM($BF29:$BY29)/CF$2-1)</f>
        <v>-0.78311635047472195</v>
      </c>
      <c r="CG29" s="44">
        <f t="shared" ref="CG29:CG31" si="75">IF($A29="","",BL29/SUM($BF29:$BY29)/CG$2-1)</f>
        <v>-0.45495262146017568</v>
      </c>
      <c r="CH29" s="44">
        <f t="shared" ref="CH29:CH31" si="76">IF($A29="","",BM29/SUM($BF29:$BY29)/CH$2-1)</f>
        <v>-0.59408031390996996</v>
      </c>
      <c r="CI29" s="44">
        <f t="shared" ref="CI29:CI31" si="77">IF($A29="","",BN29/SUM($BF29:$BY29)/CI$2-1)</f>
        <v>-0.30235115857247752</v>
      </c>
      <c r="CJ29" s="44">
        <f t="shared" ref="CJ29:CJ31" si="78">IF($A29="","",BO29/SUM($BF29:$BY29)/CJ$2-1)</f>
        <v>-0.77139552116889532</v>
      </c>
      <c r="CK29" s="44">
        <f t="shared" ref="CK29:CK31" si="79">IF($A29="","",BP29/SUM($BF29:$BY29)/CK$2-1)</f>
        <v>0.78317782160365712</v>
      </c>
      <c r="CL29" s="44">
        <f t="shared" ref="CL29:CL31" si="80">IF($A29="","",BQ29/SUM($BF29:$BY29)/CL$2-1)</f>
        <v>-0.83092834354351075</v>
      </c>
      <c r="CM29" s="44">
        <f t="shared" ref="CM29:CM31" si="81">IF($A29="","",BR29/SUM($BF29:$BY29)/CM$2-1)</f>
        <v>-1.193518058260179E-3</v>
      </c>
      <c r="CN29" s="44">
        <f t="shared" ref="CN29:CN31" si="82">IF($A29="","",BS29/SUM($BF29:$BY29)/CN$2-1)</f>
        <v>-0.71331555011556969</v>
      </c>
      <c r="CO29" s="44">
        <f t="shared" ref="CO29:CO31" si="83">IF($A29="","",BT29/SUM($BF29:$BY29)/CO$2-1)</f>
        <v>1.1461054131581507</v>
      </c>
      <c r="CP29" s="44">
        <f t="shared" ref="CP29:CP31" si="84">IF($A29="","",BU29/SUM($BF29:$BY29)/CP$2-1)</f>
        <v>1.1289049198922623</v>
      </c>
      <c r="CQ29" s="44">
        <f t="shared" ref="CQ29:CQ31" si="85">IF($A29="","",BV29/SUM($BF29:$BY29)/CQ$2-1)</f>
        <v>0.55642738927521562</v>
      </c>
      <c r="CR29" s="44">
        <f t="shared" ref="CR29:CR31" si="86">IF($A29="","",BW29/SUM($BF29:$BY29)/CR$2-1)</f>
        <v>-0.2697666344808185</v>
      </c>
      <c r="CS29" s="44">
        <f t="shared" ref="CS29:CS31" si="87">IF($A29="","",BX29/SUM($BF29:$BY29)/CS$2-1)</f>
        <v>-4.8628816644942896E-2</v>
      </c>
      <c r="CT29" s="44">
        <f t="shared" ref="CT29:CT31" si="88">IF($A29="","",BY29/SUM($BF29:$BY29)/CT$2-1)</f>
        <v>-9.5100738675292451E-2</v>
      </c>
      <c r="CV29" s="44">
        <f t="shared" ref="CV29:CV31" si="89">SQRT(SUMPRODUCT(CA29:CT29,CA29:CT29)/20)</f>
        <v>0.68925315573434387</v>
      </c>
    </row>
    <row r="30" spans="1:100" x14ac:dyDescent="0.25">
      <c r="A30" s="97">
        <v>45053</v>
      </c>
      <c r="B30" s="86">
        <v>29</v>
      </c>
      <c r="C30" s="43" t="str" cm="1">
        <f t="array" ref="C30">IF(B30="","",INDEX(UWS!$B$10:$B$41,B30))</f>
        <v>Weighted decline crunch</v>
      </c>
      <c r="D30" s="40">
        <f t="shared" si="46"/>
        <v>0.4</v>
      </c>
      <c r="E30" s="69">
        <f t="shared" si="47"/>
        <v>1.0232066296893341</v>
      </c>
      <c r="F30" s="48" cm="1">
        <f t="array" ref="F30">0.1+IFERROR(INDEX($F$5:$F29,SUMPRODUCT(MAX(ROW($C$5:$C29)*($C30=$C$5:$C29))-ROW($A$4)))*0.9^($A30-INDEX($A$5:A29,SUMPRODUCT(MAX(ROW($C$5:$C29)*($C30=$C$5:$C29))-ROW($A$4)))),0)</f>
        <v>0.1</v>
      </c>
      <c r="G30" s="55">
        <f>INDEX(UWS!$AB$10:$AB$41,MATCH(C30,UWS!$B$10:$B$41,0))</f>
        <v>2</v>
      </c>
      <c r="H30" s="48">
        <f>INDEX(UWS!$C$10:$C$41,MATCH(C30,UWS!$B$10:$B$41,0))</f>
        <v>1</v>
      </c>
      <c r="I30" s="27">
        <f t="shared" si="48"/>
        <v>2</v>
      </c>
      <c r="J30" s="27">
        <f>INDEX(UWS!$E$10:$E$41,MATCH(C30,UWS!$B$10:$B$41,0))</f>
        <v>1</v>
      </c>
      <c r="L30" s="108" t="str" cm="1">
        <f t="array" ref="L30">IF(K30="","",INDEX(UWS!$B$10:$B$41,K30))</f>
        <v/>
      </c>
      <c r="N30" s="108" t="str" cm="1">
        <f t="array" ref="N30">IF(M30="","",INDEX(UWS!$B$10:$B$41,M30))</f>
        <v/>
      </c>
      <c r="P30">
        <f>IFERROR(INDEX(UWS!$G$10:$Z$41,MATCH($C30,UWS!$B$10:$B$41,0),MATCH(P$4,UWS!$G$3:$Z$3,0)),0)</f>
        <v>0</v>
      </c>
      <c r="Q30">
        <f>IFERROR(INDEX(UWS!$G$10:$Z$41,MATCH($C30,UWS!$B$10:$B$41,0),MATCH(Q$4,UWS!$G$3:$Z$3,0)),0)</f>
        <v>0</v>
      </c>
      <c r="R30">
        <f>IFERROR(INDEX(UWS!$G$10:$Z$41,MATCH($C30,UWS!$B$10:$B$41,0),MATCH(R$4,UWS!$G$3:$Z$3,0)),0)</f>
        <v>0</v>
      </c>
      <c r="S30">
        <f>IFERROR(INDEX(UWS!$G$10:$Z$41,MATCH($C30,UWS!$B$10:$B$41,0),MATCH(S$4,UWS!$G$3:$Z$3,0)),0)</f>
        <v>0</v>
      </c>
      <c r="T30">
        <f>IFERROR(INDEX(UWS!$G$10:$Z$41,MATCH($C30,UWS!$B$10:$B$41,0),MATCH(T$4,UWS!$G$3:$Z$3,0)),0)</f>
        <v>0</v>
      </c>
      <c r="U30">
        <f>IFERROR(INDEX(UWS!$G$10:$Z$41,MATCH($C30,UWS!$B$10:$B$41,0),MATCH(U$4,UWS!$G$3:$Z$3,0)),0)</f>
        <v>0</v>
      </c>
      <c r="V30">
        <f>IFERROR(INDEX(UWS!$G$10:$Z$41,MATCH($C30,UWS!$B$10:$B$41,0),MATCH(V$4,UWS!$G$3:$Z$3,0)),0)</f>
        <v>0</v>
      </c>
      <c r="W30">
        <f>IFERROR(INDEX(UWS!$G$10:$Z$41,MATCH($C30,UWS!$B$10:$B$41,0),MATCH(W$4,UWS!$G$3:$Z$3,0)),0)</f>
        <v>0</v>
      </c>
      <c r="X30">
        <f>IFERROR(INDEX(UWS!$G$10:$Z$41,MATCH($C30,UWS!$B$10:$B$41,0),MATCH(X$4,UWS!$G$3:$Z$3,0)),0)</f>
        <v>0</v>
      </c>
      <c r="Y30">
        <f>IFERROR(INDEX(UWS!$G$10:$Z$41,MATCH($C30,UWS!$B$10:$B$41,0),MATCH(Y$4,UWS!$G$3:$Z$3,0)),0)</f>
        <v>0</v>
      </c>
      <c r="Z30">
        <f>IFERROR(INDEX(UWS!$G$10:$Z$41,MATCH($C30,UWS!$B$10:$B$41,0),MATCH(Z$4,UWS!$G$3:$Z$3,0)),0)</f>
        <v>0</v>
      </c>
      <c r="AA30">
        <f>IFERROR(INDEX(UWS!$G$10:$Z$41,MATCH($C30,UWS!$B$10:$B$41,0),MATCH(AA$4,UWS!$G$3:$Z$3,0)),0)</f>
        <v>1</v>
      </c>
      <c r="AB30">
        <f>IFERROR(INDEX(UWS!$G$10:$Z$41,MATCH($C30,UWS!$B$10:$B$41,0),MATCH(AB$4,UWS!$G$3:$Z$3,0)),0)</f>
        <v>0.7</v>
      </c>
      <c r="AC30">
        <f>IFERROR(INDEX(UWS!$G$10:$Z$41,MATCH($C30,UWS!$B$10:$B$41,0),MATCH(AC$4,UWS!$G$3:$Z$3,0)),0)</f>
        <v>0.3</v>
      </c>
      <c r="AD30">
        <f>IFERROR(INDEX(UWS!$G$10:$Z$41,MATCH($C30,UWS!$B$10:$B$41,0),MATCH(AD$4,UWS!$G$3:$Z$3,0)),0)</f>
        <v>0</v>
      </c>
      <c r="AE30">
        <f>IFERROR(INDEX(UWS!$G$10:$Z$41,MATCH($C30,UWS!$B$10:$B$41,0),MATCH(AE$4,UWS!$G$3:$Z$3,0)),0)</f>
        <v>0</v>
      </c>
      <c r="AF30">
        <f>IFERROR(INDEX(UWS!$G$10:$Z$41,MATCH($C30,UWS!$B$10:$B$41,0),MATCH(AF$4,UWS!$G$3:$Z$3,0)),0)</f>
        <v>0</v>
      </c>
      <c r="AG30">
        <f>IFERROR(INDEX(UWS!$G$10:$Z$41,MATCH($C30,UWS!$B$10:$B$41,0),MATCH(AG$4,UWS!$G$3:$Z$3,0)),0)</f>
        <v>0</v>
      </c>
      <c r="AH30">
        <f>IFERROR(INDEX(UWS!$G$10:$Z$41,MATCH($C30,UWS!$B$10:$B$41,0),MATCH(AH$4,UWS!$G$3:$Z$3,0)),0)</f>
        <v>0</v>
      </c>
      <c r="AI30">
        <f>IFERROR(INDEX(UWS!$G$10:$Z$41,MATCH($C30,UWS!$B$10:$B$41,0),MATCH(AI$4,UWS!$G$3:$Z$3,0)),0)</f>
        <v>0</v>
      </c>
      <c r="AK30">
        <f>IF(OR($J30=0,COUNTIFS($A$4:$A29,"&gt;="&amp;$A30-1,$A$4:$A29,"&lt;="&amp;$A30,$B$4:$B29,$B30)&gt;0,MIN(AK$1,IF($A30=$A29,AK29,1))-P30&lt;0),-1,MIN(1,IF($A30=$A29,AK29,1)-P30+$D$3))</f>
        <v>1</v>
      </c>
      <c r="AL30">
        <f>IF(OR($J30=0,COUNTIFS($A$4:$A29,"&gt;="&amp;$A30-1,$A$4:$A29,"&lt;="&amp;$A30,$B$4:$B29,$B30)&gt;0,MIN(AL$1,IF($A30=$A29,AL29,1))-Q30&lt;0),-1,MIN(1,IF($A30=$A29,AL29,1)-Q30+$D$3))</f>
        <v>1</v>
      </c>
      <c r="AM30">
        <f>IF(OR($J30=0,COUNTIFS($A$4:$A29,"&gt;="&amp;$A30-1,$A$4:$A29,"&lt;="&amp;$A30,$B$4:$B29,$B30)&gt;0,MIN(AM$1,IF($A30=$A29,AM29,1))-R30&lt;0),-1,MIN(1,IF($A30=$A29,AM29,1)-R30+$D$3))</f>
        <v>1</v>
      </c>
      <c r="AN30">
        <f>IF(OR($J30=0,COUNTIFS($A$4:$A29,"&gt;="&amp;$A30-1,$A$4:$A29,"&lt;="&amp;$A30,$B$4:$B29,$B30)&gt;0,MIN(AN$1,IF($A30=$A29,AN29,1))-S30&lt;0),-1,MIN(1,IF($A30=$A29,AN29,1)-S30+$D$3))</f>
        <v>1</v>
      </c>
      <c r="AO30">
        <f>IF(OR($J30=0,COUNTIFS($A$4:$A29,"&gt;="&amp;$A30-1,$A$4:$A29,"&lt;="&amp;$A30,$B$4:$B29,$B30)&gt;0,MIN(AO$1,IF($A30=$A29,AO29,1))-T30&lt;0),-1,MIN(1,IF($A30=$A29,AO29,1)-T30+$D$3))</f>
        <v>0.8</v>
      </c>
      <c r="AP30">
        <f>IF(OR($J30=0,COUNTIFS($A$4:$A29,"&gt;="&amp;$A30-1,$A$4:$A29,"&lt;="&amp;$A30,$B$4:$B29,$B30)&gt;0,MIN(AP$1,IF($A30=$A29,AP29,1))-U30&lt;0),-1,MIN(1,IF($A30=$A29,AP29,1)-U30+$D$3))</f>
        <v>1</v>
      </c>
      <c r="AQ30">
        <f>IF(OR($J30=0,COUNTIFS($A$4:$A29,"&gt;="&amp;$A30-1,$A$4:$A29,"&lt;="&amp;$A30,$B$4:$B29,$B30)&gt;0,MIN(AQ$1,IF($A30=$A29,AQ29,1))-V30&lt;0),-1,MIN(1,IF($A30=$A29,AQ29,1)-V30+$D$3))</f>
        <v>1</v>
      </c>
      <c r="AR30">
        <f>IF(OR($J30=0,COUNTIFS($A$4:$A29,"&gt;="&amp;$A30-1,$A$4:$A29,"&lt;="&amp;$A30,$B$4:$B29,$B30)&gt;0,MIN(AR$1,IF($A30=$A29,AR29,1))-W30&lt;0),-1,MIN(1,IF($A30=$A29,AR29,1)-W30+$D$3))</f>
        <v>1</v>
      </c>
      <c r="AS30">
        <f>IF(OR($J30=0,COUNTIFS($A$4:$A29,"&gt;="&amp;$A30-1,$A$4:$A29,"&lt;="&amp;$A30,$B$4:$B29,$B30)&gt;0,MIN(AS$1,IF($A30=$A29,AS29,1))-X30&lt;0),-1,MIN(1,IF($A30=$A29,AS29,1)-X30+$D$3))</f>
        <v>1</v>
      </c>
      <c r="AT30">
        <f>IF(OR($J30=0,COUNTIFS($A$4:$A29,"&gt;="&amp;$A30-1,$A$4:$A29,"&lt;="&amp;$A30,$B$4:$B29,$B30)&gt;0,MIN(AT$1,IF($A30=$A29,AT29,1))-Y30&lt;0),-1,MIN(1,IF($A30=$A29,AT29,1)-Y30+$D$3))</f>
        <v>1</v>
      </c>
      <c r="AU30">
        <f>IF(OR($J30=0,COUNTIFS($A$4:$A29,"&gt;="&amp;$A30-1,$A$4:$A29,"&lt;="&amp;$A30,$B$4:$B29,$B30)&gt;0,MIN(AU$1,IF($A30=$A29,AU29,1))-Z30&lt;0),-1,MIN(1,IF($A30=$A29,AU29,1)-Z30+$D$3))</f>
        <v>1</v>
      </c>
      <c r="AV30">
        <f>IF(OR($J30=0,COUNTIFS($A$4:$A29,"&gt;="&amp;$A30-1,$A$4:$A29,"&lt;="&amp;$A30,$B$4:$B29,$B30)&gt;0,MIN(AV$1,IF($A30=$A29,AV29,1))-AA30&lt;0),-1,MIN(1,IF($A30=$A29,AV29,1)-AA30+$D$3))</f>
        <v>0.4</v>
      </c>
      <c r="AW30">
        <f>IF(OR($J30=0,COUNTIFS($A$4:$A29,"&gt;="&amp;$A30-1,$A$4:$A29,"&lt;="&amp;$A30,$B$4:$B29,$B30)&gt;0,MIN(AW$1,IF($A30=$A29,AW29,1))-AB30&lt;0),-1,MIN(1,IF($A30=$A29,AW29,1)-AB30+$D$3))</f>
        <v>0.50000000000000011</v>
      </c>
      <c r="AX30">
        <f>IF(OR($J30=0,COUNTIFS($A$4:$A29,"&gt;="&amp;$A30-1,$A$4:$A29,"&lt;="&amp;$A30,$B$4:$B29,$B30)&gt;0,MIN(AX$1,IF($A30=$A29,AX29,1))-AC30&lt;0),-1,MIN(1,IF($A30=$A29,AX29,1)-AC30+$D$3))</f>
        <v>1</v>
      </c>
      <c r="AY30">
        <f>IF(OR($J30=0,COUNTIFS($A$4:$A29,"&gt;="&amp;$A30-1,$A$4:$A29,"&lt;="&amp;$A30,$B$4:$B29,$B30)&gt;0,MIN(AY$1,IF($A30=$A29,AY29,1))-AD30&lt;0),-1,MIN(1,IF($A30=$A29,AY29,1)-AD30+$D$3))</f>
        <v>0.8</v>
      </c>
      <c r="AZ30">
        <f>IF(OR($J30=0,COUNTIFS($A$4:$A29,"&gt;="&amp;$A30-1,$A$4:$A29,"&lt;="&amp;$A30,$B$4:$B29,$B30)&gt;0,MIN(AZ$1,IF($A30=$A29,AZ29,1))-AE30&lt;0),-1,MIN(1,IF($A30=$A29,AZ29,1)-AE30+$D$3))</f>
        <v>1</v>
      </c>
      <c r="BA30">
        <f>IF(OR($J30=0,COUNTIFS($A$4:$A29,"&gt;="&amp;$A30-1,$A$4:$A29,"&lt;="&amp;$A30,$B$4:$B29,$B30)&gt;0,MIN(BA$1,IF($A30=$A29,BA29,1))-AF30&lt;0),-1,MIN(1,IF($A30=$A29,BA29,1)-AF30+$D$3))</f>
        <v>0.9</v>
      </c>
      <c r="BB30">
        <f>IF(OR($J30=0,COUNTIFS($A$4:$A29,"&gt;="&amp;$A30-1,$A$4:$A29,"&lt;="&amp;$A30,$B$4:$B29,$B30)&gt;0,MIN(BB$1,IF($A30=$A29,BB29,1))-AG30&lt;0),-1,MIN(1,IF($A30=$A29,BB29,1)-AG30+$D$3))</f>
        <v>1</v>
      </c>
      <c r="BC30">
        <f>IF(OR($J30=0,COUNTIFS($A$4:$A29,"&gt;="&amp;$A30-1,$A$4:$A29,"&lt;="&amp;$A30,$B$4:$B29,$B30)&gt;0,MIN(BC$1,IF($A30=$A29,BC29,1))-AH30&lt;0),-1,MIN(1,IF($A30=$A29,BC29,1)-AH30+$D$3))</f>
        <v>1</v>
      </c>
      <c r="BD30">
        <f>IF(OR($J30=0,COUNTIFS($A$4:$A29,"&gt;="&amp;$A30-1,$A$4:$A29,"&lt;="&amp;$A30,$B$4:$B29,$B30)&gt;0,MIN(BD$1,IF($A30=$A29,BD29,1))-AI30&lt;0),-1,MIN(1,IF($A30=$A29,BD29,1)-AI30+$D$3))</f>
        <v>1</v>
      </c>
      <c r="BF30" s="44">
        <f t="shared" si="49"/>
        <v>8.1699062881385953E-2</v>
      </c>
      <c r="BG30" s="44">
        <f t="shared" si="50"/>
        <v>0.27857173392559398</v>
      </c>
      <c r="BH30" s="44">
        <f t="shared" si="51"/>
        <v>0.32081614546368808</v>
      </c>
      <c r="BI30" s="44">
        <f t="shared" si="52"/>
        <v>0.3013204306868148</v>
      </c>
      <c r="BJ30" s="44">
        <f t="shared" si="53"/>
        <v>0.42355120663471285</v>
      </c>
      <c r="BK30" s="44">
        <f t="shared" si="54"/>
        <v>8.0746557924340559E-2</v>
      </c>
      <c r="BL30" s="44">
        <f t="shared" si="55"/>
        <v>0.10146154359516715</v>
      </c>
      <c r="BM30" s="44">
        <f t="shared" si="56"/>
        <v>0.11334401250592636</v>
      </c>
      <c r="BN30" s="44">
        <f t="shared" si="57"/>
        <v>0.12986857863301235</v>
      </c>
      <c r="BO30" s="44">
        <f t="shared" si="58"/>
        <v>4.2555132284298962E-2</v>
      </c>
      <c r="BP30" s="44">
        <f t="shared" si="59"/>
        <v>0.33194173829304147</v>
      </c>
      <c r="BQ30" s="44">
        <f t="shared" si="60"/>
        <v>8.1472991005338474E-2</v>
      </c>
      <c r="BR30" s="44">
        <f t="shared" si="61"/>
        <v>0.31389441744172025</v>
      </c>
      <c r="BS30" s="44">
        <f t="shared" si="62"/>
        <v>6.8366822693341961E-2</v>
      </c>
      <c r="BT30" s="44">
        <f t="shared" si="63"/>
        <v>0.39950135806599441</v>
      </c>
      <c r="BU30" s="44">
        <f t="shared" si="64"/>
        <v>0.39629945550473328</v>
      </c>
      <c r="BV30" s="44">
        <f t="shared" si="65"/>
        <v>0.43459761011800135</v>
      </c>
      <c r="BW30" s="44">
        <f t="shared" si="66"/>
        <v>0.13593424602602064</v>
      </c>
      <c r="BX30" s="44">
        <f t="shared" si="67"/>
        <v>0.17709944602203426</v>
      </c>
      <c r="BY30" s="44">
        <f t="shared" si="68"/>
        <v>0.16844861468391234</v>
      </c>
      <c r="CA30" s="44">
        <f t="shared" si="69"/>
        <v>-0.57113265746687381</v>
      </c>
      <c r="CB30" s="44">
        <f t="shared" si="70"/>
        <v>-2.5118811893297455E-2</v>
      </c>
      <c r="CC30" s="44">
        <f t="shared" si="71"/>
        <v>0.68407767352837334</v>
      </c>
      <c r="CD30" s="44">
        <f t="shared" si="72"/>
        <v>0.58173775563628705</v>
      </c>
      <c r="CE30" s="44">
        <f t="shared" si="73"/>
        <v>1.2233704281265902</v>
      </c>
      <c r="CF30" s="44">
        <f t="shared" si="74"/>
        <v>-0.78806634681975674</v>
      </c>
      <c r="CG30" s="44">
        <f t="shared" si="75"/>
        <v>-0.46739239060620552</v>
      </c>
      <c r="CH30" s="44">
        <f t="shared" si="76"/>
        <v>-0.60334473272126032</v>
      </c>
      <c r="CI30" s="44">
        <f t="shared" si="77"/>
        <v>-0.31827379369385611</v>
      </c>
      <c r="CJ30" s="44">
        <f t="shared" si="78"/>
        <v>-0.77661302528757559</v>
      </c>
      <c r="CK30" s="44">
        <f t="shared" si="79"/>
        <v>0.74247985419668439</v>
      </c>
      <c r="CL30" s="44">
        <f t="shared" si="80"/>
        <v>-0.57231938888437761</v>
      </c>
      <c r="CM30" s="44">
        <f t="shared" si="81"/>
        <v>9.8495379640276548E-2</v>
      </c>
      <c r="CN30" s="44">
        <f t="shared" si="82"/>
        <v>-0.64111831235450767</v>
      </c>
      <c r="CO30" s="44">
        <f t="shared" si="83"/>
        <v>1.0971242475680083</v>
      </c>
      <c r="CP30" s="44">
        <f t="shared" si="84"/>
        <v>1.0803163259827664</v>
      </c>
      <c r="CQ30" s="44">
        <f t="shared" si="85"/>
        <v>0.5209046105637376</v>
      </c>
      <c r="CR30" s="44">
        <f t="shared" si="86"/>
        <v>-0.28643295533190249</v>
      </c>
      <c r="CS30" s="44">
        <f t="shared" si="87"/>
        <v>-7.0342227917239097E-2</v>
      </c>
      <c r="CT30" s="44">
        <f t="shared" si="88"/>
        <v>-0.1157535082408464</v>
      </c>
      <c r="CV30" s="44">
        <f t="shared" si="89"/>
        <v>0.65497526713267584</v>
      </c>
    </row>
    <row r="31" spans="1:100" x14ac:dyDescent="0.25">
      <c r="A31" s="97">
        <v>45053</v>
      </c>
      <c r="B31" s="86">
        <v>9</v>
      </c>
      <c r="C31" s="43" t="str" cm="1">
        <f t="array" ref="C31">IF(B31="","",INDEX(UWS!$B$10:$B$41,B31))</f>
        <v>Leg press</v>
      </c>
      <c r="D31" s="40">
        <f t="shared" si="46"/>
        <v>-1</v>
      </c>
      <c r="E31" s="69">
        <f t="shared" si="47"/>
        <v>1.1440202504225894</v>
      </c>
      <c r="F31" s="48" cm="1">
        <f t="array" ref="F31">0.1+IFERROR(INDEX($F$5:$F30,SUMPRODUCT(MAX(ROW($C$5:$C30)*($C31=$C$5:$C30))-ROW($A$4)))*0.9^($A31-INDEX($A$5:A30,SUMPRODUCT(MAX(ROW($C$5:$C30)*($C31=$C$5:$C30))-ROW($A$4)))),0)</f>
        <v>0.1</v>
      </c>
      <c r="G31" s="55">
        <f>INDEX(UWS!$AB$10:$AB$41,MATCH(C31,UWS!$B$10:$B$41,0))</f>
        <v>3.1</v>
      </c>
      <c r="H31" s="48">
        <f>INDEX(UWS!$C$10:$C$41,MATCH(C31,UWS!$B$10:$B$41,0))</f>
        <v>1</v>
      </c>
      <c r="I31" s="27">
        <f t="shared" si="48"/>
        <v>3</v>
      </c>
      <c r="J31" s="27">
        <f>INDEX(UWS!$E$10:$E$41,MATCH(C31,UWS!$B$10:$B$41,0))</f>
        <v>1</v>
      </c>
      <c r="L31" s="108" t="str" cm="1">
        <f t="array" ref="L31">IF(K31="","",INDEX(UWS!$B$10:$B$41,K31))</f>
        <v/>
      </c>
      <c r="N31" s="108" t="str" cm="1">
        <f t="array" ref="N31">IF(M31="","",INDEX(UWS!$B$10:$B$41,M31))</f>
        <v/>
      </c>
      <c r="P31">
        <f>IFERROR(INDEX(UWS!$G$10:$Z$41,MATCH($C31,UWS!$B$10:$B$41,0),MATCH(P$4,UWS!$G$3:$Z$3,0)),0)</f>
        <v>0</v>
      </c>
      <c r="Q31">
        <f>IFERROR(INDEX(UWS!$G$10:$Z$41,MATCH($C31,UWS!$B$10:$B$41,0),MATCH(Q$4,UWS!$G$3:$Z$3,0)),0)</f>
        <v>0</v>
      </c>
      <c r="R31">
        <f>IFERROR(INDEX(UWS!$G$10:$Z$41,MATCH($C31,UWS!$B$10:$B$41,0),MATCH(R$4,UWS!$G$3:$Z$3,0)),0)</f>
        <v>0</v>
      </c>
      <c r="S31">
        <f>IFERROR(INDEX(UWS!$G$10:$Z$41,MATCH($C31,UWS!$B$10:$B$41,0),MATCH(S$4,UWS!$G$3:$Z$3,0)),0)</f>
        <v>0</v>
      </c>
      <c r="T31">
        <f>IFERROR(INDEX(UWS!$G$10:$Z$41,MATCH($C31,UWS!$B$10:$B$41,0),MATCH(T$4,UWS!$G$3:$Z$3,0)),0)</f>
        <v>0</v>
      </c>
      <c r="U31">
        <f>IFERROR(INDEX(UWS!$G$10:$Z$41,MATCH($C31,UWS!$B$10:$B$41,0),MATCH(U$4,UWS!$G$3:$Z$3,0)),0)</f>
        <v>0</v>
      </c>
      <c r="V31">
        <f>IFERROR(INDEX(UWS!$G$10:$Z$41,MATCH($C31,UWS!$B$10:$B$41,0),MATCH(V$4,UWS!$G$3:$Z$3,0)),0)</f>
        <v>0</v>
      </c>
      <c r="W31">
        <f>IFERROR(INDEX(UWS!$G$10:$Z$41,MATCH($C31,UWS!$B$10:$B$41,0),MATCH(W$4,UWS!$G$3:$Z$3,0)),0)</f>
        <v>0</v>
      </c>
      <c r="X31">
        <f>IFERROR(INDEX(UWS!$G$10:$Z$41,MATCH($C31,UWS!$B$10:$B$41,0),MATCH(X$4,UWS!$G$3:$Z$3,0)),0)</f>
        <v>0</v>
      </c>
      <c r="Y31">
        <f>IFERROR(INDEX(UWS!$G$10:$Z$41,MATCH($C31,UWS!$B$10:$B$41,0),MATCH(Y$4,UWS!$G$3:$Z$3,0)),0)</f>
        <v>0</v>
      </c>
      <c r="Z31">
        <f>IFERROR(INDEX(UWS!$G$10:$Z$41,MATCH($C31,UWS!$B$10:$B$41,0),MATCH(Z$4,UWS!$G$3:$Z$3,0)),0)</f>
        <v>0</v>
      </c>
      <c r="AA31">
        <f>IFERROR(INDEX(UWS!$G$10:$Z$41,MATCH($C31,UWS!$B$10:$B$41,0),MATCH(AA$4,UWS!$G$3:$Z$3,0)),0)</f>
        <v>0</v>
      </c>
      <c r="AB31">
        <f>IFERROR(INDEX(UWS!$G$10:$Z$41,MATCH($C31,UWS!$B$10:$B$41,0),MATCH(AB$4,UWS!$G$3:$Z$3,0)),0)</f>
        <v>0</v>
      </c>
      <c r="AC31">
        <f>IFERROR(INDEX(UWS!$G$10:$Z$41,MATCH($C31,UWS!$B$10:$B$41,0),MATCH(AC$4,UWS!$G$3:$Z$3,0)),0)</f>
        <v>0</v>
      </c>
      <c r="AD31">
        <f>IFERROR(INDEX(UWS!$G$10:$Z$41,MATCH($C31,UWS!$B$10:$B$41,0),MATCH(AD$4,UWS!$G$3:$Z$3,0)),0)</f>
        <v>1</v>
      </c>
      <c r="AE31">
        <f>IFERROR(INDEX(UWS!$G$10:$Z$41,MATCH($C31,UWS!$B$10:$B$41,0),MATCH(AE$4,UWS!$G$3:$Z$3,0)),0)</f>
        <v>0.8</v>
      </c>
      <c r="AF31">
        <f>IFERROR(INDEX(UWS!$G$10:$Z$41,MATCH($C31,UWS!$B$10:$B$41,0),MATCH(AF$4,UWS!$G$3:$Z$3,0)),0)</f>
        <v>0.6</v>
      </c>
      <c r="AG31">
        <f>IFERROR(INDEX(UWS!$G$10:$Z$41,MATCH($C31,UWS!$B$10:$B$41,0),MATCH(AG$4,UWS!$G$3:$Z$3,0)),0)</f>
        <v>0.1</v>
      </c>
      <c r="AH31">
        <f>IFERROR(INDEX(UWS!$G$10:$Z$41,MATCH($C31,UWS!$B$10:$B$41,0),MATCH(AH$4,UWS!$G$3:$Z$3,0)),0)</f>
        <v>0.6</v>
      </c>
      <c r="AI31">
        <f>IFERROR(INDEX(UWS!$G$10:$Z$41,MATCH($C31,UWS!$B$10:$B$41,0),MATCH(AI$4,UWS!$G$3:$Z$3,0)),0)</f>
        <v>0</v>
      </c>
      <c r="AK31">
        <f>IF(OR($J31=0,COUNTIFS($A$4:$A30,"&gt;="&amp;$A31-1,$A$4:$A30,"&lt;="&amp;$A31,$B$4:$B30,$B31)&gt;0,MIN(AK$1,IF($A31=$A30,AK30,1))-P31&lt;0),-1,MIN(1,IF($A31=$A30,AK30,1)-P31+$D$3))</f>
        <v>1</v>
      </c>
      <c r="AL31">
        <f>IF(OR($J31=0,COUNTIFS($A$4:$A30,"&gt;="&amp;$A31-1,$A$4:$A30,"&lt;="&amp;$A31,$B$4:$B30,$B31)&gt;0,MIN(AL$1,IF($A31=$A30,AL30,1))-Q31&lt;0),-1,MIN(1,IF($A31=$A30,AL30,1)-Q31+$D$3))</f>
        <v>1</v>
      </c>
      <c r="AM31">
        <f>IF(OR($J31=0,COUNTIFS($A$4:$A30,"&gt;="&amp;$A31-1,$A$4:$A30,"&lt;="&amp;$A31,$B$4:$B30,$B31)&gt;0,MIN(AM$1,IF($A31=$A30,AM30,1))-R31&lt;0),-1,MIN(1,IF($A31=$A30,AM30,1)-R31+$D$3))</f>
        <v>1</v>
      </c>
      <c r="AN31">
        <f>IF(OR($J31=0,COUNTIFS($A$4:$A30,"&gt;="&amp;$A31-1,$A$4:$A30,"&lt;="&amp;$A31,$B$4:$B30,$B31)&gt;0,MIN(AN$1,IF($A31=$A30,AN30,1))-S31&lt;0),-1,MIN(1,IF($A31=$A30,AN30,1)-S31+$D$3))</f>
        <v>1</v>
      </c>
      <c r="AO31">
        <f>IF(OR($J31=0,COUNTIFS($A$4:$A30,"&gt;="&amp;$A31-1,$A$4:$A30,"&lt;="&amp;$A31,$B$4:$B30,$B31)&gt;0,MIN(AO$1,IF($A31=$A30,AO30,1))-T31&lt;0),-1,MIN(1,IF($A31=$A30,AO30,1)-T31+$D$3))</f>
        <v>1</v>
      </c>
      <c r="AP31">
        <f>IF(OR($J31=0,COUNTIFS($A$4:$A30,"&gt;="&amp;$A31-1,$A$4:$A30,"&lt;="&amp;$A31,$B$4:$B30,$B31)&gt;0,MIN(AP$1,IF($A31=$A30,AP30,1))-U31&lt;0),-1,MIN(1,IF($A31=$A30,AP30,1)-U31+$D$3))</f>
        <v>1</v>
      </c>
      <c r="AQ31">
        <f>IF(OR($J31=0,COUNTIFS($A$4:$A30,"&gt;="&amp;$A31-1,$A$4:$A30,"&lt;="&amp;$A31,$B$4:$B30,$B31)&gt;0,MIN(AQ$1,IF($A31=$A30,AQ30,1))-V31&lt;0),-1,MIN(1,IF($A31=$A30,AQ30,1)-V31+$D$3))</f>
        <v>1</v>
      </c>
      <c r="AR31">
        <f>IF(OR($J31=0,COUNTIFS($A$4:$A30,"&gt;="&amp;$A31-1,$A$4:$A30,"&lt;="&amp;$A31,$B$4:$B30,$B31)&gt;0,MIN(AR$1,IF($A31=$A30,AR30,1))-W31&lt;0),-1,MIN(1,IF($A31=$A30,AR30,1)-W31+$D$3))</f>
        <v>1</v>
      </c>
      <c r="AS31">
        <f>IF(OR($J31=0,COUNTIFS($A$4:$A30,"&gt;="&amp;$A31-1,$A$4:$A30,"&lt;="&amp;$A31,$B$4:$B30,$B31)&gt;0,MIN(AS$1,IF($A31=$A30,AS30,1))-X31&lt;0),-1,MIN(1,IF($A31=$A30,AS30,1)-X31+$D$3))</f>
        <v>1</v>
      </c>
      <c r="AT31">
        <f>IF(OR($J31=0,COUNTIFS($A$4:$A30,"&gt;="&amp;$A31-1,$A$4:$A30,"&lt;="&amp;$A31,$B$4:$B30,$B31)&gt;0,MIN(AT$1,IF($A31=$A30,AT30,1))-Y31&lt;0),-1,MIN(1,IF($A31=$A30,AT30,1)-Y31+$D$3))</f>
        <v>1</v>
      </c>
      <c r="AU31">
        <f>IF(OR($J31=0,COUNTIFS($A$4:$A30,"&gt;="&amp;$A31-1,$A$4:$A30,"&lt;="&amp;$A31,$B$4:$B30,$B31)&gt;0,MIN(AU$1,IF($A31=$A30,AU30,1))-Z31&lt;0),-1,MIN(1,IF($A31=$A30,AU30,1)-Z31+$D$3))</f>
        <v>1</v>
      </c>
      <c r="AV31">
        <f>IF(OR($J31=0,COUNTIFS($A$4:$A30,"&gt;="&amp;$A31-1,$A$4:$A30,"&lt;="&amp;$A31,$B$4:$B30,$B31)&gt;0,MIN(AV$1,IF($A31=$A30,AV30,1))-AA31&lt;0),-1,MIN(1,IF($A31=$A30,AV30,1)-AA31+$D$3))</f>
        <v>0.8</v>
      </c>
      <c r="AW31">
        <f>IF(OR($J31=0,COUNTIFS($A$4:$A30,"&gt;="&amp;$A31-1,$A$4:$A30,"&lt;="&amp;$A31,$B$4:$B30,$B31)&gt;0,MIN(AW$1,IF($A31=$A30,AW30,1))-AB31&lt;0),-1,MIN(1,IF($A31=$A30,AW30,1)-AB31+$D$3))</f>
        <v>0.90000000000000013</v>
      </c>
      <c r="AX31">
        <f>IF(OR($J31=0,COUNTIFS($A$4:$A30,"&gt;="&amp;$A31-1,$A$4:$A30,"&lt;="&amp;$A31,$B$4:$B30,$B31)&gt;0,MIN(AX$1,IF($A31=$A30,AX30,1))-AC31&lt;0),-1,MIN(1,IF($A31=$A30,AX30,1)-AC31+$D$3))</f>
        <v>1</v>
      </c>
      <c r="AY31">
        <f>IF(OR($J31=0,COUNTIFS($A$4:$A30,"&gt;="&amp;$A31-1,$A$4:$A30,"&lt;="&amp;$A31,$B$4:$B30,$B31)&gt;0,MIN(AY$1,IF($A31=$A30,AY30,1))-AD31&lt;0),-1,MIN(1,IF($A31=$A30,AY30,1)-AD31+$D$3))</f>
        <v>-1</v>
      </c>
      <c r="AZ31">
        <f>IF(OR($J31=0,COUNTIFS($A$4:$A30,"&gt;="&amp;$A31-1,$A$4:$A30,"&lt;="&amp;$A31,$B$4:$B30,$B31)&gt;0,MIN(AZ$1,IF($A31=$A30,AZ30,1))-AE31&lt;0),-1,MIN(1,IF($A31=$A30,AZ30,1)-AE31+$D$3))</f>
        <v>0.6</v>
      </c>
      <c r="BA31">
        <f>IF(OR($J31=0,COUNTIFS($A$4:$A30,"&gt;="&amp;$A31-1,$A$4:$A30,"&lt;="&amp;$A31,$B$4:$B30,$B31)&gt;0,MIN(BA$1,IF($A31=$A30,BA30,1))-AF31&lt;0),-1,MIN(1,IF($A31=$A30,BA30,1)-AF31+$D$3))</f>
        <v>0.70000000000000007</v>
      </c>
      <c r="BB31">
        <f>IF(OR($J31=0,COUNTIFS($A$4:$A30,"&gt;="&amp;$A31-1,$A$4:$A30,"&lt;="&amp;$A31,$B$4:$B30,$B31)&gt;0,MIN(BB$1,IF($A31=$A30,BB30,1))-AG31&lt;0),-1,MIN(1,IF($A31=$A30,BB30,1)-AG31+$D$3))</f>
        <v>1</v>
      </c>
      <c r="BC31">
        <f>IF(OR($J31=0,COUNTIFS($A$4:$A30,"&gt;="&amp;$A31-1,$A$4:$A30,"&lt;="&amp;$A31,$B$4:$B30,$B31)&gt;0,MIN(BC$1,IF($A31=$A30,BC30,1))-AH31&lt;0),-1,MIN(1,IF($A31=$A30,BC30,1)-AH31+$D$3))</f>
        <v>0.8</v>
      </c>
      <c r="BD31">
        <f>IF(OR($J31=0,COUNTIFS($A$4:$A30,"&gt;="&amp;$A31-1,$A$4:$A30,"&lt;="&amp;$A31,$B$4:$B30,$B31)&gt;0,MIN(BD$1,IF($A31=$A30,BD30,1))-AI31&lt;0),-1,MIN(1,IF($A31=$A30,BD30,1)-AI31+$D$3))</f>
        <v>1</v>
      </c>
      <c r="BF31" s="44">
        <f t="shared" si="49"/>
        <v>7.7614109737316653E-2</v>
      </c>
      <c r="BG31" s="44">
        <f t="shared" si="50"/>
        <v>0.26464314722931426</v>
      </c>
      <c r="BH31" s="44">
        <f t="shared" si="51"/>
        <v>0.30477533819050368</v>
      </c>
      <c r="BI31" s="44">
        <f t="shared" si="52"/>
        <v>0.28625440915247402</v>
      </c>
      <c r="BJ31" s="44">
        <f t="shared" si="53"/>
        <v>0.40237364630297717</v>
      </c>
      <c r="BK31" s="44">
        <f t="shared" si="54"/>
        <v>7.6709230028123521E-2</v>
      </c>
      <c r="BL31" s="44">
        <f t="shared" si="55"/>
        <v>9.6388466415408797E-2</v>
      </c>
      <c r="BM31" s="44">
        <f t="shared" si="56"/>
        <v>0.10767681188063004</v>
      </c>
      <c r="BN31" s="44">
        <f t="shared" si="57"/>
        <v>0.12337514970136172</v>
      </c>
      <c r="BO31" s="44">
        <f t="shared" si="58"/>
        <v>4.0427375670084011E-2</v>
      </c>
      <c r="BP31" s="44">
        <f t="shared" si="59"/>
        <v>0.31534465137838935</v>
      </c>
      <c r="BQ31" s="44">
        <f t="shared" si="60"/>
        <v>7.7399341455071546E-2</v>
      </c>
      <c r="BR31" s="44">
        <f t="shared" si="61"/>
        <v>0.29819969656963424</v>
      </c>
      <c r="BS31" s="44">
        <f t="shared" si="62"/>
        <v>6.4948481558674859E-2</v>
      </c>
      <c r="BT31" s="44">
        <f t="shared" si="63"/>
        <v>0.42952629016269467</v>
      </c>
      <c r="BU31" s="44">
        <f t="shared" si="64"/>
        <v>0.41648448272949656</v>
      </c>
      <c r="BV31" s="44">
        <f t="shared" si="65"/>
        <v>0.4428677296121013</v>
      </c>
      <c r="BW31" s="44">
        <f t="shared" si="66"/>
        <v>0.13413753372471959</v>
      </c>
      <c r="BX31" s="44">
        <f t="shared" si="67"/>
        <v>0.19824447372093254</v>
      </c>
      <c r="BY31" s="44">
        <f t="shared" si="68"/>
        <v>0.16002618394971671</v>
      </c>
      <c r="CA31" s="44">
        <f t="shared" si="69"/>
        <v>-0.58652946649272963</v>
      </c>
      <c r="CB31" s="44">
        <f t="shared" si="70"/>
        <v>-6.011811817649626E-2</v>
      </c>
      <c r="CC31" s="44">
        <f t="shared" si="71"/>
        <v>0.62361743384010371</v>
      </c>
      <c r="CD31" s="44">
        <f t="shared" si="72"/>
        <v>0.52495163149666024</v>
      </c>
      <c r="CE31" s="44">
        <f t="shared" si="73"/>
        <v>1.1435489857350971</v>
      </c>
      <c r="CF31" s="44">
        <f t="shared" si="74"/>
        <v>-0.79567499793526142</v>
      </c>
      <c r="CG31" s="44">
        <f t="shared" si="75"/>
        <v>-0.4865135892479987</v>
      </c>
      <c r="CH31" s="44">
        <f t="shared" si="76"/>
        <v>-0.61758509283662355</v>
      </c>
      <c r="CI31" s="44">
        <f t="shared" si="77"/>
        <v>-0.34274851388220018</v>
      </c>
      <c r="CJ31" s="44">
        <f t="shared" si="78"/>
        <v>-0.78463286323605552</v>
      </c>
      <c r="CK31" s="44">
        <f t="shared" si="79"/>
        <v>0.67992291202430288</v>
      </c>
      <c r="CL31" s="44">
        <f t="shared" si="80"/>
        <v>-0.58767359294784027</v>
      </c>
      <c r="CM31" s="44">
        <f t="shared" si="81"/>
        <v>5.9058187999134093E-2</v>
      </c>
      <c r="CN31" s="44">
        <f t="shared" si="82"/>
        <v>-0.65400255943873908</v>
      </c>
      <c r="CO31" s="44">
        <f t="shared" si="83"/>
        <v>1.2881981762084176</v>
      </c>
      <c r="CP31" s="44">
        <f t="shared" si="84"/>
        <v>1.2187210786091023</v>
      </c>
      <c r="CQ31" s="44">
        <f t="shared" si="85"/>
        <v>0.57284766095245976</v>
      </c>
      <c r="CR31" s="44">
        <f t="shared" si="86"/>
        <v>-0.28541449718074485</v>
      </c>
      <c r="CS31" s="44">
        <f t="shared" si="87"/>
        <v>5.6099832771152602E-2</v>
      </c>
      <c r="CT31" s="44">
        <f t="shared" si="88"/>
        <v>-0.14749892929571984</v>
      </c>
      <c r="CV31" s="44">
        <f t="shared" si="89"/>
        <v>0.67536124585687296</v>
      </c>
    </row>
    <row r="32" spans="1:100" x14ac:dyDescent="0.25">
      <c r="A32" s="98">
        <v>45053</v>
      </c>
      <c r="B32" s="57">
        <v>4</v>
      </c>
      <c r="C32" s="51" t="str" cm="1">
        <f t="array" ref="C32">IF(B32="","",INDEX(UWS!$B$10:$B$41,B32))</f>
        <v>Cycling machine</v>
      </c>
      <c r="D32" s="45">
        <f t="shared" si="46"/>
        <v>-1</v>
      </c>
      <c r="E32" s="70">
        <f>IF(C32="","",IFERROR((H32/$H$2)^$H$1*(CV32/#REF!)^$CV$1*(F32/$F$2)^$F$1*(G32/$G$2)^IF(B32&lt;=5,0,($G$1-$G$3*(I32-1))),0))</f>
        <v>0</v>
      </c>
      <c r="F32" s="52" cm="1">
        <f t="array" ref="F32">0.1+IFERROR(INDEX($F$5:$F31,SUMPRODUCT(MAX(ROW($C$5:$C31)*($C32=$C$5:$C31))-ROW($A$4)))*0.9^($A32-INDEX($A$5:A31,SUMPRODUCT(MAX(ROW($C$5:$C31)*($C32=$C$5:$C31))-ROW($A$4)))),0)</f>
        <v>0.1</v>
      </c>
      <c r="G32" s="56">
        <f>INDEX(UWS!$AB$10:$AB$41,MATCH(C32,UWS!$B$10:$B$41,0))</f>
        <v>4.5999999999999996</v>
      </c>
      <c r="H32" s="52">
        <f>INDEX(UWS!$C$10:$C$41,MATCH(C32,UWS!$B$10:$B$41,0))</f>
        <v>1</v>
      </c>
      <c r="I32" s="46">
        <f t="shared" ref="I32:I38" si="90">IF(A32&gt;A31,1,IF(A32&gt;A30,2,IF(A32&gt;A29,3,IF(A32&gt;A28,4,5))))</f>
        <v>4</v>
      </c>
      <c r="J32" s="46">
        <f>INDEX(UWS!$E$10:$E$41,MATCH(C32,UWS!$B$10:$B$41,0))</f>
        <v>1</v>
      </c>
      <c r="K32" s="46"/>
      <c r="L32" s="109" t="str" cm="1">
        <f t="array" ref="L32">IF(K32="","",INDEX(UWS!$B$10:$B$41,K32))</f>
        <v/>
      </c>
      <c r="M32" s="46"/>
      <c r="N32" s="109" t="str" cm="1">
        <f t="array" ref="N32">IF(M32="","",INDEX(UWS!$B$10:$B$41,M32))</f>
        <v/>
      </c>
      <c r="O32" s="47"/>
      <c r="P32" s="47">
        <f>IFERROR(INDEX(UWS!$G$10:$Z$41,MATCH($C32,UWS!$B$10:$B$41,0),MATCH(P$4,UWS!$G$3:$Z$3,0)),0)</f>
        <v>0</v>
      </c>
      <c r="Q32" s="47">
        <f>IFERROR(INDEX(UWS!$G$10:$Z$41,MATCH($C32,UWS!$B$10:$B$41,0),MATCH(Q$4,UWS!$G$3:$Z$3,0)),0)</f>
        <v>0</v>
      </c>
      <c r="R32" s="47">
        <f>IFERROR(INDEX(UWS!$G$10:$Z$41,MATCH($C32,UWS!$B$10:$B$41,0),MATCH(R$4,UWS!$G$3:$Z$3,0)),0)</f>
        <v>0</v>
      </c>
      <c r="S32" s="47">
        <f>IFERROR(INDEX(UWS!$G$10:$Z$41,MATCH($C32,UWS!$B$10:$B$41,0),MATCH(S$4,UWS!$G$3:$Z$3,0)),0)</f>
        <v>0</v>
      </c>
      <c r="T32" s="47">
        <f>IFERROR(INDEX(UWS!$G$10:$Z$41,MATCH($C32,UWS!$B$10:$B$41,0),MATCH(T$4,UWS!$G$3:$Z$3,0)),0)</f>
        <v>0</v>
      </c>
      <c r="U32" s="47">
        <f>IFERROR(INDEX(UWS!$G$10:$Z$41,MATCH($C32,UWS!$B$10:$B$41,0),MATCH(U$4,UWS!$G$3:$Z$3,0)),0)</f>
        <v>0</v>
      </c>
      <c r="V32" s="47">
        <f>IFERROR(INDEX(UWS!$G$10:$Z$41,MATCH($C32,UWS!$B$10:$B$41,0),MATCH(V$4,UWS!$G$3:$Z$3,0)),0)</f>
        <v>0</v>
      </c>
      <c r="W32" s="47">
        <f>IFERROR(INDEX(UWS!$G$10:$Z$41,MATCH($C32,UWS!$B$10:$B$41,0),MATCH(W$4,UWS!$G$3:$Z$3,0)),0)</f>
        <v>0</v>
      </c>
      <c r="X32" s="47">
        <f>IFERROR(INDEX(UWS!$G$10:$Z$41,MATCH($C32,UWS!$B$10:$B$41,0),MATCH(X$4,UWS!$G$3:$Z$3,0)),0)</f>
        <v>0</v>
      </c>
      <c r="Y32" s="47">
        <f>IFERROR(INDEX(UWS!$G$10:$Z$41,MATCH($C32,UWS!$B$10:$B$41,0),MATCH(Y$4,UWS!$G$3:$Z$3,0)),0)</f>
        <v>0</v>
      </c>
      <c r="Z32" s="47">
        <f>IFERROR(INDEX(UWS!$G$10:$Z$41,MATCH($C32,UWS!$B$10:$B$41,0),MATCH(Z$4,UWS!$G$3:$Z$3,0)),0)</f>
        <v>0</v>
      </c>
      <c r="AA32" s="47">
        <f>IFERROR(INDEX(UWS!$G$10:$Z$41,MATCH($C32,UWS!$B$10:$B$41,0),MATCH(AA$4,UWS!$G$3:$Z$3,0)),0)</f>
        <v>0.4</v>
      </c>
      <c r="AB32" s="47">
        <f>IFERROR(INDEX(UWS!$G$10:$Z$41,MATCH($C32,UWS!$B$10:$B$41,0),MATCH(AB$4,UWS!$G$3:$Z$3,0)),0)</f>
        <v>0.4</v>
      </c>
      <c r="AC32" s="47">
        <f>IFERROR(INDEX(UWS!$G$10:$Z$41,MATCH($C32,UWS!$B$10:$B$41,0),MATCH(AC$4,UWS!$G$3:$Z$3,0)),0)</f>
        <v>0.4</v>
      </c>
      <c r="AD32" s="47">
        <f>IFERROR(INDEX(UWS!$G$10:$Z$41,MATCH($C32,UWS!$B$10:$B$41,0),MATCH(AD$4,UWS!$G$3:$Z$3,0)),0)</f>
        <v>1</v>
      </c>
      <c r="AE32" s="47">
        <f>IFERROR(INDEX(UWS!$G$10:$Z$41,MATCH($C32,UWS!$B$10:$B$41,0),MATCH(AE$4,UWS!$G$3:$Z$3,0)),0)</f>
        <v>0.8</v>
      </c>
      <c r="AF32" s="47">
        <f>IFERROR(INDEX(UWS!$G$10:$Z$41,MATCH($C32,UWS!$B$10:$B$41,0),MATCH(AF$4,UWS!$G$3:$Z$3,0)),0)</f>
        <v>0.6</v>
      </c>
      <c r="AG32" s="47">
        <f>IFERROR(INDEX(UWS!$G$10:$Z$41,MATCH($C32,UWS!$B$10:$B$41,0),MATCH(AG$4,UWS!$G$3:$Z$3,0)),0)</f>
        <v>1</v>
      </c>
      <c r="AH32" s="47">
        <f>IFERROR(INDEX(UWS!$G$10:$Z$41,MATCH($C32,UWS!$B$10:$B$41,0),MATCH(AH$4,UWS!$G$3:$Z$3,0)),0)</f>
        <v>0</v>
      </c>
      <c r="AI32" s="47">
        <f>IFERROR(INDEX(UWS!$G$10:$Z$41,MATCH($C32,UWS!$B$10:$B$41,0),MATCH(AI$4,UWS!$G$3:$Z$3,0)),0)</f>
        <v>0</v>
      </c>
      <c r="AJ32" s="47"/>
      <c r="AK32" s="47">
        <f>IF(OR($J32=0,COUNTIFS($A$4:$A31,"&gt;="&amp;$A32-1,$A$4:$A31,"&lt;="&amp;$A32,$B$4:$B31,$B32)&gt;0,MIN(AK$1,IF($A32=$A31,AK31,1))-P32&lt;0),-1,MIN(1,IF($A32=$A31,AK31,1)-P32+$D$3))</f>
        <v>1</v>
      </c>
      <c r="AL32" s="47">
        <f>IF(OR($J32=0,COUNTIFS($A$4:$A31,"&gt;="&amp;$A32-1,$A$4:$A31,"&lt;="&amp;$A32,$B$4:$B31,$B32)&gt;0,MIN(AL$1,IF($A32=$A31,AL31,1))-Q32&lt;0),-1,MIN(1,IF($A32=$A31,AL31,1)-Q32+$D$3))</f>
        <v>1</v>
      </c>
      <c r="AM32" s="47">
        <f>IF(OR($J32=0,COUNTIFS($A$4:$A31,"&gt;="&amp;$A32-1,$A$4:$A31,"&lt;="&amp;$A32,$B$4:$B31,$B32)&gt;0,MIN(AM$1,IF($A32=$A31,AM31,1))-R32&lt;0),-1,MIN(1,IF($A32=$A31,AM31,1)-R32+$D$3))</f>
        <v>1</v>
      </c>
      <c r="AN32" s="47">
        <f>IF(OR($J32=0,COUNTIFS($A$4:$A31,"&gt;="&amp;$A32-1,$A$4:$A31,"&lt;="&amp;$A32,$B$4:$B31,$B32)&gt;0,MIN(AN$1,IF($A32=$A31,AN31,1))-S32&lt;0),-1,MIN(1,IF($A32=$A31,AN31,1)-S32+$D$3))</f>
        <v>1</v>
      </c>
      <c r="AO32" s="47">
        <f>IF(OR($J32=0,COUNTIFS($A$4:$A31,"&gt;="&amp;$A32-1,$A$4:$A31,"&lt;="&amp;$A32,$B$4:$B31,$B32)&gt;0,MIN(AO$1,IF($A32=$A31,AO31,1))-T32&lt;0),-1,MIN(1,IF($A32=$A31,AO31,1)-T32+$D$3))</f>
        <v>1</v>
      </c>
      <c r="AP32" s="47">
        <f>IF(OR($J32=0,COUNTIFS($A$4:$A31,"&gt;="&amp;$A32-1,$A$4:$A31,"&lt;="&amp;$A32,$B$4:$B31,$B32)&gt;0,MIN(AP$1,IF($A32=$A31,AP31,1))-U32&lt;0),-1,MIN(1,IF($A32=$A31,AP31,1)-U32+$D$3))</f>
        <v>1</v>
      </c>
      <c r="AQ32" s="47">
        <f>IF(OR($J32=0,COUNTIFS($A$4:$A31,"&gt;="&amp;$A32-1,$A$4:$A31,"&lt;="&amp;$A32,$B$4:$B31,$B32)&gt;0,MIN(AQ$1,IF($A32=$A31,AQ31,1))-V32&lt;0),-1,MIN(1,IF($A32=$A31,AQ31,1)-V32+$D$3))</f>
        <v>1</v>
      </c>
      <c r="AR32" s="47">
        <f>IF(OR($J32=0,COUNTIFS($A$4:$A31,"&gt;="&amp;$A32-1,$A$4:$A31,"&lt;="&amp;$A32,$B$4:$B31,$B32)&gt;0,MIN(AR$1,IF($A32=$A31,AR31,1))-W32&lt;0),-1,MIN(1,IF($A32=$A31,AR31,1)-W32+$D$3))</f>
        <v>1</v>
      </c>
      <c r="AS32" s="47">
        <f>IF(OR($J32=0,COUNTIFS($A$4:$A31,"&gt;="&amp;$A32-1,$A$4:$A31,"&lt;="&amp;$A32,$B$4:$B31,$B32)&gt;0,MIN(AS$1,IF($A32=$A31,AS31,1))-X32&lt;0),-1,MIN(1,IF($A32=$A31,AS31,1)-X32+$D$3))</f>
        <v>1</v>
      </c>
      <c r="AT32" s="47">
        <f>IF(OR($J32=0,COUNTIFS($A$4:$A31,"&gt;="&amp;$A32-1,$A$4:$A31,"&lt;="&amp;$A32,$B$4:$B31,$B32)&gt;0,MIN(AT$1,IF($A32=$A31,AT31,1))-Y32&lt;0),-1,MIN(1,IF($A32=$A31,AT31,1)-Y32+$D$3))</f>
        <v>1</v>
      </c>
      <c r="AU32" s="47">
        <f>IF(OR($J32=0,COUNTIFS($A$4:$A31,"&gt;="&amp;$A32-1,$A$4:$A31,"&lt;="&amp;$A32,$B$4:$B31,$B32)&gt;0,MIN(AU$1,IF($A32=$A31,AU31,1))-Z32&lt;0),-1,MIN(1,IF($A32=$A31,AU31,1)-Z32+$D$3))</f>
        <v>1</v>
      </c>
      <c r="AV32" s="47">
        <f>IF(OR($J32=0,COUNTIFS($A$4:$A31,"&gt;="&amp;$A32-1,$A$4:$A31,"&lt;="&amp;$A32,$B$4:$B31,$B32)&gt;0,MIN(AV$1,IF($A32=$A31,AV31,1))-AA32&lt;0),-1,MIN(1,IF($A32=$A31,AV31,1)-AA32+$D$3))</f>
        <v>0.8</v>
      </c>
      <c r="AW32" s="47">
        <f>IF(OR($J32=0,COUNTIFS($A$4:$A31,"&gt;="&amp;$A32-1,$A$4:$A31,"&lt;="&amp;$A32,$B$4:$B31,$B32)&gt;0,MIN(AW$1,IF($A32=$A31,AW31,1))-AB32&lt;0),-1,MIN(1,IF($A32=$A31,AW31,1)-AB32+$D$3))</f>
        <v>0.90000000000000013</v>
      </c>
      <c r="AX32" s="47">
        <f>IF(OR($J32=0,COUNTIFS($A$4:$A31,"&gt;="&amp;$A32-1,$A$4:$A31,"&lt;="&amp;$A32,$B$4:$B31,$B32)&gt;0,MIN(AX$1,IF($A32=$A31,AX31,1))-AC32&lt;0),-1,MIN(1,IF($A32=$A31,AX31,1)-AC32+$D$3))</f>
        <v>1</v>
      </c>
      <c r="AY32" s="47">
        <f>IF(OR($J32=0,COUNTIFS($A$4:$A31,"&gt;="&amp;$A32-1,$A$4:$A31,"&lt;="&amp;$A32,$B$4:$B31,$B32)&gt;0,MIN(AY$1,IF($A32=$A31,AY31,1))-AD32&lt;0),-1,MIN(1,IF($A32=$A31,AY31,1)-AD32+$D$3))</f>
        <v>-1</v>
      </c>
      <c r="AZ32" s="47">
        <f>IF(OR($J32=0,COUNTIFS($A$4:$A31,"&gt;="&amp;$A32-1,$A$4:$A31,"&lt;="&amp;$A32,$B$4:$B31,$B32)&gt;0,MIN(AZ$1,IF($A32=$A31,AZ31,1))-AE32&lt;0),-1,MIN(1,IF($A32=$A31,AZ31,1)-AE32+$D$3))</f>
        <v>-1</v>
      </c>
      <c r="BA32" s="47">
        <f>IF(OR($J32=0,COUNTIFS($A$4:$A31,"&gt;="&amp;$A32-1,$A$4:$A31,"&lt;="&amp;$A32,$B$4:$B31,$B32)&gt;0,MIN(BA$1,IF($A32=$A31,BA31,1))-AF32&lt;0),-1,MIN(1,IF($A32=$A31,BA31,1)-AF32+$D$3))</f>
        <v>0.50000000000000011</v>
      </c>
      <c r="BB32" s="47">
        <f>IF(OR($J32=0,COUNTIFS($A$4:$A31,"&gt;="&amp;$A32-1,$A$4:$A31,"&lt;="&amp;$A32,$B$4:$B31,$B32)&gt;0,MIN(BB$1,IF($A32=$A31,BB31,1))-AG32&lt;0),-1,MIN(1,IF($A32=$A31,BB31,1)-AG32+$D$3))</f>
        <v>0.4</v>
      </c>
      <c r="BC32" s="47">
        <f>IF(OR($J32=0,COUNTIFS($A$4:$A31,"&gt;="&amp;$A32-1,$A$4:$A31,"&lt;="&amp;$A32,$B$4:$B31,$B32)&gt;0,MIN(BC$1,IF($A32=$A31,BC31,1))-AH32&lt;0),-1,MIN(1,IF($A32=$A31,BC31,1)-AH32+$D$3))</f>
        <v>1</v>
      </c>
      <c r="BD32" s="47">
        <f>IF(OR($J32=0,COUNTIFS($A$4:$A31,"&gt;="&amp;$A32-1,$A$4:$A31,"&lt;="&amp;$A32,$B$4:$B31,$B32)&gt;0,MIN(BD$1,IF($A32=$A31,BD31,1))-AI32&lt;0),-1,MIN(1,IF($A32=$A31,BD31,1)-AI32+$D$3))</f>
        <v>1</v>
      </c>
      <c r="BE32" s="47"/>
      <c r="BF32" s="53">
        <f t="shared" ref="BF32:BF38" si="91">$AN$2*P32+(1-$AN$2)*BF31</f>
        <v>7.3733404250450815E-2</v>
      </c>
      <c r="BG32" s="53">
        <f t="shared" ref="BG32:BG38" si="92">$AN$2*Q32+(1-$AN$2)*BG31</f>
        <v>0.25141098986784854</v>
      </c>
      <c r="BH32" s="53">
        <f t="shared" ref="BH32:BH38" si="93">$AN$2*R32+(1-$AN$2)*BH31</f>
        <v>0.28953657128097848</v>
      </c>
      <c r="BI32" s="53">
        <f t="shared" ref="BI32:BI38" si="94">$AN$2*S32+(1-$AN$2)*BI31</f>
        <v>0.2719416886948503</v>
      </c>
      <c r="BJ32" s="53">
        <f t="shared" ref="BJ32:BJ38" si="95">$AN$2*T32+(1-$AN$2)*BJ31</f>
        <v>0.38225496398782832</v>
      </c>
      <c r="BK32" s="53">
        <f t="shared" ref="BK32:BK38" si="96">$AN$2*U32+(1-$AN$2)*BK31</f>
        <v>7.2873768526717342E-2</v>
      </c>
      <c r="BL32" s="53">
        <f t="shared" ref="BL32:BL38" si="97">$AN$2*V32+(1-$AN$2)*BL31</f>
        <v>9.1569043094638355E-2</v>
      </c>
      <c r="BM32" s="53">
        <f t="shared" ref="BM32:BM38" si="98">$AN$2*W32+(1-$AN$2)*BM31</f>
        <v>0.10229297128659853</v>
      </c>
      <c r="BN32" s="53">
        <f t="shared" ref="BN32:BN38" si="99">$AN$2*X32+(1-$AN$2)*BN31</f>
        <v>0.11720639221629363</v>
      </c>
      <c r="BO32" s="53">
        <f t="shared" ref="BO32:BO38" si="100">$AN$2*Y32+(1-$AN$2)*BO31</f>
        <v>3.8406006886579809E-2</v>
      </c>
      <c r="BP32" s="53">
        <f t="shared" ref="BP32:BP38" si="101">$AN$2*Z32+(1-$AN$2)*BP31</f>
        <v>0.29957741880946986</v>
      </c>
      <c r="BQ32" s="53">
        <f t="shared" ref="BQ32:BQ38" si="102">$AN$2*AA32+(1-$AN$2)*BQ31</f>
        <v>9.3529374382317967E-2</v>
      </c>
      <c r="BR32" s="53">
        <f t="shared" ref="BR32:BR38" si="103">$AN$2*AB32+(1-$AN$2)*BR31</f>
        <v>0.30328971174115255</v>
      </c>
      <c r="BS32" s="53">
        <f t="shared" ref="BS32:BS38" si="104">$AN$2*AC32+(1-$AN$2)*BS31</f>
        <v>8.1701057480741107E-2</v>
      </c>
      <c r="BT32" s="53">
        <f t="shared" ref="BT32:BT38" si="105">$AN$2*AD32+(1-$AN$2)*BT31</f>
        <v>0.4580499756545599</v>
      </c>
      <c r="BU32" s="53">
        <f t="shared" ref="BU32:BU38" si="106">$AN$2*AE32+(1-$AN$2)*BU31</f>
        <v>0.43566025859302171</v>
      </c>
      <c r="BV32" s="53">
        <f t="shared" ref="BV32:BV38" si="107">$AN$2*AF32+(1-$AN$2)*BV31</f>
        <v>0.45072434313149623</v>
      </c>
      <c r="BW32" s="53">
        <f t="shared" ref="BW32:BW38" si="108">$AN$2*AG32+(1-$AN$2)*BW31</f>
        <v>0.1774306570384836</v>
      </c>
      <c r="BX32" s="53">
        <f t="shared" ref="BX32:BX38" si="109">$AN$2*AH32+(1-$AN$2)*BX31</f>
        <v>0.18833225003488591</v>
      </c>
      <c r="BY32" s="53">
        <f t="shared" ref="BY32:BY38" si="110">$AN$2*AI32+(1-$AN$2)*BY31</f>
        <v>0.15202487475223087</v>
      </c>
      <c r="BZ32" s="47"/>
      <c r="CA32" s="53">
        <f t="shared" ref="CA32:CA38" si="111">IF($A32="","",BF32/SUM($BF32:$BY32)/CA$2-1)</f>
        <v>-0.6084842671150591</v>
      </c>
      <c r="CB32" s="53">
        <f t="shared" ref="CB32:CB38" si="112">IF($A32="","",BG32/SUM($BF32:$BY32)/CB$2-1)</f>
        <v>-0.11002474428825015</v>
      </c>
      <c r="CC32" s="53">
        <f t="shared" ref="CC32:CC38" si="113">IF($A32="","",BH32/SUM($BF32:$BY32)/CC$2-1)</f>
        <v>0.53740525145184992</v>
      </c>
      <c r="CD32" s="53">
        <f t="shared" ref="CD32:CD38" si="114">IF($A32="","",BI32/SUM($BF32:$BY32)/CD$2-1)</f>
        <v>0.44397848754802083</v>
      </c>
      <c r="CE32" s="53">
        <f t="shared" ref="CE32:CE38" si="115">IF($A32="","",BJ32/SUM($BF32:$BY32)/CE$2-1)</f>
        <v>1.0297290474511933</v>
      </c>
      <c r="CF32" s="53">
        <f t="shared" ref="CF32:CF38" si="116">IF($A32="","",BK32/SUM($BF32:$BY32)/CF$2-1)</f>
        <v>-0.80652441601697211</v>
      </c>
      <c r="CG32" s="53">
        <f t="shared" ref="CG32:CG38" si="117">IF($A32="","",BL32/SUM($BF32:$BY32)/CG$2-1)</f>
        <v>-0.51377911570452306</v>
      </c>
      <c r="CH32" s="53">
        <f t="shared" ref="CH32:CH38" si="118">IF($A32="","",BM32/SUM($BF32:$BY32)/CH$2-1)</f>
        <v>-0.63789087610625739</v>
      </c>
      <c r="CI32" s="53">
        <f t="shared" ref="CI32:CI38" si="119">IF($A32="","",BN32/SUM($BF32:$BY32)/CI$2-1)</f>
        <v>-0.37764779730644993</v>
      </c>
      <c r="CJ32" s="53">
        <f t="shared" ref="CJ32:CJ38" si="120">IF($A32="","",BO32/SUM($BF32:$BY32)/CJ$2-1)</f>
        <v>-0.79606860572572236</v>
      </c>
      <c r="CK32" s="53">
        <f t="shared" ref="CK32:CK38" si="121">IF($A32="","",BP32/SUM($BF32:$BY32)/CK$2-1)</f>
        <v>0.59072097475075358</v>
      </c>
      <c r="CL32" s="53">
        <f t="shared" ref="CL32:CL38" si="122">IF($A32="","",BQ32/SUM($BF32:$BY32)/CL$2-1)</f>
        <v>-0.50336998637440034</v>
      </c>
      <c r="CM32" s="53">
        <f t="shared" ref="CM32:CM38" si="123">IF($A32="","",BR32/SUM($BF32:$BY32)/CM$2-1)</f>
        <v>7.3621876686678744E-2</v>
      </c>
      <c r="CN32" s="53">
        <f t="shared" ref="CN32:CN38" si="124">IF($A32="","",BS32/SUM($BF32:$BY32)/CN$2-1)</f>
        <v>-0.56617696250134186</v>
      </c>
      <c r="CO32" s="53">
        <f t="shared" ref="CO32:CO38" si="125">IF($A32="","",BT32/SUM($BF32:$BY32)/CO$2-1)</f>
        <v>1.4321916740366416</v>
      </c>
      <c r="CP32" s="53">
        <f t="shared" ref="CP32:CP38" si="126">IF($A32="","",BU32/SUM($BF32:$BY32)/CP$2-1)</f>
        <v>1.3133049011614961</v>
      </c>
      <c r="CQ32" s="53">
        <f t="shared" ref="CQ32:CQ38" si="127">IF($A32="","",BV32/SUM($BF32:$BY32)/CQ$2-1)</f>
        <v>0.59552894940994938</v>
      </c>
      <c r="CR32" s="53">
        <f t="shared" ref="CR32:CR38" si="128">IF($A32="","",BW32/SUM($BF32:$BY32)/CR$2-1)</f>
        <v>-5.7864011124187598E-2</v>
      </c>
      <c r="CS32" s="53">
        <f t="shared" ref="CS32:CS38" si="129">IF($A32="","",BX32/SUM($BF32:$BY32)/CS$2-1)</f>
        <v>2.2169705089503111E-5</v>
      </c>
      <c r="CT32" s="53">
        <f t="shared" ref="CT32:CT38" si="130">IF($A32="","",BY32/SUM($BF32:$BY32)/CT$2-1)</f>
        <v>-0.19276573677259579</v>
      </c>
      <c r="CU32" s="47"/>
      <c r="CV32" s="53">
        <f t="shared" ref="CV32:CV38" si="131">SQRT(SUMPRODUCT(CA32:CT32,CA32:CT32)/20)</f>
        <v>0.67548996040184484</v>
      </c>
    </row>
    <row r="33" spans="1:100" x14ac:dyDescent="0.25">
      <c r="A33" s="97">
        <v>45054</v>
      </c>
      <c r="B33" s="86">
        <v>7</v>
      </c>
      <c r="C33" s="43" t="str" cm="1">
        <f t="array" ref="C33">IF(B33="","",INDEX(UWS!$B$10:$B$41,B33))</f>
        <v>Dumbbell walking lunge</v>
      </c>
      <c r="D33" s="40">
        <f t="shared" si="46"/>
        <v>0.4</v>
      </c>
      <c r="E33" s="69">
        <f t="shared" si="47"/>
        <v>1.4506927645475387</v>
      </c>
      <c r="F33" s="48" cm="1">
        <f t="array" ref="F33">0.1+IFERROR(INDEX($F$5:$F32,SUMPRODUCT(MAX(ROW($C$5:$C32)*($C33=$C$5:$C32))-ROW($A$4)))*0.9^($A33-INDEX($A$5:A32,SUMPRODUCT(MAX(ROW($C$5:$C32)*($C33=$C$5:$C32))-ROW($A$4)))),0)</f>
        <v>0.15904900000000002</v>
      </c>
      <c r="G33" s="55">
        <f>INDEX(UWS!$AB$10:$AB$41,MATCH(C33,UWS!$B$10:$B$41,0))</f>
        <v>4.6999999999999993</v>
      </c>
      <c r="H33" s="48">
        <f>INDEX(UWS!$C$10:$C$41,MATCH(C33,UWS!$B$10:$B$41,0))</f>
        <v>1</v>
      </c>
      <c r="I33" s="82">
        <f t="shared" si="90"/>
        <v>1</v>
      </c>
      <c r="J33" s="27">
        <f>INDEX(UWS!$E$10:$E$41,MATCH(C33,UWS!$B$10:$B$41,0))</f>
        <v>1</v>
      </c>
      <c r="L33" s="108" t="str" cm="1">
        <f t="array" ref="L33">IF(K33="","",INDEX(UWS!$B$10:$B$41,K33))</f>
        <v/>
      </c>
      <c r="N33" s="108" t="str" cm="1">
        <f t="array" ref="N33">IF(M33="","",INDEX(UWS!$B$10:$B$41,M33))</f>
        <v/>
      </c>
      <c r="P33">
        <f>IFERROR(INDEX(UWS!$G$10:$Z$41,MATCH($C33,UWS!$B$10:$B$41,0),MATCH(P$4,UWS!$G$3:$Z$3,0)),0)</f>
        <v>0</v>
      </c>
      <c r="Q33">
        <f>IFERROR(INDEX(UWS!$G$10:$Z$41,MATCH($C33,UWS!$B$10:$B$41,0),MATCH(Q$4,UWS!$G$3:$Z$3,0)),0)</f>
        <v>0</v>
      </c>
      <c r="R33">
        <f>IFERROR(INDEX(UWS!$G$10:$Z$41,MATCH($C33,UWS!$B$10:$B$41,0),MATCH(R$4,UWS!$G$3:$Z$3,0)),0)</f>
        <v>0</v>
      </c>
      <c r="S33">
        <f>IFERROR(INDEX(UWS!$G$10:$Z$41,MATCH($C33,UWS!$B$10:$B$41,0),MATCH(S$4,UWS!$G$3:$Z$3,0)),0)</f>
        <v>0</v>
      </c>
      <c r="T33">
        <f>IFERROR(INDEX(UWS!$G$10:$Z$41,MATCH($C33,UWS!$B$10:$B$41,0),MATCH(T$4,UWS!$G$3:$Z$3,0)),0)</f>
        <v>0.5</v>
      </c>
      <c r="U33">
        <f>IFERROR(INDEX(UWS!$G$10:$Z$41,MATCH($C33,UWS!$B$10:$B$41,0),MATCH(U$4,UWS!$G$3:$Z$3,0)),0)</f>
        <v>0</v>
      </c>
      <c r="V33">
        <f>IFERROR(INDEX(UWS!$G$10:$Z$41,MATCH($C33,UWS!$B$10:$B$41,0),MATCH(V$4,UWS!$G$3:$Z$3,0)),0)</f>
        <v>0</v>
      </c>
      <c r="W33">
        <f>IFERROR(INDEX(UWS!$G$10:$Z$41,MATCH($C33,UWS!$B$10:$B$41,0),MATCH(W$4,UWS!$G$3:$Z$3,0)),0)</f>
        <v>0</v>
      </c>
      <c r="X33">
        <f>IFERROR(INDEX(UWS!$G$10:$Z$41,MATCH($C33,UWS!$B$10:$B$41,0),MATCH(X$4,UWS!$G$3:$Z$3,0)),0)</f>
        <v>0</v>
      </c>
      <c r="Y33">
        <f>IFERROR(INDEX(UWS!$G$10:$Z$41,MATCH($C33,UWS!$B$10:$B$41,0),MATCH(Y$4,UWS!$G$3:$Z$3,0)),0)</f>
        <v>0</v>
      </c>
      <c r="Z33">
        <f>IFERROR(INDEX(UWS!$G$10:$Z$41,MATCH($C33,UWS!$B$10:$B$41,0),MATCH(Z$4,UWS!$G$3:$Z$3,0)),0)</f>
        <v>0.1</v>
      </c>
      <c r="AA33">
        <f>IFERROR(INDEX(UWS!$G$10:$Z$41,MATCH($C33,UWS!$B$10:$B$41,0),MATCH(AA$4,UWS!$G$3:$Z$3,0)),0)</f>
        <v>0</v>
      </c>
      <c r="AB33">
        <f>IFERROR(INDEX(UWS!$G$10:$Z$41,MATCH($C33,UWS!$B$10:$B$41,0),MATCH(AB$4,UWS!$G$3:$Z$3,0)),0)</f>
        <v>0.3</v>
      </c>
      <c r="AC33">
        <f>IFERROR(INDEX(UWS!$G$10:$Z$41,MATCH($C33,UWS!$B$10:$B$41,0),MATCH(AC$4,UWS!$G$3:$Z$3,0)),0)</f>
        <v>0.2</v>
      </c>
      <c r="AD33">
        <f>IFERROR(INDEX(UWS!$G$10:$Z$41,MATCH($C33,UWS!$B$10:$B$41,0),MATCH(AD$4,UWS!$G$3:$Z$3,0)),0)</f>
        <v>1</v>
      </c>
      <c r="AE33">
        <f>IFERROR(INDEX(UWS!$G$10:$Z$41,MATCH($C33,UWS!$B$10:$B$41,0),MATCH(AE$4,UWS!$G$3:$Z$3,0)),0)</f>
        <v>0.6</v>
      </c>
      <c r="AF33">
        <f>IFERROR(INDEX(UWS!$G$10:$Z$41,MATCH($C33,UWS!$B$10:$B$41,0),MATCH(AF$4,UWS!$G$3:$Z$3,0)),0)</f>
        <v>0.9</v>
      </c>
      <c r="AG33">
        <f>IFERROR(INDEX(UWS!$G$10:$Z$41,MATCH($C33,UWS!$B$10:$B$41,0),MATCH(AG$4,UWS!$G$3:$Z$3,0)),0)</f>
        <v>0.1</v>
      </c>
      <c r="AH33">
        <f>IFERROR(INDEX(UWS!$G$10:$Z$41,MATCH($C33,UWS!$B$10:$B$41,0),MATCH(AH$4,UWS!$G$3:$Z$3,0)),0)</f>
        <v>0.5</v>
      </c>
      <c r="AI33">
        <f>IFERROR(INDEX(UWS!$G$10:$Z$41,MATCH($C33,UWS!$B$10:$B$41,0),MATCH(AI$4,UWS!$G$3:$Z$3,0)),0)</f>
        <v>0.5</v>
      </c>
      <c r="AK33">
        <f>IF(OR($J33=0,COUNTIFS($A$4:$A32,"&gt;="&amp;$A33-1,$A$4:$A32,"&lt;="&amp;$A33,$B$4:$B32,$B33)&gt;0,MIN(AK$1,IF($A33=$A32,AK32,1))-P33&lt;0),-1,MIN(1,IF($A33=$A32,AK32,1)-P33+$D$3))</f>
        <v>1</v>
      </c>
      <c r="AL33">
        <f>IF(OR($J33=0,COUNTIFS($A$4:$A32,"&gt;="&amp;$A33-1,$A$4:$A32,"&lt;="&amp;$A33,$B$4:$B32,$B33)&gt;0,MIN(AL$1,IF($A33=$A32,AL32,1))-Q33&lt;0),-1,MIN(1,IF($A33=$A32,AL32,1)-Q33+$D$3))</f>
        <v>1</v>
      </c>
      <c r="AM33">
        <f>IF(OR($J33=0,COUNTIFS($A$4:$A32,"&gt;="&amp;$A33-1,$A$4:$A32,"&lt;="&amp;$A33,$B$4:$B32,$B33)&gt;0,MIN(AM$1,IF($A33=$A32,AM32,1))-R33&lt;0),-1,MIN(1,IF($A33=$A32,AM32,1)-R33+$D$3))</f>
        <v>1</v>
      </c>
      <c r="AN33">
        <f>IF(OR($J33=0,COUNTIFS($A$4:$A32,"&gt;="&amp;$A33-1,$A$4:$A32,"&lt;="&amp;$A33,$B$4:$B32,$B33)&gt;0,MIN(AN$1,IF($A33=$A32,AN32,1))-S33&lt;0),-1,MIN(1,IF($A33=$A32,AN32,1)-S33+$D$3))</f>
        <v>1</v>
      </c>
      <c r="AO33">
        <f>IF(OR($J33=0,COUNTIFS($A$4:$A32,"&gt;="&amp;$A33-1,$A$4:$A32,"&lt;="&amp;$A33,$B$4:$B32,$B33)&gt;0,MIN(AO$1,IF($A33=$A32,AO32,1))-T33&lt;0),-1,MIN(1,IF($A33=$A32,AO32,1)-T33+$D$3))</f>
        <v>0.9</v>
      </c>
      <c r="AP33">
        <f>IF(OR($J33=0,COUNTIFS($A$4:$A32,"&gt;="&amp;$A33-1,$A$4:$A32,"&lt;="&amp;$A33,$B$4:$B32,$B33)&gt;0,MIN(AP$1,IF($A33=$A32,AP32,1))-U33&lt;0),-1,MIN(1,IF($A33=$A32,AP32,1)-U33+$D$3))</f>
        <v>1</v>
      </c>
      <c r="AQ33">
        <f>IF(OR($J33=0,COUNTIFS($A$4:$A32,"&gt;="&amp;$A33-1,$A$4:$A32,"&lt;="&amp;$A33,$B$4:$B32,$B33)&gt;0,MIN(AQ$1,IF($A33=$A32,AQ32,1))-V33&lt;0),-1,MIN(1,IF($A33=$A32,AQ32,1)-V33+$D$3))</f>
        <v>1</v>
      </c>
      <c r="AR33">
        <f>IF(OR($J33=0,COUNTIFS($A$4:$A32,"&gt;="&amp;$A33-1,$A$4:$A32,"&lt;="&amp;$A33,$B$4:$B32,$B33)&gt;0,MIN(AR$1,IF($A33=$A32,AR32,1))-W33&lt;0),-1,MIN(1,IF($A33=$A32,AR32,1)-W33+$D$3))</f>
        <v>1</v>
      </c>
      <c r="AS33">
        <f>IF(OR($J33=0,COUNTIFS($A$4:$A32,"&gt;="&amp;$A33-1,$A$4:$A32,"&lt;="&amp;$A33,$B$4:$B32,$B33)&gt;0,MIN(AS$1,IF($A33=$A32,AS32,1))-X33&lt;0),-1,MIN(1,IF($A33=$A32,AS32,1)-X33+$D$3))</f>
        <v>1</v>
      </c>
      <c r="AT33">
        <f>IF(OR($J33=0,COUNTIFS($A$4:$A32,"&gt;="&amp;$A33-1,$A$4:$A32,"&lt;="&amp;$A33,$B$4:$B32,$B33)&gt;0,MIN(AT$1,IF($A33=$A32,AT32,1))-Y33&lt;0),-1,MIN(1,IF($A33=$A32,AT32,1)-Y33+$D$3))</f>
        <v>1</v>
      </c>
      <c r="AU33">
        <f>IF(OR($J33=0,COUNTIFS($A$4:$A32,"&gt;="&amp;$A33-1,$A$4:$A32,"&lt;="&amp;$A33,$B$4:$B32,$B33)&gt;0,MIN(AU$1,IF($A33=$A32,AU32,1))-Z33&lt;0),-1,MIN(1,IF($A33=$A32,AU32,1)-Z33+$D$3))</f>
        <v>1</v>
      </c>
      <c r="AV33">
        <f>IF(OR($J33=0,COUNTIFS($A$4:$A32,"&gt;="&amp;$A33-1,$A$4:$A32,"&lt;="&amp;$A33,$B$4:$B32,$B33)&gt;0,MIN(AV$1,IF($A33=$A32,AV32,1))-AA33&lt;0),-1,MIN(1,IF($A33=$A32,AV32,1)-AA33+$D$3))</f>
        <v>1</v>
      </c>
      <c r="AW33">
        <f>IF(OR($J33=0,COUNTIFS($A$4:$A32,"&gt;="&amp;$A33-1,$A$4:$A32,"&lt;="&amp;$A33,$B$4:$B32,$B33)&gt;0,MIN(AW$1,IF($A33=$A32,AW32,1))-AB33&lt;0),-1,MIN(1,IF($A33=$A32,AW32,1)-AB33+$D$3))</f>
        <v>1</v>
      </c>
      <c r="AX33">
        <f>IF(OR($J33=0,COUNTIFS($A$4:$A32,"&gt;="&amp;$A33-1,$A$4:$A32,"&lt;="&amp;$A33,$B$4:$B32,$B33)&gt;0,MIN(AX$1,IF($A33=$A32,AX32,1))-AC33&lt;0),-1,MIN(1,IF($A33=$A32,AX32,1)-AC33+$D$3))</f>
        <v>1</v>
      </c>
      <c r="AY33">
        <f>IF(OR($J33=0,COUNTIFS($A$4:$A32,"&gt;="&amp;$A33-1,$A$4:$A32,"&lt;="&amp;$A33,$B$4:$B32,$B33)&gt;0,MIN(AY$1,IF($A33=$A32,AY32,1))-AD33&lt;0),-1,MIN(1,IF($A33=$A32,AY32,1)-AD33+$D$3))</f>
        <v>0.4</v>
      </c>
      <c r="AZ33">
        <f>IF(OR($J33=0,COUNTIFS($A$4:$A32,"&gt;="&amp;$A33-1,$A$4:$A32,"&lt;="&amp;$A33,$B$4:$B32,$B33)&gt;0,MIN(AZ$1,IF($A33=$A32,AZ32,1))-AE33&lt;0),-1,MIN(1,IF($A33=$A32,AZ32,1)-AE33+$D$3))</f>
        <v>0.8</v>
      </c>
      <c r="BA33">
        <f>IF(OR($J33=0,COUNTIFS($A$4:$A32,"&gt;="&amp;$A33-1,$A$4:$A32,"&lt;="&amp;$A33,$B$4:$B32,$B33)&gt;0,MIN(BA$1,IF($A33=$A32,BA32,1))-AF33&lt;0),-1,MIN(1,IF($A33=$A32,BA32,1)-AF33+$D$3))</f>
        <v>0.5</v>
      </c>
      <c r="BB33">
        <f>IF(OR($J33=0,COUNTIFS($A$4:$A32,"&gt;="&amp;$A33-1,$A$4:$A32,"&lt;="&amp;$A33,$B$4:$B32,$B33)&gt;0,MIN(BB$1,IF($A33=$A32,BB32,1))-AG33&lt;0),-1,MIN(1,IF($A33=$A32,BB32,1)-AG33+$D$3))</f>
        <v>1</v>
      </c>
      <c r="BC33">
        <f>IF(OR($J33=0,COUNTIFS($A$4:$A32,"&gt;="&amp;$A33-1,$A$4:$A32,"&lt;="&amp;$A33,$B$4:$B32,$B33)&gt;0,MIN(BC$1,IF($A33=$A32,BC32,1))-AH33&lt;0),-1,MIN(1,IF($A33=$A32,BC32,1)-AH33+$D$3))</f>
        <v>0.9</v>
      </c>
      <c r="BD33">
        <f>IF(OR($J33=0,COUNTIFS($A$4:$A32,"&gt;="&amp;$A33-1,$A$4:$A32,"&lt;="&amp;$A33,$B$4:$B32,$B33)&gt;0,MIN(BD$1,IF($A33=$A32,BD32,1))-AI33&lt;0),-1,MIN(1,IF($A33=$A32,BD32,1)-AI33+$D$3))</f>
        <v>0.9</v>
      </c>
      <c r="BF33" s="44">
        <f t="shared" si="91"/>
        <v>7.0046734037928271E-2</v>
      </c>
      <c r="BG33" s="44">
        <f t="shared" si="92"/>
        <v>0.23884044037445609</v>
      </c>
      <c r="BH33" s="44">
        <f t="shared" si="93"/>
        <v>0.27505974271692957</v>
      </c>
      <c r="BI33" s="44">
        <f t="shared" si="94"/>
        <v>0.2583446042601078</v>
      </c>
      <c r="BJ33" s="44">
        <f t="shared" si="95"/>
        <v>0.38814221578843688</v>
      </c>
      <c r="BK33" s="44">
        <f t="shared" si="96"/>
        <v>6.9230080100381466E-2</v>
      </c>
      <c r="BL33" s="44">
        <f t="shared" si="97"/>
        <v>8.6990590939906437E-2</v>
      </c>
      <c r="BM33" s="44">
        <f t="shared" si="98"/>
        <v>9.7178322722268604E-2</v>
      </c>
      <c r="BN33" s="44">
        <f t="shared" si="99"/>
        <v>0.11134607260547894</v>
      </c>
      <c r="BO33" s="44">
        <f t="shared" si="100"/>
        <v>3.648570654225082E-2</v>
      </c>
      <c r="BP33" s="44">
        <f t="shared" si="101"/>
        <v>0.28959854786899636</v>
      </c>
      <c r="BQ33" s="44">
        <f t="shared" si="102"/>
        <v>8.8852905663202059E-2</v>
      </c>
      <c r="BR33" s="44">
        <f t="shared" si="103"/>
        <v>0.30312522615409493</v>
      </c>
      <c r="BS33" s="44">
        <f t="shared" si="104"/>
        <v>8.7616004606704045E-2</v>
      </c>
      <c r="BT33" s="44">
        <f t="shared" si="105"/>
        <v>0.48514747687183185</v>
      </c>
      <c r="BU33" s="44">
        <f t="shared" si="106"/>
        <v>0.44387724566337061</v>
      </c>
      <c r="BV33" s="44">
        <f t="shared" si="107"/>
        <v>0.47318812597492138</v>
      </c>
      <c r="BW33" s="44">
        <f t="shared" si="108"/>
        <v>0.17355912418655942</v>
      </c>
      <c r="BX33" s="44">
        <f t="shared" si="109"/>
        <v>0.2039156375331416</v>
      </c>
      <c r="BY33" s="44">
        <f t="shared" si="110"/>
        <v>0.1694236310146193</v>
      </c>
      <c r="CA33" s="44">
        <f t="shared" si="111"/>
        <v>-0.62963527052796775</v>
      </c>
      <c r="CB33" s="44">
        <f t="shared" si="112"/>
        <v>-0.15810421617117287</v>
      </c>
      <c r="CC33" s="44">
        <f t="shared" si="113"/>
        <v>0.45434942255611066</v>
      </c>
      <c r="CD33" s="44">
        <f t="shared" si="114"/>
        <v>0.36596988826838395</v>
      </c>
      <c r="CE33" s="44">
        <f t="shared" si="115"/>
        <v>1.0522610899934453</v>
      </c>
      <c r="CF33" s="44">
        <f t="shared" si="116"/>
        <v>-0.81697662110969094</v>
      </c>
      <c r="CG33" s="44">
        <f t="shared" si="117"/>
        <v>-0.54004641154824673</v>
      </c>
      <c r="CH33" s="44">
        <f t="shared" si="118"/>
        <v>-0.6574532350921547</v>
      </c>
      <c r="CI33" s="44">
        <f t="shared" si="119"/>
        <v>-0.41126936716318641</v>
      </c>
      <c r="CJ33" s="44">
        <f t="shared" si="120"/>
        <v>-0.80708566903633538</v>
      </c>
      <c r="CK33" s="44">
        <f t="shared" si="121"/>
        <v>0.53122182368870563</v>
      </c>
      <c r="CL33" s="44">
        <f t="shared" si="122"/>
        <v>-0.53019961857269271</v>
      </c>
      <c r="CM33" s="44">
        <f t="shared" si="123"/>
        <v>6.8495140400795185E-2</v>
      </c>
      <c r="CN33" s="44">
        <f t="shared" si="124"/>
        <v>-0.53673960264854581</v>
      </c>
      <c r="CO33" s="44">
        <f t="shared" si="125"/>
        <v>1.5651661921651159</v>
      </c>
      <c r="CP33" s="44">
        <f t="shared" si="126"/>
        <v>1.3469541908961693</v>
      </c>
      <c r="CQ33" s="44">
        <f t="shared" si="127"/>
        <v>0.66795492250631572</v>
      </c>
      <c r="CR33" s="44">
        <f t="shared" si="128"/>
        <v>-8.2324408701880403E-2</v>
      </c>
      <c r="CS33" s="44">
        <f t="shared" si="129"/>
        <v>7.8182458716567815E-2</v>
      </c>
      <c r="CT33" s="44">
        <f t="shared" si="130"/>
        <v>-0.10419039333193758</v>
      </c>
      <c r="CV33" s="44">
        <f t="shared" si="131"/>
        <v>0.69537626495888116</v>
      </c>
    </row>
    <row r="34" spans="1:100" x14ac:dyDescent="0.25">
      <c r="A34" s="97">
        <v>45054</v>
      </c>
      <c r="B34" s="86">
        <v>22</v>
      </c>
      <c r="C34" s="43" t="str" cm="1">
        <f t="array" ref="C34">IF(B34="","",INDEX(UWS!$B$10:$B$41,B34))</f>
        <v>Cable lateral raise</v>
      </c>
      <c r="D34" s="40">
        <f t="shared" si="46"/>
        <v>0.4</v>
      </c>
      <c r="E34" s="69">
        <f t="shared" si="47"/>
        <v>0.70424688466693575</v>
      </c>
      <c r="F34" s="48" cm="1">
        <f t="array" ref="F34">0.1+IFERROR(INDEX($F$5:$F33,SUMPRODUCT(MAX(ROW($C$5:$C33)*($C34=$C$5:$C33))-ROW($A$4)))*0.9^($A34-INDEX($A$5:A33,SUMPRODUCT(MAX(ROW($C$5:$C33)*($C34=$C$5:$C33))-ROW($A$4)))),0)</f>
        <v>0.1</v>
      </c>
      <c r="G34" s="55">
        <f>INDEX(UWS!$AB$10:$AB$41,MATCH(C34,UWS!$B$10:$B$41,0))</f>
        <v>1</v>
      </c>
      <c r="H34" s="48">
        <f>INDEX(UWS!$C$10:$C$41,MATCH(C34,UWS!$B$10:$B$41,0))</f>
        <v>1</v>
      </c>
      <c r="I34" s="27">
        <f t="shared" si="90"/>
        <v>2</v>
      </c>
      <c r="J34" s="27">
        <f>INDEX(UWS!$E$10:$E$41,MATCH(C34,UWS!$B$10:$B$41,0))</f>
        <v>1</v>
      </c>
      <c r="L34" s="108" t="str" cm="1">
        <f t="array" ref="L34">IF(K34="","",INDEX(UWS!$B$10:$B$41,K34))</f>
        <v/>
      </c>
      <c r="N34" s="108" t="str" cm="1">
        <f t="array" ref="N34">IF(M34="","",INDEX(UWS!$B$10:$B$41,M34))</f>
        <v/>
      </c>
      <c r="P34">
        <f>IFERROR(INDEX(UWS!$G$10:$Z$41,MATCH($C34,UWS!$B$10:$B$41,0),MATCH(P$4,UWS!$G$3:$Z$3,0)),0)</f>
        <v>0</v>
      </c>
      <c r="Q34">
        <f>IFERROR(INDEX(UWS!$G$10:$Z$41,MATCH($C34,UWS!$B$10:$B$41,0),MATCH(Q$4,UWS!$G$3:$Z$3,0)),0)</f>
        <v>0</v>
      </c>
      <c r="R34">
        <f>IFERROR(INDEX(UWS!$G$10:$Z$41,MATCH($C34,UWS!$B$10:$B$41,0),MATCH(R$4,UWS!$G$3:$Z$3,0)),0)</f>
        <v>0</v>
      </c>
      <c r="S34">
        <f>IFERROR(INDEX(UWS!$G$10:$Z$41,MATCH($C34,UWS!$B$10:$B$41,0),MATCH(S$4,UWS!$G$3:$Z$3,0)),0)</f>
        <v>0</v>
      </c>
      <c r="T34">
        <f>IFERROR(INDEX(UWS!$G$10:$Z$41,MATCH($C34,UWS!$B$10:$B$41,0),MATCH(T$4,UWS!$G$3:$Z$3,0)),0)</f>
        <v>0</v>
      </c>
      <c r="U34">
        <f>IFERROR(INDEX(UWS!$G$10:$Z$41,MATCH($C34,UWS!$B$10:$B$41,0),MATCH(U$4,UWS!$G$3:$Z$3,0)),0)</f>
        <v>1</v>
      </c>
      <c r="V34">
        <f>IFERROR(INDEX(UWS!$G$10:$Z$41,MATCH($C34,UWS!$B$10:$B$41,0),MATCH(V$4,UWS!$G$3:$Z$3,0)),0)</f>
        <v>0</v>
      </c>
      <c r="W34">
        <f>IFERROR(INDEX(UWS!$G$10:$Z$41,MATCH($C34,UWS!$B$10:$B$41,0),MATCH(W$4,UWS!$G$3:$Z$3,0)),0)</f>
        <v>0</v>
      </c>
      <c r="X34">
        <f>IFERROR(INDEX(UWS!$G$10:$Z$41,MATCH($C34,UWS!$B$10:$B$41,0),MATCH(X$4,UWS!$G$3:$Z$3,0)),0)</f>
        <v>0</v>
      </c>
      <c r="Y34">
        <f>IFERROR(INDEX(UWS!$G$10:$Z$41,MATCH($C34,UWS!$B$10:$B$41,0),MATCH(Y$4,UWS!$G$3:$Z$3,0)),0)</f>
        <v>0</v>
      </c>
      <c r="Z34">
        <f>IFERROR(INDEX(UWS!$G$10:$Z$41,MATCH($C34,UWS!$B$10:$B$41,0),MATCH(Z$4,UWS!$G$3:$Z$3,0)),0)</f>
        <v>0</v>
      </c>
      <c r="AA34">
        <f>IFERROR(INDEX(UWS!$G$10:$Z$41,MATCH($C34,UWS!$B$10:$B$41,0),MATCH(AA$4,UWS!$G$3:$Z$3,0)),0)</f>
        <v>0</v>
      </c>
      <c r="AB34">
        <f>IFERROR(INDEX(UWS!$G$10:$Z$41,MATCH($C34,UWS!$B$10:$B$41,0),MATCH(AB$4,UWS!$G$3:$Z$3,0)),0)</f>
        <v>0</v>
      </c>
      <c r="AC34">
        <f>IFERROR(INDEX(UWS!$G$10:$Z$41,MATCH($C34,UWS!$B$10:$B$41,0),MATCH(AC$4,UWS!$G$3:$Z$3,0)),0)</f>
        <v>0</v>
      </c>
      <c r="AD34">
        <f>IFERROR(INDEX(UWS!$G$10:$Z$41,MATCH($C34,UWS!$B$10:$B$41,0),MATCH(AD$4,UWS!$G$3:$Z$3,0)),0)</f>
        <v>0</v>
      </c>
      <c r="AE34">
        <f>IFERROR(INDEX(UWS!$G$10:$Z$41,MATCH($C34,UWS!$B$10:$B$41,0),MATCH(AE$4,UWS!$G$3:$Z$3,0)),0)</f>
        <v>0</v>
      </c>
      <c r="AF34">
        <f>IFERROR(INDEX(UWS!$G$10:$Z$41,MATCH($C34,UWS!$B$10:$B$41,0),MATCH(AF$4,UWS!$G$3:$Z$3,0)),0)</f>
        <v>0</v>
      </c>
      <c r="AG34">
        <f>IFERROR(INDEX(UWS!$G$10:$Z$41,MATCH($C34,UWS!$B$10:$B$41,0),MATCH(AG$4,UWS!$G$3:$Z$3,0)),0)</f>
        <v>0</v>
      </c>
      <c r="AH34">
        <f>IFERROR(INDEX(UWS!$G$10:$Z$41,MATCH($C34,UWS!$B$10:$B$41,0),MATCH(AH$4,UWS!$G$3:$Z$3,0)),0)</f>
        <v>0</v>
      </c>
      <c r="AI34">
        <f>IFERROR(INDEX(UWS!$G$10:$Z$41,MATCH($C34,UWS!$B$10:$B$41,0),MATCH(AI$4,UWS!$G$3:$Z$3,0)),0)</f>
        <v>0</v>
      </c>
      <c r="AK34">
        <f>IF(OR($J34=0,COUNTIFS($A$4:$A33,"&gt;="&amp;$A34-1,$A$4:$A33,"&lt;="&amp;$A34,$B$4:$B33,$B34)&gt;0,MIN(AK$1,IF($A34=$A33,AK33,1))-P34&lt;0),-1,MIN(1,IF($A34=$A33,AK33,1)-P34+$D$3))</f>
        <v>1</v>
      </c>
      <c r="AL34">
        <f>IF(OR($J34=0,COUNTIFS($A$4:$A33,"&gt;="&amp;$A34-1,$A$4:$A33,"&lt;="&amp;$A34,$B$4:$B33,$B34)&gt;0,MIN(AL$1,IF($A34=$A33,AL33,1))-Q34&lt;0),-1,MIN(1,IF($A34=$A33,AL33,1)-Q34+$D$3))</f>
        <v>1</v>
      </c>
      <c r="AM34">
        <f>IF(OR($J34=0,COUNTIFS($A$4:$A33,"&gt;="&amp;$A34-1,$A$4:$A33,"&lt;="&amp;$A34,$B$4:$B33,$B34)&gt;0,MIN(AM$1,IF($A34=$A33,AM33,1))-R34&lt;0),-1,MIN(1,IF($A34=$A33,AM33,1)-R34+$D$3))</f>
        <v>1</v>
      </c>
      <c r="AN34">
        <f>IF(OR($J34=0,COUNTIFS($A$4:$A33,"&gt;="&amp;$A34-1,$A$4:$A33,"&lt;="&amp;$A34,$B$4:$B33,$B34)&gt;0,MIN(AN$1,IF($A34=$A33,AN33,1))-S34&lt;0),-1,MIN(1,IF($A34=$A33,AN33,1)-S34+$D$3))</f>
        <v>1</v>
      </c>
      <c r="AO34">
        <f>IF(OR($J34=0,COUNTIFS($A$4:$A33,"&gt;="&amp;$A34-1,$A$4:$A33,"&lt;="&amp;$A34,$B$4:$B33,$B34)&gt;0,MIN(AO$1,IF($A34=$A33,AO33,1))-T34&lt;0),-1,MIN(1,IF($A34=$A33,AO33,1)-T34+$D$3))</f>
        <v>1</v>
      </c>
      <c r="AP34">
        <f>IF(OR($J34=0,COUNTIFS($A$4:$A33,"&gt;="&amp;$A34-1,$A$4:$A33,"&lt;="&amp;$A34,$B$4:$B33,$B34)&gt;0,MIN(AP$1,IF($A34=$A33,AP33,1))-U34&lt;0),-1,MIN(1,IF($A34=$A33,AP33,1)-U34+$D$3))</f>
        <v>0.4</v>
      </c>
      <c r="AQ34">
        <f>IF(OR($J34=0,COUNTIFS($A$4:$A33,"&gt;="&amp;$A34-1,$A$4:$A33,"&lt;="&amp;$A34,$B$4:$B33,$B34)&gt;0,MIN(AQ$1,IF($A34=$A33,AQ33,1))-V34&lt;0),-1,MIN(1,IF($A34=$A33,AQ33,1)-V34+$D$3))</f>
        <v>1</v>
      </c>
      <c r="AR34">
        <f>IF(OR($J34=0,COUNTIFS($A$4:$A33,"&gt;="&amp;$A34-1,$A$4:$A33,"&lt;="&amp;$A34,$B$4:$B33,$B34)&gt;0,MIN(AR$1,IF($A34=$A33,AR33,1))-W34&lt;0),-1,MIN(1,IF($A34=$A33,AR33,1)-W34+$D$3))</f>
        <v>1</v>
      </c>
      <c r="AS34">
        <f>IF(OR($J34=0,COUNTIFS($A$4:$A33,"&gt;="&amp;$A34-1,$A$4:$A33,"&lt;="&amp;$A34,$B$4:$B33,$B34)&gt;0,MIN(AS$1,IF($A34=$A33,AS33,1))-X34&lt;0),-1,MIN(1,IF($A34=$A33,AS33,1)-X34+$D$3))</f>
        <v>1</v>
      </c>
      <c r="AT34">
        <f>IF(OR($J34=0,COUNTIFS($A$4:$A33,"&gt;="&amp;$A34-1,$A$4:$A33,"&lt;="&amp;$A34,$B$4:$B33,$B34)&gt;0,MIN(AT$1,IF($A34=$A33,AT33,1))-Y34&lt;0),-1,MIN(1,IF($A34=$A33,AT33,1)-Y34+$D$3))</f>
        <v>1</v>
      </c>
      <c r="AU34">
        <f>IF(OR($J34=0,COUNTIFS($A$4:$A33,"&gt;="&amp;$A34-1,$A$4:$A33,"&lt;="&amp;$A34,$B$4:$B33,$B34)&gt;0,MIN(AU$1,IF($A34=$A33,AU33,1))-Z34&lt;0),-1,MIN(1,IF($A34=$A33,AU33,1)-Z34+$D$3))</f>
        <v>1</v>
      </c>
      <c r="AV34">
        <f>IF(OR($J34=0,COUNTIFS($A$4:$A33,"&gt;="&amp;$A34-1,$A$4:$A33,"&lt;="&amp;$A34,$B$4:$B33,$B34)&gt;0,MIN(AV$1,IF($A34=$A33,AV33,1))-AA34&lt;0),-1,MIN(1,IF($A34=$A33,AV33,1)-AA34+$D$3))</f>
        <v>1</v>
      </c>
      <c r="AW34">
        <f>IF(OR($J34=0,COUNTIFS($A$4:$A33,"&gt;="&amp;$A34-1,$A$4:$A33,"&lt;="&amp;$A34,$B$4:$B33,$B34)&gt;0,MIN(AW$1,IF($A34=$A33,AW33,1))-AB34&lt;0),-1,MIN(1,IF($A34=$A33,AW33,1)-AB34+$D$3))</f>
        <v>1</v>
      </c>
      <c r="AX34">
        <f>IF(OR($J34=0,COUNTIFS($A$4:$A33,"&gt;="&amp;$A34-1,$A$4:$A33,"&lt;="&amp;$A34,$B$4:$B33,$B34)&gt;0,MIN(AX$1,IF($A34=$A33,AX33,1))-AC34&lt;0),-1,MIN(1,IF($A34=$A33,AX33,1)-AC34+$D$3))</f>
        <v>1</v>
      </c>
      <c r="AY34">
        <f>IF(OR($J34=0,COUNTIFS($A$4:$A33,"&gt;="&amp;$A34-1,$A$4:$A33,"&lt;="&amp;$A34,$B$4:$B33,$B34)&gt;0,MIN(AY$1,IF($A34=$A33,AY33,1))-AD34&lt;0),-1,MIN(1,IF($A34=$A33,AY33,1)-AD34+$D$3))</f>
        <v>0.8</v>
      </c>
      <c r="AZ34">
        <f>IF(OR($J34=0,COUNTIFS($A$4:$A33,"&gt;="&amp;$A34-1,$A$4:$A33,"&lt;="&amp;$A34,$B$4:$B33,$B34)&gt;0,MIN(AZ$1,IF($A34=$A33,AZ33,1))-AE34&lt;0),-1,MIN(1,IF($A34=$A33,AZ33,1)-AE34+$D$3))</f>
        <v>1</v>
      </c>
      <c r="BA34">
        <f>IF(OR($J34=0,COUNTIFS($A$4:$A33,"&gt;="&amp;$A34-1,$A$4:$A33,"&lt;="&amp;$A34,$B$4:$B33,$B34)&gt;0,MIN(BA$1,IF($A34=$A33,BA33,1))-AF34&lt;0),-1,MIN(1,IF($A34=$A33,BA33,1)-AF34+$D$3))</f>
        <v>0.9</v>
      </c>
      <c r="BB34">
        <f>IF(OR($J34=0,COUNTIFS($A$4:$A33,"&gt;="&amp;$A34-1,$A$4:$A33,"&lt;="&amp;$A34,$B$4:$B33,$B34)&gt;0,MIN(BB$1,IF($A34=$A33,BB33,1))-AG34&lt;0),-1,MIN(1,IF($A34=$A33,BB33,1)-AG34+$D$3))</f>
        <v>1</v>
      </c>
      <c r="BC34">
        <f>IF(OR($J34=0,COUNTIFS($A$4:$A33,"&gt;="&amp;$A34-1,$A$4:$A33,"&lt;="&amp;$A34,$B$4:$B33,$B34)&gt;0,MIN(BC$1,IF($A34=$A33,BC33,1))-AH34&lt;0),-1,MIN(1,IF($A34=$A33,BC33,1)-AH34+$D$3))</f>
        <v>1</v>
      </c>
      <c r="BD34">
        <f>IF(OR($J34=0,COUNTIFS($A$4:$A33,"&gt;="&amp;$A34-1,$A$4:$A33,"&lt;="&amp;$A34,$B$4:$B33,$B34)&gt;0,MIN(BD$1,IF($A34=$A33,BD33,1))-AI34&lt;0),-1,MIN(1,IF($A34=$A33,BD33,1)-AI34+$D$3))</f>
        <v>1</v>
      </c>
      <c r="BF34" s="44">
        <f t="shared" si="91"/>
        <v>6.654439733603186E-2</v>
      </c>
      <c r="BG34" s="44">
        <f t="shared" si="92"/>
        <v>0.22689841835573327</v>
      </c>
      <c r="BH34" s="44">
        <f t="shared" si="93"/>
        <v>0.26130675558108307</v>
      </c>
      <c r="BI34" s="44">
        <f t="shared" si="94"/>
        <v>0.24542737404710241</v>
      </c>
      <c r="BJ34" s="44">
        <f t="shared" si="95"/>
        <v>0.36873510499901502</v>
      </c>
      <c r="BK34" s="44">
        <f t="shared" si="96"/>
        <v>0.1157685760953624</v>
      </c>
      <c r="BL34" s="44">
        <f t="shared" si="97"/>
        <v>8.2641061392911108E-2</v>
      </c>
      <c r="BM34" s="44">
        <f t="shared" si="98"/>
        <v>9.2319406586155173E-2</v>
      </c>
      <c r="BN34" s="44">
        <f t="shared" si="99"/>
        <v>0.10577876897520498</v>
      </c>
      <c r="BO34" s="44">
        <f t="shared" si="100"/>
        <v>3.466142121513828E-2</v>
      </c>
      <c r="BP34" s="44">
        <f t="shared" si="101"/>
        <v>0.27511862047554653</v>
      </c>
      <c r="BQ34" s="44">
        <f t="shared" si="102"/>
        <v>8.4410260380041957E-2</v>
      </c>
      <c r="BR34" s="44">
        <f t="shared" si="103"/>
        <v>0.28796896484639017</v>
      </c>
      <c r="BS34" s="44">
        <f t="shared" si="104"/>
        <v>8.3235204376368846E-2</v>
      </c>
      <c r="BT34" s="44">
        <f t="shared" si="105"/>
        <v>0.46089010302824024</v>
      </c>
      <c r="BU34" s="44">
        <f t="shared" si="106"/>
        <v>0.42168338338020206</v>
      </c>
      <c r="BV34" s="44">
        <f t="shared" si="107"/>
        <v>0.4495287196761753</v>
      </c>
      <c r="BW34" s="44">
        <f t="shared" si="108"/>
        <v>0.16488116797723143</v>
      </c>
      <c r="BX34" s="44">
        <f t="shared" si="109"/>
        <v>0.1937198556564845</v>
      </c>
      <c r="BY34" s="44">
        <f t="shared" si="110"/>
        <v>0.16095244946388831</v>
      </c>
      <c r="CA34" s="44">
        <f t="shared" si="111"/>
        <v>-0.63406285432708742</v>
      </c>
      <c r="CB34" s="44">
        <f t="shared" si="112"/>
        <v>-0.16816879261812989</v>
      </c>
      <c r="CC34" s="44">
        <f t="shared" si="113"/>
        <v>0.43696317211388269</v>
      </c>
      <c r="CD34" s="44">
        <f t="shared" si="114"/>
        <v>0.3496401849621209</v>
      </c>
      <c r="CE34" s="44">
        <f t="shared" si="115"/>
        <v>1.0277270098541935</v>
      </c>
      <c r="CF34" s="44">
        <f t="shared" si="116"/>
        <v>-0.68168603225131774</v>
      </c>
      <c r="CG34" s="44">
        <f t="shared" si="117"/>
        <v>-0.54554499954683688</v>
      </c>
      <c r="CH34" s="44">
        <f t="shared" si="118"/>
        <v>-0.66154826462941374</v>
      </c>
      <c r="CI34" s="44">
        <f t="shared" si="119"/>
        <v>-0.41830744072842507</v>
      </c>
      <c r="CJ34" s="44">
        <f t="shared" si="120"/>
        <v>-0.80939189395038258</v>
      </c>
      <c r="CK34" s="44">
        <f t="shared" si="121"/>
        <v>0.51291658995576483</v>
      </c>
      <c r="CL34" s="44">
        <f t="shared" si="122"/>
        <v>-0.53581592161697322</v>
      </c>
      <c r="CM34" s="44">
        <f t="shared" si="123"/>
        <v>5.5721646067733666E-2</v>
      </c>
      <c r="CN34" s="44">
        <f t="shared" si="124"/>
        <v>-0.54227772241770156</v>
      </c>
      <c r="CO34" s="44">
        <f t="shared" si="125"/>
        <v>1.5345005067725821</v>
      </c>
      <c r="CP34" s="44">
        <f t="shared" si="126"/>
        <v>1.318897155422782</v>
      </c>
      <c r="CQ34" s="44">
        <f t="shared" si="127"/>
        <v>0.64801509129431345</v>
      </c>
      <c r="CR34" s="44">
        <f t="shared" si="128"/>
        <v>-9.3294906855609483E-2</v>
      </c>
      <c r="CS34" s="44">
        <f t="shared" si="129"/>
        <v>6.5293155802886194E-2</v>
      </c>
      <c r="CT34" s="44">
        <f t="shared" si="130"/>
        <v>-0.11489949111031805</v>
      </c>
      <c r="CV34" s="44">
        <f t="shared" si="131"/>
        <v>0.67887437120353622</v>
      </c>
    </row>
    <row r="35" spans="1:100" x14ac:dyDescent="0.25">
      <c r="A35" s="97">
        <v>45054</v>
      </c>
      <c r="B35" s="86">
        <v>25</v>
      </c>
      <c r="C35" s="43" t="str" cm="1">
        <f t="array" ref="C35">IF(B35="","",INDEX(UWS!$B$10:$B$41,B35))</f>
        <v>Cable reverse fly</v>
      </c>
      <c r="D35" s="40">
        <f t="shared" si="46"/>
        <v>0.4</v>
      </c>
      <c r="E35" s="69">
        <f t="shared" si="47"/>
        <v>1.2074265894881839</v>
      </c>
      <c r="F35" s="48" cm="1">
        <f t="array" ref="F35">0.1+IFERROR(INDEX($F$5:$F34,SUMPRODUCT(MAX(ROW($C$5:$C34)*($C35=$C$5:$C34))-ROW($A$4)))*0.9^($A35-INDEX($A$5:A34,SUMPRODUCT(MAX(ROW($C$5:$C34)*($C35=$C$5:$C34))-ROW($A$4)))),0)</f>
        <v>0.1</v>
      </c>
      <c r="G35" s="55">
        <f>INDEX(UWS!$AB$10:$AB$41,MATCH(C35,UWS!$B$10:$B$41,0))</f>
        <v>2.4</v>
      </c>
      <c r="H35" s="48">
        <f>INDEX(UWS!$C$10:$C$41,MATCH(C35,UWS!$B$10:$B$41,0))</f>
        <v>1</v>
      </c>
      <c r="I35" s="27">
        <f t="shared" si="90"/>
        <v>3</v>
      </c>
      <c r="J35" s="27">
        <f>INDEX(UWS!$E$10:$E$41,MATCH(C35,UWS!$B$10:$B$41,0))</f>
        <v>1</v>
      </c>
      <c r="L35" s="108" t="str" cm="1">
        <f t="array" ref="L35">IF(K35="","",INDEX(UWS!$B$10:$B$41,K35))</f>
        <v/>
      </c>
      <c r="N35" s="108" t="str" cm="1">
        <f t="array" ref="N35">IF(M35="","",INDEX(UWS!$B$10:$B$41,M35))</f>
        <v/>
      </c>
      <c r="P35">
        <f>IFERROR(INDEX(UWS!$G$10:$Z$41,MATCH($C35,UWS!$B$10:$B$41,0),MATCH(P$4,UWS!$G$3:$Z$3,0)),0)</f>
        <v>0</v>
      </c>
      <c r="Q35">
        <f>IFERROR(INDEX(UWS!$G$10:$Z$41,MATCH($C35,UWS!$B$10:$B$41,0),MATCH(Q$4,UWS!$G$3:$Z$3,0)),0)</f>
        <v>0</v>
      </c>
      <c r="R35">
        <f>IFERROR(INDEX(UWS!$G$10:$Z$41,MATCH($C35,UWS!$B$10:$B$41,0),MATCH(R$4,UWS!$G$3:$Z$3,0)),0)</f>
        <v>0.7</v>
      </c>
      <c r="S35">
        <f>IFERROR(INDEX(UWS!$G$10:$Z$41,MATCH($C35,UWS!$B$10:$B$41,0),MATCH(S$4,UWS!$G$3:$Z$3,0)),0)</f>
        <v>0.7</v>
      </c>
      <c r="T35">
        <f>IFERROR(INDEX(UWS!$G$10:$Z$41,MATCH($C35,UWS!$B$10:$B$41,0),MATCH(T$4,UWS!$G$3:$Z$3,0)),0)</f>
        <v>0</v>
      </c>
      <c r="U35">
        <f>IFERROR(INDEX(UWS!$G$10:$Z$41,MATCH($C35,UWS!$B$10:$B$41,0),MATCH(U$4,UWS!$G$3:$Z$3,0)),0)</f>
        <v>0</v>
      </c>
      <c r="V35">
        <f>IFERROR(INDEX(UWS!$G$10:$Z$41,MATCH($C35,UWS!$B$10:$B$41,0),MATCH(V$4,UWS!$G$3:$Z$3,0)),0)</f>
        <v>0</v>
      </c>
      <c r="W35">
        <f>IFERROR(INDEX(UWS!$G$10:$Z$41,MATCH($C35,UWS!$B$10:$B$41,0),MATCH(W$4,UWS!$G$3:$Z$3,0)),0)</f>
        <v>1</v>
      </c>
      <c r="X35">
        <f>IFERROR(INDEX(UWS!$G$10:$Z$41,MATCH($C35,UWS!$B$10:$B$41,0),MATCH(X$4,UWS!$G$3:$Z$3,0)),0)</f>
        <v>0</v>
      </c>
      <c r="Y35">
        <f>IFERROR(INDEX(UWS!$G$10:$Z$41,MATCH($C35,UWS!$B$10:$B$41,0),MATCH(Y$4,UWS!$G$3:$Z$3,0)),0)</f>
        <v>0</v>
      </c>
      <c r="Z35">
        <f>IFERROR(INDEX(UWS!$G$10:$Z$41,MATCH($C35,UWS!$B$10:$B$41,0),MATCH(Z$4,UWS!$G$3:$Z$3,0)),0)</f>
        <v>0</v>
      </c>
      <c r="AA35">
        <f>IFERROR(INDEX(UWS!$G$10:$Z$41,MATCH($C35,UWS!$B$10:$B$41,0),MATCH(AA$4,UWS!$G$3:$Z$3,0)),0)</f>
        <v>0</v>
      </c>
      <c r="AB35">
        <f>IFERROR(INDEX(UWS!$G$10:$Z$41,MATCH($C35,UWS!$B$10:$B$41,0),MATCH(AB$4,UWS!$G$3:$Z$3,0)),0)</f>
        <v>0</v>
      </c>
      <c r="AC35">
        <f>IFERROR(INDEX(UWS!$G$10:$Z$41,MATCH($C35,UWS!$B$10:$B$41,0),MATCH(AC$4,UWS!$G$3:$Z$3,0)),0)</f>
        <v>0</v>
      </c>
      <c r="AD35">
        <f>IFERROR(INDEX(UWS!$G$10:$Z$41,MATCH($C35,UWS!$B$10:$B$41,0),MATCH(AD$4,UWS!$G$3:$Z$3,0)),0)</f>
        <v>0</v>
      </c>
      <c r="AE35">
        <f>IFERROR(INDEX(UWS!$G$10:$Z$41,MATCH($C35,UWS!$B$10:$B$41,0),MATCH(AE$4,UWS!$G$3:$Z$3,0)),0)</f>
        <v>0</v>
      </c>
      <c r="AF35">
        <f>IFERROR(INDEX(UWS!$G$10:$Z$41,MATCH($C35,UWS!$B$10:$B$41,0),MATCH(AF$4,UWS!$G$3:$Z$3,0)),0)</f>
        <v>0</v>
      </c>
      <c r="AG35">
        <f>IFERROR(INDEX(UWS!$G$10:$Z$41,MATCH($C35,UWS!$B$10:$B$41,0),MATCH(AG$4,UWS!$G$3:$Z$3,0)),0)</f>
        <v>0</v>
      </c>
      <c r="AH35">
        <f>IFERROR(INDEX(UWS!$G$10:$Z$41,MATCH($C35,UWS!$B$10:$B$41,0),MATCH(AH$4,UWS!$G$3:$Z$3,0)),0)</f>
        <v>0</v>
      </c>
      <c r="AI35">
        <f>IFERROR(INDEX(UWS!$G$10:$Z$41,MATCH($C35,UWS!$B$10:$B$41,0),MATCH(AI$4,UWS!$G$3:$Z$3,0)),0)</f>
        <v>0</v>
      </c>
      <c r="AK35">
        <f>IF(OR($J35=0,COUNTIFS($A$4:$A34,"&gt;="&amp;$A35-1,$A$4:$A34,"&lt;="&amp;$A35,$B$4:$B34,$B35)&gt;0,MIN(AK$1,IF($A35=$A34,AK34,1))-P35&lt;0),-1,MIN(1,IF($A35=$A34,AK34,1)-P35+$D$3))</f>
        <v>1</v>
      </c>
      <c r="AL35">
        <f>IF(OR($J35=0,COUNTIFS($A$4:$A34,"&gt;="&amp;$A35-1,$A$4:$A34,"&lt;="&amp;$A35,$B$4:$B34,$B35)&gt;0,MIN(AL$1,IF($A35=$A34,AL34,1))-Q35&lt;0),-1,MIN(1,IF($A35=$A34,AL34,1)-Q35+$D$3))</f>
        <v>1</v>
      </c>
      <c r="AM35">
        <f>IF(OR($J35=0,COUNTIFS($A$4:$A34,"&gt;="&amp;$A35-1,$A$4:$A34,"&lt;="&amp;$A35,$B$4:$B34,$B35)&gt;0,MIN(AM$1,IF($A35=$A34,AM34,1))-R35&lt;0),-1,MIN(1,IF($A35=$A34,AM34,1)-R35+$D$3))</f>
        <v>0.70000000000000007</v>
      </c>
      <c r="AN35">
        <f>IF(OR($J35=0,COUNTIFS($A$4:$A34,"&gt;="&amp;$A35-1,$A$4:$A34,"&lt;="&amp;$A35,$B$4:$B34,$B35)&gt;0,MIN(AN$1,IF($A35=$A34,AN34,1))-S35&lt;0),-1,MIN(1,IF($A35=$A34,AN34,1)-S35+$D$3))</f>
        <v>0.70000000000000007</v>
      </c>
      <c r="AO35">
        <f>IF(OR($J35=0,COUNTIFS($A$4:$A34,"&gt;="&amp;$A35-1,$A$4:$A34,"&lt;="&amp;$A35,$B$4:$B34,$B35)&gt;0,MIN(AO$1,IF($A35=$A34,AO34,1))-T35&lt;0),-1,MIN(1,IF($A35=$A34,AO34,1)-T35+$D$3))</f>
        <v>1</v>
      </c>
      <c r="AP35">
        <f>IF(OR($J35=0,COUNTIFS($A$4:$A34,"&gt;="&amp;$A35-1,$A$4:$A34,"&lt;="&amp;$A35,$B$4:$B34,$B35)&gt;0,MIN(AP$1,IF($A35=$A34,AP34,1))-U35&lt;0),-1,MIN(1,IF($A35=$A34,AP34,1)-U35+$D$3))</f>
        <v>0.8</v>
      </c>
      <c r="AQ35">
        <f>IF(OR($J35=0,COUNTIFS($A$4:$A34,"&gt;="&amp;$A35-1,$A$4:$A34,"&lt;="&amp;$A35,$B$4:$B34,$B35)&gt;0,MIN(AQ$1,IF($A35=$A34,AQ34,1))-V35&lt;0),-1,MIN(1,IF($A35=$A34,AQ34,1)-V35+$D$3))</f>
        <v>1</v>
      </c>
      <c r="AR35">
        <f>IF(OR($J35=0,COUNTIFS($A$4:$A34,"&gt;="&amp;$A35-1,$A$4:$A34,"&lt;="&amp;$A35,$B$4:$B34,$B35)&gt;0,MIN(AR$1,IF($A35=$A34,AR34,1))-W35&lt;0),-1,MIN(1,IF($A35=$A34,AR34,1)-W35+$D$3))</f>
        <v>0.4</v>
      </c>
      <c r="AS35">
        <f>IF(OR($J35=0,COUNTIFS($A$4:$A34,"&gt;="&amp;$A35-1,$A$4:$A34,"&lt;="&amp;$A35,$B$4:$B34,$B35)&gt;0,MIN(AS$1,IF($A35=$A34,AS34,1))-X35&lt;0),-1,MIN(1,IF($A35=$A34,AS34,1)-X35+$D$3))</f>
        <v>1</v>
      </c>
      <c r="AT35">
        <f>IF(OR($J35=0,COUNTIFS($A$4:$A34,"&gt;="&amp;$A35-1,$A$4:$A34,"&lt;="&amp;$A35,$B$4:$B34,$B35)&gt;0,MIN(AT$1,IF($A35=$A34,AT34,1))-Y35&lt;0),-1,MIN(1,IF($A35=$A34,AT34,1)-Y35+$D$3))</f>
        <v>1</v>
      </c>
      <c r="AU35">
        <f>IF(OR($J35=0,COUNTIFS($A$4:$A34,"&gt;="&amp;$A35-1,$A$4:$A34,"&lt;="&amp;$A35,$B$4:$B34,$B35)&gt;0,MIN(AU$1,IF($A35=$A34,AU34,1))-Z35&lt;0),-1,MIN(1,IF($A35=$A34,AU34,1)-Z35+$D$3))</f>
        <v>1</v>
      </c>
      <c r="AV35">
        <f>IF(OR($J35=0,COUNTIFS($A$4:$A34,"&gt;="&amp;$A35-1,$A$4:$A34,"&lt;="&amp;$A35,$B$4:$B34,$B35)&gt;0,MIN(AV$1,IF($A35=$A34,AV34,1))-AA35&lt;0),-1,MIN(1,IF($A35=$A34,AV34,1)-AA35+$D$3))</f>
        <v>1</v>
      </c>
      <c r="AW35">
        <f>IF(OR($J35=0,COUNTIFS($A$4:$A34,"&gt;="&amp;$A35-1,$A$4:$A34,"&lt;="&amp;$A35,$B$4:$B34,$B35)&gt;0,MIN(AW$1,IF($A35=$A34,AW34,1))-AB35&lt;0),-1,MIN(1,IF($A35=$A34,AW34,1)-AB35+$D$3))</f>
        <v>1</v>
      </c>
      <c r="AX35">
        <f>IF(OR($J35=0,COUNTIFS($A$4:$A34,"&gt;="&amp;$A35-1,$A$4:$A34,"&lt;="&amp;$A35,$B$4:$B34,$B35)&gt;0,MIN(AX$1,IF($A35=$A34,AX34,1))-AC35&lt;0),-1,MIN(1,IF($A35=$A34,AX34,1)-AC35+$D$3))</f>
        <v>1</v>
      </c>
      <c r="AY35">
        <f>IF(OR($J35=0,COUNTIFS($A$4:$A34,"&gt;="&amp;$A35-1,$A$4:$A34,"&lt;="&amp;$A35,$B$4:$B34,$B35)&gt;0,MIN(AY$1,IF($A35=$A34,AY34,1))-AD35&lt;0),-1,MIN(1,IF($A35=$A34,AY34,1)-AD35+$D$3))</f>
        <v>1</v>
      </c>
      <c r="AZ35">
        <f>IF(OR($J35=0,COUNTIFS($A$4:$A34,"&gt;="&amp;$A35-1,$A$4:$A34,"&lt;="&amp;$A35,$B$4:$B34,$B35)&gt;0,MIN(AZ$1,IF($A35=$A34,AZ34,1))-AE35&lt;0),-1,MIN(1,IF($A35=$A34,AZ34,1)-AE35+$D$3))</f>
        <v>1</v>
      </c>
      <c r="BA35">
        <f>IF(OR($J35=0,COUNTIFS($A$4:$A34,"&gt;="&amp;$A35-1,$A$4:$A34,"&lt;="&amp;$A35,$B$4:$B34,$B35)&gt;0,MIN(BA$1,IF($A35=$A34,BA34,1))-AF35&lt;0),-1,MIN(1,IF($A35=$A34,BA34,1)-AF35+$D$3))</f>
        <v>1</v>
      </c>
      <c r="BB35">
        <f>IF(OR($J35=0,COUNTIFS($A$4:$A34,"&gt;="&amp;$A35-1,$A$4:$A34,"&lt;="&amp;$A35,$B$4:$B34,$B35)&gt;0,MIN(BB$1,IF($A35=$A34,BB34,1))-AG35&lt;0),-1,MIN(1,IF($A35=$A34,BB34,1)-AG35+$D$3))</f>
        <v>1</v>
      </c>
      <c r="BC35">
        <f>IF(OR($J35=0,COUNTIFS($A$4:$A34,"&gt;="&amp;$A35-1,$A$4:$A34,"&lt;="&amp;$A35,$B$4:$B34,$B35)&gt;0,MIN(BC$1,IF($A35=$A34,BC34,1))-AH35&lt;0),-1,MIN(1,IF($A35=$A34,BC34,1)-AH35+$D$3))</f>
        <v>1</v>
      </c>
      <c r="BD35">
        <f>IF(OR($J35=0,COUNTIFS($A$4:$A34,"&gt;="&amp;$A35-1,$A$4:$A34,"&lt;="&amp;$A35,$B$4:$B34,$B35)&gt;0,MIN(BD$1,IF($A35=$A34,BD34,1))-AI35&lt;0),-1,MIN(1,IF($A35=$A34,BD34,1)-AI35+$D$3))</f>
        <v>1</v>
      </c>
      <c r="BF35" s="44">
        <f t="shared" si="91"/>
        <v>6.3217177469230265E-2</v>
      </c>
      <c r="BG35" s="44">
        <f t="shared" si="92"/>
        <v>0.21555349743794661</v>
      </c>
      <c r="BH35" s="44">
        <f t="shared" si="93"/>
        <v>0.28324141780202888</v>
      </c>
      <c r="BI35" s="44">
        <f t="shared" si="94"/>
        <v>0.26815600534474726</v>
      </c>
      <c r="BJ35" s="44">
        <f t="shared" si="95"/>
        <v>0.35029834974906426</v>
      </c>
      <c r="BK35" s="44">
        <f t="shared" si="96"/>
        <v>0.10998014729059427</v>
      </c>
      <c r="BL35" s="44">
        <f t="shared" si="97"/>
        <v>7.8509008323265544E-2</v>
      </c>
      <c r="BM35" s="44">
        <f t="shared" si="98"/>
        <v>0.13770343625684742</v>
      </c>
      <c r="BN35" s="44">
        <f t="shared" si="99"/>
        <v>0.10048983052644472</v>
      </c>
      <c r="BO35" s="44">
        <f t="shared" si="100"/>
        <v>3.2928350154381364E-2</v>
      </c>
      <c r="BP35" s="44">
        <f t="shared" si="101"/>
        <v>0.26136268945176921</v>
      </c>
      <c r="BQ35" s="44">
        <f t="shared" si="102"/>
        <v>8.0189747361039856E-2</v>
      </c>
      <c r="BR35" s="44">
        <f t="shared" si="103"/>
        <v>0.27357051660407067</v>
      </c>
      <c r="BS35" s="44">
        <f t="shared" si="104"/>
        <v>7.9073444157550396E-2</v>
      </c>
      <c r="BT35" s="44">
        <f t="shared" si="105"/>
        <v>0.4378455978768282</v>
      </c>
      <c r="BU35" s="44">
        <f t="shared" si="106"/>
        <v>0.40059921421119193</v>
      </c>
      <c r="BV35" s="44">
        <f t="shared" si="107"/>
        <v>0.42705228369236653</v>
      </c>
      <c r="BW35" s="44">
        <f t="shared" si="108"/>
        <v>0.15663710957836985</v>
      </c>
      <c r="BX35" s="44">
        <f t="shared" si="109"/>
        <v>0.18403386287366028</v>
      </c>
      <c r="BY35" s="44">
        <f t="shared" si="110"/>
        <v>0.15290482699069388</v>
      </c>
      <c r="CA35" s="44">
        <f t="shared" si="111"/>
        <v>-0.6447906188443735</v>
      </c>
      <c r="CB35" s="44">
        <f t="shared" si="112"/>
        <v>-0.19255464526097343</v>
      </c>
      <c r="CC35" s="44">
        <f t="shared" si="113"/>
        <v>0.59149795613812239</v>
      </c>
      <c r="CD35" s="44">
        <f t="shared" si="114"/>
        <v>0.50673491802183657</v>
      </c>
      <c r="CE35" s="44">
        <f t="shared" si="115"/>
        <v>0.96828243549414816</v>
      </c>
      <c r="CF35" s="44">
        <f t="shared" si="116"/>
        <v>-0.69101768204131497</v>
      </c>
      <c r="CG35" s="44">
        <f t="shared" si="117"/>
        <v>-0.5588677416795047</v>
      </c>
      <c r="CH35" s="44">
        <f t="shared" si="118"/>
        <v>-0.4841744566487407</v>
      </c>
      <c r="CI35" s="44">
        <f t="shared" si="119"/>
        <v>-0.43536026215175405</v>
      </c>
      <c r="CJ35" s="44">
        <f t="shared" si="120"/>
        <v>-0.8149797357449784</v>
      </c>
      <c r="CK35" s="44">
        <f t="shared" si="121"/>
        <v>0.46856412914860779</v>
      </c>
      <c r="CL35" s="44">
        <f t="shared" si="122"/>
        <v>-0.5494238800995962</v>
      </c>
      <c r="CM35" s="44">
        <f t="shared" si="123"/>
        <v>2.4772251209253415E-2</v>
      </c>
      <c r="CN35" s="44">
        <f t="shared" si="124"/>
        <v>-0.55569624761057113</v>
      </c>
      <c r="CO35" s="44">
        <f t="shared" si="125"/>
        <v>1.4601994282209629</v>
      </c>
      <c r="CP35" s="44">
        <f t="shared" si="126"/>
        <v>1.2509166759406152</v>
      </c>
      <c r="CQ35" s="44">
        <f t="shared" si="127"/>
        <v>0.59970210085485265</v>
      </c>
      <c r="CR35" s="44">
        <f t="shared" si="128"/>
        <v>-0.11987575233930692</v>
      </c>
      <c r="CS35" s="44">
        <f t="shared" si="129"/>
        <v>3.4063163842614541E-2</v>
      </c>
      <c r="CT35" s="44">
        <f t="shared" si="130"/>
        <v>-0.14084697948578262</v>
      </c>
      <c r="CV35" s="44">
        <f t="shared" si="131"/>
        <v>0.66324445128988829</v>
      </c>
    </row>
    <row r="36" spans="1:100" x14ac:dyDescent="0.25">
      <c r="A36" s="97">
        <v>45054</v>
      </c>
      <c r="B36" s="86">
        <v>10</v>
      </c>
      <c r="C36" s="43" t="str" cm="1">
        <f t="array" ref="C36">IF(B36="","",INDEX(UWS!$B$10:$B$41,B36))</f>
        <v>Barbell hip thrust</v>
      </c>
      <c r="D36" s="40">
        <f t="shared" si="46"/>
        <v>0.4</v>
      </c>
      <c r="E36" s="69">
        <f t="shared" si="47"/>
        <v>1.4799887561044811</v>
      </c>
      <c r="F36" s="48" cm="1">
        <f t="array" ref="F36">0.1+IFERROR(INDEX($F$5:$F35,SUMPRODUCT(MAX(ROW($C$5:$C35)*($C36=$C$5:$C35))-ROW($A$4)))*0.9^($A36-INDEX($A$5:A35,SUMPRODUCT(MAX(ROW($C$5:$C35)*($C36=$C$5:$C35))-ROW($A$4)))),0)</f>
        <v>0.1</v>
      </c>
      <c r="G36" s="55">
        <f>INDEX(UWS!$AB$10:$AB$41,MATCH(C36,UWS!$B$10:$B$41,0))</f>
        <v>1.8</v>
      </c>
      <c r="H36" s="48">
        <f>INDEX(UWS!$C$10:$C$41,MATCH(C36,UWS!$B$10:$B$41,0))</f>
        <v>1</v>
      </c>
      <c r="I36" s="27">
        <f t="shared" si="90"/>
        <v>4</v>
      </c>
      <c r="J36" s="27">
        <f>INDEX(UWS!$E$10:$E$41,MATCH(C36,UWS!$B$10:$B$41,0))</f>
        <v>1</v>
      </c>
      <c r="L36" s="108" t="str" cm="1">
        <f t="array" ref="L36">IF(K36="","",INDEX(UWS!$B$10:$B$41,K36))</f>
        <v/>
      </c>
      <c r="N36" s="108" t="str" cm="1">
        <f t="array" ref="N36">IF(M36="","",INDEX(UWS!$B$10:$B$41,M36))</f>
        <v/>
      </c>
      <c r="P36">
        <f>IFERROR(INDEX(UWS!$G$10:$Z$41,MATCH($C36,UWS!$B$10:$B$41,0),MATCH(P$4,UWS!$G$3:$Z$3,0)),0)</f>
        <v>0</v>
      </c>
      <c r="Q36">
        <f>IFERROR(INDEX(UWS!$G$10:$Z$41,MATCH($C36,UWS!$B$10:$B$41,0),MATCH(Q$4,UWS!$G$3:$Z$3,0)),0)</f>
        <v>0</v>
      </c>
      <c r="R36">
        <f>IFERROR(INDEX(UWS!$G$10:$Z$41,MATCH($C36,UWS!$B$10:$B$41,0),MATCH(R$4,UWS!$G$3:$Z$3,0)),0)</f>
        <v>0</v>
      </c>
      <c r="S36">
        <f>IFERROR(INDEX(UWS!$G$10:$Z$41,MATCH($C36,UWS!$B$10:$B$41,0),MATCH(S$4,UWS!$G$3:$Z$3,0)),0)</f>
        <v>0</v>
      </c>
      <c r="T36">
        <f>IFERROR(INDEX(UWS!$G$10:$Z$41,MATCH($C36,UWS!$B$10:$B$41,0),MATCH(T$4,UWS!$G$3:$Z$3,0)),0)</f>
        <v>0.5</v>
      </c>
      <c r="U36">
        <f>IFERROR(INDEX(UWS!$G$10:$Z$41,MATCH($C36,UWS!$B$10:$B$41,0),MATCH(U$4,UWS!$G$3:$Z$3,0)),0)</f>
        <v>0</v>
      </c>
      <c r="V36">
        <f>IFERROR(INDEX(UWS!$G$10:$Z$41,MATCH($C36,UWS!$B$10:$B$41,0),MATCH(V$4,UWS!$G$3:$Z$3,0)),0)</f>
        <v>0</v>
      </c>
      <c r="W36">
        <f>IFERROR(INDEX(UWS!$G$10:$Z$41,MATCH($C36,UWS!$B$10:$B$41,0),MATCH(W$4,UWS!$G$3:$Z$3,0)),0)</f>
        <v>0</v>
      </c>
      <c r="X36">
        <f>IFERROR(INDEX(UWS!$G$10:$Z$41,MATCH($C36,UWS!$B$10:$B$41,0),MATCH(X$4,UWS!$G$3:$Z$3,0)),0)</f>
        <v>0</v>
      </c>
      <c r="Y36">
        <f>IFERROR(INDEX(UWS!$G$10:$Z$41,MATCH($C36,UWS!$B$10:$B$41,0),MATCH(Y$4,UWS!$G$3:$Z$3,0)),0)</f>
        <v>0</v>
      </c>
      <c r="Z36">
        <f>IFERROR(INDEX(UWS!$G$10:$Z$41,MATCH($C36,UWS!$B$10:$B$41,0),MATCH(Z$4,UWS!$G$3:$Z$3,0)),0)</f>
        <v>0</v>
      </c>
      <c r="AA36">
        <f>IFERROR(INDEX(UWS!$G$10:$Z$41,MATCH($C36,UWS!$B$10:$B$41,0),MATCH(AA$4,UWS!$G$3:$Z$3,0)),0)</f>
        <v>0</v>
      </c>
      <c r="AB36">
        <f>IFERROR(INDEX(UWS!$G$10:$Z$41,MATCH($C36,UWS!$B$10:$B$41,0),MATCH(AB$4,UWS!$G$3:$Z$3,0)),0)</f>
        <v>0</v>
      </c>
      <c r="AC36">
        <f>IFERROR(INDEX(UWS!$G$10:$Z$41,MATCH($C36,UWS!$B$10:$B$41,0),MATCH(AC$4,UWS!$G$3:$Z$3,0)),0)</f>
        <v>0</v>
      </c>
      <c r="AD36">
        <f>IFERROR(INDEX(UWS!$G$10:$Z$41,MATCH($C36,UWS!$B$10:$B$41,0),MATCH(AD$4,UWS!$G$3:$Z$3,0)),0)</f>
        <v>0</v>
      </c>
      <c r="AE36">
        <f>IFERROR(INDEX(UWS!$G$10:$Z$41,MATCH($C36,UWS!$B$10:$B$41,0),MATCH(AE$4,UWS!$G$3:$Z$3,0)),0)</f>
        <v>0.3</v>
      </c>
      <c r="AF36">
        <f>IFERROR(INDEX(UWS!$G$10:$Z$41,MATCH($C36,UWS!$B$10:$B$41,0),MATCH(AF$4,UWS!$G$3:$Z$3,0)),0)</f>
        <v>1</v>
      </c>
      <c r="AG36">
        <f>IFERROR(INDEX(UWS!$G$10:$Z$41,MATCH($C36,UWS!$B$10:$B$41,0),MATCH(AG$4,UWS!$G$3:$Z$3,0)),0)</f>
        <v>0</v>
      </c>
      <c r="AH36">
        <f>IFERROR(INDEX(UWS!$G$10:$Z$41,MATCH($C36,UWS!$B$10:$B$41,0),MATCH(AH$4,UWS!$G$3:$Z$3,0)),0)</f>
        <v>0</v>
      </c>
      <c r="AI36">
        <f>IFERROR(INDEX(UWS!$G$10:$Z$41,MATCH($C36,UWS!$B$10:$B$41,0),MATCH(AI$4,UWS!$G$3:$Z$3,0)),0)</f>
        <v>0</v>
      </c>
      <c r="AK36">
        <f>IF(OR($J36=0,COUNTIFS($A$4:$A35,"&gt;="&amp;$A36-1,$A$4:$A35,"&lt;="&amp;$A36,$B$4:$B35,$B36)&gt;0,MIN(AK$1,IF($A36=$A35,AK35,1))-P36&lt;0),-1,MIN(1,IF($A36=$A35,AK35,1)-P36+$D$3))</f>
        <v>1</v>
      </c>
      <c r="AL36">
        <f>IF(OR($J36=0,COUNTIFS($A$4:$A35,"&gt;="&amp;$A36-1,$A$4:$A35,"&lt;="&amp;$A36,$B$4:$B35,$B36)&gt;0,MIN(AL$1,IF($A36=$A35,AL35,1))-Q36&lt;0),-1,MIN(1,IF($A36=$A35,AL35,1)-Q36+$D$3))</f>
        <v>1</v>
      </c>
      <c r="AM36">
        <f>IF(OR($J36=0,COUNTIFS($A$4:$A35,"&gt;="&amp;$A36-1,$A$4:$A35,"&lt;="&amp;$A36,$B$4:$B35,$B36)&gt;0,MIN(AM$1,IF($A36=$A35,AM35,1))-R36&lt;0),-1,MIN(1,IF($A36=$A35,AM35,1)-R36+$D$3))</f>
        <v>1</v>
      </c>
      <c r="AN36">
        <f>IF(OR($J36=0,COUNTIFS($A$4:$A35,"&gt;="&amp;$A36-1,$A$4:$A35,"&lt;="&amp;$A36,$B$4:$B35,$B36)&gt;0,MIN(AN$1,IF($A36=$A35,AN35,1))-S36&lt;0),-1,MIN(1,IF($A36=$A35,AN35,1)-S36+$D$3))</f>
        <v>1</v>
      </c>
      <c r="AO36">
        <f>IF(OR($J36=0,COUNTIFS($A$4:$A35,"&gt;="&amp;$A36-1,$A$4:$A35,"&lt;="&amp;$A36,$B$4:$B35,$B36)&gt;0,MIN(AO$1,IF($A36=$A35,AO35,1))-T36&lt;0),-1,MIN(1,IF($A36=$A35,AO35,1)-T36+$D$3))</f>
        <v>0.9</v>
      </c>
      <c r="AP36">
        <f>IF(OR($J36=0,COUNTIFS($A$4:$A35,"&gt;="&amp;$A36-1,$A$4:$A35,"&lt;="&amp;$A36,$B$4:$B35,$B36)&gt;0,MIN(AP$1,IF($A36=$A35,AP35,1))-U36&lt;0),-1,MIN(1,IF($A36=$A35,AP35,1)-U36+$D$3))</f>
        <v>1</v>
      </c>
      <c r="AQ36">
        <f>IF(OR($J36=0,COUNTIFS($A$4:$A35,"&gt;="&amp;$A36-1,$A$4:$A35,"&lt;="&amp;$A36,$B$4:$B35,$B36)&gt;0,MIN(AQ$1,IF($A36=$A35,AQ35,1))-V36&lt;0),-1,MIN(1,IF($A36=$A35,AQ35,1)-V36+$D$3))</f>
        <v>1</v>
      </c>
      <c r="AR36">
        <f>IF(OR($J36=0,COUNTIFS($A$4:$A35,"&gt;="&amp;$A36-1,$A$4:$A35,"&lt;="&amp;$A36,$B$4:$B35,$B36)&gt;0,MIN(AR$1,IF($A36=$A35,AR35,1))-W36&lt;0),-1,MIN(1,IF($A36=$A35,AR35,1)-W36+$D$3))</f>
        <v>0.8</v>
      </c>
      <c r="AS36">
        <f>IF(OR($J36=0,COUNTIFS($A$4:$A35,"&gt;="&amp;$A36-1,$A$4:$A35,"&lt;="&amp;$A36,$B$4:$B35,$B36)&gt;0,MIN(AS$1,IF($A36=$A35,AS35,1))-X36&lt;0),-1,MIN(1,IF($A36=$A35,AS35,1)-X36+$D$3))</f>
        <v>1</v>
      </c>
      <c r="AT36">
        <f>IF(OR($J36=0,COUNTIFS($A$4:$A35,"&gt;="&amp;$A36-1,$A$4:$A35,"&lt;="&amp;$A36,$B$4:$B35,$B36)&gt;0,MIN(AT$1,IF($A36=$A35,AT35,1))-Y36&lt;0),-1,MIN(1,IF($A36=$A35,AT35,1)-Y36+$D$3))</f>
        <v>1</v>
      </c>
      <c r="AU36">
        <f>IF(OR($J36=0,COUNTIFS($A$4:$A35,"&gt;="&amp;$A36-1,$A$4:$A35,"&lt;="&amp;$A36,$B$4:$B35,$B36)&gt;0,MIN(AU$1,IF($A36=$A35,AU35,1))-Z36&lt;0),-1,MIN(1,IF($A36=$A35,AU35,1)-Z36+$D$3))</f>
        <v>1</v>
      </c>
      <c r="AV36">
        <f>IF(OR($J36=0,COUNTIFS($A$4:$A35,"&gt;="&amp;$A36-1,$A$4:$A35,"&lt;="&amp;$A36,$B$4:$B35,$B36)&gt;0,MIN(AV$1,IF($A36=$A35,AV35,1))-AA36&lt;0),-1,MIN(1,IF($A36=$A35,AV35,1)-AA36+$D$3))</f>
        <v>1</v>
      </c>
      <c r="AW36">
        <f>IF(OR($J36=0,COUNTIFS($A$4:$A35,"&gt;="&amp;$A36-1,$A$4:$A35,"&lt;="&amp;$A36,$B$4:$B35,$B36)&gt;0,MIN(AW$1,IF($A36=$A35,AW35,1))-AB36&lt;0),-1,MIN(1,IF($A36=$A35,AW35,1)-AB36+$D$3))</f>
        <v>1</v>
      </c>
      <c r="AX36">
        <f>IF(OR($J36=0,COUNTIFS($A$4:$A35,"&gt;="&amp;$A36-1,$A$4:$A35,"&lt;="&amp;$A36,$B$4:$B35,$B36)&gt;0,MIN(AX$1,IF($A36=$A35,AX35,1))-AC36&lt;0),-1,MIN(1,IF($A36=$A35,AX35,1)-AC36+$D$3))</f>
        <v>1</v>
      </c>
      <c r="AY36">
        <f>IF(OR($J36=0,COUNTIFS($A$4:$A35,"&gt;="&amp;$A36-1,$A$4:$A35,"&lt;="&amp;$A36,$B$4:$B35,$B36)&gt;0,MIN(AY$1,IF($A36=$A35,AY35,1))-AD36&lt;0),-1,MIN(1,IF($A36=$A35,AY35,1)-AD36+$D$3))</f>
        <v>1</v>
      </c>
      <c r="AZ36">
        <f>IF(OR($J36=0,COUNTIFS($A$4:$A35,"&gt;="&amp;$A36-1,$A$4:$A35,"&lt;="&amp;$A36,$B$4:$B35,$B36)&gt;0,MIN(AZ$1,IF($A36=$A35,AZ35,1))-AE36&lt;0),-1,MIN(1,IF($A36=$A35,AZ35,1)-AE36+$D$3))</f>
        <v>1</v>
      </c>
      <c r="BA36">
        <f>IF(OR($J36=0,COUNTIFS($A$4:$A35,"&gt;="&amp;$A36-1,$A$4:$A35,"&lt;="&amp;$A36,$B$4:$B35,$B36)&gt;0,MIN(BA$1,IF($A36=$A35,BA35,1))-AF36&lt;0),-1,MIN(1,IF($A36=$A35,BA35,1)-AF36+$D$3))</f>
        <v>0.4</v>
      </c>
      <c r="BB36">
        <f>IF(OR($J36=0,COUNTIFS($A$4:$A35,"&gt;="&amp;$A36-1,$A$4:$A35,"&lt;="&amp;$A36,$B$4:$B35,$B36)&gt;0,MIN(BB$1,IF($A36=$A35,BB35,1))-AG36&lt;0),-1,MIN(1,IF($A36=$A35,BB35,1)-AG36+$D$3))</f>
        <v>1</v>
      </c>
      <c r="BC36">
        <f>IF(OR($J36=0,COUNTIFS($A$4:$A35,"&gt;="&amp;$A36-1,$A$4:$A35,"&lt;="&amp;$A36,$B$4:$B35,$B36)&gt;0,MIN(BC$1,IF($A36=$A35,BC35,1))-AH36&lt;0),-1,MIN(1,IF($A36=$A35,BC35,1)-AH36+$D$3))</f>
        <v>1</v>
      </c>
      <c r="BD36">
        <f>IF(OR($J36=0,COUNTIFS($A$4:$A35,"&gt;="&amp;$A36-1,$A$4:$A35,"&lt;="&amp;$A36,$B$4:$B35,$B36)&gt;0,MIN(BD$1,IF($A36=$A35,BD35,1))-AI36&lt;0),-1,MIN(1,IF($A36=$A35,BD35,1)-AI36+$D$3))</f>
        <v>1</v>
      </c>
      <c r="BF36" s="44">
        <f t="shared" si="91"/>
        <v>6.0056318595768751E-2</v>
      </c>
      <c r="BG36" s="44">
        <f t="shared" si="92"/>
        <v>0.20477582256604926</v>
      </c>
      <c r="BH36" s="44">
        <f t="shared" si="93"/>
        <v>0.26907934691192742</v>
      </c>
      <c r="BI36" s="44">
        <f t="shared" si="94"/>
        <v>0.25474820507750989</v>
      </c>
      <c r="BJ36" s="44">
        <f t="shared" si="95"/>
        <v>0.35778343226161108</v>
      </c>
      <c r="BK36" s="44">
        <f t="shared" si="96"/>
        <v>0.10448113992606456</v>
      </c>
      <c r="BL36" s="44">
        <f t="shared" si="97"/>
        <v>7.4583557907102263E-2</v>
      </c>
      <c r="BM36" s="44">
        <f t="shared" si="98"/>
        <v>0.13081826444400504</v>
      </c>
      <c r="BN36" s="44">
        <f t="shared" si="99"/>
        <v>9.5465339000122482E-2</v>
      </c>
      <c r="BO36" s="44">
        <f t="shared" si="100"/>
        <v>3.1281932646662292E-2</v>
      </c>
      <c r="BP36" s="44">
        <f t="shared" si="101"/>
        <v>0.24829455497918074</v>
      </c>
      <c r="BQ36" s="44">
        <f t="shared" si="102"/>
        <v>7.6180259992987859E-2</v>
      </c>
      <c r="BR36" s="44">
        <f t="shared" si="103"/>
        <v>0.2598919907738671</v>
      </c>
      <c r="BS36" s="44">
        <f t="shared" si="104"/>
        <v>7.511977194967287E-2</v>
      </c>
      <c r="BT36" s="44">
        <f t="shared" si="105"/>
        <v>0.41595331798298679</v>
      </c>
      <c r="BU36" s="44">
        <f t="shared" si="106"/>
        <v>0.39556925350063232</v>
      </c>
      <c r="BV36" s="44">
        <f t="shared" si="107"/>
        <v>0.45569966950774815</v>
      </c>
      <c r="BW36" s="44">
        <f t="shared" si="108"/>
        <v>0.14880525409945136</v>
      </c>
      <c r="BX36" s="44">
        <f t="shared" si="109"/>
        <v>0.17483216972997725</v>
      </c>
      <c r="BY36" s="44">
        <f t="shared" si="110"/>
        <v>0.14525958564115918</v>
      </c>
      <c r="CA36" s="44">
        <f t="shared" si="111"/>
        <v>-0.65282565831287065</v>
      </c>
      <c r="CB36" s="44">
        <f t="shared" si="112"/>
        <v>-0.2108195212416567</v>
      </c>
      <c r="CC36" s="44">
        <f t="shared" si="113"/>
        <v>0.5554973616436889</v>
      </c>
      <c r="CD36" s="44">
        <f t="shared" si="114"/>
        <v>0.47265171195480971</v>
      </c>
      <c r="CE36" s="44">
        <f t="shared" si="115"/>
        <v>1.0682790831394362</v>
      </c>
      <c r="CF36" s="44">
        <f t="shared" si="116"/>
        <v>-0.69800703888709614</v>
      </c>
      <c r="CG36" s="44">
        <f t="shared" si="117"/>
        <v>-0.5688464057983994</v>
      </c>
      <c r="CH36" s="44">
        <f t="shared" si="118"/>
        <v>-0.49584272561788278</v>
      </c>
      <c r="CI36" s="44">
        <f t="shared" si="119"/>
        <v>-0.44813273613409188</v>
      </c>
      <c r="CJ36" s="44">
        <f t="shared" si="120"/>
        <v>-0.81916499999932968</v>
      </c>
      <c r="CK36" s="44">
        <f t="shared" si="121"/>
        <v>0.43534436816893285</v>
      </c>
      <c r="CL36" s="44">
        <f t="shared" si="122"/>
        <v>-0.5596161697716302</v>
      </c>
      <c r="CM36" s="44">
        <f t="shared" si="123"/>
        <v>1.5913164662053614E-3</v>
      </c>
      <c r="CN36" s="44">
        <f t="shared" si="124"/>
        <v>-0.56574665274017644</v>
      </c>
      <c r="CO36" s="44">
        <f t="shared" si="125"/>
        <v>1.4045483093180287</v>
      </c>
      <c r="CP36" s="44">
        <f t="shared" si="126"/>
        <v>1.286711846260701</v>
      </c>
      <c r="CQ36" s="44">
        <f t="shared" si="127"/>
        <v>0.75620968747981521</v>
      </c>
      <c r="CR36" s="44">
        <f t="shared" si="128"/>
        <v>-0.1397846664680038</v>
      </c>
      <c r="CS36" s="44">
        <f t="shared" si="129"/>
        <v>1.0672063339122406E-2</v>
      </c>
      <c r="CT36" s="44">
        <f t="shared" si="130"/>
        <v>-0.16028151245574873</v>
      </c>
      <c r="CV36" s="44">
        <f t="shared" si="131"/>
        <v>0.67604307175308287</v>
      </c>
    </row>
    <row r="37" spans="1:100" x14ac:dyDescent="0.25">
      <c r="A37" s="98">
        <v>45054</v>
      </c>
      <c r="B37" s="57">
        <v>5</v>
      </c>
      <c r="C37" s="51" t="str" cm="1">
        <f t="array" ref="C37">IF(B37="","",INDEX(UWS!$B$10:$B$41,B37))</f>
        <v>Lateral elliptical machine</v>
      </c>
      <c r="D37" s="45">
        <f t="shared" si="46"/>
        <v>-1</v>
      </c>
      <c r="E37" s="70">
        <f t="shared" si="47"/>
        <v>0.93092475897850069</v>
      </c>
      <c r="F37" s="52" cm="1">
        <f t="array" ref="F37">0.1+IFERROR(INDEX($F$5:$F36,SUMPRODUCT(MAX(ROW($C$5:$C36)*($C37=$C$5:$C36))-ROW($A$4)))*0.9^($A37-INDEX($A$5:A36,SUMPRODUCT(MAX(ROW($C$5:$C36)*($C37=$C$5:$C36))-ROW($A$4)))),0)</f>
        <v>0.15904900000000002</v>
      </c>
      <c r="G37" s="56">
        <f>INDEX(UWS!$AB$10:$AB$41,MATCH(C37,UWS!$B$10:$B$41,0))</f>
        <v>4.5</v>
      </c>
      <c r="H37" s="52">
        <f>INDEX(UWS!$C$10:$C$41,MATCH(C37,UWS!$B$10:$B$41,0))</f>
        <v>1</v>
      </c>
      <c r="I37" s="46">
        <f t="shared" si="90"/>
        <v>5</v>
      </c>
      <c r="J37" s="46">
        <f>INDEX(UWS!$E$10:$E$41,MATCH(C37,UWS!$B$10:$B$41,0))</f>
        <v>1</v>
      </c>
      <c r="K37" s="46"/>
      <c r="L37" s="109" t="str" cm="1">
        <f t="array" ref="L37">IF(K37="","",INDEX(UWS!$B$10:$B$41,K37))</f>
        <v/>
      </c>
      <c r="M37" s="46"/>
      <c r="N37" s="109" t="str" cm="1">
        <f t="array" ref="N37">IF(M37="","",INDEX(UWS!$B$10:$B$41,M37))</f>
        <v/>
      </c>
      <c r="O37" s="47"/>
      <c r="P37" s="47">
        <f>IFERROR(INDEX(UWS!$G$10:$Z$41,MATCH($C37,UWS!$B$10:$B$41,0),MATCH(P$4,UWS!$G$3:$Z$3,0)),0)</f>
        <v>0</v>
      </c>
      <c r="Q37" s="47">
        <f>IFERROR(INDEX(UWS!$G$10:$Z$41,MATCH($C37,UWS!$B$10:$B$41,0),MATCH(Q$4,UWS!$G$3:$Z$3,0)),0)</f>
        <v>0</v>
      </c>
      <c r="R37" s="47">
        <f>IFERROR(INDEX(UWS!$G$10:$Z$41,MATCH($C37,UWS!$B$10:$B$41,0),MATCH(R$4,UWS!$G$3:$Z$3,0)),0)</f>
        <v>0</v>
      </c>
      <c r="S37" s="47">
        <f>IFERROR(INDEX(UWS!$G$10:$Z$41,MATCH($C37,UWS!$B$10:$B$41,0),MATCH(S$4,UWS!$G$3:$Z$3,0)),0)</f>
        <v>0</v>
      </c>
      <c r="T37" s="47">
        <f>IFERROR(INDEX(UWS!$G$10:$Z$41,MATCH($C37,UWS!$B$10:$B$41,0),MATCH(T$4,UWS!$G$3:$Z$3,0)),0)</f>
        <v>0</v>
      </c>
      <c r="U37" s="47">
        <f>IFERROR(INDEX(UWS!$G$10:$Z$41,MATCH($C37,UWS!$B$10:$B$41,0),MATCH(U$4,UWS!$G$3:$Z$3,0)),0)</f>
        <v>0</v>
      </c>
      <c r="V37" s="47">
        <f>IFERROR(INDEX(UWS!$G$10:$Z$41,MATCH($C37,UWS!$B$10:$B$41,0),MATCH(V$4,UWS!$G$3:$Z$3,0)),0)</f>
        <v>0</v>
      </c>
      <c r="W37" s="47">
        <f>IFERROR(INDEX(UWS!$G$10:$Z$41,MATCH($C37,UWS!$B$10:$B$41,0),MATCH(W$4,UWS!$G$3:$Z$3,0)),0)</f>
        <v>0</v>
      </c>
      <c r="X37" s="47">
        <f>IFERROR(INDEX(UWS!$G$10:$Z$41,MATCH($C37,UWS!$B$10:$B$41,0),MATCH(X$4,UWS!$G$3:$Z$3,0)),0)</f>
        <v>0</v>
      </c>
      <c r="Y37" s="47">
        <f>IFERROR(INDEX(UWS!$G$10:$Z$41,MATCH($C37,UWS!$B$10:$B$41,0),MATCH(Y$4,UWS!$G$3:$Z$3,0)),0)</f>
        <v>0</v>
      </c>
      <c r="Z37" s="47">
        <f>IFERROR(INDEX(UWS!$G$10:$Z$41,MATCH($C37,UWS!$B$10:$B$41,0),MATCH(Z$4,UWS!$G$3:$Z$3,0)),0)</f>
        <v>0</v>
      </c>
      <c r="AA37" s="47">
        <f>IFERROR(INDEX(UWS!$G$10:$Z$41,MATCH($C37,UWS!$B$10:$B$41,0),MATCH(AA$4,UWS!$G$3:$Z$3,0)),0)</f>
        <v>0</v>
      </c>
      <c r="AB37" s="47">
        <f>IFERROR(INDEX(UWS!$G$10:$Z$41,MATCH($C37,UWS!$B$10:$B$41,0),MATCH(AB$4,UWS!$G$3:$Z$3,0)),0)</f>
        <v>0</v>
      </c>
      <c r="AC37" s="47">
        <f>IFERROR(INDEX(UWS!$G$10:$Z$41,MATCH($C37,UWS!$B$10:$B$41,0),MATCH(AC$4,UWS!$G$3:$Z$3,0)),0)</f>
        <v>0.5</v>
      </c>
      <c r="AD37" s="47">
        <f>IFERROR(INDEX(UWS!$G$10:$Z$41,MATCH($C37,UWS!$B$10:$B$41,0),MATCH(AD$4,UWS!$G$3:$Z$3,0)),0)</f>
        <v>1</v>
      </c>
      <c r="AE37" s="47">
        <f>IFERROR(INDEX(UWS!$G$10:$Z$41,MATCH($C37,UWS!$B$10:$B$41,0),MATCH(AE$4,UWS!$G$3:$Z$3,0)),0)</f>
        <v>0.5</v>
      </c>
      <c r="AF37" s="47">
        <f>IFERROR(INDEX(UWS!$G$10:$Z$41,MATCH($C37,UWS!$B$10:$B$41,0),MATCH(AF$4,UWS!$G$3:$Z$3,0)),0)</f>
        <v>0.5</v>
      </c>
      <c r="AG37" s="47">
        <f>IFERROR(INDEX(UWS!$G$10:$Z$41,MATCH($C37,UWS!$B$10:$B$41,0),MATCH(AG$4,UWS!$G$3:$Z$3,0)),0)</f>
        <v>1</v>
      </c>
      <c r="AH37" s="47">
        <f>IFERROR(INDEX(UWS!$G$10:$Z$41,MATCH($C37,UWS!$B$10:$B$41,0),MATCH(AH$4,UWS!$G$3:$Z$3,0)),0)</f>
        <v>0.5</v>
      </c>
      <c r="AI37" s="47">
        <f>IFERROR(INDEX(UWS!$G$10:$Z$41,MATCH($C37,UWS!$B$10:$B$41,0),MATCH(AI$4,UWS!$G$3:$Z$3,0)),0)</f>
        <v>0.5</v>
      </c>
      <c r="AJ37" s="47"/>
      <c r="AK37" s="47">
        <f>IF(OR($J37=0,COUNTIFS($A$4:$A36,"&gt;="&amp;$A37-1,$A$4:$A36,"&lt;="&amp;$A37,$B$4:$B36,$B37)&gt;0,MIN(AK$1,IF($A37=$A36,AK36,1))-P37&lt;0),-1,MIN(1,IF($A37=$A36,AK36,1)-P37+$D$3))</f>
        <v>1</v>
      </c>
      <c r="AL37" s="47">
        <f>IF(OR($J37=0,COUNTIFS($A$4:$A36,"&gt;="&amp;$A37-1,$A$4:$A36,"&lt;="&amp;$A37,$B$4:$B36,$B37)&gt;0,MIN(AL$1,IF($A37=$A36,AL36,1))-Q37&lt;0),-1,MIN(1,IF($A37=$A36,AL36,1)-Q37+$D$3))</f>
        <v>1</v>
      </c>
      <c r="AM37" s="47">
        <f>IF(OR($J37=0,COUNTIFS($A$4:$A36,"&gt;="&amp;$A37-1,$A$4:$A36,"&lt;="&amp;$A37,$B$4:$B36,$B37)&gt;0,MIN(AM$1,IF($A37=$A36,AM36,1))-R37&lt;0),-1,MIN(1,IF($A37=$A36,AM36,1)-R37+$D$3))</f>
        <v>1</v>
      </c>
      <c r="AN37" s="47">
        <f>IF(OR($J37=0,COUNTIFS($A$4:$A36,"&gt;="&amp;$A37-1,$A$4:$A36,"&lt;="&amp;$A37,$B$4:$B36,$B37)&gt;0,MIN(AN$1,IF($A37=$A36,AN36,1))-S37&lt;0),-1,MIN(1,IF($A37=$A36,AN36,1)-S37+$D$3))</f>
        <v>1</v>
      </c>
      <c r="AO37" s="47">
        <f>IF(OR($J37=0,COUNTIFS($A$4:$A36,"&gt;="&amp;$A37-1,$A$4:$A36,"&lt;="&amp;$A37,$B$4:$B36,$B37)&gt;0,MIN(AO$1,IF($A37=$A36,AO36,1))-T37&lt;0),-1,MIN(1,IF($A37=$A36,AO36,1)-T37+$D$3))</f>
        <v>1</v>
      </c>
      <c r="AP37" s="47">
        <f>IF(OR($J37=0,COUNTIFS($A$4:$A36,"&gt;="&amp;$A37-1,$A$4:$A36,"&lt;="&amp;$A37,$B$4:$B36,$B37)&gt;0,MIN(AP$1,IF($A37=$A36,AP36,1))-U37&lt;0),-1,MIN(1,IF($A37=$A36,AP36,1)-U37+$D$3))</f>
        <v>1</v>
      </c>
      <c r="AQ37" s="47">
        <f>IF(OR($J37=0,COUNTIFS($A$4:$A36,"&gt;="&amp;$A37-1,$A$4:$A36,"&lt;="&amp;$A37,$B$4:$B36,$B37)&gt;0,MIN(AQ$1,IF($A37=$A36,AQ36,1))-V37&lt;0),-1,MIN(1,IF($A37=$A36,AQ36,1)-V37+$D$3))</f>
        <v>1</v>
      </c>
      <c r="AR37" s="47">
        <f>IF(OR($J37=0,COUNTIFS($A$4:$A36,"&gt;="&amp;$A37-1,$A$4:$A36,"&lt;="&amp;$A37,$B$4:$B36,$B37)&gt;0,MIN(AR$1,IF($A37=$A36,AR36,1))-W37&lt;0),-1,MIN(1,IF($A37=$A36,AR36,1)-W37+$D$3))</f>
        <v>1</v>
      </c>
      <c r="AS37" s="47">
        <f>IF(OR($J37=0,COUNTIFS($A$4:$A36,"&gt;="&amp;$A37-1,$A$4:$A36,"&lt;="&amp;$A37,$B$4:$B36,$B37)&gt;0,MIN(AS$1,IF($A37=$A36,AS36,1))-X37&lt;0),-1,MIN(1,IF($A37=$A36,AS36,1)-X37+$D$3))</f>
        <v>1</v>
      </c>
      <c r="AT37" s="47">
        <f>IF(OR($J37=0,COUNTIFS($A$4:$A36,"&gt;="&amp;$A37-1,$A$4:$A36,"&lt;="&amp;$A37,$B$4:$B36,$B37)&gt;0,MIN(AT$1,IF($A37=$A36,AT36,1))-Y37&lt;0),-1,MIN(1,IF($A37=$A36,AT36,1)-Y37+$D$3))</f>
        <v>1</v>
      </c>
      <c r="AU37" s="47">
        <f>IF(OR($J37=0,COUNTIFS($A$4:$A36,"&gt;="&amp;$A37-1,$A$4:$A36,"&lt;="&amp;$A37,$B$4:$B36,$B37)&gt;0,MIN(AU$1,IF($A37=$A36,AU36,1))-Z37&lt;0),-1,MIN(1,IF($A37=$A36,AU36,1)-Z37+$D$3))</f>
        <v>1</v>
      </c>
      <c r="AV37" s="47">
        <f>IF(OR($J37=0,COUNTIFS($A$4:$A36,"&gt;="&amp;$A37-1,$A$4:$A36,"&lt;="&amp;$A37,$B$4:$B36,$B37)&gt;0,MIN(AV$1,IF($A37=$A36,AV36,1))-AA37&lt;0),-1,MIN(1,IF($A37=$A36,AV36,1)-AA37+$D$3))</f>
        <v>1</v>
      </c>
      <c r="AW37" s="47">
        <f>IF(OR($J37=0,COUNTIFS($A$4:$A36,"&gt;="&amp;$A37-1,$A$4:$A36,"&lt;="&amp;$A37,$B$4:$B36,$B37)&gt;0,MIN(AW$1,IF($A37=$A36,AW36,1))-AB37&lt;0),-1,MIN(1,IF($A37=$A36,AW36,1)-AB37+$D$3))</f>
        <v>1</v>
      </c>
      <c r="AX37" s="47">
        <f>IF(OR($J37=0,COUNTIFS($A$4:$A36,"&gt;="&amp;$A37-1,$A$4:$A36,"&lt;="&amp;$A37,$B$4:$B36,$B37)&gt;0,MIN(AX$1,IF($A37=$A36,AX36,1))-AC37&lt;0),-1,MIN(1,IF($A37=$A36,AX36,1)-AC37+$D$3))</f>
        <v>0.9</v>
      </c>
      <c r="AY37" s="47">
        <f>IF(OR($J37=0,COUNTIFS($A$4:$A36,"&gt;="&amp;$A37-1,$A$4:$A36,"&lt;="&amp;$A37,$B$4:$B36,$B37)&gt;0,MIN(AY$1,IF($A37=$A36,AY36,1))-AD37&lt;0),-1,MIN(1,IF($A37=$A36,AY36,1)-AD37+$D$3))</f>
        <v>0.4</v>
      </c>
      <c r="AZ37" s="47">
        <f>IF(OR($J37=0,COUNTIFS($A$4:$A36,"&gt;="&amp;$A37-1,$A$4:$A36,"&lt;="&amp;$A37,$B$4:$B36,$B37)&gt;0,MIN(AZ$1,IF($A37=$A36,AZ36,1))-AE37&lt;0),-1,MIN(1,IF($A37=$A36,AZ36,1)-AE37+$D$3))</f>
        <v>0.9</v>
      </c>
      <c r="BA37" s="47">
        <f>IF(OR($J37=0,COUNTIFS($A$4:$A36,"&gt;="&amp;$A37-1,$A$4:$A36,"&lt;="&amp;$A37,$B$4:$B36,$B37)&gt;0,MIN(BA$1,IF($A37=$A36,BA36,1))-AF37&lt;0),-1,MIN(1,IF($A37=$A36,BA36,1)-AF37+$D$3))</f>
        <v>-1</v>
      </c>
      <c r="BB37" s="47">
        <f>IF(OR($J37=0,COUNTIFS($A$4:$A36,"&gt;="&amp;$A37-1,$A$4:$A36,"&lt;="&amp;$A37,$B$4:$B36,$B37)&gt;0,MIN(BB$1,IF($A37=$A36,BB36,1))-AG37&lt;0),-1,MIN(1,IF($A37=$A36,BB36,1)-AG37+$D$3))</f>
        <v>0.4</v>
      </c>
      <c r="BC37" s="47">
        <f>IF(OR($J37=0,COUNTIFS($A$4:$A36,"&gt;="&amp;$A37-1,$A$4:$A36,"&lt;="&amp;$A37,$B$4:$B36,$B37)&gt;0,MIN(BC$1,IF($A37=$A36,BC36,1))-AH37&lt;0),-1,MIN(1,IF($A37=$A36,BC36,1)-AH37+$D$3))</f>
        <v>0.9</v>
      </c>
      <c r="BD37" s="47">
        <f>IF(OR($J37=0,COUNTIFS($A$4:$A36,"&gt;="&amp;$A37-1,$A$4:$A36,"&lt;="&amp;$A37,$B$4:$B36,$B37)&gt;0,MIN(BD$1,IF($A37=$A36,BD36,1))-AI37&lt;0),-1,MIN(1,IF($A37=$A36,BD36,1)-AI37+$D$3))</f>
        <v>0.9</v>
      </c>
      <c r="BE37" s="47"/>
      <c r="BF37" s="53">
        <f t="shared" si="91"/>
        <v>5.7053502665980312E-2</v>
      </c>
      <c r="BG37" s="53">
        <f t="shared" si="92"/>
        <v>0.19453703143774678</v>
      </c>
      <c r="BH37" s="53">
        <f t="shared" si="93"/>
        <v>0.25562537956633102</v>
      </c>
      <c r="BI37" s="53">
        <f t="shared" si="94"/>
        <v>0.24201079482363438</v>
      </c>
      <c r="BJ37" s="53">
        <f t="shared" si="95"/>
        <v>0.33989426064853051</v>
      </c>
      <c r="BK37" s="53">
        <f t="shared" si="96"/>
        <v>9.925708292976132E-2</v>
      </c>
      <c r="BL37" s="53">
        <f t="shared" si="97"/>
        <v>7.0854380011747153E-2</v>
      </c>
      <c r="BM37" s="53">
        <f t="shared" si="98"/>
        <v>0.12427735122180479</v>
      </c>
      <c r="BN37" s="53">
        <f t="shared" si="99"/>
        <v>9.0692072050116354E-2</v>
      </c>
      <c r="BO37" s="53">
        <f t="shared" si="100"/>
        <v>2.9717836014329174E-2</v>
      </c>
      <c r="BP37" s="53">
        <f t="shared" si="101"/>
        <v>0.23587982723022169</v>
      </c>
      <c r="BQ37" s="53">
        <f t="shared" si="102"/>
        <v>7.2371246993338467E-2</v>
      </c>
      <c r="BR37" s="53">
        <f t="shared" si="103"/>
        <v>0.24689739123517374</v>
      </c>
      <c r="BS37" s="53">
        <f t="shared" si="104"/>
        <v>9.6363783352189231E-2</v>
      </c>
      <c r="BT37" s="53">
        <f t="shared" si="105"/>
        <v>0.44515565208383745</v>
      </c>
      <c r="BU37" s="53">
        <f t="shared" si="106"/>
        <v>0.40079079082560071</v>
      </c>
      <c r="BV37" s="53">
        <f t="shared" si="107"/>
        <v>0.45791468603236074</v>
      </c>
      <c r="BW37" s="53">
        <f t="shared" si="108"/>
        <v>0.19136499139447877</v>
      </c>
      <c r="BX37" s="53">
        <f t="shared" si="109"/>
        <v>0.19109056124347837</v>
      </c>
      <c r="BY37" s="53">
        <f t="shared" si="110"/>
        <v>0.16299660635910121</v>
      </c>
      <c r="BZ37" s="47"/>
      <c r="CA37" s="53">
        <f t="shared" si="111"/>
        <v>-0.67233107561909922</v>
      </c>
      <c r="CB37" s="53">
        <f t="shared" si="112"/>
        <v>-0.25515832373871195</v>
      </c>
      <c r="CC37" s="53">
        <f t="shared" si="113"/>
        <v>0.46810431004271424</v>
      </c>
      <c r="CD37" s="53">
        <f t="shared" si="114"/>
        <v>0.38991320642810523</v>
      </c>
      <c r="CE37" s="53">
        <f t="shared" si="115"/>
        <v>0.95207623696615817</v>
      </c>
      <c r="CF37" s="53">
        <f t="shared" si="116"/>
        <v>-0.71497401490676793</v>
      </c>
      <c r="CG37" s="53">
        <f t="shared" si="117"/>
        <v>-0.59307005878241337</v>
      </c>
      <c r="CH37" s="53">
        <f t="shared" si="118"/>
        <v>-0.52416796986550085</v>
      </c>
      <c r="CI37" s="53">
        <f t="shared" si="119"/>
        <v>-0.47913848738587039</v>
      </c>
      <c r="CJ37" s="53">
        <f t="shared" si="120"/>
        <v>-0.8293249159696281</v>
      </c>
      <c r="CK37" s="53">
        <f t="shared" si="121"/>
        <v>0.35470191416952179</v>
      </c>
      <c r="CL37" s="53">
        <f t="shared" si="122"/>
        <v>-0.58435840833043695</v>
      </c>
      <c r="CM37" s="53">
        <f t="shared" si="123"/>
        <v>-5.4681438320420828E-2</v>
      </c>
      <c r="CN37" s="53">
        <f t="shared" si="124"/>
        <v>-0.44656478980538228</v>
      </c>
      <c r="CO37" s="53">
        <f t="shared" si="125"/>
        <v>1.5566120726075012</v>
      </c>
      <c r="CP37" s="53">
        <f t="shared" si="126"/>
        <v>1.3018163862865206</v>
      </c>
      <c r="CQ37" s="53">
        <f t="shared" si="127"/>
        <v>0.75325972545310016</v>
      </c>
      <c r="CR37" s="53">
        <f t="shared" si="128"/>
        <v>9.9044895832107294E-2</v>
      </c>
      <c r="CS37" s="53">
        <f t="shared" si="129"/>
        <v>9.7468792206665711E-2</v>
      </c>
      <c r="CT37" s="53">
        <f t="shared" si="130"/>
        <v>-6.3880039125620791E-2</v>
      </c>
      <c r="CU37" s="47"/>
      <c r="CV37" s="53">
        <f t="shared" si="131"/>
        <v>0.67926503702708763</v>
      </c>
    </row>
    <row r="38" spans="1:100" x14ac:dyDescent="0.25">
      <c r="A38" s="97">
        <v>45055</v>
      </c>
      <c r="B38" s="86">
        <v>8</v>
      </c>
      <c r="C38" s="43" t="str" cm="1">
        <f t="array" ref="C38">IF(B38="","",INDEX(UWS!$B$10:$B$41,B38))</f>
        <v>Barbell deadlift</v>
      </c>
      <c r="D38" s="40">
        <f t="shared" si="46"/>
        <v>0.4</v>
      </c>
      <c r="E38" s="69">
        <f t="shared" si="47"/>
        <v>2.6399416424939277</v>
      </c>
      <c r="F38" s="48" cm="1">
        <f t="array" ref="F38">0.1+IFERROR(INDEX($F$5:$F37,SUMPRODUCT(MAX(ROW($C$5:$C37)*($C38=$C$5:$C37))-ROW($A$4)))*0.9^($A38-INDEX($A$5:A37,SUMPRODUCT(MAX(ROW($C$5:$C37)*($C38=$C$5:$C37))-ROW($A$4)))),0)</f>
        <v>0.13874204890000003</v>
      </c>
      <c r="G38" s="55">
        <f>INDEX(UWS!$AB$10:$AB$41,MATCH(C38,UWS!$B$10:$B$41,0))</f>
        <v>7.2999999999999989</v>
      </c>
      <c r="H38" s="48">
        <f>INDEX(UWS!$C$10:$C$41,MATCH(C38,UWS!$B$10:$B$41,0))</f>
        <v>1.1000000000000001</v>
      </c>
      <c r="I38" s="82">
        <f t="shared" si="90"/>
        <v>1</v>
      </c>
      <c r="J38" s="27">
        <f>INDEX(UWS!$E$10:$E$41,MATCH(C38,UWS!$B$10:$B$41,0))</f>
        <v>1</v>
      </c>
      <c r="L38" s="108" t="str" cm="1">
        <f t="array" ref="L38">IF(K38="","",INDEX(UWS!$B$10:$B$41,K38))</f>
        <v/>
      </c>
      <c r="N38" s="108" t="str" cm="1">
        <f t="array" ref="N38">IF(M38="","",INDEX(UWS!$B$10:$B$41,M38))</f>
        <v/>
      </c>
      <c r="P38">
        <f>IFERROR(INDEX(UWS!$G$10:$Z$41,MATCH($C38,UWS!$B$10:$B$41,0),MATCH(P$4,UWS!$G$3:$Z$3,0)),0)</f>
        <v>0</v>
      </c>
      <c r="Q38">
        <f>IFERROR(INDEX(UWS!$G$10:$Z$41,MATCH($C38,UWS!$B$10:$B$41,0),MATCH(Q$4,UWS!$G$3:$Z$3,0)),0)</f>
        <v>0.3</v>
      </c>
      <c r="R38">
        <f>IFERROR(INDEX(UWS!$G$10:$Z$41,MATCH($C38,UWS!$B$10:$B$41,0),MATCH(R$4,UWS!$G$3:$Z$3,0)),0)</f>
        <v>0.6</v>
      </c>
      <c r="S38">
        <f>IFERROR(INDEX(UWS!$G$10:$Z$41,MATCH($C38,UWS!$B$10:$B$41,0),MATCH(S$4,UWS!$G$3:$Z$3,0)),0)</f>
        <v>0.6</v>
      </c>
      <c r="T38">
        <f>IFERROR(INDEX(UWS!$G$10:$Z$41,MATCH($C38,UWS!$B$10:$B$41,0),MATCH(T$4,UWS!$G$3:$Z$3,0)),0)</f>
        <v>1</v>
      </c>
      <c r="U38">
        <f>IFERROR(INDEX(UWS!$G$10:$Z$41,MATCH($C38,UWS!$B$10:$B$41,0),MATCH(U$4,UWS!$G$3:$Z$3,0)),0)</f>
        <v>0</v>
      </c>
      <c r="V38">
        <f>IFERROR(INDEX(UWS!$G$10:$Z$41,MATCH($C38,UWS!$B$10:$B$41,0),MATCH(V$4,UWS!$G$3:$Z$3,0)),0)</f>
        <v>0</v>
      </c>
      <c r="W38">
        <f>IFERROR(INDEX(UWS!$G$10:$Z$41,MATCH($C38,UWS!$B$10:$B$41,0),MATCH(W$4,UWS!$G$3:$Z$3,0)),0)</f>
        <v>0</v>
      </c>
      <c r="X38">
        <f>IFERROR(INDEX(UWS!$G$10:$Z$41,MATCH($C38,UWS!$B$10:$B$41,0),MATCH(X$4,UWS!$G$3:$Z$3,0)),0)</f>
        <v>0</v>
      </c>
      <c r="Y38">
        <f>IFERROR(INDEX(UWS!$G$10:$Z$41,MATCH($C38,UWS!$B$10:$B$41,0),MATCH(Y$4,UWS!$G$3:$Z$3,0)),0)</f>
        <v>0</v>
      </c>
      <c r="Z38">
        <f>IFERROR(INDEX(UWS!$G$10:$Z$41,MATCH($C38,UWS!$B$10:$B$41,0),MATCH(Z$4,UWS!$G$3:$Z$3,0)),0)</f>
        <v>1</v>
      </c>
      <c r="AA38">
        <f>IFERROR(INDEX(UWS!$G$10:$Z$41,MATCH($C38,UWS!$B$10:$B$41,0),MATCH(AA$4,UWS!$G$3:$Z$3,0)),0)</f>
        <v>0</v>
      </c>
      <c r="AB38">
        <f>IFERROR(INDEX(UWS!$G$10:$Z$41,MATCH($C38,UWS!$B$10:$B$41,0),MATCH(AB$4,UWS!$G$3:$Z$3,0)),0)</f>
        <v>0.7</v>
      </c>
      <c r="AC38">
        <f>IFERROR(INDEX(UWS!$G$10:$Z$41,MATCH($C38,UWS!$B$10:$B$41,0),MATCH(AC$4,UWS!$G$3:$Z$3,0)),0)</f>
        <v>0</v>
      </c>
      <c r="AD38">
        <f>IFERROR(INDEX(UWS!$G$10:$Z$41,MATCH($C38,UWS!$B$10:$B$41,0),MATCH(AD$4,UWS!$G$3:$Z$3,0)),0)</f>
        <v>0.6</v>
      </c>
      <c r="AE38">
        <f>IFERROR(INDEX(UWS!$G$10:$Z$41,MATCH($C38,UWS!$B$10:$B$41,0),MATCH(AE$4,UWS!$G$3:$Z$3,0)),0)</f>
        <v>0.8</v>
      </c>
      <c r="AF38">
        <f>IFERROR(INDEX(UWS!$G$10:$Z$41,MATCH($C38,UWS!$B$10:$B$41,0),MATCH(AF$4,UWS!$G$3:$Z$3,0)),0)</f>
        <v>1</v>
      </c>
      <c r="AG38">
        <f>IFERROR(INDEX(UWS!$G$10:$Z$41,MATCH($C38,UWS!$B$10:$B$41,0),MATCH(AG$4,UWS!$G$3:$Z$3,0)),0)</f>
        <v>0.1</v>
      </c>
      <c r="AH38">
        <f>IFERROR(INDEX(UWS!$G$10:$Z$41,MATCH($C38,UWS!$B$10:$B$41,0),MATCH(AH$4,UWS!$G$3:$Z$3,0)),0)</f>
        <v>0.3</v>
      </c>
      <c r="AI38">
        <f>IFERROR(INDEX(UWS!$G$10:$Z$41,MATCH($C38,UWS!$B$10:$B$41,0),MATCH(AI$4,UWS!$G$3:$Z$3,0)),0)</f>
        <v>0.3</v>
      </c>
      <c r="AK38">
        <f>IF(OR($J38=0,COUNTIFS($A$4:$A37,"&gt;="&amp;$A38-1,$A$4:$A37,"&lt;="&amp;$A38,$B$4:$B37,$B38)&gt;0,MIN(AK$1,IF($A38=$A37,AK37,1))-P38&lt;0),-1,MIN(1,IF($A38=$A37,AK37,1)-P38+$D$3))</f>
        <v>1</v>
      </c>
      <c r="AL38">
        <f>IF(OR($J38=0,COUNTIFS($A$4:$A37,"&gt;="&amp;$A38-1,$A$4:$A37,"&lt;="&amp;$A38,$B$4:$B37,$B38)&gt;0,MIN(AL$1,IF($A38=$A37,AL37,1))-Q38&lt;0),-1,MIN(1,IF($A38=$A37,AL37,1)-Q38+$D$3))</f>
        <v>1</v>
      </c>
      <c r="AM38">
        <f>IF(OR($J38=0,COUNTIFS($A$4:$A37,"&gt;="&amp;$A38-1,$A$4:$A37,"&lt;="&amp;$A38,$B$4:$B37,$B38)&gt;0,MIN(AM$1,IF($A38=$A37,AM37,1))-R38&lt;0),-1,MIN(1,IF($A38=$A37,AM37,1)-R38+$D$3))</f>
        <v>0.8</v>
      </c>
      <c r="AN38">
        <f>IF(OR($J38=0,COUNTIFS($A$4:$A37,"&gt;="&amp;$A38-1,$A$4:$A37,"&lt;="&amp;$A38,$B$4:$B37,$B38)&gt;0,MIN(AN$1,IF($A38=$A37,AN37,1))-S38&lt;0),-1,MIN(1,IF($A38=$A37,AN37,1)-S38+$D$3))</f>
        <v>0.8</v>
      </c>
      <c r="AO38">
        <f>IF(OR($J38=0,COUNTIFS($A$4:$A37,"&gt;="&amp;$A38-1,$A$4:$A37,"&lt;="&amp;$A38,$B$4:$B37,$B38)&gt;0,MIN(AO$1,IF($A38=$A37,AO37,1))-T38&lt;0),-1,MIN(1,IF($A38=$A37,AO37,1)-T38+$D$3))</f>
        <v>0.4</v>
      </c>
      <c r="AP38">
        <f>IF(OR($J38=0,COUNTIFS($A$4:$A37,"&gt;="&amp;$A38-1,$A$4:$A37,"&lt;="&amp;$A38,$B$4:$B37,$B38)&gt;0,MIN(AP$1,IF($A38=$A37,AP37,1))-U38&lt;0),-1,MIN(1,IF($A38=$A37,AP37,1)-U38+$D$3))</f>
        <v>1</v>
      </c>
      <c r="AQ38">
        <f>IF(OR($J38=0,COUNTIFS($A$4:$A37,"&gt;="&amp;$A38-1,$A$4:$A37,"&lt;="&amp;$A38,$B$4:$B37,$B38)&gt;0,MIN(AQ$1,IF($A38=$A37,AQ37,1))-V38&lt;0),-1,MIN(1,IF($A38=$A37,AQ37,1)-V38+$D$3))</f>
        <v>1</v>
      </c>
      <c r="AR38">
        <f>IF(OR($J38=0,COUNTIFS($A$4:$A37,"&gt;="&amp;$A38-1,$A$4:$A37,"&lt;="&amp;$A38,$B$4:$B37,$B38)&gt;0,MIN(AR$1,IF($A38=$A37,AR37,1))-W38&lt;0),-1,MIN(1,IF($A38=$A37,AR37,1)-W38+$D$3))</f>
        <v>1</v>
      </c>
      <c r="AS38">
        <f>IF(OR($J38=0,COUNTIFS($A$4:$A37,"&gt;="&amp;$A38-1,$A$4:$A37,"&lt;="&amp;$A38,$B$4:$B37,$B38)&gt;0,MIN(AS$1,IF($A38=$A37,AS37,1))-X38&lt;0),-1,MIN(1,IF($A38=$A37,AS37,1)-X38+$D$3))</f>
        <v>1</v>
      </c>
      <c r="AT38">
        <f>IF(OR($J38=0,COUNTIFS($A$4:$A37,"&gt;="&amp;$A38-1,$A$4:$A37,"&lt;="&amp;$A38,$B$4:$B37,$B38)&gt;0,MIN(AT$1,IF($A38=$A37,AT37,1))-Y38&lt;0),-1,MIN(1,IF($A38=$A37,AT37,1)-Y38+$D$3))</f>
        <v>1</v>
      </c>
      <c r="AU38">
        <f>IF(OR($J38=0,COUNTIFS($A$4:$A37,"&gt;="&amp;$A38-1,$A$4:$A37,"&lt;="&amp;$A38,$B$4:$B37,$B38)&gt;0,MIN(AU$1,IF($A38=$A37,AU37,1))-Z38&lt;0),-1,MIN(1,IF($A38=$A37,AU37,1)-Z38+$D$3))</f>
        <v>0.4</v>
      </c>
      <c r="AV38">
        <f>IF(OR($J38=0,COUNTIFS($A$4:$A37,"&gt;="&amp;$A38-1,$A$4:$A37,"&lt;="&amp;$A38,$B$4:$B37,$B38)&gt;0,MIN(AV$1,IF($A38=$A37,AV37,1))-AA38&lt;0),-1,MIN(1,IF($A38=$A37,AV37,1)-AA38+$D$3))</f>
        <v>1</v>
      </c>
      <c r="AW38">
        <f>IF(OR($J38=0,COUNTIFS($A$4:$A37,"&gt;="&amp;$A38-1,$A$4:$A37,"&lt;="&amp;$A38,$B$4:$B37,$B38)&gt;0,MIN(AW$1,IF($A38=$A37,AW37,1))-AB38&lt;0),-1,MIN(1,IF($A38=$A37,AW37,1)-AB38+$D$3))</f>
        <v>0.70000000000000007</v>
      </c>
      <c r="AX38">
        <f>IF(OR($J38=0,COUNTIFS($A$4:$A37,"&gt;="&amp;$A38-1,$A$4:$A37,"&lt;="&amp;$A38,$B$4:$B37,$B38)&gt;0,MIN(AX$1,IF($A38=$A37,AX37,1))-AC38&lt;0),-1,MIN(1,IF($A38=$A37,AX37,1)-AC38+$D$3))</f>
        <v>1</v>
      </c>
      <c r="AY38">
        <f>IF(OR($J38=0,COUNTIFS($A$4:$A37,"&gt;="&amp;$A38-1,$A$4:$A37,"&lt;="&amp;$A38,$B$4:$B37,$B38)&gt;0,MIN(AY$1,IF($A38=$A37,AY37,1))-AD38&lt;0),-1,MIN(1,IF($A38=$A37,AY37,1)-AD38+$D$3))</f>
        <v>0.8</v>
      </c>
      <c r="AZ38">
        <f>IF(OR($J38=0,COUNTIFS($A$4:$A37,"&gt;="&amp;$A38-1,$A$4:$A37,"&lt;="&amp;$A38,$B$4:$B37,$B38)&gt;0,MIN(AZ$1,IF($A38=$A37,AZ37,1))-AE38&lt;0),-1,MIN(1,IF($A38=$A37,AZ37,1)-AE38+$D$3))</f>
        <v>0.6</v>
      </c>
      <c r="BA38">
        <f>IF(OR($J38=0,COUNTIFS($A$4:$A37,"&gt;="&amp;$A38-1,$A$4:$A37,"&lt;="&amp;$A38,$B$4:$B37,$B38)&gt;0,MIN(BA$1,IF($A38=$A37,BA37,1))-AF38&lt;0),-1,MIN(1,IF($A38=$A37,BA37,1)-AF38+$D$3))</f>
        <v>0.4</v>
      </c>
      <c r="BB38">
        <f>IF(OR($J38=0,COUNTIFS($A$4:$A37,"&gt;="&amp;$A38-1,$A$4:$A37,"&lt;="&amp;$A38,$B$4:$B37,$B38)&gt;0,MIN(BB$1,IF($A38=$A37,BB37,1))-AG38&lt;0),-1,MIN(1,IF($A38=$A37,BB37,1)-AG38+$D$3))</f>
        <v>1</v>
      </c>
      <c r="BC38">
        <f>IF(OR($J38=0,COUNTIFS($A$4:$A37,"&gt;="&amp;$A38-1,$A$4:$A37,"&lt;="&amp;$A38,$B$4:$B37,$B38)&gt;0,MIN(BC$1,IF($A38=$A37,BC37,1))-AH38&lt;0),-1,MIN(1,IF($A38=$A37,BC37,1)-AH38+$D$3))</f>
        <v>1</v>
      </c>
      <c r="BD38">
        <f>IF(OR($J38=0,COUNTIFS($A$4:$A37,"&gt;="&amp;$A38-1,$A$4:$A37,"&lt;="&amp;$A38,$B$4:$B37,$B38)&gt;0,MIN(BD$1,IF($A38=$A37,BD37,1))-AI38&lt;0),-1,MIN(1,IF($A38=$A37,BD37,1)-AI38+$D$3))</f>
        <v>1</v>
      </c>
      <c r="BF38" s="44">
        <f t="shared" si="91"/>
        <v>5.4200827532681295E-2</v>
      </c>
      <c r="BG38" s="44">
        <f t="shared" si="92"/>
        <v>0.19981017986585942</v>
      </c>
      <c r="BH38" s="44">
        <f t="shared" si="93"/>
        <v>0.2728441105880145</v>
      </c>
      <c r="BI38" s="44">
        <f t="shared" si="94"/>
        <v>0.25991025508245269</v>
      </c>
      <c r="BJ38" s="44">
        <f t="shared" si="95"/>
        <v>0.37289954761610394</v>
      </c>
      <c r="BK38" s="44">
        <f t="shared" si="96"/>
        <v>9.4294228783273246E-2</v>
      </c>
      <c r="BL38" s="44">
        <f t="shared" si="97"/>
        <v>6.731166101115979E-2</v>
      </c>
      <c r="BM38" s="44">
        <f t="shared" si="98"/>
        <v>0.11806348366071455</v>
      </c>
      <c r="BN38" s="44">
        <f t="shared" si="99"/>
        <v>8.6157468447610533E-2</v>
      </c>
      <c r="BO38" s="44">
        <f t="shared" si="100"/>
        <v>2.8231944213612713E-2</v>
      </c>
      <c r="BP38" s="44">
        <f t="shared" si="101"/>
        <v>0.2740858358687106</v>
      </c>
      <c r="BQ38" s="44">
        <f t="shared" si="102"/>
        <v>6.8752684643671541E-2</v>
      </c>
      <c r="BR38" s="44">
        <f t="shared" si="103"/>
        <v>0.26955252167341504</v>
      </c>
      <c r="BS38" s="44">
        <f t="shared" si="104"/>
        <v>9.1545594184579762E-2</v>
      </c>
      <c r="BT38" s="44">
        <f t="shared" si="105"/>
        <v>0.45289786947964561</v>
      </c>
      <c r="BU38" s="44">
        <f t="shared" si="106"/>
        <v>0.42075125128432067</v>
      </c>
      <c r="BV38" s="44">
        <f t="shared" si="107"/>
        <v>0.48501895173074266</v>
      </c>
      <c r="BW38" s="44">
        <f t="shared" si="108"/>
        <v>0.18679674182475484</v>
      </c>
      <c r="BX38" s="44">
        <f t="shared" si="109"/>
        <v>0.19653603318130441</v>
      </c>
      <c r="BY38" s="44">
        <f t="shared" si="110"/>
        <v>0.16984677604114612</v>
      </c>
      <c r="CA38" s="44">
        <f t="shared" si="111"/>
        <v>-0.70101531326867783</v>
      </c>
      <c r="CB38" s="44">
        <f t="shared" si="112"/>
        <v>-0.26519960730732672</v>
      </c>
      <c r="CC38" s="44">
        <f t="shared" si="113"/>
        <v>0.50507316297811133</v>
      </c>
      <c r="CD38" s="44">
        <f t="shared" si="114"/>
        <v>0.43372693243897609</v>
      </c>
      <c r="CE38" s="44">
        <f t="shared" si="115"/>
        <v>1.057002807918884</v>
      </c>
      <c r="CF38" s="44">
        <f t="shared" si="116"/>
        <v>-0.73992527663586483</v>
      </c>
      <c r="CG38" s="44">
        <f t="shared" si="117"/>
        <v>-0.62869283003747944</v>
      </c>
      <c r="CH38" s="44">
        <f t="shared" si="118"/>
        <v>-0.56582245101426309</v>
      </c>
      <c r="CI38" s="44">
        <f t="shared" si="119"/>
        <v>-0.52473486317454598</v>
      </c>
      <c r="CJ38" s="44">
        <f t="shared" si="120"/>
        <v>-0.84426586491814049</v>
      </c>
      <c r="CK38" s="44">
        <f t="shared" si="121"/>
        <v>0.51192281566711184</v>
      </c>
      <c r="CL38" s="44">
        <f t="shared" si="122"/>
        <v>-0.62074380012499009</v>
      </c>
      <c r="CM38" s="44">
        <f t="shared" si="123"/>
        <v>-8.7226841500457342E-3</v>
      </c>
      <c r="CN38" s="44">
        <f t="shared" si="124"/>
        <v>-0.49501267702221541</v>
      </c>
      <c r="CO38" s="44">
        <f t="shared" si="125"/>
        <v>1.498292623779732</v>
      </c>
      <c r="CP38" s="44">
        <f t="shared" si="126"/>
        <v>1.3209642137143072</v>
      </c>
      <c r="CQ38" s="44">
        <f t="shared" si="127"/>
        <v>0.78365344765916745</v>
      </c>
      <c r="CR38" s="44">
        <f t="shared" si="128"/>
        <v>3.0415362260487244E-2</v>
      </c>
      <c r="CS38" s="44">
        <f t="shared" si="129"/>
        <v>8.4139615335170781E-2</v>
      </c>
      <c r="CT38" s="44">
        <f t="shared" si="130"/>
        <v>-6.3084690056300352E-2</v>
      </c>
      <c r="CV38" s="44">
        <f t="shared" si="131"/>
        <v>0.70291117987228624</v>
      </c>
    </row>
    <row r="39" spans="1:100" ht="30" x14ac:dyDescent="0.25">
      <c r="A39" s="97">
        <v>45055</v>
      </c>
      <c r="B39" s="86">
        <v>18</v>
      </c>
      <c r="C39" s="43" t="str" cm="1">
        <f t="array" ref="C39">IF(B39="","",INDEX(UWS!$B$10:$B$41,B39))</f>
        <v>Dumbbell incline bench press</v>
      </c>
      <c r="D39" s="40">
        <f t="shared" ref="D39:D50" si="132">IF(C39="","",MIN(AK39:BD39))</f>
        <v>0.4</v>
      </c>
      <c r="E39" s="69">
        <f t="shared" ref="E39:E50" si="133">IF(C39="","",IFERROR((H39/$H$2)^$H$1*(CV39/$CV38)^$CV$1*(F39/$F$2)^$F$1*(G39/$G$2)^IF(B39&lt;=5,0,($G$1-$G$3*(I39-1))),0))</f>
        <v>1.1751014740100367</v>
      </c>
      <c r="F39" s="48" cm="1">
        <f t="array" ref="F39">0.1+IFERROR(INDEX($F$5:$F38,SUMPRODUCT(MAX(ROW($C$5:$C38)*($C39=$C$5:$C38))-ROW($A$4)))*0.9^($A39-INDEX($A$5:A38,SUMPRODUCT(MAX(ROW($C$5:$C38)*($C39=$C$5:$C38))-ROW($A$4)))),0)</f>
        <v>0.1</v>
      </c>
      <c r="G39" s="55">
        <f>INDEX(UWS!$AB$10:$AB$41,MATCH(C39,UWS!$B$10:$B$41,0))</f>
        <v>2.5</v>
      </c>
      <c r="H39" s="48">
        <f>INDEX(UWS!$C$10:$C$41,MATCH(C39,UWS!$B$10:$B$41,0))</f>
        <v>1</v>
      </c>
      <c r="I39" s="27">
        <f t="shared" ref="I39:I50" si="134">IF(A39&gt;A38,1,IF(A39&gt;A37,2,IF(A39&gt;A36,3,IF(A39&gt;A35,4,5))))</f>
        <v>2</v>
      </c>
      <c r="J39" s="27">
        <f>INDEX(UWS!$E$10:$E$41,MATCH(C39,UWS!$B$10:$B$41,0))</f>
        <v>1</v>
      </c>
      <c r="L39" s="108" t="str" cm="1">
        <f t="array" ref="L39">IF(K39="","",INDEX(UWS!$B$10:$B$41,K39))</f>
        <v/>
      </c>
      <c r="N39" s="108" t="str" cm="1">
        <f t="array" ref="N39">IF(M39="","",INDEX(UWS!$B$10:$B$41,M39))</f>
        <v/>
      </c>
      <c r="P39">
        <f>IFERROR(INDEX(UWS!$G$10:$Z$41,MATCH($C39,UWS!$B$10:$B$41,0),MATCH(P$4,UWS!$G$3:$Z$3,0)),0)</f>
        <v>1</v>
      </c>
      <c r="Q39">
        <f>IFERROR(INDEX(UWS!$G$10:$Z$41,MATCH($C39,UWS!$B$10:$B$41,0),MATCH(Q$4,UWS!$G$3:$Z$3,0)),0)</f>
        <v>0</v>
      </c>
      <c r="R39">
        <f>IFERROR(INDEX(UWS!$G$10:$Z$41,MATCH($C39,UWS!$B$10:$B$41,0),MATCH(R$4,UWS!$G$3:$Z$3,0)),0)</f>
        <v>0</v>
      </c>
      <c r="S39">
        <f>IFERROR(INDEX(UWS!$G$10:$Z$41,MATCH($C39,UWS!$B$10:$B$41,0),MATCH(S$4,UWS!$G$3:$Z$3,0)),0)</f>
        <v>0</v>
      </c>
      <c r="T39">
        <f>IFERROR(INDEX(UWS!$G$10:$Z$41,MATCH($C39,UWS!$B$10:$B$41,0),MATCH(T$4,UWS!$G$3:$Z$3,0)),0)</f>
        <v>0</v>
      </c>
      <c r="U39">
        <f>IFERROR(INDEX(UWS!$G$10:$Z$41,MATCH($C39,UWS!$B$10:$B$41,0),MATCH(U$4,UWS!$G$3:$Z$3,0)),0)</f>
        <v>0</v>
      </c>
      <c r="V39">
        <f>IFERROR(INDEX(UWS!$G$10:$Z$41,MATCH($C39,UWS!$B$10:$B$41,0),MATCH(V$4,UWS!$G$3:$Z$3,0)),0)</f>
        <v>0.7</v>
      </c>
      <c r="W39">
        <f>IFERROR(INDEX(UWS!$G$10:$Z$41,MATCH($C39,UWS!$B$10:$B$41,0),MATCH(W$4,UWS!$G$3:$Z$3,0)),0)</f>
        <v>0</v>
      </c>
      <c r="X39">
        <f>IFERROR(INDEX(UWS!$G$10:$Z$41,MATCH($C39,UWS!$B$10:$B$41,0),MATCH(X$4,UWS!$G$3:$Z$3,0)),0)</f>
        <v>0</v>
      </c>
      <c r="Y39">
        <f>IFERROR(INDEX(UWS!$G$10:$Z$41,MATCH($C39,UWS!$B$10:$B$41,0),MATCH(Y$4,UWS!$G$3:$Z$3,0)),0)</f>
        <v>0.7</v>
      </c>
      <c r="Z39">
        <f>IFERROR(INDEX(UWS!$G$10:$Z$41,MATCH($C39,UWS!$B$10:$B$41,0),MATCH(Z$4,UWS!$G$3:$Z$3,0)),0)</f>
        <v>0.1</v>
      </c>
      <c r="AA39">
        <f>IFERROR(INDEX(UWS!$G$10:$Z$41,MATCH($C39,UWS!$B$10:$B$41,0),MATCH(AA$4,UWS!$G$3:$Z$3,0)),0)</f>
        <v>0</v>
      </c>
      <c r="AB39">
        <f>IFERROR(INDEX(UWS!$G$10:$Z$41,MATCH($C39,UWS!$B$10:$B$41,0),MATCH(AB$4,UWS!$G$3:$Z$3,0)),0)</f>
        <v>0</v>
      </c>
      <c r="AC39">
        <f>IFERROR(INDEX(UWS!$G$10:$Z$41,MATCH($C39,UWS!$B$10:$B$41,0),MATCH(AC$4,UWS!$G$3:$Z$3,0)),0)</f>
        <v>0</v>
      </c>
      <c r="AD39">
        <f>IFERROR(INDEX(UWS!$G$10:$Z$41,MATCH($C39,UWS!$B$10:$B$41,0),MATCH(AD$4,UWS!$G$3:$Z$3,0)),0)</f>
        <v>0</v>
      </c>
      <c r="AE39">
        <f>IFERROR(INDEX(UWS!$G$10:$Z$41,MATCH($C39,UWS!$B$10:$B$41,0),MATCH(AE$4,UWS!$G$3:$Z$3,0)),0)</f>
        <v>0</v>
      </c>
      <c r="AF39">
        <f>IFERROR(INDEX(UWS!$G$10:$Z$41,MATCH($C39,UWS!$B$10:$B$41,0),MATCH(AF$4,UWS!$G$3:$Z$3,0)),0)</f>
        <v>0</v>
      </c>
      <c r="AG39">
        <f>IFERROR(INDEX(UWS!$G$10:$Z$41,MATCH($C39,UWS!$B$10:$B$41,0),MATCH(AG$4,UWS!$G$3:$Z$3,0)),0)</f>
        <v>0</v>
      </c>
      <c r="AH39">
        <f>IFERROR(INDEX(UWS!$G$10:$Z$41,MATCH($C39,UWS!$B$10:$B$41,0),MATCH(AH$4,UWS!$G$3:$Z$3,0)),0)</f>
        <v>0</v>
      </c>
      <c r="AI39">
        <f>IFERROR(INDEX(UWS!$G$10:$Z$41,MATCH($C39,UWS!$B$10:$B$41,0),MATCH(AI$4,UWS!$G$3:$Z$3,0)),0)</f>
        <v>0</v>
      </c>
      <c r="AK39">
        <f>IF(OR($J39=0,COUNTIFS($A$4:$A38,"&gt;="&amp;$A39-1,$A$4:$A38,"&lt;="&amp;$A39,$B$4:$B38,$B39)&gt;0,MIN(AK$1,IF($A39=$A38,AK38,1))-P39&lt;0),-1,MIN(1,IF($A39=$A38,AK38,1)-P39+$D$3))</f>
        <v>0.4</v>
      </c>
      <c r="AL39">
        <f>IF(OR($J39=0,COUNTIFS($A$4:$A38,"&gt;="&amp;$A39-1,$A$4:$A38,"&lt;="&amp;$A39,$B$4:$B38,$B39)&gt;0,MIN(AL$1,IF($A39=$A38,AL38,1))-Q39&lt;0),-1,MIN(1,IF($A39=$A38,AL38,1)-Q39+$D$3))</f>
        <v>1</v>
      </c>
      <c r="AM39">
        <f>IF(OR($J39=0,COUNTIFS($A$4:$A38,"&gt;="&amp;$A39-1,$A$4:$A38,"&lt;="&amp;$A39,$B$4:$B38,$B39)&gt;0,MIN(AM$1,IF($A39=$A38,AM38,1))-R39&lt;0),-1,MIN(1,IF($A39=$A38,AM38,1)-R39+$D$3))</f>
        <v>1</v>
      </c>
      <c r="AN39">
        <f>IF(OR($J39=0,COUNTIFS($A$4:$A38,"&gt;="&amp;$A39-1,$A$4:$A38,"&lt;="&amp;$A39,$B$4:$B38,$B39)&gt;0,MIN(AN$1,IF($A39=$A38,AN38,1))-S39&lt;0),-1,MIN(1,IF($A39=$A38,AN38,1)-S39+$D$3))</f>
        <v>1</v>
      </c>
      <c r="AO39">
        <f>IF(OR($J39=0,COUNTIFS($A$4:$A38,"&gt;="&amp;$A39-1,$A$4:$A38,"&lt;="&amp;$A39,$B$4:$B38,$B39)&gt;0,MIN(AO$1,IF($A39=$A38,AO38,1))-T39&lt;0),-1,MIN(1,IF($A39=$A38,AO38,1)-T39+$D$3))</f>
        <v>0.8</v>
      </c>
      <c r="AP39">
        <f>IF(OR($J39=0,COUNTIFS($A$4:$A38,"&gt;="&amp;$A39-1,$A$4:$A38,"&lt;="&amp;$A39,$B$4:$B38,$B39)&gt;0,MIN(AP$1,IF($A39=$A38,AP38,1))-U39&lt;0),-1,MIN(1,IF($A39=$A38,AP38,1)-U39+$D$3))</f>
        <v>1</v>
      </c>
      <c r="AQ39">
        <f>IF(OR($J39=0,COUNTIFS($A$4:$A38,"&gt;="&amp;$A39-1,$A$4:$A38,"&lt;="&amp;$A39,$B$4:$B38,$B39)&gt;0,MIN(AQ$1,IF($A39=$A38,AQ38,1))-V39&lt;0),-1,MIN(1,IF($A39=$A38,AQ38,1)-V39+$D$3))</f>
        <v>0.70000000000000007</v>
      </c>
      <c r="AR39">
        <f>IF(OR($J39=0,COUNTIFS($A$4:$A38,"&gt;="&amp;$A39-1,$A$4:$A38,"&lt;="&amp;$A39,$B$4:$B38,$B39)&gt;0,MIN(AR$1,IF($A39=$A38,AR38,1))-W39&lt;0),-1,MIN(1,IF($A39=$A38,AR38,1)-W39+$D$3))</f>
        <v>1</v>
      </c>
      <c r="AS39">
        <f>IF(OR($J39=0,COUNTIFS($A$4:$A38,"&gt;="&amp;$A39-1,$A$4:$A38,"&lt;="&amp;$A39,$B$4:$B38,$B39)&gt;0,MIN(AS$1,IF($A39=$A38,AS38,1))-X39&lt;0),-1,MIN(1,IF($A39=$A38,AS38,1)-X39+$D$3))</f>
        <v>1</v>
      </c>
      <c r="AT39">
        <f>IF(OR($J39=0,COUNTIFS($A$4:$A38,"&gt;="&amp;$A39-1,$A$4:$A38,"&lt;="&amp;$A39,$B$4:$B38,$B39)&gt;0,MIN(AT$1,IF($A39=$A38,AT38,1))-Y39&lt;0),-1,MIN(1,IF($A39=$A38,AT38,1)-Y39+$D$3))</f>
        <v>0.70000000000000007</v>
      </c>
      <c r="AU39">
        <f>IF(OR($J39=0,COUNTIFS($A$4:$A38,"&gt;="&amp;$A39-1,$A$4:$A38,"&lt;="&amp;$A39,$B$4:$B38,$B39)&gt;0,MIN(AU$1,IF($A39=$A38,AU38,1))-Z39&lt;0),-1,MIN(1,IF($A39=$A38,AU38,1)-Z39+$D$3))</f>
        <v>0.70000000000000007</v>
      </c>
      <c r="AV39">
        <f>IF(OR($J39=0,COUNTIFS($A$4:$A38,"&gt;="&amp;$A39-1,$A$4:$A38,"&lt;="&amp;$A39,$B$4:$B38,$B39)&gt;0,MIN(AV$1,IF($A39=$A38,AV38,1))-AA39&lt;0),-1,MIN(1,IF($A39=$A38,AV38,1)-AA39+$D$3))</f>
        <v>1</v>
      </c>
      <c r="AW39">
        <f>IF(OR($J39=0,COUNTIFS($A$4:$A38,"&gt;="&amp;$A39-1,$A$4:$A38,"&lt;="&amp;$A39,$B$4:$B38,$B39)&gt;0,MIN(AW$1,IF($A39=$A38,AW38,1))-AB39&lt;0),-1,MIN(1,IF($A39=$A38,AW38,1)-AB39+$D$3))</f>
        <v>1</v>
      </c>
      <c r="AX39">
        <f>IF(OR($J39=0,COUNTIFS($A$4:$A38,"&gt;="&amp;$A39-1,$A$4:$A38,"&lt;="&amp;$A39,$B$4:$B38,$B39)&gt;0,MIN(AX$1,IF($A39=$A38,AX38,1))-AC39&lt;0),-1,MIN(1,IF($A39=$A38,AX38,1)-AC39+$D$3))</f>
        <v>1</v>
      </c>
      <c r="AY39">
        <f>IF(OR($J39=0,COUNTIFS($A$4:$A38,"&gt;="&amp;$A39-1,$A$4:$A38,"&lt;="&amp;$A39,$B$4:$B38,$B39)&gt;0,MIN(AY$1,IF($A39=$A38,AY38,1))-AD39&lt;0),-1,MIN(1,IF($A39=$A38,AY38,1)-AD39+$D$3))</f>
        <v>1</v>
      </c>
      <c r="AZ39">
        <f>IF(OR($J39=0,COUNTIFS($A$4:$A38,"&gt;="&amp;$A39-1,$A$4:$A38,"&lt;="&amp;$A39,$B$4:$B38,$B39)&gt;0,MIN(AZ$1,IF($A39=$A38,AZ38,1))-AE39&lt;0),-1,MIN(1,IF($A39=$A38,AZ38,1)-AE39+$D$3))</f>
        <v>1</v>
      </c>
      <c r="BA39">
        <f>IF(OR($J39=0,COUNTIFS($A$4:$A38,"&gt;="&amp;$A39-1,$A$4:$A38,"&lt;="&amp;$A39,$B$4:$B38,$B39)&gt;0,MIN(BA$1,IF($A39=$A38,BA38,1))-AF39&lt;0),-1,MIN(1,IF($A39=$A38,BA38,1)-AF39+$D$3))</f>
        <v>0.8</v>
      </c>
      <c r="BB39">
        <f>IF(OR($J39=0,COUNTIFS($A$4:$A38,"&gt;="&amp;$A39-1,$A$4:$A38,"&lt;="&amp;$A39,$B$4:$B38,$B39)&gt;0,MIN(BB$1,IF($A39=$A38,BB38,1))-AG39&lt;0),-1,MIN(1,IF($A39=$A38,BB38,1)-AG39+$D$3))</f>
        <v>1</v>
      </c>
      <c r="BC39">
        <f>IF(OR($J39=0,COUNTIFS($A$4:$A38,"&gt;="&amp;$A39-1,$A$4:$A38,"&lt;="&amp;$A39,$B$4:$B38,$B39)&gt;0,MIN(BC$1,IF($A39=$A38,BC38,1))-AH39&lt;0),-1,MIN(1,IF($A39=$A38,BC38,1)-AH39+$D$3))</f>
        <v>1</v>
      </c>
      <c r="BD39">
        <f>IF(OR($J39=0,COUNTIFS($A$4:$A38,"&gt;="&amp;$A39-1,$A$4:$A38,"&lt;="&amp;$A39,$B$4:$B38,$B39)&gt;0,MIN(BD$1,IF($A39=$A38,BD38,1))-AI39&lt;0),-1,MIN(1,IF($A39=$A38,BD38,1)-AI39+$D$3))</f>
        <v>1</v>
      </c>
      <c r="BF39" s="44">
        <f t="shared" ref="BF39:BF50" si="135">$AN$2*P39+(1-$AN$2)*BF38</f>
        <v>0.10149078615604723</v>
      </c>
      <c r="BG39" s="44">
        <f t="shared" ref="BG39:BG50" si="136">$AN$2*Q39+(1-$AN$2)*BG38</f>
        <v>0.18981967087256643</v>
      </c>
      <c r="BH39" s="44">
        <f t="shared" ref="BH39:BH50" si="137">$AN$2*R39+(1-$AN$2)*BH38</f>
        <v>0.25920190505861374</v>
      </c>
      <c r="BI39" s="44">
        <f t="shared" ref="BI39:BI50" si="138">$AN$2*S39+(1-$AN$2)*BI38</f>
        <v>0.24691474232833005</v>
      </c>
      <c r="BJ39" s="44">
        <f t="shared" ref="BJ39:BJ50" si="139">$AN$2*T39+(1-$AN$2)*BJ38</f>
        <v>0.35425457023529872</v>
      </c>
      <c r="BK39" s="44">
        <f t="shared" ref="BK39:BK50" si="140">$AN$2*U39+(1-$AN$2)*BK38</f>
        <v>8.9579517344109585E-2</v>
      </c>
      <c r="BL39" s="44">
        <f t="shared" ref="BL39:BL50" si="141">$AN$2*V39+(1-$AN$2)*BL38</f>
        <v>9.8946077960601786E-2</v>
      </c>
      <c r="BM39" s="44">
        <f t="shared" ref="BM39:BM50" si="142">$AN$2*W39+(1-$AN$2)*BM38</f>
        <v>0.11216030947767881</v>
      </c>
      <c r="BN39" s="44">
        <f t="shared" ref="BN39:BN50" si="143">$AN$2*X39+(1-$AN$2)*BN38</f>
        <v>8.1849595025229996E-2</v>
      </c>
      <c r="BO39" s="44">
        <f t="shared" ref="BO39:BO50" si="144">$AN$2*Y39+(1-$AN$2)*BO38</f>
        <v>6.1820347002932069E-2</v>
      </c>
      <c r="BP39" s="44">
        <f t="shared" ref="BP39:BP50" si="145">$AN$2*Z39+(1-$AN$2)*BP38</f>
        <v>0.26538154407527509</v>
      </c>
      <c r="BQ39" s="44">
        <f t="shared" ref="BQ39:BQ50" si="146">$AN$2*AA39+(1-$AN$2)*BQ38</f>
        <v>6.5315050411487954E-2</v>
      </c>
      <c r="BR39" s="44">
        <f t="shared" ref="BR39:BR50" si="147">$AN$2*AB39+(1-$AN$2)*BR38</f>
        <v>0.25607489558974428</v>
      </c>
      <c r="BS39" s="44">
        <f t="shared" ref="BS39:BS50" si="148">$AN$2*AC39+(1-$AN$2)*BS38</f>
        <v>8.6968314475350764E-2</v>
      </c>
      <c r="BT39" s="44">
        <f t="shared" ref="BT39:BT50" si="149">$AN$2*AD39+(1-$AN$2)*BT38</f>
        <v>0.43025297600566331</v>
      </c>
      <c r="BU39" s="44">
        <f t="shared" ref="BU39:BU50" si="150">$AN$2*AE39+(1-$AN$2)*BU38</f>
        <v>0.3997136887201046</v>
      </c>
      <c r="BV39" s="44">
        <f t="shared" ref="BV39:BV50" si="151">$AN$2*AF39+(1-$AN$2)*BV38</f>
        <v>0.46076800414420549</v>
      </c>
      <c r="BW39" s="44">
        <f t="shared" ref="BW39:BW50" si="152">$AN$2*AG39+(1-$AN$2)*BW38</f>
        <v>0.17745690473351708</v>
      </c>
      <c r="BX39" s="44">
        <f t="shared" ref="BX39:BX50" si="153">$AN$2*AH39+(1-$AN$2)*BX38</f>
        <v>0.18670923152223917</v>
      </c>
      <c r="BY39" s="44">
        <f t="shared" ref="BY39:BY50" si="154">$AN$2*AI39+(1-$AN$2)*BY38</f>
        <v>0.16135443723908879</v>
      </c>
      <c r="CA39" s="44">
        <f t="shared" ref="CA39:CA50" si="155">IF($A39="","",BF39/SUM($BF39:$BY39)/CA$2-1)</f>
        <v>-0.42871525311516023</v>
      </c>
      <c r="CB39" s="44">
        <f t="shared" ref="CB39:CB50" si="156">IF($A39="","",BG39/SUM($BF39:$BY39)/CB$2-1)</f>
        <v>-0.28767863740547484</v>
      </c>
      <c r="CC39" s="44">
        <f t="shared" ref="CC39:CC50" si="157">IF($A39="","",BH39/SUM($BF39:$BY39)/CC$2-1)</f>
        <v>0.45902993101069134</v>
      </c>
      <c r="CD39" s="44">
        <f t="shared" ref="CD39:CD50" si="158">IF($A39="","",BI39/SUM($BF39:$BY39)/CD$2-1)</f>
        <v>0.38986632595682802</v>
      </c>
      <c r="CE39" s="44">
        <f t="shared" ref="CE39:CE50" si="159">IF($A39="","",BJ39/SUM($BF39:$BY39)/CE$2-1)</f>
        <v>0.99407493187115992</v>
      </c>
      <c r="CF39" s="44">
        <f t="shared" ref="CF39:CF50" si="160">IF($A39="","",BK39/SUM($BF39:$BY39)/CF$2-1)</f>
        <v>-0.74788148840767199</v>
      </c>
      <c r="CG39" s="44">
        <f t="shared" ref="CG39:CG50" si="161">IF($A39="","",BL39/SUM($BF39:$BY39)/CG$2-1)</f>
        <v>-0.44303924283276486</v>
      </c>
      <c r="CH39" s="44">
        <f t="shared" ref="CH39:CH50" si="162">IF($A39="","",BM39/SUM($BF39:$BY39)/CH$2-1)</f>
        <v>-0.57910482033339949</v>
      </c>
      <c r="CI39" s="44">
        <f t="shared" ref="CI39:CI50" si="163">IF($A39="","",BN39/SUM($BF39:$BY39)/CI$2-1)</f>
        <v>-0.53927418490265544</v>
      </c>
      <c r="CJ39" s="44">
        <f t="shared" ref="CJ39:CJ50" si="164">IF($A39="","",BO39/SUM($BF39:$BY39)/CJ$2-1)</f>
        <v>-0.65201746259407922</v>
      </c>
      <c r="CK39" s="44">
        <f t="shared" ref="CK39:CK50" si="165">IF($A39="","",BP39/SUM($BF39:$BY39)/CK$2-1)</f>
        <v>0.49381469961071978</v>
      </c>
      <c r="CL39" s="44">
        <f t="shared" ref="CL39:CL50" si="166">IF($A39="","",BQ39/SUM($BF39:$BY39)/CL$2-1)</f>
        <v>-0.63234601429999704</v>
      </c>
      <c r="CM39" s="44">
        <f t="shared" ref="CM39:CM50" si="167">IF($A39="","",BR39/SUM($BF39:$BY39)/CM$2-1)</f>
        <v>-3.9047862035357817E-2</v>
      </c>
      <c r="CN39" s="44">
        <f t="shared" ref="CN39:CN50" si="168">IF($A39="","",BS39/SUM($BF39:$BY39)/CN$2-1)</f>
        <v>-0.5104612605358998</v>
      </c>
      <c r="CO39" s="44">
        <f t="shared" ref="CO39:CO50" si="169">IF($A39="","",BT39/SUM($BF39:$BY39)/CO$2-1)</f>
        <v>1.4218647997850673</v>
      </c>
      <c r="CP39" s="44">
        <f t="shared" ref="CP39:CP50" si="170">IF($A39="","",BU39/SUM($BF39:$BY39)/CP$2-1)</f>
        <v>1.2499612244186418</v>
      </c>
      <c r="CQ39" s="44">
        <f t="shared" ref="CQ39:CQ50" si="171">IF($A39="","",BV39/SUM($BF39:$BY39)/CQ$2-1)</f>
        <v>0.72908788137296976</v>
      </c>
      <c r="CR39" s="44">
        <f t="shared" ref="CR39:CR50" si="172">IF($A39="","",BW39/SUM($BF39:$BY39)/CR$2-1)</f>
        <v>-1.107127618659276E-3</v>
      </c>
      <c r="CS39" s="44">
        <f t="shared" ref="CS39:CS50" si="173">IF($A39="","",BX39/SUM($BF39:$BY39)/CS$2-1)</f>
        <v>5.0973591900685955E-2</v>
      </c>
      <c r="CT39" s="44">
        <f t="shared" ref="CT39:CT50" si="174">IF($A39="","",BY39/SUM($BF39:$BY39)/CT$2-1)</f>
        <v>-9.1746824237342928E-2</v>
      </c>
      <c r="CV39" s="44">
        <f t="shared" ref="CV39:CV50" si="175">SQRT(SUMPRODUCT(CA39:CT39,CA39:CT39)/20)</f>
        <v>0.65026378743614954</v>
      </c>
    </row>
    <row r="40" spans="1:100" x14ac:dyDescent="0.25">
      <c r="A40" s="97">
        <v>45055</v>
      </c>
      <c r="B40" s="86">
        <v>28</v>
      </c>
      <c r="C40" s="43" t="str" cm="1">
        <f t="array" ref="C40">IF(B40="","",INDEX(UWS!$B$10:$B$41,B40))</f>
        <v>EZ bar biceps curl</v>
      </c>
      <c r="D40" s="40">
        <f t="shared" si="132"/>
        <v>0.4</v>
      </c>
      <c r="E40" s="69">
        <f t="shared" si="133"/>
        <v>1.0287236121612484</v>
      </c>
      <c r="F40" s="48" cm="1">
        <f t="array" ref="F40">0.1+IFERROR(INDEX($F$5:$F39,SUMPRODUCT(MAX(ROW($C$5:$C39)*($C40=$C$5:$C39))-ROW($A$4)))*0.9^($A40-INDEX($A$5:A39,SUMPRODUCT(MAX(ROW($C$5:$C39)*($C40=$C$5:$C39))-ROW($A$4)))),0)</f>
        <v>0.13874204890000003</v>
      </c>
      <c r="G40" s="55">
        <f>INDEX(UWS!$AB$10:$AB$41,MATCH(C40,UWS!$B$10:$B$41,0))</f>
        <v>1.3</v>
      </c>
      <c r="H40" s="48">
        <f>INDEX(UWS!$C$10:$C$41,MATCH(C40,UWS!$B$10:$B$41,0))</f>
        <v>1</v>
      </c>
      <c r="I40" s="27">
        <f t="shared" si="134"/>
        <v>3</v>
      </c>
      <c r="J40" s="27">
        <f>INDEX(UWS!$E$10:$E$41,MATCH(C40,UWS!$B$10:$B$41,0))</f>
        <v>1</v>
      </c>
      <c r="L40" s="108" t="str" cm="1">
        <f t="array" ref="L40">IF(K40="","",INDEX(UWS!$B$10:$B$41,K40))</f>
        <v/>
      </c>
      <c r="N40" s="108" t="str" cm="1">
        <f t="array" ref="N40">IF(M40="","",INDEX(UWS!$B$10:$B$41,M40))</f>
        <v/>
      </c>
      <c r="P40">
        <f>IFERROR(INDEX(UWS!$G$10:$Z$41,MATCH($C40,UWS!$B$10:$B$41,0),MATCH(P$4,UWS!$G$3:$Z$3,0)),0)</f>
        <v>0</v>
      </c>
      <c r="Q40">
        <f>IFERROR(INDEX(UWS!$G$10:$Z$41,MATCH($C40,UWS!$B$10:$B$41,0),MATCH(Q$4,UWS!$G$3:$Z$3,0)),0)</f>
        <v>0</v>
      </c>
      <c r="R40">
        <f>IFERROR(INDEX(UWS!$G$10:$Z$41,MATCH($C40,UWS!$B$10:$B$41,0),MATCH(R$4,UWS!$G$3:$Z$3,0)),0)</f>
        <v>0</v>
      </c>
      <c r="S40">
        <f>IFERROR(INDEX(UWS!$G$10:$Z$41,MATCH($C40,UWS!$B$10:$B$41,0),MATCH(S$4,UWS!$G$3:$Z$3,0)),0)</f>
        <v>0</v>
      </c>
      <c r="T40">
        <f>IFERROR(INDEX(UWS!$G$10:$Z$41,MATCH($C40,UWS!$B$10:$B$41,0),MATCH(T$4,UWS!$G$3:$Z$3,0)),0)</f>
        <v>0</v>
      </c>
      <c r="U40">
        <f>IFERROR(INDEX(UWS!$G$10:$Z$41,MATCH($C40,UWS!$B$10:$B$41,0),MATCH(U$4,UWS!$G$3:$Z$3,0)),0)</f>
        <v>0</v>
      </c>
      <c r="V40">
        <f>IFERROR(INDEX(UWS!$G$10:$Z$41,MATCH($C40,UWS!$B$10:$B$41,0),MATCH(V$4,UWS!$G$3:$Z$3,0)),0)</f>
        <v>0</v>
      </c>
      <c r="W40">
        <f>IFERROR(INDEX(UWS!$G$10:$Z$41,MATCH($C40,UWS!$B$10:$B$41,0),MATCH(W$4,UWS!$G$3:$Z$3,0)),0)</f>
        <v>0</v>
      </c>
      <c r="X40">
        <f>IFERROR(INDEX(UWS!$G$10:$Z$41,MATCH($C40,UWS!$B$10:$B$41,0),MATCH(X$4,UWS!$G$3:$Z$3,0)),0)</f>
        <v>1</v>
      </c>
      <c r="Y40">
        <f>IFERROR(INDEX(UWS!$G$10:$Z$41,MATCH($C40,UWS!$B$10:$B$41,0),MATCH(Y$4,UWS!$G$3:$Z$3,0)),0)</f>
        <v>0</v>
      </c>
      <c r="Z40">
        <f>IFERROR(INDEX(UWS!$G$10:$Z$41,MATCH($C40,UWS!$B$10:$B$41,0),MATCH(Z$4,UWS!$G$3:$Z$3,0)),0)</f>
        <v>0.3</v>
      </c>
      <c r="AA40">
        <f>IFERROR(INDEX(UWS!$G$10:$Z$41,MATCH($C40,UWS!$B$10:$B$41,0),MATCH(AA$4,UWS!$G$3:$Z$3,0)),0)</f>
        <v>0</v>
      </c>
      <c r="AB40">
        <f>IFERROR(INDEX(UWS!$G$10:$Z$41,MATCH($C40,UWS!$B$10:$B$41,0),MATCH(AB$4,UWS!$G$3:$Z$3,0)),0)</f>
        <v>0</v>
      </c>
      <c r="AC40">
        <f>IFERROR(INDEX(UWS!$G$10:$Z$41,MATCH($C40,UWS!$B$10:$B$41,0),MATCH(AC$4,UWS!$G$3:$Z$3,0)),0)</f>
        <v>0</v>
      </c>
      <c r="AD40">
        <f>IFERROR(INDEX(UWS!$G$10:$Z$41,MATCH($C40,UWS!$B$10:$B$41,0),MATCH(AD$4,UWS!$G$3:$Z$3,0)),0)</f>
        <v>0</v>
      </c>
      <c r="AE40">
        <f>IFERROR(INDEX(UWS!$G$10:$Z$41,MATCH($C40,UWS!$B$10:$B$41,0),MATCH(AE$4,UWS!$G$3:$Z$3,0)),0)</f>
        <v>0</v>
      </c>
      <c r="AF40">
        <f>IFERROR(INDEX(UWS!$G$10:$Z$41,MATCH($C40,UWS!$B$10:$B$41,0),MATCH(AF$4,UWS!$G$3:$Z$3,0)),0)</f>
        <v>0</v>
      </c>
      <c r="AG40">
        <f>IFERROR(INDEX(UWS!$G$10:$Z$41,MATCH($C40,UWS!$B$10:$B$41,0),MATCH(AG$4,UWS!$G$3:$Z$3,0)),0)</f>
        <v>0</v>
      </c>
      <c r="AH40">
        <f>IFERROR(INDEX(UWS!$G$10:$Z$41,MATCH($C40,UWS!$B$10:$B$41,0),MATCH(AH$4,UWS!$G$3:$Z$3,0)),0)</f>
        <v>0</v>
      </c>
      <c r="AI40">
        <f>IFERROR(INDEX(UWS!$G$10:$Z$41,MATCH($C40,UWS!$B$10:$B$41,0),MATCH(AI$4,UWS!$G$3:$Z$3,0)),0)</f>
        <v>0</v>
      </c>
      <c r="AK40">
        <f>IF(OR($J40=0,COUNTIFS($A$4:$A39,"&gt;="&amp;$A40-1,$A$4:$A39,"&lt;="&amp;$A40,$B$4:$B39,$B40)&gt;0,MIN(AK$1,IF($A40=$A39,AK39,1))-P40&lt;0),-1,MIN(1,IF($A40=$A39,AK39,1)-P40+$D$3))</f>
        <v>0.8</v>
      </c>
      <c r="AL40">
        <f>IF(OR($J40=0,COUNTIFS($A$4:$A39,"&gt;="&amp;$A40-1,$A$4:$A39,"&lt;="&amp;$A40,$B$4:$B39,$B40)&gt;0,MIN(AL$1,IF($A40=$A39,AL39,1))-Q40&lt;0),-1,MIN(1,IF($A40=$A39,AL39,1)-Q40+$D$3))</f>
        <v>1</v>
      </c>
      <c r="AM40">
        <f>IF(OR($J40=0,COUNTIFS($A$4:$A39,"&gt;="&amp;$A40-1,$A$4:$A39,"&lt;="&amp;$A40,$B$4:$B39,$B40)&gt;0,MIN(AM$1,IF($A40=$A39,AM39,1))-R40&lt;0),-1,MIN(1,IF($A40=$A39,AM39,1)-R40+$D$3))</f>
        <v>1</v>
      </c>
      <c r="AN40">
        <f>IF(OR($J40=0,COUNTIFS($A$4:$A39,"&gt;="&amp;$A40-1,$A$4:$A39,"&lt;="&amp;$A40,$B$4:$B39,$B40)&gt;0,MIN(AN$1,IF($A40=$A39,AN39,1))-S40&lt;0),-1,MIN(1,IF($A40=$A39,AN39,1)-S40+$D$3))</f>
        <v>1</v>
      </c>
      <c r="AO40">
        <f>IF(OR($J40=0,COUNTIFS($A$4:$A39,"&gt;="&amp;$A40-1,$A$4:$A39,"&lt;="&amp;$A40,$B$4:$B39,$B40)&gt;0,MIN(AO$1,IF($A40=$A39,AO39,1))-T40&lt;0),-1,MIN(1,IF($A40=$A39,AO39,1)-T40+$D$3))</f>
        <v>1</v>
      </c>
      <c r="AP40">
        <f>IF(OR($J40=0,COUNTIFS($A$4:$A39,"&gt;="&amp;$A40-1,$A$4:$A39,"&lt;="&amp;$A40,$B$4:$B39,$B40)&gt;0,MIN(AP$1,IF($A40=$A39,AP39,1))-U40&lt;0),-1,MIN(1,IF($A40=$A39,AP39,1)-U40+$D$3))</f>
        <v>1</v>
      </c>
      <c r="AQ40">
        <f>IF(OR($J40=0,COUNTIFS($A$4:$A39,"&gt;="&amp;$A40-1,$A$4:$A39,"&lt;="&amp;$A40,$B$4:$B39,$B40)&gt;0,MIN(AQ$1,IF($A40=$A39,AQ39,1))-V40&lt;0),-1,MIN(1,IF($A40=$A39,AQ39,1)-V40+$D$3))</f>
        <v>1</v>
      </c>
      <c r="AR40">
        <f>IF(OR($J40=0,COUNTIFS($A$4:$A39,"&gt;="&amp;$A40-1,$A$4:$A39,"&lt;="&amp;$A40,$B$4:$B39,$B40)&gt;0,MIN(AR$1,IF($A40=$A39,AR39,1))-W40&lt;0),-1,MIN(1,IF($A40=$A39,AR39,1)-W40+$D$3))</f>
        <v>1</v>
      </c>
      <c r="AS40">
        <f>IF(OR($J40=0,COUNTIFS($A$4:$A39,"&gt;="&amp;$A40-1,$A$4:$A39,"&lt;="&amp;$A40,$B$4:$B39,$B40)&gt;0,MIN(AS$1,IF($A40=$A39,AS39,1))-X40&lt;0),-1,MIN(1,IF($A40=$A39,AS39,1)-X40+$D$3))</f>
        <v>0.4</v>
      </c>
      <c r="AT40">
        <f>IF(OR($J40=0,COUNTIFS($A$4:$A39,"&gt;="&amp;$A40-1,$A$4:$A39,"&lt;="&amp;$A40,$B$4:$B39,$B40)&gt;0,MIN(AT$1,IF($A40=$A39,AT39,1))-Y40&lt;0),-1,MIN(1,IF($A40=$A39,AT39,1)-Y40+$D$3))</f>
        <v>1</v>
      </c>
      <c r="AU40">
        <f>IF(OR($J40=0,COUNTIFS($A$4:$A39,"&gt;="&amp;$A40-1,$A$4:$A39,"&lt;="&amp;$A40,$B$4:$B39,$B40)&gt;0,MIN(AU$1,IF($A40=$A39,AU39,1))-Z40&lt;0),-1,MIN(1,IF($A40=$A39,AU39,1)-Z40+$D$3))</f>
        <v>0.8</v>
      </c>
      <c r="AV40">
        <f>IF(OR($J40=0,COUNTIFS($A$4:$A39,"&gt;="&amp;$A40-1,$A$4:$A39,"&lt;="&amp;$A40,$B$4:$B39,$B40)&gt;0,MIN(AV$1,IF($A40=$A39,AV39,1))-AA40&lt;0),-1,MIN(1,IF($A40=$A39,AV39,1)-AA40+$D$3))</f>
        <v>1</v>
      </c>
      <c r="AW40">
        <f>IF(OR($J40=0,COUNTIFS($A$4:$A39,"&gt;="&amp;$A40-1,$A$4:$A39,"&lt;="&amp;$A40,$B$4:$B39,$B40)&gt;0,MIN(AW$1,IF($A40=$A39,AW39,1))-AB40&lt;0),-1,MIN(1,IF($A40=$A39,AW39,1)-AB40+$D$3))</f>
        <v>1</v>
      </c>
      <c r="AX40">
        <f>IF(OR($J40=0,COUNTIFS($A$4:$A39,"&gt;="&amp;$A40-1,$A$4:$A39,"&lt;="&amp;$A40,$B$4:$B39,$B40)&gt;0,MIN(AX$1,IF($A40=$A39,AX39,1))-AC40&lt;0),-1,MIN(1,IF($A40=$A39,AX39,1)-AC40+$D$3))</f>
        <v>1</v>
      </c>
      <c r="AY40">
        <f>IF(OR($J40=0,COUNTIFS($A$4:$A39,"&gt;="&amp;$A40-1,$A$4:$A39,"&lt;="&amp;$A40,$B$4:$B39,$B40)&gt;0,MIN(AY$1,IF($A40=$A39,AY39,1))-AD40&lt;0),-1,MIN(1,IF($A40=$A39,AY39,1)-AD40+$D$3))</f>
        <v>1</v>
      </c>
      <c r="AZ40">
        <f>IF(OR($J40=0,COUNTIFS($A$4:$A39,"&gt;="&amp;$A40-1,$A$4:$A39,"&lt;="&amp;$A40,$B$4:$B39,$B40)&gt;0,MIN(AZ$1,IF($A40=$A39,AZ39,1))-AE40&lt;0),-1,MIN(1,IF($A40=$A39,AZ39,1)-AE40+$D$3))</f>
        <v>1</v>
      </c>
      <c r="BA40">
        <f>IF(OR($J40=0,COUNTIFS($A$4:$A39,"&gt;="&amp;$A40-1,$A$4:$A39,"&lt;="&amp;$A40,$B$4:$B39,$B40)&gt;0,MIN(BA$1,IF($A40=$A39,BA39,1))-AF40&lt;0),-1,MIN(1,IF($A40=$A39,BA39,1)-AF40+$D$3))</f>
        <v>1</v>
      </c>
      <c r="BB40">
        <f>IF(OR($J40=0,COUNTIFS($A$4:$A39,"&gt;="&amp;$A40-1,$A$4:$A39,"&lt;="&amp;$A40,$B$4:$B39,$B40)&gt;0,MIN(BB$1,IF($A40=$A39,BB39,1))-AG40&lt;0),-1,MIN(1,IF($A40=$A39,BB39,1)-AG40+$D$3))</f>
        <v>1</v>
      </c>
      <c r="BC40">
        <f>IF(OR($J40=0,COUNTIFS($A$4:$A39,"&gt;="&amp;$A40-1,$A$4:$A39,"&lt;="&amp;$A40,$B$4:$B39,$B40)&gt;0,MIN(BC$1,IF($A40=$A39,BC39,1))-AH40&lt;0),-1,MIN(1,IF($A40=$A39,BC39,1)-AH40+$D$3))</f>
        <v>1</v>
      </c>
      <c r="BD40">
        <f>IF(OR($J40=0,COUNTIFS($A$4:$A39,"&gt;="&amp;$A40-1,$A$4:$A39,"&lt;="&amp;$A40,$B$4:$B39,$B40)&gt;0,MIN(BD$1,IF($A40=$A39,BD39,1))-AI40&lt;0),-1,MIN(1,IF($A40=$A39,BD39,1)-AI40+$D$3))</f>
        <v>1</v>
      </c>
      <c r="BF40" s="44">
        <f t="shared" si="135"/>
        <v>9.641624684824486E-2</v>
      </c>
      <c r="BG40" s="44">
        <f t="shared" si="136"/>
        <v>0.18032868732893811</v>
      </c>
      <c r="BH40" s="44">
        <f t="shared" si="137"/>
        <v>0.24624180980568303</v>
      </c>
      <c r="BI40" s="44">
        <f t="shared" si="138"/>
        <v>0.23456900521191354</v>
      </c>
      <c r="BJ40" s="44">
        <f t="shared" si="139"/>
        <v>0.33654184172353374</v>
      </c>
      <c r="BK40" s="44">
        <f t="shared" si="140"/>
        <v>8.5100541476904101E-2</v>
      </c>
      <c r="BL40" s="44">
        <f t="shared" si="141"/>
        <v>9.3998774062571691E-2</v>
      </c>
      <c r="BM40" s="44">
        <f t="shared" si="142"/>
        <v>0.10655229400379487</v>
      </c>
      <c r="BN40" s="44">
        <f t="shared" si="143"/>
        <v>0.12775711527396849</v>
      </c>
      <c r="BO40" s="44">
        <f t="shared" si="144"/>
        <v>5.8729329652785461E-2</v>
      </c>
      <c r="BP40" s="44">
        <f t="shared" si="145"/>
        <v>0.26711246687151136</v>
      </c>
      <c r="BQ40" s="44">
        <f t="shared" si="146"/>
        <v>6.2049297890913555E-2</v>
      </c>
      <c r="BR40" s="44">
        <f t="shared" si="147"/>
        <v>0.24327115081025705</v>
      </c>
      <c r="BS40" s="44">
        <f t="shared" si="148"/>
        <v>8.2619898751583223E-2</v>
      </c>
      <c r="BT40" s="44">
        <f t="shared" si="149"/>
        <v>0.40874032720538012</v>
      </c>
      <c r="BU40" s="44">
        <f t="shared" si="150"/>
        <v>0.37972800428409936</v>
      </c>
      <c r="BV40" s="44">
        <f t="shared" si="151"/>
        <v>0.43772960393699517</v>
      </c>
      <c r="BW40" s="44">
        <f t="shared" si="152"/>
        <v>0.16858405949684122</v>
      </c>
      <c r="BX40" s="44">
        <f t="shared" si="153"/>
        <v>0.17737376994612722</v>
      </c>
      <c r="BY40" s="44">
        <f t="shared" si="154"/>
        <v>0.15328671537713434</v>
      </c>
      <c r="CA40" s="44">
        <f t="shared" si="155"/>
        <v>-0.4381239280698046</v>
      </c>
      <c r="CB40" s="44">
        <f t="shared" si="156"/>
        <v>-0.29941009041633604</v>
      </c>
      <c r="CC40" s="44">
        <f t="shared" si="157"/>
        <v>0.43500069087285853</v>
      </c>
      <c r="CD40" s="44">
        <f t="shared" si="158"/>
        <v>0.36697616380452103</v>
      </c>
      <c r="CE40" s="44">
        <f t="shared" si="159"/>
        <v>0.96123386098403074</v>
      </c>
      <c r="CF40" s="44">
        <f t="shared" si="160"/>
        <v>-0.75203371046253298</v>
      </c>
      <c r="CG40" s="44">
        <f t="shared" si="161"/>
        <v>-0.45221201132562905</v>
      </c>
      <c r="CH40" s="44">
        <f t="shared" si="162"/>
        <v>-0.58603668042077905</v>
      </c>
      <c r="CI40" s="44">
        <f t="shared" si="163"/>
        <v>-0.25548163885434094</v>
      </c>
      <c r="CJ40" s="44">
        <f t="shared" si="164"/>
        <v>-0.65774850057854817</v>
      </c>
      <c r="CK40" s="44">
        <f t="shared" si="165"/>
        <v>0.5566266947268268</v>
      </c>
      <c r="CL40" s="44">
        <f t="shared" si="166"/>
        <v>-0.63840102778686703</v>
      </c>
      <c r="CM40" s="44">
        <f t="shared" si="167"/>
        <v>-5.4874096434895492E-2</v>
      </c>
      <c r="CN40" s="44">
        <f t="shared" si="168"/>
        <v>-0.51852363381374356</v>
      </c>
      <c r="CO40" s="44">
        <f t="shared" si="169"/>
        <v>1.381978317939498</v>
      </c>
      <c r="CP40" s="44">
        <f t="shared" si="170"/>
        <v>1.2129058786623585</v>
      </c>
      <c r="CQ40" s="44">
        <f t="shared" si="171"/>
        <v>0.70061096870802775</v>
      </c>
      <c r="CR40" s="44">
        <f t="shared" si="172"/>
        <v>-1.7558220356553855E-2</v>
      </c>
      <c r="CS40" s="44">
        <f t="shared" si="173"/>
        <v>3.3664764794713919E-2</v>
      </c>
      <c r="CT40" s="44">
        <f t="shared" si="174"/>
        <v>-0.10670514222827809</v>
      </c>
      <c r="CV40" s="44">
        <f t="shared" si="175"/>
        <v>0.63304087997349012</v>
      </c>
    </row>
    <row r="41" spans="1:100" x14ac:dyDescent="0.25">
      <c r="A41" s="97">
        <v>45055</v>
      </c>
      <c r="B41" s="86">
        <v>26</v>
      </c>
      <c r="C41" s="43" t="str" cm="1">
        <f t="array" ref="C41">IF(B41="","",INDEX(UWS!$B$10:$B$41,B41))</f>
        <v>Dumbbell shoulder shrug</v>
      </c>
      <c r="D41" s="40">
        <f t="shared" si="132"/>
        <v>0.4</v>
      </c>
      <c r="E41" s="69">
        <f t="shared" si="133"/>
        <v>1.5318047981846494</v>
      </c>
      <c r="F41" s="48" cm="1">
        <f t="array" ref="F41">0.1+IFERROR(INDEX($F$5:$F40,SUMPRODUCT(MAX(ROW($C$5:$C40)*($C41=$C$5:$C40))-ROW($A$4)))*0.9^($A41-INDEX($A$5:A40,SUMPRODUCT(MAX(ROW($C$5:$C40)*($C41=$C$5:$C40))-ROW($A$4)))),0)</f>
        <v>0.1</v>
      </c>
      <c r="G41" s="55">
        <f>INDEX(UWS!$AB$10:$AB$41,MATCH(C41,UWS!$B$10:$B$41,0))</f>
        <v>1.7</v>
      </c>
      <c r="H41" s="48">
        <f>INDEX(UWS!$C$10:$C$41,MATCH(C41,UWS!$B$10:$B$41,0))</f>
        <v>1</v>
      </c>
      <c r="I41" s="27">
        <f t="shared" si="134"/>
        <v>4</v>
      </c>
      <c r="J41" s="27">
        <f>INDEX(UWS!$E$10:$E$41,MATCH(C41,UWS!$B$10:$B$41,0))</f>
        <v>1</v>
      </c>
      <c r="L41" s="108" t="str" cm="1">
        <f t="array" ref="L41">IF(K41="","",INDEX(UWS!$B$10:$B$41,K41))</f>
        <v/>
      </c>
      <c r="N41" s="108" t="str" cm="1">
        <f t="array" ref="N41">IF(M41="","",INDEX(UWS!$B$10:$B$41,M41))</f>
        <v/>
      </c>
      <c r="P41">
        <f>IFERROR(INDEX(UWS!$G$10:$Z$41,MATCH($C41,UWS!$B$10:$B$41,0),MATCH(P$4,UWS!$G$3:$Z$3,0)),0)</f>
        <v>0</v>
      </c>
      <c r="Q41">
        <f>IFERROR(INDEX(UWS!$G$10:$Z$41,MATCH($C41,UWS!$B$10:$B$41,0),MATCH(Q$4,UWS!$G$3:$Z$3,0)),0)</f>
        <v>0</v>
      </c>
      <c r="R41">
        <f>IFERROR(INDEX(UWS!$G$10:$Z$41,MATCH($C41,UWS!$B$10:$B$41,0),MATCH(R$4,UWS!$G$3:$Z$3,0)),0)</f>
        <v>1</v>
      </c>
      <c r="S41">
        <f>IFERROR(INDEX(UWS!$G$10:$Z$41,MATCH($C41,UWS!$B$10:$B$41,0),MATCH(S$4,UWS!$G$3:$Z$3,0)),0)</f>
        <v>0</v>
      </c>
      <c r="T41">
        <f>IFERROR(INDEX(UWS!$G$10:$Z$41,MATCH($C41,UWS!$B$10:$B$41,0),MATCH(T$4,UWS!$G$3:$Z$3,0)),0)</f>
        <v>0</v>
      </c>
      <c r="U41">
        <f>IFERROR(INDEX(UWS!$G$10:$Z$41,MATCH($C41,UWS!$B$10:$B$41,0),MATCH(U$4,UWS!$G$3:$Z$3,0)),0)</f>
        <v>0</v>
      </c>
      <c r="V41">
        <f>IFERROR(INDEX(UWS!$G$10:$Z$41,MATCH($C41,UWS!$B$10:$B$41,0),MATCH(V$4,UWS!$G$3:$Z$3,0)),0)</f>
        <v>0</v>
      </c>
      <c r="W41">
        <f>IFERROR(INDEX(UWS!$G$10:$Z$41,MATCH($C41,UWS!$B$10:$B$41,0),MATCH(W$4,UWS!$G$3:$Z$3,0)),0)</f>
        <v>0</v>
      </c>
      <c r="X41">
        <f>IFERROR(INDEX(UWS!$G$10:$Z$41,MATCH($C41,UWS!$B$10:$B$41,0),MATCH(X$4,UWS!$G$3:$Z$3,0)),0)</f>
        <v>0</v>
      </c>
      <c r="Y41">
        <f>IFERROR(INDEX(UWS!$G$10:$Z$41,MATCH($C41,UWS!$B$10:$B$41,0),MATCH(Y$4,UWS!$G$3:$Z$3,0)),0)</f>
        <v>0</v>
      </c>
      <c r="Z41">
        <f>IFERROR(INDEX(UWS!$G$10:$Z$41,MATCH($C41,UWS!$B$10:$B$41,0),MATCH(Z$4,UWS!$G$3:$Z$3,0)),0)</f>
        <v>0.7</v>
      </c>
      <c r="AA41">
        <f>IFERROR(INDEX(UWS!$G$10:$Z$41,MATCH($C41,UWS!$B$10:$B$41,0),MATCH(AA$4,UWS!$G$3:$Z$3,0)),0)</f>
        <v>0</v>
      </c>
      <c r="AB41">
        <f>IFERROR(INDEX(UWS!$G$10:$Z$41,MATCH($C41,UWS!$B$10:$B$41,0),MATCH(AB$4,UWS!$G$3:$Z$3,0)),0)</f>
        <v>0</v>
      </c>
      <c r="AC41">
        <f>IFERROR(INDEX(UWS!$G$10:$Z$41,MATCH($C41,UWS!$B$10:$B$41,0),MATCH(AC$4,UWS!$G$3:$Z$3,0)),0)</f>
        <v>0</v>
      </c>
      <c r="AD41">
        <f>IFERROR(INDEX(UWS!$G$10:$Z$41,MATCH($C41,UWS!$B$10:$B$41,0),MATCH(AD$4,UWS!$G$3:$Z$3,0)),0)</f>
        <v>0</v>
      </c>
      <c r="AE41">
        <f>IFERROR(INDEX(UWS!$G$10:$Z$41,MATCH($C41,UWS!$B$10:$B$41,0),MATCH(AE$4,UWS!$G$3:$Z$3,0)),0)</f>
        <v>0</v>
      </c>
      <c r="AF41">
        <f>IFERROR(INDEX(UWS!$G$10:$Z$41,MATCH($C41,UWS!$B$10:$B$41,0),MATCH(AF$4,UWS!$G$3:$Z$3,0)),0)</f>
        <v>0</v>
      </c>
      <c r="AG41">
        <f>IFERROR(INDEX(UWS!$G$10:$Z$41,MATCH($C41,UWS!$B$10:$B$41,0),MATCH(AG$4,UWS!$G$3:$Z$3,0)),0)</f>
        <v>0</v>
      </c>
      <c r="AH41">
        <f>IFERROR(INDEX(UWS!$G$10:$Z$41,MATCH($C41,UWS!$B$10:$B$41,0),MATCH(AH$4,UWS!$G$3:$Z$3,0)),0)</f>
        <v>0</v>
      </c>
      <c r="AI41">
        <f>IFERROR(INDEX(UWS!$G$10:$Z$41,MATCH($C41,UWS!$B$10:$B$41,0),MATCH(AI$4,UWS!$G$3:$Z$3,0)),0)</f>
        <v>0</v>
      </c>
      <c r="AK41">
        <f>IF(OR($J41=0,COUNTIFS($A$4:$A40,"&gt;="&amp;$A41-1,$A$4:$A40,"&lt;="&amp;$A41,$B$4:$B40,$B41)&gt;0,MIN(AK$1,IF($A41=$A40,AK40,1))-P41&lt;0),-1,MIN(1,IF($A41=$A40,AK40,1)-P41+$D$3))</f>
        <v>1</v>
      </c>
      <c r="AL41">
        <f>IF(OR($J41=0,COUNTIFS($A$4:$A40,"&gt;="&amp;$A41-1,$A$4:$A40,"&lt;="&amp;$A41,$B$4:$B40,$B41)&gt;0,MIN(AL$1,IF($A41=$A40,AL40,1))-Q41&lt;0),-1,MIN(1,IF($A41=$A40,AL40,1)-Q41+$D$3))</f>
        <v>1</v>
      </c>
      <c r="AM41">
        <f>IF(OR($J41=0,COUNTIFS($A$4:$A40,"&gt;="&amp;$A41-1,$A$4:$A40,"&lt;="&amp;$A41,$B$4:$B40,$B41)&gt;0,MIN(AM$1,IF($A41=$A40,AM40,1))-R41&lt;0),-1,MIN(1,IF($A41=$A40,AM40,1)-R41+$D$3))</f>
        <v>0.4</v>
      </c>
      <c r="AN41">
        <f>IF(OR($J41=0,COUNTIFS($A$4:$A40,"&gt;="&amp;$A41-1,$A$4:$A40,"&lt;="&amp;$A41,$B$4:$B40,$B41)&gt;0,MIN(AN$1,IF($A41=$A40,AN40,1))-S41&lt;0),-1,MIN(1,IF($A41=$A40,AN40,1)-S41+$D$3))</f>
        <v>1</v>
      </c>
      <c r="AO41">
        <f>IF(OR($J41=0,COUNTIFS($A$4:$A40,"&gt;="&amp;$A41-1,$A$4:$A40,"&lt;="&amp;$A41,$B$4:$B40,$B41)&gt;0,MIN(AO$1,IF($A41=$A40,AO40,1))-T41&lt;0),-1,MIN(1,IF($A41=$A40,AO40,1)-T41+$D$3))</f>
        <v>1</v>
      </c>
      <c r="AP41">
        <f>IF(OR($J41=0,COUNTIFS($A$4:$A40,"&gt;="&amp;$A41-1,$A$4:$A40,"&lt;="&amp;$A41,$B$4:$B40,$B41)&gt;0,MIN(AP$1,IF($A41=$A40,AP40,1))-U41&lt;0),-1,MIN(1,IF($A41=$A40,AP40,1)-U41+$D$3))</f>
        <v>1</v>
      </c>
      <c r="AQ41">
        <f>IF(OR($J41=0,COUNTIFS($A$4:$A40,"&gt;="&amp;$A41-1,$A$4:$A40,"&lt;="&amp;$A41,$B$4:$B40,$B41)&gt;0,MIN(AQ$1,IF($A41=$A40,AQ40,1))-V41&lt;0),-1,MIN(1,IF($A41=$A40,AQ40,1)-V41+$D$3))</f>
        <v>1</v>
      </c>
      <c r="AR41">
        <f>IF(OR($J41=0,COUNTIFS($A$4:$A40,"&gt;="&amp;$A41-1,$A$4:$A40,"&lt;="&amp;$A41,$B$4:$B40,$B41)&gt;0,MIN(AR$1,IF($A41=$A40,AR40,1))-W41&lt;0),-1,MIN(1,IF($A41=$A40,AR40,1)-W41+$D$3))</f>
        <v>1</v>
      </c>
      <c r="AS41">
        <f>IF(OR($J41=0,COUNTIFS($A$4:$A40,"&gt;="&amp;$A41-1,$A$4:$A40,"&lt;="&amp;$A41,$B$4:$B40,$B41)&gt;0,MIN(AS$1,IF($A41=$A40,AS40,1))-X41&lt;0),-1,MIN(1,IF($A41=$A40,AS40,1)-X41+$D$3))</f>
        <v>0.8</v>
      </c>
      <c r="AT41">
        <f>IF(OR($J41=0,COUNTIFS($A$4:$A40,"&gt;="&amp;$A41-1,$A$4:$A40,"&lt;="&amp;$A41,$B$4:$B40,$B41)&gt;0,MIN(AT$1,IF($A41=$A40,AT40,1))-Y41&lt;0),-1,MIN(1,IF($A41=$A40,AT40,1)-Y41+$D$3))</f>
        <v>1</v>
      </c>
      <c r="AU41">
        <f>IF(OR($J41=0,COUNTIFS($A$4:$A40,"&gt;="&amp;$A41-1,$A$4:$A40,"&lt;="&amp;$A41,$B$4:$B40,$B41)&gt;0,MIN(AU$1,IF($A41=$A40,AU40,1))-Z41&lt;0),-1,MIN(1,IF($A41=$A40,AU40,1)-Z41+$D$3))</f>
        <v>0.50000000000000011</v>
      </c>
      <c r="AV41">
        <f>IF(OR($J41=0,COUNTIFS($A$4:$A40,"&gt;="&amp;$A41-1,$A$4:$A40,"&lt;="&amp;$A41,$B$4:$B40,$B41)&gt;0,MIN(AV$1,IF($A41=$A40,AV40,1))-AA41&lt;0),-1,MIN(1,IF($A41=$A40,AV40,1)-AA41+$D$3))</f>
        <v>1</v>
      </c>
      <c r="AW41">
        <f>IF(OR($J41=0,COUNTIFS($A$4:$A40,"&gt;="&amp;$A41-1,$A$4:$A40,"&lt;="&amp;$A41,$B$4:$B40,$B41)&gt;0,MIN(AW$1,IF($A41=$A40,AW40,1))-AB41&lt;0),-1,MIN(1,IF($A41=$A40,AW40,1)-AB41+$D$3))</f>
        <v>1</v>
      </c>
      <c r="AX41">
        <f>IF(OR($J41=0,COUNTIFS($A$4:$A40,"&gt;="&amp;$A41-1,$A$4:$A40,"&lt;="&amp;$A41,$B$4:$B40,$B41)&gt;0,MIN(AX$1,IF($A41=$A40,AX40,1))-AC41&lt;0),-1,MIN(1,IF($A41=$A40,AX40,1)-AC41+$D$3))</f>
        <v>1</v>
      </c>
      <c r="AY41">
        <f>IF(OR($J41=0,COUNTIFS($A$4:$A40,"&gt;="&amp;$A41-1,$A$4:$A40,"&lt;="&amp;$A41,$B$4:$B40,$B41)&gt;0,MIN(AY$1,IF($A41=$A40,AY40,1))-AD41&lt;0),-1,MIN(1,IF($A41=$A40,AY40,1)-AD41+$D$3))</f>
        <v>1</v>
      </c>
      <c r="AZ41">
        <f>IF(OR($J41=0,COUNTIFS($A$4:$A40,"&gt;="&amp;$A41-1,$A$4:$A40,"&lt;="&amp;$A41,$B$4:$B40,$B41)&gt;0,MIN(AZ$1,IF($A41=$A40,AZ40,1))-AE41&lt;0),-1,MIN(1,IF($A41=$A40,AZ40,1)-AE41+$D$3))</f>
        <v>1</v>
      </c>
      <c r="BA41">
        <f>IF(OR($J41=0,COUNTIFS($A$4:$A40,"&gt;="&amp;$A41-1,$A$4:$A40,"&lt;="&amp;$A41,$B$4:$B40,$B41)&gt;0,MIN(BA$1,IF($A41=$A40,BA40,1))-AF41&lt;0),-1,MIN(1,IF($A41=$A40,BA40,1)-AF41+$D$3))</f>
        <v>1</v>
      </c>
      <c r="BB41">
        <f>IF(OR($J41=0,COUNTIFS($A$4:$A40,"&gt;="&amp;$A41-1,$A$4:$A40,"&lt;="&amp;$A41,$B$4:$B40,$B41)&gt;0,MIN(BB$1,IF($A41=$A40,BB40,1))-AG41&lt;0),-1,MIN(1,IF($A41=$A40,BB40,1)-AG41+$D$3))</f>
        <v>1</v>
      </c>
      <c r="BC41">
        <f>IF(OR($J41=0,COUNTIFS($A$4:$A40,"&gt;="&amp;$A41-1,$A$4:$A40,"&lt;="&amp;$A41,$B$4:$B40,$B41)&gt;0,MIN(BC$1,IF($A41=$A40,BC40,1))-AH41&lt;0),-1,MIN(1,IF($A41=$A40,BC40,1)-AH41+$D$3))</f>
        <v>1</v>
      </c>
      <c r="BD41">
        <f>IF(OR($J41=0,COUNTIFS($A$4:$A40,"&gt;="&amp;$A41-1,$A$4:$A40,"&lt;="&amp;$A41,$B$4:$B40,$B41)&gt;0,MIN(BD$1,IF($A41=$A40,BD40,1))-AI41&lt;0),-1,MIN(1,IF($A41=$A40,BD40,1)-AI41+$D$3))</f>
        <v>1</v>
      </c>
      <c r="BF41" s="44">
        <f t="shared" si="135"/>
        <v>9.1595434505832615E-2</v>
      </c>
      <c r="BG41" s="44">
        <f t="shared" si="136"/>
        <v>0.1713122529624912</v>
      </c>
      <c r="BH41" s="44">
        <f t="shared" si="137"/>
        <v>0.28392971931539884</v>
      </c>
      <c r="BI41" s="44">
        <f t="shared" si="138"/>
        <v>0.22284055495131785</v>
      </c>
      <c r="BJ41" s="44">
        <f t="shared" si="139"/>
        <v>0.31971474963735702</v>
      </c>
      <c r="BK41" s="44">
        <f t="shared" si="140"/>
        <v>8.0845514403058899E-2</v>
      </c>
      <c r="BL41" s="44">
        <f t="shared" si="141"/>
        <v>8.9298835359443107E-2</v>
      </c>
      <c r="BM41" s="44">
        <f t="shared" si="142"/>
        <v>0.10122467930360513</v>
      </c>
      <c r="BN41" s="44">
        <f t="shared" si="143"/>
        <v>0.12136925951027006</v>
      </c>
      <c r="BO41" s="44">
        <f t="shared" si="144"/>
        <v>5.5792863170146187E-2</v>
      </c>
      <c r="BP41" s="44">
        <f t="shared" si="145"/>
        <v>0.28875684352793574</v>
      </c>
      <c r="BQ41" s="44">
        <f t="shared" si="146"/>
        <v>5.8946832996367875E-2</v>
      </c>
      <c r="BR41" s="44">
        <f t="shared" si="147"/>
        <v>0.23110759326974417</v>
      </c>
      <c r="BS41" s="44">
        <f t="shared" si="148"/>
        <v>7.8488903814004057E-2</v>
      </c>
      <c r="BT41" s="44">
        <f t="shared" si="149"/>
        <v>0.3883033108451111</v>
      </c>
      <c r="BU41" s="44">
        <f t="shared" si="150"/>
        <v>0.36074160406989436</v>
      </c>
      <c r="BV41" s="44">
        <f t="shared" si="151"/>
        <v>0.41584312374014537</v>
      </c>
      <c r="BW41" s="44">
        <f t="shared" si="152"/>
        <v>0.16015485652199915</v>
      </c>
      <c r="BX41" s="44">
        <f t="shared" si="153"/>
        <v>0.16850508144882084</v>
      </c>
      <c r="BY41" s="44">
        <f t="shared" si="154"/>
        <v>0.14562237960827762</v>
      </c>
      <c r="CA41" s="44">
        <f t="shared" si="155"/>
        <v>-0.45057947155842915</v>
      </c>
      <c r="CB41" s="44">
        <f t="shared" si="156"/>
        <v>-0.31494061133091056</v>
      </c>
      <c r="CC41" s="44">
        <f t="shared" si="157"/>
        <v>0.70310689902999179</v>
      </c>
      <c r="CD41" s="44">
        <f t="shared" si="158"/>
        <v>0.33667334098152746</v>
      </c>
      <c r="CE41" s="44">
        <f t="shared" si="159"/>
        <v>0.91775766602357978</v>
      </c>
      <c r="CF41" s="44">
        <f t="shared" si="160"/>
        <v>-0.75753057188330286</v>
      </c>
      <c r="CG41" s="44">
        <f t="shared" si="161"/>
        <v>-0.46435525332566818</v>
      </c>
      <c r="CH41" s="44">
        <f t="shared" si="162"/>
        <v>-0.59521332699339713</v>
      </c>
      <c r="CI41" s="44">
        <f t="shared" si="163"/>
        <v>-0.27198595588900776</v>
      </c>
      <c r="CJ41" s="44">
        <f t="shared" si="164"/>
        <v>-0.66533545551052542</v>
      </c>
      <c r="CK41" s="44">
        <f t="shared" si="165"/>
        <v>0.73206162968893373</v>
      </c>
      <c r="CL41" s="44">
        <f t="shared" si="166"/>
        <v>-0.64641687318204544</v>
      </c>
      <c r="CM41" s="44">
        <f t="shared" si="167"/>
        <v>-7.5825436743160446E-2</v>
      </c>
      <c r="CN41" s="44">
        <f t="shared" si="168"/>
        <v>-0.52919689455107377</v>
      </c>
      <c r="CO41" s="44">
        <f t="shared" si="169"/>
        <v>1.3291751536649712</v>
      </c>
      <c r="CP41" s="44">
        <f t="shared" si="170"/>
        <v>1.1638506745259272</v>
      </c>
      <c r="CQ41" s="44">
        <f t="shared" si="171"/>
        <v>0.66291220391598249</v>
      </c>
      <c r="CR41" s="44">
        <f t="shared" si="172"/>
        <v>-3.9336770685906353E-2</v>
      </c>
      <c r="CS41" s="44">
        <f t="shared" si="173"/>
        <v>1.0750714751025736E-2</v>
      </c>
      <c r="CT41" s="44">
        <f t="shared" si="174"/>
        <v>-0.12650750346946416</v>
      </c>
      <c r="CV41" s="44">
        <f t="shared" si="175"/>
        <v>0.64150386855862884</v>
      </c>
    </row>
    <row r="42" spans="1:100" x14ac:dyDescent="0.25">
      <c r="A42" s="98">
        <v>45055</v>
      </c>
      <c r="B42" s="57">
        <v>4</v>
      </c>
      <c r="C42" s="51" t="str" cm="1">
        <f t="array" ref="C42">IF(B42="","",INDEX(UWS!$B$10:$B$41,B42))</f>
        <v>Cycling machine</v>
      </c>
      <c r="D42" s="45">
        <f t="shared" si="132"/>
        <v>0.4</v>
      </c>
      <c r="E42" s="70">
        <f t="shared" si="133"/>
        <v>0.86302810146492726</v>
      </c>
      <c r="F42" s="52" cm="1">
        <f t="array" ref="F42">0.1+IFERROR(INDEX($F$5:$F41,SUMPRODUCT(MAX(ROW($C$5:$C41)*($C42=$C$5:$C41))-ROW($A$4)))*0.9^($A42-INDEX($A$5:A41,SUMPRODUCT(MAX(ROW($C$5:$C41)*($C42=$C$5:$C41))-ROW($A$4)))),0)</f>
        <v>0.18100000000000002</v>
      </c>
      <c r="G42" s="56">
        <f>INDEX(UWS!$AB$10:$AB$41,MATCH(C42,UWS!$B$10:$B$41,0))</f>
        <v>4.5999999999999996</v>
      </c>
      <c r="H42" s="52">
        <f>INDEX(UWS!$C$10:$C$41,MATCH(C42,UWS!$B$10:$B$41,0))</f>
        <v>1</v>
      </c>
      <c r="I42" s="46">
        <f t="shared" si="134"/>
        <v>5</v>
      </c>
      <c r="J42" s="46">
        <f>INDEX(UWS!$E$10:$E$41,MATCH(C42,UWS!$B$10:$B$41,0))</f>
        <v>1</v>
      </c>
      <c r="K42" s="46"/>
      <c r="L42" s="109" t="str" cm="1">
        <f t="array" ref="L42">IF(K42="","",INDEX(UWS!$B$10:$B$41,K42))</f>
        <v/>
      </c>
      <c r="M42" s="46"/>
      <c r="N42" s="109" t="str" cm="1">
        <f t="array" ref="N42">IF(M42="","",INDEX(UWS!$B$10:$B$41,M42))</f>
        <v/>
      </c>
      <c r="O42" s="47"/>
      <c r="P42" s="47">
        <f>IFERROR(INDEX(UWS!$G$10:$Z$41,MATCH($C42,UWS!$B$10:$B$41,0),MATCH(P$4,UWS!$G$3:$Z$3,0)),0)</f>
        <v>0</v>
      </c>
      <c r="Q42" s="47">
        <f>IFERROR(INDEX(UWS!$G$10:$Z$41,MATCH($C42,UWS!$B$10:$B$41,0),MATCH(Q$4,UWS!$G$3:$Z$3,0)),0)</f>
        <v>0</v>
      </c>
      <c r="R42" s="47">
        <f>IFERROR(INDEX(UWS!$G$10:$Z$41,MATCH($C42,UWS!$B$10:$B$41,0),MATCH(R$4,UWS!$G$3:$Z$3,0)),0)</f>
        <v>0</v>
      </c>
      <c r="S42" s="47">
        <f>IFERROR(INDEX(UWS!$G$10:$Z$41,MATCH($C42,UWS!$B$10:$B$41,0),MATCH(S$4,UWS!$G$3:$Z$3,0)),0)</f>
        <v>0</v>
      </c>
      <c r="T42" s="47">
        <f>IFERROR(INDEX(UWS!$G$10:$Z$41,MATCH($C42,UWS!$B$10:$B$41,0),MATCH(T$4,UWS!$G$3:$Z$3,0)),0)</f>
        <v>0</v>
      </c>
      <c r="U42" s="47">
        <f>IFERROR(INDEX(UWS!$G$10:$Z$41,MATCH($C42,UWS!$B$10:$B$41,0),MATCH(U$4,UWS!$G$3:$Z$3,0)),0)</f>
        <v>0</v>
      </c>
      <c r="V42" s="47">
        <f>IFERROR(INDEX(UWS!$G$10:$Z$41,MATCH($C42,UWS!$B$10:$B$41,0),MATCH(V$4,UWS!$G$3:$Z$3,0)),0)</f>
        <v>0</v>
      </c>
      <c r="W42" s="47">
        <f>IFERROR(INDEX(UWS!$G$10:$Z$41,MATCH($C42,UWS!$B$10:$B$41,0),MATCH(W$4,UWS!$G$3:$Z$3,0)),0)</f>
        <v>0</v>
      </c>
      <c r="X42" s="47">
        <f>IFERROR(INDEX(UWS!$G$10:$Z$41,MATCH($C42,UWS!$B$10:$B$41,0),MATCH(X$4,UWS!$G$3:$Z$3,0)),0)</f>
        <v>0</v>
      </c>
      <c r="Y42" s="47">
        <f>IFERROR(INDEX(UWS!$G$10:$Z$41,MATCH($C42,UWS!$B$10:$B$41,0),MATCH(Y$4,UWS!$G$3:$Z$3,0)),0)</f>
        <v>0</v>
      </c>
      <c r="Z42" s="47">
        <f>IFERROR(INDEX(UWS!$G$10:$Z$41,MATCH($C42,UWS!$B$10:$B$41,0),MATCH(Z$4,UWS!$G$3:$Z$3,0)),0)</f>
        <v>0</v>
      </c>
      <c r="AA42" s="47">
        <f>IFERROR(INDEX(UWS!$G$10:$Z$41,MATCH($C42,UWS!$B$10:$B$41,0),MATCH(AA$4,UWS!$G$3:$Z$3,0)),0)</f>
        <v>0.4</v>
      </c>
      <c r="AB42" s="47">
        <f>IFERROR(INDEX(UWS!$G$10:$Z$41,MATCH($C42,UWS!$B$10:$B$41,0),MATCH(AB$4,UWS!$G$3:$Z$3,0)),0)</f>
        <v>0.4</v>
      </c>
      <c r="AC42" s="47">
        <f>IFERROR(INDEX(UWS!$G$10:$Z$41,MATCH($C42,UWS!$B$10:$B$41,0),MATCH(AC$4,UWS!$G$3:$Z$3,0)),0)</f>
        <v>0.4</v>
      </c>
      <c r="AD42" s="47">
        <f>IFERROR(INDEX(UWS!$G$10:$Z$41,MATCH($C42,UWS!$B$10:$B$41,0),MATCH(AD$4,UWS!$G$3:$Z$3,0)),0)</f>
        <v>1</v>
      </c>
      <c r="AE42" s="47">
        <f>IFERROR(INDEX(UWS!$G$10:$Z$41,MATCH($C42,UWS!$B$10:$B$41,0),MATCH(AE$4,UWS!$G$3:$Z$3,0)),0)</f>
        <v>0.8</v>
      </c>
      <c r="AF42" s="47">
        <f>IFERROR(INDEX(UWS!$G$10:$Z$41,MATCH($C42,UWS!$B$10:$B$41,0),MATCH(AF$4,UWS!$G$3:$Z$3,0)),0)</f>
        <v>0.6</v>
      </c>
      <c r="AG42" s="47">
        <f>IFERROR(INDEX(UWS!$G$10:$Z$41,MATCH($C42,UWS!$B$10:$B$41,0),MATCH(AG$4,UWS!$G$3:$Z$3,0)),0)</f>
        <v>1</v>
      </c>
      <c r="AH42" s="47">
        <f>IFERROR(INDEX(UWS!$G$10:$Z$41,MATCH($C42,UWS!$B$10:$B$41,0),MATCH(AH$4,UWS!$G$3:$Z$3,0)),0)</f>
        <v>0</v>
      </c>
      <c r="AI42" s="47">
        <f>IFERROR(INDEX(UWS!$G$10:$Z$41,MATCH($C42,UWS!$B$10:$B$41,0),MATCH(AI$4,UWS!$G$3:$Z$3,0)),0)</f>
        <v>0</v>
      </c>
      <c r="AJ42" s="47"/>
      <c r="AK42" s="47">
        <f>IF(OR($J42=0,COUNTIFS($A$4:$A41,"&gt;="&amp;$A42-1,$A$4:$A41,"&lt;="&amp;$A42,$B$4:$B41,$B42)&gt;0,MIN(AK$1,IF($A42=$A41,AK41,1))-P42&lt;0),-1,MIN(1,IF($A42=$A41,AK41,1)-P42+$D$3))</f>
        <v>1</v>
      </c>
      <c r="AL42" s="47">
        <f>IF(OR($J42=0,COUNTIFS($A$4:$A41,"&gt;="&amp;$A42-1,$A$4:$A41,"&lt;="&amp;$A42,$B$4:$B41,$B42)&gt;0,MIN(AL$1,IF($A42=$A41,AL41,1))-Q42&lt;0),-1,MIN(1,IF($A42=$A41,AL41,1)-Q42+$D$3))</f>
        <v>1</v>
      </c>
      <c r="AM42" s="47">
        <f>IF(OR($J42=0,COUNTIFS($A$4:$A41,"&gt;="&amp;$A42-1,$A$4:$A41,"&lt;="&amp;$A42,$B$4:$B41,$B42)&gt;0,MIN(AM$1,IF($A42=$A41,AM41,1))-R42&lt;0),-1,MIN(1,IF($A42=$A41,AM41,1)-R42+$D$3))</f>
        <v>0.8</v>
      </c>
      <c r="AN42" s="47">
        <f>IF(OR($J42=0,COUNTIFS($A$4:$A41,"&gt;="&amp;$A42-1,$A$4:$A41,"&lt;="&amp;$A42,$B$4:$B41,$B42)&gt;0,MIN(AN$1,IF($A42=$A41,AN41,1))-S42&lt;0),-1,MIN(1,IF($A42=$A41,AN41,1)-S42+$D$3))</f>
        <v>1</v>
      </c>
      <c r="AO42" s="47">
        <f>IF(OR($J42=0,COUNTIFS($A$4:$A41,"&gt;="&amp;$A42-1,$A$4:$A41,"&lt;="&amp;$A42,$B$4:$B41,$B42)&gt;0,MIN(AO$1,IF($A42=$A41,AO41,1))-T42&lt;0),-1,MIN(1,IF($A42=$A41,AO41,1)-T42+$D$3))</f>
        <v>1</v>
      </c>
      <c r="AP42" s="47">
        <f>IF(OR($J42=0,COUNTIFS($A$4:$A41,"&gt;="&amp;$A42-1,$A$4:$A41,"&lt;="&amp;$A42,$B$4:$B41,$B42)&gt;0,MIN(AP$1,IF($A42=$A41,AP41,1))-U42&lt;0),-1,MIN(1,IF($A42=$A41,AP41,1)-U42+$D$3))</f>
        <v>1</v>
      </c>
      <c r="AQ42" s="47">
        <f>IF(OR($J42=0,COUNTIFS($A$4:$A41,"&gt;="&amp;$A42-1,$A$4:$A41,"&lt;="&amp;$A42,$B$4:$B41,$B42)&gt;0,MIN(AQ$1,IF($A42=$A41,AQ41,1))-V42&lt;0),-1,MIN(1,IF($A42=$A41,AQ41,1)-V42+$D$3))</f>
        <v>1</v>
      </c>
      <c r="AR42" s="47">
        <f>IF(OR($J42=0,COUNTIFS($A$4:$A41,"&gt;="&amp;$A42-1,$A$4:$A41,"&lt;="&amp;$A42,$B$4:$B41,$B42)&gt;0,MIN(AR$1,IF($A42=$A41,AR41,1))-W42&lt;0),-1,MIN(1,IF($A42=$A41,AR41,1)-W42+$D$3))</f>
        <v>1</v>
      </c>
      <c r="AS42" s="47">
        <f>IF(OR($J42=0,COUNTIFS($A$4:$A41,"&gt;="&amp;$A42-1,$A$4:$A41,"&lt;="&amp;$A42,$B$4:$B41,$B42)&gt;0,MIN(AS$1,IF($A42=$A41,AS41,1))-X42&lt;0),-1,MIN(1,IF($A42=$A41,AS41,1)-X42+$D$3))</f>
        <v>1</v>
      </c>
      <c r="AT42" s="47">
        <f>IF(OR($J42=0,COUNTIFS($A$4:$A41,"&gt;="&amp;$A42-1,$A$4:$A41,"&lt;="&amp;$A42,$B$4:$B41,$B42)&gt;0,MIN(AT$1,IF($A42=$A41,AT41,1))-Y42&lt;0),-1,MIN(1,IF($A42=$A41,AT41,1)-Y42+$D$3))</f>
        <v>1</v>
      </c>
      <c r="AU42" s="47">
        <f>IF(OR($J42=0,COUNTIFS($A$4:$A41,"&gt;="&amp;$A42-1,$A$4:$A41,"&lt;="&amp;$A42,$B$4:$B41,$B42)&gt;0,MIN(AU$1,IF($A42=$A41,AU41,1))-Z42&lt;0),-1,MIN(1,IF($A42=$A41,AU41,1)-Z42+$D$3))</f>
        <v>0.90000000000000013</v>
      </c>
      <c r="AV42" s="47">
        <f>IF(OR($J42=0,COUNTIFS($A$4:$A41,"&gt;="&amp;$A42-1,$A$4:$A41,"&lt;="&amp;$A42,$B$4:$B41,$B42)&gt;0,MIN(AV$1,IF($A42=$A41,AV41,1))-AA42&lt;0),-1,MIN(1,IF($A42=$A41,AV41,1)-AA42+$D$3))</f>
        <v>1</v>
      </c>
      <c r="AW42" s="47">
        <f>IF(OR($J42=0,COUNTIFS($A$4:$A41,"&gt;="&amp;$A42-1,$A$4:$A41,"&lt;="&amp;$A42,$B$4:$B41,$B42)&gt;0,MIN(AW$1,IF($A42=$A41,AW41,1))-AB42&lt;0),-1,MIN(1,IF($A42=$A41,AW41,1)-AB42+$D$3))</f>
        <v>1</v>
      </c>
      <c r="AX42" s="47">
        <f>IF(OR($J42=0,COUNTIFS($A$4:$A41,"&gt;="&amp;$A42-1,$A$4:$A41,"&lt;="&amp;$A42,$B$4:$B41,$B42)&gt;0,MIN(AX$1,IF($A42=$A41,AX41,1))-AC42&lt;0),-1,MIN(1,IF($A42=$A41,AX41,1)-AC42+$D$3))</f>
        <v>1</v>
      </c>
      <c r="AY42" s="47">
        <f>IF(OR($J42=0,COUNTIFS($A$4:$A41,"&gt;="&amp;$A42-1,$A$4:$A41,"&lt;="&amp;$A42,$B$4:$B41,$B42)&gt;0,MIN(AY$1,IF($A42=$A41,AY41,1))-AD42&lt;0),-1,MIN(1,IF($A42=$A41,AY41,1)-AD42+$D$3))</f>
        <v>0.4</v>
      </c>
      <c r="AZ42" s="47">
        <f>IF(OR($J42=0,COUNTIFS($A$4:$A41,"&gt;="&amp;$A42-1,$A$4:$A41,"&lt;="&amp;$A42,$B$4:$B41,$B42)&gt;0,MIN(AZ$1,IF($A42=$A41,AZ41,1))-AE42&lt;0),-1,MIN(1,IF($A42=$A41,AZ41,1)-AE42+$D$3))</f>
        <v>0.6</v>
      </c>
      <c r="BA42" s="47">
        <f>IF(OR($J42=0,COUNTIFS($A$4:$A41,"&gt;="&amp;$A42-1,$A$4:$A41,"&lt;="&amp;$A42,$B$4:$B41,$B42)&gt;0,MIN(BA$1,IF($A42=$A41,BA41,1))-AF42&lt;0),-1,MIN(1,IF($A42=$A41,BA41,1)-AF42+$D$3))</f>
        <v>0.8</v>
      </c>
      <c r="BB42" s="47">
        <f>IF(OR($J42=0,COUNTIFS($A$4:$A41,"&gt;="&amp;$A42-1,$A$4:$A41,"&lt;="&amp;$A42,$B$4:$B41,$B42)&gt;0,MIN(BB$1,IF($A42=$A41,BB41,1))-AG42&lt;0),-1,MIN(1,IF($A42=$A41,BB41,1)-AG42+$D$3))</f>
        <v>0.4</v>
      </c>
      <c r="BC42" s="47">
        <f>IF(OR($J42=0,COUNTIFS($A$4:$A41,"&gt;="&amp;$A42-1,$A$4:$A41,"&lt;="&amp;$A42,$B$4:$B41,$B42)&gt;0,MIN(BC$1,IF($A42=$A41,BC41,1))-AH42&lt;0),-1,MIN(1,IF($A42=$A41,BC41,1)-AH42+$D$3))</f>
        <v>1</v>
      </c>
      <c r="BD42" s="47">
        <f>IF(OR($J42=0,COUNTIFS($A$4:$A41,"&gt;="&amp;$A42-1,$A$4:$A41,"&lt;="&amp;$A42,$B$4:$B41,$B42)&gt;0,MIN(BD$1,IF($A42=$A41,BD41,1))-AI42&lt;0),-1,MIN(1,IF($A42=$A41,BD41,1)-AI42+$D$3))</f>
        <v>1</v>
      </c>
      <c r="BE42" s="47"/>
      <c r="BF42" s="53">
        <f t="shared" si="135"/>
        <v>8.7015662780540987E-2</v>
      </c>
      <c r="BG42" s="53">
        <f t="shared" si="136"/>
        <v>0.16274664031436664</v>
      </c>
      <c r="BH42" s="53">
        <f t="shared" si="137"/>
        <v>0.2697332333496289</v>
      </c>
      <c r="BI42" s="53">
        <f t="shared" si="138"/>
        <v>0.21169852720375196</v>
      </c>
      <c r="BJ42" s="53">
        <f t="shared" si="139"/>
        <v>0.30372901215548914</v>
      </c>
      <c r="BK42" s="53">
        <f t="shared" si="140"/>
        <v>7.680323868290595E-2</v>
      </c>
      <c r="BL42" s="53">
        <f t="shared" si="141"/>
        <v>8.4833893591470949E-2</v>
      </c>
      <c r="BM42" s="53">
        <f t="shared" si="142"/>
        <v>9.6163445338424858E-2</v>
      </c>
      <c r="BN42" s="53">
        <f t="shared" si="143"/>
        <v>0.11530079653475654</v>
      </c>
      <c r="BO42" s="53">
        <f t="shared" si="144"/>
        <v>5.3003220011638874E-2</v>
      </c>
      <c r="BP42" s="53">
        <f t="shared" si="145"/>
        <v>0.27431900135153892</v>
      </c>
      <c r="BQ42" s="53">
        <f t="shared" si="146"/>
        <v>7.5999491346549486E-2</v>
      </c>
      <c r="BR42" s="53">
        <f t="shared" si="147"/>
        <v>0.23955221360625695</v>
      </c>
      <c r="BS42" s="53">
        <f t="shared" si="148"/>
        <v>9.4564458623303857E-2</v>
      </c>
      <c r="BT42" s="53">
        <f t="shared" si="149"/>
        <v>0.41888814530285551</v>
      </c>
      <c r="BU42" s="53">
        <f t="shared" si="150"/>
        <v>0.38270452386639964</v>
      </c>
      <c r="BV42" s="53">
        <f t="shared" si="151"/>
        <v>0.42505096755313809</v>
      </c>
      <c r="BW42" s="53">
        <f t="shared" si="152"/>
        <v>0.20214711369589916</v>
      </c>
      <c r="BX42" s="53">
        <f t="shared" si="153"/>
        <v>0.1600798273763798</v>
      </c>
      <c r="BY42" s="53">
        <f t="shared" si="154"/>
        <v>0.13834126062786373</v>
      </c>
      <c r="BZ42" s="47"/>
      <c r="CA42" s="53">
        <f t="shared" si="155"/>
        <v>-0.48320981936749297</v>
      </c>
      <c r="CB42" s="53">
        <f t="shared" si="156"/>
        <v>-0.35562661588473254</v>
      </c>
      <c r="CC42" s="53">
        <f t="shared" si="157"/>
        <v>0.60195856620559374</v>
      </c>
      <c r="CD42" s="53">
        <f t="shared" si="158"/>
        <v>0.25728767232613947</v>
      </c>
      <c r="CE42" s="53">
        <f t="shared" si="159"/>
        <v>0.80386112154362044</v>
      </c>
      <c r="CF42" s="53">
        <f t="shared" si="160"/>
        <v>-0.77193094712038146</v>
      </c>
      <c r="CG42" s="53">
        <f t="shared" si="161"/>
        <v>-0.49616745087070424</v>
      </c>
      <c r="CH42" s="53">
        <f t="shared" si="162"/>
        <v>-0.61925380099269356</v>
      </c>
      <c r="CI42" s="53">
        <f t="shared" si="163"/>
        <v>-0.31522305796199879</v>
      </c>
      <c r="CJ42" s="53">
        <f t="shared" si="164"/>
        <v>-0.68521134277856888</v>
      </c>
      <c r="CK42" s="53">
        <f t="shared" si="165"/>
        <v>0.62919366157023893</v>
      </c>
      <c r="CL42" s="53">
        <f t="shared" si="166"/>
        <v>-0.54863538809078549</v>
      </c>
      <c r="CM42" s="53">
        <f t="shared" si="167"/>
        <v>-5.1525301809005608E-2</v>
      </c>
      <c r="CN42" s="53">
        <f t="shared" si="168"/>
        <v>-0.43837716002226368</v>
      </c>
      <c r="CO42" s="53">
        <f t="shared" si="169"/>
        <v>1.4877967179523526</v>
      </c>
      <c r="CP42" s="53">
        <f t="shared" si="170"/>
        <v>1.2729004606515812</v>
      </c>
      <c r="CQ42" s="53">
        <f t="shared" si="171"/>
        <v>0.68293200925454856</v>
      </c>
      <c r="CR42" s="53">
        <f t="shared" si="172"/>
        <v>0.2005613709421219</v>
      </c>
      <c r="CS42" s="53">
        <f t="shared" si="173"/>
        <v>-4.927825334038638E-2</v>
      </c>
      <c r="CT42" s="53">
        <f t="shared" si="174"/>
        <v>-0.17838464037085677</v>
      </c>
      <c r="CU42" s="47"/>
      <c r="CV42" s="53">
        <f t="shared" si="175"/>
        <v>0.65174844305796853</v>
      </c>
    </row>
    <row r="43" spans="1:100" x14ac:dyDescent="0.25">
      <c r="A43" s="97">
        <v>45057</v>
      </c>
      <c r="B43" s="86">
        <v>8</v>
      </c>
      <c r="C43" s="43" t="str" cm="1">
        <f t="array" ref="C43">IF(B43="","",INDEX(UWS!$B$10:$B$41,B43))</f>
        <v>Barbell deadlift</v>
      </c>
      <c r="D43" s="40">
        <f t="shared" si="132"/>
        <v>0.4</v>
      </c>
      <c r="E43" s="69">
        <f t="shared" si="133"/>
        <v>2.1183468450140799</v>
      </c>
      <c r="F43" s="48" cm="1">
        <f t="array" ref="F43">0.1+IFERROR(INDEX($F$5:$F42,SUMPRODUCT(MAX(ROW($C$5:$C42)*($C43=$C$5:$C42))-ROW($A$4)))*0.9^($A43-INDEX($A$5:A42,SUMPRODUCT(MAX(ROW($C$5:$C42)*($C43=$C$5:$C42))-ROW($A$4)))),0)</f>
        <v>0.21238105960900003</v>
      </c>
      <c r="G43" s="55">
        <f>INDEX(UWS!$AB$10:$AB$41,MATCH(C43,UWS!$B$10:$B$41,0))</f>
        <v>7.2999999999999989</v>
      </c>
      <c r="H43" s="48">
        <f>INDEX(UWS!$C$10:$C$41,MATCH(C43,UWS!$B$10:$B$41,0))</f>
        <v>1.1000000000000001</v>
      </c>
      <c r="I43" s="82">
        <f t="shared" si="134"/>
        <v>1</v>
      </c>
      <c r="J43" s="27">
        <f>INDEX(UWS!$E$10:$E$41,MATCH(C43,UWS!$B$10:$B$41,0))</f>
        <v>1</v>
      </c>
      <c r="L43" s="108" t="str" cm="1">
        <f t="array" ref="L43">IF(K43="","",INDEX(UWS!$B$10:$B$41,K43))</f>
        <v/>
      </c>
      <c r="N43" s="108" t="str" cm="1">
        <f t="array" ref="N43">IF(M43="","",INDEX(UWS!$B$10:$B$41,M43))</f>
        <v/>
      </c>
      <c r="P43">
        <f>IFERROR(INDEX(UWS!$G$10:$Z$41,MATCH($C43,UWS!$B$10:$B$41,0),MATCH(P$4,UWS!$G$3:$Z$3,0)),0)</f>
        <v>0</v>
      </c>
      <c r="Q43">
        <f>IFERROR(INDEX(UWS!$G$10:$Z$41,MATCH($C43,UWS!$B$10:$B$41,0),MATCH(Q$4,UWS!$G$3:$Z$3,0)),0)</f>
        <v>0.3</v>
      </c>
      <c r="R43">
        <f>IFERROR(INDEX(UWS!$G$10:$Z$41,MATCH($C43,UWS!$B$10:$B$41,0),MATCH(R$4,UWS!$G$3:$Z$3,0)),0)</f>
        <v>0.6</v>
      </c>
      <c r="S43">
        <f>IFERROR(INDEX(UWS!$G$10:$Z$41,MATCH($C43,UWS!$B$10:$B$41,0),MATCH(S$4,UWS!$G$3:$Z$3,0)),0)</f>
        <v>0.6</v>
      </c>
      <c r="T43">
        <f>IFERROR(INDEX(UWS!$G$10:$Z$41,MATCH($C43,UWS!$B$10:$B$41,0),MATCH(T$4,UWS!$G$3:$Z$3,0)),0)</f>
        <v>1</v>
      </c>
      <c r="U43">
        <f>IFERROR(INDEX(UWS!$G$10:$Z$41,MATCH($C43,UWS!$B$10:$B$41,0),MATCH(U$4,UWS!$G$3:$Z$3,0)),0)</f>
        <v>0</v>
      </c>
      <c r="V43">
        <f>IFERROR(INDEX(UWS!$G$10:$Z$41,MATCH($C43,UWS!$B$10:$B$41,0),MATCH(V$4,UWS!$G$3:$Z$3,0)),0)</f>
        <v>0</v>
      </c>
      <c r="W43">
        <f>IFERROR(INDEX(UWS!$G$10:$Z$41,MATCH($C43,UWS!$B$10:$B$41,0),MATCH(W$4,UWS!$G$3:$Z$3,0)),0)</f>
        <v>0</v>
      </c>
      <c r="X43">
        <f>IFERROR(INDEX(UWS!$G$10:$Z$41,MATCH($C43,UWS!$B$10:$B$41,0),MATCH(X$4,UWS!$G$3:$Z$3,0)),0)</f>
        <v>0</v>
      </c>
      <c r="Y43">
        <f>IFERROR(INDEX(UWS!$G$10:$Z$41,MATCH($C43,UWS!$B$10:$B$41,0),MATCH(Y$4,UWS!$G$3:$Z$3,0)),0)</f>
        <v>0</v>
      </c>
      <c r="Z43">
        <f>IFERROR(INDEX(UWS!$G$10:$Z$41,MATCH($C43,UWS!$B$10:$B$41,0),MATCH(Z$4,UWS!$G$3:$Z$3,0)),0)</f>
        <v>1</v>
      </c>
      <c r="AA43">
        <f>IFERROR(INDEX(UWS!$G$10:$Z$41,MATCH($C43,UWS!$B$10:$B$41,0),MATCH(AA$4,UWS!$G$3:$Z$3,0)),0)</f>
        <v>0</v>
      </c>
      <c r="AB43">
        <f>IFERROR(INDEX(UWS!$G$10:$Z$41,MATCH($C43,UWS!$B$10:$B$41,0),MATCH(AB$4,UWS!$G$3:$Z$3,0)),0)</f>
        <v>0.7</v>
      </c>
      <c r="AC43">
        <f>IFERROR(INDEX(UWS!$G$10:$Z$41,MATCH($C43,UWS!$B$10:$B$41,0),MATCH(AC$4,UWS!$G$3:$Z$3,0)),0)</f>
        <v>0</v>
      </c>
      <c r="AD43">
        <f>IFERROR(INDEX(UWS!$G$10:$Z$41,MATCH($C43,UWS!$B$10:$B$41,0),MATCH(AD$4,UWS!$G$3:$Z$3,0)),0)</f>
        <v>0.6</v>
      </c>
      <c r="AE43">
        <f>IFERROR(INDEX(UWS!$G$10:$Z$41,MATCH($C43,UWS!$B$10:$B$41,0),MATCH(AE$4,UWS!$G$3:$Z$3,0)),0)</f>
        <v>0.8</v>
      </c>
      <c r="AF43">
        <f>IFERROR(INDEX(UWS!$G$10:$Z$41,MATCH($C43,UWS!$B$10:$B$41,0),MATCH(AF$4,UWS!$G$3:$Z$3,0)),0)</f>
        <v>1</v>
      </c>
      <c r="AG43">
        <f>IFERROR(INDEX(UWS!$G$10:$Z$41,MATCH($C43,UWS!$B$10:$B$41,0),MATCH(AG$4,UWS!$G$3:$Z$3,0)),0)</f>
        <v>0.1</v>
      </c>
      <c r="AH43">
        <f>IFERROR(INDEX(UWS!$G$10:$Z$41,MATCH($C43,UWS!$B$10:$B$41,0),MATCH(AH$4,UWS!$G$3:$Z$3,0)),0)</f>
        <v>0.3</v>
      </c>
      <c r="AI43">
        <f>IFERROR(INDEX(UWS!$G$10:$Z$41,MATCH($C43,UWS!$B$10:$B$41,0),MATCH(AI$4,UWS!$G$3:$Z$3,0)),0)</f>
        <v>0.3</v>
      </c>
      <c r="AK43">
        <f>IF(OR($J43=0,COUNTIFS($A$4:$A42,"&gt;="&amp;$A43-1,$A$4:$A42,"&lt;="&amp;$A43,$B$4:$B42,$B43)&gt;0,MIN(AK$1,IF($A43=$A42,AK42,1))-P43&lt;0),-1,MIN(1,IF($A43=$A42,AK42,1)-P43+$D$3))</f>
        <v>1</v>
      </c>
      <c r="AL43">
        <f>IF(OR($J43=0,COUNTIFS($A$4:$A42,"&gt;="&amp;$A43-1,$A$4:$A42,"&lt;="&amp;$A43,$B$4:$B42,$B43)&gt;0,MIN(AL$1,IF($A43=$A42,AL42,1))-Q43&lt;0),-1,MIN(1,IF($A43=$A42,AL42,1)-Q43+$D$3))</f>
        <v>1</v>
      </c>
      <c r="AM43">
        <f>IF(OR($J43=0,COUNTIFS($A$4:$A42,"&gt;="&amp;$A43-1,$A$4:$A42,"&lt;="&amp;$A43,$B$4:$B42,$B43)&gt;0,MIN(AM$1,IF($A43=$A42,AM42,1))-R43&lt;0),-1,MIN(1,IF($A43=$A42,AM42,1)-R43+$D$3))</f>
        <v>0.8</v>
      </c>
      <c r="AN43">
        <f>IF(OR($J43=0,COUNTIFS($A$4:$A42,"&gt;="&amp;$A43-1,$A$4:$A42,"&lt;="&amp;$A43,$B$4:$B42,$B43)&gt;0,MIN(AN$1,IF($A43=$A42,AN42,1))-S43&lt;0),-1,MIN(1,IF($A43=$A42,AN42,1)-S43+$D$3))</f>
        <v>0.8</v>
      </c>
      <c r="AO43">
        <f>IF(OR($J43=0,COUNTIFS($A$4:$A42,"&gt;="&amp;$A43-1,$A$4:$A42,"&lt;="&amp;$A43,$B$4:$B42,$B43)&gt;0,MIN(AO$1,IF($A43=$A42,AO42,1))-T43&lt;0),-1,MIN(1,IF($A43=$A42,AO42,1)-T43+$D$3))</f>
        <v>0.4</v>
      </c>
      <c r="AP43">
        <f>IF(OR($J43=0,COUNTIFS($A$4:$A42,"&gt;="&amp;$A43-1,$A$4:$A42,"&lt;="&amp;$A43,$B$4:$B42,$B43)&gt;0,MIN(AP$1,IF($A43=$A42,AP42,1))-U43&lt;0),-1,MIN(1,IF($A43=$A42,AP42,1)-U43+$D$3))</f>
        <v>1</v>
      </c>
      <c r="AQ43">
        <f>IF(OR($J43=0,COUNTIFS($A$4:$A42,"&gt;="&amp;$A43-1,$A$4:$A42,"&lt;="&amp;$A43,$B$4:$B42,$B43)&gt;0,MIN(AQ$1,IF($A43=$A42,AQ42,1))-V43&lt;0),-1,MIN(1,IF($A43=$A42,AQ42,1)-V43+$D$3))</f>
        <v>1</v>
      </c>
      <c r="AR43">
        <f>IF(OR($J43=0,COUNTIFS($A$4:$A42,"&gt;="&amp;$A43-1,$A$4:$A42,"&lt;="&amp;$A43,$B$4:$B42,$B43)&gt;0,MIN(AR$1,IF($A43=$A42,AR42,1))-W43&lt;0),-1,MIN(1,IF($A43=$A42,AR42,1)-W43+$D$3))</f>
        <v>1</v>
      </c>
      <c r="AS43">
        <f>IF(OR($J43=0,COUNTIFS($A$4:$A42,"&gt;="&amp;$A43-1,$A$4:$A42,"&lt;="&amp;$A43,$B$4:$B42,$B43)&gt;0,MIN(AS$1,IF($A43=$A42,AS42,1))-X43&lt;0),-1,MIN(1,IF($A43=$A42,AS42,1)-X43+$D$3))</f>
        <v>1</v>
      </c>
      <c r="AT43">
        <f>IF(OR($J43=0,COUNTIFS($A$4:$A42,"&gt;="&amp;$A43-1,$A$4:$A42,"&lt;="&amp;$A43,$B$4:$B42,$B43)&gt;0,MIN(AT$1,IF($A43=$A42,AT42,1))-Y43&lt;0),-1,MIN(1,IF($A43=$A42,AT42,1)-Y43+$D$3))</f>
        <v>1</v>
      </c>
      <c r="AU43">
        <f>IF(OR($J43=0,COUNTIFS($A$4:$A42,"&gt;="&amp;$A43-1,$A$4:$A42,"&lt;="&amp;$A43,$B$4:$B42,$B43)&gt;0,MIN(AU$1,IF($A43=$A42,AU42,1))-Z43&lt;0),-1,MIN(1,IF($A43=$A42,AU42,1)-Z43+$D$3))</f>
        <v>0.4</v>
      </c>
      <c r="AV43">
        <f>IF(OR($J43=0,COUNTIFS($A$4:$A42,"&gt;="&amp;$A43-1,$A$4:$A42,"&lt;="&amp;$A43,$B$4:$B42,$B43)&gt;0,MIN(AV$1,IF($A43=$A42,AV42,1))-AA43&lt;0),-1,MIN(1,IF($A43=$A42,AV42,1)-AA43+$D$3))</f>
        <v>1</v>
      </c>
      <c r="AW43">
        <f>IF(OR($J43=0,COUNTIFS($A$4:$A42,"&gt;="&amp;$A43-1,$A$4:$A42,"&lt;="&amp;$A43,$B$4:$B42,$B43)&gt;0,MIN(AW$1,IF($A43=$A42,AW42,1))-AB43&lt;0),-1,MIN(1,IF($A43=$A42,AW42,1)-AB43+$D$3))</f>
        <v>0.70000000000000007</v>
      </c>
      <c r="AX43">
        <f>IF(OR($J43=0,COUNTIFS($A$4:$A42,"&gt;="&amp;$A43-1,$A$4:$A42,"&lt;="&amp;$A43,$B$4:$B42,$B43)&gt;0,MIN(AX$1,IF($A43=$A42,AX42,1))-AC43&lt;0),-1,MIN(1,IF($A43=$A42,AX42,1)-AC43+$D$3))</f>
        <v>1</v>
      </c>
      <c r="AY43">
        <f>IF(OR($J43=0,COUNTIFS($A$4:$A42,"&gt;="&amp;$A43-1,$A$4:$A42,"&lt;="&amp;$A43,$B$4:$B42,$B43)&gt;0,MIN(AY$1,IF($A43=$A42,AY42,1))-AD43&lt;0),-1,MIN(1,IF($A43=$A42,AY42,1)-AD43+$D$3))</f>
        <v>0.8</v>
      </c>
      <c r="AZ43">
        <f>IF(OR($J43=0,COUNTIFS($A$4:$A42,"&gt;="&amp;$A43-1,$A$4:$A42,"&lt;="&amp;$A43,$B$4:$B42,$B43)&gt;0,MIN(AZ$1,IF($A43=$A42,AZ42,1))-AE43&lt;0),-1,MIN(1,IF($A43=$A42,AZ42,1)-AE43+$D$3))</f>
        <v>0.6</v>
      </c>
      <c r="BA43">
        <f>IF(OR($J43=0,COUNTIFS($A$4:$A42,"&gt;="&amp;$A43-1,$A$4:$A42,"&lt;="&amp;$A43,$B$4:$B42,$B43)&gt;0,MIN(BA$1,IF($A43=$A42,BA42,1))-AF43&lt;0),-1,MIN(1,IF($A43=$A42,BA42,1)-AF43+$D$3))</f>
        <v>0.4</v>
      </c>
      <c r="BB43">
        <f>IF(OR($J43=0,COUNTIFS($A$4:$A42,"&gt;="&amp;$A43-1,$A$4:$A42,"&lt;="&amp;$A43,$B$4:$B42,$B43)&gt;0,MIN(BB$1,IF($A43=$A42,BB42,1))-AG43&lt;0),-1,MIN(1,IF($A43=$A42,BB42,1)-AG43+$D$3))</f>
        <v>1</v>
      </c>
      <c r="BC43">
        <f>IF(OR($J43=0,COUNTIFS($A$4:$A42,"&gt;="&amp;$A43-1,$A$4:$A42,"&lt;="&amp;$A43,$B$4:$B42,$B43)&gt;0,MIN(BC$1,IF($A43=$A42,BC42,1))-AH43&lt;0),-1,MIN(1,IF($A43=$A42,BC42,1)-AH43+$D$3))</f>
        <v>1</v>
      </c>
      <c r="BD43">
        <f>IF(OR($J43=0,COUNTIFS($A$4:$A42,"&gt;="&amp;$A43-1,$A$4:$A42,"&lt;="&amp;$A43,$B$4:$B42,$B43)&gt;0,MIN(BD$1,IF($A43=$A42,BD42,1))-AI43&lt;0),-1,MIN(1,IF($A43=$A42,BD42,1)-AI43+$D$3))</f>
        <v>1</v>
      </c>
      <c r="BF43" s="44">
        <f t="shared" si="135"/>
        <v>8.2664879641513936E-2</v>
      </c>
      <c r="BG43" s="44">
        <f t="shared" si="136"/>
        <v>0.16960930829864829</v>
      </c>
      <c r="BH43" s="44">
        <f t="shared" si="137"/>
        <v>0.2862465716821474</v>
      </c>
      <c r="BI43" s="44">
        <f t="shared" si="138"/>
        <v>0.23111360084356436</v>
      </c>
      <c r="BJ43" s="44">
        <f t="shared" si="139"/>
        <v>0.33854256154771467</v>
      </c>
      <c r="BK43" s="44">
        <f t="shared" si="140"/>
        <v>7.2963076748760652E-2</v>
      </c>
      <c r="BL43" s="44">
        <f t="shared" si="141"/>
        <v>8.0592198911897395E-2</v>
      </c>
      <c r="BM43" s="44">
        <f t="shared" si="142"/>
        <v>9.1355273071503609E-2</v>
      </c>
      <c r="BN43" s="44">
        <f t="shared" si="143"/>
        <v>0.10953575670801871</v>
      </c>
      <c r="BO43" s="44">
        <f t="shared" si="144"/>
        <v>5.0353059011056925E-2</v>
      </c>
      <c r="BP43" s="44">
        <f t="shared" si="145"/>
        <v>0.31060305128396193</v>
      </c>
      <c r="BQ43" s="44">
        <f t="shared" si="146"/>
        <v>7.2199516779222012E-2</v>
      </c>
      <c r="BR43" s="44">
        <f t="shared" si="147"/>
        <v>0.26257460292594409</v>
      </c>
      <c r="BS43" s="44">
        <f t="shared" si="148"/>
        <v>8.9836235692138666E-2</v>
      </c>
      <c r="BT43" s="44">
        <f t="shared" si="149"/>
        <v>0.42794373803771268</v>
      </c>
      <c r="BU43" s="44">
        <f t="shared" si="150"/>
        <v>0.4035692976730797</v>
      </c>
      <c r="BV43" s="44">
        <f t="shared" si="151"/>
        <v>0.45379841917548114</v>
      </c>
      <c r="BW43" s="44">
        <f t="shared" si="152"/>
        <v>0.19703975801110421</v>
      </c>
      <c r="BX43" s="44">
        <f t="shared" si="153"/>
        <v>0.16707583600756082</v>
      </c>
      <c r="BY43" s="44">
        <f t="shared" si="154"/>
        <v>0.14642419759647052</v>
      </c>
      <c r="CA43" s="44">
        <f t="shared" si="155"/>
        <v>-0.52985336693437479</v>
      </c>
      <c r="CB43" s="44">
        <f t="shared" si="156"/>
        <v>-0.35691153987032553</v>
      </c>
      <c r="CC43" s="44">
        <f t="shared" si="157"/>
        <v>0.62799319960970901</v>
      </c>
      <c r="CD43" s="44">
        <f t="shared" si="158"/>
        <v>0.31443101064780876</v>
      </c>
      <c r="CE43" s="44">
        <f t="shared" si="159"/>
        <v>0.92542039801311815</v>
      </c>
      <c r="CF43" s="44">
        <f t="shared" si="160"/>
        <v>-0.79251560626290662</v>
      </c>
      <c r="CG43" s="44">
        <f t="shared" si="161"/>
        <v>-0.54164149111328963</v>
      </c>
      <c r="CH43" s="44">
        <f t="shared" si="162"/>
        <v>-0.65361852793578445</v>
      </c>
      <c r="CI43" s="44">
        <f t="shared" si="163"/>
        <v>-0.37702846190671191</v>
      </c>
      <c r="CJ43" s="44">
        <f t="shared" si="164"/>
        <v>-0.71362298885251718</v>
      </c>
      <c r="CK43" s="44">
        <f t="shared" si="165"/>
        <v>0.76651776926714743</v>
      </c>
      <c r="CL43" s="44">
        <f t="shared" si="166"/>
        <v>-0.58937386868619313</v>
      </c>
      <c r="CM43" s="44">
        <f t="shared" si="167"/>
        <v>-4.425530894333396E-3</v>
      </c>
      <c r="CN43" s="44">
        <f t="shared" si="168"/>
        <v>-0.4890671356311016</v>
      </c>
      <c r="CO43" s="44">
        <f t="shared" si="169"/>
        <v>1.433878915114378</v>
      </c>
      <c r="CP43" s="44">
        <f t="shared" si="170"/>
        <v>1.2952521957628615</v>
      </c>
      <c r="CQ43" s="44">
        <f t="shared" si="171"/>
        <v>0.72061621808504528</v>
      </c>
      <c r="CR43" s="44">
        <f t="shared" si="172"/>
        <v>0.12064009783501839</v>
      </c>
      <c r="CS43" s="44">
        <f t="shared" si="173"/>
        <v>-4.9776130973379629E-2</v>
      </c>
      <c r="CT43" s="44">
        <f t="shared" si="174"/>
        <v>-0.16722985870356399</v>
      </c>
      <c r="CV43" s="44">
        <f t="shared" si="175"/>
        <v>0.67933596689294407</v>
      </c>
    </row>
    <row r="44" spans="1:100" x14ac:dyDescent="0.25">
      <c r="A44" s="97">
        <v>45057</v>
      </c>
      <c r="B44" s="86">
        <v>21</v>
      </c>
      <c r="C44" s="43" t="str" cm="1">
        <f t="array" ref="C44">IF(B44="","",INDEX(UWS!$B$10:$B$41,B44))</f>
        <v>Cable face pulls</v>
      </c>
      <c r="D44" s="40">
        <f t="shared" si="132"/>
        <v>0.4</v>
      </c>
      <c r="E44" s="69">
        <f t="shared" si="133"/>
        <v>1.2388661060124984</v>
      </c>
      <c r="F44" s="48" cm="1">
        <f t="array" ref="F44">0.1+IFERROR(INDEX($F$5:$F43,SUMPRODUCT(MAX(ROW($C$5:$C43)*($C44=$C$5:$C43))-ROW($A$4)))*0.9^($A44-INDEX($A$5:A43,SUMPRODUCT(MAX(ROW($C$5:$C43)*($C44=$C$5:$C43))-ROW($A$4)))),0)</f>
        <v>0.1</v>
      </c>
      <c r="G44" s="55">
        <f>INDEX(UWS!$AB$10:$AB$41,MATCH(C44,UWS!$B$10:$B$41,0))</f>
        <v>3</v>
      </c>
      <c r="H44" s="48">
        <f>INDEX(UWS!$C$10:$C$41,MATCH(C44,UWS!$B$10:$B$41,0))</f>
        <v>1</v>
      </c>
      <c r="I44" s="27">
        <f t="shared" si="134"/>
        <v>2</v>
      </c>
      <c r="J44" s="27">
        <f>INDEX(UWS!$E$10:$E$41,MATCH(C44,UWS!$B$10:$B$41,0))</f>
        <v>1</v>
      </c>
      <c r="L44" s="108" t="str" cm="1">
        <f t="array" ref="L44">IF(K44="","",INDEX(UWS!$B$10:$B$41,K44))</f>
        <v/>
      </c>
      <c r="N44" s="108" t="str" cm="1">
        <f t="array" ref="N44">IF(M44="","",INDEX(UWS!$B$10:$B$41,M44))</f>
        <v/>
      </c>
      <c r="P44">
        <f>IFERROR(INDEX(UWS!$G$10:$Z$41,MATCH($C44,UWS!$B$10:$B$41,0),MATCH(P$4,UWS!$G$3:$Z$3,0)),0)</f>
        <v>0</v>
      </c>
      <c r="Q44">
        <f>IFERROR(INDEX(UWS!$G$10:$Z$41,MATCH($C44,UWS!$B$10:$B$41,0),MATCH(Q$4,UWS!$G$3:$Z$3,0)),0)</f>
        <v>0</v>
      </c>
      <c r="R44">
        <f>IFERROR(INDEX(UWS!$G$10:$Z$41,MATCH($C44,UWS!$B$10:$B$41,0),MATCH(R$4,UWS!$G$3:$Z$3,0)),0)</f>
        <v>0.6</v>
      </c>
      <c r="S44">
        <f>IFERROR(INDEX(UWS!$G$10:$Z$41,MATCH($C44,UWS!$B$10:$B$41,0),MATCH(S$4,UWS!$G$3:$Z$3,0)),0)</f>
        <v>0.6</v>
      </c>
      <c r="T44">
        <f>IFERROR(INDEX(UWS!$G$10:$Z$41,MATCH($C44,UWS!$B$10:$B$41,0),MATCH(T$4,UWS!$G$3:$Z$3,0)),0)</f>
        <v>0</v>
      </c>
      <c r="U44">
        <f>IFERROR(INDEX(UWS!$G$10:$Z$41,MATCH($C44,UWS!$B$10:$B$41,0),MATCH(U$4,UWS!$G$3:$Z$3,0)),0)</f>
        <v>0.4</v>
      </c>
      <c r="V44">
        <f>IFERROR(INDEX(UWS!$G$10:$Z$41,MATCH($C44,UWS!$B$10:$B$41,0),MATCH(V$4,UWS!$G$3:$Z$3,0)),0)</f>
        <v>0</v>
      </c>
      <c r="W44">
        <f>IFERROR(INDEX(UWS!$G$10:$Z$41,MATCH($C44,UWS!$B$10:$B$41,0),MATCH(W$4,UWS!$G$3:$Z$3,0)),0)</f>
        <v>1</v>
      </c>
      <c r="X44">
        <f>IFERROR(INDEX(UWS!$G$10:$Z$41,MATCH($C44,UWS!$B$10:$B$41,0),MATCH(X$4,UWS!$G$3:$Z$3,0)),0)</f>
        <v>0.3</v>
      </c>
      <c r="Y44">
        <f>IFERROR(INDEX(UWS!$G$10:$Z$41,MATCH($C44,UWS!$B$10:$B$41,0),MATCH(Y$4,UWS!$G$3:$Z$3,0)),0)</f>
        <v>0</v>
      </c>
      <c r="Z44">
        <f>IFERROR(INDEX(UWS!$G$10:$Z$41,MATCH($C44,UWS!$B$10:$B$41,0),MATCH(Z$4,UWS!$G$3:$Z$3,0)),0)</f>
        <v>0.1</v>
      </c>
      <c r="AA44">
        <f>IFERROR(INDEX(UWS!$G$10:$Z$41,MATCH($C44,UWS!$B$10:$B$41,0),MATCH(AA$4,UWS!$G$3:$Z$3,0)),0)</f>
        <v>0</v>
      </c>
      <c r="AB44">
        <f>IFERROR(INDEX(UWS!$G$10:$Z$41,MATCH($C44,UWS!$B$10:$B$41,0),MATCH(AB$4,UWS!$G$3:$Z$3,0)),0)</f>
        <v>0</v>
      </c>
      <c r="AC44">
        <f>IFERROR(INDEX(UWS!$G$10:$Z$41,MATCH($C44,UWS!$B$10:$B$41,0),MATCH(AC$4,UWS!$G$3:$Z$3,0)),0)</f>
        <v>0</v>
      </c>
      <c r="AD44">
        <f>IFERROR(INDEX(UWS!$G$10:$Z$41,MATCH($C44,UWS!$B$10:$B$41,0),MATCH(AD$4,UWS!$G$3:$Z$3,0)),0)</f>
        <v>0</v>
      </c>
      <c r="AE44">
        <f>IFERROR(INDEX(UWS!$G$10:$Z$41,MATCH($C44,UWS!$B$10:$B$41,0),MATCH(AE$4,UWS!$G$3:$Z$3,0)),0)</f>
        <v>0</v>
      </c>
      <c r="AF44">
        <f>IFERROR(INDEX(UWS!$G$10:$Z$41,MATCH($C44,UWS!$B$10:$B$41,0),MATCH(AF$4,UWS!$G$3:$Z$3,0)),0)</f>
        <v>0</v>
      </c>
      <c r="AG44">
        <f>IFERROR(INDEX(UWS!$G$10:$Z$41,MATCH($C44,UWS!$B$10:$B$41,0),MATCH(AG$4,UWS!$G$3:$Z$3,0)),0)</f>
        <v>0</v>
      </c>
      <c r="AH44">
        <f>IFERROR(INDEX(UWS!$G$10:$Z$41,MATCH($C44,UWS!$B$10:$B$41,0),MATCH(AH$4,UWS!$G$3:$Z$3,0)),0)</f>
        <v>0</v>
      </c>
      <c r="AI44">
        <f>IFERROR(INDEX(UWS!$G$10:$Z$41,MATCH($C44,UWS!$B$10:$B$41,0),MATCH(AI$4,UWS!$G$3:$Z$3,0)),0)</f>
        <v>0</v>
      </c>
      <c r="AK44">
        <f>IF(OR($J44=0,COUNTIFS($A$4:$A43,"&gt;="&amp;$A44-1,$A$4:$A43,"&lt;="&amp;$A44,$B$4:$B43,$B44)&gt;0,MIN(AK$1,IF($A44=$A43,AK43,1))-P44&lt;0),-1,MIN(1,IF($A44=$A43,AK43,1)-P44+$D$3))</f>
        <v>1</v>
      </c>
      <c r="AL44">
        <f>IF(OR($J44=0,COUNTIFS($A$4:$A43,"&gt;="&amp;$A44-1,$A$4:$A43,"&lt;="&amp;$A44,$B$4:$B43,$B44)&gt;0,MIN(AL$1,IF($A44=$A43,AL43,1))-Q44&lt;0),-1,MIN(1,IF($A44=$A43,AL43,1)-Q44+$D$3))</f>
        <v>1</v>
      </c>
      <c r="AM44">
        <f>IF(OR($J44=0,COUNTIFS($A$4:$A43,"&gt;="&amp;$A44-1,$A$4:$A43,"&lt;="&amp;$A44,$B$4:$B43,$B44)&gt;0,MIN(AM$1,IF($A44=$A43,AM43,1))-R44&lt;0),-1,MIN(1,IF($A44=$A43,AM43,1)-R44+$D$3))</f>
        <v>0.60000000000000009</v>
      </c>
      <c r="AN44">
        <f>IF(OR($J44=0,COUNTIFS($A$4:$A43,"&gt;="&amp;$A44-1,$A$4:$A43,"&lt;="&amp;$A44,$B$4:$B43,$B44)&gt;0,MIN(AN$1,IF($A44=$A43,AN43,1))-S44&lt;0),-1,MIN(1,IF($A44=$A43,AN43,1)-S44+$D$3))</f>
        <v>0.60000000000000009</v>
      </c>
      <c r="AO44">
        <f>IF(OR($J44=0,COUNTIFS($A$4:$A43,"&gt;="&amp;$A44-1,$A$4:$A43,"&lt;="&amp;$A44,$B$4:$B43,$B44)&gt;0,MIN(AO$1,IF($A44=$A43,AO43,1))-T44&lt;0),-1,MIN(1,IF($A44=$A43,AO43,1)-T44+$D$3))</f>
        <v>0.8</v>
      </c>
      <c r="AP44">
        <f>IF(OR($J44=0,COUNTIFS($A$4:$A43,"&gt;="&amp;$A44-1,$A$4:$A43,"&lt;="&amp;$A44,$B$4:$B43,$B44)&gt;0,MIN(AP$1,IF($A44=$A43,AP43,1))-U44&lt;0),-1,MIN(1,IF($A44=$A43,AP43,1)-U44+$D$3))</f>
        <v>1</v>
      </c>
      <c r="AQ44">
        <f>IF(OR($J44=0,COUNTIFS($A$4:$A43,"&gt;="&amp;$A44-1,$A$4:$A43,"&lt;="&amp;$A44,$B$4:$B43,$B44)&gt;0,MIN(AQ$1,IF($A44=$A43,AQ43,1))-V44&lt;0),-1,MIN(1,IF($A44=$A43,AQ43,1)-V44+$D$3))</f>
        <v>1</v>
      </c>
      <c r="AR44">
        <f>IF(OR($J44=0,COUNTIFS($A$4:$A43,"&gt;="&amp;$A44-1,$A$4:$A43,"&lt;="&amp;$A44,$B$4:$B43,$B44)&gt;0,MIN(AR$1,IF($A44=$A43,AR43,1))-W44&lt;0),-1,MIN(1,IF($A44=$A43,AR43,1)-W44+$D$3))</f>
        <v>0.4</v>
      </c>
      <c r="AS44">
        <f>IF(OR($J44=0,COUNTIFS($A$4:$A43,"&gt;="&amp;$A44-1,$A$4:$A43,"&lt;="&amp;$A44,$B$4:$B43,$B44)&gt;0,MIN(AS$1,IF($A44=$A43,AS43,1))-X44&lt;0),-1,MIN(1,IF($A44=$A43,AS43,1)-X44+$D$3))</f>
        <v>1</v>
      </c>
      <c r="AT44">
        <f>IF(OR($J44=0,COUNTIFS($A$4:$A43,"&gt;="&amp;$A44-1,$A$4:$A43,"&lt;="&amp;$A44,$B$4:$B43,$B44)&gt;0,MIN(AT$1,IF($A44=$A43,AT43,1))-Y44&lt;0),-1,MIN(1,IF($A44=$A43,AT43,1)-Y44+$D$3))</f>
        <v>1</v>
      </c>
      <c r="AU44">
        <f>IF(OR($J44=0,COUNTIFS($A$4:$A43,"&gt;="&amp;$A44-1,$A$4:$A43,"&lt;="&amp;$A44,$B$4:$B43,$B44)&gt;0,MIN(AU$1,IF($A44=$A43,AU43,1))-Z44&lt;0),-1,MIN(1,IF($A44=$A43,AU43,1)-Z44+$D$3))</f>
        <v>0.70000000000000007</v>
      </c>
      <c r="AV44">
        <f>IF(OR($J44=0,COUNTIFS($A$4:$A43,"&gt;="&amp;$A44-1,$A$4:$A43,"&lt;="&amp;$A44,$B$4:$B43,$B44)&gt;0,MIN(AV$1,IF($A44=$A43,AV43,1))-AA44&lt;0),-1,MIN(1,IF($A44=$A43,AV43,1)-AA44+$D$3))</f>
        <v>1</v>
      </c>
      <c r="AW44">
        <f>IF(OR($J44=0,COUNTIFS($A$4:$A43,"&gt;="&amp;$A44-1,$A$4:$A43,"&lt;="&amp;$A44,$B$4:$B43,$B44)&gt;0,MIN(AW$1,IF($A44=$A43,AW43,1))-AB44&lt;0),-1,MIN(1,IF($A44=$A43,AW43,1)-AB44+$D$3))</f>
        <v>1</v>
      </c>
      <c r="AX44">
        <f>IF(OR($J44=0,COUNTIFS($A$4:$A43,"&gt;="&amp;$A44-1,$A$4:$A43,"&lt;="&amp;$A44,$B$4:$B43,$B44)&gt;0,MIN(AX$1,IF($A44=$A43,AX43,1))-AC44&lt;0),-1,MIN(1,IF($A44=$A43,AX43,1)-AC44+$D$3))</f>
        <v>1</v>
      </c>
      <c r="AY44">
        <f>IF(OR($J44=0,COUNTIFS($A$4:$A43,"&gt;="&amp;$A44-1,$A$4:$A43,"&lt;="&amp;$A44,$B$4:$B43,$B44)&gt;0,MIN(AY$1,IF($A44=$A43,AY43,1))-AD44&lt;0),-1,MIN(1,IF($A44=$A43,AY43,1)-AD44+$D$3))</f>
        <v>1</v>
      </c>
      <c r="AZ44">
        <f>IF(OR($J44=0,COUNTIFS($A$4:$A43,"&gt;="&amp;$A44-1,$A$4:$A43,"&lt;="&amp;$A44,$B$4:$B43,$B44)&gt;0,MIN(AZ$1,IF($A44=$A43,AZ43,1))-AE44&lt;0),-1,MIN(1,IF($A44=$A43,AZ43,1)-AE44+$D$3))</f>
        <v>1</v>
      </c>
      <c r="BA44">
        <f>IF(OR($J44=0,COUNTIFS($A$4:$A43,"&gt;="&amp;$A44-1,$A$4:$A43,"&lt;="&amp;$A44,$B$4:$B43,$B44)&gt;0,MIN(BA$1,IF($A44=$A43,BA43,1))-AF44&lt;0),-1,MIN(1,IF($A44=$A43,BA43,1)-AF44+$D$3))</f>
        <v>0.8</v>
      </c>
      <c r="BB44">
        <f>IF(OR($J44=0,COUNTIFS($A$4:$A43,"&gt;="&amp;$A44-1,$A$4:$A43,"&lt;="&amp;$A44,$B$4:$B43,$B44)&gt;0,MIN(BB$1,IF($A44=$A43,BB43,1))-AG44&lt;0),-1,MIN(1,IF($A44=$A43,BB43,1)-AG44+$D$3))</f>
        <v>1</v>
      </c>
      <c r="BC44">
        <f>IF(OR($J44=0,COUNTIFS($A$4:$A43,"&gt;="&amp;$A44-1,$A$4:$A43,"&lt;="&amp;$A44,$B$4:$B43,$B44)&gt;0,MIN(BC$1,IF($A44=$A43,BC43,1))-AH44&lt;0),-1,MIN(1,IF($A44=$A43,BC43,1)-AH44+$D$3))</f>
        <v>1</v>
      </c>
      <c r="BD44">
        <f>IF(OR($J44=0,COUNTIFS($A$4:$A43,"&gt;="&amp;$A44-1,$A$4:$A43,"&lt;="&amp;$A44,$B$4:$B43,$B44)&gt;0,MIN(BD$1,IF($A44=$A43,BD43,1))-AI44&lt;0),-1,MIN(1,IF($A44=$A43,BD43,1)-AI44+$D$3))</f>
        <v>1</v>
      </c>
      <c r="BF44" s="44">
        <f t="shared" si="135"/>
        <v>7.8531635659438229E-2</v>
      </c>
      <c r="BG44" s="44">
        <f t="shared" si="136"/>
        <v>0.16112884288371587</v>
      </c>
      <c r="BH44" s="44">
        <f t="shared" si="137"/>
        <v>0.30193424309804007</v>
      </c>
      <c r="BI44" s="44">
        <f t="shared" si="138"/>
        <v>0.24955792080138614</v>
      </c>
      <c r="BJ44" s="44">
        <f t="shared" si="139"/>
        <v>0.32161543347032895</v>
      </c>
      <c r="BK44" s="44">
        <f t="shared" si="140"/>
        <v>8.931492291132262E-2</v>
      </c>
      <c r="BL44" s="44">
        <f t="shared" si="141"/>
        <v>7.6562588966302525E-2</v>
      </c>
      <c r="BM44" s="44">
        <f t="shared" si="142"/>
        <v>0.13678750941792844</v>
      </c>
      <c r="BN44" s="44">
        <f t="shared" si="143"/>
        <v>0.11905896887261777</v>
      </c>
      <c r="BO44" s="44">
        <f t="shared" si="144"/>
        <v>4.7835406060504078E-2</v>
      </c>
      <c r="BP44" s="44">
        <f t="shared" si="145"/>
        <v>0.30007289871976384</v>
      </c>
      <c r="BQ44" s="44">
        <f t="shared" si="146"/>
        <v>6.8589540940260901E-2</v>
      </c>
      <c r="BR44" s="44">
        <f t="shared" si="147"/>
        <v>0.24944587277964686</v>
      </c>
      <c r="BS44" s="44">
        <f t="shared" si="148"/>
        <v>8.5344423907531733E-2</v>
      </c>
      <c r="BT44" s="44">
        <f t="shared" si="149"/>
        <v>0.40654655113582705</v>
      </c>
      <c r="BU44" s="44">
        <f t="shared" si="150"/>
        <v>0.38339083278942571</v>
      </c>
      <c r="BV44" s="44">
        <f t="shared" si="151"/>
        <v>0.43110849821670705</v>
      </c>
      <c r="BW44" s="44">
        <f t="shared" si="152"/>
        <v>0.18718777011054899</v>
      </c>
      <c r="BX44" s="44">
        <f t="shared" si="153"/>
        <v>0.15872204420718278</v>
      </c>
      <c r="BY44" s="44">
        <f t="shared" si="154"/>
        <v>0.13910298771664698</v>
      </c>
      <c r="CA44" s="44">
        <f t="shared" si="155"/>
        <v>-0.54751991031352398</v>
      </c>
      <c r="CB44" s="44">
        <f t="shared" si="156"/>
        <v>-0.38107666066132218</v>
      </c>
      <c r="CC44" s="44">
        <f t="shared" si="157"/>
        <v>0.73967130888352983</v>
      </c>
      <c r="CD44" s="44">
        <f t="shared" si="158"/>
        <v>0.4378917418181969</v>
      </c>
      <c r="CE44" s="44">
        <f t="shared" si="159"/>
        <v>0.85306951726173019</v>
      </c>
      <c r="CF44" s="44">
        <f t="shared" si="160"/>
        <v>-0.74269462242889794</v>
      </c>
      <c r="CG44" s="44">
        <f t="shared" si="161"/>
        <v>-0.55886507607793812</v>
      </c>
      <c r="CH44" s="44">
        <f t="shared" si="162"/>
        <v>-0.47457586988405542</v>
      </c>
      <c r="CI44" s="44">
        <f t="shared" si="163"/>
        <v>-0.31401132217488814</v>
      </c>
      <c r="CJ44" s="44">
        <f t="shared" si="164"/>
        <v>-0.72438408238037821</v>
      </c>
      <c r="CK44" s="44">
        <f t="shared" si="165"/>
        <v>0.72894669753235108</v>
      </c>
      <c r="CL44" s="44">
        <f t="shared" si="166"/>
        <v>-0.60480383000308091</v>
      </c>
      <c r="CM44" s="44">
        <f t="shared" si="167"/>
        <v>-4.1835900997257758E-2</v>
      </c>
      <c r="CN44" s="44">
        <f t="shared" si="168"/>
        <v>-0.50826628963407461</v>
      </c>
      <c r="CO44" s="44">
        <f t="shared" si="169"/>
        <v>1.3424218580828473</v>
      </c>
      <c r="CP44" s="44">
        <f t="shared" si="170"/>
        <v>1.209004268774363</v>
      </c>
      <c r="CQ44" s="44">
        <f t="shared" si="171"/>
        <v>0.6559611957626279</v>
      </c>
      <c r="CR44" s="44">
        <f t="shared" si="172"/>
        <v>7.8530178272852913E-2</v>
      </c>
      <c r="CS44" s="44">
        <f t="shared" si="173"/>
        <v>-8.5482376687828099E-2</v>
      </c>
      <c r="CT44" s="44">
        <f t="shared" si="174"/>
        <v>-0.19852258482635265</v>
      </c>
      <c r="CV44" s="44">
        <f t="shared" si="175"/>
        <v>0.65300326042601997</v>
      </c>
    </row>
    <row r="45" spans="1:100" ht="30" x14ac:dyDescent="0.25">
      <c r="A45" s="97">
        <v>45057</v>
      </c>
      <c r="B45" s="86">
        <v>24</v>
      </c>
      <c r="C45" s="43" t="str" cm="1">
        <f t="array" ref="C45">IF(B45="","",INDEX(UWS!$B$10:$B$41,B45))</f>
        <v>EZ bar decline close grip skull crusher</v>
      </c>
      <c r="D45" s="40">
        <f t="shared" si="132"/>
        <v>0.4</v>
      </c>
      <c r="E45" s="69">
        <f t="shared" si="133"/>
        <v>1.2173669019139552</v>
      </c>
      <c r="F45" s="48" cm="1">
        <f t="array" ref="F45">0.1+IFERROR(INDEX($F$5:$F44,SUMPRODUCT(MAX(ROW($C$5:$C44)*($C45=$C$5:$C44))-ROW($A$4)))*0.9^($A45-INDEX($A$5:A44,SUMPRODUCT(MAX(ROW($C$5:$C44)*($C45=$C$5:$C44))-ROW($A$4)))),0)</f>
        <v>0.1</v>
      </c>
      <c r="G45" s="55">
        <f>INDEX(UWS!$AB$10:$AB$41,MATCH(C45,UWS!$B$10:$B$41,0))</f>
        <v>1.3</v>
      </c>
      <c r="H45" s="48">
        <f>INDEX(UWS!$C$10:$C$41,MATCH(C45,UWS!$B$10:$B$41,0))</f>
        <v>1</v>
      </c>
      <c r="I45" s="27">
        <f t="shared" si="134"/>
        <v>3</v>
      </c>
      <c r="J45" s="27">
        <f>INDEX(UWS!$E$10:$E$41,MATCH(C45,UWS!$B$10:$B$41,0))</f>
        <v>1</v>
      </c>
      <c r="L45" s="108" t="str" cm="1">
        <f t="array" ref="L45">IF(K45="","",INDEX(UWS!$B$10:$B$41,K45))</f>
        <v/>
      </c>
      <c r="N45" s="108" t="str" cm="1">
        <f t="array" ref="N45">IF(M45="","",INDEX(UWS!$B$10:$B$41,M45))</f>
        <v/>
      </c>
      <c r="P45">
        <f>IFERROR(INDEX(UWS!$G$10:$Z$41,MATCH($C45,UWS!$B$10:$B$41,0),MATCH(P$4,UWS!$G$3:$Z$3,0)),0)</f>
        <v>0</v>
      </c>
      <c r="Q45">
        <f>IFERROR(INDEX(UWS!$G$10:$Z$41,MATCH($C45,UWS!$B$10:$B$41,0),MATCH(Q$4,UWS!$G$3:$Z$3,0)),0)</f>
        <v>0</v>
      </c>
      <c r="R45">
        <f>IFERROR(INDEX(UWS!$G$10:$Z$41,MATCH($C45,UWS!$B$10:$B$41,0),MATCH(R$4,UWS!$G$3:$Z$3,0)),0)</f>
        <v>0</v>
      </c>
      <c r="S45">
        <f>IFERROR(INDEX(UWS!$G$10:$Z$41,MATCH($C45,UWS!$B$10:$B$41,0),MATCH(S$4,UWS!$G$3:$Z$3,0)),0)</f>
        <v>0</v>
      </c>
      <c r="T45">
        <f>IFERROR(INDEX(UWS!$G$10:$Z$41,MATCH($C45,UWS!$B$10:$B$41,0),MATCH(T$4,UWS!$G$3:$Z$3,0)),0)</f>
        <v>0</v>
      </c>
      <c r="U45">
        <f>IFERROR(INDEX(UWS!$G$10:$Z$41,MATCH($C45,UWS!$B$10:$B$41,0),MATCH(U$4,UWS!$G$3:$Z$3,0)),0)</f>
        <v>0</v>
      </c>
      <c r="V45">
        <f>IFERROR(INDEX(UWS!$G$10:$Z$41,MATCH($C45,UWS!$B$10:$B$41,0),MATCH(V$4,UWS!$G$3:$Z$3,0)),0)</f>
        <v>0</v>
      </c>
      <c r="W45">
        <f>IFERROR(INDEX(UWS!$G$10:$Z$41,MATCH($C45,UWS!$B$10:$B$41,0),MATCH(W$4,UWS!$G$3:$Z$3,0)),0)</f>
        <v>0</v>
      </c>
      <c r="X45">
        <f>IFERROR(INDEX(UWS!$G$10:$Z$41,MATCH($C45,UWS!$B$10:$B$41,0),MATCH(X$4,UWS!$G$3:$Z$3,0)),0)</f>
        <v>0</v>
      </c>
      <c r="Y45">
        <f>IFERROR(INDEX(UWS!$G$10:$Z$41,MATCH($C45,UWS!$B$10:$B$41,0),MATCH(Y$4,UWS!$G$3:$Z$3,0)),0)</f>
        <v>1</v>
      </c>
      <c r="Z45">
        <f>IFERROR(INDEX(UWS!$G$10:$Z$41,MATCH($C45,UWS!$B$10:$B$41,0),MATCH(Z$4,UWS!$G$3:$Z$3,0)),0)</f>
        <v>0.3</v>
      </c>
      <c r="AA45">
        <f>IFERROR(INDEX(UWS!$G$10:$Z$41,MATCH($C45,UWS!$B$10:$B$41,0),MATCH(AA$4,UWS!$G$3:$Z$3,0)),0)</f>
        <v>0</v>
      </c>
      <c r="AB45">
        <f>IFERROR(INDEX(UWS!$G$10:$Z$41,MATCH($C45,UWS!$B$10:$B$41,0),MATCH(AB$4,UWS!$G$3:$Z$3,0)),0)</f>
        <v>0</v>
      </c>
      <c r="AC45">
        <f>IFERROR(INDEX(UWS!$G$10:$Z$41,MATCH($C45,UWS!$B$10:$B$41,0),MATCH(AC$4,UWS!$G$3:$Z$3,0)),0)</f>
        <v>0</v>
      </c>
      <c r="AD45">
        <f>IFERROR(INDEX(UWS!$G$10:$Z$41,MATCH($C45,UWS!$B$10:$B$41,0),MATCH(AD$4,UWS!$G$3:$Z$3,0)),0)</f>
        <v>0</v>
      </c>
      <c r="AE45">
        <f>IFERROR(INDEX(UWS!$G$10:$Z$41,MATCH($C45,UWS!$B$10:$B$41,0),MATCH(AE$4,UWS!$G$3:$Z$3,0)),0)</f>
        <v>0</v>
      </c>
      <c r="AF45">
        <f>IFERROR(INDEX(UWS!$G$10:$Z$41,MATCH($C45,UWS!$B$10:$B$41,0),MATCH(AF$4,UWS!$G$3:$Z$3,0)),0)</f>
        <v>0</v>
      </c>
      <c r="AG45">
        <f>IFERROR(INDEX(UWS!$G$10:$Z$41,MATCH($C45,UWS!$B$10:$B$41,0),MATCH(AG$4,UWS!$G$3:$Z$3,0)),0)</f>
        <v>0</v>
      </c>
      <c r="AH45">
        <f>IFERROR(INDEX(UWS!$G$10:$Z$41,MATCH($C45,UWS!$B$10:$B$41,0),MATCH(AH$4,UWS!$G$3:$Z$3,0)),0)</f>
        <v>0</v>
      </c>
      <c r="AI45">
        <f>IFERROR(INDEX(UWS!$G$10:$Z$41,MATCH($C45,UWS!$B$10:$B$41,0),MATCH(AI$4,UWS!$G$3:$Z$3,0)),0)</f>
        <v>0</v>
      </c>
      <c r="AK45">
        <f>IF(OR($J45=0,COUNTIFS($A$4:$A44,"&gt;="&amp;$A45-1,$A$4:$A44,"&lt;="&amp;$A45,$B$4:$B44,$B45)&gt;0,MIN(AK$1,IF($A45=$A44,AK44,1))-P45&lt;0),-1,MIN(1,IF($A45=$A44,AK44,1)-P45+$D$3))</f>
        <v>1</v>
      </c>
      <c r="AL45">
        <f>IF(OR($J45=0,COUNTIFS($A$4:$A44,"&gt;="&amp;$A45-1,$A$4:$A44,"&lt;="&amp;$A45,$B$4:$B44,$B45)&gt;0,MIN(AL$1,IF($A45=$A44,AL44,1))-Q45&lt;0),-1,MIN(1,IF($A45=$A44,AL44,1)-Q45+$D$3))</f>
        <v>1</v>
      </c>
      <c r="AM45">
        <f>IF(OR($J45=0,COUNTIFS($A$4:$A44,"&gt;="&amp;$A45-1,$A$4:$A44,"&lt;="&amp;$A45,$B$4:$B44,$B45)&gt;0,MIN(AM$1,IF($A45=$A44,AM44,1))-R45&lt;0),-1,MIN(1,IF($A45=$A44,AM44,1)-R45+$D$3))</f>
        <v>1</v>
      </c>
      <c r="AN45">
        <f>IF(OR($J45=0,COUNTIFS($A$4:$A44,"&gt;="&amp;$A45-1,$A$4:$A44,"&lt;="&amp;$A45,$B$4:$B44,$B45)&gt;0,MIN(AN$1,IF($A45=$A44,AN44,1))-S45&lt;0),-1,MIN(1,IF($A45=$A44,AN44,1)-S45+$D$3))</f>
        <v>1</v>
      </c>
      <c r="AO45">
        <f>IF(OR($J45=0,COUNTIFS($A$4:$A44,"&gt;="&amp;$A45-1,$A$4:$A44,"&lt;="&amp;$A45,$B$4:$B44,$B45)&gt;0,MIN(AO$1,IF($A45=$A44,AO44,1))-T45&lt;0),-1,MIN(1,IF($A45=$A44,AO44,1)-T45+$D$3))</f>
        <v>1</v>
      </c>
      <c r="AP45">
        <f>IF(OR($J45=0,COUNTIFS($A$4:$A44,"&gt;="&amp;$A45-1,$A$4:$A44,"&lt;="&amp;$A45,$B$4:$B44,$B45)&gt;0,MIN(AP$1,IF($A45=$A44,AP44,1))-U45&lt;0),-1,MIN(1,IF($A45=$A44,AP44,1)-U45+$D$3))</f>
        <v>1</v>
      </c>
      <c r="AQ45">
        <f>IF(OR($J45=0,COUNTIFS($A$4:$A44,"&gt;="&amp;$A45-1,$A$4:$A44,"&lt;="&amp;$A45,$B$4:$B44,$B45)&gt;0,MIN(AQ$1,IF($A45=$A44,AQ44,1))-V45&lt;0),-1,MIN(1,IF($A45=$A44,AQ44,1)-V45+$D$3))</f>
        <v>1</v>
      </c>
      <c r="AR45">
        <f>IF(OR($J45=0,COUNTIFS($A$4:$A44,"&gt;="&amp;$A45-1,$A$4:$A44,"&lt;="&amp;$A45,$B$4:$B44,$B45)&gt;0,MIN(AR$1,IF($A45=$A44,AR44,1))-W45&lt;0),-1,MIN(1,IF($A45=$A44,AR44,1)-W45+$D$3))</f>
        <v>0.8</v>
      </c>
      <c r="AS45">
        <f>IF(OR($J45=0,COUNTIFS($A$4:$A44,"&gt;="&amp;$A45-1,$A$4:$A44,"&lt;="&amp;$A45,$B$4:$B44,$B45)&gt;0,MIN(AS$1,IF($A45=$A44,AS44,1))-X45&lt;0),-1,MIN(1,IF($A45=$A44,AS44,1)-X45+$D$3))</f>
        <v>1</v>
      </c>
      <c r="AT45">
        <f>IF(OR($J45=0,COUNTIFS($A$4:$A44,"&gt;="&amp;$A45-1,$A$4:$A44,"&lt;="&amp;$A45,$B$4:$B44,$B45)&gt;0,MIN(AT$1,IF($A45=$A44,AT44,1))-Y45&lt;0),-1,MIN(1,IF($A45=$A44,AT44,1)-Y45+$D$3))</f>
        <v>0.4</v>
      </c>
      <c r="AU45">
        <f>IF(OR($J45=0,COUNTIFS($A$4:$A44,"&gt;="&amp;$A45-1,$A$4:$A44,"&lt;="&amp;$A45,$B$4:$B44,$B45)&gt;0,MIN(AU$1,IF($A45=$A44,AU44,1))-Z45&lt;0),-1,MIN(1,IF($A45=$A44,AU44,1)-Z45+$D$3))</f>
        <v>0.8</v>
      </c>
      <c r="AV45">
        <f>IF(OR($J45=0,COUNTIFS($A$4:$A44,"&gt;="&amp;$A45-1,$A$4:$A44,"&lt;="&amp;$A45,$B$4:$B44,$B45)&gt;0,MIN(AV$1,IF($A45=$A44,AV44,1))-AA45&lt;0),-1,MIN(1,IF($A45=$A44,AV44,1)-AA45+$D$3))</f>
        <v>1</v>
      </c>
      <c r="AW45">
        <f>IF(OR($J45=0,COUNTIFS($A$4:$A44,"&gt;="&amp;$A45-1,$A$4:$A44,"&lt;="&amp;$A45,$B$4:$B44,$B45)&gt;0,MIN(AW$1,IF($A45=$A44,AW44,1))-AB45&lt;0),-1,MIN(1,IF($A45=$A44,AW44,1)-AB45+$D$3))</f>
        <v>1</v>
      </c>
      <c r="AX45">
        <f>IF(OR($J45=0,COUNTIFS($A$4:$A44,"&gt;="&amp;$A45-1,$A$4:$A44,"&lt;="&amp;$A45,$B$4:$B44,$B45)&gt;0,MIN(AX$1,IF($A45=$A44,AX44,1))-AC45&lt;0),-1,MIN(1,IF($A45=$A44,AX44,1)-AC45+$D$3))</f>
        <v>1</v>
      </c>
      <c r="AY45">
        <f>IF(OR($J45=0,COUNTIFS($A$4:$A44,"&gt;="&amp;$A45-1,$A$4:$A44,"&lt;="&amp;$A45,$B$4:$B44,$B45)&gt;0,MIN(AY$1,IF($A45=$A44,AY44,1))-AD45&lt;0),-1,MIN(1,IF($A45=$A44,AY44,1)-AD45+$D$3))</f>
        <v>1</v>
      </c>
      <c r="AZ45">
        <f>IF(OR($J45=0,COUNTIFS($A$4:$A44,"&gt;="&amp;$A45-1,$A$4:$A44,"&lt;="&amp;$A45,$B$4:$B44,$B45)&gt;0,MIN(AZ$1,IF($A45=$A44,AZ44,1))-AE45&lt;0),-1,MIN(1,IF($A45=$A44,AZ44,1)-AE45+$D$3))</f>
        <v>1</v>
      </c>
      <c r="BA45">
        <f>IF(OR($J45=0,COUNTIFS($A$4:$A44,"&gt;="&amp;$A45-1,$A$4:$A44,"&lt;="&amp;$A45,$B$4:$B44,$B45)&gt;0,MIN(BA$1,IF($A45=$A44,BA44,1))-AF45&lt;0),-1,MIN(1,IF($A45=$A44,BA44,1)-AF45+$D$3))</f>
        <v>1</v>
      </c>
      <c r="BB45">
        <f>IF(OR($J45=0,COUNTIFS($A$4:$A44,"&gt;="&amp;$A45-1,$A$4:$A44,"&lt;="&amp;$A45,$B$4:$B44,$B45)&gt;0,MIN(BB$1,IF($A45=$A44,BB44,1))-AG45&lt;0),-1,MIN(1,IF($A45=$A44,BB44,1)-AG45+$D$3))</f>
        <v>1</v>
      </c>
      <c r="BC45">
        <f>IF(OR($J45=0,COUNTIFS($A$4:$A44,"&gt;="&amp;$A45-1,$A$4:$A44,"&lt;="&amp;$A45,$B$4:$B44,$B45)&gt;0,MIN(BC$1,IF($A45=$A44,BC44,1))-AH45&lt;0),-1,MIN(1,IF($A45=$A44,BC44,1)-AH45+$D$3))</f>
        <v>1</v>
      </c>
      <c r="BD45">
        <f>IF(OR($J45=0,COUNTIFS($A$4:$A44,"&gt;="&amp;$A45-1,$A$4:$A44,"&lt;="&amp;$A45,$B$4:$B44,$B45)&gt;0,MIN(BD$1,IF($A45=$A44,BD44,1))-AI45&lt;0),-1,MIN(1,IF($A45=$A44,BD44,1)-AI45+$D$3))</f>
        <v>1</v>
      </c>
      <c r="BF45" s="44">
        <f t="shared" si="135"/>
        <v>7.4605053876466307E-2</v>
      </c>
      <c r="BG45" s="44">
        <f t="shared" si="136"/>
        <v>0.15307240073953007</v>
      </c>
      <c r="BH45" s="44">
        <f t="shared" si="137"/>
        <v>0.28683753094313807</v>
      </c>
      <c r="BI45" s="44">
        <f t="shared" si="138"/>
        <v>0.23708002476131682</v>
      </c>
      <c r="BJ45" s="44">
        <f t="shared" si="139"/>
        <v>0.30553466179681249</v>
      </c>
      <c r="BK45" s="44">
        <f t="shared" si="140"/>
        <v>8.4849176765756484E-2</v>
      </c>
      <c r="BL45" s="44">
        <f t="shared" si="141"/>
        <v>7.273445951798739E-2</v>
      </c>
      <c r="BM45" s="44">
        <f t="shared" si="142"/>
        <v>0.129948133947032</v>
      </c>
      <c r="BN45" s="44">
        <f t="shared" si="143"/>
        <v>0.11310602042898688</v>
      </c>
      <c r="BO45" s="44">
        <f t="shared" si="144"/>
        <v>9.5443635757478884E-2</v>
      </c>
      <c r="BP45" s="44">
        <f t="shared" si="145"/>
        <v>0.30006925378377564</v>
      </c>
      <c r="BQ45" s="44">
        <f t="shared" si="146"/>
        <v>6.5160063893247855E-2</v>
      </c>
      <c r="BR45" s="44">
        <f t="shared" si="147"/>
        <v>0.2369735791406645</v>
      </c>
      <c r="BS45" s="44">
        <f t="shared" si="148"/>
        <v>8.1077202712155141E-2</v>
      </c>
      <c r="BT45" s="44">
        <f t="shared" si="149"/>
        <v>0.38621922357903565</v>
      </c>
      <c r="BU45" s="44">
        <f t="shared" si="150"/>
        <v>0.36422129114995438</v>
      </c>
      <c r="BV45" s="44">
        <f t="shared" si="151"/>
        <v>0.40955307330587165</v>
      </c>
      <c r="BW45" s="44">
        <f t="shared" si="152"/>
        <v>0.17782838160502154</v>
      </c>
      <c r="BX45" s="44">
        <f t="shared" si="153"/>
        <v>0.15078594199682363</v>
      </c>
      <c r="BY45" s="44">
        <f t="shared" si="154"/>
        <v>0.13214783833081462</v>
      </c>
      <c r="CA45" s="44">
        <f t="shared" si="155"/>
        <v>-0.55514483198068054</v>
      </c>
      <c r="CB45" s="44">
        <f t="shared" si="156"/>
        <v>-0.39150638362151313</v>
      </c>
      <c r="CC45" s="44">
        <f t="shared" si="157"/>
        <v>0.71035541684941284</v>
      </c>
      <c r="CD45" s="44">
        <f t="shared" si="158"/>
        <v>0.41366125710269985</v>
      </c>
      <c r="CE45" s="44">
        <f t="shared" si="159"/>
        <v>0.82184270698880435</v>
      </c>
      <c r="CF45" s="44">
        <f t="shared" si="160"/>
        <v>-0.74703057752004287</v>
      </c>
      <c r="CG45" s="44">
        <f t="shared" si="161"/>
        <v>-0.56629881585173325</v>
      </c>
      <c r="CH45" s="44">
        <f t="shared" si="162"/>
        <v>-0.48343000054192353</v>
      </c>
      <c r="CI45" s="44">
        <f t="shared" si="163"/>
        <v>-0.32557118978496802</v>
      </c>
      <c r="CJ45" s="44">
        <f t="shared" si="164"/>
        <v>-0.43088849327054379</v>
      </c>
      <c r="CK45" s="44">
        <f t="shared" si="165"/>
        <v>0.78925356089744847</v>
      </c>
      <c r="CL45" s="44">
        <f t="shared" si="166"/>
        <v>-0.61146343759260968</v>
      </c>
      <c r="CM45" s="44">
        <f t="shared" si="167"/>
        <v>-5.7982304708059207E-2</v>
      </c>
      <c r="CN45" s="44">
        <f t="shared" si="168"/>
        <v>-0.51655268965056667</v>
      </c>
      <c r="CO45" s="44">
        <f t="shared" si="169"/>
        <v>1.3029487771972494</v>
      </c>
      <c r="CP45" s="44">
        <f t="shared" si="170"/>
        <v>1.1717794606651495</v>
      </c>
      <c r="CQ45" s="44">
        <f t="shared" si="171"/>
        <v>0.628055936085258</v>
      </c>
      <c r="CR45" s="44">
        <f t="shared" si="172"/>
        <v>6.0355437963963254E-2</v>
      </c>
      <c r="CS45" s="44">
        <f t="shared" si="173"/>
        <v>-0.10089327630513723</v>
      </c>
      <c r="CT45" s="44">
        <f t="shared" si="174"/>
        <v>-0.2120285990090508</v>
      </c>
      <c r="CV45" s="44">
        <f t="shared" si="175"/>
        <v>0.63275969368255891</v>
      </c>
    </row>
    <row r="46" spans="1:100" x14ac:dyDescent="0.25">
      <c r="A46" s="98">
        <v>45057</v>
      </c>
      <c r="B46" s="57">
        <v>3</v>
      </c>
      <c r="C46" s="51" t="str" cm="1">
        <f t="array" ref="C46">IF(B46="","",INDEX(UWS!$B$10:$B$41,B46))</f>
        <v>Stair climbing machine</v>
      </c>
      <c r="D46" s="45">
        <f t="shared" si="132"/>
        <v>0.4</v>
      </c>
      <c r="E46" s="70">
        <f t="shared" si="133"/>
        <v>1.1247885562773769</v>
      </c>
      <c r="F46" s="52" cm="1">
        <f t="array" ref="F46">0.1+IFERROR(INDEX($F$5:$F45,SUMPRODUCT(MAX(ROW($C$5:$C45)*($C46=$C$5:$C45))-ROW($A$4)))*0.9^($A46-INDEX($A$5:A45,SUMPRODUCT(MAX(ROW($C$5:$C45)*($C46=$C$5:$C45))-ROW($A$4)))),0)</f>
        <v>0.1</v>
      </c>
      <c r="G46" s="56">
        <f>INDEX(UWS!$AB$10:$AB$41,MATCH(C46,UWS!$B$10:$B$41,0))</f>
        <v>3.4000000000000004</v>
      </c>
      <c r="H46" s="52">
        <f>INDEX(UWS!$C$10:$C$41,MATCH(C46,UWS!$B$10:$B$41,0))</f>
        <v>1</v>
      </c>
      <c r="I46" s="46">
        <f t="shared" si="134"/>
        <v>4</v>
      </c>
      <c r="J46" s="46">
        <f>INDEX(UWS!$E$10:$E$41,MATCH(C46,UWS!$B$10:$B$41,0))</f>
        <v>1</v>
      </c>
      <c r="K46" s="46"/>
      <c r="L46" s="109" t="str" cm="1">
        <f t="array" ref="L46">IF(K46="","",INDEX(UWS!$B$10:$B$41,K46))</f>
        <v/>
      </c>
      <c r="M46" s="46"/>
      <c r="N46" s="109" t="str" cm="1">
        <f t="array" ref="N46">IF(M46="","",INDEX(UWS!$B$10:$B$41,M46))</f>
        <v/>
      </c>
      <c r="O46" s="47"/>
      <c r="P46" s="47">
        <f>IFERROR(INDEX(UWS!$G$10:$Z$41,MATCH($C46,UWS!$B$10:$B$41,0),MATCH(P$4,UWS!$G$3:$Z$3,0)),0)</f>
        <v>0</v>
      </c>
      <c r="Q46" s="47">
        <f>IFERROR(INDEX(UWS!$G$10:$Z$41,MATCH($C46,UWS!$B$10:$B$41,0),MATCH(Q$4,UWS!$G$3:$Z$3,0)),0)</f>
        <v>0</v>
      </c>
      <c r="R46" s="47">
        <f>IFERROR(INDEX(UWS!$G$10:$Z$41,MATCH($C46,UWS!$B$10:$B$41,0),MATCH(R$4,UWS!$G$3:$Z$3,0)),0)</f>
        <v>0</v>
      </c>
      <c r="S46" s="47">
        <f>IFERROR(INDEX(UWS!$G$10:$Z$41,MATCH($C46,UWS!$B$10:$B$41,0),MATCH(S$4,UWS!$G$3:$Z$3,0)),0)</f>
        <v>0</v>
      </c>
      <c r="T46" s="47">
        <f>IFERROR(INDEX(UWS!$G$10:$Z$41,MATCH($C46,UWS!$B$10:$B$41,0),MATCH(T$4,UWS!$G$3:$Z$3,0)),0)</f>
        <v>0</v>
      </c>
      <c r="U46" s="47">
        <f>IFERROR(INDEX(UWS!$G$10:$Z$41,MATCH($C46,UWS!$B$10:$B$41,0),MATCH(U$4,UWS!$G$3:$Z$3,0)),0)</f>
        <v>0</v>
      </c>
      <c r="V46" s="47">
        <f>IFERROR(INDEX(UWS!$G$10:$Z$41,MATCH($C46,UWS!$B$10:$B$41,0),MATCH(V$4,UWS!$G$3:$Z$3,0)),0)</f>
        <v>0</v>
      </c>
      <c r="W46" s="47">
        <f>IFERROR(INDEX(UWS!$G$10:$Z$41,MATCH($C46,UWS!$B$10:$B$41,0),MATCH(W$4,UWS!$G$3:$Z$3,0)),0)</f>
        <v>0</v>
      </c>
      <c r="X46" s="47">
        <f>IFERROR(INDEX(UWS!$G$10:$Z$41,MATCH($C46,UWS!$B$10:$B$41,0),MATCH(X$4,UWS!$G$3:$Z$3,0)),0)</f>
        <v>0</v>
      </c>
      <c r="Y46" s="47">
        <f>IFERROR(INDEX(UWS!$G$10:$Z$41,MATCH($C46,UWS!$B$10:$B$41,0),MATCH(Y$4,UWS!$G$3:$Z$3,0)),0)</f>
        <v>0</v>
      </c>
      <c r="Z46" s="47">
        <f>IFERROR(INDEX(UWS!$G$10:$Z$41,MATCH($C46,UWS!$B$10:$B$41,0),MATCH(Z$4,UWS!$G$3:$Z$3,0)),0)</f>
        <v>0</v>
      </c>
      <c r="AA46" s="47">
        <f>IFERROR(INDEX(UWS!$G$10:$Z$41,MATCH($C46,UWS!$B$10:$B$41,0),MATCH(AA$4,UWS!$G$3:$Z$3,0)),0)</f>
        <v>0</v>
      </c>
      <c r="AB46" s="47">
        <f>IFERROR(INDEX(UWS!$G$10:$Z$41,MATCH($C46,UWS!$B$10:$B$41,0),MATCH(AB$4,UWS!$G$3:$Z$3,0)),0)</f>
        <v>0</v>
      </c>
      <c r="AC46" s="47">
        <f>IFERROR(INDEX(UWS!$G$10:$Z$41,MATCH($C46,UWS!$B$10:$B$41,0),MATCH(AC$4,UWS!$G$3:$Z$3,0)),0)</f>
        <v>0</v>
      </c>
      <c r="AD46" s="47">
        <f>IFERROR(INDEX(UWS!$G$10:$Z$41,MATCH($C46,UWS!$B$10:$B$41,0),MATCH(AD$4,UWS!$G$3:$Z$3,0)),0)</f>
        <v>1</v>
      </c>
      <c r="AE46" s="47">
        <f>IFERROR(INDEX(UWS!$G$10:$Z$41,MATCH($C46,UWS!$B$10:$B$41,0),MATCH(AE$4,UWS!$G$3:$Z$3,0)),0)</f>
        <v>0.6</v>
      </c>
      <c r="AF46" s="47">
        <f>IFERROR(INDEX(UWS!$G$10:$Z$41,MATCH($C46,UWS!$B$10:$B$41,0),MATCH(AF$4,UWS!$G$3:$Z$3,0)),0)</f>
        <v>0.8</v>
      </c>
      <c r="AG46" s="47">
        <f>IFERROR(INDEX(UWS!$G$10:$Z$41,MATCH($C46,UWS!$B$10:$B$41,0),MATCH(AG$4,UWS!$G$3:$Z$3,0)),0)</f>
        <v>1</v>
      </c>
      <c r="AH46" s="47">
        <f>IFERROR(INDEX(UWS!$G$10:$Z$41,MATCH($C46,UWS!$B$10:$B$41,0),MATCH(AH$4,UWS!$G$3:$Z$3,0)),0)</f>
        <v>0</v>
      </c>
      <c r="AI46" s="47">
        <f>IFERROR(INDEX(UWS!$G$10:$Z$41,MATCH($C46,UWS!$B$10:$B$41,0),MATCH(AI$4,UWS!$G$3:$Z$3,0)),0)</f>
        <v>0</v>
      </c>
      <c r="AJ46" s="47"/>
      <c r="AK46" s="47">
        <f>IF(OR($J46=0,COUNTIFS($A$4:$A45,"&gt;="&amp;$A46-1,$A$4:$A45,"&lt;="&amp;$A46,$B$4:$B45,$B46)&gt;0,MIN(AK$1,IF($A46=$A45,AK45,1))-P46&lt;0),-1,MIN(1,IF($A46=$A45,AK45,1)-P46+$D$3))</f>
        <v>1</v>
      </c>
      <c r="AL46" s="47">
        <f>IF(OR($J46=0,COUNTIFS($A$4:$A45,"&gt;="&amp;$A46-1,$A$4:$A45,"&lt;="&amp;$A46,$B$4:$B45,$B46)&gt;0,MIN(AL$1,IF($A46=$A45,AL45,1))-Q46&lt;0),-1,MIN(1,IF($A46=$A45,AL45,1)-Q46+$D$3))</f>
        <v>1</v>
      </c>
      <c r="AM46" s="47">
        <f>IF(OR($J46=0,COUNTIFS($A$4:$A45,"&gt;="&amp;$A46-1,$A$4:$A45,"&lt;="&amp;$A46,$B$4:$B45,$B46)&gt;0,MIN(AM$1,IF($A46=$A45,AM45,1))-R46&lt;0),-1,MIN(1,IF($A46=$A45,AM45,1)-R46+$D$3))</f>
        <v>1</v>
      </c>
      <c r="AN46" s="47">
        <f>IF(OR($J46=0,COUNTIFS($A$4:$A45,"&gt;="&amp;$A46-1,$A$4:$A45,"&lt;="&amp;$A46,$B$4:$B45,$B46)&gt;0,MIN(AN$1,IF($A46=$A45,AN45,1))-S46&lt;0),-1,MIN(1,IF($A46=$A45,AN45,1)-S46+$D$3))</f>
        <v>1</v>
      </c>
      <c r="AO46" s="47">
        <f>IF(OR($J46=0,COUNTIFS($A$4:$A45,"&gt;="&amp;$A46-1,$A$4:$A45,"&lt;="&amp;$A46,$B$4:$B45,$B46)&gt;0,MIN(AO$1,IF($A46=$A45,AO45,1))-T46&lt;0),-1,MIN(1,IF($A46=$A45,AO45,1)-T46+$D$3))</f>
        <v>1</v>
      </c>
      <c r="AP46" s="47">
        <f>IF(OR($J46=0,COUNTIFS($A$4:$A45,"&gt;="&amp;$A46-1,$A$4:$A45,"&lt;="&amp;$A46,$B$4:$B45,$B46)&gt;0,MIN(AP$1,IF($A46=$A45,AP45,1))-U46&lt;0),-1,MIN(1,IF($A46=$A45,AP45,1)-U46+$D$3))</f>
        <v>1</v>
      </c>
      <c r="AQ46" s="47">
        <f>IF(OR($J46=0,COUNTIFS($A$4:$A45,"&gt;="&amp;$A46-1,$A$4:$A45,"&lt;="&amp;$A46,$B$4:$B45,$B46)&gt;0,MIN(AQ$1,IF($A46=$A45,AQ45,1))-V46&lt;0),-1,MIN(1,IF($A46=$A45,AQ45,1)-V46+$D$3))</f>
        <v>1</v>
      </c>
      <c r="AR46" s="47">
        <f>IF(OR($J46=0,COUNTIFS($A$4:$A45,"&gt;="&amp;$A46-1,$A$4:$A45,"&lt;="&amp;$A46,$B$4:$B45,$B46)&gt;0,MIN(AR$1,IF($A46=$A45,AR45,1))-W46&lt;0),-1,MIN(1,IF($A46=$A45,AR45,1)-W46+$D$3))</f>
        <v>1</v>
      </c>
      <c r="AS46" s="47">
        <f>IF(OR($J46=0,COUNTIFS($A$4:$A45,"&gt;="&amp;$A46-1,$A$4:$A45,"&lt;="&amp;$A46,$B$4:$B45,$B46)&gt;0,MIN(AS$1,IF($A46=$A45,AS45,1))-X46&lt;0),-1,MIN(1,IF($A46=$A45,AS45,1)-X46+$D$3))</f>
        <v>1</v>
      </c>
      <c r="AT46" s="47">
        <f>IF(OR($J46=0,COUNTIFS($A$4:$A45,"&gt;="&amp;$A46-1,$A$4:$A45,"&lt;="&amp;$A46,$B$4:$B45,$B46)&gt;0,MIN(AT$1,IF($A46=$A45,AT45,1))-Y46&lt;0),-1,MIN(1,IF($A46=$A45,AT45,1)-Y46+$D$3))</f>
        <v>0.8</v>
      </c>
      <c r="AU46" s="47">
        <f>IF(OR($J46=0,COUNTIFS($A$4:$A45,"&gt;="&amp;$A46-1,$A$4:$A45,"&lt;="&amp;$A46,$B$4:$B45,$B46)&gt;0,MIN(AU$1,IF($A46=$A45,AU45,1))-Z46&lt;0),-1,MIN(1,IF($A46=$A45,AU45,1)-Z46+$D$3))</f>
        <v>1</v>
      </c>
      <c r="AV46" s="47">
        <f>IF(OR($J46=0,COUNTIFS($A$4:$A45,"&gt;="&amp;$A46-1,$A$4:$A45,"&lt;="&amp;$A46,$B$4:$B45,$B46)&gt;0,MIN(AV$1,IF($A46=$A45,AV45,1))-AA46&lt;0),-1,MIN(1,IF($A46=$A45,AV45,1)-AA46+$D$3))</f>
        <v>1</v>
      </c>
      <c r="AW46" s="47">
        <f>IF(OR($J46=0,COUNTIFS($A$4:$A45,"&gt;="&amp;$A46-1,$A$4:$A45,"&lt;="&amp;$A46,$B$4:$B45,$B46)&gt;0,MIN(AW$1,IF($A46=$A45,AW45,1))-AB46&lt;0),-1,MIN(1,IF($A46=$A45,AW45,1)-AB46+$D$3))</f>
        <v>1</v>
      </c>
      <c r="AX46" s="47">
        <f>IF(OR($J46=0,COUNTIFS($A$4:$A45,"&gt;="&amp;$A46-1,$A$4:$A45,"&lt;="&amp;$A46,$B$4:$B45,$B46)&gt;0,MIN(AX$1,IF($A46=$A45,AX45,1))-AC46&lt;0),-1,MIN(1,IF($A46=$A45,AX45,1)-AC46+$D$3))</f>
        <v>1</v>
      </c>
      <c r="AY46" s="47">
        <f>IF(OR($J46=0,COUNTIFS($A$4:$A45,"&gt;="&amp;$A46-1,$A$4:$A45,"&lt;="&amp;$A46,$B$4:$B45,$B46)&gt;0,MIN(AY$1,IF($A46=$A45,AY45,1))-AD46&lt;0),-1,MIN(1,IF($A46=$A45,AY45,1)-AD46+$D$3))</f>
        <v>0.4</v>
      </c>
      <c r="AZ46" s="47">
        <f>IF(OR($J46=0,COUNTIFS($A$4:$A45,"&gt;="&amp;$A46-1,$A$4:$A45,"&lt;="&amp;$A46,$B$4:$B45,$B46)&gt;0,MIN(AZ$1,IF($A46=$A45,AZ45,1))-AE46&lt;0),-1,MIN(1,IF($A46=$A45,AZ45,1)-AE46+$D$3))</f>
        <v>0.8</v>
      </c>
      <c r="BA46" s="47">
        <f>IF(OR($J46=0,COUNTIFS($A$4:$A45,"&gt;="&amp;$A46-1,$A$4:$A45,"&lt;="&amp;$A46,$B$4:$B45,$B46)&gt;0,MIN(BA$1,IF($A46=$A45,BA45,1))-AF46&lt;0),-1,MIN(1,IF($A46=$A45,BA45,1)-AF46+$D$3))</f>
        <v>0.6</v>
      </c>
      <c r="BB46" s="47">
        <f>IF(OR($J46=0,COUNTIFS($A$4:$A45,"&gt;="&amp;$A46-1,$A$4:$A45,"&lt;="&amp;$A46,$B$4:$B45,$B46)&gt;0,MIN(BB$1,IF($A46=$A45,BB45,1))-AG46&lt;0),-1,MIN(1,IF($A46=$A45,BB45,1)-AG46+$D$3))</f>
        <v>0.4</v>
      </c>
      <c r="BC46" s="47">
        <f>IF(OR($J46=0,COUNTIFS($A$4:$A45,"&gt;="&amp;$A46-1,$A$4:$A45,"&lt;="&amp;$A46,$B$4:$B45,$B46)&gt;0,MIN(BC$1,IF($A46=$A45,BC45,1))-AH46&lt;0),-1,MIN(1,IF($A46=$A45,BC45,1)-AH46+$D$3))</f>
        <v>1</v>
      </c>
      <c r="BD46" s="47">
        <f>IF(OR($J46=0,COUNTIFS($A$4:$A45,"&gt;="&amp;$A46-1,$A$4:$A45,"&lt;="&amp;$A46,$B$4:$B45,$B46)&gt;0,MIN(BD$1,IF($A46=$A45,BD45,1))-AI46&lt;0),-1,MIN(1,IF($A46=$A45,BD45,1)-AI46+$D$3))</f>
        <v>1</v>
      </c>
      <c r="BE46" s="47"/>
      <c r="BF46" s="53">
        <f t="shared" si="135"/>
        <v>7.0874801182642985E-2</v>
      </c>
      <c r="BG46" s="53">
        <f t="shared" si="136"/>
        <v>0.14541878070255357</v>
      </c>
      <c r="BH46" s="53">
        <f t="shared" si="137"/>
        <v>0.27249565439598117</v>
      </c>
      <c r="BI46" s="53">
        <f t="shared" si="138"/>
        <v>0.22522602352325097</v>
      </c>
      <c r="BJ46" s="53">
        <f t="shared" si="139"/>
        <v>0.29025792870697187</v>
      </c>
      <c r="BK46" s="53">
        <f t="shared" si="140"/>
        <v>8.0606717927468652E-2</v>
      </c>
      <c r="BL46" s="53">
        <f t="shared" si="141"/>
        <v>6.909773654208802E-2</v>
      </c>
      <c r="BM46" s="53">
        <f t="shared" si="142"/>
        <v>0.1234507272496804</v>
      </c>
      <c r="BN46" s="53">
        <f t="shared" si="143"/>
        <v>0.10745071940753753</v>
      </c>
      <c r="BO46" s="53">
        <f t="shared" si="144"/>
        <v>9.0671453969604937E-2</v>
      </c>
      <c r="BP46" s="53">
        <f t="shared" si="145"/>
        <v>0.28506579109458685</v>
      </c>
      <c r="BQ46" s="53">
        <f t="shared" si="146"/>
        <v>6.1902060698585462E-2</v>
      </c>
      <c r="BR46" s="53">
        <f t="shared" si="147"/>
        <v>0.22512490018363127</v>
      </c>
      <c r="BS46" s="53">
        <f t="shared" si="148"/>
        <v>7.7023342576547374E-2</v>
      </c>
      <c r="BT46" s="53">
        <f t="shared" si="149"/>
        <v>0.41690826240008383</v>
      </c>
      <c r="BU46" s="53">
        <f t="shared" si="150"/>
        <v>0.37601022659245664</v>
      </c>
      <c r="BV46" s="53">
        <f t="shared" si="151"/>
        <v>0.42907541964057805</v>
      </c>
      <c r="BW46" s="53">
        <f t="shared" si="152"/>
        <v>0.21893696252477046</v>
      </c>
      <c r="BX46" s="53">
        <f t="shared" si="153"/>
        <v>0.14324664489698244</v>
      </c>
      <c r="BY46" s="53">
        <f t="shared" si="154"/>
        <v>0.12554044641427387</v>
      </c>
      <c r="BZ46" s="47"/>
      <c r="CA46" s="53">
        <f t="shared" si="155"/>
        <v>-0.57486778271203209</v>
      </c>
      <c r="CB46" s="53">
        <f t="shared" si="156"/>
        <v>-0.41848435415877705</v>
      </c>
      <c r="CC46" s="53">
        <f t="shared" si="157"/>
        <v>0.63452566810261168</v>
      </c>
      <c r="CD46" s="53">
        <f t="shared" si="158"/>
        <v>0.35098564191585746</v>
      </c>
      <c r="CE46" s="53">
        <f t="shared" si="159"/>
        <v>0.74107009483686093</v>
      </c>
      <c r="CF46" s="53">
        <f t="shared" si="160"/>
        <v>-0.75824614567523607</v>
      </c>
      <c r="CG46" s="53">
        <f t="shared" si="161"/>
        <v>-0.58552724726497374</v>
      </c>
      <c r="CH46" s="53">
        <f t="shared" si="162"/>
        <v>-0.50633247618128352</v>
      </c>
      <c r="CI46" s="53">
        <f t="shared" si="163"/>
        <v>-0.3554724411403245</v>
      </c>
      <c r="CJ46" s="53">
        <f t="shared" si="164"/>
        <v>-0.45612043169636152</v>
      </c>
      <c r="CK46" s="53">
        <f t="shared" si="165"/>
        <v>0.70992581028459512</v>
      </c>
      <c r="CL46" s="53">
        <f t="shared" si="166"/>
        <v>-0.62868946536207204</v>
      </c>
      <c r="CM46" s="53">
        <f t="shared" si="167"/>
        <v>-9.974728784858844E-2</v>
      </c>
      <c r="CN46" s="53">
        <f t="shared" si="168"/>
        <v>-0.53798664876512547</v>
      </c>
      <c r="CO46" s="53">
        <f t="shared" si="169"/>
        <v>1.5007637558386184</v>
      </c>
      <c r="CP46" s="53">
        <f t="shared" si="170"/>
        <v>1.2554428187002817</v>
      </c>
      <c r="CQ46" s="53">
        <f t="shared" si="171"/>
        <v>0.71583112278497474</v>
      </c>
      <c r="CR46" s="53">
        <f t="shared" si="172"/>
        <v>0.31326162149775061</v>
      </c>
      <c r="CS46" s="53">
        <f t="shared" si="173"/>
        <v>-0.14075577288490171</v>
      </c>
      <c r="CT46" s="53">
        <f t="shared" si="174"/>
        <v>-0.24696383689479706</v>
      </c>
      <c r="CU46" s="47"/>
      <c r="CV46" s="53">
        <f t="shared" si="175"/>
        <v>0.66360991363624133</v>
      </c>
    </row>
    <row r="47" spans="1:100" x14ac:dyDescent="0.25">
      <c r="A47" s="97">
        <v>45060</v>
      </c>
      <c r="B47" s="86">
        <v>13</v>
      </c>
      <c r="C47" s="43" t="str" cm="1">
        <f t="array" ref="C47">IF(B47="","",INDEX(UWS!$B$10:$B$41,B47))</f>
        <v>Barbell bent-over row</v>
      </c>
      <c r="D47" s="40">
        <f t="shared" si="132"/>
        <v>0.4</v>
      </c>
      <c r="E47" s="69">
        <f t="shared" si="133"/>
        <v>1.7096191075244993</v>
      </c>
      <c r="F47" s="48" cm="1">
        <f t="array" ref="F47">0.1+IFERROR(INDEX($F$5:$F46,SUMPRODUCT(MAX(ROW($C$5:$C46)*($C47=$C$5:$C46))-ROW($A$4)))*0.9^($A47-INDEX($A$5:A46,SUMPRODUCT(MAX(ROW($C$5:$C46)*($C47=$C$5:$C46))-ROW($A$4)))),0)</f>
        <v>0.13138105960900004</v>
      </c>
      <c r="G47" s="55">
        <f>INDEX(UWS!$AB$10:$AB$41,MATCH(C47,UWS!$B$10:$B$41,0))</f>
        <v>4.3</v>
      </c>
      <c r="H47" s="48">
        <f>INDEX(UWS!$C$10:$C$41,MATCH(C47,UWS!$B$10:$B$41,0))</f>
        <v>1.1000000000000001</v>
      </c>
      <c r="I47" s="82">
        <f t="shared" si="134"/>
        <v>1</v>
      </c>
      <c r="J47" s="27">
        <f>INDEX(UWS!$E$10:$E$41,MATCH(C47,UWS!$B$10:$B$41,0))</f>
        <v>1</v>
      </c>
      <c r="L47" s="108" t="str" cm="1">
        <f t="array" ref="L47">IF(K47="","",INDEX(UWS!$B$10:$B$41,K47))</f>
        <v/>
      </c>
      <c r="N47" s="108" t="str" cm="1">
        <f t="array" ref="N47">IF(M47="","",INDEX(UWS!$B$10:$B$41,M47))</f>
        <v/>
      </c>
      <c r="P47">
        <f>IFERROR(INDEX(UWS!$G$10:$Z$41,MATCH($C47,UWS!$B$10:$B$41,0),MATCH(P$4,UWS!$G$3:$Z$3,0)),0)</f>
        <v>0</v>
      </c>
      <c r="Q47">
        <f>IFERROR(INDEX(UWS!$G$10:$Z$41,MATCH($C47,UWS!$B$10:$B$41,0),MATCH(Q$4,UWS!$G$3:$Z$3,0)),0)</f>
        <v>1</v>
      </c>
      <c r="R47">
        <f>IFERROR(INDEX(UWS!$G$10:$Z$41,MATCH($C47,UWS!$B$10:$B$41,0),MATCH(R$4,UWS!$G$3:$Z$3,0)),0)</f>
        <v>0.7</v>
      </c>
      <c r="S47">
        <f>IFERROR(INDEX(UWS!$G$10:$Z$41,MATCH($C47,UWS!$B$10:$B$41,0),MATCH(S$4,UWS!$G$3:$Z$3,0)),0)</f>
        <v>0.7</v>
      </c>
      <c r="T47">
        <f>IFERROR(INDEX(UWS!$G$10:$Z$41,MATCH($C47,UWS!$B$10:$B$41,0),MATCH(T$4,UWS!$G$3:$Z$3,0)),0)</f>
        <v>0.6</v>
      </c>
      <c r="U47">
        <f>IFERROR(INDEX(UWS!$G$10:$Z$41,MATCH($C47,UWS!$B$10:$B$41,0),MATCH(U$4,UWS!$G$3:$Z$3,0)),0)</f>
        <v>0</v>
      </c>
      <c r="V47">
        <f>IFERROR(INDEX(UWS!$G$10:$Z$41,MATCH($C47,UWS!$B$10:$B$41,0),MATCH(V$4,UWS!$G$3:$Z$3,0)),0)</f>
        <v>0</v>
      </c>
      <c r="W47">
        <f>IFERROR(INDEX(UWS!$G$10:$Z$41,MATCH($C47,UWS!$B$10:$B$41,0),MATCH(W$4,UWS!$G$3:$Z$3,0)),0)</f>
        <v>0.6</v>
      </c>
      <c r="X47">
        <f>IFERROR(INDEX(UWS!$G$10:$Z$41,MATCH($C47,UWS!$B$10:$B$41,0),MATCH(X$4,UWS!$G$3:$Z$3,0)),0)</f>
        <v>0.5</v>
      </c>
      <c r="Y47">
        <f>IFERROR(INDEX(UWS!$G$10:$Z$41,MATCH($C47,UWS!$B$10:$B$41,0),MATCH(Y$4,UWS!$G$3:$Z$3,0)),0)</f>
        <v>0</v>
      </c>
      <c r="Z47">
        <f>IFERROR(INDEX(UWS!$G$10:$Z$41,MATCH($C47,UWS!$B$10:$B$41,0),MATCH(Z$4,UWS!$G$3:$Z$3,0)),0)</f>
        <v>0.2</v>
      </c>
      <c r="AA47">
        <f>IFERROR(INDEX(UWS!$G$10:$Z$41,MATCH($C47,UWS!$B$10:$B$41,0),MATCH(AA$4,UWS!$G$3:$Z$3,0)),0)</f>
        <v>0</v>
      </c>
      <c r="AB47">
        <f>IFERROR(INDEX(UWS!$G$10:$Z$41,MATCH($C47,UWS!$B$10:$B$41,0),MATCH(AB$4,UWS!$G$3:$Z$3,0)),0)</f>
        <v>0</v>
      </c>
      <c r="AC47">
        <f>IFERROR(INDEX(UWS!$G$10:$Z$41,MATCH($C47,UWS!$B$10:$B$41,0),MATCH(AC$4,UWS!$G$3:$Z$3,0)),0)</f>
        <v>0</v>
      </c>
      <c r="AD47">
        <f>IFERROR(INDEX(UWS!$G$10:$Z$41,MATCH($C47,UWS!$B$10:$B$41,0),MATCH(AD$4,UWS!$G$3:$Z$3,0)),0)</f>
        <v>0</v>
      </c>
      <c r="AE47">
        <f>IFERROR(INDEX(UWS!$G$10:$Z$41,MATCH($C47,UWS!$B$10:$B$41,0),MATCH(AE$4,UWS!$G$3:$Z$3,0)),0)</f>
        <v>0</v>
      </c>
      <c r="AF47">
        <f>IFERROR(INDEX(UWS!$G$10:$Z$41,MATCH($C47,UWS!$B$10:$B$41,0),MATCH(AF$4,UWS!$G$3:$Z$3,0)),0)</f>
        <v>0</v>
      </c>
      <c r="AG47">
        <f>IFERROR(INDEX(UWS!$G$10:$Z$41,MATCH($C47,UWS!$B$10:$B$41,0),MATCH(AG$4,UWS!$G$3:$Z$3,0)),0)</f>
        <v>0</v>
      </c>
      <c r="AH47">
        <f>IFERROR(INDEX(UWS!$G$10:$Z$41,MATCH($C47,UWS!$B$10:$B$41,0),MATCH(AH$4,UWS!$G$3:$Z$3,0)),0)</f>
        <v>0</v>
      </c>
      <c r="AI47">
        <f>IFERROR(INDEX(UWS!$G$10:$Z$41,MATCH($C47,UWS!$B$10:$B$41,0),MATCH(AI$4,UWS!$G$3:$Z$3,0)),0)</f>
        <v>0</v>
      </c>
      <c r="AK47">
        <f>IF(OR($J47=0,COUNTIFS($A$4:$A46,"&gt;="&amp;$A47-1,$A$4:$A46,"&lt;="&amp;$A47,$B$4:$B46,$B47)&gt;0,MIN(AK$1,IF($A47=$A46,AK46,1))-P47&lt;0),-1,MIN(1,IF($A47=$A46,AK46,1)-P47+$D$3))</f>
        <v>1</v>
      </c>
      <c r="AL47">
        <f>IF(OR($J47=0,COUNTIFS($A$4:$A46,"&gt;="&amp;$A47-1,$A$4:$A46,"&lt;="&amp;$A47,$B$4:$B46,$B47)&gt;0,MIN(AL$1,IF($A47=$A46,AL46,1))-Q47&lt;0),-1,MIN(1,IF($A47=$A46,AL46,1)-Q47+$D$3))</f>
        <v>0.4</v>
      </c>
      <c r="AM47">
        <f>IF(OR($J47=0,COUNTIFS($A$4:$A46,"&gt;="&amp;$A47-1,$A$4:$A46,"&lt;="&amp;$A47,$B$4:$B46,$B47)&gt;0,MIN(AM$1,IF($A47=$A46,AM46,1))-R47&lt;0),-1,MIN(1,IF($A47=$A46,AM46,1)-R47+$D$3))</f>
        <v>0.70000000000000007</v>
      </c>
      <c r="AN47">
        <f>IF(OR($J47=0,COUNTIFS($A$4:$A46,"&gt;="&amp;$A47-1,$A$4:$A46,"&lt;="&amp;$A47,$B$4:$B46,$B47)&gt;0,MIN(AN$1,IF($A47=$A46,AN46,1))-S47&lt;0),-1,MIN(1,IF($A47=$A46,AN46,1)-S47+$D$3))</f>
        <v>0.70000000000000007</v>
      </c>
      <c r="AO47">
        <f>IF(OR($J47=0,COUNTIFS($A$4:$A46,"&gt;="&amp;$A47-1,$A$4:$A46,"&lt;="&amp;$A47,$B$4:$B46,$B47)&gt;0,MIN(AO$1,IF($A47=$A46,AO46,1))-T47&lt;0),-1,MIN(1,IF($A47=$A46,AO46,1)-T47+$D$3))</f>
        <v>0.8</v>
      </c>
      <c r="AP47">
        <f>IF(OR($J47=0,COUNTIFS($A$4:$A46,"&gt;="&amp;$A47-1,$A$4:$A46,"&lt;="&amp;$A47,$B$4:$B46,$B47)&gt;0,MIN(AP$1,IF($A47=$A46,AP46,1))-U47&lt;0),-1,MIN(1,IF($A47=$A46,AP46,1)-U47+$D$3))</f>
        <v>1</v>
      </c>
      <c r="AQ47">
        <f>IF(OR($J47=0,COUNTIFS($A$4:$A46,"&gt;="&amp;$A47-1,$A$4:$A46,"&lt;="&amp;$A47,$B$4:$B46,$B47)&gt;0,MIN(AQ$1,IF($A47=$A46,AQ46,1))-V47&lt;0),-1,MIN(1,IF($A47=$A46,AQ46,1)-V47+$D$3))</f>
        <v>1</v>
      </c>
      <c r="AR47">
        <f>IF(OR($J47=0,COUNTIFS($A$4:$A46,"&gt;="&amp;$A47-1,$A$4:$A46,"&lt;="&amp;$A47,$B$4:$B46,$B47)&gt;0,MIN(AR$1,IF($A47=$A46,AR46,1))-W47&lt;0),-1,MIN(1,IF($A47=$A46,AR46,1)-W47+$D$3))</f>
        <v>0.8</v>
      </c>
      <c r="AS47">
        <f>IF(OR($J47=0,COUNTIFS($A$4:$A46,"&gt;="&amp;$A47-1,$A$4:$A46,"&lt;="&amp;$A47,$B$4:$B46,$B47)&gt;0,MIN(AS$1,IF($A47=$A46,AS46,1))-X47&lt;0),-1,MIN(1,IF($A47=$A46,AS46,1)-X47+$D$3))</f>
        <v>0.9</v>
      </c>
      <c r="AT47">
        <f>IF(OR($J47=0,COUNTIFS($A$4:$A46,"&gt;="&amp;$A47-1,$A$4:$A46,"&lt;="&amp;$A47,$B$4:$B46,$B47)&gt;0,MIN(AT$1,IF($A47=$A46,AT46,1))-Y47&lt;0),-1,MIN(1,IF($A47=$A46,AT46,1)-Y47+$D$3))</f>
        <v>1</v>
      </c>
      <c r="AU47">
        <f>IF(OR($J47=0,COUNTIFS($A$4:$A46,"&gt;="&amp;$A47-1,$A$4:$A46,"&lt;="&amp;$A47,$B$4:$B46,$B47)&gt;0,MIN(AU$1,IF($A47=$A46,AU46,1))-Z47&lt;0),-1,MIN(1,IF($A47=$A46,AU46,1)-Z47+$D$3))</f>
        <v>1</v>
      </c>
      <c r="AV47">
        <f>IF(OR($J47=0,COUNTIFS($A$4:$A46,"&gt;="&amp;$A47-1,$A$4:$A46,"&lt;="&amp;$A47,$B$4:$B46,$B47)&gt;0,MIN(AV$1,IF($A47=$A46,AV46,1))-AA47&lt;0),-1,MIN(1,IF($A47=$A46,AV46,1)-AA47+$D$3))</f>
        <v>1</v>
      </c>
      <c r="AW47">
        <f>IF(OR($J47=0,COUNTIFS($A$4:$A46,"&gt;="&amp;$A47-1,$A$4:$A46,"&lt;="&amp;$A47,$B$4:$B46,$B47)&gt;0,MIN(AW$1,IF($A47=$A46,AW46,1))-AB47&lt;0),-1,MIN(1,IF($A47=$A46,AW46,1)-AB47+$D$3))</f>
        <v>1</v>
      </c>
      <c r="AX47">
        <f>IF(OR($J47=0,COUNTIFS($A$4:$A46,"&gt;="&amp;$A47-1,$A$4:$A46,"&lt;="&amp;$A47,$B$4:$B46,$B47)&gt;0,MIN(AX$1,IF($A47=$A46,AX46,1))-AC47&lt;0),-1,MIN(1,IF($A47=$A46,AX46,1)-AC47+$D$3))</f>
        <v>1</v>
      </c>
      <c r="AY47">
        <f>IF(OR($J47=0,COUNTIFS($A$4:$A46,"&gt;="&amp;$A47-1,$A$4:$A46,"&lt;="&amp;$A47,$B$4:$B46,$B47)&gt;0,MIN(AY$1,IF($A47=$A46,AY46,1))-AD47&lt;0),-1,MIN(1,IF($A47=$A46,AY46,1)-AD47+$D$3))</f>
        <v>1</v>
      </c>
      <c r="AZ47">
        <f>IF(OR($J47=0,COUNTIFS($A$4:$A46,"&gt;="&amp;$A47-1,$A$4:$A46,"&lt;="&amp;$A47,$B$4:$B46,$B47)&gt;0,MIN(AZ$1,IF($A47=$A46,AZ46,1))-AE47&lt;0),-1,MIN(1,IF($A47=$A46,AZ46,1)-AE47+$D$3))</f>
        <v>1</v>
      </c>
      <c r="BA47">
        <f>IF(OR($J47=0,COUNTIFS($A$4:$A46,"&gt;="&amp;$A47-1,$A$4:$A46,"&lt;="&amp;$A47,$B$4:$B46,$B47)&gt;0,MIN(BA$1,IF($A47=$A46,BA46,1))-AF47&lt;0),-1,MIN(1,IF($A47=$A46,BA46,1)-AF47+$D$3))</f>
        <v>1</v>
      </c>
      <c r="BB47">
        <f>IF(OR($J47=0,COUNTIFS($A$4:$A46,"&gt;="&amp;$A47-1,$A$4:$A46,"&lt;="&amp;$A47,$B$4:$B46,$B47)&gt;0,MIN(BB$1,IF($A47=$A46,BB46,1))-AG47&lt;0),-1,MIN(1,IF($A47=$A46,BB46,1)-AG47+$D$3))</f>
        <v>1</v>
      </c>
      <c r="BC47">
        <f>IF(OR($J47=0,COUNTIFS($A$4:$A46,"&gt;="&amp;$A47-1,$A$4:$A46,"&lt;="&amp;$A47,$B$4:$B46,$B47)&gt;0,MIN(BC$1,IF($A47=$A46,BC46,1))-AH47&lt;0),-1,MIN(1,IF($A47=$A46,BC46,1)-AH47+$D$3))</f>
        <v>1</v>
      </c>
      <c r="BD47">
        <f>IF(OR($J47=0,COUNTIFS($A$4:$A46,"&gt;="&amp;$A47-1,$A$4:$A46,"&lt;="&amp;$A47,$B$4:$B46,$B47)&gt;0,MIN(BD$1,IF($A47=$A46,BD46,1))-AI47&lt;0),-1,MIN(1,IF($A47=$A46,BD46,1)-AI47+$D$3))</f>
        <v>1</v>
      </c>
      <c r="BF47" s="44">
        <f t="shared" si="135"/>
        <v>6.7331061123510838E-2</v>
      </c>
      <c r="BG47" s="44">
        <f t="shared" si="136"/>
        <v>0.18814784166742587</v>
      </c>
      <c r="BH47" s="44">
        <f t="shared" si="137"/>
        <v>0.29387087167618209</v>
      </c>
      <c r="BI47" s="44">
        <f t="shared" si="138"/>
        <v>0.24896472234708841</v>
      </c>
      <c r="BJ47" s="44">
        <f t="shared" si="139"/>
        <v>0.30574503227162331</v>
      </c>
      <c r="BK47" s="44">
        <f t="shared" si="140"/>
        <v>7.6576382031095222E-2</v>
      </c>
      <c r="BL47" s="44">
        <f t="shared" si="141"/>
        <v>6.5642849714983617E-2</v>
      </c>
      <c r="BM47" s="44">
        <f t="shared" si="142"/>
        <v>0.14727819088719638</v>
      </c>
      <c r="BN47" s="44">
        <f t="shared" si="143"/>
        <v>0.12707818343716065</v>
      </c>
      <c r="BO47" s="44">
        <f t="shared" si="144"/>
        <v>8.6137881271124692E-2</v>
      </c>
      <c r="BP47" s="44">
        <f t="shared" si="145"/>
        <v>0.28081250153985748</v>
      </c>
      <c r="BQ47" s="44">
        <f t="shared" si="146"/>
        <v>5.8806957663656186E-2</v>
      </c>
      <c r="BR47" s="44">
        <f t="shared" si="147"/>
        <v>0.2138686551744497</v>
      </c>
      <c r="BS47" s="44">
        <f t="shared" si="148"/>
        <v>7.3172175447720006E-2</v>
      </c>
      <c r="BT47" s="44">
        <f t="shared" si="149"/>
        <v>0.39606284928007962</v>
      </c>
      <c r="BU47" s="44">
        <f t="shared" si="150"/>
        <v>0.35720971526283379</v>
      </c>
      <c r="BV47" s="44">
        <f t="shared" si="151"/>
        <v>0.40762164865854911</v>
      </c>
      <c r="BW47" s="44">
        <f t="shared" si="152"/>
        <v>0.20799011439853193</v>
      </c>
      <c r="BX47" s="44">
        <f t="shared" si="153"/>
        <v>0.1360843126521333</v>
      </c>
      <c r="BY47" s="44">
        <f t="shared" si="154"/>
        <v>0.11926342409356017</v>
      </c>
      <c r="CA47" s="44">
        <f t="shared" si="155"/>
        <v>-0.5985617576777057</v>
      </c>
      <c r="CB47" s="44">
        <f t="shared" si="156"/>
        <v>-0.25215556688213148</v>
      </c>
      <c r="CC47" s="44">
        <f t="shared" si="157"/>
        <v>0.75210377241795201</v>
      </c>
      <c r="CD47" s="44">
        <f t="shared" si="158"/>
        <v>0.48436633659965445</v>
      </c>
      <c r="CE47" s="44">
        <f t="shared" si="159"/>
        <v>0.82289936183755952</v>
      </c>
      <c r="CF47" s="44">
        <f t="shared" si="160"/>
        <v>-0.77171985935604637</v>
      </c>
      <c r="CG47" s="44">
        <f t="shared" si="161"/>
        <v>-0.60862713625928522</v>
      </c>
      <c r="CH47" s="44">
        <f t="shared" si="162"/>
        <v>-0.41460303664100229</v>
      </c>
      <c r="CI47" s="44">
        <f t="shared" si="163"/>
        <v>-0.24234013625680628</v>
      </c>
      <c r="CJ47" s="44">
        <f t="shared" si="164"/>
        <v>-0.48643257542881091</v>
      </c>
      <c r="CK47" s="44">
        <f t="shared" si="165"/>
        <v>0.67424774181858238</v>
      </c>
      <c r="CL47" s="44">
        <f t="shared" si="166"/>
        <v>-0.6493837862214169</v>
      </c>
      <c r="CM47" s="44">
        <f t="shared" si="167"/>
        <v>-0.14992124398997131</v>
      </c>
      <c r="CN47" s="44">
        <f t="shared" si="168"/>
        <v>-0.56373612700462361</v>
      </c>
      <c r="CO47" s="44">
        <f t="shared" si="169"/>
        <v>1.3613882123808789</v>
      </c>
      <c r="CP47" s="44">
        <f t="shared" si="170"/>
        <v>1.1297397938302693</v>
      </c>
      <c r="CQ47" s="44">
        <f t="shared" si="171"/>
        <v>0.62020237950144019</v>
      </c>
      <c r="CR47" s="44">
        <f t="shared" si="172"/>
        <v>0.24006936102488541</v>
      </c>
      <c r="CS47" s="44">
        <f t="shared" si="173"/>
        <v>-0.18864419530684773</v>
      </c>
      <c r="CT47" s="44">
        <f t="shared" si="174"/>
        <v>-0.28893294502469413</v>
      </c>
      <c r="CV47" s="44">
        <f t="shared" si="175"/>
        <v>0.64187769695959762</v>
      </c>
    </row>
    <row r="48" spans="1:100" x14ac:dyDescent="0.25">
      <c r="A48" s="97">
        <v>45060</v>
      </c>
      <c r="B48" s="86">
        <v>9</v>
      </c>
      <c r="C48" s="43" t="str" cm="1">
        <f t="array" ref="C48">IF(B48="","",INDEX(UWS!$B$10:$B$41,B48))</f>
        <v>Leg press</v>
      </c>
      <c r="D48" s="40">
        <f t="shared" si="132"/>
        <v>0.4</v>
      </c>
      <c r="E48" s="69">
        <f t="shared" si="133"/>
        <v>0.94864912864784323</v>
      </c>
      <c r="F48" s="48" cm="1">
        <f t="array" ref="F48">0.1+IFERROR(INDEX($F$5:$F47,SUMPRODUCT(MAX(ROW($C$5:$C47)*($C48=$C$5:$C47))-ROW($A$4)))*0.9^($A48-INDEX($A$5:A47,SUMPRODUCT(MAX(ROW($C$5:$C47)*($C48=$C$5:$C47))-ROW($A$4)))),0)</f>
        <v>0.14782969000000001</v>
      </c>
      <c r="G48" s="55">
        <f>INDEX(UWS!$AB$10:$AB$41,MATCH(C48,UWS!$B$10:$B$41,0))</f>
        <v>3.1</v>
      </c>
      <c r="H48" s="48">
        <f>INDEX(UWS!$C$10:$C$41,MATCH(C48,UWS!$B$10:$B$41,0))</f>
        <v>1</v>
      </c>
      <c r="I48" s="27">
        <f t="shared" si="134"/>
        <v>2</v>
      </c>
      <c r="J48" s="27">
        <f>INDEX(UWS!$E$10:$E$41,MATCH(C48,UWS!$B$10:$B$41,0))</f>
        <v>1</v>
      </c>
      <c r="L48" s="108" t="str" cm="1">
        <f t="array" ref="L48">IF(K48="","",INDEX(UWS!$B$10:$B$41,K48))</f>
        <v/>
      </c>
      <c r="N48" s="108" t="str" cm="1">
        <f t="array" ref="N48">IF(M48="","",INDEX(UWS!$B$10:$B$41,M48))</f>
        <v/>
      </c>
      <c r="P48">
        <f>IFERROR(INDEX(UWS!$G$10:$Z$41,MATCH($C48,UWS!$B$10:$B$41,0),MATCH(P$4,UWS!$G$3:$Z$3,0)),0)</f>
        <v>0</v>
      </c>
      <c r="Q48">
        <f>IFERROR(INDEX(UWS!$G$10:$Z$41,MATCH($C48,UWS!$B$10:$B$41,0),MATCH(Q$4,UWS!$G$3:$Z$3,0)),0)</f>
        <v>0</v>
      </c>
      <c r="R48">
        <f>IFERROR(INDEX(UWS!$G$10:$Z$41,MATCH($C48,UWS!$B$10:$B$41,0),MATCH(R$4,UWS!$G$3:$Z$3,0)),0)</f>
        <v>0</v>
      </c>
      <c r="S48">
        <f>IFERROR(INDEX(UWS!$G$10:$Z$41,MATCH($C48,UWS!$B$10:$B$41,0),MATCH(S$4,UWS!$G$3:$Z$3,0)),0)</f>
        <v>0</v>
      </c>
      <c r="T48">
        <f>IFERROR(INDEX(UWS!$G$10:$Z$41,MATCH($C48,UWS!$B$10:$B$41,0),MATCH(T$4,UWS!$G$3:$Z$3,0)),0)</f>
        <v>0</v>
      </c>
      <c r="U48">
        <f>IFERROR(INDEX(UWS!$G$10:$Z$41,MATCH($C48,UWS!$B$10:$B$41,0),MATCH(U$4,UWS!$G$3:$Z$3,0)),0)</f>
        <v>0</v>
      </c>
      <c r="V48">
        <f>IFERROR(INDEX(UWS!$G$10:$Z$41,MATCH($C48,UWS!$B$10:$B$41,0),MATCH(V$4,UWS!$G$3:$Z$3,0)),0)</f>
        <v>0</v>
      </c>
      <c r="W48">
        <f>IFERROR(INDEX(UWS!$G$10:$Z$41,MATCH($C48,UWS!$B$10:$B$41,0),MATCH(W$4,UWS!$G$3:$Z$3,0)),0)</f>
        <v>0</v>
      </c>
      <c r="X48">
        <f>IFERROR(INDEX(UWS!$G$10:$Z$41,MATCH($C48,UWS!$B$10:$B$41,0),MATCH(X$4,UWS!$G$3:$Z$3,0)),0)</f>
        <v>0</v>
      </c>
      <c r="Y48">
        <f>IFERROR(INDEX(UWS!$G$10:$Z$41,MATCH($C48,UWS!$B$10:$B$41,0),MATCH(Y$4,UWS!$G$3:$Z$3,0)),0)</f>
        <v>0</v>
      </c>
      <c r="Z48">
        <f>IFERROR(INDEX(UWS!$G$10:$Z$41,MATCH($C48,UWS!$B$10:$B$41,0),MATCH(Z$4,UWS!$G$3:$Z$3,0)),0)</f>
        <v>0</v>
      </c>
      <c r="AA48">
        <f>IFERROR(INDEX(UWS!$G$10:$Z$41,MATCH($C48,UWS!$B$10:$B$41,0),MATCH(AA$4,UWS!$G$3:$Z$3,0)),0)</f>
        <v>0</v>
      </c>
      <c r="AB48">
        <f>IFERROR(INDEX(UWS!$G$10:$Z$41,MATCH($C48,UWS!$B$10:$B$41,0),MATCH(AB$4,UWS!$G$3:$Z$3,0)),0)</f>
        <v>0</v>
      </c>
      <c r="AC48">
        <f>IFERROR(INDEX(UWS!$G$10:$Z$41,MATCH($C48,UWS!$B$10:$B$41,0),MATCH(AC$4,UWS!$G$3:$Z$3,0)),0)</f>
        <v>0</v>
      </c>
      <c r="AD48">
        <f>IFERROR(INDEX(UWS!$G$10:$Z$41,MATCH($C48,UWS!$B$10:$B$41,0),MATCH(AD$4,UWS!$G$3:$Z$3,0)),0)</f>
        <v>1</v>
      </c>
      <c r="AE48">
        <f>IFERROR(INDEX(UWS!$G$10:$Z$41,MATCH($C48,UWS!$B$10:$B$41,0),MATCH(AE$4,UWS!$G$3:$Z$3,0)),0)</f>
        <v>0.8</v>
      </c>
      <c r="AF48">
        <f>IFERROR(INDEX(UWS!$G$10:$Z$41,MATCH($C48,UWS!$B$10:$B$41,0),MATCH(AF$4,UWS!$G$3:$Z$3,0)),0)</f>
        <v>0.6</v>
      </c>
      <c r="AG48">
        <f>IFERROR(INDEX(UWS!$G$10:$Z$41,MATCH($C48,UWS!$B$10:$B$41,0),MATCH(AG$4,UWS!$G$3:$Z$3,0)),0)</f>
        <v>0.1</v>
      </c>
      <c r="AH48">
        <f>IFERROR(INDEX(UWS!$G$10:$Z$41,MATCH($C48,UWS!$B$10:$B$41,0),MATCH(AH$4,UWS!$G$3:$Z$3,0)),0)</f>
        <v>0.6</v>
      </c>
      <c r="AI48">
        <f>IFERROR(INDEX(UWS!$G$10:$Z$41,MATCH($C48,UWS!$B$10:$B$41,0),MATCH(AI$4,UWS!$G$3:$Z$3,0)),0)</f>
        <v>0</v>
      </c>
      <c r="AK48">
        <f>IF(OR($J48=0,COUNTIFS($A$4:$A47,"&gt;="&amp;$A48-1,$A$4:$A47,"&lt;="&amp;$A48,$B$4:$B47,$B48)&gt;0,MIN(AK$1,IF($A48=$A47,AK47,1))-P48&lt;0),-1,MIN(1,IF($A48=$A47,AK47,1)-P48+$D$3))</f>
        <v>1</v>
      </c>
      <c r="AL48">
        <f>IF(OR($J48=0,COUNTIFS($A$4:$A47,"&gt;="&amp;$A48-1,$A$4:$A47,"&lt;="&amp;$A48,$B$4:$B47,$B48)&gt;0,MIN(AL$1,IF($A48=$A47,AL47,1))-Q48&lt;0),-1,MIN(1,IF($A48=$A47,AL47,1)-Q48+$D$3))</f>
        <v>0.8</v>
      </c>
      <c r="AM48">
        <f>IF(OR($J48=0,COUNTIFS($A$4:$A47,"&gt;="&amp;$A48-1,$A$4:$A47,"&lt;="&amp;$A48,$B$4:$B47,$B48)&gt;0,MIN(AM$1,IF($A48=$A47,AM47,1))-R48&lt;0),-1,MIN(1,IF($A48=$A47,AM47,1)-R48+$D$3))</f>
        <v>1</v>
      </c>
      <c r="AN48">
        <f>IF(OR($J48=0,COUNTIFS($A$4:$A47,"&gt;="&amp;$A48-1,$A$4:$A47,"&lt;="&amp;$A48,$B$4:$B47,$B48)&gt;0,MIN(AN$1,IF($A48=$A47,AN47,1))-S48&lt;0),-1,MIN(1,IF($A48=$A47,AN47,1)-S48+$D$3))</f>
        <v>1</v>
      </c>
      <c r="AO48">
        <f>IF(OR($J48=0,COUNTIFS($A$4:$A47,"&gt;="&amp;$A48-1,$A$4:$A47,"&lt;="&amp;$A48,$B$4:$B47,$B48)&gt;0,MIN(AO$1,IF($A48=$A47,AO47,1))-T48&lt;0),-1,MIN(1,IF($A48=$A47,AO47,1)-T48+$D$3))</f>
        <v>1</v>
      </c>
      <c r="AP48">
        <f>IF(OR($J48=0,COUNTIFS($A$4:$A47,"&gt;="&amp;$A48-1,$A$4:$A47,"&lt;="&amp;$A48,$B$4:$B47,$B48)&gt;0,MIN(AP$1,IF($A48=$A47,AP47,1))-U48&lt;0),-1,MIN(1,IF($A48=$A47,AP47,1)-U48+$D$3))</f>
        <v>1</v>
      </c>
      <c r="AQ48">
        <f>IF(OR($J48=0,COUNTIFS($A$4:$A47,"&gt;="&amp;$A48-1,$A$4:$A47,"&lt;="&amp;$A48,$B$4:$B47,$B48)&gt;0,MIN(AQ$1,IF($A48=$A47,AQ47,1))-V48&lt;0),-1,MIN(1,IF($A48=$A47,AQ47,1)-V48+$D$3))</f>
        <v>1</v>
      </c>
      <c r="AR48">
        <f>IF(OR($J48=0,COUNTIFS($A$4:$A47,"&gt;="&amp;$A48-1,$A$4:$A47,"&lt;="&amp;$A48,$B$4:$B47,$B48)&gt;0,MIN(AR$1,IF($A48=$A47,AR47,1))-W48&lt;0),-1,MIN(1,IF($A48=$A47,AR47,1)-W48+$D$3))</f>
        <v>1</v>
      </c>
      <c r="AS48">
        <f>IF(OR($J48=0,COUNTIFS($A$4:$A47,"&gt;="&amp;$A48-1,$A$4:$A47,"&lt;="&amp;$A48,$B$4:$B47,$B48)&gt;0,MIN(AS$1,IF($A48=$A47,AS47,1))-X48&lt;0),-1,MIN(1,IF($A48=$A47,AS47,1)-X48+$D$3))</f>
        <v>1</v>
      </c>
      <c r="AT48">
        <f>IF(OR($J48=0,COUNTIFS($A$4:$A47,"&gt;="&amp;$A48-1,$A$4:$A47,"&lt;="&amp;$A48,$B$4:$B47,$B48)&gt;0,MIN(AT$1,IF($A48=$A47,AT47,1))-Y48&lt;0),-1,MIN(1,IF($A48=$A47,AT47,1)-Y48+$D$3))</f>
        <v>1</v>
      </c>
      <c r="AU48">
        <f>IF(OR($J48=0,COUNTIFS($A$4:$A47,"&gt;="&amp;$A48-1,$A$4:$A47,"&lt;="&amp;$A48,$B$4:$B47,$B48)&gt;0,MIN(AU$1,IF($A48=$A47,AU47,1))-Z48&lt;0),-1,MIN(1,IF($A48=$A47,AU47,1)-Z48+$D$3))</f>
        <v>1</v>
      </c>
      <c r="AV48">
        <f>IF(OR($J48=0,COUNTIFS($A$4:$A47,"&gt;="&amp;$A48-1,$A$4:$A47,"&lt;="&amp;$A48,$B$4:$B47,$B48)&gt;0,MIN(AV$1,IF($A48=$A47,AV47,1))-AA48&lt;0),-1,MIN(1,IF($A48=$A47,AV47,1)-AA48+$D$3))</f>
        <v>1</v>
      </c>
      <c r="AW48">
        <f>IF(OR($J48=0,COUNTIFS($A$4:$A47,"&gt;="&amp;$A48-1,$A$4:$A47,"&lt;="&amp;$A48,$B$4:$B47,$B48)&gt;0,MIN(AW$1,IF($A48=$A47,AW47,1))-AB48&lt;0),-1,MIN(1,IF($A48=$A47,AW47,1)-AB48+$D$3))</f>
        <v>1</v>
      </c>
      <c r="AX48">
        <f>IF(OR($J48=0,COUNTIFS($A$4:$A47,"&gt;="&amp;$A48-1,$A$4:$A47,"&lt;="&amp;$A48,$B$4:$B47,$B48)&gt;0,MIN(AX$1,IF($A48=$A47,AX47,1))-AC48&lt;0),-1,MIN(1,IF($A48=$A47,AX47,1)-AC48+$D$3))</f>
        <v>1</v>
      </c>
      <c r="AY48">
        <f>IF(OR($J48=0,COUNTIFS($A$4:$A47,"&gt;="&amp;$A48-1,$A$4:$A47,"&lt;="&amp;$A48,$B$4:$B47,$B48)&gt;0,MIN(AY$1,IF($A48=$A47,AY47,1))-AD48&lt;0),-1,MIN(1,IF($A48=$A47,AY47,1)-AD48+$D$3))</f>
        <v>0.4</v>
      </c>
      <c r="AZ48">
        <f>IF(OR($J48=0,COUNTIFS($A$4:$A47,"&gt;="&amp;$A48-1,$A$4:$A47,"&lt;="&amp;$A48,$B$4:$B47,$B48)&gt;0,MIN(AZ$1,IF($A48=$A47,AZ47,1))-AE48&lt;0),-1,MIN(1,IF($A48=$A47,AZ47,1)-AE48+$D$3))</f>
        <v>0.6</v>
      </c>
      <c r="BA48">
        <f>IF(OR($J48=0,COUNTIFS($A$4:$A47,"&gt;="&amp;$A48-1,$A$4:$A47,"&lt;="&amp;$A48,$B$4:$B47,$B48)&gt;0,MIN(BA$1,IF($A48=$A47,BA47,1))-AF48&lt;0),-1,MIN(1,IF($A48=$A47,BA47,1)-AF48+$D$3))</f>
        <v>0.8</v>
      </c>
      <c r="BB48">
        <f>IF(OR($J48=0,COUNTIFS($A$4:$A47,"&gt;="&amp;$A48-1,$A$4:$A47,"&lt;="&amp;$A48,$B$4:$B47,$B48)&gt;0,MIN(BB$1,IF($A48=$A47,BB47,1))-AG48&lt;0),-1,MIN(1,IF($A48=$A47,BB47,1)-AG48+$D$3))</f>
        <v>1</v>
      </c>
      <c r="BC48">
        <f>IF(OR($J48=0,COUNTIFS($A$4:$A47,"&gt;="&amp;$A48-1,$A$4:$A47,"&lt;="&amp;$A48,$B$4:$B47,$B48)&gt;0,MIN(BC$1,IF($A48=$A47,BC47,1))-AH48&lt;0),-1,MIN(1,IF($A48=$A47,BC47,1)-AH48+$D$3))</f>
        <v>0.8</v>
      </c>
      <c r="BD48">
        <f>IF(OR($J48=0,COUNTIFS($A$4:$A47,"&gt;="&amp;$A48-1,$A$4:$A47,"&lt;="&amp;$A48,$B$4:$B47,$B48)&gt;0,MIN(BD$1,IF($A48=$A47,BD47,1))-AI48&lt;0),-1,MIN(1,IF($A48=$A47,BD47,1)-AI48+$D$3))</f>
        <v>1</v>
      </c>
      <c r="BF48" s="44">
        <f t="shared" si="135"/>
        <v>6.3964508067335293E-2</v>
      </c>
      <c r="BG48" s="44">
        <f t="shared" si="136"/>
        <v>0.17874044958405458</v>
      </c>
      <c r="BH48" s="44">
        <f t="shared" si="137"/>
        <v>0.27917732809237295</v>
      </c>
      <c r="BI48" s="44">
        <f t="shared" si="138"/>
        <v>0.23651648622973398</v>
      </c>
      <c r="BJ48" s="44">
        <f t="shared" si="139"/>
        <v>0.29045778065804212</v>
      </c>
      <c r="BK48" s="44">
        <f t="shared" si="140"/>
        <v>7.274756292954046E-2</v>
      </c>
      <c r="BL48" s="44">
        <f t="shared" si="141"/>
        <v>6.2360707229234431E-2</v>
      </c>
      <c r="BM48" s="44">
        <f t="shared" si="142"/>
        <v>0.13991428134283654</v>
      </c>
      <c r="BN48" s="44">
        <f t="shared" si="143"/>
        <v>0.12072427426530262</v>
      </c>
      <c r="BO48" s="44">
        <f t="shared" si="144"/>
        <v>8.1830987207568456E-2</v>
      </c>
      <c r="BP48" s="44">
        <f t="shared" si="145"/>
        <v>0.2667718764628646</v>
      </c>
      <c r="BQ48" s="44">
        <f t="shared" si="146"/>
        <v>5.5866609780473371E-2</v>
      </c>
      <c r="BR48" s="44">
        <f t="shared" si="147"/>
        <v>0.20317522241572719</v>
      </c>
      <c r="BS48" s="44">
        <f t="shared" si="148"/>
        <v>6.9513566675333996E-2</v>
      </c>
      <c r="BT48" s="44">
        <f t="shared" si="149"/>
        <v>0.42625970681607561</v>
      </c>
      <c r="BU48" s="44">
        <f t="shared" si="150"/>
        <v>0.37934922949969208</v>
      </c>
      <c r="BV48" s="44">
        <f t="shared" si="151"/>
        <v>0.41724056622562167</v>
      </c>
      <c r="BW48" s="44">
        <f t="shared" si="152"/>
        <v>0.20259060867860534</v>
      </c>
      <c r="BX48" s="44">
        <f t="shared" si="153"/>
        <v>0.15928009701952664</v>
      </c>
      <c r="BY48" s="44">
        <f t="shared" si="154"/>
        <v>0.11330025288888215</v>
      </c>
      <c r="CA48" s="44">
        <f t="shared" si="155"/>
        <v>-0.61485141135356725</v>
      </c>
      <c r="CB48" s="44">
        <f t="shared" si="156"/>
        <v>-0.28250177094190976</v>
      </c>
      <c r="CC48" s="44">
        <f t="shared" si="157"/>
        <v>0.68100650103755189</v>
      </c>
      <c r="CD48" s="44">
        <f t="shared" si="158"/>
        <v>0.42413337670167128</v>
      </c>
      <c r="CE48" s="44">
        <f t="shared" si="159"/>
        <v>0.74892933068531398</v>
      </c>
      <c r="CF48" s="44">
        <f t="shared" si="160"/>
        <v>-0.78098306360548475</v>
      </c>
      <c r="CG48" s="44">
        <f t="shared" si="161"/>
        <v>-0.62450835467929799</v>
      </c>
      <c r="CH48" s="44">
        <f t="shared" si="162"/>
        <v>-0.43835740976911897</v>
      </c>
      <c r="CI48" s="44">
        <f t="shared" si="163"/>
        <v>-0.27308463312655962</v>
      </c>
      <c r="CJ48" s="44">
        <f t="shared" si="164"/>
        <v>-0.5072722329489141</v>
      </c>
      <c r="CK48" s="44">
        <f t="shared" si="165"/>
        <v>0.60630973042224423</v>
      </c>
      <c r="CL48" s="44">
        <f t="shared" si="166"/>
        <v>-0.66361117188989427</v>
      </c>
      <c r="CM48" s="44">
        <f t="shared" si="167"/>
        <v>-0.18441593600661565</v>
      </c>
      <c r="CN48" s="44">
        <f t="shared" si="168"/>
        <v>-0.58143894316203193</v>
      </c>
      <c r="CO48" s="44">
        <f t="shared" si="169"/>
        <v>1.5666315498624468</v>
      </c>
      <c r="CP48" s="44">
        <f t="shared" si="170"/>
        <v>1.284170155613686</v>
      </c>
      <c r="CQ48" s="44">
        <f t="shared" si="171"/>
        <v>0.67488315070672789</v>
      </c>
      <c r="CR48" s="44">
        <f t="shared" si="172"/>
        <v>0.21985596955497955</v>
      </c>
      <c r="CS48" s="44">
        <f t="shared" si="173"/>
        <v>-4.0929002346766219E-2</v>
      </c>
      <c r="CT48" s="44">
        <f t="shared" si="174"/>
        <v>-0.31778678814351458</v>
      </c>
      <c r="CV48" s="44">
        <f t="shared" si="175"/>
        <v>0.67366063830361256</v>
      </c>
    </row>
    <row r="49" spans="1:100" x14ac:dyDescent="0.25">
      <c r="A49" s="97">
        <v>45060</v>
      </c>
      <c r="B49" s="86">
        <v>31</v>
      </c>
      <c r="C49" s="43" t="str" cm="1">
        <f t="array" ref="C49">IF(B49="","",INDEX(UWS!$B$10:$B$41,B49))</f>
        <v>Cable standing oblique twist</v>
      </c>
      <c r="D49" s="40">
        <f t="shared" si="132"/>
        <v>0.4</v>
      </c>
      <c r="E49" s="69">
        <f t="shared" si="133"/>
        <v>1.0969721358753315</v>
      </c>
      <c r="F49" s="48" cm="1">
        <f t="array" ref="F49">0.1+IFERROR(INDEX($F$5:$F48,SUMPRODUCT(MAX(ROW($C$5:$C48)*($C49=$C$5:$C48))-ROW($A$4)))*0.9^($A49-INDEX($A$5:A48,SUMPRODUCT(MAX(ROW($C$5:$C48)*($C49=$C$5:$C48))-ROW($A$4)))),0)</f>
        <v>0.12287679245496103</v>
      </c>
      <c r="G49" s="55">
        <f>INDEX(UWS!$AB$10:$AB$41,MATCH(C49,UWS!$B$10:$B$41,0))</f>
        <v>1</v>
      </c>
      <c r="H49" s="48">
        <f>INDEX(UWS!$C$10:$C$41,MATCH(C49,UWS!$B$10:$B$41,0))</f>
        <v>1</v>
      </c>
      <c r="I49" s="27">
        <f t="shared" si="134"/>
        <v>3</v>
      </c>
      <c r="J49" s="27">
        <f>INDEX(UWS!$E$10:$E$41,MATCH(C49,UWS!$B$10:$B$41,0))</f>
        <v>1</v>
      </c>
      <c r="L49" s="108" t="str" cm="1">
        <f t="array" ref="L49">IF(K49="","",INDEX(UWS!$B$10:$B$41,K49))</f>
        <v/>
      </c>
      <c r="N49" s="108" t="str" cm="1">
        <f t="array" ref="N49">IF(M49="","",INDEX(UWS!$B$10:$B$41,M49))</f>
        <v/>
      </c>
      <c r="P49">
        <f>IFERROR(INDEX(UWS!$G$10:$Z$41,MATCH($C49,UWS!$B$10:$B$41,0),MATCH(P$4,UWS!$G$3:$Z$3,0)),0)</f>
        <v>0</v>
      </c>
      <c r="Q49">
        <f>IFERROR(INDEX(UWS!$G$10:$Z$41,MATCH($C49,UWS!$B$10:$B$41,0),MATCH(Q$4,UWS!$G$3:$Z$3,0)),0)</f>
        <v>0</v>
      </c>
      <c r="R49">
        <f>IFERROR(INDEX(UWS!$G$10:$Z$41,MATCH($C49,UWS!$B$10:$B$41,0),MATCH(R$4,UWS!$G$3:$Z$3,0)),0)</f>
        <v>0</v>
      </c>
      <c r="S49">
        <f>IFERROR(INDEX(UWS!$G$10:$Z$41,MATCH($C49,UWS!$B$10:$B$41,0),MATCH(S$4,UWS!$G$3:$Z$3,0)),0)</f>
        <v>0</v>
      </c>
      <c r="T49">
        <f>IFERROR(INDEX(UWS!$G$10:$Z$41,MATCH($C49,UWS!$B$10:$B$41,0),MATCH(T$4,UWS!$G$3:$Z$3,0)),0)</f>
        <v>0</v>
      </c>
      <c r="U49">
        <f>IFERROR(INDEX(UWS!$G$10:$Z$41,MATCH($C49,UWS!$B$10:$B$41,0),MATCH(U$4,UWS!$G$3:$Z$3,0)),0)</f>
        <v>0</v>
      </c>
      <c r="V49">
        <f>IFERROR(INDEX(UWS!$G$10:$Z$41,MATCH($C49,UWS!$B$10:$B$41,0),MATCH(V$4,UWS!$G$3:$Z$3,0)),0)</f>
        <v>0</v>
      </c>
      <c r="W49">
        <f>IFERROR(INDEX(UWS!$G$10:$Z$41,MATCH($C49,UWS!$B$10:$B$41,0),MATCH(W$4,UWS!$G$3:$Z$3,0)),0)</f>
        <v>0</v>
      </c>
      <c r="X49">
        <f>IFERROR(INDEX(UWS!$G$10:$Z$41,MATCH($C49,UWS!$B$10:$B$41,0),MATCH(X$4,UWS!$G$3:$Z$3,0)),0)</f>
        <v>0</v>
      </c>
      <c r="Y49">
        <f>IFERROR(INDEX(UWS!$G$10:$Z$41,MATCH($C49,UWS!$B$10:$B$41,0),MATCH(Y$4,UWS!$G$3:$Z$3,0)),0)</f>
        <v>0</v>
      </c>
      <c r="Z49">
        <f>IFERROR(INDEX(UWS!$G$10:$Z$41,MATCH($C49,UWS!$B$10:$B$41,0),MATCH(Z$4,UWS!$G$3:$Z$3,0)),0)</f>
        <v>0</v>
      </c>
      <c r="AA49">
        <f>IFERROR(INDEX(UWS!$G$10:$Z$41,MATCH($C49,UWS!$B$10:$B$41,0),MATCH(AA$4,UWS!$G$3:$Z$3,0)),0)</f>
        <v>0</v>
      </c>
      <c r="AB49">
        <f>IFERROR(INDEX(UWS!$G$10:$Z$41,MATCH($C49,UWS!$B$10:$B$41,0),MATCH(AB$4,UWS!$G$3:$Z$3,0)),0)</f>
        <v>0</v>
      </c>
      <c r="AC49">
        <f>IFERROR(INDEX(UWS!$G$10:$Z$41,MATCH($C49,UWS!$B$10:$B$41,0),MATCH(AC$4,UWS!$G$3:$Z$3,0)),0)</f>
        <v>1</v>
      </c>
      <c r="AD49">
        <f>IFERROR(INDEX(UWS!$G$10:$Z$41,MATCH($C49,UWS!$B$10:$B$41,0),MATCH(AD$4,UWS!$G$3:$Z$3,0)),0)</f>
        <v>0</v>
      </c>
      <c r="AE49">
        <f>IFERROR(INDEX(UWS!$G$10:$Z$41,MATCH($C49,UWS!$B$10:$B$41,0),MATCH(AE$4,UWS!$G$3:$Z$3,0)),0)</f>
        <v>0</v>
      </c>
      <c r="AF49">
        <f>IFERROR(INDEX(UWS!$G$10:$Z$41,MATCH($C49,UWS!$B$10:$B$41,0),MATCH(AF$4,UWS!$G$3:$Z$3,0)),0)</f>
        <v>0</v>
      </c>
      <c r="AG49">
        <f>IFERROR(INDEX(UWS!$G$10:$Z$41,MATCH($C49,UWS!$B$10:$B$41,0),MATCH(AG$4,UWS!$G$3:$Z$3,0)),0)</f>
        <v>0</v>
      </c>
      <c r="AH49">
        <f>IFERROR(INDEX(UWS!$G$10:$Z$41,MATCH($C49,UWS!$B$10:$B$41,0),MATCH(AH$4,UWS!$G$3:$Z$3,0)),0)</f>
        <v>0</v>
      </c>
      <c r="AI49">
        <f>IFERROR(INDEX(UWS!$G$10:$Z$41,MATCH($C49,UWS!$B$10:$B$41,0),MATCH(AI$4,UWS!$G$3:$Z$3,0)),0)</f>
        <v>0</v>
      </c>
      <c r="AK49">
        <f>IF(OR($J49=0,COUNTIFS($A$4:$A48,"&gt;="&amp;$A49-1,$A$4:$A48,"&lt;="&amp;$A49,$B$4:$B48,$B49)&gt;0,MIN(AK$1,IF($A49=$A48,AK48,1))-P49&lt;0),-1,MIN(1,IF($A49=$A48,AK48,1)-P49+$D$3))</f>
        <v>1</v>
      </c>
      <c r="AL49">
        <f>IF(OR($J49=0,COUNTIFS($A$4:$A48,"&gt;="&amp;$A49-1,$A$4:$A48,"&lt;="&amp;$A49,$B$4:$B48,$B49)&gt;0,MIN(AL$1,IF($A49=$A48,AL48,1))-Q49&lt;0),-1,MIN(1,IF($A49=$A48,AL48,1)-Q49+$D$3))</f>
        <v>1</v>
      </c>
      <c r="AM49">
        <f>IF(OR($J49=0,COUNTIFS($A$4:$A48,"&gt;="&amp;$A49-1,$A$4:$A48,"&lt;="&amp;$A49,$B$4:$B48,$B49)&gt;0,MIN(AM$1,IF($A49=$A48,AM48,1))-R49&lt;0),-1,MIN(1,IF($A49=$A48,AM48,1)-R49+$D$3))</f>
        <v>1</v>
      </c>
      <c r="AN49">
        <f>IF(OR($J49=0,COUNTIFS($A$4:$A48,"&gt;="&amp;$A49-1,$A$4:$A48,"&lt;="&amp;$A49,$B$4:$B48,$B49)&gt;0,MIN(AN$1,IF($A49=$A48,AN48,1))-S49&lt;0),-1,MIN(1,IF($A49=$A48,AN48,1)-S49+$D$3))</f>
        <v>1</v>
      </c>
      <c r="AO49">
        <f>IF(OR($J49=0,COUNTIFS($A$4:$A48,"&gt;="&amp;$A49-1,$A$4:$A48,"&lt;="&amp;$A49,$B$4:$B48,$B49)&gt;0,MIN(AO$1,IF($A49=$A48,AO48,1))-T49&lt;0),-1,MIN(1,IF($A49=$A48,AO48,1)-T49+$D$3))</f>
        <v>1</v>
      </c>
      <c r="AP49">
        <f>IF(OR($J49=0,COUNTIFS($A$4:$A48,"&gt;="&amp;$A49-1,$A$4:$A48,"&lt;="&amp;$A49,$B$4:$B48,$B49)&gt;0,MIN(AP$1,IF($A49=$A48,AP48,1))-U49&lt;0),-1,MIN(1,IF($A49=$A48,AP48,1)-U49+$D$3))</f>
        <v>1</v>
      </c>
      <c r="AQ49">
        <f>IF(OR($J49=0,COUNTIFS($A$4:$A48,"&gt;="&amp;$A49-1,$A$4:$A48,"&lt;="&amp;$A49,$B$4:$B48,$B49)&gt;0,MIN(AQ$1,IF($A49=$A48,AQ48,1))-V49&lt;0),-1,MIN(1,IF($A49=$A48,AQ48,1)-V49+$D$3))</f>
        <v>1</v>
      </c>
      <c r="AR49">
        <f>IF(OR($J49=0,COUNTIFS($A$4:$A48,"&gt;="&amp;$A49-1,$A$4:$A48,"&lt;="&amp;$A49,$B$4:$B48,$B49)&gt;0,MIN(AR$1,IF($A49=$A48,AR48,1))-W49&lt;0),-1,MIN(1,IF($A49=$A48,AR48,1)-W49+$D$3))</f>
        <v>1</v>
      </c>
      <c r="AS49">
        <f>IF(OR($J49=0,COUNTIFS($A$4:$A48,"&gt;="&amp;$A49-1,$A$4:$A48,"&lt;="&amp;$A49,$B$4:$B48,$B49)&gt;0,MIN(AS$1,IF($A49=$A48,AS48,1))-X49&lt;0),-1,MIN(1,IF($A49=$A48,AS48,1)-X49+$D$3))</f>
        <v>1</v>
      </c>
      <c r="AT49">
        <f>IF(OR($J49=0,COUNTIFS($A$4:$A48,"&gt;="&amp;$A49-1,$A$4:$A48,"&lt;="&amp;$A49,$B$4:$B48,$B49)&gt;0,MIN(AT$1,IF($A49=$A48,AT48,1))-Y49&lt;0),-1,MIN(1,IF($A49=$A48,AT48,1)-Y49+$D$3))</f>
        <v>1</v>
      </c>
      <c r="AU49">
        <f>IF(OR($J49=0,COUNTIFS($A$4:$A48,"&gt;="&amp;$A49-1,$A$4:$A48,"&lt;="&amp;$A49,$B$4:$B48,$B49)&gt;0,MIN(AU$1,IF($A49=$A48,AU48,1))-Z49&lt;0),-1,MIN(1,IF($A49=$A48,AU48,1)-Z49+$D$3))</f>
        <v>1</v>
      </c>
      <c r="AV49">
        <f>IF(OR($J49=0,COUNTIFS($A$4:$A48,"&gt;="&amp;$A49-1,$A$4:$A48,"&lt;="&amp;$A49,$B$4:$B48,$B49)&gt;0,MIN(AV$1,IF($A49=$A48,AV48,1))-AA49&lt;0),-1,MIN(1,IF($A49=$A48,AV48,1)-AA49+$D$3))</f>
        <v>1</v>
      </c>
      <c r="AW49">
        <f>IF(OR($J49=0,COUNTIFS($A$4:$A48,"&gt;="&amp;$A49-1,$A$4:$A48,"&lt;="&amp;$A49,$B$4:$B48,$B49)&gt;0,MIN(AW$1,IF($A49=$A48,AW48,1))-AB49&lt;0),-1,MIN(1,IF($A49=$A48,AW48,1)-AB49+$D$3))</f>
        <v>1</v>
      </c>
      <c r="AX49">
        <f>IF(OR($J49=0,COUNTIFS($A$4:$A48,"&gt;="&amp;$A49-1,$A$4:$A48,"&lt;="&amp;$A49,$B$4:$B48,$B49)&gt;0,MIN(AX$1,IF($A49=$A48,AX48,1))-AC49&lt;0),-1,MIN(1,IF($A49=$A48,AX48,1)-AC49+$D$3))</f>
        <v>0.4</v>
      </c>
      <c r="AY49">
        <f>IF(OR($J49=0,COUNTIFS($A$4:$A48,"&gt;="&amp;$A49-1,$A$4:$A48,"&lt;="&amp;$A49,$B$4:$B48,$B49)&gt;0,MIN(AY$1,IF($A49=$A48,AY48,1))-AD49&lt;0),-1,MIN(1,IF($A49=$A48,AY48,1)-AD49+$D$3))</f>
        <v>0.8</v>
      </c>
      <c r="AZ49">
        <f>IF(OR($J49=0,COUNTIFS($A$4:$A48,"&gt;="&amp;$A49-1,$A$4:$A48,"&lt;="&amp;$A49,$B$4:$B48,$B49)&gt;0,MIN(AZ$1,IF($A49=$A48,AZ48,1))-AE49&lt;0),-1,MIN(1,IF($A49=$A48,AZ48,1)-AE49+$D$3))</f>
        <v>1</v>
      </c>
      <c r="BA49">
        <f>IF(OR($J49=0,COUNTIFS($A$4:$A48,"&gt;="&amp;$A49-1,$A$4:$A48,"&lt;="&amp;$A49,$B$4:$B48,$B49)&gt;0,MIN(BA$1,IF($A49=$A48,BA48,1))-AF49&lt;0),-1,MIN(1,IF($A49=$A48,BA48,1)-AF49+$D$3))</f>
        <v>1</v>
      </c>
      <c r="BB49">
        <f>IF(OR($J49=0,COUNTIFS($A$4:$A48,"&gt;="&amp;$A49-1,$A$4:$A48,"&lt;="&amp;$A49,$B$4:$B48,$B49)&gt;0,MIN(BB$1,IF($A49=$A48,BB48,1))-AG49&lt;0),-1,MIN(1,IF($A49=$A48,BB48,1)-AG49+$D$3))</f>
        <v>1</v>
      </c>
      <c r="BC49">
        <f>IF(OR($J49=0,COUNTIFS($A$4:$A48,"&gt;="&amp;$A49-1,$A$4:$A48,"&lt;="&amp;$A49,$B$4:$B48,$B49)&gt;0,MIN(BC$1,IF($A49=$A48,BC48,1))-AH49&lt;0),-1,MIN(1,IF($A49=$A48,BC48,1)-AH49+$D$3))</f>
        <v>1</v>
      </c>
      <c r="BD49">
        <f>IF(OR($J49=0,COUNTIFS($A$4:$A48,"&gt;="&amp;$A49-1,$A$4:$A48,"&lt;="&amp;$A49,$B$4:$B48,$B49)&gt;0,MIN(BD$1,IF($A49=$A48,BD48,1))-AI49&lt;0),-1,MIN(1,IF($A49=$A48,BD48,1)-AI49+$D$3))</f>
        <v>1</v>
      </c>
      <c r="BF49" s="44">
        <f t="shared" si="135"/>
        <v>6.0766282663968524E-2</v>
      </c>
      <c r="BG49" s="44">
        <f t="shared" si="136"/>
        <v>0.16980342710485183</v>
      </c>
      <c r="BH49" s="44">
        <f t="shared" si="137"/>
        <v>0.26521846168775426</v>
      </c>
      <c r="BI49" s="44">
        <f t="shared" si="138"/>
        <v>0.22469066191824727</v>
      </c>
      <c r="BJ49" s="44">
        <f t="shared" si="139"/>
        <v>0.27593489162514001</v>
      </c>
      <c r="BK49" s="44">
        <f t="shared" si="140"/>
        <v>6.9110184783063439E-2</v>
      </c>
      <c r="BL49" s="44">
        <f t="shared" si="141"/>
        <v>5.9242671867772705E-2</v>
      </c>
      <c r="BM49" s="44">
        <f t="shared" si="142"/>
        <v>0.1329185672756947</v>
      </c>
      <c r="BN49" s="44">
        <f t="shared" si="143"/>
        <v>0.11468806055203748</v>
      </c>
      <c r="BO49" s="44">
        <f t="shared" si="144"/>
        <v>7.7739437847190035E-2</v>
      </c>
      <c r="BP49" s="44">
        <f t="shared" si="145"/>
        <v>0.25343328263972137</v>
      </c>
      <c r="BQ49" s="44">
        <f t="shared" si="146"/>
        <v>5.3073279291449699E-2</v>
      </c>
      <c r="BR49" s="44">
        <f t="shared" si="147"/>
        <v>0.19301646129494082</v>
      </c>
      <c r="BS49" s="44">
        <f t="shared" si="148"/>
        <v>0.11603788834156729</v>
      </c>
      <c r="BT49" s="44">
        <f t="shared" si="149"/>
        <v>0.40494672147527183</v>
      </c>
      <c r="BU49" s="44">
        <f t="shared" si="150"/>
        <v>0.36038176802470745</v>
      </c>
      <c r="BV49" s="44">
        <f t="shared" si="151"/>
        <v>0.39637853791434058</v>
      </c>
      <c r="BW49" s="44">
        <f t="shared" si="152"/>
        <v>0.19246107824467507</v>
      </c>
      <c r="BX49" s="44">
        <f t="shared" si="153"/>
        <v>0.1513160921685503</v>
      </c>
      <c r="BY49" s="44">
        <f t="shared" si="154"/>
        <v>0.10763524024443805</v>
      </c>
      <c r="CA49" s="44">
        <f t="shared" si="155"/>
        <v>-0.62008612541554542</v>
      </c>
      <c r="CB49" s="44">
        <f t="shared" si="156"/>
        <v>-0.2922535866821534</v>
      </c>
      <c r="CC49" s="44">
        <f t="shared" si="157"/>
        <v>0.65815924512475332</v>
      </c>
      <c r="CD49" s="44">
        <f t="shared" si="158"/>
        <v>0.40477738986201417</v>
      </c>
      <c r="CE49" s="44">
        <f t="shared" si="159"/>
        <v>0.72515890744964939</v>
      </c>
      <c r="CF49" s="44">
        <f t="shared" si="160"/>
        <v>-0.78395981354187938</v>
      </c>
      <c r="CG49" s="44">
        <f t="shared" si="161"/>
        <v>-0.62961181722299719</v>
      </c>
      <c r="CH49" s="44">
        <f t="shared" si="162"/>
        <v>-0.44599092694029685</v>
      </c>
      <c r="CI49" s="44">
        <f t="shared" si="163"/>
        <v>-0.28296444108902286</v>
      </c>
      <c r="CJ49" s="44">
        <f t="shared" si="164"/>
        <v>-0.51396910020208031</v>
      </c>
      <c r="CK49" s="44">
        <f t="shared" si="165"/>
        <v>0.58447770927091436</v>
      </c>
      <c r="CL49" s="44">
        <f t="shared" si="166"/>
        <v>-0.66818317184188403</v>
      </c>
      <c r="CM49" s="44">
        <f t="shared" si="167"/>
        <v>-0.19550087697320673</v>
      </c>
      <c r="CN49" s="44">
        <f t="shared" si="168"/>
        <v>-0.27452524943436996</v>
      </c>
      <c r="CO49" s="44">
        <f t="shared" si="169"/>
        <v>1.5317473969353905</v>
      </c>
      <c r="CP49" s="44">
        <f t="shared" si="170"/>
        <v>1.2531250525391462</v>
      </c>
      <c r="CQ49" s="44">
        <f t="shared" si="171"/>
        <v>0.65211911978560311</v>
      </c>
      <c r="CR49" s="44">
        <f t="shared" si="172"/>
        <v>0.20327640160210425</v>
      </c>
      <c r="CS49" s="44">
        <f t="shared" si="173"/>
        <v>-5.3964133685283855E-2</v>
      </c>
      <c r="CT49" s="44">
        <f t="shared" si="174"/>
        <v>-0.32705903059394925</v>
      </c>
      <c r="CV49" s="44">
        <f t="shared" si="175"/>
        <v>0.65351504539874361</v>
      </c>
    </row>
    <row r="50" spans="1:100" x14ac:dyDescent="0.25">
      <c r="A50" s="98">
        <v>45060</v>
      </c>
      <c r="B50" s="57">
        <v>23</v>
      </c>
      <c r="C50" s="51" t="str" cm="1">
        <f t="array" ref="C50">IF(B50="","",INDEX(UWS!$B$10:$B$41,B50))</f>
        <v>Cable mid chest crossover</v>
      </c>
      <c r="D50" s="45">
        <f t="shared" si="132"/>
        <v>0.4</v>
      </c>
      <c r="E50" s="70">
        <f t="shared" si="133"/>
        <v>1.8697407767511776</v>
      </c>
      <c r="F50" s="52" cm="1">
        <f t="array" ref="F50">0.1+IFERROR(INDEX($F$5:$F49,SUMPRODUCT(MAX(ROW($C$5:$C49)*($C50=$C$5:$C49))-ROW($A$4)))*0.9^($A50-INDEX($A$5:A49,SUMPRODUCT(MAX(ROW($C$5:$C49)*($C50=$C$5:$C49))-ROW($A$4)))),0)</f>
        <v>0.12541865828329002</v>
      </c>
      <c r="G50" s="56">
        <f>INDEX(UWS!$AB$10:$AB$41,MATCH(C50,UWS!$B$10:$B$41,0))</f>
        <v>1</v>
      </c>
      <c r="H50" s="52">
        <f>INDEX(UWS!$C$10:$C$41,MATCH(C50,UWS!$B$10:$B$41,0))</f>
        <v>1</v>
      </c>
      <c r="I50" s="46">
        <f t="shared" si="134"/>
        <v>4</v>
      </c>
      <c r="J50" s="46">
        <f>INDEX(UWS!$E$10:$E$41,MATCH(C50,UWS!$B$10:$B$41,0))</f>
        <v>1</v>
      </c>
      <c r="K50" s="46"/>
      <c r="L50" s="109" t="str" cm="1">
        <f t="array" ref="L50">IF(K50="","",INDEX(UWS!$B$10:$B$41,K50))</f>
        <v/>
      </c>
      <c r="M50" s="46"/>
      <c r="N50" s="109" t="str" cm="1">
        <f t="array" ref="N50">IF(M50="","",INDEX(UWS!$B$10:$B$41,M50))</f>
        <v/>
      </c>
      <c r="O50" s="47"/>
      <c r="P50" s="47">
        <f>IFERROR(INDEX(UWS!$G$10:$Z$41,MATCH($C50,UWS!$B$10:$B$41,0),MATCH(P$4,UWS!$G$3:$Z$3,0)),0)</f>
        <v>1</v>
      </c>
      <c r="Q50" s="47">
        <f>IFERROR(INDEX(UWS!$G$10:$Z$41,MATCH($C50,UWS!$B$10:$B$41,0),MATCH(Q$4,UWS!$G$3:$Z$3,0)),0)</f>
        <v>0</v>
      </c>
      <c r="R50" s="47">
        <f>IFERROR(INDEX(UWS!$G$10:$Z$41,MATCH($C50,UWS!$B$10:$B$41,0),MATCH(R$4,UWS!$G$3:$Z$3,0)),0)</f>
        <v>0</v>
      </c>
      <c r="S50" s="47">
        <f>IFERROR(INDEX(UWS!$G$10:$Z$41,MATCH($C50,UWS!$B$10:$B$41,0),MATCH(S$4,UWS!$G$3:$Z$3,0)),0)</f>
        <v>0</v>
      </c>
      <c r="T50" s="47">
        <f>IFERROR(INDEX(UWS!$G$10:$Z$41,MATCH($C50,UWS!$B$10:$B$41,0),MATCH(T$4,UWS!$G$3:$Z$3,0)),0)</f>
        <v>0</v>
      </c>
      <c r="U50" s="47">
        <f>IFERROR(INDEX(UWS!$G$10:$Z$41,MATCH($C50,UWS!$B$10:$B$41,0),MATCH(U$4,UWS!$G$3:$Z$3,0)),0)</f>
        <v>0</v>
      </c>
      <c r="V50" s="47">
        <f>IFERROR(INDEX(UWS!$G$10:$Z$41,MATCH($C50,UWS!$B$10:$B$41,0),MATCH(V$4,UWS!$G$3:$Z$3,0)),0)</f>
        <v>0</v>
      </c>
      <c r="W50" s="47">
        <f>IFERROR(INDEX(UWS!$G$10:$Z$41,MATCH($C50,UWS!$B$10:$B$41,0),MATCH(W$4,UWS!$G$3:$Z$3,0)),0)</f>
        <v>0</v>
      </c>
      <c r="X50" s="47">
        <f>IFERROR(INDEX(UWS!$G$10:$Z$41,MATCH($C50,UWS!$B$10:$B$41,0),MATCH(X$4,UWS!$G$3:$Z$3,0)),0)</f>
        <v>0</v>
      </c>
      <c r="Y50" s="47">
        <f>IFERROR(INDEX(UWS!$G$10:$Z$41,MATCH($C50,UWS!$B$10:$B$41,0),MATCH(Y$4,UWS!$G$3:$Z$3,0)),0)</f>
        <v>0</v>
      </c>
      <c r="Z50" s="47">
        <f>IFERROR(INDEX(UWS!$G$10:$Z$41,MATCH($C50,UWS!$B$10:$B$41,0),MATCH(Z$4,UWS!$G$3:$Z$3,0)),0)</f>
        <v>0</v>
      </c>
      <c r="AA50" s="47">
        <f>IFERROR(INDEX(UWS!$G$10:$Z$41,MATCH($C50,UWS!$B$10:$B$41,0),MATCH(AA$4,UWS!$G$3:$Z$3,0)),0)</f>
        <v>0</v>
      </c>
      <c r="AB50" s="47">
        <f>IFERROR(INDEX(UWS!$G$10:$Z$41,MATCH($C50,UWS!$B$10:$B$41,0),MATCH(AB$4,UWS!$G$3:$Z$3,0)),0)</f>
        <v>0</v>
      </c>
      <c r="AC50" s="47">
        <f>IFERROR(INDEX(UWS!$G$10:$Z$41,MATCH($C50,UWS!$B$10:$B$41,0),MATCH(AC$4,UWS!$G$3:$Z$3,0)),0)</f>
        <v>0</v>
      </c>
      <c r="AD50" s="47">
        <f>IFERROR(INDEX(UWS!$G$10:$Z$41,MATCH($C50,UWS!$B$10:$B$41,0),MATCH(AD$4,UWS!$G$3:$Z$3,0)),0)</f>
        <v>0</v>
      </c>
      <c r="AE50" s="47">
        <f>IFERROR(INDEX(UWS!$G$10:$Z$41,MATCH($C50,UWS!$B$10:$B$41,0),MATCH(AE$4,UWS!$G$3:$Z$3,0)),0)</f>
        <v>0</v>
      </c>
      <c r="AF50" s="47">
        <f>IFERROR(INDEX(UWS!$G$10:$Z$41,MATCH($C50,UWS!$B$10:$B$41,0),MATCH(AF$4,UWS!$G$3:$Z$3,0)),0)</f>
        <v>0</v>
      </c>
      <c r="AG50" s="47">
        <f>IFERROR(INDEX(UWS!$G$10:$Z$41,MATCH($C50,UWS!$B$10:$B$41,0),MATCH(AG$4,UWS!$G$3:$Z$3,0)),0)</f>
        <v>0</v>
      </c>
      <c r="AH50" s="47">
        <f>IFERROR(INDEX(UWS!$G$10:$Z$41,MATCH($C50,UWS!$B$10:$B$41,0),MATCH(AH$4,UWS!$G$3:$Z$3,0)),0)</f>
        <v>0</v>
      </c>
      <c r="AI50" s="47">
        <f>IFERROR(INDEX(UWS!$G$10:$Z$41,MATCH($C50,UWS!$B$10:$B$41,0),MATCH(AI$4,UWS!$G$3:$Z$3,0)),0)</f>
        <v>0</v>
      </c>
      <c r="AJ50" s="47"/>
      <c r="AK50" s="47">
        <f>IF(OR($J50=0,COUNTIFS($A$4:$A49,"&gt;="&amp;$A50-1,$A$4:$A49,"&lt;="&amp;$A50,$B$4:$B49,$B50)&gt;0,MIN(AK$1,IF($A50=$A49,AK49,1))-P50&lt;0),-1,MIN(1,IF($A50=$A49,AK49,1)-P50+$D$3))</f>
        <v>0.4</v>
      </c>
      <c r="AL50" s="47">
        <f>IF(OR($J50=0,COUNTIFS($A$4:$A49,"&gt;="&amp;$A50-1,$A$4:$A49,"&lt;="&amp;$A50,$B$4:$B49,$B50)&gt;0,MIN(AL$1,IF($A50=$A49,AL49,1))-Q50&lt;0),-1,MIN(1,IF($A50=$A49,AL49,1)-Q50+$D$3))</f>
        <v>1</v>
      </c>
      <c r="AM50" s="47">
        <f>IF(OR($J50=0,COUNTIFS($A$4:$A49,"&gt;="&amp;$A50-1,$A$4:$A49,"&lt;="&amp;$A50,$B$4:$B49,$B50)&gt;0,MIN(AM$1,IF($A50=$A49,AM49,1))-R50&lt;0),-1,MIN(1,IF($A50=$A49,AM49,1)-R50+$D$3))</f>
        <v>1</v>
      </c>
      <c r="AN50" s="47">
        <f>IF(OR($J50=0,COUNTIFS($A$4:$A49,"&gt;="&amp;$A50-1,$A$4:$A49,"&lt;="&amp;$A50,$B$4:$B49,$B50)&gt;0,MIN(AN$1,IF($A50=$A49,AN49,1))-S50&lt;0),-1,MIN(1,IF($A50=$A49,AN49,1)-S50+$D$3))</f>
        <v>1</v>
      </c>
      <c r="AO50" s="47">
        <f>IF(OR($J50=0,COUNTIFS($A$4:$A49,"&gt;="&amp;$A50-1,$A$4:$A49,"&lt;="&amp;$A50,$B$4:$B49,$B50)&gt;0,MIN(AO$1,IF($A50=$A49,AO49,1))-T50&lt;0),-1,MIN(1,IF($A50=$A49,AO49,1)-T50+$D$3))</f>
        <v>1</v>
      </c>
      <c r="AP50" s="47">
        <f>IF(OR($J50=0,COUNTIFS($A$4:$A49,"&gt;="&amp;$A50-1,$A$4:$A49,"&lt;="&amp;$A50,$B$4:$B49,$B50)&gt;0,MIN(AP$1,IF($A50=$A49,AP49,1))-U50&lt;0),-1,MIN(1,IF($A50=$A49,AP49,1)-U50+$D$3))</f>
        <v>1</v>
      </c>
      <c r="AQ50" s="47">
        <f>IF(OR($J50=0,COUNTIFS($A$4:$A49,"&gt;="&amp;$A50-1,$A$4:$A49,"&lt;="&amp;$A50,$B$4:$B49,$B50)&gt;0,MIN(AQ$1,IF($A50=$A49,AQ49,1))-V50&lt;0),-1,MIN(1,IF($A50=$A49,AQ49,1)-V50+$D$3))</f>
        <v>1</v>
      </c>
      <c r="AR50" s="47">
        <f>IF(OR($J50=0,COUNTIFS($A$4:$A49,"&gt;="&amp;$A50-1,$A$4:$A49,"&lt;="&amp;$A50,$B$4:$B49,$B50)&gt;0,MIN(AR$1,IF($A50=$A49,AR49,1))-W50&lt;0),-1,MIN(1,IF($A50=$A49,AR49,1)-W50+$D$3))</f>
        <v>1</v>
      </c>
      <c r="AS50" s="47">
        <f>IF(OR($J50=0,COUNTIFS($A$4:$A49,"&gt;="&amp;$A50-1,$A$4:$A49,"&lt;="&amp;$A50,$B$4:$B49,$B50)&gt;0,MIN(AS$1,IF($A50=$A49,AS49,1))-X50&lt;0),-1,MIN(1,IF($A50=$A49,AS49,1)-X50+$D$3))</f>
        <v>1</v>
      </c>
      <c r="AT50" s="47">
        <f>IF(OR($J50=0,COUNTIFS($A$4:$A49,"&gt;="&amp;$A50-1,$A$4:$A49,"&lt;="&amp;$A50,$B$4:$B49,$B50)&gt;0,MIN(AT$1,IF($A50=$A49,AT49,1))-Y50&lt;0),-1,MIN(1,IF($A50=$A49,AT49,1)-Y50+$D$3))</f>
        <v>1</v>
      </c>
      <c r="AU50" s="47">
        <f>IF(OR($J50=0,COUNTIFS($A$4:$A49,"&gt;="&amp;$A50-1,$A$4:$A49,"&lt;="&amp;$A50,$B$4:$B49,$B50)&gt;0,MIN(AU$1,IF($A50=$A49,AU49,1))-Z50&lt;0),-1,MIN(1,IF($A50=$A49,AU49,1)-Z50+$D$3))</f>
        <v>1</v>
      </c>
      <c r="AV50" s="47">
        <f>IF(OR($J50=0,COUNTIFS($A$4:$A49,"&gt;="&amp;$A50-1,$A$4:$A49,"&lt;="&amp;$A50,$B$4:$B49,$B50)&gt;0,MIN(AV$1,IF($A50=$A49,AV49,1))-AA50&lt;0),-1,MIN(1,IF($A50=$A49,AV49,1)-AA50+$D$3))</f>
        <v>1</v>
      </c>
      <c r="AW50" s="47">
        <f>IF(OR($J50=0,COUNTIFS($A$4:$A49,"&gt;="&amp;$A50-1,$A$4:$A49,"&lt;="&amp;$A50,$B$4:$B49,$B50)&gt;0,MIN(AW$1,IF($A50=$A49,AW49,1))-AB50&lt;0),-1,MIN(1,IF($A50=$A49,AW49,1)-AB50+$D$3))</f>
        <v>1</v>
      </c>
      <c r="AX50" s="47">
        <f>IF(OR($J50=0,COUNTIFS($A$4:$A49,"&gt;="&amp;$A50-1,$A$4:$A49,"&lt;="&amp;$A50,$B$4:$B49,$B50)&gt;0,MIN(AX$1,IF($A50=$A49,AX49,1))-AC50&lt;0),-1,MIN(1,IF($A50=$A49,AX49,1)-AC50+$D$3))</f>
        <v>0.8</v>
      </c>
      <c r="AY50" s="47">
        <f>IF(OR($J50=0,COUNTIFS($A$4:$A49,"&gt;="&amp;$A50-1,$A$4:$A49,"&lt;="&amp;$A50,$B$4:$B49,$B50)&gt;0,MIN(AY$1,IF($A50=$A49,AY49,1))-AD50&lt;0),-1,MIN(1,IF($A50=$A49,AY49,1)-AD50+$D$3))</f>
        <v>1</v>
      </c>
      <c r="AZ50" s="47">
        <f>IF(OR($J50=0,COUNTIFS($A$4:$A49,"&gt;="&amp;$A50-1,$A$4:$A49,"&lt;="&amp;$A50,$B$4:$B49,$B50)&gt;0,MIN(AZ$1,IF($A50=$A49,AZ49,1))-AE50&lt;0),-1,MIN(1,IF($A50=$A49,AZ49,1)-AE50+$D$3))</f>
        <v>1</v>
      </c>
      <c r="BA50" s="47">
        <f>IF(OR($J50=0,COUNTIFS($A$4:$A49,"&gt;="&amp;$A50-1,$A$4:$A49,"&lt;="&amp;$A50,$B$4:$B49,$B50)&gt;0,MIN(BA$1,IF($A50=$A49,BA49,1))-AF50&lt;0),-1,MIN(1,IF($A50=$A49,BA49,1)-AF50+$D$3))</f>
        <v>1</v>
      </c>
      <c r="BB50" s="47">
        <f>IF(OR($J50=0,COUNTIFS($A$4:$A49,"&gt;="&amp;$A50-1,$A$4:$A49,"&lt;="&amp;$A50,$B$4:$B49,$B50)&gt;0,MIN(BB$1,IF($A50=$A49,BB49,1))-AG50&lt;0),-1,MIN(1,IF($A50=$A49,BB49,1)-AG50+$D$3))</f>
        <v>1</v>
      </c>
      <c r="BC50" s="47">
        <f>IF(OR($J50=0,COUNTIFS($A$4:$A49,"&gt;="&amp;$A50-1,$A$4:$A49,"&lt;="&amp;$A50,$B$4:$B49,$B50)&gt;0,MIN(BC$1,IF($A50=$A49,BC49,1))-AH50&lt;0),-1,MIN(1,IF($A50=$A49,BC49,1)-AH50+$D$3))</f>
        <v>1</v>
      </c>
      <c r="BD50" s="47">
        <f>IF(OR($J50=0,COUNTIFS($A$4:$A49,"&gt;="&amp;$A50-1,$A$4:$A49,"&lt;="&amp;$A50,$B$4:$B49,$B50)&gt;0,MIN(BD$1,IF($A50=$A49,BD49,1))-AI50&lt;0),-1,MIN(1,IF($A50=$A49,BD49,1)-AI50+$D$3))</f>
        <v>1</v>
      </c>
      <c r="BE50" s="47"/>
      <c r="BF50" s="53">
        <f t="shared" si="135"/>
        <v>0.1077279685307701</v>
      </c>
      <c r="BG50" s="53">
        <f t="shared" si="136"/>
        <v>0.16131325574960922</v>
      </c>
      <c r="BH50" s="53">
        <f t="shared" si="137"/>
        <v>0.25195753860336656</v>
      </c>
      <c r="BI50" s="53">
        <f t="shared" si="138"/>
        <v>0.21345612882233489</v>
      </c>
      <c r="BJ50" s="53">
        <f t="shared" si="139"/>
        <v>0.262138147043883</v>
      </c>
      <c r="BK50" s="53">
        <f t="shared" si="140"/>
        <v>6.565467554391026E-2</v>
      </c>
      <c r="BL50" s="53">
        <f t="shared" si="141"/>
        <v>5.6280538274384069E-2</v>
      </c>
      <c r="BM50" s="53">
        <f t="shared" si="142"/>
        <v>0.12627263891190996</v>
      </c>
      <c r="BN50" s="53">
        <f t="shared" si="143"/>
        <v>0.1089536575244356</v>
      </c>
      <c r="BO50" s="53">
        <f t="shared" si="144"/>
        <v>7.3852465954830526E-2</v>
      </c>
      <c r="BP50" s="53">
        <f t="shared" si="145"/>
        <v>0.24076161850773528</v>
      </c>
      <c r="BQ50" s="53">
        <f t="shared" si="146"/>
        <v>5.0419615326877214E-2</v>
      </c>
      <c r="BR50" s="53">
        <f t="shared" si="147"/>
        <v>0.18336563823019378</v>
      </c>
      <c r="BS50" s="53">
        <f t="shared" si="148"/>
        <v>0.11023599392448892</v>
      </c>
      <c r="BT50" s="53">
        <f t="shared" si="149"/>
        <v>0.38469938540150822</v>
      </c>
      <c r="BU50" s="53">
        <f t="shared" si="150"/>
        <v>0.34236267962347205</v>
      </c>
      <c r="BV50" s="53">
        <f t="shared" si="151"/>
        <v>0.37655961101862351</v>
      </c>
      <c r="BW50" s="53">
        <f t="shared" si="152"/>
        <v>0.18283802433244131</v>
      </c>
      <c r="BX50" s="53">
        <f t="shared" si="153"/>
        <v>0.14375028756012279</v>
      </c>
      <c r="BY50" s="53">
        <f t="shared" si="154"/>
        <v>0.10225347823221614</v>
      </c>
      <c r="BZ50" s="47"/>
      <c r="CA50" s="53">
        <f t="shared" si="155"/>
        <v>-0.30103080901139079</v>
      </c>
      <c r="CB50" s="53">
        <f t="shared" si="156"/>
        <v>-0.30223631860381994</v>
      </c>
      <c r="CC50" s="53">
        <f t="shared" si="157"/>
        <v>0.6347709821593297</v>
      </c>
      <c r="CD50" s="53">
        <f t="shared" si="158"/>
        <v>0.384963066781421</v>
      </c>
      <c r="CE50" s="53">
        <f t="shared" si="159"/>
        <v>0.70082561720433278</v>
      </c>
      <c r="CF50" s="53">
        <f t="shared" si="160"/>
        <v>-0.78700705083639</v>
      </c>
      <c r="CG50" s="53">
        <f t="shared" si="161"/>
        <v>-0.63483612619304552</v>
      </c>
      <c r="CH50" s="53">
        <f t="shared" si="162"/>
        <v>-0.45380520046320949</v>
      </c>
      <c r="CI50" s="53">
        <f t="shared" si="163"/>
        <v>-0.29307819599928042</v>
      </c>
      <c r="CJ50" s="53">
        <f t="shared" si="164"/>
        <v>-0.52082454459152427</v>
      </c>
      <c r="CK50" s="53">
        <f t="shared" si="165"/>
        <v>0.56212872111658752</v>
      </c>
      <c r="CL50" s="53">
        <f t="shared" si="166"/>
        <v>-0.67286343355747746</v>
      </c>
      <c r="CM50" s="53">
        <f t="shared" si="167"/>
        <v>-0.20684830159489176</v>
      </c>
      <c r="CN50" s="53">
        <f t="shared" si="168"/>
        <v>-0.28475803877043127</v>
      </c>
      <c r="CO50" s="53">
        <f t="shared" si="169"/>
        <v>1.4960372116467049</v>
      </c>
      <c r="CP50" s="53">
        <f t="shared" si="170"/>
        <v>1.2213448231204662</v>
      </c>
      <c r="CQ50" s="53">
        <f t="shared" si="171"/>
        <v>0.62881605252149186</v>
      </c>
      <c r="CR50" s="53">
        <f t="shared" si="172"/>
        <v>0.18630424106716026</v>
      </c>
      <c r="CS50" s="53">
        <f t="shared" si="173"/>
        <v>-6.7307927823962221E-2</v>
      </c>
      <c r="CT50" s="53">
        <f t="shared" si="174"/>
        <v>-0.33655083326546642</v>
      </c>
      <c r="CU50" s="47"/>
      <c r="CV50" s="53">
        <f t="shared" si="175"/>
        <v>0.63166748938977868</v>
      </c>
    </row>
    <row r="51" spans="1:100" x14ac:dyDescent="0.25">
      <c r="A51" s="97">
        <v>45062</v>
      </c>
      <c r="B51" s="86">
        <v>8</v>
      </c>
      <c r="C51" s="43" t="str" cm="1">
        <f t="array" ref="C51">IF(B51="","",INDEX(UWS!$B$10:$B$41,B51))</f>
        <v>Barbell deadlift</v>
      </c>
      <c r="D51" s="40">
        <f t="shared" ref="D51:D114" si="176">IF(C51="","",MIN(AK51:BD51))</f>
        <v>0.4</v>
      </c>
      <c r="E51" s="69">
        <f t="shared" ref="E51:E114" si="177">IF(C51="","",IFERROR((H51/$H$2)^$H$1*(CV51/$CV50)^$CV$1*(F51/$F$2)^$F$1*(G51/$G$2)^IF(B51&lt;=5,0,($G$1-$G$3*(I51-1))),0))</f>
        <v>2.0491378555036093</v>
      </c>
      <c r="F51" s="48" cm="1">
        <f t="array" ref="F51">0.1+IFERROR(INDEX($F$5:$F50,SUMPRODUCT(MAX(ROW($C$5:$C50)*($C51=$C$5:$C50))-ROW($A$4)))*0.9^($A51-INDEX($A$5:A50,SUMPRODUCT(MAX(ROW($C$5:$C50)*($C51=$C$5:$C50))-ROW($A$4)))),0)</f>
        <v>0.22540889188851848</v>
      </c>
      <c r="G51" s="55">
        <f>INDEX(UWS!$AB$10:$AB$41,MATCH(C51,UWS!$B$10:$B$41,0))</f>
        <v>7.2999999999999989</v>
      </c>
      <c r="H51" s="48">
        <f>INDEX(UWS!$C$10:$C$41,MATCH(C51,UWS!$B$10:$B$41,0))</f>
        <v>1.1000000000000001</v>
      </c>
      <c r="I51" s="27">
        <f t="shared" ref="I51:I114" si="178">IF(A51&gt;A50,1,IF(A51&gt;A49,2,IF(A51&gt;A48,3,IF(A51&gt;A47,4,5))))</f>
        <v>1</v>
      </c>
      <c r="J51" s="27">
        <f>INDEX(UWS!$E$10:$E$41,MATCH(C51,UWS!$B$10:$B$41,0))</f>
        <v>1</v>
      </c>
      <c r="L51" s="108" t="str" cm="1">
        <f t="array" ref="L51">IF(K51="","",INDEX(UWS!$B$10:$B$41,K51))</f>
        <v/>
      </c>
      <c r="N51" s="108" t="str" cm="1">
        <f t="array" ref="N51">IF(M51="","",INDEX(UWS!$B$10:$B$41,M51))</f>
        <v/>
      </c>
      <c r="P51">
        <f>IFERROR(INDEX(UWS!$G$10:$Z$41,MATCH($C51,UWS!$B$10:$B$41,0),MATCH(P$4,UWS!$G$3:$Z$3,0)),0)</f>
        <v>0</v>
      </c>
      <c r="Q51">
        <f>IFERROR(INDEX(UWS!$G$10:$Z$41,MATCH($C51,UWS!$B$10:$B$41,0),MATCH(Q$4,UWS!$G$3:$Z$3,0)),0)</f>
        <v>0.3</v>
      </c>
      <c r="R51">
        <f>IFERROR(INDEX(UWS!$G$10:$Z$41,MATCH($C51,UWS!$B$10:$B$41,0),MATCH(R$4,UWS!$G$3:$Z$3,0)),0)</f>
        <v>0.6</v>
      </c>
      <c r="S51">
        <f>IFERROR(INDEX(UWS!$G$10:$Z$41,MATCH($C51,UWS!$B$10:$B$41,0),MATCH(S$4,UWS!$G$3:$Z$3,0)),0)</f>
        <v>0.6</v>
      </c>
      <c r="T51">
        <f>IFERROR(INDEX(UWS!$G$10:$Z$41,MATCH($C51,UWS!$B$10:$B$41,0),MATCH(T$4,UWS!$G$3:$Z$3,0)),0)</f>
        <v>1</v>
      </c>
      <c r="U51">
        <f>IFERROR(INDEX(UWS!$G$10:$Z$41,MATCH($C51,UWS!$B$10:$B$41,0),MATCH(U$4,UWS!$G$3:$Z$3,0)),0)</f>
        <v>0</v>
      </c>
      <c r="V51">
        <f>IFERROR(INDEX(UWS!$G$10:$Z$41,MATCH($C51,UWS!$B$10:$B$41,0),MATCH(V$4,UWS!$G$3:$Z$3,0)),0)</f>
        <v>0</v>
      </c>
      <c r="W51">
        <f>IFERROR(INDEX(UWS!$G$10:$Z$41,MATCH($C51,UWS!$B$10:$B$41,0),MATCH(W$4,UWS!$G$3:$Z$3,0)),0)</f>
        <v>0</v>
      </c>
      <c r="X51">
        <f>IFERROR(INDEX(UWS!$G$10:$Z$41,MATCH($C51,UWS!$B$10:$B$41,0),MATCH(X$4,UWS!$G$3:$Z$3,0)),0)</f>
        <v>0</v>
      </c>
      <c r="Y51">
        <f>IFERROR(INDEX(UWS!$G$10:$Z$41,MATCH($C51,UWS!$B$10:$B$41,0),MATCH(Y$4,UWS!$G$3:$Z$3,0)),0)</f>
        <v>0</v>
      </c>
      <c r="Z51">
        <f>IFERROR(INDEX(UWS!$G$10:$Z$41,MATCH($C51,UWS!$B$10:$B$41,0),MATCH(Z$4,UWS!$G$3:$Z$3,0)),0)</f>
        <v>1</v>
      </c>
      <c r="AA51">
        <f>IFERROR(INDEX(UWS!$G$10:$Z$41,MATCH($C51,UWS!$B$10:$B$41,0),MATCH(AA$4,UWS!$G$3:$Z$3,0)),0)</f>
        <v>0</v>
      </c>
      <c r="AB51">
        <f>IFERROR(INDEX(UWS!$G$10:$Z$41,MATCH($C51,UWS!$B$10:$B$41,0),MATCH(AB$4,UWS!$G$3:$Z$3,0)),0)</f>
        <v>0.7</v>
      </c>
      <c r="AC51">
        <f>IFERROR(INDEX(UWS!$G$10:$Z$41,MATCH($C51,UWS!$B$10:$B$41,0),MATCH(AC$4,UWS!$G$3:$Z$3,0)),0)</f>
        <v>0</v>
      </c>
      <c r="AD51">
        <f>IFERROR(INDEX(UWS!$G$10:$Z$41,MATCH($C51,UWS!$B$10:$B$41,0),MATCH(AD$4,UWS!$G$3:$Z$3,0)),0)</f>
        <v>0.6</v>
      </c>
      <c r="AE51">
        <f>IFERROR(INDEX(UWS!$G$10:$Z$41,MATCH($C51,UWS!$B$10:$B$41,0),MATCH(AE$4,UWS!$G$3:$Z$3,0)),0)</f>
        <v>0.8</v>
      </c>
      <c r="AF51">
        <f>IFERROR(INDEX(UWS!$G$10:$Z$41,MATCH($C51,UWS!$B$10:$B$41,0),MATCH(AF$4,UWS!$G$3:$Z$3,0)),0)</f>
        <v>1</v>
      </c>
      <c r="AG51">
        <f>IFERROR(INDEX(UWS!$G$10:$Z$41,MATCH($C51,UWS!$B$10:$B$41,0),MATCH(AG$4,UWS!$G$3:$Z$3,0)),0)</f>
        <v>0.1</v>
      </c>
      <c r="AH51">
        <f>IFERROR(INDEX(UWS!$G$10:$Z$41,MATCH($C51,UWS!$B$10:$B$41,0),MATCH(AH$4,UWS!$G$3:$Z$3,0)),0)</f>
        <v>0.3</v>
      </c>
      <c r="AI51">
        <f>IFERROR(INDEX(UWS!$G$10:$Z$41,MATCH($C51,UWS!$B$10:$B$41,0),MATCH(AI$4,UWS!$G$3:$Z$3,0)),0)</f>
        <v>0.3</v>
      </c>
      <c r="AK51">
        <f>IF(OR($J51=0,COUNTIFS($A$4:$A50,"&gt;="&amp;$A51-1,$A$4:$A50,"&lt;="&amp;$A51,$B$4:$B50,$B51)&gt;0,MIN(AK$1,IF($A51=$A50,AK50,1))-P51&lt;0),-1,MIN(1,IF($A51=$A50,AK50,1)-P51+$D$3))</f>
        <v>1</v>
      </c>
      <c r="AL51">
        <f>IF(OR($J51=0,COUNTIFS($A$4:$A50,"&gt;="&amp;$A51-1,$A$4:$A50,"&lt;="&amp;$A51,$B$4:$B50,$B51)&gt;0,MIN(AL$1,IF($A51=$A50,AL50,1))-Q51&lt;0),-1,MIN(1,IF($A51=$A50,AL50,1)-Q51+$D$3))</f>
        <v>1</v>
      </c>
      <c r="AM51">
        <f>IF(OR($J51=0,COUNTIFS($A$4:$A50,"&gt;="&amp;$A51-1,$A$4:$A50,"&lt;="&amp;$A51,$B$4:$B50,$B51)&gt;0,MIN(AM$1,IF($A51=$A50,AM50,1))-R51&lt;0),-1,MIN(1,IF($A51=$A50,AM50,1)-R51+$D$3))</f>
        <v>0.8</v>
      </c>
      <c r="AN51">
        <f>IF(OR($J51=0,COUNTIFS($A$4:$A50,"&gt;="&amp;$A51-1,$A$4:$A50,"&lt;="&amp;$A51,$B$4:$B50,$B51)&gt;0,MIN(AN$1,IF($A51=$A50,AN50,1))-S51&lt;0),-1,MIN(1,IF($A51=$A50,AN50,1)-S51+$D$3))</f>
        <v>0.8</v>
      </c>
      <c r="AO51">
        <f>IF(OR($J51=0,COUNTIFS($A$4:$A50,"&gt;="&amp;$A51-1,$A$4:$A50,"&lt;="&amp;$A51,$B$4:$B50,$B51)&gt;0,MIN(AO$1,IF($A51=$A50,AO50,1))-T51&lt;0),-1,MIN(1,IF($A51=$A50,AO50,1)-T51+$D$3))</f>
        <v>0.4</v>
      </c>
      <c r="AP51">
        <f>IF(OR($J51=0,COUNTIFS($A$4:$A50,"&gt;="&amp;$A51-1,$A$4:$A50,"&lt;="&amp;$A51,$B$4:$B50,$B51)&gt;0,MIN(AP$1,IF($A51=$A50,AP50,1))-U51&lt;0),-1,MIN(1,IF($A51=$A50,AP50,1)-U51+$D$3))</f>
        <v>1</v>
      </c>
      <c r="AQ51">
        <f>IF(OR($J51=0,COUNTIFS($A$4:$A50,"&gt;="&amp;$A51-1,$A$4:$A50,"&lt;="&amp;$A51,$B$4:$B50,$B51)&gt;0,MIN(AQ$1,IF($A51=$A50,AQ50,1))-V51&lt;0),-1,MIN(1,IF($A51=$A50,AQ50,1)-V51+$D$3))</f>
        <v>1</v>
      </c>
      <c r="AR51">
        <f>IF(OR($J51=0,COUNTIFS($A$4:$A50,"&gt;="&amp;$A51-1,$A$4:$A50,"&lt;="&amp;$A51,$B$4:$B50,$B51)&gt;0,MIN(AR$1,IF($A51=$A50,AR50,1))-W51&lt;0),-1,MIN(1,IF($A51=$A50,AR50,1)-W51+$D$3))</f>
        <v>1</v>
      </c>
      <c r="AS51">
        <f>IF(OR($J51=0,COUNTIFS($A$4:$A50,"&gt;="&amp;$A51-1,$A$4:$A50,"&lt;="&amp;$A51,$B$4:$B50,$B51)&gt;0,MIN(AS$1,IF($A51=$A50,AS50,1))-X51&lt;0),-1,MIN(1,IF($A51=$A50,AS50,1)-X51+$D$3))</f>
        <v>1</v>
      </c>
      <c r="AT51">
        <f>IF(OR($J51=0,COUNTIFS($A$4:$A50,"&gt;="&amp;$A51-1,$A$4:$A50,"&lt;="&amp;$A51,$B$4:$B50,$B51)&gt;0,MIN(AT$1,IF($A51=$A50,AT50,1))-Y51&lt;0),-1,MIN(1,IF($A51=$A50,AT50,1)-Y51+$D$3))</f>
        <v>1</v>
      </c>
      <c r="AU51">
        <f>IF(OR($J51=0,COUNTIFS($A$4:$A50,"&gt;="&amp;$A51-1,$A$4:$A50,"&lt;="&amp;$A51,$B$4:$B50,$B51)&gt;0,MIN(AU$1,IF($A51=$A50,AU50,1))-Z51&lt;0),-1,MIN(1,IF($A51=$A50,AU50,1)-Z51+$D$3))</f>
        <v>0.4</v>
      </c>
      <c r="AV51">
        <f>IF(OR($J51=0,COUNTIFS($A$4:$A50,"&gt;="&amp;$A51-1,$A$4:$A50,"&lt;="&amp;$A51,$B$4:$B50,$B51)&gt;0,MIN(AV$1,IF($A51=$A50,AV50,1))-AA51&lt;0),-1,MIN(1,IF($A51=$A50,AV50,1)-AA51+$D$3))</f>
        <v>1</v>
      </c>
      <c r="AW51">
        <f>IF(OR($J51=0,COUNTIFS($A$4:$A50,"&gt;="&amp;$A51-1,$A$4:$A50,"&lt;="&amp;$A51,$B$4:$B50,$B51)&gt;0,MIN(AW$1,IF($A51=$A50,AW50,1))-AB51&lt;0),-1,MIN(1,IF($A51=$A50,AW50,1)-AB51+$D$3))</f>
        <v>0.70000000000000007</v>
      </c>
      <c r="AX51">
        <f>IF(OR($J51=0,COUNTIFS($A$4:$A50,"&gt;="&amp;$A51-1,$A$4:$A50,"&lt;="&amp;$A51,$B$4:$B50,$B51)&gt;0,MIN(AX$1,IF($A51=$A50,AX50,1))-AC51&lt;0),-1,MIN(1,IF($A51=$A50,AX50,1)-AC51+$D$3))</f>
        <v>1</v>
      </c>
      <c r="AY51">
        <f>IF(OR($J51=0,COUNTIFS($A$4:$A50,"&gt;="&amp;$A51-1,$A$4:$A50,"&lt;="&amp;$A51,$B$4:$B50,$B51)&gt;0,MIN(AY$1,IF($A51=$A50,AY50,1))-AD51&lt;0),-1,MIN(1,IF($A51=$A50,AY50,1)-AD51+$D$3))</f>
        <v>0.8</v>
      </c>
      <c r="AZ51">
        <f>IF(OR($J51=0,COUNTIFS($A$4:$A50,"&gt;="&amp;$A51-1,$A$4:$A50,"&lt;="&amp;$A51,$B$4:$B50,$B51)&gt;0,MIN(AZ$1,IF($A51=$A50,AZ50,1))-AE51&lt;0),-1,MIN(1,IF($A51=$A50,AZ50,1)-AE51+$D$3))</f>
        <v>0.6</v>
      </c>
      <c r="BA51">
        <f>IF(OR($J51=0,COUNTIFS($A$4:$A50,"&gt;="&amp;$A51-1,$A$4:$A50,"&lt;="&amp;$A51,$B$4:$B50,$B51)&gt;0,MIN(BA$1,IF($A51=$A50,BA50,1))-AF51&lt;0),-1,MIN(1,IF($A51=$A50,BA50,1)-AF51+$D$3))</f>
        <v>0.4</v>
      </c>
      <c r="BB51">
        <f>IF(OR($J51=0,COUNTIFS($A$4:$A50,"&gt;="&amp;$A51-1,$A$4:$A50,"&lt;="&amp;$A51,$B$4:$B50,$B51)&gt;0,MIN(BB$1,IF($A51=$A50,BB50,1))-AG51&lt;0),-1,MIN(1,IF($A51=$A50,BB50,1)-AG51+$D$3))</f>
        <v>1</v>
      </c>
      <c r="BC51">
        <f>IF(OR($J51=0,COUNTIFS($A$4:$A50,"&gt;="&amp;$A51-1,$A$4:$A50,"&lt;="&amp;$A51,$B$4:$B50,$B51)&gt;0,MIN(BC$1,IF($A51=$A50,BC50,1))-AH51&lt;0),-1,MIN(1,IF($A51=$A50,BC50,1)-AH51+$D$3))</f>
        <v>1</v>
      </c>
      <c r="BD51">
        <f>IF(OR($J51=0,COUNTIFS($A$4:$A50,"&gt;="&amp;$A51-1,$A$4:$A50,"&lt;="&amp;$A51,$B$4:$B50,$B51)&gt;0,MIN(BD$1,IF($A51=$A50,BD50,1))-AI51&lt;0),-1,MIN(1,IF($A51=$A50,BD50,1)-AI51+$D$3))</f>
        <v>1</v>
      </c>
      <c r="BF51" s="44">
        <f t="shared" ref="BF51:BF114" si="179">$AN$2*P51+(1-$AN$2)*BF50</f>
        <v>0.10234157010423159</v>
      </c>
      <c r="BG51" s="44">
        <f t="shared" ref="BG51:BG114" si="180">$AN$2*Q51+(1-$AN$2)*BG50</f>
        <v>0.16824759296212877</v>
      </c>
      <c r="BH51" s="44">
        <f t="shared" ref="BH51:BH114" si="181">$AN$2*R51+(1-$AN$2)*BH50</f>
        <v>0.26935966167319825</v>
      </c>
      <c r="BI51" s="44">
        <f t="shared" ref="BI51:BI114" si="182">$AN$2*S51+(1-$AN$2)*BI50</f>
        <v>0.23278332238121813</v>
      </c>
      <c r="BJ51" s="44">
        <f t="shared" ref="BJ51:BJ114" si="183">$AN$2*T51+(1-$AN$2)*BJ50</f>
        <v>0.29903123969168882</v>
      </c>
      <c r="BK51" s="44">
        <f t="shared" ref="BK51:BK114" si="184">$AN$2*U51+(1-$AN$2)*BK50</f>
        <v>6.237194176671474E-2</v>
      </c>
      <c r="BL51" s="44">
        <f t="shared" ref="BL51:BL114" si="185">$AN$2*V51+(1-$AN$2)*BL50</f>
        <v>5.346651136066486E-2</v>
      </c>
      <c r="BM51" s="44">
        <f t="shared" ref="BM51:BM114" si="186">$AN$2*W51+(1-$AN$2)*BM50</f>
        <v>0.11995900696631445</v>
      </c>
      <c r="BN51" s="44">
        <f t="shared" ref="BN51:BN114" si="187">$AN$2*X51+(1-$AN$2)*BN50</f>
        <v>0.10350597464821382</v>
      </c>
      <c r="BO51" s="44">
        <f t="shared" ref="BO51:BO114" si="188">$AN$2*Y51+(1-$AN$2)*BO50</f>
        <v>7.0159842657088994E-2</v>
      </c>
      <c r="BP51" s="44">
        <f t="shared" ref="BP51:BP114" si="189">$AN$2*Z51+(1-$AN$2)*BP50</f>
        <v>0.27872353758234852</v>
      </c>
      <c r="BQ51" s="44">
        <f t="shared" ref="BQ51:BQ114" si="190">$AN$2*AA51+(1-$AN$2)*BQ50</f>
        <v>4.7898634560533351E-2</v>
      </c>
      <c r="BR51" s="44">
        <f t="shared" ref="BR51:BR114" si="191">$AN$2*AB51+(1-$AN$2)*BR50</f>
        <v>0.20919735631868408</v>
      </c>
      <c r="BS51" s="44">
        <f t="shared" ref="BS51:BS114" si="192">$AN$2*AC51+(1-$AN$2)*BS50</f>
        <v>0.10472419422826447</v>
      </c>
      <c r="BT51" s="44">
        <f t="shared" ref="BT51:BT114" si="193">$AN$2*AD51+(1-$AN$2)*BT50</f>
        <v>0.39546441613143279</v>
      </c>
      <c r="BU51" s="44">
        <f t="shared" ref="BU51:BU114" si="194">$AN$2*AE51+(1-$AN$2)*BU50</f>
        <v>0.36524454564229847</v>
      </c>
      <c r="BV51" s="44">
        <f t="shared" ref="BV51:BV114" si="195">$AN$2*AF51+(1-$AN$2)*BV50</f>
        <v>0.40773163046769229</v>
      </c>
      <c r="BW51" s="44">
        <f t="shared" ref="BW51:BW114" si="196">$AN$2*AG51+(1-$AN$2)*BW50</f>
        <v>0.17869612311581926</v>
      </c>
      <c r="BX51" s="44">
        <f t="shared" ref="BX51:BX114" si="197">$AN$2*AH51+(1-$AN$2)*BX50</f>
        <v>0.15156277318211664</v>
      </c>
      <c r="BY51" s="44">
        <f t="shared" ref="BY51:BY114" si="198">$AN$2*AI51+(1-$AN$2)*BY50</f>
        <v>0.11214080432060533</v>
      </c>
      <c r="CA51" s="44">
        <f t="shared" ref="CA51:CA114" si="199">IF($A51="","",BF51/SUM($BF51:$BY51)/CA$2-1)</f>
        <v>-0.36938075938102355</v>
      </c>
      <c r="CB51" s="44">
        <f t="shared" ref="CB51:CB114" si="200">IF($A51="","",BG51/SUM($BF51:$BY51)/CB$2-1)</f>
        <v>-0.30884931573299945</v>
      </c>
      <c r="CC51" s="44">
        <f t="shared" ref="CC51:CC114" si="201">IF($A51="","",BH51/SUM($BF51:$BY51)/CC$2-1)</f>
        <v>0.65976919373756271</v>
      </c>
      <c r="CD51" s="44">
        <f t="shared" ref="CD51:CD114" si="202">IF($A51="","",BI51/SUM($BF51:$BY51)/CD$2-1)</f>
        <v>0.43438919140382071</v>
      </c>
      <c r="CE51" s="44">
        <f t="shared" ref="CE51:CE114" si="203">IF($A51="","",BJ51/SUM($BF51:$BY51)/CE$2-1)</f>
        <v>0.84260269901728635</v>
      </c>
      <c r="CF51" s="44">
        <f t="shared" ref="CF51:CF114" si="204">IF($A51="","",BK51/SUM($BF51:$BY51)/CF$2-1)</f>
        <v>-0.80783494667515199</v>
      </c>
      <c r="CG51" s="44">
        <f t="shared" ref="CG51:CG114" si="205">IF($A51="","",BL51/SUM($BF51:$BY51)/CG$2-1)</f>
        <v>-0.67054432760344929</v>
      </c>
      <c r="CH51" s="44">
        <f t="shared" ref="CH51:CH114" si="206">IF($A51="","",BM51/SUM($BF51:$BY51)/CH$2-1)</f>
        <v>-0.50721583418182714</v>
      </c>
      <c r="CI51" s="44">
        <f t="shared" ref="CI51:CI114" si="207">IF($A51="","",BN51/SUM($BF51:$BY51)/CI$2-1)</f>
        <v>-0.36220580683191261</v>
      </c>
      <c r="CJ51" s="44">
        <f t="shared" ref="CJ51:CJ114" si="208">IF($A51="","",BO51/SUM($BF51:$BY51)/CJ$2-1)</f>
        <v>-0.56768157207966319</v>
      </c>
      <c r="CK51" s="44">
        <f t="shared" ref="CK51:CK114" si="209">IF($A51="","",BP51/SUM($BF51:$BY51)/CK$2-1)</f>
        <v>0.71746852656062354</v>
      </c>
      <c r="CL51" s="44">
        <f t="shared" ref="CL51:CL114" si="210">IF($A51="","",BQ51/SUM($BF51:$BY51)/CL$2-1)</f>
        <v>-0.70485306681844173</v>
      </c>
      <c r="CM51" s="44">
        <f t="shared" ref="CM51:CM114" si="211">IF($A51="","",BR51/SUM($BF51:$BY51)/CM$2-1)</f>
        <v>-0.14063022584191487</v>
      </c>
      <c r="CN51" s="44">
        <f t="shared" ref="CN51:CN114" si="212">IF($A51="","",BS51/SUM($BF51:$BY51)/CN$2-1)</f>
        <v>-0.35469925103355726</v>
      </c>
      <c r="CO51" s="44">
        <f t="shared" ref="CO51:CO114" si="213">IF($A51="","",BT51/SUM($BF51:$BY51)/CO$2-1)</f>
        <v>1.4368149671598549</v>
      </c>
      <c r="CP51" s="44">
        <f t="shared" ref="CP51:CP114" si="214">IF($A51="","",BU51/SUM($BF51:$BY51)/CP$2-1)</f>
        <v>1.250602934648994</v>
      </c>
      <c r="CQ51" s="44">
        <f t="shared" ref="CQ51:CQ114" si="215">IF($A51="","",BV51/SUM($BF51:$BY51)/CQ$2-1)</f>
        <v>0.6749362676378805</v>
      </c>
      <c r="CR51" s="44">
        <f t="shared" ref="CR51:CR114" si="216">IF($A51="","",BW51/SUM($BF51:$BY51)/CR$2-1)</f>
        <v>0.10110889784163701</v>
      </c>
      <c r="CS51" s="44">
        <f t="shared" ref="CS51:CS114" si="217">IF($A51="","",BX51/SUM($BF51:$BY51)/CS$2-1)</f>
        <v>-6.6084281950442469E-2</v>
      </c>
      <c r="CT51" s="44">
        <f t="shared" ref="CT51:CT114" si="218">IF($A51="","",BY51/SUM($BF51:$BY51)/CT$2-1)</f>
        <v>-0.30899878914269907</v>
      </c>
      <c r="CV51" s="44">
        <f t="shared" ref="CV51:CV114" si="219">SQRT(SUMPRODUCT(CA51:CT51,CA51:CT51)/20)</f>
        <v>0.6606803570918266</v>
      </c>
    </row>
    <row r="52" spans="1:100" x14ac:dyDescent="0.25">
      <c r="A52" s="97">
        <v>45062</v>
      </c>
      <c r="B52" s="86">
        <v>15</v>
      </c>
      <c r="C52" s="43" t="str" cm="1">
        <f t="array" ref="C52">IF(B52="","",INDEX(UWS!$B$10:$B$41,B52))</f>
        <v>Chin up</v>
      </c>
      <c r="D52" s="40">
        <f t="shared" si="176"/>
        <v>0.4</v>
      </c>
      <c r="E52" s="69">
        <f t="shared" si="177"/>
        <v>1.3268671640279401</v>
      </c>
      <c r="F52" s="48" cm="1">
        <f t="array" ref="F52">0.1+IFERROR(INDEX($F$5:$F51,SUMPRODUCT(MAX(ROW($C$5:$C51)*($C52=$C$5:$C51))-ROW($A$4)))*0.9^($A52-INDEX($A$5:A51,SUMPRODUCT(MAX(ROW($C$5:$C51)*($C52=$C$5:$C51))-ROW($A$4)))),0)</f>
        <v>0.13486784401000002</v>
      </c>
      <c r="G52" s="55">
        <f>INDEX(UWS!$AB$10:$AB$41,MATCH(C52,UWS!$B$10:$B$41,0))</f>
        <v>3.8</v>
      </c>
      <c r="H52" s="48">
        <f>INDEX(UWS!$C$10:$C$41,MATCH(C52,UWS!$B$10:$B$41,0))</f>
        <v>1.1000000000000001</v>
      </c>
      <c r="I52" s="27">
        <f t="shared" si="178"/>
        <v>2</v>
      </c>
      <c r="J52" s="27">
        <f>INDEX(UWS!$E$10:$E$41,MATCH(C52,UWS!$B$10:$B$41,0))</f>
        <v>1</v>
      </c>
      <c r="L52" s="108" t="str" cm="1">
        <f t="array" ref="L52">IF(K52="","",INDEX(UWS!$B$10:$B$41,K52))</f>
        <v/>
      </c>
      <c r="N52" s="108" t="str" cm="1">
        <f t="array" ref="N52">IF(M52="","",INDEX(UWS!$B$10:$B$41,M52))</f>
        <v/>
      </c>
      <c r="P52">
        <f>IFERROR(INDEX(UWS!$G$10:$Z$41,MATCH($C52,UWS!$B$10:$B$41,0),MATCH(P$4,UWS!$G$3:$Z$3,0)),0)</f>
        <v>0</v>
      </c>
      <c r="Q52">
        <f>IFERROR(INDEX(UWS!$G$10:$Z$41,MATCH($C52,UWS!$B$10:$B$41,0),MATCH(Q$4,UWS!$G$3:$Z$3,0)),0)</f>
        <v>1</v>
      </c>
      <c r="R52">
        <f>IFERROR(INDEX(UWS!$G$10:$Z$41,MATCH($C52,UWS!$B$10:$B$41,0),MATCH(R$4,UWS!$G$3:$Z$3,0)),0)</f>
        <v>0.5</v>
      </c>
      <c r="S52">
        <f>IFERROR(INDEX(UWS!$G$10:$Z$41,MATCH($C52,UWS!$B$10:$B$41,0),MATCH(S$4,UWS!$G$3:$Z$3,0)),0)</f>
        <v>0.5</v>
      </c>
      <c r="T52">
        <f>IFERROR(INDEX(UWS!$G$10:$Z$41,MATCH($C52,UWS!$B$10:$B$41,0),MATCH(T$4,UWS!$G$3:$Z$3,0)),0)</f>
        <v>0</v>
      </c>
      <c r="U52">
        <f>IFERROR(INDEX(UWS!$G$10:$Z$41,MATCH($C52,UWS!$B$10:$B$41,0),MATCH(U$4,UWS!$G$3:$Z$3,0)),0)</f>
        <v>0</v>
      </c>
      <c r="V52">
        <f>IFERROR(INDEX(UWS!$G$10:$Z$41,MATCH($C52,UWS!$B$10:$B$41,0),MATCH(V$4,UWS!$G$3:$Z$3,0)),0)</f>
        <v>0</v>
      </c>
      <c r="W52">
        <f>IFERROR(INDEX(UWS!$G$10:$Z$41,MATCH($C52,UWS!$B$10:$B$41,0),MATCH(W$4,UWS!$G$3:$Z$3,0)),0)</f>
        <v>0.5</v>
      </c>
      <c r="X52">
        <f>IFERROR(INDEX(UWS!$G$10:$Z$41,MATCH($C52,UWS!$B$10:$B$41,0),MATCH(X$4,UWS!$G$3:$Z$3,0)),0)</f>
        <v>0.9</v>
      </c>
      <c r="Y52">
        <f>IFERROR(INDEX(UWS!$G$10:$Z$41,MATCH($C52,UWS!$B$10:$B$41,0),MATCH(Y$4,UWS!$G$3:$Z$3,0)),0)</f>
        <v>0</v>
      </c>
      <c r="Z52">
        <f>IFERROR(INDEX(UWS!$G$10:$Z$41,MATCH($C52,UWS!$B$10:$B$41,0),MATCH(Z$4,UWS!$G$3:$Z$3,0)),0)</f>
        <v>0.4</v>
      </c>
      <c r="AA52">
        <f>IFERROR(INDEX(UWS!$G$10:$Z$41,MATCH($C52,UWS!$B$10:$B$41,0),MATCH(AA$4,UWS!$G$3:$Z$3,0)),0)</f>
        <v>0</v>
      </c>
      <c r="AB52">
        <f>IFERROR(INDEX(UWS!$G$10:$Z$41,MATCH($C52,UWS!$B$10:$B$41,0),MATCH(AB$4,UWS!$G$3:$Z$3,0)),0)</f>
        <v>0</v>
      </c>
      <c r="AC52">
        <f>IFERROR(INDEX(UWS!$G$10:$Z$41,MATCH($C52,UWS!$B$10:$B$41,0),MATCH(AC$4,UWS!$G$3:$Z$3,0)),0)</f>
        <v>0</v>
      </c>
      <c r="AD52">
        <f>IFERROR(INDEX(UWS!$G$10:$Z$41,MATCH($C52,UWS!$B$10:$B$41,0),MATCH(AD$4,UWS!$G$3:$Z$3,0)),0)</f>
        <v>0</v>
      </c>
      <c r="AE52">
        <f>IFERROR(INDEX(UWS!$G$10:$Z$41,MATCH($C52,UWS!$B$10:$B$41,0),MATCH(AE$4,UWS!$G$3:$Z$3,0)),0)</f>
        <v>0</v>
      </c>
      <c r="AF52">
        <f>IFERROR(INDEX(UWS!$G$10:$Z$41,MATCH($C52,UWS!$B$10:$B$41,0),MATCH(AF$4,UWS!$G$3:$Z$3,0)),0)</f>
        <v>0</v>
      </c>
      <c r="AG52">
        <f>IFERROR(INDEX(UWS!$G$10:$Z$41,MATCH($C52,UWS!$B$10:$B$41,0),MATCH(AG$4,UWS!$G$3:$Z$3,0)),0)</f>
        <v>0</v>
      </c>
      <c r="AH52">
        <f>IFERROR(INDEX(UWS!$G$10:$Z$41,MATCH($C52,UWS!$B$10:$B$41,0),MATCH(AH$4,UWS!$G$3:$Z$3,0)),0)</f>
        <v>0</v>
      </c>
      <c r="AI52">
        <f>IFERROR(INDEX(UWS!$G$10:$Z$41,MATCH($C52,UWS!$B$10:$B$41,0),MATCH(AI$4,UWS!$G$3:$Z$3,0)),0)</f>
        <v>0</v>
      </c>
      <c r="AK52">
        <f>IF(OR($J52=0,COUNTIFS($A$4:$A51,"&gt;="&amp;$A52-1,$A$4:$A51,"&lt;="&amp;$A52,$B$4:$B51,$B52)&gt;0,MIN(AK$1,IF($A52=$A51,AK51,1))-P52&lt;0),-1,MIN(1,IF($A52=$A51,AK51,1)-P52+$D$3))</f>
        <v>1</v>
      </c>
      <c r="AL52">
        <f>IF(OR($J52=0,COUNTIFS($A$4:$A51,"&gt;="&amp;$A52-1,$A$4:$A51,"&lt;="&amp;$A52,$B$4:$B51,$B52)&gt;0,MIN(AL$1,IF($A52=$A51,AL51,1))-Q52&lt;0),-1,MIN(1,IF($A52=$A51,AL51,1)-Q52+$D$3))</f>
        <v>0.4</v>
      </c>
      <c r="AM52">
        <f>IF(OR($J52=0,COUNTIFS($A$4:$A51,"&gt;="&amp;$A52-1,$A$4:$A51,"&lt;="&amp;$A52,$B$4:$B51,$B52)&gt;0,MIN(AM$1,IF($A52=$A51,AM51,1))-R52&lt;0),-1,MIN(1,IF($A52=$A51,AM51,1)-R52+$D$3))</f>
        <v>0.70000000000000007</v>
      </c>
      <c r="AN52">
        <f>IF(OR($J52=0,COUNTIFS($A$4:$A51,"&gt;="&amp;$A52-1,$A$4:$A51,"&lt;="&amp;$A52,$B$4:$B51,$B52)&gt;0,MIN(AN$1,IF($A52=$A51,AN51,1))-S52&lt;0),-1,MIN(1,IF($A52=$A51,AN51,1)-S52+$D$3))</f>
        <v>0.70000000000000007</v>
      </c>
      <c r="AO52">
        <f>IF(OR($J52=0,COUNTIFS($A$4:$A51,"&gt;="&amp;$A52-1,$A$4:$A51,"&lt;="&amp;$A52,$B$4:$B51,$B52)&gt;0,MIN(AO$1,IF($A52=$A51,AO51,1))-T52&lt;0),-1,MIN(1,IF($A52=$A51,AO51,1)-T52+$D$3))</f>
        <v>0.8</v>
      </c>
      <c r="AP52">
        <f>IF(OR($J52=0,COUNTIFS($A$4:$A51,"&gt;="&amp;$A52-1,$A$4:$A51,"&lt;="&amp;$A52,$B$4:$B51,$B52)&gt;0,MIN(AP$1,IF($A52=$A51,AP51,1))-U52&lt;0),-1,MIN(1,IF($A52=$A51,AP51,1)-U52+$D$3))</f>
        <v>1</v>
      </c>
      <c r="AQ52">
        <f>IF(OR($J52=0,COUNTIFS($A$4:$A51,"&gt;="&amp;$A52-1,$A$4:$A51,"&lt;="&amp;$A52,$B$4:$B51,$B52)&gt;0,MIN(AQ$1,IF($A52=$A51,AQ51,1))-V52&lt;0),-1,MIN(1,IF($A52=$A51,AQ51,1)-V52+$D$3))</f>
        <v>1</v>
      </c>
      <c r="AR52">
        <f>IF(OR($J52=0,COUNTIFS($A$4:$A51,"&gt;="&amp;$A52-1,$A$4:$A51,"&lt;="&amp;$A52,$B$4:$B51,$B52)&gt;0,MIN(AR$1,IF($A52=$A51,AR51,1))-W52&lt;0),-1,MIN(1,IF($A52=$A51,AR51,1)-W52+$D$3))</f>
        <v>0.9</v>
      </c>
      <c r="AS52">
        <f>IF(OR($J52=0,COUNTIFS($A$4:$A51,"&gt;="&amp;$A52-1,$A$4:$A51,"&lt;="&amp;$A52,$B$4:$B51,$B52)&gt;0,MIN(AS$1,IF($A52=$A51,AS51,1))-X52&lt;0),-1,MIN(1,IF($A52=$A51,AS51,1)-X52+$D$3))</f>
        <v>0.5</v>
      </c>
      <c r="AT52">
        <f>IF(OR($J52=0,COUNTIFS($A$4:$A51,"&gt;="&amp;$A52-1,$A$4:$A51,"&lt;="&amp;$A52,$B$4:$B51,$B52)&gt;0,MIN(AT$1,IF($A52=$A51,AT51,1))-Y52&lt;0),-1,MIN(1,IF($A52=$A51,AT51,1)-Y52+$D$3))</f>
        <v>1</v>
      </c>
      <c r="AU52">
        <f>IF(OR($J52=0,COUNTIFS($A$4:$A51,"&gt;="&amp;$A52-1,$A$4:$A51,"&lt;="&amp;$A52,$B$4:$B51,$B52)&gt;0,MIN(AU$1,IF($A52=$A51,AU51,1))-Z52&lt;0),-1,MIN(1,IF($A52=$A51,AU51,1)-Z52+$D$3))</f>
        <v>0.4</v>
      </c>
      <c r="AV52">
        <f>IF(OR($J52=0,COUNTIFS($A$4:$A51,"&gt;="&amp;$A52-1,$A$4:$A51,"&lt;="&amp;$A52,$B$4:$B51,$B52)&gt;0,MIN(AV$1,IF($A52=$A51,AV51,1))-AA52&lt;0),-1,MIN(1,IF($A52=$A51,AV51,1)-AA52+$D$3))</f>
        <v>1</v>
      </c>
      <c r="AW52">
        <f>IF(OR($J52=0,COUNTIFS($A$4:$A51,"&gt;="&amp;$A52-1,$A$4:$A51,"&lt;="&amp;$A52,$B$4:$B51,$B52)&gt;0,MIN(AW$1,IF($A52=$A51,AW51,1))-AB52&lt;0),-1,MIN(1,IF($A52=$A51,AW51,1)-AB52+$D$3))</f>
        <v>1</v>
      </c>
      <c r="AX52">
        <f>IF(OR($J52=0,COUNTIFS($A$4:$A51,"&gt;="&amp;$A52-1,$A$4:$A51,"&lt;="&amp;$A52,$B$4:$B51,$B52)&gt;0,MIN(AX$1,IF($A52=$A51,AX51,1))-AC52&lt;0),-1,MIN(1,IF($A52=$A51,AX51,1)-AC52+$D$3))</f>
        <v>1</v>
      </c>
      <c r="AY52">
        <f>IF(OR($J52=0,COUNTIFS($A$4:$A51,"&gt;="&amp;$A52-1,$A$4:$A51,"&lt;="&amp;$A52,$B$4:$B51,$B52)&gt;0,MIN(AY$1,IF($A52=$A51,AY51,1))-AD52&lt;0),-1,MIN(1,IF($A52=$A51,AY51,1)-AD52+$D$3))</f>
        <v>1</v>
      </c>
      <c r="AZ52">
        <f>IF(OR($J52=0,COUNTIFS($A$4:$A51,"&gt;="&amp;$A52-1,$A$4:$A51,"&lt;="&amp;$A52,$B$4:$B51,$B52)&gt;0,MIN(AZ$1,IF($A52=$A51,AZ51,1))-AE52&lt;0),-1,MIN(1,IF($A52=$A51,AZ51,1)-AE52+$D$3))</f>
        <v>1</v>
      </c>
      <c r="BA52">
        <f>IF(OR($J52=0,COUNTIFS($A$4:$A51,"&gt;="&amp;$A52-1,$A$4:$A51,"&lt;="&amp;$A52,$B$4:$B51,$B52)&gt;0,MIN(BA$1,IF($A52=$A51,BA51,1))-AF52&lt;0),-1,MIN(1,IF($A52=$A51,BA51,1)-AF52+$D$3))</f>
        <v>0.8</v>
      </c>
      <c r="BB52">
        <f>IF(OR($J52=0,COUNTIFS($A$4:$A51,"&gt;="&amp;$A52-1,$A$4:$A51,"&lt;="&amp;$A52,$B$4:$B51,$B52)&gt;0,MIN(BB$1,IF($A52=$A51,BB51,1))-AG52&lt;0),-1,MIN(1,IF($A52=$A51,BB51,1)-AG52+$D$3))</f>
        <v>1</v>
      </c>
      <c r="BC52">
        <f>IF(OR($J52=0,COUNTIFS($A$4:$A51,"&gt;="&amp;$A52-1,$A$4:$A51,"&lt;="&amp;$A52,$B$4:$B51,$B52)&gt;0,MIN(BC$1,IF($A52=$A51,BC51,1))-AH52&lt;0),-1,MIN(1,IF($A52=$A51,BC51,1)-AH52+$D$3))</f>
        <v>1</v>
      </c>
      <c r="BD52">
        <f>IF(OR($J52=0,COUNTIFS($A$4:$A51,"&gt;="&amp;$A52-1,$A$4:$A51,"&lt;="&amp;$A52,$B$4:$B51,$B52)&gt;0,MIN(BD$1,IF($A52=$A51,BD51,1))-AI52&lt;0),-1,MIN(1,IF($A52=$A51,BD51,1)-AI52+$D$3))</f>
        <v>1</v>
      </c>
      <c r="BF52" s="44">
        <f t="shared" si="179"/>
        <v>9.722449159902001E-2</v>
      </c>
      <c r="BG52" s="44">
        <f t="shared" si="180"/>
        <v>0.20983521331402233</v>
      </c>
      <c r="BH52" s="44">
        <f t="shared" si="181"/>
        <v>0.28089167858953834</v>
      </c>
      <c r="BI52" s="44">
        <f t="shared" si="182"/>
        <v>0.24614415626215722</v>
      </c>
      <c r="BJ52" s="44">
        <f t="shared" si="183"/>
        <v>0.28407967770710435</v>
      </c>
      <c r="BK52" s="44">
        <f t="shared" si="184"/>
        <v>5.9253344678378998E-2</v>
      </c>
      <c r="BL52" s="44">
        <f t="shared" si="185"/>
        <v>5.0793185792631618E-2</v>
      </c>
      <c r="BM52" s="44">
        <f t="shared" si="186"/>
        <v>0.13896105661799873</v>
      </c>
      <c r="BN52" s="44">
        <f t="shared" si="187"/>
        <v>0.14333067591580312</v>
      </c>
      <c r="BO52" s="44">
        <f t="shared" si="188"/>
        <v>6.6651850524234543E-2</v>
      </c>
      <c r="BP52" s="44">
        <f t="shared" si="189"/>
        <v>0.28478736070323113</v>
      </c>
      <c r="BQ52" s="44">
        <f t="shared" si="190"/>
        <v>4.5503702832506682E-2</v>
      </c>
      <c r="BR52" s="44">
        <f t="shared" si="191"/>
        <v>0.19873748850274986</v>
      </c>
      <c r="BS52" s="44">
        <f t="shared" si="192"/>
        <v>9.9487984516851244E-2</v>
      </c>
      <c r="BT52" s="44">
        <f t="shared" si="193"/>
        <v>0.37569119532486112</v>
      </c>
      <c r="BU52" s="44">
        <f t="shared" si="194"/>
        <v>0.34698231836018351</v>
      </c>
      <c r="BV52" s="44">
        <f t="shared" si="195"/>
        <v>0.38734504894430766</v>
      </c>
      <c r="BW52" s="44">
        <f t="shared" si="196"/>
        <v>0.16976131696002827</v>
      </c>
      <c r="BX52" s="44">
        <f t="shared" si="197"/>
        <v>0.1439846345230108</v>
      </c>
      <c r="BY52" s="44">
        <f t="shared" si="198"/>
        <v>0.10653376410457506</v>
      </c>
      <c r="CA52" s="44">
        <f t="shared" si="199"/>
        <v>-0.40145203680822383</v>
      </c>
      <c r="CB52" s="44">
        <f t="shared" si="200"/>
        <v>-0.1387873743239274</v>
      </c>
      <c r="CC52" s="44">
        <f t="shared" si="201"/>
        <v>0.72926738244812683</v>
      </c>
      <c r="CD52" s="44">
        <f t="shared" si="202"/>
        <v>0.51534948611402687</v>
      </c>
      <c r="CE52" s="44">
        <f t="shared" si="203"/>
        <v>0.74889381964613366</v>
      </c>
      <c r="CF52" s="44">
        <f t="shared" si="204"/>
        <v>-0.81760784661227537</v>
      </c>
      <c r="CG52" s="44">
        <f t="shared" si="205"/>
        <v>-0.68729938927746925</v>
      </c>
      <c r="CH52" s="44">
        <f t="shared" si="206"/>
        <v>-0.42967143337561664</v>
      </c>
      <c r="CI52" s="44">
        <f t="shared" si="207"/>
        <v>-0.117606245902249</v>
      </c>
      <c r="CJ52" s="44">
        <f t="shared" si="208"/>
        <v>-0.58966790447433493</v>
      </c>
      <c r="CK52" s="44">
        <f t="shared" si="209"/>
        <v>0.75325056359974663</v>
      </c>
      <c r="CL52" s="44">
        <f t="shared" si="210"/>
        <v>-0.7198632957587483</v>
      </c>
      <c r="CM52" s="44">
        <f t="shared" si="211"/>
        <v>-0.18433502370460342</v>
      </c>
      <c r="CN52" s="44">
        <f t="shared" si="212"/>
        <v>-0.38751718301382709</v>
      </c>
      <c r="CO52" s="44">
        <f t="shared" si="213"/>
        <v>1.3128863525273089</v>
      </c>
      <c r="CP52" s="44">
        <f t="shared" si="214"/>
        <v>1.1361444683567949</v>
      </c>
      <c r="CQ52" s="44">
        <f t="shared" si="215"/>
        <v>0.58975436665501735</v>
      </c>
      <c r="CR52" s="44">
        <f t="shared" si="216"/>
        <v>4.5110021395089017E-2</v>
      </c>
      <c r="CS52" s="44">
        <f t="shared" si="217"/>
        <v>-0.11358024807065081</v>
      </c>
      <c r="CT52" s="44">
        <f t="shared" si="218"/>
        <v>-0.34414090043347378</v>
      </c>
      <c r="CV52" s="44">
        <f t="shared" si="219"/>
        <v>0.63210424827752509</v>
      </c>
    </row>
    <row r="53" spans="1:100" x14ac:dyDescent="0.25">
      <c r="A53" s="97">
        <v>45062</v>
      </c>
      <c r="B53" s="86">
        <v>27</v>
      </c>
      <c r="C53" s="43" t="str" cm="1">
        <f t="array" ref="C53">IF(B53="","",INDEX(UWS!$B$10:$B$41,B53))</f>
        <v>Cable adduction</v>
      </c>
      <c r="D53" s="40">
        <f t="shared" si="176"/>
        <v>0.4</v>
      </c>
      <c r="E53" s="69">
        <f t="shared" si="177"/>
        <v>1.0892868111466516</v>
      </c>
      <c r="F53" s="48" cm="1">
        <f t="array" ref="F53">0.1+IFERROR(INDEX($F$5:$F52,SUMPRODUCT(MAX(ROW($C$5:$C52)*($C53=$C$5:$C52))-ROW($A$4)))*0.9^($A53-INDEX($A$5:A52,SUMPRODUCT(MAX(ROW($C$5:$C52)*($C53=$C$5:$C52))-ROW($A$4)))),0)</f>
        <v>0.12058911320946492</v>
      </c>
      <c r="G53" s="55">
        <f>INDEX(UWS!$AB$10:$AB$41,MATCH(C53,UWS!$B$10:$B$41,0))</f>
        <v>1</v>
      </c>
      <c r="H53" s="48">
        <f>INDEX(UWS!$C$10:$C$41,MATCH(C53,UWS!$B$10:$B$41,0))</f>
        <v>1</v>
      </c>
      <c r="I53" s="27">
        <f t="shared" si="178"/>
        <v>3</v>
      </c>
      <c r="J53" s="27">
        <f>INDEX(UWS!$E$10:$E$41,MATCH(C53,UWS!$B$10:$B$41,0))</f>
        <v>1</v>
      </c>
      <c r="L53" s="108" t="str" cm="1">
        <f t="array" ref="L53">IF(K53="","",INDEX(UWS!$B$10:$B$41,K53))</f>
        <v/>
      </c>
      <c r="N53" s="108" t="str" cm="1">
        <f t="array" ref="N53">IF(M53="","",INDEX(UWS!$B$10:$B$41,M53))</f>
        <v/>
      </c>
      <c r="P53">
        <f>IFERROR(INDEX(UWS!$G$10:$Z$41,MATCH($C53,UWS!$B$10:$B$41,0),MATCH(P$4,UWS!$G$3:$Z$3,0)),0)</f>
        <v>0</v>
      </c>
      <c r="Q53">
        <f>IFERROR(INDEX(UWS!$G$10:$Z$41,MATCH($C53,UWS!$B$10:$B$41,0),MATCH(Q$4,UWS!$G$3:$Z$3,0)),0)</f>
        <v>0</v>
      </c>
      <c r="R53">
        <f>IFERROR(INDEX(UWS!$G$10:$Z$41,MATCH($C53,UWS!$B$10:$B$41,0),MATCH(R$4,UWS!$G$3:$Z$3,0)),0)</f>
        <v>0</v>
      </c>
      <c r="S53">
        <f>IFERROR(INDEX(UWS!$G$10:$Z$41,MATCH($C53,UWS!$B$10:$B$41,0),MATCH(S$4,UWS!$G$3:$Z$3,0)),0)</f>
        <v>0</v>
      </c>
      <c r="T53">
        <f>IFERROR(INDEX(UWS!$G$10:$Z$41,MATCH($C53,UWS!$B$10:$B$41,0),MATCH(T$4,UWS!$G$3:$Z$3,0)),0)</f>
        <v>0</v>
      </c>
      <c r="U53">
        <f>IFERROR(INDEX(UWS!$G$10:$Z$41,MATCH($C53,UWS!$B$10:$B$41,0),MATCH(U$4,UWS!$G$3:$Z$3,0)),0)</f>
        <v>0</v>
      </c>
      <c r="V53">
        <f>IFERROR(INDEX(UWS!$G$10:$Z$41,MATCH($C53,UWS!$B$10:$B$41,0),MATCH(V$4,UWS!$G$3:$Z$3,0)),0)</f>
        <v>0</v>
      </c>
      <c r="W53">
        <f>IFERROR(INDEX(UWS!$G$10:$Z$41,MATCH($C53,UWS!$B$10:$B$41,0),MATCH(W$4,UWS!$G$3:$Z$3,0)),0)</f>
        <v>0</v>
      </c>
      <c r="X53">
        <f>IFERROR(INDEX(UWS!$G$10:$Z$41,MATCH($C53,UWS!$B$10:$B$41,0),MATCH(X$4,UWS!$G$3:$Z$3,0)),0)</f>
        <v>0</v>
      </c>
      <c r="Y53">
        <f>IFERROR(INDEX(UWS!$G$10:$Z$41,MATCH($C53,UWS!$B$10:$B$41,0),MATCH(Y$4,UWS!$G$3:$Z$3,0)),0)</f>
        <v>0</v>
      </c>
      <c r="Z53">
        <f>IFERROR(INDEX(UWS!$G$10:$Z$41,MATCH($C53,UWS!$B$10:$B$41,0),MATCH(Z$4,UWS!$G$3:$Z$3,0)),0)</f>
        <v>0</v>
      </c>
      <c r="AA53">
        <f>IFERROR(INDEX(UWS!$G$10:$Z$41,MATCH($C53,UWS!$B$10:$B$41,0),MATCH(AA$4,UWS!$G$3:$Z$3,0)),0)</f>
        <v>0</v>
      </c>
      <c r="AB53">
        <f>IFERROR(INDEX(UWS!$G$10:$Z$41,MATCH($C53,UWS!$B$10:$B$41,0),MATCH(AB$4,UWS!$G$3:$Z$3,0)),0)</f>
        <v>0</v>
      </c>
      <c r="AC53">
        <f>IFERROR(INDEX(UWS!$G$10:$Z$41,MATCH($C53,UWS!$B$10:$B$41,0),MATCH(AC$4,UWS!$G$3:$Z$3,0)),0)</f>
        <v>0</v>
      </c>
      <c r="AD53">
        <f>IFERROR(INDEX(UWS!$G$10:$Z$41,MATCH($C53,UWS!$B$10:$B$41,0),MATCH(AD$4,UWS!$G$3:$Z$3,0)),0)</f>
        <v>0</v>
      </c>
      <c r="AE53">
        <f>IFERROR(INDEX(UWS!$G$10:$Z$41,MATCH($C53,UWS!$B$10:$B$41,0),MATCH(AE$4,UWS!$G$3:$Z$3,0)),0)</f>
        <v>0</v>
      </c>
      <c r="AF53">
        <f>IFERROR(INDEX(UWS!$G$10:$Z$41,MATCH($C53,UWS!$B$10:$B$41,0),MATCH(AF$4,UWS!$G$3:$Z$3,0)),0)</f>
        <v>0</v>
      </c>
      <c r="AG53">
        <f>IFERROR(INDEX(UWS!$G$10:$Z$41,MATCH($C53,UWS!$B$10:$B$41,0),MATCH(AG$4,UWS!$G$3:$Z$3,0)),0)</f>
        <v>0</v>
      </c>
      <c r="AH53">
        <f>IFERROR(INDEX(UWS!$G$10:$Z$41,MATCH($C53,UWS!$B$10:$B$41,0),MATCH(AH$4,UWS!$G$3:$Z$3,0)),0)</f>
        <v>1</v>
      </c>
      <c r="AI53">
        <f>IFERROR(INDEX(UWS!$G$10:$Z$41,MATCH($C53,UWS!$B$10:$B$41,0),MATCH(AI$4,UWS!$G$3:$Z$3,0)),0)</f>
        <v>0</v>
      </c>
      <c r="AK53">
        <f>IF(OR($J53=0,COUNTIFS($A$4:$A52,"&gt;="&amp;$A53-1,$A$4:$A52,"&lt;="&amp;$A53,$B$4:$B52,$B53)&gt;0,MIN(AK$1,IF($A53=$A52,AK52,1))-P53&lt;0),-1,MIN(1,IF($A53=$A52,AK52,1)-P53+$D$3))</f>
        <v>1</v>
      </c>
      <c r="AL53">
        <f>IF(OR($J53=0,COUNTIFS($A$4:$A52,"&gt;="&amp;$A53-1,$A$4:$A52,"&lt;="&amp;$A53,$B$4:$B52,$B53)&gt;0,MIN(AL$1,IF($A53=$A52,AL52,1))-Q53&lt;0),-1,MIN(1,IF($A53=$A52,AL52,1)-Q53+$D$3))</f>
        <v>0.8</v>
      </c>
      <c r="AM53">
        <f>IF(OR($J53=0,COUNTIFS($A$4:$A52,"&gt;="&amp;$A53-1,$A$4:$A52,"&lt;="&amp;$A53,$B$4:$B52,$B53)&gt;0,MIN(AM$1,IF($A53=$A52,AM52,1))-R53&lt;0),-1,MIN(1,IF($A53=$A52,AM52,1)-R53+$D$3))</f>
        <v>1</v>
      </c>
      <c r="AN53">
        <f>IF(OR($J53=0,COUNTIFS($A$4:$A52,"&gt;="&amp;$A53-1,$A$4:$A52,"&lt;="&amp;$A53,$B$4:$B52,$B53)&gt;0,MIN(AN$1,IF($A53=$A52,AN52,1))-S53&lt;0),-1,MIN(1,IF($A53=$A52,AN52,1)-S53+$D$3))</f>
        <v>1</v>
      </c>
      <c r="AO53">
        <f>IF(OR($J53=0,COUNTIFS($A$4:$A52,"&gt;="&amp;$A53-1,$A$4:$A52,"&lt;="&amp;$A53,$B$4:$B52,$B53)&gt;0,MIN(AO$1,IF($A53=$A52,AO52,1))-T53&lt;0),-1,MIN(1,IF($A53=$A52,AO52,1)-T53+$D$3))</f>
        <v>1</v>
      </c>
      <c r="AP53">
        <f>IF(OR($J53=0,COUNTIFS($A$4:$A52,"&gt;="&amp;$A53-1,$A$4:$A52,"&lt;="&amp;$A53,$B$4:$B52,$B53)&gt;0,MIN(AP$1,IF($A53=$A52,AP52,1))-U53&lt;0),-1,MIN(1,IF($A53=$A52,AP52,1)-U53+$D$3))</f>
        <v>1</v>
      </c>
      <c r="AQ53">
        <f>IF(OR($J53=0,COUNTIFS($A$4:$A52,"&gt;="&amp;$A53-1,$A$4:$A52,"&lt;="&amp;$A53,$B$4:$B52,$B53)&gt;0,MIN(AQ$1,IF($A53=$A52,AQ52,1))-V53&lt;0),-1,MIN(1,IF($A53=$A52,AQ52,1)-V53+$D$3))</f>
        <v>1</v>
      </c>
      <c r="AR53">
        <f>IF(OR($J53=0,COUNTIFS($A$4:$A52,"&gt;="&amp;$A53-1,$A$4:$A52,"&lt;="&amp;$A53,$B$4:$B52,$B53)&gt;0,MIN(AR$1,IF($A53=$A52,AR52,1))-W53&lt;0),-1,MIN(1,IF($A53=$A52,AR52,1)-W53+$D$3))</f>
        <v>1</v>
      </c>
      <c r="AS53">
        <f>IF(OR($J53=0,COUNTIFS($A$4:$A52,"&gt;="&amp;$A53-1,$A$4:$A52,"&lt;="&amp;$A53,$B$4:$B52,$B53)&gt;0,MIN(AS$1,IF($A53=$A52,AS52,1))-X53&lt;0),-1,MIN(1,IF($A53=$A52,AS52,1)-X53+$D$3))</f>
        <v>0.9</v>
      </c>
      <c r="AT53">
        <f>IF(OR($J53=0,COUNTIFS($A$4:$A52,"&gt;="&amp;$A53-1,$A$4:$A52,"&lt;="&amp;$A53,$B$4:$B52,$B53)&gt;0,MIN(AT$1,IF($A53=$A52,AT52,1))-Y53&lt;0),-1,MIN(1,IF($A53=$A52,AT52,1)-Y53+$D$3))</f>
        <v>1</v>
      </c>
      <c r="AU53">
        <f>IF(OR($J53=0,COUNTIFS($A$4:$A52,"&gt;="&amp;$A53-1,$A$4:$A52,"&lt;="&amp;$A53,$B$4:$B52,$B53)&gt;0,MIN(AU$1,IF($A53=$A52,AU52,1))-Z53&lt;0),-1,MIN(1,IF($A53=$A52,AU52,1)-Z53+$D$3))</f>
        <v>0.8</v>
      </c>
      <c r="AV53">
        <f>IF(OR($J53=0,COUNTIFS($A$4:$A52,"&gt;="&amp;$A53-1,$A$4:$A52,"&lt;="&amp;$A53,$B$4:$B52,$B53)&gt;0,MIN(AV$1,IF($A53=$A52,AV52,1))-AA53&lt;0),-1,MIN(1,IF($A53=$A52,AV52,1)-AA53+$D$3))</f>
        <v>1</v>
      </c>
      <c r="AW53">
        <f>IF(OR($J53=0,COUNTIFS($A$4:$A52,"&gt;="&amp;$A53-1,$A$4:$A52,"&lt;="&amp;$A53,$B$4:$B52,$B53)&gt;0,MIN(AW$1,IF($A53=$A52,AW52,1))-AB53&lt;0),-1,MIN(1,IF($A53=$A52,AW52,1)-AB53+$D$3))</f>
        <v>1</v>
      </c>
      <c r="AX53">
        <f>IF(OR($J53=0,COUNTIFS($A$4:$A52,"&gt;="&amp;$A53-1,$A$4:$A52,"&lt;="&amp;$A53,$B$4:$B52,$B53)&gt;0,MIN(AX$1,IF($A53=$A52,AX52,1))-AC53&lt;0),-1,MIN(1,IF($A53=$A52,AX52,1)-AC53+$D$3))</f>
        <v>1</v>
      </c>
      <c r="AY53">
        <f>IF(OR($J53=0,COUNTIFS($A$4:$A52,"&gt;="&amp;$A53-1,$A$4:$A52,"&lt;="&amp;$A53,$B$4:$B52,$B53)&gt;0,MIN(AY$1,IF($A53=$A52,AY52,1))-AD53&lt;0),-1,MIN(1,IF($A53=$A52,AY52,1)-AD53+$D$3))</f>
        <v>1</v>
      </c>
      <c r="AZ53">
        <f>IF(OR($J53=0,COUNTIFS($A$4:$A52,"&gt;="&amp;$A53-1,$A$4:$A52,"&lt;="&amp;$A53,$B$4:$B52,$B53)&gt;0,MIN(AZ$1,IF($A53=$A52,AZ52,1))-AE53&lt;0),-1,MIN(1,IF($A53=$A52,AZ52,1)-AE53+$D$3))</f>
        <v>1</v>
      </c>
      <c r="BA53">
        <f>IF(OR($J53=0,COUNTIFS($A$4:$A52,"&gt;="&amp;$A53-1,$A$4:$A52,"&lt;="&amp;$A53,$B$4:$B52,$B53)&gt;0,MIN(BA$1,IF($A53=$A52,BA52,1))-AF53&lt;0),-1,MIN(1,IF($A53=$A52,BA52,1)-AF53+$D$3))</f>
        <v>1</v>
      </c>
      <c r="BB53">
        <f>IF(OR($J53=0,COUNTIFS($A$4:$A52,"&gt;="&amp;$A53-1,$A$4:$A52,"&lt;="&amp;$A53,$B$4:$B52,$B53)&gt;0,MIN(BB$1,IF($A53=$A52,BB52,1))-AG53&lt;0),-1,MIN(1,IF($A53=$A52,BB52,1)-AG53+$D$3))</f>
        <v>1</v>
      </c>
      <c r="BC53">
        <f>IF(OR($J53=0,COUNTIFS($A$4:$A52,"&gt;="&amp;$A53-1,$A$4:$A52,"&lt;="&amp;$A53,$B$4:$B52,$B53)&gt;0,MIN(BC$1,IF($A53=$A52,BC52,1))-AH53&lt;0),-1,MIN(1,IF($A53=$A52,BC52,1)-AH53+$D$3))</f>
        <v>0.4</v>
      </c>
      <c r="BD53">
        <f>IF(OR($J53=0,COUNTIFS($A$4:$A52,"&gt;="&amp;$A53-1,$A$4:$A52,"&lt;="&amp;$A53,$B$4:$B52,$B53)&gt;0,MIN(BD$1,IF($A53=$A52,BD52,1))-AI53&lt;0),-1,MIN(1,IF($A53=$A52,BD52,1)-AI53+$D$3))</f>
        <v>1</v>
      </c>
      <c r="BF53" s="44">
        <f t="shared" si="179"/>
        <v>9.2363267019069009E-2</v>
      </c>
      <c r="BG53" s="44">
        <f t="shared" si="180"/>
        <v>0.19934345264832121</v>
      </c>
      <c r="BH53" s="44">
        <f t="shared" si="181"/>
        <v>0.2668470946600614</v>
      </c>
      <c r="BI53" s="44">
        <f t="shared" si="182"/>
        <v>0.23383694844904934</v>
      </c>
      <c r="BJ53" s="44">
        <f t="shared" si="183"/>
        <v>0.26987569382174914</v>
      </c>
      <c r="BK53" s="44">
        <f t="shared" si="184"/>
        <v>5.6290677444460042E-2</v>
      </c>
      <c r="BL53" s="44">
        <f t="shared" si="185"/>
        <v>4.8253526503000035E-2</v>
      </c>
      <c r="BM53" s="44">
        <f t="shared" si="186"/>
        <v>0.13201300378709879</v>
      </c>
      <c r="BN53" s="44">
        <f t="shared" si="187"/>
        <v>0.13616414212001296</v>
      </c>
      <c r="BO53" s="44">
        <f t="shared" si="188"/>
        <v>6.3319257998022807E-2</v>
      </c>
      <c r="BP53" s="44">
        <f t="shared" si="189"/>
        <v>0.27054799266806956</v>
      </c>
      <c r="BQ53" s="44">
        <f t="shared" si="190"/>
        <v>4.3228517690881346E-2</v>
      </c>
      <c r="BR53" s="44">
        <f t="shared" si="191"/>
        <v>0.18880061407761237</v>
      </c>
      <c r="BS53" s="44">
        <f t="shared" si="192"/>
        <v>9.4513585291008673E-2</v>
      </c>
      <c r="BT53" s="44">
        <f t="shared" si="193"/>
        <v>0.35690663555861807</v>
      </c>
      <c r="BU53" s="44">
        <f t="shared" si="194"/>
        <v>0.32963320244217431</v>
      </c>
      <c r="BV53" s="44">
        <f t="shared" si="195"/>
        <v>0.36797779649709228</v>
      </c>
      <c r="BW53" s="44">
        <f t="shared" si="196"/>
        <v>0.16127325111202687</v>
      </c>
      <c r="BX53" s="44">
        <f t="shared" si="197"/>
        <v>0.18678540279686023</v>
      </c>
      <c r="BY53" s="44">
        <f t="shared" si="198"/>
        <v>0.1012070758993463</v>
      </c>
      <c r="CA53" s="44">
        <f t="shared" si="199"/>
        <v>-0.40976709431938607</v>
      </c>
      <c r="CB53" s="44">
        <f t="shared" si="200"/>
        <v>-0.15075138214319905</v>
      </c>
      <c r="CC53" s="44">
        <f t="shared" si="201"/>
        <v>0.70524431559053191</v>
      </c>
      <c r="CD53" s="44">
        <f t="shared" si="202"/>
        <v>0.49429817711055546</v>
      </c>
      <c r="CE53" s="44">
        <f t="shared" si="203"/>
        <v>0.72459810136530045</v>
      </c>
      <c r="CF53" s="44">
        <f t="shared" si="204"/>
        <v>-0.82014164730707062</v>
      </c>
      <c r="CG53" s="44">
        <f t="shared" si="205"/>
        <v>-0.69164344142003797</v>
      </c>
      <c r="CH53" s="44">
        <f t="shared" si="206"/>
        <v>-0.43759446565268245</v>
      </c>
      <c r="CI53" s="44">
        <f t="shared" si="207"/>
        <v>-0.12986450299110031</v>
      </c>
      <c r="CJ53" s="44">
        <f t="shared" si="208"/>
        <v>-0.59536825796777493</v>
      </c>
      <c r="CK53" s="44">
        <f t="shared" si="209"/>
        <v>0.72889432121931996</v>
      </c>
      <c r="CL53" s="44">
        <f t="shared" si="210"/>
        <v>-0.72375496852350407</v>
      </c>
      <c r="CM53" s="44">
        <f t="shared" si="211"/>
        <v>-0.19566628135615427</v>
      </c>
      <c r="CN53" s="44">
        <f t="shared" si="212"/>
        <v>-0.39602582419386057</v>
      </c>
      <c r="CO53" s="44">
        <f t="shared" si="213"/>
        <v>1.280755622459341</v>
      </c>
      <c r="CP53" s="44">
        <f t="shared" si="214"/>
        <v>1.1064690451679486</v>
      </c>
      <c r="CQ53" s="44">
        <f t="shared" si="215"/>
        <v>0.56766942142044097</v>
      </c>
      <c r="CR53" s="44">
        <f t="shared" si="216"/>
        <v>3.0591301981106378E-2</v>
      </c>
      <c r="CS53" s="44">
        <f t="shared" si="217"/>
        <v>0.19362268778077629</v>
      </c>
      <c r="CT53" s="44">
        <f t="shared" si="218"/>
        <v>-0.35325212704768483</v>
      </c>
      <c r="CV53" s="44">
        <f t="shared" si="219"/>
        <v>0.62335774589623327</v>
      </c>
    </row>
    <row r="54" spans="1:100" x14ac:dyDescent="0.25">
      <c r="A54" s="97">
        <v>45062</v>
      </c>
      <c r="B54" s="86">
        <v>11</v>
      </c>
      <c r="C54" s="43" t="str" cm="1">
        <f t="array" ref="C54">IF(B54="","",INDEX(UWS!$B$10:$B$41,B54))</f>
        <v>Calf press</v>
      </c>
      <c r="D54" s="40">
        <f t="shared" si="176"/>
        <v>0.4</v>
      </c>
      <c r="E54" s="69">
        <f t="shared" si="177"/>
        <v>1.8016890993868331</v>
      </c>
      <c r="F54" s="48" cm="1">
        <f t="array" ref="F54">0.1+IFERROR(INDEX($F$5:$F53,SUMPRODUCT(MAX(ROW($C$5:$C53)*($C54=$C$5:$C53))-ROW($A$4)))*0.9^($A54-INDEX($A$5:A53,SUMPRODUCT(MAX(ROW($C$5:$C53)*($C54=$C$5:$C53))-ROW($A$4)))),0)</f>
        <v>0.12824295364810001</v>
      </c>
      <c r="G54" s="55">
        <f>INDEX(UWS!$AB$10:$AB$41,MATCH(C54,UWS!$B$10:$B$41,0))</f>
        <v>1</v>
      </c>
      <c r="H54" s="48">
        <f>INDEX(UWS!$C$10:$C$41,MATCH(C54,UWS!$B$10:$B$41,0))</f>
        <v>1</v>
      </c>
      <c r="I54" s="27">
        <f t="shared" si="178"/>
        <v>4</v>
      </c>
      <c r="J54" s="27">
        <f>INDEX(UWS!$E$10:$E$41,MATCH(C54,UWS!$B$10:$B$41,0))</f>
        <v>1</v>
      </c>
      <c r="L54" s="108" t="str" cm="1">
        <f t="array" ref="L54">IF(K54="","",INDEX(UWS!$B$10:$B$41,K54))</f>
        <v/>
      </c>
      <c r="N54" s="108" t="str" cm="1">
        <f t="array" ref="N54">IF(M54="","",INDEX(UWS!$B$10:$B$41,M54))</f>
        <v/>
      </c>
      <c r="P54">
        <f>IFERROR(INDEX(UWS!$G$10:$Z$41,MATCH($C54,UWS!$B$10:$B$41,0),MATCH(P$4,UWS!$G$3:$Z$3,0)),0)</f>
        <v>0</v>
      </c>
      <c r="Q54">
        <f>IFERROR(INDEX(UWS!$G$10:$Z$41,MATCH($C54,UWS!$B$10:$B$41,0),MATCH(Q$4,UWS!$G$3:$Z$3,0)),0)</f>
        <v>0</v>
      </c>
      <c r="R54">
        <f>IFERROR(INDEX(UWS!$G$10:$Z$41,MATCH($C54,UWS!$B$10:$B$41,0),MATCH(R$4,UWS!$G$3:$Z$3,0)),0)</f>
        <v>0</v>
      </c>
      <c r="S54">
        <f>IFERROR(INDEX(UWS!$G$10:$Z$41,MATCH($C54,UWS!$B$10:$B$41,0),MATCH(S$4,UWS!$G$3:$Z$3,0)),0)</f>
        <v>0</v>
      </c>
      <c r="T54">
        <f>IFERROR(INDEX(UWS!$G$10:$Z$41,MATCH($C54,UWS!$B$10:$B$41,0),MATCH(T$4,UWS!$G$3:$Z$3,0)),0)</f>
        <v>0</v>
      </c>
      <c r="U54">
        <f>IFERROR(INDEX(UWS!$G$10:$Z$41,MATCH($C54,UWS!$B$10:$B$41,0),MATCH(U$4,UWS!$G$3:$Z$3,0)),0)</f>
        <v>0</v>
      </c>
      <c r="V54">
        <f>IFERROR(INDEX(UWS!$G$10:$Z$41,MATCH($C54,UWS!$B$10:$B$41,0),MATCH(V$4,UWS!$G$3:$Z$3,0)),0)</f>
        <v>0</v>
      </c>
      <c r="W54">
        <f>IFERROR(INDEX(UWS!$G$10:$Z$41,MATCH($C54,UWS!$B$10:$B$41,0),MATCH(W$4,UWS!$G$3:$Z$3,0)),0)</f>
        <v>0</v>
      </c>
      <c r="X54">
        <f>IFERROR(INDEX(UWS!$G$10:$Z$41,MATCH($C54,UWS!$B$10:$B$41,0),MATCH(X$4,UWS!$G$3:$Z$3,0)),0)</f>
        <v>0</v>
      </c>
      <c r="Y54">
        <f>IFERROR(INDEX(UWS!$G$10:$Z$41,MATCH($C54,UWS!$B$10:$B$41,0),MATCH(Y$4,UWS!$G$3:$Z$3,0)),0)</f>
        <v>0</v>
      </c>
      <c r="Z54">
        <f>IFERROR(INDEX(UWS!$G$10:$Z$41,MATCH($C54,UWS!$B$10:$B$41,0),MATCH(Z$4,UWS!$G$3:$Z$3,0)),0)</f>
        <v>0</v>
      </c>
      <c r="AA54">
        <f>IFERROR(INDEX(UWS!$G$10:$Z$41,MATCH($C54,UWS!$B$10:$B$41,0),MATCH(AA$4,UWS!$G$3:$Z$3,0)),0)</f>
        <v>0</v>
      </c>
      <c r="AB54">
        <f>IFERROR(INDEX(UWS!$G$10:$Z$41,MATCH($C54,UWS!$B$10:$B$41,0),MATCH(AB$4,UWS!$G$3:$Z$3,0)),0)</f>
        <v>0</v>
      </c>
      <c r="AC54">
        <f>IFERROR(INDEX(UWS!$G$10:$Z$41,MATCH($C54,UWS!$B$10:$B$41,0),MATCH(AC$4,UWS!$G$3:$Z$3,0)),0)</f>
        <v>0</v>
      </c>
      <c r="AD54">
        <f>IFERROR(INDEX(UWS!$G$10:$Z$41,MATCH($C54,UWS!$B$10:$B$41,0),MATCH(AD$4,UWS!$G$3:$Z$3,0)),0)</f>
        <v>0</v>
      </c>
      <c r="AE54">
        <f>IFERROR(INDEX(UWS!$G$10:$Z$41,MATCH($C54,UWS!$B$10:$B$41,0),MATCH(AE$4,UWS!$G$3:$Z$3,0)),0)</f>
        <v>0</v>
      </c>
      <c r="AF54">
        <f>IFERROR(INDEX(UWS!$G$10:$Z$41,MATCH($C54,UWS!$B$10:$B$41,0),MATCH(AF$4,UWS!$G$3:$Z$3,0)),0)</f>
        <v>0</v>
      </c>
      <c r="AG54">
        <f>IFERROR(INDEX(UWS!$G$10:$Z$41,MATCH($C54,UWS!$B$10:$B$41,0),MATCH(AG$4,UWS!$G$3:$Z$3,0)),0)</f>
        <v>1</v>
      </c>
      <c r="AH54">
        <f>IFERROR(INDEX(UWS!$G$10:$Z$41,MATCH($C54,UWS!$B$10:$B$41,0),MATCH(AH$4,UWS!$G$3:$Z$3,0)),0)</f>
        <v>0</v>
      </c>
      <c r="AI54">
        <f>IFERROR(INDEX(UWS!$G$10:$Z$41,MATCH($C54,UWS!$B$10:$B$41,0),MATCH(AI$4,UWS!$G$3:$Z$3,0)),0)</f>
        <v>0</v>
      </c>
      <c r="AK54">
        <f>IF(OR($J54=0,COUNTIFS($A$4:$A53,"&gt;="&amp;$A54-1,$A$4:$A53,"&lt;="&amp;$A54,$B$4:$B53,$B54)&gt;0,MIN(AK$1,IF($A54=$A53,AK53,1))-P54&lt;0),-1,MIN(1,IF($A54=$A53,AK53,1)-P54+$D$3))</f>
        <v>1</v>
      </c>
      <c r="AL54">
        <f>IF(OR($J54=0,COUNTIFS($A$4:$A53,"&gt;="&amp;$A54-1,$A$4:$A53,"&lt;="&amp;$A54,$B$4:$B53,$B54)&gt;0,MIN(AL$1,IF($A54=$A53,AL53,1))-Q54&lt;0),-1,MIN(1,IF($A54=$A53,AL53,1)-Q54+$D$3))</f>
        <v>1</v>
      </c>
      <c r="AM54">
        <f>IF(OR($J54=0,COUNTIFS($A$4:$A53,"&gt;="&amp;$A54-1,$A$4:$A53,"&lt;="&amp;$A54,$B$4:$B53,$B54)&gt;0,MIN(AM$1,IF($A54=$A53,AM53,1))-R54&lt;0),-1,MIN(1,IF($A54=$A53,AM53,1)-R54+$D$3))</f>
        <v>1</v>
      </c>
      <c r="AN54">
        <f>IF(OR($J54=0,COUNTIFS($A$4:$A53,"&gt;="&amp;$A54-1,$A$4:$A53,"&lt;="&amp;$A54,$B$4:$B53,$B54)&gt;0,MIN(AN$1,IF($A54=$A53,AN53,1))-S54&lt;0),-1,MIN(1,IF($A54=$A53,AN53,1)-S54+$D$3))</f>
        <v>1</v>
      </c>
      <c r="AO54">
        <f>IF(OR($J54=0,COUNTIFS($A$4:$A53,"&gt;="&amp;$A54-1,$A$4:$A53,"&lt;="&amp;$A54,$B$4:$B53,$B54)&gt;0,MIN(AO$1,IF($A54=$A53,AO53,1))-T54&lt;0),-1,MIN(1,IF($A54=$A53,AO53,1)-T54+$D$3))</f>
        <v>1</v>
      </c>
      <c r="AP54">
        <f>IF(OR($J54=0,COUNTIFS($A$4:$A53,"&gt;="&amp;$A54-1,$A$4:$A53,"&lt;="&amp;$A54,$B$4:$B53,$B54)&gt;0,MIN(AP$1,IF($A54=$A53,AP53,1))-U54&lt;0),-1,MIN(1,IF($A54=$A53,AP53,1)-U54+$D$3))</f>
        <v>1</v>
      </c>
      <c r="AQ54">
        <f>IF(OR($J54=0,COUNTIFS($A$4:$A53,"&gt;="&amp;$A54-1,$A$4:$A53,"&lt;="&amp;$A54,$B$4:$B53,$B54)&gt;0,MIN(AQ$1,IF($A54=$A53,AQ53,1))-V54&lt;0),-1,MIN(1,IF($A54=$A53,AQ53,1)-V54+$D$3))</f>
        <v>1</v>
      </c>
      <c r="AR54">
        <f>IF(OR($J54=0,COUNTIFS($A$4:$A53,"&gt;="&amp;$A54-1,$A$4:$A53,"&lt;="&amp;$A54,$B$4:$B53,$B54)&gt;0,MIN(AR$1,IF($A54=$A53,AR53,1))-W54&lt;0),-1,MIN(1,IF($A54=$A53,AR53,1)-W54+$D$3))</f>
        <v>1</v>
      </c>
      <c r="AS54">
        <f>IF(OR($J54=0,COUNTIFS($A$4:$A53,"&gt;="&amp;$A54-1,$A$4:$A53,"&lt;="&amp;$A54,$B$4:$B53,$B54)&gt;0,MIN(AS$1,IF($A54=$A53,AS53,1))-X54&lt;0),-1,MIN(1,IF($A54=$A53,AS53,1)-X54+$D$3))</f>
        <v>1</v>
      </c>
      <c r="AT54">
        <f>IF(OR($J54=0,COUNTIFS($A$4:$A53,"&gt;="&amp;$A54-1,$A$4:$A53,"&lt;="&amp;$A54,$B$4:$B53,$B54)&gt;0,MIN(AT$1,IF($A54=$A53,AT53,1))-Y54&lt;0),-1,MIN(1,IF($A54=$A53,AT53,1)-Y54+$D$3))</f>
        <v>1</v>
      </c>
      <c r="AU54">
        <f>IF(OR($J54=0,COUNTIFS($A$4:$A53,"&gt;="&amp;$A54-1,$A$4:$A53,"&lt;="&amp;$A54,$B$4:$B53,$B54)&gt;0,MIN(AU$1,IF($A54=$A53,AU53,1))-Z54&lt;0),-1,MIN(1,IF($A54=$A53,AU53,1)-Z54+$D$3))</f>
        <v>1</v>
      </c>
      <c r="AV54">
        <f>IF(OR($J54=0,COUNTIFS($A$4:$A53,"&gt;="&amp;$A54-1,$A$4:$A53,"&lt;="&amp;$A54,$B$4:$B53,$B54)&gt;0,MIN(AV$1,IF($A54=$A53,AV53,1))-AA54&lt;0),-1,MIN(1,IF($A54=$A53,AV53,1)-AA54+$D$3))</f>
        <v>1</v>
      </c>
      <c r="AW54">
        <f>IF(OR($J54=0,COUNTIFS($A$4:$A53,"&gt;="&amp;$A54-1,$A$4:$A53,"&lt;="&amp;$A54,$B$4:$B53,$B54)&gt;0,MIN(AW$1,IF($A54=$A53,AW53,1))-AB54&lt;0),-1,MIN(1,IF($A54=$A53,AW53,1)-AB54+$D$3))</f>
        <v>1</v>
      </c>
      <c r="AX54">
        <f>IF(OR($J54=0,COUNTIFS($A$4:$A53,"&gt;="&amp;$A54-1,$A$4:$A53,"&lt;="&amp;$A54,$B$4:$B53,$B54)&gt;0,MIN(AX$1,IF($A54=$A53,AX53,1))-AC54&lt;0),-1,MIN(1,IF($A54=$A53,AX53,1)-AC54+$D$3))</f>
        <v>1</v>
      </c>
      <c r="AY54">
        <f>IF(OR($J54=0,COUNTIFS($A$4:$A53,"&gt;="&amp;$A54-1,$A$4:$A53,"&lt;="&amp;$A54,$B$4:$B53,$B54)&gt;0,MIN(AY$1,IF($A54=$A53,AY53,1))-AD54&lt;0),-1,MIN(1,IF($A54=$A53,AY53,1)-AD54+$D$3))</f>
        <v>1</v>
      </c>
      <c r="AZ54">
        <f>IF(OR($J54=0,COUNTIFS($A$4:$A53,"&gt;="&amp;$A54-1,$A$4:$A53,"&lt;="&amp;$A54,$B$4:$B53,$B54)&gt;0,MIN(AZ$1,IF($A54=$A53,AZ53,1))-AE54&lt;0),-1,MIN(1,IF($A54=$A53,AZ53,1)-AE54+$D$3))</f>
        <v>1</v>
      </c>
      <c r="BA54">
        <f>IF(OR($J54=0,COUNTIFS($A$4:$A53,"&gt;="&amp;$A54-1,$A$4:$A53,"&lt;="&amp;$A54,$B$4:$B53,$B54)&gt;0,MIN(BA$1,IF($A54=$A53,BA53,1))-AF54&lt;0),-1,MIN(1,IF($A54=$A53,BA53,1)-AF54+$D$3))</f>
        <v>1</v>
      </c>
      <c r="BB54">
        <f>IF(OR($J54=0,COUNTIFS($A$4:$A53,"&gt;="&amp;$A54-1,$A$4:$A53,"&lt;="&amp;$A54,$B$4:$B53,$B54)&gt;0,MIN(BB$1,IF($A54=$A53,BB53,1))-AG54&lt;0),-1,MIN(1,IF($A54=$A53,BB53,1)-AG54+$D$3))</f>
        <v>0.4</v>
      </c>
      <c r="BC54">
        <f>IF(OR($J54=0,COUNTIFS($A$4:$A53,"&gt;="&amp;$A54-1,$A$4:$A53,"&lt;="&amp;$A54,$B$4:$B53,$B54)&gt;0,MIN(BC$1,IF($A54=$A53,BC53,1))-AH54&lt;0),-1,MIN(1,IF($A54=$A53,BC53,1)-AH54+$D$3))</f>
        <v>0.8</v>
      </c>
      <c r="BD54">
        <f>IF(OR($J54=0,COUNTIFS($A$4:$A53,"&gt;="&amp;$A54-1,$A$4:$A53,"&lt;="&amp;$A54,$B$4:$B53,$B54)&gt;0,MIN(BD$1,IF($A54=$A53,BD53,1))-AI54&lt;0),-1,MIN(1,IF($A54=$A53,BD53,1)-AI54+$D$3))</f>
        <v>1</v>
      </c>
      <c r="BF54" s="44">
        <f t="shared" si="179"/>
        <v>8.7745103668115554E-2</v>
      </c>
      <c r="BG54" s="44">
        <f t="shared" si="180"/>
        <v>0.18937628001590515</v>
      </c>
      <c r="BH54" s="44">
        <f t="shared" si="181"/>
        <v>0.2535047399270583</v>
      </c>
      <c r="BI54" s="44">
        <f t="shared" si="182"/>
        <v>0.22214510102659688</v>
      </c>
      <c r="BJ54" s="44">
        <f t="shared" si="183"/>
        <v>0.25638190913066167</v>
      </c>
      <c r="BK54" s="44">
        <f t="shared" si="184"/>
        <v>5.3476143572237039E-2</v>
      </c>
      <c r="BL54" s="44">
        <f t="shared" si="185"/>
        <v>4.5840850177850029E-2</v>
      </c>
      <c r="BM54" s="44">
        <f t="shared" si="186"/>
        <v>0.12541235359774386</v>
      </c>
      <c r="BN54" s="44">
        <f t="shared" si="187"/>
        <v>0.1293559350140123</v>
      </c>
      <c r="BO54" s="44">
        <f t="shared" si="188"/>
        <v>6.0153295098121666E-2</v>
      </c>
      <c r="BP54" s="44">
        <f t="shared" si="189"/>
        <v>0.25702059303466607</v>
      </c>
      <c r="BQ54" s="44">
        <f t="shared" si="190"/>
        <v>4.1067091806337275E-2</v>
      </c>
      <c r="BR54" s="44">
        <f t="shared" si="191"/>
        <v>0.17936058337373173</v>
      </c>
      <c r="BS54" s="44">
        <f t="shared" si="192"/>
        <v>8.9787906026458239E-2</v>
      </c>
      <c r="BT54" s="44">
        <f t="shared" si="193"/>
        <v>0.33906130378068716</v>
      </c>
      <c r="BU54" s="44">
        <f t="shared" si="194"/>
        <v>0.31315154232006559</v>
      </c>
      <c r="BV54" s="44">
        <f t="shared" si="195"/>
        <v>0.34957890667223768</v>
      </c>
      <c r="BW54" s="44">
        <f t="shared" si="196"/>
        <v>0.20320958855642551</v>
      </c>
      <c r="BX54" s="44">
        <f t="shared" si="197"/>
        <v>0.17744613265701722</v>
      </c>
      <c r="BY54" s="44">
        <f t="shared" si="198"/>
        <v>9.6146722104378982E-2</v>
      </c>
      <c r="CA54" s="44">
        <f t="shared" si="199"/>
        <v>-0.41827379829803646</v>
      </c>
      <c r="CB54" s="44">
        <f t="shared" si="200"/>
        <v>-0.16299113788513819</v>
      </c>
      <c r="CC54" s="44">
        <f t="shared" si="201"/>
        <v>0.68066756213542301</v>
      </c>
      <c r="CD54" s="44">
        <f t="shared" si="202"/>
        <v>0.47276167494983956</v>
      </c>
      <c r="CE54" s="44">
        <f t="shared" si="203"/>
        <v>0.69974241238344015</v>
      </c>
      <c r="CF54" s="44">
        <f t="shared" si="204"/>
        <v>-0.82273384735169908</v>
      </c>
      <c r="CG54" s="44">
        <f t="shared" si="205"/>
        <v>-0.69608761581029899</v>
      </c>
      <c r="CH54" s="44">
        <f t="shared" si="206"/>
        <v>-0.44570010895145862</v>
      </c>
      <c r="CI54" s="44">
        <f t="shared" si="207"/>
        <v>-0.14240528989594958</v>
      </c>
      <c r="CJ54" s="44">
        <f t="shared" si="208"/>
        <v>-0.60119999390913959</v>
      </c>
      <c r="CK54" s="44">
        <f t="shared" si="209"/>
        <v>0.70397671317098021</v>
      </c>
      <c r="CL54" s="44">
        <f t="shared" si="210"/>
        <v>-0.72773633704045193</v>
      </c>
      <c r="CM54" s="44">
        <f t="shared" si="211"/>
        <v>-0.20725870322673823</v>
      </c>
      <c r="CN54" s="44">
        <f t="shared" si="212"/>
        <v>-0.40473057358157483</v>
      </c>
      <c r="CO54" s="44">
        <f t="shared" si="213"/>
        <v>1.2478843393757062</v>
      </c>
      <c r="CP54" s="44">
        <f t="shared" si="214"/>
        <v>1.0761096591781572</v>
      </c>
      <c r="CQ54" s="44">
        <f t="shared" si="215"/>
        <v>0.54507545965372484</v>
      </c>
      <c r="CR54" s="44">
        <f t="shared" si="216"/>
        <v>0.34722437103124348</v>
      </c>
      <c r="CS54" s="44">
        <f t="shared" si="217"/>
        <v>0.17641965696119954</v>
      </c>
      <c r="CT54" s="44">
        <f t="shared" si="218"/>
        <v>-0.36257335033272509</v>
      </c>
      <c r="CV54" s="44">
        <f t="shared" si="219"/>
        <v>0.6183525598260492</v>
      </c>
    </row>
    <row r="55" spans="1:100" x14ac:dyDescent="0.25">
      <c r="A55" s="98">
        <v>45062</v>
      </c>
      <c r="B55" s="57">
        <v>1</v>
      </c>
      <c r="C55" s="51" t="str" cm="1">
        <f t="array" ref="C55">IF(B55="","",INDEX(UWS!$B$10:$B$41,B55))</f>
        <v>Rowing machine</v>
      </c>
      <c r="D55" s="45">
        <f t="shared" si="176"/>
        <v>0.4</v>
      </c>
      <c r="E55" s="70">
        <f t="shared" si="177"/>
        <v>1.0542644787876088</v>
      </c>
      <c r="F55" s="52" cm="1">
        <f t="array" ref="F55">0.1+IFERROR(INDEX($F$5:$F54,SUMPRODUCT(MAX(ROW($C$5:$C54)*($C55=$C$5:$C54))-ROW($A$4)))*0.9^($A55-INDEX($A$5:A54,SUMPRODUCT(MAX(ROW($C$5:$C54)*($C55=$C$5:$C54))-ROW($A$4)))),0)</f>
        <v>0.14883206685756495</v>
      </c>
      <c r="G55" s="56">
        <f>INDEX(UWS!$AB$10:$AB$41,MATCH(C55,UWS!$B$10:$B$41,0))</f>
        <v>8.2000000000000011</v>
      </c>
      <c r="H55" s="52">
        <f>INDEX(UWS!$C$10:$C$41,MATCH(C55,UWS!$B$10:$B$41,0))</f>
        <v>1.1000000000000001</v>
      </c>
      <c r="I55" s="46">
        <f t="shared" si="178"/>
        <v>5</v>
      </c>
      <c r="J55" s="46">
        <f>INDEX(UWS!$E$10:$E$41,MATCH(C55,UWS!$B$10:$B$41,0))</f>
        <v>1</v>
      </c>
      <c r="K55" s="46"/>
      <c r="L55" s="109" t="str" cm="1">
        <f t="array" ref="L55">IF(K55="","",INDEX(UWS!$B$10:$B$41,K55))</f>
        <v/>
      </c>
      <c r="M55" s="46"/>
      <c r="N55" s="109" t="str" cm="1">
        <f t="array" ref="N55">IF(M55="","",INDEX(UWS!$B$10:$B$41,M55))</f>
        <v/>
      </c>
      <c r="O55" s="47"/>
      <c r="P55" s="47">
        <f>IFERROR(INDEX(UWS!$G$10:$Z$41,MATCH($C55,UWS!$B$10:$B$41,0),MATCH(P$4,UWS!$G$3:$Z$3,0)),0)</f>
        <v>0</v>
      </c>
      <c r="Q55" s="47">
        <f>IFERROR(INDEX(UWS!$G$10:$Z$41,MATCH($C55,UWS!$B$10:$B$41,0),MATCH(Q$4,UWS!$G$3:$Z$3,0)),0)</f>
        <v>1</v>
      </c>
      <c r="R55" s="47">
        <f>IFERROR(INDEX(UWS!$G$10:$Z$41,MATCH($C55,UWS!$B$10:$B$41,0),MATCH(R$4,UWS!$G$3:$Z$3,0)),0)</f>
        <v>0.8</v>
      </c>
      <c r="S55" s="47">
        <f>IFERROR(INDEX(UWS!$G$10:$Z$41,MATCH($C55,UWS!$B$10:$B$41,0),MATCH(S$4,UWS!$G$3:$Z$3,0)),0)</f>
        <v>0.8</v>
      </c>
      <c r="T55" s="47">
        <f>IFERROR(INDEX(UWS!$G$10:$Z$41,MATCH($C55,UWS!$B$10:$B$41,0),MATCH(T$4,UWS!$G$3:$Z$3,0)),0)</f>
        <v>0.7</v>
      </c>
      <c r="U55" s="47">
        <f>IFERROR(INDEX(UWS!$G$10:$Z$41,MATCH($C55,UWS!$B$10:$B$41,0),MATCH(U$4,UWS!$G$3:$Z$3,0)),0)</f>
        <v>0.6</v>
      </c>
      <c r="V55" s="47">
        <f>IFERROR(INDEX(UWS!$G$10:$Z$41,MATCH($C55,UWS!$B$10:$B$41,0),MATCH(V$4,UWS!$G$3:$Z$3,0)),0)</f>
        <v>0</v>
      </c>
      <c r="W55" s="47">
        <f>IFERROR(INDEX(UWS!$G$10:$Z$41,MATCH($C55,UWS!$B$10:$B$41,0),MATCH(W$4,UWS!$G$3:$Z$3,0)),0)</f>
        <v>0.6</v>
      </c>
      <c r="X55" s="47">
        <f>IFERROR(INDEX(UWS!$G$10:$Z$41,MATCH($C55,UWS!$B$10:$B$41,0),MATCH(X$4,UWS!$G$3:$Z$3,0)),0)</f>
        <v>0.4</v>
      </c>
      <c r="Y55" s="47">
        <f>IFERROR(INDEX(UWS!$G$10:$Z$41,MATCH($C55,UWS!$B$10:$B$41,0),MATCH(Y$4,UWS!$G$3:$Z$3,0)),0)</f>
        <v>0</v>
      </c>
      <c r="Z55" s="47">
        <f>IFERROR(INDEX(UWS!$G$10:$Z$41,MATCH($C55,UWS!$B$10:$B$41,0),MATCH(Z$4,UWS!$G$3:$Z$3,0)),0)</f>
        <v>0</v>
      </c>
      <c r="AA55" s="47">
        <f>IFERROR(INDEX(UWS!$G$10:$Z$41,MATCH($C55,UWS!$B$10:$B$41,0),MATCH(AA$4,UWS!$G$3:$Z$3,0)),0)</f>
        <v>0</v>
      </c>
      <c r="AB55" s="47">
        <f>IFERROR(INDEX(UWS!$G$10:$Z$41,MATCH($C55,UWS!$B$10:$B$41,0),MATCH(AB$4,UWS!$G$3:$Z$3,0)),0)</f>
        <v>0</v>
      </c>
      <c r="AC55" s="47">
        <f>IFERROR(INDEX(UWS!$G$10:$Z$41,MATCH($C55,UWS!$B$10:$B$41,0),MATCH(AC$4,UWS!$G$3:$Z$3,0)),0)</f>
        <v>0</v>
      </c>
      <c r="AD55" s="47">
        <f>IFERROR(INDEX(UWS!$G$10:$Z$41,MATCH($C55,UWS!$B$10:$B$41,0),MATCH(AD$4,UWS!$G$3:$Z$3,0)),0)</f>
        <v>1</v>
      </c>
      <c r="AE55" s="47">
        <f>IFERROR(INDEX(UWS!$G$10:$Z$41,MATCH($C55,UWS!$B$10:$B$41,0),MATCH(AE$4,UWS!$G$3:$Z$3,0)),0)</f>
        <v>0.7</v>
      </c>
      <c r="AF55" s="47">
        <f>IFERROR(INDEX(UWS!$G$10:$Z$41,MATCH($C55,UWS!$B$10:$B$41,0),MATCH(AF$4,UWS!$G$3:$Z$3,0)),0)</f>
        <v>0.7</v>
      </c>
      <c r="AG55" s="47">
        <f>IFERROR(INDEX(UWS!$G$10:$Z$41,MATCH($C55,UWS!$B$10:$B$41,0),MATCH(AG$4,UWS!$G$3:$Z$3,0)),0)</f>
        <v>0.3</v>
      </c>
      <c r="AH55" s="47">
        <f>IFERROR(INDEX(UWS!$G$10:$Z$41,MATCH($C55,UWS!$B$10:$B$41,0),MATCH(AH$4,UWS!$G$3:$Z$3,0)),0)</f>
        <v>0.3</v>
      </c>
      <c r="AI55" s="47">
        <f>IFERROR(INDEX(UWS!$G$10:$Z$41,MATCH($C55,UWS!$B$10:$B$41,0),MATCH(AI$4,UWS!$G$3:$Z$3,0)),0)</f>
        <v>0.3</v>
      </c>
      <c r="AJ55" s="47"/>
      <c r="AK55" s="47">
        <f>IF(OR($J55=0,COUNTIFS($A$4:$A54,"&gt;="&amp;$A55-1,$A$4:$A54,"&lt;="&amp;$A55,$B$4:$B54,$B55)&gt;0,MIN(AK$1,IF($A55=$A54,AK54,1))-P55&lt;0),-1,MIN(1,IF($A55=$A54,AK54,1)-P55+$D$3))</f>
        <v>1</v>
      </c>
      <c r="AL55" s="47">
        <f>IF(OR($J55=0,COUNTIFS($A$4:$A54,"&gt;="&amp;$A55-1,$A$4:$A54,"&lt;="&amp;$A55,$B$4:$B54,$B55)&gt;0,MIN(AL$1,IF($A55=$A54,AL54,1))-Q55&lt;0),-1,MIN(1,IF($A55=$A54,AL54,1)-Q55+$D$3))</f>
        <v>0.4</v>
      </c>
      <c r="AM55" s="47">
        <f>IF(OR($J55=0,COUNTIFS($A$4:$A54,"&gt;="&amp;$A55-1,$A$4:$A54,"&lt;="&amp;$A55,$B$4:$B54,$B55)&gt;0,MIN(AM$1,IF($A55=$A54,AM54,1))-R55&lt;0),-1,MIN(1,IF($A55=$A54,AM54,1)-R55+$D$3))</f>
        <v>0.6</v>
      </c>
      <c r="AN55" s="47">
        <f>IF(OR($J55=0,COUNTIFS($A$4:$A54,"&gt;="&amp;$A55-1,$A$4:$A54,"&lt;="&amp;$A55,$B$4:$B54,$B55)&gt;0,MIN(AN$1,IF($A55=$A54,AN54,1))-S55&lt;0),-1,MIN(1,IF($A55=$A54,AN54,1)-S55+$D$3))</f>
        <v>0.6</v>
      </c>
      <c r="AO55" s="47">
        <f>IF(OR($J55=0,COUNTIFS($A$4:$A54,"&gt;="&amp;$A55-1,$A$4:$A54,"&lt;="&amp;$A55,$B$4:$B54,$B55)&gt;0,MIN(AO$1,IF($A55=$A54,AO54,1))-T55&lt;0),-1,MIN(1,IF($A55=$A54,AO54,1)-T55+$D$3))</f>
        <v>0.70000000000000007</v>
      </c>
      <c r="AP55" s="47">
        <f>IF(OR($J55=0,COUNTIFS($A$4:$A54,"&gt;="&amp;$A55-1,$A$4:$A54,"&lt;="&amp;$A55,$B$4:$B54,$B55)&gt;0,MIN(AP$1,IF($A55=$A54,AP54,1))-U55&lt;0),-1,MIN(1,IF($A55=$A54,AP54,1)-U55+$D$3))</f>
        <v>0.8</v>
      </c>
      <c r="AQ55" s="47">
        <f>IF(OR($J55=0,COUNTIFS($A$4:$A54,"&gt;="&amp;$A55-1,$A$4:$A54,"&lt;="&amp;$A55,$B$4:$B54,$B55)&gt;0,MIN(AQ$1,IF($A55=$A54,AQ54,1))-V55&lt;0),-1,MIN(1,IF($A55=$A54,AQ54,1)-V55+$D$3))</f>
        <v>1</v>
      </c>
      <c r="AR55" s="47">
        <f>IF(OR($J55=0,COUNTIFS($A$4:$A54,"&gt;="&amp;$A55-1,$A$4:$A54,"&lt;="&amp;$A55,$B$4:$B54,$B55)&gt;0,MIN(AR$1,IF($A55=$A54,AR54,1))-W55&lt;0),-1,MIN(1,IF($A55=$A54,AR54,1)-W55+$D$3))</f>
        <v>0.8</v>
      </c>
      <c r="AS55" s="47">
        <f>IF(OR($J55=0,COUNTIFS($A$4:$A54,"&gt;="&amp;$A55-1,$A$4:$A54,"&lt;="&amp;$A55,$B$4:$B54,$B55)&gt;0,MIN(AS$1,IF($A55=$A54,AS54,1))-X55&lt;0),-1,MIN(1,IF($A55=$A54,AS54,1)-X55+$D$3))</f>
        <v>1</v>
      </c>
      <c r="AT55" s="47">
        <f>IF(OR($J55=0,COUNTIFS($A$4:$A54,"&gt;="&amp;$A55-1,$A$4:$A54,"&lt;="&amp;$A55,$B$4:$B54,$B55)&gt;0,MIN(AT$1,IF($A55=$A54,AT54,1))-Y55&lt;0),-1,MIN(1,IF($A55=$A54,AT54,1)-Y55+$D$3))</f>
        <v>1</v>
      </c>
      <c r="AU55" s="47">
        <f>IF(OR($J55=0,COUNTIFS($A$4:$A54,"&gt;="&amp;$A55-1,$A$4:$A54,"&lt;="&amp;$A55,$B$4:$B54,$B55)&gt;0,MIN(AU$1,IF($A55=$A54,AU54,1))-Z55&lt;0),-1,MIN(1,IF($A55=$A54,AU54,1)-Z55+$D$3))</f>
        <v>1</v>
      </c>
      <c r="AV55" s="47">
        <f>IF(OR($J55=0,COUNTIFS($A$4:$A54,"&gt;="&amp;$A55-1,$A$4:$A54,"&lt;="&amp;$A55,$B$4:$B54,$B55)&gt;0,MIN(AV$1,IF($A55=$A54,AV54,1))-AA55&lt;0),-1,MIN(1,IF($A55=$A54,AV54,1)-AA55+$D$3))</f>
        <v>1</v>
      </c>
      <c r="AW55" s="47">
        <f>IF(OR($J55=0,COUNTIFS($A$4:$A54,"&gt;="&amp;$A55-1,$A$4:$A54,"&lt;="&amp;$A55,$B$4:$B54,$B55)&gt;0,MIN(AW$1,IF($A55=$A54,AW54,1))-AB55&lt;0),-1,MIN(1,IF($A55=$A54,AW54,1)-AB55+$D$3))</f>
        <v>1</v>
      </c>
      <c r="AX55" s="47">
        <f>IF(OR($J55=0,COUNTIFS($A$4:$A54,"&gt;="&amp;$A55-1,$A$4:$A54,"&lt;="&amp;$A55,$B$4:$B54,$B55)&gt;0,MIN(AX$1,IF($A55=$A54,AX54,1))-AC55&lt;0),-1,MIN(1,IF($A55=$A54,AX54,1)-AC55+$D$3))</f>
        <v>1</v>
      </c>
      <c r="AY55" s="47">
        <f>IF(OR($J55=0,COUNTIFS($A$4:$A54,"&gt;="&amp;$A55-1,$A$4:$A54,"&lt;="&amp;$A55,$B$4:$B54,$B55)&gt;0,MIN(AY$1,IF($A55=$A54,AY54,1))-AD55&lt;0),-1,MIN(1,IF($A55=$A54,AY54,1)-AD55+$D$3))</f>
        <v>0.4</v>
      </c>
      <c r="AZ55" s="47">
        <f>IF(OR($J55=0,COUNTIFS($A$4:$A54,"&gt;="&amp;$A55-1,$A$4:$A54,"&lt;="&amp;$A55,$B$4:$B54,$B55)&gt;0,MIN(AZ$1,IF($A55=$A54,AZ54,1))-AE55&lt;0),-1,MIN(1,IF($A55=$A54,AZ54,1)-AE55+$D$3))</f>
        <v>0.70000000000000007</v>
      </c>
      <c r="BA55" s="47">
        <f>IF(OR($J55=0,COUNTIFS($A$4:$A54,"&gt;="&amp;$A55-1,$A$4:$A54,"&lt;="&amp;$A55,$B$4:$B54,$B55)&gt;0,MIN(BA$1,IF($A55=$A54,BA54,1))-AF55&lt;0),-1,MIN(1,IF($A55=$A54,BA54,1)-AF55+$D$3))</f>
        <v>0.70000000000000007</v>
      </c>
      <c r="BB55" s="47">
        <f>IF(OR($J55=0,COUNTIFS($A$4:$A54,"&gt;="&amp;$A55-1,$A$4:$A54,"&lt;="&amp;$A55,$B$4:$B54,$B55)&gt;0,MIN(BB$1,IF($A55=$A54,BB54,1))-AG55&lt;0),-1,MIN(1,IF($A55=$A54,BB54,1)-AG55+$D$3))</f>
        <v>0.5</v>
      </c>
      <c r="BC55" s="47">
        <f>IF(OR($J55=0,COUNTIFS($A$4:$A54,"&gt;="&amp;$A55-1,$A$4:$A54,"&lt;="&amp;$A55,$B$4:$B54,$B55)&gt;0,MIN(BC$1,IF($A55=$A54,BC54,1))-AH55&lt;0),-1,MIN(1,IF($A55=$A54,BC54,1)-AH55+$D$3))</f>
        <v>0.9</v>
      </c>
      <c r="BD55" s="47">
        <f>IF(OR($J55=0,COUNTIFS($A$4:$A54,"&gt;="&amp;$A55-1,$A$4:$A54,"&lt;="&amp;$A55,$B$4:$B54,$B55)&gt;0,MIN(BD$1,IF($A55=$A54,BD54,1))-AI55&lt;0),-1,MIN(1,IF($A55=$A54,BD54,1)-AI55+$D$3))</f>
        <v>1</v>
      </c>
      <c r="BE55" s="47"/>
      <c r="BF55" s="53">
        <f t="shared" si="179"/>
        <v>8.3357848484709771E-2</v>
      </c>
      <c r="BG55" s="53">
        <f t="shared" si="180"/>
        <v>0.22990746601510986</v>
      </c>
      <c r="BH55" s="53">
        <f t="shared" si="181"/>
        <v>0.28082950293070541</v>
      </c>
      <c r="BI55" s="53">
        <f t="shared" si="182"/>
        <v>0.25103784597526702</v>
      </c>
      <c r="BJ55" s="53">
        <f t="shared" si="183"/>
        <v>0.27856281367412855</v>
      </c>
      <c r="BK55" s="53">
        <f t="shared" si="184"/>
        <v>8.080233639362519E-2</v>
      </c>
      <c r="BL55" s="53">
        <f t="shared" si="185"/>
        <v>4.3548807668957523E-2</v>
      </c>
      <c r="BM55" s="53">
        <f t="shared" si="186"/>
        <v>0.14914173591785668</v>
      </c>
      <c r="BN55" s="53">
        <f t="shared" si="187"/>
        <v>0.14288813826331168</v>
      </c>
      <c r="BO55" s="53">
        <f t="shared" si="188"/>
        <v>5.7145630343215577E-2</v>
      </c>
      <c r="BP55" s="53">
        <f t="shared" si="189"/>
        <v>0.24416956338293275</v>
      </c>
      <c r="BQ55" s="53">
        <f t="shared" si="190"/>
        <v>3.901373721602041E-2</v>
      </c>
      <c r="BR55" s="53">
        <f t="shared" si="191"/>
        <v>0.17039255420504515</v>
      </c>
      <c r="BS55" s="53">
        <f t="shared" si="192"/>
        <v>8.5298510725135321E-2</v>
      </c>
      <c r="BT55" s="53">
        <f t="shared" si="193"/>
        <v>0.37210823859165276</v>
      </c>
      <c r="BU55" s="53">
        <f t="shared" si="194"/>
        <v>0.33249396520406227</v>
      </c>
      <c r="BV55" s="53">
        <f t="shared" si="195"/>
        <v>0.36709996133862577</v>
      </c>
      <c r="BW55" s="53">
        <f t="shared" si="196"/>
        <v>0.20804910912860425</v>
      </c>
      <c r="BX55" s="53">
        <f t="shared" si="197"/>
        <v>0.18357382602416633</v>
      </c>
      <c r="BY55" s="53">
        <f t="shared" si="198"/>
        <v>0.10633938599916003</v>
      </c>
      <c r="BZ55" s="47"/>
      <c r="CA55" s="53">
        <f t="shared" si="199"/>
        <v>-0.48263513842414674</v>
      </c>
      <c r="CB55" s="53">
        <f t="shared" si="200"/>
        <v>-4.8711497138503757E-2</v>
      </c>
      <c r="CC55" s="53">
        <f t="shared" si="201"/>
        <v>0.74298304900240653</v>
      </c>
      <c r="CD55" s="53">
        <f t="shared" si="202"/>
        <v>0.55807956652237478</v>
      </c>
      <c r="CE55" s="53">
        <f t="shared" si="203"/>
        <v>0.72891472316648409</v>
      </c>
      <c r="CF55" s="53">
        <f t="shared" si="204"/>
        <v>-0.74924802917051336</v>
      </c>
      <c r="CG55" s="53">
        <f t="shared" si="205"/>
        <v>-0.7297120395858534</v>
      </c>
      <c r="CH55" s="53">
        <f t="shared" si="206"/>
        <v>-0.38289599231136684</v>
      </c>
      <c r="CI55" s="53">
        <f t="shared" si="207"/>
        <v>-0.11315727052396696</v>
      </c>
      <c r="CJ55" s="53">
        <f t="shared" si="208"/>
        <v>-0.64532264604207357</v>
      </c>
      <c r="CK55" s="53">
        <f t="shared" si="209"/>
        <v>0.51545121013792849</v>
      </c>
      <c r="CL55" s="53">
        <f t="shared" si="210"/>
        <v>-0.75785919237076405</v>
      </c>
      <c r="CM55" s="53">
        <f t="shared" si="211"/>
        <v>-0.29496644629274116</v>
      </c>
      <c r="CN55" s="53">
        <f t="shared" si="212"/>
        <v>-0.47059031637517779</v>
      </c>
      <c r="CO55" s="53">
        <f t="shared" si="213"/>
        <v>1.3095093125576285</v>
      </c>
      <c r="CP55" s="53">
        <f t="shared" si="214"/>
        <v>1.0636412456609863</v>
      </c>
      <c r="CQ55" s="53">
        <f t="shared" si="215"/>
        <v>0.51895011795477441</v>
      </c>
      <c r="CR55" s="53">
        <f t="shared" si="216"/>
        <v>0.29126771506157212</v>
      </c>
      <c r="CS55" s="53">
        <f t="shared" si="217"/>
        <v>0.13936058591247891</v>
      </c>
      <c r="CT55" s="53">
        <f t="shared" si="218"/>
        <v>-0.33999901967709478</v>
      </c>
      <c r="CU55" s="47"/>
      <c r="CV55" s="53">
        <f t="shared" si="219"/>
        <v>0.6238439459648859</v>
      </c>
    </row>
    <row r="56" spans="1:100" x14ac:dyDescent="0.25">
      <c r="A56" s="97">
        <v>45063</v>
      </c>
      <c r="B56" s="86">
        <v>7</v>
      </c>
      <c r="C56" s="43" t="str" cm="1">
        <f t="array" ref="C56">IF(B56="","",INDEX(UWS!$B$10:$B$41,B56))</f>
        <v>Dumbbell walking lunge</v>
      </c>
      <c r="D56" s="40">
        <f t="shared" si="176"/>
        <v>0.4</v>
      </c>
      <c r="E56" s="69">
        <f t="shared" si="177"/>
        <v>1.4345324051386348</v>
      </c>
      <c r="F56" s="48" cm="1">
        <f t="array" ref="F56">0.1+IFERROR(INDEX($F$5:$F55,SUMPRODUCT(MAX(ROW($C$5:$C55)*($C56=$C$5:$C55))-ROW($A$4)))*0.9^($A56-INDEX($A$5:A55,SUMPRODUCT(MAX(ROW($C$5:$C55)*($C56=$C$5:$C55))-ROW($A$4)))),0)</f>
        <v>0.16161884135496105</v>
      </c>
      <c r="G56" s="55">
        <f>INDEX(UWS!$AB$10:$AB$41,MATCH(C56,UWS!$B$10:$B$41,0))</f>
        <v>4.6999999999999993</v>
      </c>
      <c r="H56" s="48">
        <f>INDEX(UWS!$C$10:$C$41,MATCH(C56,UWS!$B$10:$B$41,0))</f>
        <v>1</v>
      </c>
      <c r="I56" s="82">
        <f t="shared" si="178"/>
        <v>1</v>
      </c>
      <c r="J56" s="27">
        <f>INDEX(UWS!$E$10:$E$41,MATCH(C56,UWS!$B$10:$B$41,0))</f>
        <v>1</v>
      </c>
      <c r="L56" s="108" t="str" cm="1">
        <f t="array" ref="L56">IF(K56="","",INDEX(UWS!$B$10:$B$41,K56))</f>
        <v/>
      </c>
      <c r="N56" s="108" t="str" cm="1">
        <f t="array" ref="N56">IF(M56="","",INDEX(UWS!$B$10:$B$41,M56))</f>
        <v/>
      </c>
      <c r="P56">
        <f>IFERROR(INDEX(UWS!$G$10:$Z$41,MATCH($C56,UWS!$B$10:$B$41,0),MATCH(P$4,UWS!$G$3:$Z$3,0)),0)</f>
        <v>0</v>
      </c>
      <c r="Q56">
        <f>IFERROR(INDEX(UWS!$G$10:$Z$41,MATCH($C56,UWS!$B$10:$B$41,0),MATCH(Q$4,UWS!$G$3:$Z$3,0)),0)</f>
        <v>0</v>
      </c>
      <c r="R56">
        <f>IFERROR(INDEX(UWS!$G$10:$Z$41,MATCH($C56,UWS!$B$10:$B$41,0),MATCH(R$4,UWS!$G$3:$Z$3,0)),0)</f>
        <v>0</v>
      </c>
      <c r="S56">
        <f>IFERROR(INDEX(UWS!$G$10:$Z$41,MATCH($C56,UWS!$B$10:$B$41,0),MATCH(S$4,UWS!$G$3:$Z$3,0)),0)</f>
        <v>0</v>
      </c>
      <c r="T56">
        <f>IFERROR(INDEX(UWS!$G$10:$Z$41,MATCH($C56,UWS!$B$10:$B$41,0),MATCH(T$4,UWS!$G$3:$Z$3,0)),0)</f>
        <v>0.5</v>
      </c>
      <c r="U56">
        <f>IFERROR(INDEX(UWS!$G$10:$Z$41,MATCH($C56,UWS!$B$10:$B$41,0),MATCH(U$4,UWS!$G$3:$Z$3,0)),0)</f>
        <v>0</v>
      </c>
      <c r="V56">
        <f>IFERROR(INDEX(UWS!$G$10:$Z$41,MATCH($C56,UWS!$B$10:$B$41,0),MATCH(V$4,UWS!$G$3:$Z$3,0)),0)</f>
        <v>0</v>
      </c>
      <c r="W56">
        <f>IFERROR(INDEX(UWS!$G$10:$Z$41,MATCH($C56,UWS!$B$10:$B$41,0),MATCH(W$4,UWS!$G$3:$Z$3,0)),0)</f>
        <v>0</v>
      </c>
      <c r="X56">
        <f>IFERROR(INDEX(UWS!$G$10:$Z$41,MATCH($C56,UWS!$B$10:$B$41,0),MATCH(X$4,UWS!$G$3:$Z$3,0)),0)</f>
        <v>0</v>
      </c>
      <c r="Y56">
        <f>IFERROR(INDEX(UWS!$G$10:$Z$41,MATCH($C56,UWS!$B$10:$B$41,0),MATCH(Y$4,UWS!$G$3:$Z$3,0)),0)</f>
        <v>0</v>
      </c>
      <c r="Z56">
        <f>IFERROR(INDEX(UWS!$G$10:$Z$41,MATCH($C56,UWS!$B$10:$B$41,0),MATCH(Z$4,UWS!$G$3:$Z$3,0)),0)</f>
        <v>0.1</v>
      </c>
      <c r="AA56">
        <f>IFERROR(INDEX(UWS!$G$10:$Z$41,MATCH($C56,UWS!$B$10:$B$41,0),MATCH(AA$4,UWS!$G$3:$Z$3,0)),0)</f>
        <v>0</v>
      </c>
      <c r="AB56">
        <f>IFERROR(INDEX(UWS!$G$10:$Z$41,MATCH($C56,UWS!$B$10:$B$41,0),MATCH(AB$4,UWS!$G$3:$Z$3,0)),0)</f>
        <v>0.3</v>
      </c>
      <c r="AC56">
        <f>IFERROR(INDEX(UWS!$G$10:$Z$41,MATCH($C56,UWS!$B$10:$B$41,0),MATCH(AC$4,UWS!$G$3:$Z$3,0)),0)</f>
        <v>0.2</v>
      </c>
      <c r="AD56">
        <f>IFERROR(INDEX(UWS!$G$10:$Z$41,MATCH($C56,UWS!$B$10:$B$41,0),MATCH(AD$4,UWS!$G$3:$Z$3,0)),0)</f>
        <v>1</v>
      </c>
      <c r="AE56">
        <f>IFERROR(INDEX(UWS!$G$10:$Z$41,MATCH($C56,UWS!$B$10:$B$41,0),MATCH(AE$4,UWS!$G$3:$Z$3,0)),0)</f>
        <v>0.6</v>
      </c>
      <c r="AF56">
        <f>IFERROR(INDEX(UWS!$G$10:$Z$41,MATCH($C56,UWS!$B$10:$B$41,0),MATCH(AF$4,UWS!$G$3:$Z$3,0)),0)</f>
        <v>0.9</v>
      </c>
      <c r="AG56">
        <f>IFERROR(INDEX(UWS!$G$10:$Z$41,MATCH($C56,UWS!$B$10:$B$41,0),MATCH(AG$4,UWS!$G$3:$Z$3,0)),0)</f>
        <v>0.1</v>
      </c>
      <c r="AH56">
        <f>IFERROR(INDEX(UWS!$G$10:$Z$41,MATCH($C56,UWS!$B$10:$B$41,0),MATCH(AH$4,UWS!$G$3:$Z$3,0)),0)</f>
        <v>0.5</v>
      </c>
      <c r="AI56">
        <f>IFERROR(INDEX(UWS!$G$10:$Z$41,MATCH($C56,UWS!$B$10:$B$41,0),MATCH(AI$4,UWS!$G$3:$Z$3,0)),0)</f>
        <v>0.5</v>
      </c>
      <c r="AK56">
        <f>IF(OR($J56=0,COUNTIFS($A$4:$A55,"&gt;="&amp;$A56-1,$A$4:$A55,"&lt;="&amp;$A56,$B$4:$B55,$B56)&gt;0,MIN(AK$1,IF($A56=$A55,AK55,1))-P56&lt;0),-1,MIN(1,IF($A56=$A55,AK55,1)-P56+$D$3))</f>
        <v>1</v>
      </c>
      <c r="AL56">
        <f>IF(OR($J56=0,COUNTIFS($A$4:$A55,"&gt;="&amp;$A56-1,$A$4:$A55,"&lt;="&amp;$A56,$B$4:$B55,$B56)&gt;0,MIN(AL$1,IF($A56=$A55,AL55,1))-Q56&lt;0),-1,MIN(1,IF($A56=$A55,AL55,1)-Q56+$D$3))</f>
        <v>1</v>
      </c>
      <c r="AM56">
        <f>IF(OR($J56=0,COUNTIFS($A$4:$A55,"&gt;="&amp;$A56-1,$A$4:$A55,"&lt;="&amp;$A56,$B$4:$B55,$B56)&gt;0,MIN(AM$1,IF($A56=$A55,AM55,1))-R56&lt;0),-1,MIN(1,IF($A56=$A55,AM55,1)-R56+$D$3))</f>
        <v>1</v>
      </c>
      <c r="AN56">
        <f>IF(OR($J56=0,COUNTIFS($A$4:$A55,"&gt;="&amp;$A56-1,$A$4:$A55,"&lt;="&amp;$A56,$B$4:$B55,$B56)&gt;0,MIN(AN$1,IF($A56=$A55,AN55,1))-S56&lt;0),-1,MIN(1,IF($A56=$A55,AN55,1)-S56+$D$3))</f>
        <v>1</v>
      </c>
      <c r="AO56">
        <f>IF(OR($J56=0,COUNTIFS($A$4:$A55,"&gt;="&amp;$A56-1,$A$4:$A55,"&lt;="&amp;$A56,$B$4:$B55,$B56)&gt;0,MIN(AO$1,IF($A56=$A55,AO55,1))-T56&lt;0),-1,MIN(1,IF($A56=$A55,AO55,1)-T56+$D$3))</f>
        <v>0.9</v>
      </c>
      <c r="AP56">
        <f>IF(OR($J56=0,COUNTIFS($A$4:$A55,"&gt;="&amp;$A56-1,$A$4:$A55,"&lt;="&amp;$A56,$B$4:$B55,$B56)&gt;0,MIN(AP$1,IF($A56=$A55,AP55,1))-U56&lt;0),-1,MIN(1,IF($A56=$A55,AP55,1)-U56+$D$3))</f>
        <v>1</v>
      </c>
      <c r="AQ56">
        <f>IF(OR($J56=0,COUNTIFS($A$4:$A55,"&gt;="&amp;$A56-1,$A$4:$A55,"&lt;="&amp;$A56,$B$4:$B55,$B56)&gt;0,MIN(AQ$1,IF($A56=$A55,AQ55,1))-V56&lt;0),-1,MIN(1,IF($A56=$A55,AQ55,1)-V56+$D$3))</f>
        <v>1</v>
      </c>
      <c r="AR56">
        <f>IF(OR($J56=0,COUNTIFS($A$4:$A55,"&gt;="&amp;$A56-1,$A$4:$A55,"&lt;="&amp;$A56,$B$4:$B55,$B56)&gt;0,MIN(AR$1,IF($A56=$A55,AR55,1))-W56&lt;0),-1,MIN(1,IF($A56=$A55,AR55,1)-W56+$D$3))</f>
        <v>1</v>
      </c>
      <c r="AS56">
        <f>IF(OR($J56=0,COUNTIFS($A$4:$A55,"&gt;="&amp;$A56-1,$A$4:$A55,"&lt;="&amp;$A56,$B$4:$B55,$B56)&gt;0,MIN(AS$1,IF($A56=$A55,AS55,1))-X56&lt;0),-1,MIN(1,IF($A56=$A55,AS55,1)-X56+$D$3))</f>
        <v>1</v>
      </c>
      <c r="AT56">
        <f>IF(OR($J56=0,COUNTIFS($A$4:$A55,"&gt;="&amp;$A56-1,$A$4:$A55,"&lt;="&amp;$A56,$B$4:$B55,$B56)&gt;0,MIN(AT$1,IF($A56=$A55,AT55,1))-Y56&lt;0),-1,MIN(1,IF($A56=$A55,AT55,1)-Y56+$D$3))</f>
        <v>1</v>
      </c>
      <c r="AU56">
        <f>IF(OR($J56=0,COUNTIFS($A$4:$A55,"&gt;="&amp;$A56-1,$A$4:$A55,"&lt;="&amp;$A56,$B$4:$B55,$B56)&gt;0,MIN(AU$1,IF($A56=$A55,AU55,1))-Z56&lt;0),-1,MIN(1,IF($A56=$A55,AU55,1)-Z56+$D$3))</f>
        <v>1</v>
      </c>
      <c r="AV56">
        <f>IF(OR($J56=0,COUNTIFS($A$4:$A55,"&gt;="&amp;$A56-1,$A$4:$A55,"&lt;="&amp;$A56,$B$4:$B55,$B56)&gt;0,MIN(AV$1,IF($A56=$A55,AV55,1))-AA56&lt;0),-1,MIN(1,IF($A56=$A55,AV55,1)-AA56+$D$3))</f>
        <v>1</v>
      </c>
      <c r="AW56">
        <f>IF(OR($J56=0,COUNTIFS($A$4:$A55,"&gt;="&amp;$A56-1,$A$4:$A55,"&lt;="&amp;$A56,$B$4:$B55,$B56)&gt;0,MIN(AW$1,IF($A56=$A55,AW55,1))-AB56&lt;0),-1,MIN(1,IF($A56=$A55,AW55,1)-AB56+$D$3))</f>
        <v>1</v>
      </c>
      <c r="AX56">
        <f>IF(OR($J56=0,COUNTIFS($A$4:$A55,"&gt;="&amp;$A56-1,$A$4:$A55,"&lt;="&amp;$A56,$B$4:$B55,$B56)&gt;0,MIN(AX$1,IF($A56=$A55,AX55,1))-AC56&lt;0),-1,MIN(1,IF($A56=$A55,AX55,1)-AC56+$D$3))</f>
        <v>1</v>
      </c>
      <c r="AY56">
        <f>IF(OR($J56=0,COUNTIFS($A$4:$A55,"&gt;="&amp;$A56-1,$A$4:$A55,"&lt;="&amp;$A56,$B$4:$B55,$B56)&gt;0,MIN(AY$1,IF($A56=$A55,AY55,1))-AD56&lt;0),-1,MIN(1,IF($A56=$A55,AY55,1)-AD56+$D$3))</f>
        <v>0.4</v>
      </c>
      <c r="AZ56">
        <f>IF(OR($J56=0,COUNTIFS($A$4:$A55,"&gt;="&amp;$A56-1,$A$4:$A55,"&lt;="&amp;$A56,$B$4:$B55,$B56)&gt;0,MIN(AZ$1,IF($A56=$A55,AZ55,1))-AE56&lt;0),-1,MIN(1,IF($A56=$A55,AZ55,1)-AE56+$D$3))</f>
        <v>0.8</v>
      </c>
      <c r="BA56">
        <f>IF(OR($J56=0,COUNTIFS($A$4:$A55,"&gt;="&amp;$A56-1,$A$4:$A55,"&lt;="&amp;$A56,$B$4:$B55,$B56)&gt;0,MIN(BA$1,IF($A56=$A55,BA55,1))-AF56&lt;0),-1,MIN(1,IF($A56=$A55,BA55,1)-AF56+$D$3))</f>
        <v>0.5</v>
      </c>
      <c r="BB56">
        <f>IF(OR($J56=0,COUNTIFS($A$4:$A55,"&gt;="&amp;$A56-1,$A$4:$A55,"&lt;="&amp;$A56,$B$4:$B55,$B56)&gt;0,MIN(BB$1,IF($A56=$A55,BB55,1))-AG56&lt;0),-1,MIN(1,IF($A56=$A55,BB55,1)-AG56+$D$3))</f>
        <v>1</v>
      </c>
      <c r="BC56">
        <f>IF(OR($J56=0,COUNTIFS($A$4:$A55,"&gt;="&amp;$A56-1,$A$4:$A55,"&lt;="&amp;$A56,$B$4:$B55,$B56)&gt;0,MIN(BC$1,IF($A56=$A55,BC55,1))-AH56&lt;0),-1,MIN(1,IF($A56=$A55,BC55,1)-AH56+$D$3))</f>
        <v>0.9</v>
      </c>
      <c r="BD56">
        <f>IF(OR($J56=0,COUNTIFS($A$4:$A55,"&gt;="&amp;$A56-1,$A$4:$A55,"&lt;="&amp;$A56,$B$4:$B55,$B56)&gt;0,MIN(BD$1,IF($A56=$A55,BD55,1))-AI56&lt;0),-1,MIN(1,IF($A56=$A55,BD55,1)-AI56+$D$3))</f>
        <v>0.9</v>
      </c>
      <c r="BF56" s="44">
        <f t="shared" si="179"/>
        <v>7.9189956060474284E-2</v>
      </c>
      <c r="BG56" s="44">
        <f t="shared" si="180"/>
        <v>0.21841209271435436</v>
      </c>
      <c r="BH56" s="44">
        <f t="shared" si="181"/>
        <v>0.2667880277841701</v>
      </c>
      <c r="BI56" s="44">
        <f t="shared" si="182"/>
        <v>0.23848595367650366</v>
      </c>
      <c r="BJ56" s="44">
        <f t="shared" si="183"/>
        <v>0.28963467299042212</v>
      </c>
      <c r="BK56" s="44">
        <f t="shared" si="184"/>
        <v>7.6762219573943927E-2</v>
      </c>
      <c r="BL56" s="44">
        <f t="shared" si="185"/>
        <v>4.1371367285509643E-2</v>
      </c>
      <c r="BM56" s="44">
        <f t="shared" si="186"/>
        <v>0.14168464912196382</v>
      </c>
      <c r="BN56" s="44">
        <f t="shared" si="187"/>
        <v>0.13574373135014609</v>
      </c>
      <c r="BO56" s="44">
        <f t="shared" si="188"/>
        <v>5.4288348826054794E-2</v>
      </c>
      <c r="BP56" s="44">
        <f t="shared" si="189"/>
        <v>0.23696108521378612</v>
      </c>
      <c r="BQ56" s="44">
        <f t="shared" si="190"/>
        <v>3.7063050355219389E-2</v>
      </c>
      <c r="BR56" s="44">
        <f t="shared" si="191"/>
        <v>0.17687292649479286</v>
      </c>
      <c r="BS56" s="44">
        <f t="shared" si="192"/>
        <v>9.1033585188878552E-2</v>
      </c>
      <c r="BT56" s="44">
        <f t="shared" si="193"/>
        <v>0.4035028266620701</v>
      </c>
      <c r="BU56" s="44">
        <f t="shared" si="194"/>
        <v>0.34586926694385911</v>
      </c>
      <c r="BV56" s="44">
        <f t="shared" si="195"/>
        <v>0.39374496327169445</v>
      </c>
      <c r="BW56" s="44">
        <f t="shared" si="196"/>
        <v>0.20264665367217402</v>
      </c>
      <c r="BX56" s="44">
        <f t="shared" si="197"/>
        <v>0.199395134722958</v>
      </c>
      <c r="BY56" s="44">
        <f t="shared" si="198"/>
        <v>0.12602241669920203</v>
      </c>
      <c r="CA56" s="44">
        <f t="shared" si="199"/>
        <v>-0.5150094211793641</v>
      </c>
      <c r="CB56" s="44">
        <f t="shared" si="200"/>
        <v>-0.10823869981635736</v>
      </c>
      <c r="CC56" s="44">
        <f t="shared" si="201"/>
        <v>0.6339152899472591</v>
      </c>
      <c r="CD56" s="44">
        <f t="shared" si="202"/>
        <v>0.46058220597863708</v>
      </c>
      <c r="CE56" s="44">
        <f t="shared" si="203"/>
        <v>0.77383717188678447</v>
      </c>
      <c r="CF56" s="44">
        <f t="shared" si="204"/>
        <v>-0.76493891931008573</v>
      </c>
      <c r="CG56" s="44">
        <f t="shared" si="205"/>
        <v>-0.74662540094001573</v>
      </c>
      <c r="CH56" s="44">
        <f t="shared" si="206"/>
        <v>-0.42151148616890732</v>
      </c>
      <c r="CI56" s="44">
        <f t="shared" si="207"/>
        <v>-0.1686517569411824</v>
      </c>
      <c r="CJ56" s="44">
        <f t="shared" si="208"/>
        <v>-0.66751670249370743</v>
      </c>
      <c r="CK56" s="44">
        <f t="shared" si="209"/>
        <v>0.45124330903829857</v>
      </c>
      <c r="CL56" s="44">
        <f t="shared" si="210"/>
        <v>-0.77301123603466526</v>
      </c>
      <c r="CM56" s="44">
        <f t="shared" si="211"/>
        <v>-0.2778402105026111</v>
      </c>
      <c r="CN56" s="44">
        <f t="shared" si="212"/>
        <v>-0.44247435698592996</v>
      </c>
      <c r="CO56" s="44">
        <f t="shared" si="213"/>
        <v>1.471210734214266</v>
      </c>
      <c r="CP56" s="44">
        <f t="shared" si="214"/>
        <v>1.1182400435135009</v>
      </c>
      <c r="CQ56" s="44">
        <f t="shared" si="215"/>
        <v>0.60763314899024512</v>
      </c>
      <c r="CR56" s="44">
        <f t="shared" si="216"/>
        <v>0.2410881726652141</v>
      </c>
      <c r="CS56" s="44">
        <f t="shared" si="217"/>
        <v>0.22117458594694028</v>
      </c>
      <c r="CT56" s="44">
        <f t="shared" si="218"/>
        <v>-0.22818892874941565</v>
      </c>
      <c r="CV56" s="44">
        <f t="shared" si="219"/>
        <v>0.64426047436925094</v>
      </c>
    </row>
    <row r="57" spans="1:100" x14ac:dyDescent="0.25">
      <c r="A57" s="97">
        <v>45063</v>
      </c>
      <c r="B57" s="86">
        <v>14</v>
      </c>
      <c r="C57" s="43" t="str" cm="1">
        <f t="array" ref="C57">IF(B57="","",INDEX(UWS!$B$10:$B$41,B57))</f>
        <v>Cable seated row</v>
      </c>
      <c r="D57" s="40">
        <f t="shared" si="176"/>
        <v>0.4</v>
      </c>
      <c r="E57" s="69">
        <f t="shared" si="177"/>
        <v>1.0873353907704559</v>
      </c>
      <c r="F57" s="48" cm="1">
        <f t="array" ref="F57">0.1+IFERROR(INDEX($F$5:$F56,SUMPRODUCT(MAX(ROW($C$5:$C56)*($C57=$C$5:$C56))-ROW($A$4)))*0.9^($A57-INDEX($A$5:A56,SUMPRODUCT(MAX(ROW($C$5:$C56)*($C57=$C$5:$C56))-ROW($A$4)))),0)</f>
        <v>0.15679971789229005</v>
      </c>
      <c r="G57" s="55">
        <f>INDEX(UWS!$AB$10:$AB$41,MATCH(C57,UWS!$B$10:$B$41,0))</f>
        <v>3.7</v>
      </c>
      <c r="H57" s="48">
        <f>INDEX(UWS!$C$10:$C$41,MATCH(C57,UWS!$B$10:$B$41,0))</f>
        <v>1</v>
      </c>
      <c r="I57" s="27">
        <f t="shared" si="178"/>
        <v>2</v>
      </c>
      <c r="J57" s="27">
        <f>INDEX(UWS!$E$10:$E$41,MATCH(C57,UWS!$B$10:$B$41,0))</f>
        <v>1</v>
      </c>
      <c r="L57" s="108" t="str" cm="1">
        <f t="array" ref="L57">IF(K57="","",INDEX(UWS!$B$10:$B$41,K57))</f>
        <v/>
      </c>
      <c r="N57" s="108" t="str" cm="1">
        <f t="array" ref="N57">IF(M57="","",INDEX(UWS!$B$10:$B$41,M57))</f>
        <v/>
      </c>
      <c r="P57">
        <f>IFERROR(INDEX(UWS!$G$10:$Z$41,MATCH($C57,UWS!$B$10:$B$41,0),MATCH(P$4,UWS!$G$3:$Z$3,0)),0)</f>
        <v>0</v>
      </c>
      <c r="Q57">
        <f>IFERROR(INDEX(UWS!$G$10:$Z$41,MATCH($C57,UWS!$B$10:$B$41,0),MATCH(Q$4,UWS!$G$3:$Z$3,0)),0)</f>
        <v>1</v>
      </c>
      <c r="R57">
        <f>IFERROR(INDEX(UWS!$G$10:$Z$41,MATCH($C57,UWS!$B$10:$B$41,0),MATCH(R$4,UWS!$G$3:$Z$3,0)),0)</f>
        <v>0.7</v>
      </c>
      <c r="S57">
        <f>IFERROR(INDEX(UWS!$G$10:$Z$41,MATCH($C57,UWS!$B$10:$B$41,0),MATCH(S$4,UWS!$G$3:$Z$3,0)),0)</f>
        <v>0.7</v>
      </c>
      <c r="T57">
        <f>IFERROR(INDEX(UWS!$G$10:$Z$41,MATCH($C57,UWS!$B$10:$B$41,0),MATCH(T$4,UWS!$G$3:$Z$3,0)),0)</f>
        <v>0</v>
      </c>
      <c r="U57">
        <f>IFERROR(INDEX(UWS!$G$10:$Z$41,MATCH($C57,UWS!$B$10:$B$41,0),MATCH(U$4,UWS!$G$3:$Z$3,0)),0)</f>
        <v>0</v>
      </c>
      <c r="V57">
        <f>IFERROR(INDEX(UWS!$G$10:$Z$41,MATCH($C57,UWS!$B$10:$B$41,0),MATCH(V$4,UWS!$G$3:$Z$3,0)),0)</f>
        <v>0</v>
      </c>
      <c r="W57">
        <f>IFERROR(INDEX(UWS!$G$10:$Z$41,MATCH($C57,UWS!$B$10:$B$41,0),MATCH(W$4,UWS!$G$3:$Z$3,0)),0)</f>
        <v>0.6</v>
      </c>
      <c r="X57">
        <f>IFERROR(INDEX(UWS!$G$10:$Z$41,MATCH($C57,UWS!$B$10:$B$41,0),MATCH(X$4,UWS!$G$3:$Z$3,0)),0)</f>
        <v>0.6</v>
      </c>
      <c r="Y57">
        <f>IFERROR(INDEX(UWS!$G$10:$Z$41,MATCH($C57,UWS!$B$10:$B$41,0),MATCH(Y$4,UWS!$G$3:$Z$3,0)),0)</f>
        <v>0</v>
      </c>
      <c r="Z57">
        <f>IFERROR(INDEX(UWS!$G$10:$Z$41,MATCH($C57,UWS!$B$10:$B$41,0),MATCH(Z$4,UWS!$G$3:$Z$3,0)),0)</f>
        <v>0.1</v>
      </c>
      <c r="AA57">
        <f>IFERROR(INDEX(UWS!$G$10:$Z$41,MATCH($C57,UWS!$B$10:$B$41,0),MATCH(AA$4,UWS!$G$3:$Z$3,0)),0)</f>
        <v>0</v>
      </c>
      <c r="AB57">
        <f>IFERROR(INDEX(UWS!$G$10:$Z$41,MATCH($C57,UWS!$B$10:$B$41,0),MATCH(AB$4,UWS!$G$3:$Z$3,0)),0)</f>
        <v>0</v>
      </c>
      <c r="AC57">
        <f>IFERROR(INDEX(UWS!$G$10:$Z$41,MATCH($C57,UWS!$B$10:$B$41,0),MATCH(AC$4,UWS!$G$3:$Z$3,0)),0)</f>
        <v>0</v>
      </c>
      <c r="AD57">
        <f>IFERROR(INDEX(UWS!$G$10:$Z$41,MATCH($C57,UWS!$B$10:$B$41,0),MATCH(AD$4,UWS!$G$3:$Z$3,0)),0)</f>
        <v>0</v>
      </c>
      <c r="AE57">
        <f>IFERROR(INDEX(UWS!$G$10:$Z$41,MATCH($C57,UWS!$B$10:$B$41,0),MATCH(AE$4,UWS!$G$3:$Z$3,0)),0)</f>
        <v>0</v>
      </c>
      <c r="AF57">
        <f>IFERROR(INDEX(UWS!$G$10:$Z$41,MATCH($C57,UWS!$B$10:$B$41,0),MATCH(AF$4,UWS!$G$3:$Z$3,0)),0)</f>
        <v>0</v>
      </c>
      <c r="AG57">
        <f>IFERROR(INDEX(UWS!$G$10:$Z$41,MATCH($C57,UWS!$B$10:$B$41,0),MATCH(AG$4,UWS!$G$3:$Z$3,0)),0)</f>
        <v>0</v>
      </c>
      <c r="AH57">
        <f>IFERROR(INDEX(UWS!$G$10:$Z$41,MATCH($C57,UWS!$B$10:$B$41,0),MATCH(AH$4,UWS!$G$3:$Z$3,0)),0)</f>
        <v>0</v>
      </c>
      <c r="AI57">
        <f>IFERROR(INDEX(UWS!$G$10:$Z$41,MATCH($C57,UWS!$B$10:$B$41,0),MATCH(AI$4,UWS!$G$3:$Z$3,0)),0)</f>
        <v>0</v>
      </c>
      <c r="AK57">
        <f>IF(OR($J57=0,COUNTIFS($A$4:$A56,"&gt;="&amp;$A57-1,$A$4:$A56,"&lt;="&amp;$A57,$B$4:$B56,$B57)&gt;0,MIN(AK$1,IF($A57=$A56,AK56,1))-P57&lt;0),-1,MIN(1,IF($A57=$A56,AK56,1)-P57+$D$3))</f>
        <v>1</v>
      </c>
      <c r="AL57">
        <f>IF(OR($J57=0,COUNTIFS($A$4:$A56,"&gt;="&amp;$A57-1,$A$4:$A56,"&lt;="&amp;$A57,$B$4:$B56,$B57)&gt;0,MIN(AL$1,IF($A57=$A56,AL56,1))-Q57&lt;0),-1,MIN(1,IF($A57=$A56,AL56,1)-Q57+$D$3))</f>
        <v>0.4</v>
      </c>
      <c r="AM57">
        <f>IF(OR($J57=0,COUNTIFS($A$4:$A56,"&gt;="&amp;$A57-1,$A$4:$A56,"&lt;="&amp;$A57,$B$4:$B56,$B57)&gt;0,MIN(AM$1,IF($A57=$A56,AM56,1))-R57&lt;0),-1,MIN(1,IF($A57=$A56,AM56,1)-R57+$D$3))</f>
        <v>0.70000000000000007</v>
      </c>
      <c r="AN57">
        <f>IF(OR($J57=0,COUNTIFS($A$4:$A56,"&gt;="&amp;$A57-1,$A$4:$A56,"&lt;="&amp;$A57,$B$4:$B56,$B57)&gt;0,MIN(AN$1,IF($A57=$A56,AN56,1))-S57&lt;0),-1,MIN(1,IF($A57=$A56,AN56,1)-S57+$D$3))</f>
        <v>0.70000000000000007</v>
      </c>
      <c r="AO57">
        <f>IF(OR($J57=0,COUNTIFS($A$4:$A56,"&gt;="&amp;$A57-1,$A$4:$A56,"&lt;="&amp;$A57,$B$4:$B56,$B57)&gt;0,MIN(AO$1,IF($A57=$A56,AO56,1))-T57&lt;0),-1,MIN(1,IF($A57=$A56,AO56,1)-T57+$D$3))</f>
        <v>1</v>
      </c>
      <c r="AP57">
        <f>IF(OR($J57=0,COUNTIFS($A$4:$A56,"&gt;="&amp;$A57-1,$A$4:$A56,"&lt;="&amp;$A57,$B$4:$B56,$B57)&gt;0,MIN(AP$1,IF($A57=$A56,AP56,1))-U57&lt;0),-1,MIN(1,IF($A57=$A56,AP56,1)-U57+$D$3))</f>
        <v>1</v>
      </c>
      <c r="AQ57">
        <f>IF(OR($J57=0,COUNTIFS($A$4:$A56,"&gt;="&amp;$A57-1,$A$4:$A56,"&lt;="&amp;$A57,$B$4:$B56,$B57)&gt;0,MIN(AQ$1,IF($A57=$A56,AQ56,1))-V57&lt;0),-1,MIN(1,IF($A57=$A56,AQ56,1)-V57+$D$3))</f>
        <v>1</v>
      </c>
      <c r="AR57">
        <f>IF(OR($J57=0,COUNTIFS($A$4:$A56,"&gt;="&amp;$A57-1,$A$4:$A56,"&lt;="&amp;$A57,$B$4:$B56,$B57)&gt;0,MIN(AR$1,IF($A57=$A56,AR56,1))-W57&lt;0),-1,MIN(1,IF($A57=$A56,AR56,1)-W57+$D$3))</f>
        <v>0.8</v>
      </c>
      <c r="AS57">
        <f>IF(OR($J57=0,COUNTIFS($A$4:$A56,"&gt;="&amp;$A57-1,$A$4:$A56,"&lt;="&amp;$A57,$B$4:$B56,$B57)&gt;0,MIN(AS$1,IF($A57=$A56,AS56,1))-X57&lt;0),-1,MIN(1,IF($A57=$A56,AS56,1)-X57+$D$3))</f>
        <v>0.8</v>
      </c>
      <c r="AT57">
        <f>IF(OR($J57=0,COUNTIFS($A$4:$A56,"&gt;="&amp;$A57-1,$A$4:$A56,"&lt;="&amp;$A57,$B$4:$B56,$B57)&gt;0,MIN(AT$1,IF($A57=$A56,AT56,1))-Y57&lt;0),-1,MIN(1,IF($A57=$A56,AT56,1)-Y57+$D$3))</f>
        <v>1</v>
      </c>
      <c r="AU57">
        <f>IF(OR($J57=0,COUNTIFS($A$4:$A56,"&gt;="&amp;$A57-1,$A$4:$A56,"&lt;="&amp;$A57,$B$4:$B56,$B57)&gt;0,MIN(AU$1,IF($A57=$A56,AU56,1))-Z57&lt;0),-1,MIN(1,IF($A57=$A56,AU56,1)-Z57+$D$3))</f>
        <v>1</v>
      </c>
      <c r="AV57">
        <f>IF(OR($J57=0,COUNTIFS($A$4:$A56,"&gt;="&amp;$A57-1,$A$4:$A56,"&lt;="&amp;$A57,$B$4:$B56,$B57)&gt;0,MIN(AV$1,IF($A57=$A56,AV56,1))-AA57&lt;0),-1,MIN(1,IF($A57=$A56,AV56,1)-AA57+$D$3))</f>
        <v>1</v>
      </c>
      <c r="AW57">
        <f>IF(OR($J57=0,COUNTIFS($A$4:$A56,"&gt;="&amp;$A57-1,$A$4:$A56,"&lt;="&amp;$A57,$B$4:$B56,$B57)&gt;0,MIN(AW$1,IF($A57=$A56,AW56,1))-AB57&lt;0),-1,MIN(1,IF($A57=$A56,AW56,1)-AB57+$D$3))</f>
        <v>1</v>
      </c>
      <c r="AX57">
        <f>IF(OR($J57=0,COUNTIFS($A$4:$A56,"&gt;="&amp;$A57-1,$A$4:$A56,"&lt;="&amp;$A57,$B$4:$B56,$B57)&gt;0,MIN(AX$1,IF($A57=$A56,AX56,1))-AC57&lt;0),-1,MIN(1,IF($A57=$A56,AX56,1)-AC57+$D$3))</f>
        <v>1</v>
      </c>
      <c r="AY57">
        <f>IF(OR($J57=0,COUNTIFS($A$4:$A56,"&gt;="&amp;$A57-1,$A$4:$A56,"&lt;="&amp;$A57,$B$4:$B56,$B57)&gt;0,MIN(AY$1,IF($A57=$A56,AY56,1))-AD57&lt;0),-1,MIN(1,IF($A57=$A56,AY56,1)-AD57+$D$3))</f>
        <v>0.8</v>
      </c>
      <c r="AZ57">
        <f>IF(OR($J57=0,COUNTIFS($A$4:$A56,"&gt;="&amp;$A57-1,$A$4:$A56,"&lt;="&amp;$A57,$B$4:$B56,$B57)&gt;0,MIN(AZ$1,IF($A57=$A56,AZ56,1))-AE57&lt;0),-1,MIN(1,IF($A57=$A56,AZ56,1)-AE57+$D$3))</f>
        <v>1</v>
      </c>
      <c r="BA57">
        <f>IF(OR($J57=0,COUNTIFS($A$4:$A56,"&gt;="&amp;$A57-1,$A$4:$A56,"&lt;="&amp;$A57,$B$4:$B56,$B57)&gt;0,MIN(BA$1,IF($A57=$A56,BA56,1))-AF57&lt;0),-1,MIN(1,IF($A57=$A56,BA56,1)-AF57+$D$3))</f>
        <v>0.9</v>
      </c>
      <c r="BB57">
        <f>IF(OR($J57=0,COUNTIFS($A$4:$A56,"&gt;="&amp;$A57-1,$A$4:$A56,"&lt;="&amp;$A57,$B$4:$B56,$B57)&gt;0,MIN(BB$1,IF($A57=$A56,BB56,1))-AG57&lt;0),-1,MIN(1,IF($A57=$A56,BB56,1)-AG57+$D$3))</f>
        <v>1</v>
      </c>
      <c r="BC57">
        <f>IF(OR($J57=0,COUNTIFS($A$4:$A56,"&gt;="&amp;$A57-1,$A$4:$A56,"&lt;="&amp;$A57,$B$4:$B56,$B57)&gt;0,MIN(BC$1,IF($A57=$A56,BC56,1))-AH57&lt;0),-1,MIN(1,IF($A57=$A56,BC56,1)-AH57+$D$3))</f>
        <v>1</v>
      </c>
      <c r="BD57">
        <f>IF(OR($J57=0,COUNTIFS($A$4:$A56,"&gt;="&amp;$A57-1,$A$4:$A56,"&lt;="&amp;$A57,$B$4:$B56,$B57)&gt;0,MIN(BD$1,IF($A57=$A56,BD56,1))-AI57&lt;0),-1,MIN(1,IF($A57=$A56,BD56,1)-AI57+$D$3))</f>
        <v>1</v>
      </c>
      <c r="BF57" s="44">
        <f t="shared" si="179"/>
        <v>7.5230458257450561E-2</v>
      </c>
      <c r="BG57" s="44">
        <f t="shared" si="180"/>
        <v>0.25749148807863664</v>
      </c>
      <c r="BH57" s="44">
        <f t="shared" si="181"/>
        <v>0.28844862639496155</v>
      </c>
      <c r="BI57" s="44">
        <f t="shared" si="182"/>
        <v>0.26156165599267844</v>
      </c>
      <c r="BJ57" s="44">
        <f t="shared" si="183"/>
        <v>0.27515293934090101</v>
      </c>
      <c r="BK57" s="44">
        <f t="shared" si="184"/>
        <v>7.2924108595246728E-2</v>
      </c>
      <c r="BL57" s="44">
        <f t="shared" si="185"/>
        <v>3.9302798921234158E-2</v>
      </c>
      <c r="BM57" s="44">
        <f t="shared" si="186"/>
        <v>0.16460041666586561</v>
      </c>
      <c r="BN57" s="44">
        <f t="shared" si="187"/>
        <v>0.15895654478263876</v>
      </c>
      <c r="BO57" s="44">
        <f t="shared" si="188"/>
        <v>5.1573931384752053E-2</v>
      </c>
      <c r="BP57" s="44">
        <f t="shared" si="189"/>
        <v>0.23011303095309679</v>
      </c>
      <c r="BQ57" s="44">
        <f t="shared" si="190"/>
        <v>3.5209897837458419E-2</v>
      </c>
      <c r="BR57" s="44">
        <f t="shared" si="191"/>
        <v>0.1680292801700532</v>
      </c>
      <c r="BS57" s="44">
        <f t="shared" si="192"/>
        <v>8.6481905929434624E-2</v>
      </c>
      <c r="BT57" s="44">
        <f t="shared" si="193"/>
        <v>0.38332768532896661</v>
      </c>
      <c r="BU57" s="44">
        <f t="shared" si="194"/>
        <v>0.32857580359666616</v>
      </c>
      <c r="BV57" s="44">
        <f t="shared" si="195"/>
        <v>0.3740577151081097</v>
      </c>
      <c r="BW57" s="44">
        <f t="shared" si="196"/>
        <v>0.1925143209885653</v>
      </c>
      <c r="BX57" s="44">
        <f t="shared" si="197"/>
        <v>0.18942537798681008</v>
      </c>
      <c r="BY57" s="44">
        <f t="shared" si="198"/>
        <v>0.11972129586424192</v>
      </c>
      <c r="CA57" s="44">
        <f t="shared" si="199"/>
        <v>-0.5389184131702569</v>
      </c>
      <c r="CB57" s="44">
        <f t="shared" si="200"/>
        <v>5.209677630085463E-2</v>
      </c>
      <c r="CC57" s="44">
        <f t="shared" si="201"/>
        <v>0.76787904071921376</v>
      </c>
      <c r="CD57" s="44">
        <f t="shared" si="202"/>
        <v>0.60309090483275907</v>
      </c>
      <c r="CE57" s="44">
        <f t="shared" si="203"/>
        <v>0.68639081604432595</v>
      </c>
      <c r="CF57" s="44">
        <f t="shared" si="204"/>
        <v>-0.77652692481166119</v>
      </c>
      <c r="CG57" s="44">
        <f t="shared" si="205"/>
        <v>-0.75911622349238794</v>
      </c>
      <c r="CH57" s="44">
        <f t="shared" si="206"/>
        <v>-0.32745129151978913</v>
      </c>
      <c r="CI57" s="44">
        <f t="shared" si="207"/>
        <v>-2.5767786040388541E-2</v>
      </c>
      <c r="CJ57" s="44">
        <f t="shared" si="208"/>
        <v>-0.68390741366280738</v>
      </c>
      <c r="CK57" s="44">
        <f t="shared" si="209"/>
        <v>0.41034474492979411</v>
      </c>
      <c r="CL57" s="44">
        <f t="shared" si="210"/>
        <v>-0.78420129369076863</v>
      </c>
      <c r="CM57" s="44">
        <f t="shared" si="211"/>
        <v>-0.31344113426740761</v>
      </c>
      <c r="CN57" s="44">
        <f t="shared" si="212"/>
        <v>-0.46995917156924705</v>
      </c>
      <c r="CO57" s="44">
        <f t="shared" si="213"/>
        <v>1.3493853622744361</v>
      </c>
      <c r="CP57" s="44">
        <f t="shared" si="214"/>
        <v>1.0138153671449257</v>
      </c>
      <c r="CQ57" s="44">
        <f t="shared" si="215"/>
        <v>0.52838029385856466</v>
      </c>
      <c r="CR57" s="44">
        <f t="shared" si="216"/>
        <v>0.17990519617853362</v>
      </c>
      <c r="CS57" s="44">
        <f t="shared" si="217"/>
        <v>0.16097330643778651</v>
      </c>
      <c r="CT57" s="44">
        <f t="shared" si="218"/>
        <v>-0.26623755387093007</v>
      </c>
      <c r="CV57" s="44">
        <f t="shared" si="219"/>
        <v>0.62577855038324304</v>
      </c>
    </row>
    <row r="58" spans="1:100" x14ac:dyDescent="0.25">
      <c r="A58" s="97">
        <v>45063</v>
      </c>
      <c r="B58" s="86">
        <v>29</v>
      </c>
      <c r="C58" s="43" t="str" cm="1">
        <f t="array" ref="C58">IF(B58="","",INDEX(UWS!$B$10:$B$41,B58))</f>
        <v>Weighted decline crunch</v>
      </c>
      <c r="D58" s="40">
        <f t="shared" si="176"/>
        <v>0.4</v>
      </c>
      <c r="E58" s="69">
        <f t="shared" si="177"/>
        <v>1.0879604740164859</v>
      </c>
      <c r="F58" s="48" cm="1">
        <f t="array" ref="F58">0.1+IFERROR(INDEX($F$5:$F57,SUMPRODUCT(MAX(ROW($C$5:$C57)*($C58=$C$5:$C57))-ROW($A$4)))*0.9^($A58-INDEX($A$5:A57,SUMPRODUCT(MAX(ROW($C$5:$C57)*($C58=$C$5:$C57))-ROW($A$4)))),0)</f>
        <v>0.13486784401000002</v>
      </c>
      <c r="G58" s="55">
        <f>INDEX(UWS!$AB$10:$AB$41,MATCH(C58,UWS!$B$10:$B$41,0))</f>
        <v>2</v>
      </c>
      <c r="H58" s="48">
        <f>INDEX(UWS!$C$10:$C$41,MATCH(C58,UWS!$B$10:$B$41,0))</f>
        <v>1</v>
      </c>
      <c r="I58" s="27">
        <f t="shared" si="178"/>
        <v>3</v>
      </c>
      <c r="J58" s="27">
        <f>INDEX(UWS!$E$10:$E$41,MATCH(C58,UWS!$B$10:$B$41,0))</f>
        <v>1</v>
      </c>
      <c r="L58" s="108" t="str" cm="1">
        <f t="array" ref="L58">IF(K58="","",INDEX(UWS!$B$10:$B$41,K58))</f>
        <v/>
      </c>
      <c r="N58" s="108" t="str" cm="1">
        <f t="array" ref="N58">IF(M58="","",INDEX(UWS!$B$10:$B$41,M58))</f>
        <v/>
      </c>
      <c r="P58">
        <f>IFERROR(INDEX(UWS!$G$10:$Z$41,MATCH($C58,UWS!$B$10:$B$41,0),MATCH(P$4,UWS!$G$3:$Z$3,0)),0)</f>
        <v>0</v>
      </c>
      <c r="Q58">
        <f>IFERROR(INDEX(UWS!$G$10:$Z$41,MATCH($C58,UWS!$B$10:$B$41,0),MATCH(Q$4,UWS!$G$3:$Z$3,0)),0)</f>
        <v>0</v>
      </c>
      <c r="R58">
        <f>IFERROR(INDEX(UWS!$G$10:$Z$41,MATCH($C58,UWS!$B$10:$B$41,0),MATCH(R$4,UWS!$G$3:$Z$3,0)),0)</f>
        <v>0</v>
      </c>
      <c r="S58">
        <f>IFERROR(INDEX(UWS!$G$10:$Z$41,MATCH($C58,UWS!$B$10:$B$41,0),MATCH(S$4,UWS!$G$3:$Z$3,0)),0)</f>
        <v>0</v>
      </c>
      <c r="T58">
        <f>IFERROR(INDEX(UWS!$G$10:$Z$41,MATCH($C58,UWS!$B$10:$B$41,0),MATCH(T$4,UWS!$G$3:$Z$3,0)),0)</f>
        <v>0</v>
      </c>
      <c r="U58">
        <f>IFERROR(INDEX(UWS!$G$10:$Z$41,MATCH($C58,UWS!$B$10:$B$41,0),MATCH(U$4,UWS!$G$3:$Z$3,0)),0)</f>
        <v>0</v>
      </c>
      <c r="V58">
        <f>IFERROR(INDEX(UWS!$G$10:$Z$41,MATCH($C58,UWS!$B$10:$B$41,0),MATCH(V$4,UWS!$G$3:$Z$3,0)),0)</f>
        <v>0</v>
      </c>
      <c r="W58">
        <f>IFERROR(INDEX(UWS!$G$10:$Z$41,MATCH($C58,UWS!$B$10:$B$41,0),MATCH(W$4,UWS!$G$3:$Z$3,0)),0)</f>
        <v>0</v>
      </c>
      <c r="X58">
        <f>IFERROR(INDEX(UWS!$G$10:$Z$41,MATCH($C58,UWS!$B$10:$B$41,0),MATCH(X$4,UWS!$G$3:$Z$3,0)),0)</f>
        <v>0</v>
      </c>
      <c r="Y58">
        <f>IFERROR(INDEX(UWS!$G$10:$Z$41,MATCH($C58,UWS!$B$10:$B$41,0),MATCH(Y$4,UWS!$G$3:$Z$3,0)),0)</f>
        <v>0</v>
      </c>
      <c r="Z58">
        <f>IFERROR(INDEX(UWS!$G$10:$Z$41,MATCH($C58,UWS!$B$10:$B$41,0),MATCH(Z$4,UWS!$G$3:$Z$3,0)),0)</f>
        <v>0</v>
      </c>
      <c r="AA58">
        <f>IFERROR(INDEX(UWS!$G$10:$Z$41,MATCH($C58,UWS!$B$10:$B$41,0),MATCH(AA$4,UWS!$G$3:$Z$3,0)),0)</f>
        <v>1</v>
      </c>
      <c r="AB58">
        <f>IFERROR(INDEX(UWS!$G$10:$Z$41,MATCH($C58,UWS!$B$10:$B$41,0),MATCH(AB$4,UWS!$G$3:$Z$3,0)),0)</f>
        <v>0.7</v>
      </c>
      <c r="AC58">
        <f>IFERROR(INDEX(UWS!$G$10:$Z$41,MATCH($C58,UWS!$B$10:$B$41,0),MATCH(AC$4,UWS!$G$3:$Z$3,0)),0)</f>
        <v>0.3</v>
      </c>
      <c r="AD58">
        <f>IFERROR(INDEX(UWS!$G$10:$Z$41,MATCH($C58,UWS!$B$10:$B$41,0),MATCH(AD$4,UWS!$G$3:$Z$3,0)),0)</f>
        <v>0</v>
      </c>
      <c r="AE58">
        <f>IFERROR(INDEX(UWS!$G$10:$Z$41,MATCH($C58,UWS!$B$10:$B$41,0),MATCH(AE$4,UWS!$G$3:$Z$3,0)),0)</f>
        <v>0</v>
      </c>
      <c r="AF58">
        <f>IFERROR(INDEX(UWS!$G$10:$Z$41,MATCH($C58,UWS!$B$10:$B$41,0),MATCH(AF$4,UWS!$G$3:$Z$3,0)),0)</f>
        <v>0</v>
      </c>
      <c r="AG58">
        <f>IFERROR(INDEX(UWS!$G$10:$Z$41,MATCH($C58,UWS!$B$10:$B$41,0),MATCH(AG$4,UWS!$G$3:$Z$3,0)),0)</f>
        <v>0</v>
      </c>
      <c r="AH58">
        <f>IFERROR(INDEX(UWS!$G$10:$Z$41,MATCH($C58,UWS!$B$10:$B$41,0),MATCH(AH$4,UWS!$G$3:$Z$3,0)),0)</f>
        <v>0</v>
      </c>
      <c r="AI58">
        <f>IFERROR(INDEX(UWS!$G$10:$Z$41,MATCH($C58,UWS!$B$10:$B$41,0),MATCH(AI$4,UWS!$G$3:$Z$3,0)),0)</f>
        <v>0</v>
      </c>
      <c r="AK58">
        <f>IF(OR($J58=0,COUNTIFS($A$4:$A57,"&gt;="&amp;$A58-1,$A$4:$A57,"&lt;="&amp;$A58,$B$4:$B57,$B58)&gt;0,MIN(AK$1,IF($A58=$A57,AK57,1))-P58&lt;0),-1,MIN(1,IF($A58=$A57,AK57,1)-P58+$D$3))</f>
        <v>1</v>
      </c>
      <c r="AL58">
        <f>IF(OR($J58=0,COUNTIFS($A$4:$A57,"&gt;="&amp;$A58-1,$A$4:$A57,"&lt;="&amp;$A58,$B$4:$B57,$B58)&gt;0,MIN(AL$1,IF($A58=$A57,AL57,1))-Q58&lt;0),-1,MIN(1,IF($A58=$A57,AL57,1)-Q58+$D$3))</f>
        <v>0.8</v>
      </c>
      <c r="AM58">
        <f>IF(OR($J58=0,COUNTIFS($A$4:$A57,"&gt;="&amp;$A58-1,$A$4:$A57,"&lt;="&amp;$A58,$B$4:$B57,$B58)&gt;0,MIN(AM$1,IF($A58=$A57,AM57,1))-R58&lt;0),-1,MIN(1,IF($A58=$A57,AM57,1)-R58+$D$3))</f>
        <v>1</v>
      </c>
      <c r="AN58">
        <f>IF(OR($J58=0,COUNTIFS($A$4:$A57,"&gt;="&amp;$A58-1,$A$4:$A57,"&lt;="&amp;$A58,$B$4:$B57,$B58)&gt;0,MIN(AN$1,IF($A58=$A57,AN57,1))-S58&lt;0),-1,MIN(1,IF($A58=$A57,AN57,1)-S58+$D$3))</f>
        <v>1</v>
      </c>
      <c r="AO58">
        <f>IF(OR($J58=0,COUNTIFS($A$4:$A57,"&gt;="&amp;$A58-1,$A$4:$A57,"&lt;="&amp;$A58,$B$4:$B57,$B58)&gt;0,MIN(AO$1,IF($A58=$A57,AO57,1))-T58&lt;0),-1,MIN(1,IF($A58=$A57,AO57,1)-T58+$D$3))</f>
        <v>1</v>
      </c>
      <c r="AP58">
        <f>IF(OR($J58=0,COUNTIFS($A$4:$A57,"&gt;="&amp;$A58-1,$A$4:$A57,"&lt;="&amp;$A58,$B$4:$B57,$B58)&gt;0,MIN(AP$1,IF($A58=$A57,AP57,1))-U58&lt;0),-1,MIN(1,IF($A58=$A57,AP57,1)-U58+$D$3))</f>
        <v>1</v>
      </c>
      <c r="AQ58">
        <f>IF(OR($J58=0,COUNTIFS($A$4:$A57,"&gt;="&amp;$A58-1,$A$4:$A57,"&lt;="&amp;$A58,$B$4:$B57,$B58)&gt;0,MIN(AQ$1,IF($A58=$A57,AQ57,1))-V58&lt;0),-1,MIN(1,IF($A58=$A57,AQ57,1)-V58+$D$3))</f>
        <v>1</v>
      </c>
      <c r="AR58">
        <f>IF(OR($J58=0,COUNTIFS($A$4:$A57,"&gt;="&amp;$A58-1,$A$4:$A57,"&lt;="&amp;$A58,$B$4:$B57,$B58)&gt;0,MIN(AR$1,IF($A58=$A57,AR57,1))-W58&lt;0),-1,MIN(1,IF($A58=$A57,AR57,1)-W58+$D$3))</f>
        <v>1</v>
      </c>
      <c r="AS58">
        <f>IF(OR($J58=0,COUNTIFS($A$4:$A57,"&gt;="&amp;$A58-1,$A$4:$A57,"&lt;="&amp;$A58,$B$4:$B57,$B58)&gt;0,MIN(AS$1,IF($A58=$A57,AS57,1))-X58&lt;0),-1,MIN(1,IF($A58=$A57,AS57,1)-X58+$D$3))</f>
        <v>1</v>
      </c>
      <c r="AT58">
        <f>IF(OR($J58=0,COUNTIFS($A$4:$A57,"&gt;="&amp;$A58-1,$A$4:$A57,"&lt;="&amp;$A58,$B$4:$B57,$B58)&gt;0,MIN(AT$1,IF($A58=$A57,AT57,1))-Y58&lt;0),-1,MIN(1,IF($A58=$A57,AT57,1)-Y58+$D$3))</f>
        <v>1</v>
      </c>
      <c r="AU58">
        <f>IF(OR($J58=0,COUNTIFS($A$4:$A57,"&gt;="&amp;$A58-1,$A$4:$A57,"&lt;="&amp;$A58,$B$4:$B57,$B58)&gt;0,MIN(AU$1,IF($A58=$A57,AU57,1))-Z58&lt;0),-1,MIN(1,IF($A58=$A57,AU57,1)-Z58+$D$3))</f>
        <v>1</v>
      </c>
      <c r="AV58">
        <f>IF(OR($J58=0,COUNTIFS($A$4:$A57,"&gt;="&amp;$A58-1,$A$4:$A57,"&lt;="&amp;$A58,$B$4:$B57,$B58)&gt;0,MIN(AV$1,IF($A58=$A57,AV57,1))-AA58&lt;0),-1,MIN(1,IF($A58=$A57,AV57,1)-AA58+$D$3))</f>
        <v>0.4</v>
      </c>
      <c r="AW58">
        <f>IF(OR($J58=0,COUNTIFS($A$4:$A57,"&gt;="&amp;$A58-1,$A$4:$A57,"&lt;="&amp;$A58,$B$4:$B57,$B58)&gt;0,MIN(AW$1,IF($A58=$A57,AW57,1))-AB58&lt;0),-1,MIN(1,IF($A58=$A57,AW57,1)-AB58+$D$3))</f>
        <v>0.70000000000000007</v>
      </c>
      <c r="AX58">
        <f>IF(OR($J58=0,COUNTIFS($A$4:$A57,"&gt;="&amp;$A58-1,$A$4:$A57,"&lt;="&amp;$A58,$B$4:$B57,$B58)&gt;0,MIN(AX$1,IF($A58=$A57,AX57,1))-AC58&lt;0),-1,MIN(1,IF($A58=$A57,AX57,1)-AC58+$D$3))</f>
        <v>1</v>
      </c>
      <c r="AY58">
        <f>IF(OR($J58=0,COUNTIFS($A$4:$A57,"&gt;="&amp;$A58-1,$A$4:$A57,"&lt;="&amp;$A58,$B$4:$B57,$B58)&gt;0,MIN(AY$1,IF($A58=$A57,AY57,1))-AD58&lt;0),-1,MIN(1,IF($A58=$A57,AY57,1)-AD58+$D$3))</f>
        <v>1</v>
      </c>
      <c r="AZ58">
        <f>IF(OR($J58=0,COUNTIFS($A$4:$A57,"&gt;="&amp;$A58-1,$A$4:$A57,"&lt;="&amp;$A58,$B$4:$B57,$B58)&gt;0,MIN(AZ$1,IF($A58=$A57,AZ57,1))-AE58&lt;0),-1,MIN(1,IF($A58=$A57,AZ57,1)-AE58+$D$3))</f>
        <v>1</v>
      </c>
      <c r="BA58">
        <f>IF(OR($J58=0,COUNTIFS($A$4:$A57,"&gt;="&amp;$A58-1,$A$4:$A57,"&lt;="&amp;$A58,$B$4:$B57,$B58)&gt;0,MIN(BA$1,IF($A58=$A57,BA57,1))-AF58&lt;0),-1,MIN(1,IF($A58=$A57,BA57,1)-AF58+$D$3))</f>
        <v>1</v>
      </c>
      <c r="BB58">
        <f>IF(OR($J58=0,COUNTIFS($A$4:$A57,"&gt;="&amp;$A58-1,$A$4:$A57,"&lt;="&amp;$A58,$B$4:$B57,$B58)&gt;0,MIN(BB$1,IF($A58=$A57,BB57,1))-AG58&lt;0),-1,MIN(1,IF($A58=$A57,BB57,1)-AG58+$D$3))</f>
        <v>1</v>
      </c>
      <c r="BC58">
        <f>IF(OR($J58=0,COUNTIFS($A$4:$A57,"&gt;="&amp;$A58-1,$A$4:$A57,"&lt;="&amp;$A58,$B$4:$B57,$B58)&gt;0,MIN(BC$1,IF($A58=$A57,BC57,1))-AH58&lt;0),-1,MIN(1,IF($A58=$A57,BC57,1)-AH58+$D$3))</f>
        <v>1</v>
      </c>
      <c r="BD58">
        <f>IF(OR($J58=0,COUNTIFS($A$4:$A57,"&gt;="&amp;$A58-1,$A$4:$A57,"&lt;="&amp;$A58,$B$4:$B57,$B58)&gt;0,MIN(BD$1,IF($A58=$A57,BD57,1))-AI58&lt;0),-1,MIN(1,IF($A58=$A57,BD57,1)-AI58+$D$3))</f>
        <v>1</v>
      </c>
      <c r="BF58" s="44">
        <f t="shared" si="179"/>
        <v>7.146893534457803E-2</v>
      </c>
      <c r="BG58" s="44">
        <f t="shared" si="180"/>
        <v>0.24461691367470481</v>
      </c>
      <c r="BH58" s="44">
        <f t="shared" si="181"/>
        <v>0.27402619507521347</v>
      </c>
      <c r="BI58" s="44">
        <f t="shared" si="182"/>
        <v>0.24848357319304451</v>
      </c>
      <c r="BJ58" s="44">
        <f t="shared" si="183"/>
        <v>0.26139529237385595</v>
      </c>
      <c r="BK58" s="44">
        <f t="shared" si="184"/>
        <v>6.9277903165484392E-2</v>
      </c>
      <c r="BL58" s="44">
        <f t="shared" si="185"/>
        <v>3.7337658975172446E-2</v>
      </c>
      <c r="BM58" s="44">
        <f t="shared" si="186"/>
        <v>0.15637039583257231</v>
      </c>
      <c r="BN58" s="44">
        <f t="shared" si="187"/>
        <v>0.15100871754350681</v>
      </c>
      <c r="BO58" s="44">
        <f t="shared" si="188"/>
        <v>4.8995234815514446E-2</v>
      </c>
      <c r="BP58" s="44">
        <f t="shared" si="189"/>
        <v>0.21860737940544195</v>
      </c>
      <c r="BQ58" s="44">
        <f t="shared" si="190"/>
        <v>8.3449402945585505E-2</v>
      </c>
      <c r="BR58" s="44">
        <f t="shared" si="191"/>
        <v>0.19462781616155053</v>
      </c>
      <c r="BS58" s="44">
        <f t="shared" si="192"/>
        <v>9.7157810632962888E-2</v>
      </c>
      <c r="BT58" s="44">
        <f t="shared" si="193"/>
        <v>0.36416130106251826</v>
      </c>
      <c r="BU58" s="44">
        <f t="shared" si="194"/>
        <v>0.31214701341683282</v>
      </c>
      <c r="BV58" s="44">
        <f t="shared" si="195"/>
        <v>0.35535482935270418</v>
      </c>
      <c r="BW58" s="44">
        <f t="shared" si="196"/>
        <v>0.18288860493913703</v>
      </c>
      <c r="BX58" s="44">
        <f t="shared" si="197"/>
        <v>0.17995410908746956</v>
      </c>
      <c r="BY58" s="44">
        <f t="shared" si="198"/>
        <v>0.11373523107102981</v>
      </c>
      <c r="CA58" s="44">
        <f t="shared" si="199"/>
        <v>-0.55149886324739739</v>
      </c>
      <c r="CB58" s="44">
        <f t="shared" si="200"/>
        <v>2.3390683174085325E-2</v>
      </c>
      <c r="CC58" s="44">
        <f t="shared" si="201"/>
        <v>0.71964307847419917</v>
      </c>
      <c r="CD58" s="44">
        <f t="shared" si="202"/>
        <v>0.55935112932788011</v>
      </c>
      <c r="CE58" s="44">
        <f t="shared" si="203"/>
        <v>0.64037823155214224</v>
      </c>
      <c r="CF58" s="44">
        <f t="shared" si="204"/>
        <v>-0.78262430962661822</v>
      </c>
      <c r="CG58" s="44">
        <f t="shared" si="205"/>
        <v>-0.76568865321265367</v>
      </c>
      <c r="CH58" s="44">
        <f t="shared" si="206"/>
        <v>-0.34580154816234043</v>
      </c>
      <c r="CI58" s="44">
        <f t="shared" si="207"/>
        <v>-5.2349371775640807E-2</v>
      </c>
      <c r="CJ58" s="44">
        <f t="shared" si="208"/>
        <v>-0.69253188949475519</v>
      </c>
      <c r="CK58" s="44">
        <f t="shared" si="209"/>
        <v>0.37186398108680363</v>
      </c>
      <c r="CL58" s="44">
        <f t="shared" si="210"/>
        <v>-0.47631580207581081</v>
      </c>
      <c r="CM58" s="44">
        <f t="shared" si="211"/>
        <v>-0.18574602731223089</v>
      </c>
      <c r="CN58" s="44">
        <f t="shared" si="212"/>
        <v>-0.3902891052849049</v>
      </c>
      <c r="CO58" s="44">
        <f t="shared" si="213"/>
        <v>1.2852832031201777</v>
      </c>
      <c r="CP58" s="44">
        <f t="shared" si="214"/>
        <v>0.95886911811958764</v>
      </c>
      <c r="CQ58" s="44">
        <f t="shared" si="215"/>
        <v>0.48667897128357995</v>
      </c>
      <c r="CR58" s="44">
        <f t="shared" si="216"/>
        <v>0.14771189494882364</v>
      </c>
      <c r="CS58" s="44">
        <f t="shared" si="217"/>
        <v>0.12929655520823369</v>
      </c>
      <c r="CT58" s="44">
        <f t="shared" si="218"/>
        <v>-0.2862580059680897</v>
      </c>
      <c r="CV58" s="44">
        <f t="shared" si="219"/>
        <v>0.58424942700886506</v>
      </c>
    </row>
    <row r="59" spans="1:100" x14ac:dyDescent="0.25">
      <c r="A59" s="97">
        <v>45063</v>
      </c>
      <c r="B59" s="86">
        <v>12</v>
      </c>
      <c r="C59" s="43" t="str" cm="1">
        <f t="array" ref="C59">IF(B59="","",INDEX(UWS!$B$10:$B$41,B59))</f>
        <v>Machine seated leg curl</v>
      </c>
      <c r="D59" s="40">
        <f t="shared" si="176"/>
        <v>0.4</v>
      </c>
      <c r="E59" s="69">
        <f t="shared" si="177"/>
        <v>1.7442024632885127</v>
      </c>
      <c r="F59" s="48" cm="1">
        <f t="array" ref="F59">0.1+IFERROR(INDEX($F$5:$F58,SUMPRODUCT(MAX(ROW($C$5:$C58)*($C59=$C$5:$C58))-ROW($A$4)))*0.9^($A59-INDEX($A$5:A58,SUMPRODUCT(MAX(ROW($C$5:$C58)*($C59=$C$5:$C58))-ROW($A$4)))),0)</f>
        <v>0.12541865828329002</v>
      </c>
      <c r="G59" s="55">
        <f>INDEX(UWS!$AB$10:$AB$41,MATCH(C59,UWS!$B$10:$B$41,0))</f>
        <v>1</v>
      </c>
      <c r="H59" s="48">
        <f>INDEX(UWS!$C$10:$C$41,MATCH(C59,UWS!$B$10:$B$41,0))</f>
        <v>1</v>
      </c>
      <c r="I59" s="27">
        <f t="shared" si="178"/>
        <v>4</v>
      </c>
      <c r="J59" s="27">
        <f>INDEX(UWS!$E$10:$E$41,MATCH(C59,UWS!$B$10:$B$41,0))</f>
        <v>1</v>
      </c>
      <c r="L59" s="108" t="str" cm="1">
        <f t="array" ref="L59">IF(K59="","",INDEX(UWS!$B$10:$B$41,K59))</f>
        <v/>
      </c>
      <c r="N59" s="108" t="str" cm="1">
        <f t="array" ref="N59">IF(M59="","",INDEX(UWS!$B$10:$B$41,M59))</f>
        <v/>
      </c>
      <c r="P59">
        <f>IFERROR(INDEX(UWS!$G$10:$Z$41,MATCH($C59,UWS!$B$10:$B$41,0),MATCH(P$4,UWS!$G$3:$Z$3,0)),0)</f>
        <v>0</v>
      </c>
      <c r="Q59">
        <f>IFERROR(INDEX(UWS!$G$10:$Z$41,MATCH($C59,UWS!$B$10:$B$41,0),MATCH(Q$4,UWS!$G$3:$Z$3,0)),0)</f>
        <v>0</v>
      </c>
      <c r="R59">
        <f>IFERROR(INDEX(UWS!$G$10:$Z$41,MATCH($C59,UWS!$B$10:$B$41,0),MATCH(R$4,UWS!$G$3:$Z$3,0)),0)</f>
        <v>0</v>
      </c>
      <c r="S59">
        <f>IFERROR(INDEX(UWS!$G$10:$Z$41,MATCH($C59,UWS!$B$10:$B$41,0),MATCH(S$4,UWS!$G$3:$Z$3,0)),0)</f>
        <v>0</v>
      </c>
      <c r="T59">
        <f>IFERROR(INDEX(UWS!$G$10:$Z$41,MATCH($C59,UWS!$B$10:$B$41,0),MATCH(T$4,UWS!$G$3:$Z$3,0)),0)</f>
        <v>0</v>
      </c>
      <c r="U59">
        <f>IFERROR(INDEX(UWS!$G$10:$Z$41,MATCH($C59,UWS!$B$10:$B$41,0),MATCH(U$4,UWS!$G$3:$Z$3,0)),0)</f>
        <v>0</v>
      </c>
      <c r="V59">
        <f>IFERROR(INDEX(UWS!$G$10:$Z$41,MATCH($C59,UWS!$B$10:$B$41,0),MATCH(V$4,UWS!$G$3:$Z$3,0)),0)</f>
        <v>0</v>
      </c>
      <c r="W59">
        <f>IFERROR(INDEX(UWS!$G$10:$Z$41,MATCH($C59,UWS!$B$10:$B$41,0),MATCH(W$4,UWS!$G$3:$Z$3,0)),0)</f>
        <v>0</v>
      </c>
      <c r="X59">
        <f>IFERROR(INDEX(UWS!$G$10:$Z$41,MATCH($C59,UWS!$B$10:$B$41,0),MATCH(X$4,UWS!$G$3:$Z$3,0)),0)</f>
        <v>0</v>
      </c>
      <c r="Y59">
        <f>IFERROR(INDEX(UWS!$G$10:$Z$41,MATCH($C59,UWS!$B$10:$B$41,0),MATCH(Y$4,UWS!$G$3:$Z$3,0)),0)</f>
        <v>0</v>
      </c>
      <c r="Z59">
        <f>IFERROR(INDEX(UWS!$G$10:$Z$41,MATCH($C59,UWS!$B$10:$B$41,0),MATCH(Z$4,UWS!$G$3:$Z$3,0)),0)</f>
        <v>0</v>
      </c>
      <c r="AA59">
        <f>IFERROR(INDEX(UWS!$G$10:$Z$41,MATCH($C59,UWS!$B$10:$B$41,0),MATCH(AA$4,UWS!$G$3:$Z$3,0)),0)</f>
        <v>0</v>
      </c>
      <c r="AB59">
        <f>IFERROR(INDEX(UWS!$G$10:$Z$41,MATCH($C59,UWS!$B$10:$B$41,0),MATCH(AB$4,UWS!$G$3:$Z$3,0)),0)</f>
        <v>0</v>
      </c>
      <c r="AC59">
        <f>IFERROR(INDEX(UWS!$G$10:$Z$41,MATCH($C59,UWS!$B$10:$B$41,0),MATCH(AC$4,UWS!$G$3:$Z$3,0)),0)</f>
        <v>0</v>
      </c>
      <c r="AD59">
        <f>IFERROR(INDEX(UWS!$G$10:$Z$41,MATCH($C59,UWS!$B$10:$B$41,0),MATCH(AD$4,UWS!$G$3:$Z$3,0)),0)</f>
        <v>0</v>
      </c>
      <c r="AE59">
        <f>IFERROR(INDEX(UWS!$G$10:$Z$41,MATCH($C59,UWS!$B$10:$B$41,0),MATCH(AE$4,UWS!$G$3:$Z$3,0)),0)</f>
        <v>1</v>
      </c>
      <c r="AF59">
        <f>IFERROR(INDEX(UWS!$G$10:$Z$41,MATCH($C59,UWS!$B$10:$B$41,0),MATCH(AF$4,UWS!$G$3:$Z$3,0)),0)</f>
        <v>0</v>
      </c>
      <c r="AG59">
        <f>IFERROR(INDEX(UWS!$G$10:$Z$41,MATCH($C59,UWS!$B$10:$B$41,0),MATCH(AG$4,UWS!$G$3:$Z$3,0)),0)</f>
        <v>0</v>
      </c>
      <c r="AH59">
        <f>IFERROR(INDEX(UWS!$G$10:$Z$41,MATCH($C59,UWS!$B$10:$B$41,0),MATCH(AH$4,UWS!$G$3:$Z$3,0)),0)</f>
        <v>0</v>
      </c>
      <c r="AI59">
        <f>IFERROR(INDEX(UWS!$G$10:$Z$41,MATCH($C59,UWS!$B$10:$B$41,0),MATCH(AI$4,UWS!$G$3:$Z$3,0)),0)</f>
        <v>0</v>
      </c>
      <c r="AK59">
        <f>IF(OR($J59=0,COUNTIFS($A$4:$A58,"&gt;="&amp;$A59-1,$A$4:$A58,"&lt;="&amp;$A59,$B$4:$B58,$B59)&gt;0,MIN(AK$1,IF($A59=$A58,AK58,1))-P59&lt;0),-1,MIN(1,IF($A59=$A58,AK58,1)-P59+$D$3))</f>
        <v>1</v>
      </c>
      <c r="AL59">
        <f>IF(OR($J59=0,COUNTIFS($A$4:$A58,"&gt;="&amp;$A59-1,$A$4:$A58,"&lt;="&amp;$A59,$B$4:$B58,$B59)&gt;0,MIN(AL$1,IF($A59=$A58,AL58,1))-Q59&lt;0),-1,MIN(1,IF($A59=$A58,AL58,1)-Q59+$D$3))</f>
        <v>1</v>
      </c>
      <c r="AM59">
        <f>IF(OR($J59=0,COUNTIFS($A$4:$A58,"&gt;="&amp;$A59-1,$A$4:$A58,"&lt;="&amp;$A59,$B$4:$B58,$B59)&gt;0,MIN(AM$1,IF($A59=$A58,AM58,1))-R59&lt;0),-1,MIN(1,IF($A59=$A58,AM58,1)-R59+$D$3))</f>
        <v>1</v>
      </c>
      <c r="AN59">
        <f>IF(OR($J59=0,COUNTIFS($A$4:$A58,"&gt;="&amp;$A59-1,$A$4:$A58,"&lt;="&amp;$A59,$B$4:$B58,$B59)&gt;0,MIN(AN$1,IF($A59=$A58,AN58,1))-S59&lt;0),-1,MIN(1,IF($A59=$A58,AN58,1)-S59+$D$3))</f>
        <v>1</v>
      </c>
      <c r="AO59">
        <f>IF(OR($J59=0,COUNTIFS($A$4:$A58,"&gt;="&amp;$A59-1,$A$4:$A58,"&lt;="&amp;$A59,$B$4:$B58,$B59)&gt;0,MIN(AO$1,IF($A59=$A58,AO58,1))-T59&lt;0),-1,MIN(1,IF($A59=$A58,AO58,1)-T59+$D$3))</f>
        <v>1</v>
      </c>
      <c r="AP59">
        <f>IF(OR($J59=0,COUNTIFS($A$4:$A58,"&gt;="&amp;$A59-1,$A$4:$A58,"&lt;="&amp;$A59,$B$4:$B58,$B59)&gt;0,MIN(AP$1,IF($A59=$A58,AP58,1))-U59&lt;0),-1,MIN(1,IF($A59=$A58,AP58,1)-U59+$D$3))</f>
        <v>1</v>
      </c>
      <c r="AQ59">
        <f>IF(OR($J59=0,COUNTIFS($A$4:$A58,"&gt;="&amp;$A59-1,$A$4:$A58,"&lt;="&amp;$A59,$B$4:$B58,$B59)&gt;0,MIN(AQ$1,IF($A59=$A58,AQ58,1))-V59&lt;0),-1,MIN(1,IF($A59=$A58,AQ58,1)-V59+$D$3))</f>
        <v>1</v>
      </c>
      <c r="AR59">
        <f>IF(OR($J59=0,COUNTIFS($A$4:$A58,"&gt;="&amp;$A59-1,$A$4:$A58,"&lt;="&amp;$A59,$B$4:$B58,$B59)&gt;0,MIN(AR$1,IF($A59=$A58,AR58,1))-W59&lt;0),-1,MIN(1,IF($A59=$A58,AR58,1)-W59+$D$3))</f>
        <v>1</v>
      </c>
      <c r="AS59">
        <f>IF(OR($J59=0,COUNTIFS($A$4:$A58,"&gt;="&amp;$A59-1,$A$4:$A58,"&lt;="&amp;$A59,$B$4:$B58,$B59)&gt;0,MIN(AS$1,IF($A59=$A58,AS58,1))-X59&lt;0),-1,MIN(1,IF($A59=$A58,AS58,1)-X59+$D$3))</f>
        <v>1</v>
      </c>
      <c r="AT59">
        <f>IF(OR($J59=0,COUNTIFS($A$4:$A58,"&gt;="&amp;$A59-1,$A$4:$A58,"&lt;="&amp;$A59,$B$4:$B58,$B59)&gt;0,MIN(AT$1,IF($A59=$A58,AT58,1))-Y59&lt;0),-1,MIN(1,IF($A59=$A58,AT58,1)-Y59+$D$3))</f>
        <v>1</v>
      </c>
      <c r="AU59">
        <f>IF(OR($J59=0,COUNTIFS($A$4:$A58,"&gt;="&amp;$A59-1,$A$4:$A58,"&lt;="&amp;$A59,$B$4:$B58,$B59)&gt;0,MIN(AU$1,IF($A59=$A58,AU58,1))-Z59&lt;0),-1,MIN(1,IF($A59=$A58,AU58,1)-Z59+$D$3))</f>
        <v>1</v>
      </c>
      <c r="AV59">
        <f>IF(OR($J59=0,COUNTIFS($A$4:$A58,"&gt;="&amp;$A59-1,$A$4:$A58,"&lt;="&amp;$A59,$B$4:$B58,$B59)&gt;0,MIN(AV$1,IF($A59=$A58,AV58,1))-AA59&lt;0),-1,MIN(1,IF($A59=$A58,AV58,1)-AA59+$D$3))</f>
        <v>0.8</v>
      </c>
      <c r="AW59">
        <f>IF(OR($J59=0,COUNTIFS($A$4:$A58,"&gt;="&amp;$A59-1,$A$4:$A58,"&lt;="&amp;$A59,$B$4:$B58,$B59)&gt;0,MIN(AW$1,IF($A59=$A58,AW58,1))-AB59&lt;0),-1,MIN(1,IF($A59=$A58,AW58,1)-AB59+$D$3))</f>
        <v>1</v>
      </c>
      <c r="AX59">
        <f>IF(OR($J59=0,COUNTIFS($A$4:$A58,"&gt;="&amp;$A59-1,$A$4:$A58,"&lt;="&amp;$A59,$B$4:$B58,$B59)&gt;0,MIN(AX$1,IF($A59=$A58,AX58,1))-AC59&lt;0),-1,MIN(1,IF($A59=$A58,AX58,1)-AC59+$D$3))</f>
        <v>1</v>
      </c>
      <c r="AY59">
        <f>IF(OR($J59=0,COUNTIFS($A$4:$A58,"&gt;="&amp;$A59-1,$A$4:$A58,"&lt;="&amp;$A59,$B$4:$B58,$B59)&gt;0,MIN(AY$1,IF($A59=$A58,AY58,1))-AD59&lt;0),-1,MIN(1,IF($A59=$A58,AY58,1)-AD59+$D$3))</f>
        <v>1</v>
      </c>
      <c r="AZ59">
        <f>IF(OR($J59=0,COUNTIFS($A$4:$A58,"&gt;="&amp;$A59-1,$A$4:$A58,"&lt;="&amp;$A59,$B$4:$B58,$B59)&gt;0,MIN(AZ$1,IF($A59=$A58,AZ58,1))-AE59&lt;0),-1,MIN(1,IF($A59=$A58,AZ58,1)-AE59+$D$3))</f>
        <v>0.4</v>
      </c>
      <c r="BA59">
        <f>IF(OR($J59=0,COUNTIFS($A$4:$A58,"&gt;="&amp;$A59-1,$A$4:$A58,"&lt;="&amp;$A59,$B$4:$B58,$B59)&gt;0,MIN(BA$1,IF($A59=$A58,BA58,1))-AF59&lt;0),-1,MIN(1,IF($A59=$A58,BA58,1)-AF59+$D$3))</f>
        <v>1</v>
      </c>
      <c r="BB59">
        <f>IF(OR($J59=0,COUNTIFS($A$4:$A58,"&gt;="&amp;$A59-1,$A$4:$A58,"&lt;="&amp;$A59,$B$4:$B58,$B59)&gt;0,MIN(BB$1,IF($A59=$A58,BB58,1))-AG59&lt;0),-1,MIN(1,IF($A59=$A58,BB58,1)-AG59+$D$3))</f>
        <v>1</v>
      </c>
      <c r="BC59">
        <f>IF(OR($J59=0,COUNTIFS($A$4:$A58,"&gt;="&amp;$A59-1,$A$4:$A58,"&lt;="&amp;$A59,$B$4:$B58,$B59)&gt;0,MIN(BC$1,IF($A59=$A58,BC58,1))-AH59&lt;0),-1,MIN(1,IF($A59=$A58,BC58,1)-AH59+$D$3))</f>
        <v>1</v>
      </c>
      <c r="BD59">
        <f>IF(OR($J59=0,COUNTIFS($A$4:$A58,"&gt;="&amp;$A59-1,$A$4:$A58,"&lt;="&amp;$A59,$B$4:$B58,$B59)&gt;0,MIN(BD$1,IF($A59=$A58,BD58,1))-AI59&lt;0),-1,MIN(1,IF($A59=$A58,BD58,1)-AI59+$D$3))</f>
        <v>1</v>
      </c>
      <c r="BF59" s="44">
        <f t="shared" si="179"/>
        <v>6.7895488577349131E-2</v>
      </c>
      <c r="BG59" s="44">
        <f t="shared" si="180"/>
        <v>0.23238606799096956</v>
      </c>
      <c r="BH59" s="44">
        <f t="shared" si="181"/>
        <v>0.26032488532145281</v>
      </c>
      <c r="BI59" s="44">
        <f t="shared" si="182"/>
        <v>0.23605939453339228</v>
      </c>
      <c r="BJ59" s="44">
        <f t="shared" si="183"/>
        <v>0.24832552775516314</v>
      </c>
      <c r="BK59" s="44">
        <f t="shared" si="184"/>
        <v>6.581400800721017E-2</v>
      </c>
      <c r="BL59" s="44">
        <f t="shared" si="185"/>
        <v>3.5470776026413825E-2</v>
      </c>
      <c r="BM59" s="44">
        <f t="shared" si="186"/>
        <v>0.14855187604094369</v>
      </c>
      <c r="BN59" s="44">
        <f t="shared" si="187"/>
        <v>0.14345828166633146</v>
      </c>
      <c r="BO59" s="44">
        <f t="shared" si="188"/>
        <v>4.6545473074738719E-2</v>
      </c>
      <c r="BP59" s="44">
        <f t="shared" si="189"/>
        <v>0.20767701043516984</v>
      </c>
      <c r="BQ59" s="44">
        <f t="shared" si="190"/>
        <v>7.9276932798306221E-2</v>
      </c>
      <c r="BR59" s="44">
        <f t="shared" si="191"/>
        <v>0.184896425353473</v>
      </c>
      <c r="BS59" s="44">
        <f t="shared" si="192"/>
        <v>9.2299920101314742E-2</v>
      </c>
      <c r="BT59" s="44">
        <f t="shared" si="193"/>
        <v>0.34595323600939232</v>
      </c>
      <c r="BU59" s="44">
        <f t="shared" si="194"/>
        <v>0.34653966274599113</v>
      </c>
      <c r="BV59" s="44">
        <f t="shared" si="195"/>
        <v>0.33758708788506897</v>
      </c>
      <c r="BW59" s="44">
        <f t="shared" si="196"/>
        <v>0.17374417469218018</v>
      </c>
      <c r="BX59" s="44">
        <f t="shared" si="197"/>
        <v>0.17095640363309608</v>
      </c>
      <c r="BY59" s="44">
        <f t="shared" si="198"/>
        <v>0.10804846951747832</v>
      </c>
      <c r="CA59" s="44">
        <f t="shared" si="199"/>
        <v>-0.55784831291753434</v>
      </c>
      <c r="CB59" s="44">
        <f t="shared" si="200"/>
        <v>8.9024977421601204E-3</v>
      </c>
      <c r="CC59" s="44">
        <f t="shared" si="201"/>
        <v>0.6952980182667059</v>
      </c>
      <c r="CD59" s="44">
        <f t="shared" si="202"/>
        <v>0.5372753290625174</v>
      </c>
      <c r="CE59" s="44">
        <f t="shared" si="203"/>
        <v>0.61715532715407861</v>
      </c>
      <c r="CF59" s="44">
        <f t="shared" si="204"/>
        <v>-0.78570170652137428</v>
      </c>
      <c r="CG59" s="44">
        <f t="shared" si="205"/>
        <v>-0.76900580891562553</v>
      </c>
      <c r="CH59" s="44">
        <f t="shared" si="206"/>
        <v>-0.35506306347153349</v>
      </c>
      <c r="CI59" s="44">
        <f t="shared" si="207"/>
        <v>-6.5765302028016781E-2</v>
      </c>
      <c r="CJ59" s="44">
        <f t="shared" si="208"/>
        <v>-0.69688472861342621</v>
      </c>
      <c r="CK59" s="44">
        <f t="shared" si="209"/>
        <v>0.35244244435391181</v>
      </c>
      <c r="CL59" s="44">
        <f t="shared" si="210"/>
        <v>-0.48372962154088806</v>
      </c>
      <c r="CM59" s="44">
        <f t="shared" si="211"/>
        <v>-0.19727345543810859</v>
      </c>
      <c r="CN59" s="44">
        <f t="shared" si="212"/>
        <v>-0.39892080835562238</v>
      </c>
      <c r="CO59" s="44">
        <f t="shared" si="213"/>
        <v>1.2529303516083989</v>
      </c>
      <c r="CP59" s="44">
        <f t="shared" si="214"/>
        <v>1.2567493030051775</v>
      </c>
      <c r="CQ59" s="44">
        <f t="shared" si="215"/>
        <v>0.46563199385078247</v>
      </c>
      <c r="CR59" s="44">
        <f t="shared" si="216"/>
        <v>0.13146368883376325</v>
      </c>
      <c r="CS59" s="44">
        <f t="shared" si="217"/>
        <v>0.11330905584118312</v>
      </c>
      <c r="CT59" s="44">
        <f t="shared" si="218"/>
        <v>-0.29636248173682922</v>
      </c>
      <c r="CV59" s="44">
        <f t="shared" si="219"/>
        <v>0.60536280593020253</v>
      </c>
    </row>
    <row r="60" spans="1:100" x14ac:dyDescent="0.25">
      <c r="A60" s="98">
        <v>45063</v>
      </c>
      <c r="B60" s="57">
        <v>2</v>
      </c>
      <c r="C60" s="51" t="str" cm="1">
        <f t="array" ref="C60">IF(B60="","",INDEX(UWS!$B$10:$B$41,B60))</f>
        <v>Treadmill running</v>
      </c>
      <c r="D60" s="45">
        <f t="shared" si="176"/>
        <v>-1</v>
      </c>
      <c r="E60" s="70">
        <f t="shared" si="177"/>
        <v>1.1342143856510392</v>
      </c>
      <c r="F60" s="52" cm="1">
        <f t="array" ref="F60">0.1+IFERROR(INDEX($F$5:$F59,SUMPRODUCT(MAX(ROW($C$5:$C59)*($C60=$C$5:$C59))-ROW($A$4)))*0.9^($A60-INDEX($A$5:A59,SUMPRODUCT(MAX(ROW($C$5:$C59)*($C60=$C$5:$C59))-ROW($A$4)))),0)</f>
        <v>0.11667718169966659</v>
      </c>
      <c r="G60" s="56">
        <f>INDEX(UWS!$AB$10:$AB$41,MATCH(C60,UWS!$B$10:$B$41,0))</f>
        <v>4.4000000000000004</v>
      </c>
      <c r="H60" s="52">
        <f>INDEX(UWS!$C$10:$C$41,MATCH(C60,UWS!$B$10:$B$41,0))</f>
        <v>1.1000000000000001</v>
      </c>
      <c r="I60" s="46">
        <f t="shared" si="178"/>
        <v>5</v>
      </c>
      <c r="J60" s="46">
        <f>INDEX(UWS!$E$10:$E$41,MATCH(C60,UWS!$B$10:$B$41,0))</f>
        <v>1</v>
      </c>
      <c r="K60" s="46"/>
      <c r="L60" s="109" t="str" cm="1">
        <f t="array" ref="L60">IF(K60="","",INDEX(UWS!$B$10:$B$41,K60))</f>
        <v/>
      </c>
      <c r="M60" s="46"/>
      <c r="N60" s="109" t="str" cm="1">
        <f t="array" ref="N60">IF(M60="","",INDEX(UWS!$B$10:$B$41,M60))</f>
        <v/>
      </c>
      <c r="O60" s="47"/>
      <c r="P60" s="47">
        <f>IFERROR(INDEX(UWS!$G$10:$Z$41,MATCH($C60,UWS!$B$10:$B$41,0),MATCH(P$4,UWS!$G$3:$Z$3,0)),0)</f>
        <v>0</v>
      </c>
      <c r="Q60" s="47">
        <f>IFERROR(INDEX(UWS!$G$10:$Z$41,MATCH($C60,UWS!$B$10:$B$41,0),MATCH(Q$4,UWS!$G$3:$Z$3,0)),0)</f>
        <v>0</v>
      </c>
      <c r="R60" s="47">
        <f>IFERROR(INDEX(UWS!$G$10:$Z$41,MATCH($C60,UWS!$B$10:$B$41,0),MATCH(R$4,UWS!$G$3:$Z$3,0)),0)</f>
        <v>0</v>
      </c>
      <c r="S60" s="47">
        <f>IFERROR(INDEX(UWS!$G$10:$Z$41,MATCH($C60,UWS!$B$10:$B$41,0),MATCH(S$4,UWS!$G$3:$Z$3,0)),0)</f>
        <v>0</v>
      </c>
      <c r="T60" s="47">
        <f>IFERROR(INDEX(UWS!$G$10:$Z$41,MATCH($C60,UWS!$B$10:$B$41,0),MATCH(T$4,UWS!$G$3:$Z$3,0)),0)</f>
        <v>0</v>
      </c>
      <c r="U60" s="47">
        <f>IFERROR(INDEX(UWS!$G$10:$Z$41,MATCH($C60,UWS!$B$10:$B$41,0),MATCH(U$4,UWS!$G$3:$Z$3,0)),0)</f>
        <v>0</v>
      </c>
      <c r="V60" s="47">
        <f>IFERROR(INDEX(UWS!$G$10:$Z$41,MATCH($C60,UWS!$B$10:$B$41,0),MATCH(V$4,UWS!$G$3:$Z$3,0)),0)</f>
        <v>0</v>
      </c>
      <c r="W60" s="47">
        <f>IFERROR(INDEX(UWS!$G$10:$Z$41,MATCH($C60,UWS!$B$10:$B$41,0),MATCH(W$4,UWS!$G$3:$Z$3,0)),0)</f>
        <v>0</v>
      </c>
      <c r="X60" s="47">
        <f>IFERROR(INDEX(UWS!$G$10:$Z$41,MATCH($C60,UWS!$B$10:$B$41,0),MATCH(X$4,UWS!$G$3:$Z$3,0)),0)</f>
        <v>0</v>
      </c>
      <c r="Y60" s="47">
        <f>IFERROR(INDEX(UWS!$G$10:$Z$41,MATCH($C60,UWS!$B$10:$B$41,0),MATCH(Y$4,UWS!$G$3:$Z$3,0)),0)</f>
        <v>0</v>
      </c>
      <c r="Z60" s="47">
        <f>IFERROR(INDEX(UWS!$G$10:$Z$41,MATCH($C60,UWS!$B$10:$B$41,0),MATCH(Z$4,UWS!$G$3:$Z$3,0)),0)</f>
        <v>0</v>
      </c>
      <c r="AA60" s="47">
        <f>IFERROR(INDEX(UWS!$G$10:$Z$41,MATCH($C60,UWS!$B$10:$B$41,0),MATCH(AA$4,UWS!$G$3:$Z$3,0)),0)</f>
        <v>0</v>
      </c>
      <c r="AB60" s="47">
        <f>IFERROR(INDEX(UWS!$G$10:$Z$41,MATCH($C60,UWS!$B$10:$B$41,0),MATCH(AB$4,UWS!$G$3:$Z$3,0)),0)</f>
        <v>0.2</v>
      </c>
      <c r="AC60" s="47">
        <f>IFERROR(INDEX(UWS!$G$10:$Z$41,MATCH($C60,UWS!$B$10:$B$41,0),MATCH(AC$4,UWS!$G$3:$Z$3,0)),0)</f>
        <v>0</v>
      </c>
      <c r="AD60" s="47">
        <f>IFERROR(INDEX(UWS!$G$10:$Z$41,MATCH($C60,UWS!$B$10:$B$41,0),MATCH(AD$4,UWS!$G$3:$Z$3,0)),0)</f>
        <v>1</v>
      </c>
      <c r="AE60" s="47">
        <f>IFERROR(INDEX(UWS!$G$10:$Z$41,MATCH($C60,UWS!$B$10:$B$41,0),MATCH(AE$4,UWS!$G$3:$Z$3,0)),0)</f>
        <v>1</v>
      </c>
      <c r="AF60" s="47">
        <f>IFERROR(INDEX(UWS!$G$10:$Z$41,MATCH($C60,UWS!$B$10:$B$41,0),MATCH(AF$4,UWS!$G$3:$Z$3,0)),0)</f>
        <v>0.6</v>
      </c>
      <c r="AG60" s="47">
        <f>IFERROR(INDEX(UWS!$G$10:$Z$41,MATCH($C60,UWS!$B$10:$B$41,0),MATCH(AG$4,UWS!$G$3:$Z$3,0)),0)</f>
        <v>1</v>
      </c>
      <c r="AH60" s="47">
        <f>IFERROR(INDEX(UWS!$G$10:$Z$41,MATCH($C60,UWS!$B$10:$B$41,0),MATCH(AH$4,UWS!$G$3:$Z$3,0)),0)</f>
        <v>0</v>
      </c>
      <c r="AI60" s="47">
        <f>IFERROR(INDEX(UWS!$G$10:$Z$41,MATCH($C60,UWS!$B$10:$B$41,0),MATCH(AI$4,UWS!$G$3:$Z$3,0)),0)</f>
        <v>0.6</v>
      </c>
      <c r="AJ60" s="47"/>
      <c r="AK60" s="47">
        <f>IF(OR($J60=0,COUNTIFS($A$4:$A59,"&gt;="&amp;$A60-1,$A$4:$A59,"&lt;="&amp;$A60,$B$4:$B59,$B60)&gt;0,MIN(AK$1,IF($A60=$A59,AK59,1))-P60&lt;0),-1,MIN(1,IF($A60=$A59,AK59,1)-P60+$D$3))</f>
        <v>1</v>
      </c>
      <c r="AL60" s="47">
        <f>IF(OR($J60=0,COUNTIFS($A$4:$A59,"&gt;="&amp;$A60-1,$A$4:$A59,"&lt;="&amp;$A60,$B$4:$B59,$B60)&gt;0,MIN(AL$1,IF($A60=$A59,AL59,1))-Q60&lt;0),-1,MIN(1,IF($A60=$A59,AL59,1)-Q60+$D$3))</f>
        <v>1</v>
      </c>
      <c r="AM60" s="47">
        <f>IF(OR($J60=0,COUNTIFS($A$4:$A59,"&gt;="&amp;$A60-1,$A$4:$A59,"&lt;="&amp;$A60,$B$4:$B59,$B60)&gt;0,MIN(AM$1,IF($A60=$A59,AM59,1))-R60&lt;0),-1,MIN(1,IF($A60=$A59,AM59,1)-R60+$D$3))</f>
        <v>1</v>
      </c>
      <c r="AN60" s="47">
        <f>IF(OR($J60=0,COUNTIFS($A$4:$A59,"&gt;="&amp;$A60-1,$A$4:$A59,"&lt;="&amp;$A60,$B$4:$B59,$B60)&gt;0,MIN(AN$1,IF($A60=$A59,AN59,1))-S60&lt;0),-1,MIN(1,IF($A60=$A59,AN59,1)-S60+$D$3))</f>
        <v>1</v>
      </c>
      <c r="AO60" s="47">
        <f>IF(OR($J60=0,COUNTIFS($A$4:$A59,"&gt;="&amp;$A60-1,$A$4:$A59,"&lt;="&amp;$A60,$B$4:$B59,$B60)&gt;0,MIN(AO$1,IF($A60=$A59,AO59,1))-T60&lt;0),-1,MIN(1,IF($A60=$A59,AO59,1)-T60+$D$3))</f>
        <v>1</v>
      </c>
      <c r="AP60" s="47">
        <f>IF(OR($J60=0,COUNTIFS($A$4:$A59,"&gt;="&amp;$A60-1,$A$4:$A59,"&lt;="&amp;$A60,$B$4:$B59,$B60)&gt;0,MIN(AP$1,IF($A60=$A59,AP59,1))-U60&lt;0),-1,MIN(1,IF($A60=$A59,AP59,1)-U60+$D$3))</f>
        <v>1</v>
      </c>
      <c r="AQ60" s="47">
        <f>IF(OR($J60=0,COUNTIFS($A$4:$A59,"&gt;="&amp;$A60-1,$A$4:$A59,"&lt;="&amp;$A60,$B$4:$B59,$B60)&gt;0,MIN(AQ$1,IF($A60=$A59,AQ59,1))-V60&lt;0),-1,MIN(1,IF($A60=$A59,AQ59,1)-V60+$D$3))</f>
        <v>1</v>
      </c>
      <c r="AR60" s="47">
        <f>IF(OR($J60=0,COUNTIFS($A$4:$A59,"&gt;="&amp;$A60-1,$A$4:$A59,"&lt;="&amp;$A60,$B$4:$B59,$B60)&gt;0,MIN(AR$1,IF($A60=$A59,AR59,1))-W60&lt;0),-1,MIN(1,IF($A60=$A59,AR59,1)-W60+$D$3))</f>
        <v>1</v>
      </c>
      <c r="AS60" s="47">
        <f>IF(OR($J60=0,COUNTIFS($A$4:$A59,"&gt;="&amp;$A60-1,$A$4:$A59,"&lt;="&amp;$A60,$B$4:$B59,$B60)&gt;0,MIN(AS$1,IF($A60=$A59,AS59,1))-X60&lt;0),-1,MIN(1,IF($A60=$A59,AS59,1)-X60+$D$3))</f>
        <v>1</v>
      </c>
      <c r="AT60" s="47">
        <f>IF(OR($J60=0,COUNTIFS($A$4:$A59,"&gt;="&amp;$A60-1,$A$4:$A59,"&lt;="&amp;$A60,$B$4:$B59,$B60)&gt;0,MIN(AT$1,IF($A60=$A59,AT59,1))-Y60&lt;0),-1,MIN(1,IF($A60=$A59,AT59,1)-Y60+$D$3))</f>
        <v>1</v>
      </c>
      <c r="AU60" s="47">
        <f>IF(OR($J60=0,COUNTIFS($A$4:$A59,"&gt;="&amp;$A60-1,$A$4:$A59,"&lt;="&amp;$A60,$B$4:$B59,$B60)&gt;0,MIN(AU$1,IF($A60=$A59,AU59,1))-Z60&lt;0),-1,MIN(1,IF($A60=$A59,AU59,1)-Z60+$D$3))</f>
        <v>1</v>
      </c>
      <c r="AV60" s="47">
        <f>IF(OR($J60=0,COUNTIFS($A$4:$A59,"&gt;="&amp;$A60-1,$A$4:$A59,"&lt;="&amp;$A60,$B$4:$B59,$B60)&gt;0,MIN(AV$1,IF($A60=$A59,AV59,1))-AA60&lt;0),-1,MIN(1,IF($A60=$A59,AV59,1)-AA60+$D$3))</f>
        <v>1</v>
      </c>
      <c r="AW60" s="47">
        <f>IF(OR($J60=0,COUNTIFS($A$4:$A59,"&gt;="&amp;$A60-1,$A$4:$A59,"&lt;="&amp;$A60,$B$4:$B59,$B60)&gt;0,MIN(AW$1,IF($A60=$A59,AW59,1))-AB60&lt;0),-1,MIN(1,IF($A60=$A59,AW59,1)-AB60+$D$3))</f>
        <v>1</v>
      </c>
      <c r="AX60" s="47">
        <f>IF(OR($J60=0,COUNTIFS($A$4:$A59,"&gt;="&amp;$A60-1,$A$4:$A59,"&lt;="&amp;$A60,$B$4:$B59,$B60)&gt;0,MIN(AX$1,IF($A60=$A59,AX59,1))-AC60&lt;0),-1,MIN(1,IF($A60=$A59,AX59,1)-AC60+$D$3))</f>
        <v>1</v>
      </c>
      <c r="AY60" s="47">
        <f>IF(OR($J60=0,COUNTIFS($A$4:$A59,"&gt;="&amp;$A60-1,$A$4:$A59,"&lt;="&amp;$A60,$B$4:$B59,$B60)&gt;0,MIN(AY$1,IF($A60=$A59,AY59,1))-AD60&lt;0),-1,MIN(1,IF($A60=$A59,AY59,1)-AD60+$D$3))</f>
        <v>0.4</v>
      </c>
      <c r="AZ60" s="47">
        <f>IF(OR($J60=0,COUNTIFS($A$4:$A59,"&gt;="&amp;$A60-1,$A$4:$A59,"&lt;="&amp;$A60,$B$4:$B59,$B60)&gt;0,MIN(AZ$1,IF($A60=$A59,AZ59,1))-AE60&lt;0),-1,MIN(1,IF($A60=$A59,AZ59,1)-AE60+$D$3))</f>
        <v>-1</v>
      </c>
      <c r="BA60" s="47">
        <f>IF(OR($J60=0,COUNTIFS($A$4:$A59,"&gt;="&amp;$A60-1,$A$4:$A59,"&lt;="&amp;$A60,$B$4:$B59,$B60)&gt;0,MIN(BA$1,IF($A60=$A59,BA59,1))-AF60&lt;0),-1,MIN(1,IF($A60=$A59,BA59,1)-AF60+$D$3))</f>
        <v>0.8</v>
      </c>
      <c r="BB60" s="47">
        <f>IF(OR($J60=0,COUNTIFS($A$4:$A59,"&gt;="&amp;$A60-1,$A$4:$A59,"&lt;="&amp;$A60,$B$4:$B59,$B60)&gt;0,MIN(BB$1,IF($A60=$A59,BB59,1))-AG60&lt;0),-1,MIN(1,IF($A60=$A59,BB59,1)-AG60+$D$3))</f>
        <v>0.4</v>
      </c>
      <c r="BC60" s="47">
        <f>IF(OR($J60=0,COUNTIFS($A$4:$A59,"&gt;="&amp;$A60-1,$A$4:$A59,"&lt;="&amp;$A60,$B$4:$B59,$B60)&gt;0,MIN(BC$1,IF($A60=$A59,BC59,1))-AH60&lt;0),-1,MIN(1,IF($A60=$A59,BC59,1)-AH60+$D$3))</f>
        <v>1</v>
      </c>
      <c r="BD60" s="47">
        <f>IF(OR($J60=0,COUNTIFS($A$4:$A59,"&gt;="&amp;$A60-1,$A$4:$A59,"&lt;="&amp;$A60,$B$4:$B59,$B60)&gt;0,MIN(BD$1,IF($A60=$A59,BD59,1))-AI60&lt;0),-1,MIN(1,IF($A60=$A59,BD59,1)-AI60+$D$3))</f>
        <v>0.8</v>
      </c>
      <c r="BE60" s="47"/>
      <c r="BF60" s="53">
        <f t="shared" si="179"/>
        <v>6.4500714148481672E-2</v>
      </c>
      <c r="BG60" s="53">
        <f t="shared" si="180"/>
        <v>0.22076676459142108</v>
      </c>
      <c r="BH60" s="53">
        <f t="shared" si="181"/>
        <v>0.24730864105538017</v>
      </c>
      <c r="BI60" s="53">
        <f t="shared" si="182"/>
        <v>0.22425642480672264</v>
      </c>
      <c r="BJ60" s="53">
        <f t="shared" si="183"/>
        <v>0.23590925136740498</v>
      </c>
      <c r="BK60" s="53">
        <f t="shared" si="184"/>
        <v>6.2523307606849654E-2</v>
      </c>
      <c r="BL60" s="53">
        <f t="shared" si="185"/>
        <v>3.369723722509313E-2</v>
      </c>
      <c r="BM60" s="53">
        <f t="shared" si="186"/>
        <v>0.1411242822388965</v>
      </c>
      <c r="BN60" s="53">
        <f t="shared" si="187"/>
        <v>0.13628536758301488</v>
      </c>
      <c r="BO60" s="53">
        <f t="shared" si="188"/>
        <v>4.4218199421001782E-2</v>
      </c>
      <c r="BP60" s="53">
        <f t="shared" si="189"/>
        <v>0.19729315991341134</v>
      </c>
      <c r="BQ60" s="53">
        <f t="shared" si="190"/>
        <v>7.5313086158390913E-2</v>
      </c>
      <c r="BR60" s="53">
        <f t="shared" si="191"/>
        <v>0.18565160408579937</v>
      </c>
      <c r="BS60" s="53">
        <f t="shared" si="192"/>
        <v>8.7684924096249006E-2</v>
      </c>
      <c r="BT60" s="53">
        <f t="shared" si="193"/>
        <v>0.37865557420892265</v>
      </c>
      <c r="BU60" s="53">
        <f t="shared" si="194"/>
        <v>0.37921267960869154</v>
      </c>
      <c r="BV60" s="53">
        <f t="shared" si="195"/>
        <v>0.35070773349081552</v>
      </c>
      <c r="BW60" s="53">
        <f t="shared" si="196"/>
        <v>0.21505696595757118</v>
      </c>
      <c r="BX60" s="53">
        <f t="shared" si="197"/>
        <v>0.16240858345144127</v>
      </c>
      <c r="BY60" s="53">
        <f t="shared" si="198"/>
        <v>0.1326460460416044</v>
      </c>
      <c r="BZ60" s="47"/>
      <c r="CA60" s="53">
        <f t="shared" si="199"/>
        <v>-0.58505596902652879</v>
      </c>
      <c r="CB60" s="53">
        <f t="shared" si="200"/>
        <v>-5.3179979850997872E-2</v>
      </c>
      <c r="CC60" s="53">
        <f t="shared" si="201"/>
        <v>0.59097842200412853</v>
      </c>
      <c r="CD60" s="53">
        <f t="shared" si="202"/>
        <v>0.44267960610155654</v>
      </c>
      <c r="CE60" s="53">
        <f t="shared" si="203"/>
        <v>0.51764421524050941</v>
      </c>
      <c r="CF60" s="53">
        <f t="shared" si="204"/>
        <v>-0.79888848030071613</v>
      </c>
      <c r="CG60" s="53">
        <f t="shared" si="205"/>
        <v>-0.78321995916724907</v>
      </c>
      <c r="CH60" s="53">
        <f t="shared" si="206"/>
        <v>-0.39474904204789063</v>
      </c>
      <c r="CI60" s="53">
        <f t="shared" si="207"/>
        <v>-0.12325312154813362</v>
      </c>
      <c r="CJ60" s="53">
        <f t="shared" si="208"/>
        <v>-0.71553682540782848</v>
      </c>
      <c r="CK60" s="53">
        <f t="shared" si="209"/>
        <v>0.26922035110353359</v>
      </c>
      <c r="CL60" s="53">
        <f t="shared" si="210"/>
        <v>-0.51549814652167392</v>
      </c>
      <c r="CM60" s="53">
        <f t="shared" si="211"/>
        <v>-0.20378116766566134</v>
      </c>
      <c r="CN60" s="53">
        <f t="shared" si="212"/>
        <v>-0.43590801527649603</v>
      </c>
      <c r="CO60" s="53">
        <f t="shared" si="213"/>
        <v>1.4359555144014373</v>
      </c>
      <c r="CP60" s="53">
        <f t="shared" si="214"/>
        <v>1.4395394679019371</v>
      </c>
      <c r="CQ60" s="53">
        <f t="shared" si="215"/>
        <v>0.50410821078404489</v>
      </c>
      <c r="CR60" s="53">
        <f t="shared" si="216"/>
        <v>0.38349792744829259</v>
      </c>
      <c r="CS60" s="53">
        <f t="shared" si="217"/>
        <v>4.4801955632591595E-2</v>
      </c>
      <c r="CT60" s="53">
        <f t="shared" si="218"/>
        <v>-0.14666549411388763</v>
      </c>
      <c r="CU60" s="47"/>
      <c r="CV60" s="53">
        <f t="shared" si="219"/>
        <v>0.64115827231829792</v>
      </c>
    </row>
    <row r="61" spans="1:100" x14ac:dyDescent="0.25">
      <c r="A61" s="41">
        <v>45065</v>
      </c>
      <c r="B61" s="42">
        <v>8</v>
      </c>
      <c r="C61" s="43" t="str" cm="1">
        <f t="array" ref="C61">IF(B61="","",INDEX(UWS!$B$10:$B$41,B61))</f>
        <v>Barbell deadlift</v>
      </c>
      <c r="D61" s="40">
        <f t="shared" si="176"/>
        <v>0.4</v>
      </c>
      <c r="E61" s="69">
        <f t="shared" si="177"/>
        <v>1.913471094093361</v>
      </c>
      <c r="F61" s="48" cm="1">
        <f t="array" ref="F61">0.1+IFERROR(INDEX($F$5:$F60,SUMPRODUCT(MAX(ROW($C$5:$C60)*($C61=$C$5:$C60))-ROW($A$4)))*0.9^($A61-INDEX($A$5:A60,SUMPRODUCT(MAX(ROW($C$5:$C60)*($C61=$C$5:$C60))-ROW($A$4)))),0)</f>
        <v>0.26432308218673001</v>
      </c>
      <c r="G61" s="55">
        <f>INDEX(UWS!$AB$10:$AB$41,MATCH(C61,UWS!$B$10:$B$41,0))</f>
        <v>7.2999999999999989</v>
      </c>
      <c r="H61" s="48">
        <f>INDEX(UWS!$C$10:$C$41,MATCH(C61,UWS!$B$10:$B$41,0))</f>
        <v>1.1000000000000001</v>
      </c>
      <c r="I61" s="82">
        <f t="shared" si="178"/>
        <v>1</v>
      </c>
      <c r="J61" s="27">
        <f>INDEX(UWS!$E$10:$E$41,MATCH(C61,UWS!$B$10:$B$41,0))</f>
        <v>1</v>
      </c>
      <c r="K61" s="27">
        <v>6</v>
      </c>
      <c r="L61" s="108" t="str" cm="1">
        <f t="array" ref="L61">IF(K61="","",INDEX(UWS!$B$10:$B$41,K61))</f>
        <v>Barbell squat</v>
      </c>
      <c r="M61" s="27">
        <v>17</v>
      </c>
      <c r="N61" s="108" t="str" cm="1">
        <f t="array" ref="N61">IF(M61="","",INDEX(UWS!$B$10:$B$41,M61))</f>
        <v>Pull-up</v>
      </c>
      <c r="P61">
        <f>IFERROR(INDEX(UWS!$G$10:$Z$41,MATCH($C61,UWS!$B$10:$B$41,0),MATCH(P$4,UWS!$G$3:$Z$3,0)),0)</f>
        <v>0</v>
      </c>
      <c r="Q61">
        <f>IFERROR(INDEX(UWS!$G$10:$Z$41,MATCH($C61,UWS!$B$10:$B$41,0),MATCH(Q$4,UWS!$G$3:$Z$3,0)),0)</f>
        <v>0.3</v>
      </c>
      <c r="R61">
        <f>IFERROR(INDEX(UWS!$G$10:$Z$41,MATCH($C61,UWS!$B$10:$B$41,0),MATCH(R$4,UWS!$G$3:$Z$3,0)),0)</f>
        <v>0.6</v>
      </c>
      <c r="S61">
        <f>IFERROR(INDEX(UWS!$G$10:$Z$41,MATCH($C61,UWS!$B$10:$B$41,0),MATCH(S$4,UWS!$G$3:$Z$3,0)),0)</f>
        <v>0.6</v>
      </c>
      <c r="T61">
        <f>IFERROR(INDEX(UWS!$G$10:$Z$41,MATCH($C61,UWS!$B$10:$B$41,0),MATCH(T$4,UWS!$G$3:$Z$3,0)),0)</f>
        <v>1</v>
      </c>
      <c r="U61">
        <f>IFERROR(INDEX(UWS!$G$10:$Z$41,MATCH($C61,UWS!$B$10:$B$41,0),MATCH(U$4,UWS!$G$3:$Z$3,0)),0)</f>
        <v>0</v>
      </c>
      <c r="V61">
        <f>IFERROR(INDEX(UWS!$G$10:$Z$41,MATCH($C61,UWS!$B$10:$B$41,0),MATCH(V$4,UWS!$G$3:$Z$3,0)),0)</f>
        <v>0</v>
      </c>
      <c r="W61">
        <f>IFERROR(INDEX(UWS!$G$10:$Z$41,MATCH($C61,UWS!$B$10:$B$41,0),MATCH(W$4,UWS!$G$3:$Z$3,0)),0)</f>
        <v>0</v>
      </c>
      <c r="X61">
        <f>IFERROR(INDEX(UWS!$G$10:$Z$41,MATCH($C61,UWS!$B$10:$B$41,0),MATCH(X$4,UWS!$G$3:$Z$3,0)),0)</f>
        <v>0</v>
      </c>
      <c r="Y61">
        <f>IFERROR(INDEX(UWS!$G$10:$Z$41,MATCH($C61,UWS!$B$10:$B$41,0),MATCH(Y$4,UWS!$G$3:$Z$3,0)),0)</f>
        <v>0</v>
      </c>
      <c r="Z61">
        <f>IFERROR(INDEX(UWS!$G$10:$Z$41,MATCH($C61,UWS!$B$10:$B$41,0),MATCH(Z$4,UWS!$G$3:$Z$3,0)),0)</f>
        <v>1</v>
      </c>
      <c r="AA61">
        <f>IFERROR(INDEX(UWS!$G$10:$Z$41,MATCH($C61,UWS!$B$10:$B$41,0),MATCH(AA$4,UWS!$G$3:$Z$3,0)),0)</f>
        <v>0</v>
      </c>
      <c r="AB61">
        <f>IFERROR(INDEX(UWS!$G$10:$Z$41,MATCH($C61,UWS!$B$10:$B$41,0),MATCH(AB$4,UWS!$G$3:$Z$3,0)),0)</f>
        <v>0.7</v>
      </c>
      <c r="AC61">
        <f>IFERROR(INDEX(UWS!$G$10:$Z$41,MATCH($C61,UWS!$B$10:$B$41,0),MATCH(AC$4,UWS!$G$3:$Z$3,0)),0)</f>
        <v>0</v>
      </c>
      <c r="AD61">
        <f>IFERROR(INDEX(UWS!$G$10:$Z$41,MATCH($C61,UWS!$B$10:$B$41,0),MATCH(AD$4,UWS!$G$3:$Z$3,0)),0)</f>
        <v>0.6</v>
      </c>
      <c r="AE61">
        <f>IFERROR(INDEX(UWS!$G$10:$Z$41,MATCH($C61,UWS!$B$10:$B$41,0),MATCH(AE$4,UWS!$G$3:$Z$3,0)),0)</f>
        <v>0.8</v>
      </c>
      <c r="AF61">
        <f>IFERROR(INDEX(UWS!$G$10:$Z$41,MATCH($C61,UWS!$B$10:$B$41,0),MATCH(AF$4,UWS!$G$3:$Z$3,0)),0)</f>
        <v>1</v>
      </c>
      <c r="AG61">
        <f>IFERROR(INDEX(UWS!$G$10:$Z$41,MATCH($C61,UWS!$B$10:$B$41,0),MATCH(AG$4,UWS!$G$3:$Z$3,0)),0)</f>
        <v>0.1</v>
      </c>
      <c r="AH61">
        <f>IFERROR(INDEX(UWS!$G$10:$Z$41,MATCH($C61,UWS!$B$10:$B$41,0),MATCH(AH$4,UWS!$G$3:$Z$3,0)),0)</f>
        <v>0.3</v>
      </c>
      <c r="AI61">
        <f>IFERROR(INDEX(UWS!$G$10:$Z$41,MATCH($C61,UWS!$B$10:$B$41,0),MATCH(AI$4,UWS!$G$3:$Z$3,0)),0)</f>
        <v>0.3</v>
      </c>
      <c r="AK61">
        <f>IF(OR($J61=0,COUNTIFS($A$4:$A60,"&gt;="&amp;$A61-1,$A$4:$A60,"&lt;="&amp;$A61,$B$4:$B60,$B61)&gt;0,MIN(AK$1,IF($A61=$A60,AK60,1))-P61&lt;0),-1,MIN(1,IF($A61=$A60,AK60,1)-P61+$D$3))</f>
        <v>1</v>
      </c>
      <c r="AL61">
        <f>IF(OR($J61=0,COUNTIFS($A$4:$A60,"&gt;="&amp;$A61-1,$A$4:$A60,"&lt;="&amp;$A61,$B$4:$B60,$B61)&gt;0,MIN(AL$1,IF($A61=$A60,AL60,1))-Q61&lt;0),-1,MIN(1,IF($A61=$A60,AL60,1)-Q61+$D$3))</f>
        <v>1</v>
      </c>
      <c r="AM61">
        <f>IF(OR($J61=0,COUNTIFS($A$4:$A60,"&gt;="&amp;$A61-1,$A$4:$A60,"&lt;="&amp;$A61,$B$4:$B60,$B61)&gt;0,MIN(AM$1,IF($A61=$A60,AM60,1))-R61&lt;0),-1,MIN(1,IF($A61=$A60,AM60,1)-R61+$D$3))</f>
        <v>0.8</v>
      </c>
      <c r="AN61">
        <f>IF(OR($J61=0,COUNTIFS($A$4:$A60,"&gt;="&amp;$A61-1,$A$4:$A60,"&lt;="&amp;$A61,$B$4:$B60,$B61)&gt;0,MIN(AN$1,IF($A61=$A60,AN60,1))-S61&lt;0),-1,MIN(1,IF($A61=$A60,AN60,1)-S61+$D$3))</f>
        <v>0.8</v>
      </c>
      <c r="AO61">
        <f>IF(OR($J61=0,COUNTIFS($A$4:$A60,"&gt;="&amp;$A61-1,$A$4:$A60,"&lt;="&amp;$A61,$B$4:$B60,$B61)&gt;0,MIN(AO$1,IF($A61=$A60,AO60,1))-T61&lt;0),-1,MIN(1,IF($A61=$A60,AO60,1)-T61+$D$3))</f>
        <v>0.4</v>
      </c>
      <c r="AP61">
        <f>IF(OR($J61=0,COUNTIFS($A$4:$A60,"&gt;="&amp;$A61-1,$A$4:$A60,"&lt;="&amp;$A61,$B$4:$B60,$B61)&gt;0,MIN(AP$1,IF($A61=$A60,AP60,1))-U61&lt;0),-1,MIN(1,IF($A61=$A60,AP60,1)-U61+$D$3))</f>
        <v>1</v>
      </c>
      <c r="AQ61">
        <f>IF(OR($J61=0,COUNTIFS($A$4:$A60,"&gt;="&amp;$A61-1,$A$4:$A60,"&lt;="&amp;$A61,$B$4:$B60,$B61)&gt;0,MIN(AQ$1,IF($A61=$A60,AQ60,1))-V61&lt;0),-1,MIN(1,IF($A61=$A60,AQ60,1)-V61+$D$3))</f>
        <v>1</v>
      </c>
      <c r="AR61">
        <f>IF(OR($J61=0,COUNTIFS($A$4:$A60,"&gt;="&amp;$A61-1,$A$4:$A60,"&lt;="&amp;$A61,$B$4:$B60,$B61)&gt;0,MIN(AR$1,IF($A61=$A60,AR60,1))-W61&lt;0),-1,MIN(1,IF($A61=$A60,AR60,1)-W61+$D$3))</f>
        <v>1</v>
      </c>
      <c r="AS61">
        <f>IF(OR($J61=0,COUNTIFS($A$4:$A60,"&gt;="&amp;$A61-1,$A$4:$A60,"&lt;="&amp;$A61,$B$4:$B60,$B61)&gt;0,MIN(AS$1,IF($A61=$A60,AS60,1))-X61&lt;0),-1,MIN(1,IF($A61=$A60,AS60,1)-X61+$D$3))</f>
        <v>1</v>
      </c>
      <c r="AT61">
        <f>IF(OR($J61=0,COUNTIFS($A$4:$A60,"&gt;="&amp;$A61-1,$A$4:$A60,"&lt;="&amp;$A61,$B$4:$B60,$B61)&gt;0,MIN(AT$1,IF($A61=$A60,AT60,1))-Y61&lt;0),-1,MIN(1,IF($A61=$A60,AT60,1)-Y61+$D$3))</f>
        <v>1</v>
      </c>
      <c r="AU61">
        <f>IF(OR($J61=0,COUNTIFS($A$4:$A60,"&gt;="&amp;$A61-1,$A$4:$A60,"&lt;="&amp;$A61,$B$4:$B60,$B61)&gt;0,MIN(AU$1,IF($A61=$A60,AU60,1))-Z61&lt;0),-1,MIN(1,IF($A61=$A60,AU60,1)-Z61+$D$3))</f>
        <v>0.4</v>
      </c>
      <c r="AV61">
        <f>IF(OR($J61=0,COUNTIFS($A$4:$A60,"&gt;="&amp;$A61-1,$A$4:$A60,"&lt;="&amp;$A61,$B$4:$B60,$B61)&gt;0,MIN(AV$1,IF($A61=$A60,AV60,1))-AA61&lt;0),-1,MIN(1,IF($A61=$A60,AV60,1)-AA61+$D$3))</f>
        <v>1</v>
      </c>
      <c r="AW61">
        <f>IF(OR($J61=0,COUNTIFS($A$4:$A60,"&gt;="&amp;$A61-1,$A$4:$A60,"&lt;="&amp;$A61,$B$4:$B60,$B61)&gt;0,MIN(AW$1,IF($A61=$A60,AW60,1))-AB61&lt;0),-1,MIN(1,IF($A61=$A60,AW60,1)-AB61+$D$3))</f>
        <v>0.70000000000000007</v>
      </c>
      <c r="AX61">
        <f>IF(OR($J61=0,COUNTIFS($A$4:$A60,"&gt;="&amp;$A61-1,$A$4:$A60,"&lt;="&amp;$A61,$B$4:$B60,$B61)&gt;0,MIN(AX$1,IF($A61=$A60,AX60,1))-AC61&lt;0),-1,MIN(1,IF($A61=$A60,AX60,1)-AC61+$D$3))</f>
        <v>1</v>
      </c>
      <c r="AY61">
        <f>IF(OR($J61=0,COUNTIFS($A$4:$A60,"&gt;="&amp;$A61-1,$A$4:$A60,"&lt;="&amp;$A61,$B$4:$B60,$B61)&gt;0,MIN(AY$1,IF($A61=$A60,AY60,1))-AD61&lt;0),-1,MIN(1,IF($A61=$A60,AY60,1)-AD61+$D$3))</f>
        <v>0.8</v>
      </c>
      <c r="AZ61">
        <f>IF(OR($J61=0,COUNTIFS($A$4:$A60,"&gt;="&amp;$A61-1,$A$4:$A60,"&lt;="&amp;$A61,$B$4:$B60,$B61)&gt;0,MIN(AZ$1,IF($A61=$A60,AZ60,1))-AE61&lt;0),-1,MIN(1,IF($A61=$A60,AZ60,1)-AE61+$D$3))</f>
        <v>0.6</v>
      </c>
      <c r="BA61">
        <f>IF(OR($J61=0,COUNTIFS($A$4:$A60,"&gt;="&amp;$A61-1,$A$4:$A60,"&lt;="&amp;$A61,$B$4:$B60,$B61)&gt;0,MIN(BA$1,IF($A61=$A60,BA60,1))-AF61&lt;0),-1,MIN(1,IF($A61=$A60,BA60,1)-AF61+$D$3))</f>
        <v>0.4</v>
      </c>
      <c r="BB61">
        <f>IF(OR($J61=0,COUNTIFS($A$4:$A60,"&gt;="&amp;$A61-1,$A$4:$A60,"&lt;="&amp;$A61,$B$4:$B60,$B61)&gt;0,MIN(BB$1,IF($A61=$A60,BB60,1))-AG61&lt;0),-1,MIN(1,IF($A61=$A60,BB60,1)-AG61+$D$3))</f>
        <v>1</v>
      </c>
      <c r="BC61">
        <f>IF(OR($J61=0,COUNTIFS($A$4:$A60,"&gt;="&amp;$A61-1,$A$4:$A60,"&lt;="&amp;$A61,$B$4:$B60,$B61)&gt;0,MIN(BC$1,IF($A61=$A60,BC60,1))-AH61&lt;0),-1,MIN(1,IF($A61=$A60,BC60,1)-AH61+$D$3))</f>
        <v>1</v>
      </c>
      <c r="BD61">
        <f>IF(OR($J61=0,COUNTIFS($A$4:$A60,"&gt;="&amp;$A61-1,$A$4:$A60,"&lt;="&amp;$A61,$B$4:$B60,$B61)&gt;0,MIN(BD$1,IF($A61=$A60,BD60,1))-AI61&lt;0),-1,MIN(1,IF($A61=$A60,BD60,1)-AI61+$D$3))</f>
        <v>1</v>
      </c>
      <c r="BF61" s="44">
        <f t="shared" si="179"/>
        <v>6.1275678441057586E-2</v>
      </c>
      <c r="BG61" s="44">
        <f t="shared" si="180"/>
        <v>0.22472842636185003</v>
      </c>
      <c r="BH61" s="44">
        <f t="shared" si="181"/>
        <v>0.26494320900261115</v>
      </c>
      <c r="BI61" s="44">
        <f t="shared" si="182"/>
        <v>0.24304360356638649</v>
      </c>
      <c r="BJ61" s="44">
        <f t="shared" si="183"/>
        <v>0.27411378879903475</v>
      </c>
      <c r="BK61" s="44">
        <f t="shared" si="184"/>
        <v>5.9397142226507167E-2</v>
      </c>
      <c r="BL61" s="44">
        <f t="shared" si="185"/>
        <v>3.2012375363838469E-2</v>
      </c>
      <c r="BM61" s="44">
        <f t="shared" si="186"/>
        <v>0.13406806812695168</v>
      </c>
      <c r="BN61" s="44">
        <f t="shared" si="187"/>
        <v>0.12947109920386413</v>
      </c>
      <c r="BO61" s="44">
        <f t="shared" si="188"/>
        <v>4.200728944995169E-2</v>
      </c>
      <c r="BP61" s="44">
        <f t="shared" si="189"/>
        <v>0.23742850191774079</v>
      </c>
      <c r="BQ61" s="44">
        <f t="shared" si="190"/>
        <v>7.1547431850471369E-2</v>
      </c>
      <c r="BR61" s="44">
        <f t="shared" si="191"/>
        <v>0.21136902388150938</v>
      </c>
      <c r="BS61" s="44">
        <f t="shared" si="192"/>
        <v>8.3300677891436553E-2</v>
      </c>
      <c r="BT61" s="44">
        <f t="shared" si="193"/>
        <v>0.38972279549847655</v>
      </c>
      <c r="BU61" s="44">
        <f t="shared" si="194"/>
        <v>0.400252045628257</v>
      </c>
      <c r="BV61" s="44">
        <f t="shared" si="195"/>
        <v>0.38317234681627471</v>
      </c>
      <c r="BW61" s="44">
        <f t="shared" si="196"/>
        <v>0.20930411765969262</v>
      </c>
      <c r="BX61" s="44">
        <f t="shared" si="197"/>
        <v>0.16928815427886917</v>
      </c>
      <c r="BY61" s="44">
        <f t="shared" si="198"/>
        <v>0.14101374373952419</v>
      </c>
      <c r="CA61" s="44">
        <f t="shared" si="199"/>
        <v>-0.62532081050944943</v>
      </c>
      <c r="CB61" s="44">
        <f t="shared" si="200"/>
        <v>-8.3909888480580119E-2</v>
      </c>
      <c r="CC61" s="44">
        <f t="shared" si="201"/>
        <v>0.62003439758912826</v>
      </c>
      <c r="CD61" s="44">
        <f t="shared" si="202"/>
        <v>0.48612602441786446</v>
      </c>
      <c r="CE61" s="44">
        <f t="shared" si="203"/>
        <v>0.67610926273464633</v>
      </c>
      <c r="CF61" s="44">
        <f t="shared" si="204"/>
        <v>-0.8184036988762996</v>
      </c>
      <c r="CG61" s="44">
        <f t="shared" si="205"/>
        <v>-0.80425560091467752</v>
      </c>
      <c r="CH61" s="44">
        <f t="shared" si="206"/>
        <v>-0.4534806589894671</v>
      </c>
      <c r="CI61" s="44">
        <f t="shared" si="207"/>
        <v>-0.20832983418017281</v>
      </c>
      <c r="CJ61" s="44">
        <f t="shared" si="208"/>
        <v>-0.74314022195702345</v>
      </c>
      <c r="CK61" s="44">
        <f t="shared" si="209"/>
        <v>0.45179165573934599</v>
      </c>
      <c r="CL61" s="44">
        <f t="shared" si="210"/>
        <v>-0.56251265660564542</v>
      </c>
      <c r="CM61" s="44">
        <f t="shared" si="211"/>
        <v>-0.13836858205209202</v>
      </c>
      <c r="CN61" s="44">
        <f t="shared" si="212"/>
        <v>-0.49064569711130268</v>
      </c>
      <c r="CO61" s="44">
        <f t="shared" si="213"/>
        <v>1.3830176157710206</v>
      </c>
      <c r="CP61" s="44">
        <f t="shared" si="214"/>
        <v>1.4474002714174086</v>
      </c>
      <c r="CQ61" s="44">
        <f t="shared" si="215"/>
        <v>0.56197595297035496</v>
      </c>
      <c r="CR61" s="44">
        <f t="shared" si="216"/>
        <v>0.27982095273256236</v>
      </c>
      <c r="CS61" s="44">
        <f t="shared" si="217"/>
        <v>3.5137432163586224E-2</v>
      </c>
      <c r="CT61" s="44">
        <f t="shared" si="218"/>
        <v>-0.13775062870701338</v>
      </c>
      <c r="CV61" s="44">
        <f t="shared" si="219"/>
        <v>0.66318602694631335</v>
      </c>
    </row>
    <row r="62" spans="1:100" x14ac:dyDescent="0.25">
      <c r="A62" s="41">
        <v>45065</v>
      </c>
      <c r="B62" s="42">
        <v>19</v>
      </c>
      <c r="C62" s="43" t="str" cm="1">
        <f t="array" ref="C62">IF(B62="","",INDEX(UWS!$B$10:$B$41,B62))</f>
        <v>Barbell bench press</v>
      </c>
      <c r="D62" s="40">
        <f t="shared" si="176"/>
        <v>0.4</v>
      </c>
      <c r="E62" s="69">
        <f t="shared" si="177"/>
        <v>1.0570837708950156</v>
      </c>
      <c r="F62" s="48" cm="1">
        <f t="array" ref="F62">0.1+IFERROR(INDEX($F$5:$F61,SUMPRODUCT(MAX(ROW($C$5:$C61)*($C62=$C$5:$C61))-ROW($A$4)))*0.9^($A62-INDEX($A$5:A61,SUMPRODUCT(MAX(ROW($C$5:$C61)*($C62=$C$5:$C61))-ROW($A$4)))),0)</f>
        <v>0.14042812181298997</v>
      </c>
      <c r="G62" s="55">
        <f>INDEX(UWS!$AB$10:$AB$41,MATCH(C62,UWS!$B$10:$B$41,0))</f>
        <v>2.2999999999999998</v>
      </c>
      <c r="H62" s="48">
        <f>INDEX(UWS!$C$10:$C$41,MATCH(C62,UWS!$B$10:$B$41,0))</f>
        <v>1.1000000000000001</v>
      </c>
      <c r="I62" s="27">
        <f t="shared" si="178"/>
        <v>2</v>
      </c>
      <c r="J62" s="27">
        <f>INDEX(UWS!$E$10:$E$41,MATCH(C62,UWS!$B$10:$B$41,0))</f>
        <v>1</v>
      </c>
      <c r="K62" s="27">
        <v>19</v>
      </c>
      <c r="L62" s="108" t="str" cm="1">
        <f t="array" ref="L62">IF(K62="","",INDEX(UWS!$B$10:$B$41,K62))</f>
        <v>Barbell bench press</v>
      </c>
      <c r="M62" s="27">
        <v>21</v>
      </c>
      <c r="N62" s="108" t="str" cm="1">
        <f t="array" ref="N62">IF(M62="","",INDEX(UWS!$B$10:$B$41,M62))</f>
        <v>Cable face pulls</v>
      </c>
      <c r="P62">
        <f>IFERROR(INDEX(UWS!$G$10:$Z$41,MATCH($C62,UWS!$B$10:$B$41,0),MATCH(P$4,UWS!$G$3:$Z$3,0)),0)</f>
        <v>1</v>
      </c>
      <c r="Q62">
        <f>IFERROR(INDEX(UWS!$G$10:$Z$41,MATCH($C62,UWS!$B$10:$B$41,0),MATCH(Q$4,UWS!$G$3:$Z$3,0)),0)</f>
        <v>0</v>
      </c>
      <c r="R62">
        <f>IFERROR(INDEX(UWS!$G$10:$Z$41,MATCH($C62,UWS!$B$10:$B$41,0),MATCH(R$4,UWS!$G$3:$Z$3,0)),0)</f>
        <v>0</v>
      </c>
      <c r="S62">
        <f>IFERROR(INDEX(UWS!$G$10:$Z$41,MATCH($C62,UWS!$B$10:$B$41,0),MATCH(S$4,UWS!$G$3:$Z$3,0)),0)</f>
        <v>0</v>
      </c>
      <c r="T62">
        <f>IFERROR(INDEX(UWS!$G$10:$Z$41,MATCH($C62,UWS!$B$10:$B$41,0),MATCH(T$4,UWS!$G$3:$Z$3,0)),0)</f>
        <v>0</v>
      </c>
      <c r="U62">
        <f>IFERROR(INDEX(UWS!$G$10:$Z$41,MATCH($C62,UWS!$B$10:$B$41,0),MATCH(U$4,UWS!$G$3:$Z$3,0)),0)</f>
        <v>0</v>
      </c>
      <c r="V62">
        <f>IFERROR(INDEX(UWS!$G$10:$Z$41,MATCH($C62,UWS!$B$10:$B$41,0),MATCH(V$4,UWS!$G$3:$Z$3,0)),0)</f>
        <v>0.6</v>
      </c>
      <c r="W62">
        <f>IFERROR(INDEX(UWS!$G$10:$Z$41,MATCH($C62,UWS!$B$10:$B$41,0),MATCH(W$4,UWS!$G$3:$Z$3,0)),0)</f>
        <v>0</v>
      </c>
      <c r="X62">
        <f>IFERROR(INDEX(UWS!$G$10:$Z$41,MATCH($C62,UWS!$B$10:$B$41,0),MATCH(X$4,UWS!$G$3:$Z$3,0)),0)</f>
        <v>0</v>
      </c>
      <c r="Y62">
        <f>IFERROR(INDEX(UWS!$G$10:$Z$41,MATCH($C62,UWS!$B$10:$B$41,0),MATCH(Y$4,UWS!$G$3:$Z$3,0)),0)</f>
        <v>0.7</v>
      </c>
      <c r="Z62">
        <f>IFERROR(INDEX(UWS!$G$10:$Z$41,MATCH($C62,UWS!$B$10:$B$41,0),MATCH(Z$4,UWS!$G$3:$Z$3,0)),0)</f>
        <v>0</v>
      </c>
      <c r="AA62">
        <f>IFERROR(INDEX(UWS!$G$10:$Z$41,MATCH($C62,UWS!$B$10:$B$41,0),MATCH(AA$4,UWS!$G$3:$Z$3,0)),0)</f>
        <v>0</v>
      </c>
      <c r="AB62">
        <f>IFERROR(INDEX(UWS!$G$10:$Z$41,MATCH($C62,UWS!$B$10:$B$41,0),MATCH(AB$4,UWS!$G$3:$Z$3,0)),0)</f>
        <v>0</v>
      </c>
      <c r="AC62">
        <f>IFERROR(INDEX(UWS!$G$10:$Z$41,MATCH($C62,UWS!$B$10:$B$41,0),MATCH(AC$4,UWS!$G$3:$Z$3,0)),0)</f>
        <v>0</v>
      </c>
      <c r="AD62">
        <f>IFERROR(INDEX(UWS!$G$10:$Z$41,MATCH($C62,UWS!$B$10:$B$41,0),MATCH(AD$4,UWS!$G$3:$Z$3,0)),0)</f>
        <v>0</v>
      </c>
      <c r="AE62">
        <f>IFERROR(INDEX(UWS!$G$10:$Z$41,MATCH($C62,UWS!$B$10:$B$41,0),MATCH(AE$4,UWS!$G$3:$Z$3,0)),0)</f>
        <v>0</v>
      </c>
      <c r="AF62">
        <f>IFERROR(INDEX(UWS!$G$10:$Z$41,MATCH($C62,UWS!$B$10:$B$41,0),MATCH(AF$4,UWS!$G$3:$Z$3,0)),0)</f>
        <v>0</v>
      </c>
      <c r="AG62">
        <f>IFERROR(INDEX(UWS!$G$10:$Z$41,MATCH($C62,UWS!$B$10:$B$41,0),MATCH(AG$4,UWS!$G$3:$Z$3,0)),0)</f>
        <v>0</v>
      </c>
      <c r="AH62">
        <f>IFERROR(INDEX(UWS!$G$10:$Z$41,MATCH($C62,UWS!$B$10:$B$41,0),MATCH(AH$4,UWS!$G$3:$Z$3,0)),0)</f>
        <v>0</v>
      </c>
      <c r="AI62">
        <f>IFERROR(INDEX(UWS!$G$10:$Z$41,MATCH($C62,UWS!$B$10:$B$41,0),MATCH(AI$4,UWS!$G$3:$Z$3,0)),0)</f>
        <v>0</v>
      </c>
      <c r="AK62">
        <f>IF(OR($J62=0,COUNTIFS($A$4:$A61,"&gt;="&amp;$A62-1,$A$4:$A61,"&lt;="&amp;$A62,$B$4:$B61,$B62)&gt;0,MIN(AK$1,IF($A62=$A61,AK61,1))-P62&lt;0),-1,MIN(1,IF($A62=$A61,AK61,1)-P62+$D$3))</f>
        <v>0.4</v>
      </c>
      <c r="AL62">
        <f>IF(OR($J62=0,COUNTIFS($A$4:$A61,"&gt;="&amp;$A62-1,$A$4:$A61,"&lt;="&amp;$A62,$B$4:$B61,$B62)&gt;0,MIN(AL$1,IF($A62=$A61,AL61,1))-Q62&lt;0),-1,MIN(1,IF($A62=$A61,AL61,1)-Q62+$D$3))</f>
        <v>1</v>
      </c>
      <c r="AM62">
        <f>IF(OR($J62=0,COUNTIFS($A$4:$A61,"&gt;="&amp;$A62-1,$A$4:$A61,"&lt;="&amp;$A62,$B$4:$B61,$B62)&gt;0,MIN(AM$1,IF($A62=$A61,AM61,1))-R62&lt;0),-1,MIN(1,IF($A62=$A61,AM61,1)-R62+$D$3))</f>
        <v>1</v>
      </c>
      <c r="AN62">
        <f>IF(OR($J62=0,COUNTIFS($A$4:$A61,"&gt;="&amp;$A62-1,$A$4:$A61,"&lt;="&amp;$A62,$B$4:$B61,$B62)&gt;0,MIN(AN$1,IF($A62=$A61,AN61,1))-S62&lt;0),-1,MIN(1,IF($A62=$A61,AN61,1)-S62+$D$3))</f>
        <v>1</v>
      </c>
      <c r="AO62">
        <f>IF(OR($J62=0,COUNTIFS($A$4:$A61,"&gt;="&amp;$A62-1,$A$4:$A61,"&lt;="&amp;$A62,$B$4:$B61,$B62)&gt;0,MIN(AO$1,IF($A62=$A61,AO61,1))-T62&lt;0),-1,MIN(1,IF($A62=$A61,AO61,1)-T62+$D$3))</f>
        <v>0.8</v>
      </c>
      <c r="AP62">
        <f>IF(OR($J62=0,COUNTIFS($A$4:$A61,"&gt;="&amp;$A62-1,$A$4:$A61,"&lt;="&amp;$A62,$B$4:$B61,$B62)&gt;0,MIN(AP$1,IF($A62=$A61,AP61,1))-U62&lt;0),-1,MIN(1,IF($A62=$A61,AP61,1)-U62+$D$3))</f>
        <v>1</v>
      </c>
      <c r="AQ62">
        <f>IF(OR($J62=0,COUNTIFS($A$4:$A61,"&gt;="&amp;$A62-1,$A$4:$A61,"&lt;="&amp;$A62,$B$4:$B61,$B62)&gt;0,MIN(AQ$1,IF($A62=$A61,AQ61,1))-V62&lt;0),-1,MIN(1,IF($A62=$A61,AQ61,1)-V62+$D$3))</f>
        <v>0.8</v>
      </c>
      <c r="AR62">
        <f>IF(OR($J62=0,COUNTIFS($A$4:$A61,"&gt;="&amp;$A62-1,$A$4:$A61,"&lt;="&amp;$A62,$B$4:$B61,$B62)&gt;0,MIN(AR$1,IF($A62=$A61,AR61,1))-W62&lt;0),-1,MIN(1,IF($A62=$A61,AR61,1)-W62+$D$3))</f>
        <v>1</v>
      </c>
      <c r="AS62">
        <f>IF(OR($J62=0,COUNTIFS($A$4:$A61,"&gt;="&amp;$A62-1,$A$4:$A61,"&lt;="&amp;$A62,$B$4:$B61,$B62)&gt;0,MIN(AS$1,IF($A62=$A61,AS61,1))-X62&lt;0),-1,MIN(1,IF($A62=$A61,AS61,1)-X62+$D$3))</f>
        <v>1</v>
      </c>
      <c r="AT62">
        <f>IF(OR($J62=0,COUNTIFS($A$4:$A61,"&gt;="&amp;$A62-1,$A$4:$A61,"&lt;="&amp;$A62,$B$4:$B61,$B62)&gt;0,MIN(AT$1,IF($A62=$A61,AT61,1))-Y62&lt;0),-1,MIN(1,IF($A62=$A61,AT61,1)-Y62+$D$3))</f>
        <v>0.70000000000000007</v>
      </c>
      <c r="AU62">
        <f>IF(OR($J62=0,COUNTIFS($A$4:$A61,"&gt;="&amp;$A62-1,$A$4:$A61,"&lt;="&amp;$A62,$B$4:$B61,$B62)&gt;0,MIN(AU$1,IF($A62=$A61,AU61,1))-Z62&lt;0),-1,MIN(1,IF($A62=$A61,AU61,1)-Z62+$D$3))</f>
        <v>0.8</v>
      </c>
      <c r="AV62">
        <f>IF(OR($J62=0,COUNTIFS($A$4:$A61,"&gt;="&amp;$A62-1,$A$4:$A61,"&lt;="&amp;$A62,$B$4:$B61,$B62)&gt;0,MIN(AV$1,IF($A62=$A61,AV61,1))-AA62&lt;0),-1,MIN(1,IF($A62=$A61,AV61,1)-AA62+$D$3))</f>
        <v>1</v>
      </c>
      <c r="AW62">
        <f>IF(OR($J62=0,COUNTIFS($A$4:$A61,"&gt;="&amp;$A62-1,$A$4:$A61,"&lt;="&amp;$A62,$B$4:$B61,$B62)&gt;0,MIN(AW$1,IF($A62=$A61,AW61,1))-AB62&lt;0),-1,MIN(1,IF($A62=$A61,AW61,1)-AB62+$D$3))</f>
        <v>1</v>
      </c>
      <c r="AX62">
        <f>IF(OR($J62=0,COUNTIFS($A$4:$A61,"&gt;="&amp;$A62-1,$A$4:$A61,"&lt;="&amp;$A62,$B$4:$B61,$B62)&gt;0,MIN(AX$1,IF($A62=$A61,AX61,1))-AC62&lt;0),-1,MIN(1,IF($A62=$A61,AX61,1)-AC62+$D$3))</f>
        <v>1</v>
      </c>
      <c r="AY62">
        <f>IF(OR($J62=0,COUNTIFS($A$4:$A61,"&gt;="&amp;$A62-1,$A$4:$A61,"&lt;="&amp;$A62,$B$4:$B61,$B62)&gt;0,MIN(AY$1,IF($A62=$A61,AY61,1))-AD62&lt;0),-1,MIN(1,IF($A62=$A61,AY61,1)-AD62+$D$3))</f>
        <v>1</v>
      </c>
      <c r="AZ62">
        <f>IF(OR($J62=0,COUNTIFS($A$4:$A61,"&gt;="&amp;$A62-1,$A$4:$A61,"&lt;="&amp;$A62,$B$4:$B61,$B62)&gt;0,MIN(AZ$1,IF($A62=$A61,AZ61,1))-AE62&lt;0),-1,MIN(1,IF($A62=$A61,AZ61,1)-AE62+$D$3))</f>
        <v>1</v>
      </c>
      <c r="BA62">
        <f>IF(OR($J62=0,COUNTIFS($A$4:$A61,"&gt;="&amp;$A62-1,$A$4:$A61,"&lt;="&amp;$A62,$B$4:$B61,$B62)&gt;0,MIN(BA$1,IF($A62=$A61,BA61,1))-AF62&lt;0),-1,MIN(1,IF($A62=$A61,BA61,1)-AF62+$D$3))</f>
        <v>0.8</v>
      </c>
      <c r="BB62">
        <f>IF(OR($J62=0,COUNTIFS($A$4:$A61,"&gt;="&amp;$A62-1,$A$4:$A61,"&lt;="&amp;$A62,$B$4:$B61,$B62)&gt;0,MIN(BB$1,IF($A62=$A61,BB61,1))-AG62&lt;0),-1,MIN(1,IF($A62=$A61,BB61,1)-AG62+$D$3))</f>
        <v>1</v>
      </c>
      <c r="BC62">
        <f>IF(OR($J62=0,COUNTIFS($A$4:$A61,"&gt;="&amp;$A62-1,$A$4:$A61,"&lt;="&amp;$A62,$B$4:$B61,$B62)&gt;0,MIN(BC$1,IF($A62=$A61,BC61,1))-AH62&lt;0),-1,MIN(1,IF($A62=$A61,BC61,1)-AH62+$D$3))</f>
        <v>1</v>
      </c>
      <c r="BD62">
        <f>IF(OR($J62=0,COUNTIFS($A$4:$A61,"&gt;="&amp;$A62-1,$A$4:$A61,"&lt;="&amp;$A62,$B$4:$B61,$B62)&gt;0,MIN(BD$1,IF($A62=$A61,BD61,1))-AI62&lt;0),-1,MIN(1,IF($A62=$A61,BD61,1)-AI62+$D$3))</f>
        <v>1</v>
      </c>
      <c r="BF62" s="44">
        <f t="shared" si="179"/>
        <v>0.1082118945190047</v>
      </c>
      <c r="BG62" s="44">
        <f t="shared" si="180"/>
        <v>0.21349200504375751</v>
      </c>
      <c r="BH62" s="44">
        <f t="shared" si="181"/>
        <v>0.25169604855248057</v>
      </c>
      <c r="BI62" s="44">
        <f t="shared" si="182"/>
        <v>0.23089142338806715</v>
      </c>
      <c r="BJ62" s="44">
        <f t="shared" si="183"/>
        <v>0.26040809935908299</v>
      </c>
      <c r="BK62" s="44">
        <f t="shared" si="184"/>
        <v>5.6427285115181809E-2</v>
      </c>
      <c r="BL62" s="44">
        <f t="shared" si="185"/>
        <v>6.0411756595646543E-2</v>
      </c>
      <c r="BM62" s="44">
        <f t="shared" si="186"/>
        <v>0.12736466472060409</v>
      </c>
      <c r="BN62" s="44">
        <f t="shared" si="187"/>
        <v>0.12299754424367092</v>
      </c>
      <c r="BO62" s="44">
        <f t="shared" si="188"/>
        <v>7.4906924977454103E-2</v>
      </c>
      <c r="BP62" s="44">
        <f t="shared" si="189"/>
        <v>0.22555707682185375</v>
      </c>
      <c r="BQ62" s="44">
        <f t="shared" si="190"/>
        <v>6.7970060257947801E-2</v>
      </c>
      <c r="BR62" s="44">
        <f t="shared" si="191"/>
        <v>0.2008005726874339</v>
      </c>
      <c r="BS62" s="44">
        <f t="shared" si="192"/>
        <v>7.9135643996864721E-2</v>
      </c>
      <c r="BT62" s="44">
        <f t="shared" si="193"/>
        <v>0.37023665572355269</v>
      </c>
      <c r="BU62" s="44">
        <f t="shared" si="194"/>
        <v>0.38023944334684412</v>
      </c>
      <c r="BV62" s="44">
        <f t="shared" si="195"/>
        <v>0.36401372947546096</v>
      </c>
      <c r="BW62" s="44">
        <f t="shared" si="196"/>
        <v>0.19883891177670798</v>
      </c>
      <c r="BX62" s="44">
        <f t="shared" si="197"/>
        <v>0.16082374656492571</v>
      </c>
      <c r="BY62" s="44">
        <f t="shared" si="198"/>
        <v>0.13396305655254798</v>
      </c>
      <c r="CA62" s="44">
        <f t="shared" si="199"/>
        <v>-0.32521346544456364</v>
      </c>
      <c r="CB62" s="44">
        <f t="shared" si="200"/>
        <v>-0.11247261138827902</v>
      </c>
      <c r="CC62" s="44">
        <f t="shared" si="201"/>
        <v>0.56952343472922839</v>
      </c>
      <c r="CD62" s="44">
        <f t="shared" si="202"/>
        <v>0.43979018331707587</v>
      </c>
      <c r="CE62" s="44">
        <f t="shared" si="203"/>
        <v>0.62384994475651268</v>
      </c>
      <c r="CF62" s="44">
        <f t="shared" si="204"/>
        <v>-0.82406567990287827</v>
      </c>
      <c r="CG62" s="44">
        <f t="shared" si="205"/>
        <v>-0.62328503663316326</v>
      </c>
      <c r="CH62" s="44">
        <f t="shared" si="206"/>
        <v>-0.47052055528863279</v>
      </c>
      <c r="CI62" s="44">
        <f t="shared" si="207"/>
        <v>-0.23301327448398657</v>
      </c>
      <c r="CJ62" s="44">
        <f t="shared" si="208"/>
        <v>-0.53289622601641873</v>
      </c>
      <c r="CK62" s="44">
        <f t="shared" si="209"/>
        <v>0.40652632402016042</v>
      </c>
      <c r="CL62" s="44">
        <f t="shared" si="210"/>
        <v>-0.5761530502829364</v>
      </c>
      <c r="CM62" s="44">
        <f t="shared" si="211"/>
        <v>-0.16523334036565462</v>
      </c>
      <c r="CN62" s="44">
        <f t="shared" si="212"/>
        <v>-0.50652682674288863</v>
      </c>
      <c r="CO62" s="44">
        <f t="shared" si="213"/>
        <v>1.3087176413607082</v>
      </c>
      <c r="CP62" s="44">
        <f t="shared" si="214"/>
        <v>1.3710929137484342</v>
      </c>
      <c r="CQ62" s="44">
        <f t="shared" si="215"/>
        <v>0.51327519114335063</v>
      </c>
      <c r="CR62" s="44">
        <f t="shared" si="216"/>
        <v>0.23991748604876939</v>
      </c>
      <c r="CS62" s="44">
        <f t="shared" si="217"/>
        <v>2.8629394313843815E-3</v>
      </c>
      <c r="CT62" s="44">
        <f t="shared" si="218"/>
        <v>-0.16463465415373624</v>
      </c>
      <c r="CV62" s="44">
        <f t="shared" si="219"/>
        <v>0.60722550751666515</v>
      </c>
    </row>
    <row r="63" spans="1:100" x14ac:dyDescent="0.25">
      <c r="A63" s="41">
        <v>45065</v>
      </c>
      <c r="B63" s="42">
        <v>17</v>
      </c>
      <c r="C63" s="43" t="str" cm="1">
        <f t="array" ref="C63">IF(B63="","",INDEX(UWS!$B$10:$B$41,B63))</f>
        <v>Pull-up</v>
      </c>
      <c r="D63" s="40">
        <f t="shared" si="176"/>
        <v>0.4</v>
      </c>
      <c r="E63" s="69">
        <f t="shared" si="177"/>
        <v>1.3468966375297358</v>
      </c>
      <c r="F63" s="48" cm="1">
        <f t="array" ref="F63">0.1+IFERROR(INDEX($F$5:$F62,SUMPRODUCT(MAX(ROW($C$5:$C62)*($C63=$C$5:$C62))-ROW($A$4)))*0.9^($A63-INDEX($A$5:A62,SUMPRODUCT(MAX(ROW($C$5:$C62)*($C63=$C$5:$C62))-ROW($A$4)))),0)</f>
        <v>0.1</v>
      </c>
      <c r="G63" s="55">
        <f>INDEX(UWS!$AB$10:$AB$41,MATCH(C63,UWS!$B$10:$B$41,0))</f>
        <v>3.5</v>
      </c>
      <c r="H63" s="48">
        <f>INDEX(UWS!$C$10:$C$41,MATCH(C63,UWS!$B$10:$B$41,0))</f>
        <v>1.1000000000000001</v>
      </c>
      <c r="I63" s="27">
        <f t="shared" si="178"/>
        <v>3</v>
      </c>
      <c r="J63" s="27">
        <f>INDEX(UWS!$E$10:$E$41,MATCH(C63,UWS!$B$10:$B$41,0))</f>
        <v>1</v>
      </c>
      <c r="K63" s="27">
        <v>16</v>
      </c>
      <c r="L63" s="108" t="str" cm="1">
        <f t="array" ref="L63">IF(K63="","",INDEX(UWS!$B$10:$B$41,K63))</f>
        <v>Cable lat pulldown</v>
      </c>
      <c r="M63" s="27">
        <v>30</v>
      </c>
      <c r="N63" s="108" t="str" cm="1">
        <f t="array" ref="N63">IF(M63="","",INDEX(UWS!$B$10:$B$41,M63))</f>
        <v>Hanging leg raise</v>
      </c>
      <c r="P63">
        <f>IFERROR(INDEX(UWS!$G$10:$Z$41,MATCH($C63,UWS!$B$10:$B$41,0),MATCH(P$4,UWS!$G$3:$Z$3,0)),0)</f>
        <v>0</v>
      </c>
      <c r="Q63">
        <f>IFERROR(INDEX(UWS!$G$10:$Z$41,MATCH($C63,UWS!$B$10:$B$41,0),MATCH(Q$4,UWS!$G$3:$Z$3,0)),0)</f>
        <v>1</v>
      </c>
      <c r="R63">
        <f>IFERROR(INDEX(UWS!$G$10:$Z$41,MATCH($C63,UWS!$B$10:$B$41,0),MATCH(R$4,UWS!$G$3:$Z$3,0)),0)</f>
        <v>0.4</v>
      </c>
      <c r="S63">
        <f>IFERROR(INDEX(UWS!$G$10:$Z$41,MATCH($C63,UWS!$B$10:$B$41,0),MATCH(S$4,UWS!$G$3:$Z$3,0)),0)</f>
        <v>0.4</v>
      </c>
      <c r="T63">
        <f>IFERROR(INDEX(UWS!$G$10:$Z$41,MATCH($C63,UWS!$B$10:$B$41,0),MATCH(T$4,UWS!$G$3:$Z$3,0)),0)</f>
        <v>0</v>
      </c>
      <c r="U63">
        <f>IFERROR(INDEX(UWS!$G$10:$Z$41,MATCH($C63,UWS!$B$10:$B$41,0),MATCH(U$4,UWS!$G$3:$Z$3,0)),0)</f>
        <v>0</v>
      </c>
      <c r="V63">
        <f>IFERROR(INDEX(UWS!$G$10:$Z$41,MATCH($C63,UWS!$B$10:$B$41,0),MATCH(V$4,UWS!$G$3:$Z$3,0)),0)</f>
        <v>0</v>
      </c>
      <c r="W63">
        <f>IFERROR(INDEX(UWS!$G$10:$Z$41,MATCH($C63,UWS!$B$10:$B$41,0),MATCH(W$4,UWS!$G$3:$Z$3,0)),0)</f>
        <v>0.5</v>
      </c>
      <c r="X63">
        <f>IFERROR(INDEX(UWS!$G$10:$Z$41,MATCH($C63,UWS!$B$10:$B$41,0),MATCH(X$4,UWS!$G$3:$Z$3,0)),0)</f>
        <v>0.7</v>
      </c>
      <c r="Y63">
        <f>IFERROR(INDEX(UWS!$G$10:$Z$41,MATCH($C63,UWS!$B$10:$B$41,0),MATCH(Y$4,UWS!$G$3:$Z$3,0)),0)</f>
        <v>0</v>
      </c>
      <c r="Z63">
        <f>IFERROR(INDEX(UWS!$G$10:$Z$41,MATCH($C63,UWS!$B$10:$B$41,0),MATCH(Z$4,UWS!$G$3:$Z$3,0)),0)</f>
        <v>0.5</v>
      </c>
      <c r="AA63">
        <f>IFERROR(INDEX(UWS!$G$10:$Z$41,MATCH($C63,UWS!$B$10:$B$41,0),MATCH(AA$4,UWS!$G$3:$Z$3,0)),0)</f>
        <v>0</v>
      </c>
      <c r="AB63">
        <f>IFERROR(INDEX(UWS!$G$10:$Z$41,MATCH($C63,UWS!$B$10:$B$41,0),MATCH(AB$4,UWS!$G$3:$Z$3,0)),0)</f>
        <v>0</v>
      </c>
      <c r="AC63">
        <f>IFERROR(INDEX(UWS!$G$10:$Z$41,MATCH($C63,UWS!$B$10:$B$41,0),MATCH(AC$4,UWS!$G$3:$Z$3,0)),0)</f>
        <v>0</v>
      </c>
      <c r="AD63">
        <f>IFERROR(INDEX(UWS!$G$10:$Z$41,MATCH($C63,UWS!$B$10:$B$41,0),MATCH(AD$4,UWS!$G$3:$Z$3,0)),0)</f>
        <v>0</v>
      </c>
      <c r="AE63">
        <f>IFERROR(INDEX(UWS!$G$10:$Z$41,MATCH($C63,UWS!$B$10:$B$41,0),MATCH(AE$4,UWS!$G$3:$Z$3,0)),0)</f>
        <v>0</v>
      </c>
      <c r="AF63">
        <f>IFERROR(INDEX(UWS!$G$10:$Z$41,MATCH($C63,UWS!$B$10:$B$41,0),MATCH(AF$4,UWS!$G$3:$Z$3,0)),0)</f>
        <v>0</v>
      </c>
      <c r="AG63">
        <f>IFERROR(INDEX(UWS!$G$10:$Z$41,MATCH($C63,UWS!$B$10:$B$41,0),MATCH(AG$4,UWS!$G$3:$Z$3,0)),0)</f>
        <v>0</v>
      </c>
      <c r="AH63">
        <f>IFERROR(INDEX(UWS!$G$10:$Z$41,MATCH($C63,UWS!$B$10:$B$41,0),MATCH(AH$4,UWS!$G$3:$Z$3,0)),0)</f>
        <v>0</v>
      </c>
      <c r="AI63">
        <f>IFERROR(INDEX(UWS!$G$10:$Z$41,MATCH($C63,UWS!$B$10:$B$41,0),MATCH(AI$4,UWS!$G$3:$Z$3,0)),0)</f>
        <v>0</v>
      </c>
      <c r="AK63">
        <f>IF(OR($J63=0,COUNTIFS($A$4:$A62,"&gt;="&amp;$A63-1,$A$4:$A62,"&lt;="&amp;$A63,$B$4:$B62,$B63)&gt;0,MIN(AK$1,IF($A63=$A62,AK62,1))-P63&lt;0),-1,MIN(1,IF($A63=$A62,AK62,1)-P63+$D$3))</f>
        <v>0.8</v>
      </c>
      <c r="AL63">
        <f>IF(OR($J63=0,COUNTIFS($A$4:$A62,"&gt;="&amp;$A63-1,$A$4:$A62,"&lt;="&amp;$A63,$B$4:$B62,$B63)&gt;0,MIN(AL$1,IF($A63=$A62,AL62,1))-Q63&lt;0),-1,MIN(1,IF($A63=$A62,AL62,1)-Q63+$D$3))</f>
        <v>0.4</v>
      </c>
      <c r="AM63">
        <f>IF(OR($J63=0,COUNTIFS($A$4:$A62,"&gt;="&amp;$A63-1,$A$4:$A62,"&lt;="&amp;$A63,$B$4:$B62,$B63)&gt;0,MIN(AM$1,IF($A63=$A62,AM62,1))-R63&lt;0),-1,MIN(1,IF($A63=$A62,AM62,1)-R63+$D$3))</f>
        <v>1</v>
      </c>
      <c r="AN63">
        <f>IF(OR($J63=0,COUNTIFS($A$4:$A62,"&gt;="&amp;$A63-1,$A$4:$A62,"&lt;="&amp;$A63,$B$4:$B62,$B63)&gt;0,MIN(AN$1,IF($A63=$A62,AN62,1))-S63&lt;0),-1,MIN(1,IF($A63=$A62,AN62,1)-S63+$D$3))</f>
        <v>1</v>
      </c>
      <c r="AO63">
        <f>IF(OR($J63=0,COUNTIFS($A$4:$A62,"&gt;="&amp;$A63-1,$A$4:$A62,"&lt;="&amp;$A63,$B$4:$B62,$B63)&gt;0,MIN(AO$1,IF($A63=$A62,AO62,1))-T63&lt;0),-1,MIN(1,IF($A63=$A62,AO62,1)-T63+$D$3))</f>
        <v>1</v>
      </c>
      <c r="AP63">
        <f>IF(OR($J63=0,COUNTIFS($A$4:$A62,"&gt;="&amp;$A63-1,$A$4:$A62,"&lt;="&amp;$A63,$B$4:$B62,$B63)&gt;0,MIN(AP$1,IF($A63=$A62,AP62,1))-U63&lt;0),-1,MIN(1,IF($A63=$A62,AP62,1)-U63+$D$3))</f>
        <v>1</v>
      </c>
      <c r="AQ63">
        <f>IF(OR($J63=0,COUNTIFS($A$4:$A62,"&gt;="&amp;$A63-1,$A$4:$A62,"&lt;="&amp;$A63,$B$4:$B62,$B63)&gt;0,MIN(AQ$1,IF($A63=$A62,AQ62,1))-V63&lt;0),-1,MIN(1,IF($A63=$A62,AQ62,1)-V63+$D$3))</f>
        <v>1</v>
      </c>
      <c r="AR63">
        <f>IF(OR($J63=0,COUNTIFS($A$4:$A62,"&gt;="&amp;$A63-1,$A$4:$A62,"&lt;="&amp;$A63,$B$4:$B62,$B63)&gt;0,MIN(AR$1,IF($A63=$A62,AR62,1))-W63&lt;0),-1,MIN(1,IF($A63=$A62,AR62,1)-W63+$D$3))</f>
        <v>0.9</v>
      </c>
      <c r="AS63">
        <f>IF(OR($J63=0,COUNTIFS($A$4:$A62,"&gt;="&amp;$A63-1,$A$4:$A62,"&lt;="&amp;$A63,$B$4:$B62,$B63)&gt;0,MIN(AS$1,IF($A63=$A62,AS62,1))-X63&lt;0),-1,MIN(1,IF($A63=$A62,AS62,1)-X63+$D$3))</f>
        <v>0.70000000000000007</v>
      </c>
      <c r="AT63">
        <f>IF(OR($J63=0,COUNTIFS($A$4:$A62,"&gt;="&amp;$A63-1,$A$4:$A62,"&lt;="&amp;$A63,$B$4:$B62,$B63)&gt;0,MIN(AT$1,IF($A63=$A62,AT62,1))-Y63&lt;0),-1,MIN(1,IF($A63=$A62,AT62,1)-Y63+$D$3))</f>
        <v>1</v>
      </c>
      <c r="AU63">
        <f>IF(OR($J63=0,COUNTIFS($A$4:$A62,"&gt;="&amp;$A63-1,$A$4:$A62,"&lt;="&amp;$A63,$B$4:$B62,$B63)&gt;0,MIN(AU$1,IF($A63=$A62,AU62,1))-Z63&lt;0),-1,MIN(1,IF($A63=$A62,AU62,1)-Z63+$D$3))</f>
        <v>0.70000000000000007</v>
      </c>
      <c r="AV63">
        <f>IF(OR($J63=0,COUNTIFS($A$4:$A62,"&gt;="&amp;$A63-1,$A$4:$A62,"&lt;="&amp;$A63,$B$4:$B62,$B63)&gt;0,MIN(AV$1,IF($A63=$A62,AV62,1))-AA63&lt;0),-1,MIN(1,IF($A63=$A62,AV62,1)-AA63+$D$3))</f>
        <v>1</v>
      </c>
      <c r="AW63">
        <f>IF(OR($J63=0,COUNTIFS($A$4:$A62,"&gt;="&amp;$A63-1,$A$4:$A62,"&lt;="&amp;$A63,$B$4:$B62,$B63)&gt;0,MIN(AW$1,IF($A63=$A62,AW62,1))-AB63&lt;0),-1,MIN(1,IF($A63=$A62,AW62,1)-AB63+$D$3))</f>
        <v>1</v>
      </c>
      <c r="AX63">
        <f>IF(OR($J63=0,COUNTIFS($A$4:$A62,"&gt;="&amp;$A63-1,$A$4:$A62,"&lt;="&amp;$A63,$B$4:$B62,$B63)&gt;0,MIN(AX$1,IF($A63=$A62,AX62,1))-AC63&lt;0),-1,MIN(1,IF($A63=$A62,AX62,1)-AC63+$D$3))</f>
        <v>1</v>
      </c>
      <c r="AY63">
        <f>IF(OR($J63=0,COUNTIFS($A$4:$A62,"&gt;="&amp;$A63-1,$A$4:$A62,"&lt;="&amp;$A63,$B$4:$B62,$B63)&gt;0,MIN(AY$1,IF($A63=$A62,AY62,1))-AD63&lt;0),-1,MIN(1,IF($A63=$A62,AY62,1)-AD63+$D$3))</f>
        <v>1</v>
      </c>
      <c r="AZ63">
        <f>IF(OR($J63=0,COUNTIFS($A$4:$A62,"&gt;="&amp;$A63-1,$A$4:$A62,"&lt;="&amp;$A63,$B$4:$B62,$B63)&gt;0,MIN(AZ$1,IF($A63=$A62,AZ62,1))-AE63&lt;0),-1,MIN(1,IF($A63=$A62,AZ62,1)-AE63+$D$3))</f>
        <v>1</v>
      </c>
      <c r="BA63">
        <f>IF(OR($J63=0,COUNTIFS($A$4:$A62,"&gt;="&amp;$A63-1,$A$4:$A62,"&lt;="&amp;$A63,$B$4:$B62,$B63)&gt;0,MIN(BA$1,IF($A63=$A62,BA62,1))-AF63&lt;0),-1,MIN(1,IF($A63=$A62,BA62,1)-AF63+$D$3))</f>
        <v>1</v>
      </c>
      <c r="BB63">
        <f>IF(OR($J63=0,COUNTIFS($A$4:$A62,"&gt;="&amp;$A63-1,$A$4:$A62,"&lt;="&amp;$A63,$B$4:$B62,$B63)&gt;0,MIN(BB$1,IF($A63=$A62,BB62,1))-AG63&lt;0),-1,MIN(1,IF($A63=$A62,BB62,1)-AG63+$D$3))</f>
        <v>1</v>
      </c>
      <c r="BC63">
        <f>IF(OR($J63=0,COUNTIFS($A$4:$A62,"&gt;="&amp;$A63-1,$A$4:$A62,"&lt;="&amp;$A63,$B$4:$B62,$B63)&gt;0,MIN(BC$1,IF($A63=$A62,BC62,1))-AH63&lt;0),-1,MIN(1,IF($A63=$A62,BC62,1)-AH63+$D$3))</f>
        <v>1</v>
      </c>
      <c r="BD63">
        <f>IF(OR($J63=0,COUNTIFS($A$4:$A62,"&gt;="&amp;$A63-1,$A$4:$A62,"&lt;="&amp;$A63,$B$4:$B62,$B63)&gt;0,MIN(BD$1,IF($A63=$A62,BD62,1))-AI63&lt;0),-1,MIN(1,IF($A63=$A62,BD62,1)-AI63+$D$3))</f>
        <v>1</v>
      </c>
      <c r="BF63" s="44">
        <f t="shared" si="179"/>
        <v>0.10280129979305447</v>
      </c>
      <c r="BG63" s="44">
        <f t="shared" si="180"/>
        <v>0.25281740479156961</v>
      </c>
      <c r="BH63" s="44">
        <f t="shared" si="181"/>
        <v>0.25911124612485653</v>
      </c>
      <c r="BI63" s="44">
        <f t="shared" si="182"/>
        <v>0.23934685221866381</v>
      </c>
      <c r="BJ63" s="44">
        <f t="shared" si="183"/>
        <v>0.24738769439112882</v>
      </c>
      <c r="BK63" s="44">
        <f t="shared" si="184"/>
        <v>5.3605920859422715E-2</v>
      </c>
      <c r="BL63" s="44">
        <f t="shared" si="185"/>
        <v>5.7391168765864212E-2</v>
      </c>
      <c r="BM63" s="44">
        <f t="shared" si="186"/>
        <v>0.14599643148457389</v>
      </c>
      <c r="BN63" s="44">
        <f t="shared" si="187"/>
        <v>0.15184766703148736</v>
      </c>
      <c r="BO63" s="44">
        <f t="shared" si="188"/>
        <v>7.1161578728581393E-2</v>
      </c>
      <c r="BP63" s="44">
        <f t="shared" si="189"/>
        <v>0.23927922298076104</v>
      </c>
      <c r="BQ63" s="44">
        <f t="shared" si="190"/>
        <v>6.4571557245050412E-2</v>
      </c>
      <c r="BR63" s="44">
        <f t="shared" si="191"/>
        <v>0.1907605440530622</v>
      </c>
      <c r="BS63" s="44">
        <f t="shared" si="192"/>
        <v>7.5178861797021476E-2</v>
      </c>
      <c r="BT63" s="44">
        <f t="shared" si="193"/>
        <v>0.35172482293737506</v>
      </c>
      <c r="BU63" s="44">
        <f t="shared" si="194"/>
        <v>0.36122747117950188</v>
      </c>
      <c r="BV63" s="44">
        <f t="shared" si="195"/>
        <v>0.34581304300168791</v>
      </c>
      <c r="BW63" s="44">
        <f t="shared" si="196"/>
        <v>0.18889696618787258</v>
      </c>
      <c r="BX63" s="44">
        <f t="shared" si="197"/>
        <v>0.15278255923667941</v>
      </c>
      <c r="BY63" s="44">
        <f t="shared" si="198"/>
        <v>0.12726490372492058</v>
      </c>
      <c r="CA63" s="44">
        <f t="shared" si="199"/>
        <v>-0.35731150725817906</v>
      </c>
      <c r="CB63" s="44">
        <f t="shared" si="200"/>
        <v>5.3701572201135805E-2</v>
      </c>
      <c r="CC63" s="44">
        <f t="shared" si="201"/>
        <v>0.61989990943373363</v>
      </c>
      <c r="CD63" s="44">
        <f t="shared" si="202"/>
        <v>0.4963377700921372</v>
      </c>
      <c r="CE63" s="44">
        <f t="shared" si="203"/>
        <v>0.54660714165260771</v>
      </c>
      <c r="CF63" s="44">
        <f t="shared" si="204"/>
        <v>-0.83243447043698082</v>
      </c>
      <c r="CG63" s="44">
        <f t="shared" si="205"/>
        <v>-0.64120450008826868</v>
      </c>
      <c r="CH63" s="44">
        <f t="shared" si="206"/>
        <v>-0.39151076438792431</v>
      </c>
      <c r="CI63" s="44">
        <f t="shared" si="207"/>
        <v>-5.0685658184430826E-2</v>
      </c>
      <c r="CJ63" s="44">
        <f t="shared" si="208"/>
        <v>-0.5551152770804717</v>
      </c>
      <c r="CK63" s="44">
        <f t="shared" si="209"/>
        <v>0.49591496869701368</v>
      </c>
      <c r="CL63" s="44">
        <f t="shared" si="210"/>
        <v>-0.59631447381157077</v>
      </c>
      <c r="CM63" s="44">
        <f t="shared" si="211"/>
        <v>-0.20494126838945259</v>
      </c>
      <c r="CN63" s="44">
        <f t="shared" si="212"/>
        <v>-0.53000020941721804</v>
      </c>
      <c r="CO63" s="44">
        <f t="shared" si="213"/>
        <v>1.1988972587754958</v>
      </c>
      <c r="CP63" s="44">
        <f t="shared" si="214"/>
        <v>1.2583054830691816</v>
      </c>
      <c r="CQ63" s="44">
        <f t="shared" si="215"/>
        <v>0.44129217448041835</v>
      </c>
      <c r="CR63" s="44">
        <f t="shared" si="216"/>
        <v>0.18093746603570438</v>
      </c>
      <c r="CS63" s="44">
        <f t="shared" si="217"/>
        <v>-4.4840941595822637E-2</v>
      </c>
      <c r="CT63" s="44">
        <f t="shared" si="218"/>
        <v>-0.20437106030221408</v>
      </c>
      <c r="CV63" s="44">
        <f t="shared" si="219"/>
        <v>0.58499663812713831</v>
      </c>
    </row>
    <row r="64" spans="1:100" x14ac:dyDescent="0.25">
      <c r="A64" s="41">
        <v>45065</v>
      </c>
      <c r="B64" s="42">
        <v>22</v>
      </c>
      <c r="C64" s="43" t="str" cm="1">
        <f t="array" ref="C64">IF(B64="","",INDEX(UWS!$B$10:$B$41,B64))</f>
        <v>Cable lateral raise</v>
      </c>
      <c r="D64" s="40">
        <f t="shared" si="176"/>
        <v>0.4</v>
      </c>
      <c r="E64" s="69">
        <f t="shared" si="177"/>
        <v>1.8277951848460858</v>
      </c>
      <c r="F64" s="48" cm="1">
        <f t="array" ref="F64">0.1+IFERROR(INDEX($F$5:$F63,SUMPRODUCT(MAX(ROW($C$5:$C63)*($C64=$C$5:$C63))-ROW($A$4)))*0.9^($A64-INDEX($A$5:A63,SUMPRODUCT(MAX(ROW($C$5:$C63)*($C64=$C$5:$C63))-ROW($A$4)))),0)</f>
        <v>0.13138105960900004</v>
      </c>
      <c r="G64" s="55">
        <f>INDEX(UWS!$AB$10:$AB$41,MATCH(C64,UWS!$B$10:$B$41,0))</f>
        <v>1</v>
      </c>
      <c r="H64" s="48">
        <f>INDEX(UWS!$C$10:$C$41,MATCH(C64,UWS!$B$10:$B$41,0))</f>
        <v>1</v>
      </c>
      <c r="I64" s="27">
        <f t="shared" si="178"/>
        <v>4</v>
      </c>
      <c r="J64" s="27">
        <f>INDEX(UWS!$E$10:$E$41,MATCH(C64,UWS!$B$10:$B$41,0))</f>
        <v>1</v>
      </c>
      <c r="K64" s="27">
        <v>32</v>
      </c>
      <c r="L64" s="108" t="str" cm="1">
        <f t="array" ref="L64">IF(K64="","",INDEX(UWS!$B$10:$B$41,K64))</f>
        <v>Seated leg extension</v>
      </c>
      <c r="M64" s="27">
        <v>31</v>
      </c>
      <c r="N64" s="108" t="str" cm="1">
        <f t="array" ref="N64">IF(M64="","",INDEX(UWS!$B$10:$B$41,M64))</f>
        <v>Cable standing oblique twist</v>
      </c>
      <c r="P64">
        <f>IFERROR(INDEX(UWS!$G$10:$Z$41,MATCH($C64,UWS!$B$10:$B$41,0),MATCH(P$4,UWS!$G$3:$Z$3,0)),0)</f>
        <v>0</v>
      </c>
      <c r="Q64">
        <f>IFERROR(INDEX(UWS!$G$10:$Z$41,MATCH($C64,UWS!$B$10:$B$41,0),MATCH(Q$4,UWS!$G$3:$Z$3,0)),0)</f>
        <v>0</v>
      </c>
      <c r="R64">
        <f>IFERROR(INDEX(UWS!$G$10:$Z$41,MATCH($C64,UWS!$B$10:$B$41,0),MATCH(R$4,UWS!$G$3:$Z$3,0)),0)</f>
        <v>0</v>
      </c>
      <c r="S64">
        <f>IFERROR(INDEX(UWS!$G$10:$Z$41,MATCH($C64,UWS!$B$10:$B$41,0),MATCH(S$4,UWS!$G$3:$Z$3,0)),0)</f>
        <v>0</v>
      </c>
      <c r="T64">
        <f>IFERROR(INDEX(UWS!$G$10:$Z$41,MATCH($C64,UWS!$B$10:$B$41,0),MATCH(T$4,UWS!$G$3:$Z$3,0)),0)</f>
        <v>0</v>
      </c>
      <c r="U64">
        <f>IFERROR(INDEX(UWS!$G$10:$Z$41,MATCH($C64,UWS!$B$10:$B$41,0),MATCH(U$4,UWS!$G$3:$Z$3,0)),0)</f>
        <v>1</v>
      </c>
      <c r="V64">
        <f>IFERROR(INDEX(UWS!$G$10:$Z$41,MATCH($C64,UWS!$B$10:$B$41,0),MATCH(V$4,UWS!$G$3:$Z$3,0)),0)</f>
        <v>0</v>
      </c>
      <c r="W64">
        <f>IFERROR(INDEX(UWS!$G$10:$Z$41,MATCH($C64,UWS!$B$10:$B$41,0),MATCH(W$4,UWS!$G$3:$Z$3,0)),0)</f>
        <v>0</v>
      </c>
      <c r="X64">
        <f>IFERROR(INDEX(UWS!$G$10:$Z$41,MATCH($C64,UWS!$B$10:$B$41,0),MATCH(X$4,UWS!$G$3:$Z$3,0)),0)</f>
        <v>0</v>
      </c>
      <c r="Y64">
        <f>IFERROR(INDEX(UWS!$G$10:$Z$41,MATCH($C64,UWS!$B$10:$B$41,0),MATCH(Y$4,UWS!$G$3:$Z$3,0)),0)</f>
        <v>0</v>
      </c>
      <c r="Z64">
        <f>IFERROR(INDEX(UWS!$G$10:$Z$41,MATCH($C64,UWS!$B$10:$B$41,0),MATCH(Z$4,UWS!$G$3:$Z$3,0)),0)</f>
        <v>0</v>
      </c>
      <c r="AA64">
        <f>IFERROR(INDEX(UWS!$G$10:$Z$41,MATCH($C64,UWS!$B$10:$B$41,0),MATCH(AA$4,UWS!$G$3:$Z$3,0)),0)</f>
        <v>0</v>
      </c>
      <c r="AB64">
        <f>IFERROR(INDEX(UWS!$G$10:$Z$41,MATCH($C64,UWS!$B$10:$B$41,0),MATCH(AB$4,UWS!$G$3:$Z$3,0)),0)</f>
        <v>0</v>
      </c>
      <c r="AC64">
        <f>IFERROR(INDEX(UWS!$G$10:$Z$41,MATCH($C64,UWS!$B$10:$B$41,0),MATCH(AC$4,UWS!$G$3:$Z$3,0)),0)</f>
        <v>0</v>
      </c>
      <c r="AD64">
        <f>IFERROR(INDEX(UWS!$G$10:$Z$41,MATCH($C64,UWS!$B$10:$B$41,0),MATCH(AD$4,UWS!$G$3:$Z$3,0)),0)</f>
        <v>0</v>
      </c>
      <c r="AE64">
        <f>IFERROR(INDEX(UWS!$G$10:$Z$41,MATCH($C64,UWS!$B$10:$B$41,0),MATCH(AE$4,UWS!$G$3:$Z$3,0)),0)</f>
        <v>0</v>
      </c>
      <c r="AF64">
        <f>IFERROR(INDEX(UWS!$G$10:$Z$41,MATCH($C64,UWS!$B$10:$B$41,0),MATCH(AF$4,UWS!$G$3:$Z$3,0)),0)</f>
        <v>0</v>
      </c>
      <c r="AG64">
        <f>IFERROR(INDEX(UWS!$G$10:$Z$41,MATCH($C64,UWS!$B$10:$B$41,0),MATCH(AG$4,UWS!$G$3:$Z$3,0)),0)</f>
        <v>0</v>
      </c>
      <c r="AH64">
        <f>IFERROR(INDEX(UWS!$G$10:$Z$41,MATCH($C64,UWS!$B$10:$B$41,0),MATCH(AH$4,UWS!$G$3:$Z$3,0)),0)</f>
        <v>0</v>
      </c>
      <c r="AI64">
        <f>IFERROR(INDEX(UWS!$G$10:$Z$41,MATCH($C64,UWS!$B$10:$B$41,0),MATCH(AI$4,UWS!$G$3:$Z$3,0)),0)</f>
        <v>0</v>
      </c>
      <c r="AK64">
        <f>IF(OR($J64=0,COUNTIFS($A$4:$A63,"&gt;="&amp;$A64-1,$A$4:$A63,"&lt;="&amp;$A64,$B$4:$B63,$B64)&gt;0,MIN(AK$1,IF($A64=$A63,AK63,1))-P64&lt;0),-1,MIN(1,IF($A64=$A63,AK63,1)-P64+$D$3))</f>
        <v>1</v>
      </c>
      <c r="AL64">
        <f>IF(OR($J64=0,COUNTIFS($A$4:$A63,"&gt;="&amp;$A64-1,$A$4:$A63,"&lt;="&amp;$A64,$B$4:$B63,$B64)&gt;0,MIN(AL$1,IF($A64=$A63,AL63,1))-Q64&lt;0),-1,MIN(1,IF($A64=$A63,AL63,1)-Q64+$D$3))</f>
        <v>0.8</v>
      </c>
      <c r="AM64">
        <f>IF(OR($J64=0,COUNTIFS($A$4:$A63,"&gt;="&amp;$A64-1,$A$4:$A63,"&lt;="&amp;$A64,$B$4:$B63,$B64)&gt;0,MIN(AM$1,IF($A64=$A63,AM63,1))-R64&lt;0),-1,MIN(1,IF($A64=$A63,AM63,1)-R64+$D$3))</f>
        <v>1</v>
      </c>
      <c r="AN64">
        <f>IF(OR($J64=0,COUNTIFS($A$4:$A63,"&gt;="&amp;$A64-1,$A$4:$A63,"&lt;="&amp;$A64,$B$4:$B63,$B64)&gt;0,MIN(AN$1,IF($A64=$A63,AN63,1))-S64&lt;0),-1,MIN(1,IF($A64=$A63,AN63,1)-S64+$D$3))</f>
        <v>1</v>
      </c>
      <c r="AO64">
        <f>IF(OR($J64=0,COUNTIFS($A$4:$A63,"&gt;="&amp;$A64-1,$A$4:$A63,"&lt;="&amp;$A64,$B$4:$B63,$B64)&gt;0,MIN(AO$1,IF($A64=$A63,AO63,1))-T64&lt;0),-1,MIN(1,IF($A64=$A63,AO63,1)-T64+$D$3))</f>
        <v>1</v>
      </c>
      <c r="AP64">
        <f>IF(OR($J64=0,COUNTIFS($A$4:$A63,"&gt;="&amp;$A64-1,$A$4:$A63,"&lt;="&amp;$A64,$B$4:$B63,$B64)&gt;0,MIN(AP$1,IF($A64=$A63,AP63,1))-U64&lt;0),-1,MIN(1,IF($A64=$A63,AP63,1)-U64+$D$3))</f>
        <v>0.4</v>
      </c>
      <c r="AQ64">
        <f>IF(OR($J64=0,COUNTIFS($A$4:$A63,"&gt;="&amp;$A64-1,$A$4:$A63,"&lt;="&amp;$A64,$B$4:$B63,$B64)&gt;0,MIN(AQ$1,IF($A64=$A63,AQ63,1))-V64&lt;0),-1,MIN(1,IF($A64=$A63,AQ63,1)-V64+$D$3))</f>
        <v>1</v>
      </c>
      <c r="AR64">
        <f>IF(OR($J64=0,COUNTIFS($A$4:$A63,"&gt;="&amp;$A64-1,$A$4:$A63,"&lt;="&amp;$A64,$B$4:$B63,$B64)&gt;0,MIN(AR$1,IF($A64=$A63,AR63,1))-W64&lt;0),-1,MIN(1,IF($A64=$A63,AR63,1)-W64+$D$3))</f>
        <v>1</v>
      </c>
      <c r="AS64">
        <f>IF(OR($J64=0,COUNTIFS($A$4:$A63,"&gt;="&amp;$A64-1,$A$4:$A63,"&lt;="&amp;$A64,$B$4:$B63,$B64)&gt;0,MIN(AS$1,IF($A64=$A63,AS63,1))-X64&lt;0),-1,MIN(1,IF($A64=$A63,AS63,1)-X64+$D$3))</f>
        <v>1</v>
      </c>
      <c r="AT64">
        <f>IF(OR($J64=0,COUNTIFS($A$4:$A63,"&gt;="&amp;$A64-1,$A$4:$A63,"&lt;="&amp;$A64,$B$4:$B63,$B64)&gt;0,MIN(AT$1,IF($A64=$A63,AT63,1))-Y64&lt;0),-1,MIN(1,IF($A64=$A63,AT63,1)-Y64+$D$3))</f>
        <v>1</v>
      </c>
      <c r="AU64">
        <f>IF(OR($J64=0,COUNTIFS($A$4:$A63,"&gt;="&amp;$A64-1,$A$4:$A63,"&lt;="&amp;$A64,$B$4:$B63,$B64)&gt;0,MIN(AU$1,IF($A64=$A63,AU63,1))-Z64&lt;0),-1,MIN(1,IF($A64=$A63,AU63,1)-Z64+$D$3))</f>
        <v>1</v>
      </c>
      <c r="AV64">
        <f>IF(OR($J64=0,COUNTIFS($A$4:$A63,"&gt;="&amp;$A64-1,$A$4:$A63,"&lt;="&amp;$A64,$B$4:$B63,$B64)&gt;0,MIN(AV$1,IF($A64=$A63,AV63,1))-AA64&lt;0),-1,MIN(1,IF($A64=$A63,AV63,1)-AA64+$D$3))</f>
        <v>1</v>
      </c>
      <c r="AW64">
        <f>IF(OR($J64=0,COUNTIFS($A$4:$A63,"&gt;="&amp;$A64-1,$A$4:$A63,"&lt;="&amp;$A64,$B$4:$B63,$B64)&gt;0,MIN(AW$1,IF($A64=$A63,AW63,1))-AB64&lt;0),-1,MIN(1,IF($A64=$A63,AW63,1)-AB64+$D$3))</f>
        <v>1</v>
      </c>
      <c r="AX64">
        <f>IF(OR($J64=0,COUNTIFS($A$4:$A63,"&gt;="&amp;$A64-1,$A$4:$A63,"&lt;="&amp;$A64,$B$4:$B63,$B64)&gt;0,MIN(AX$1,IF($A64=$A63,AX63,1))-AC64&lt;0),-1,MIN(1,IF($A64=$A63,AX63,1)-AC64+$D$3))</f>
        <v>1</v>
      </c>
      <c r="AY64">
        <f>IF(OR($J64=0,COUNTIFS($A$4:$A63,"&gt;="&amp;$A64-1,$A$4:$A63,"&lt;="&amp;$A64,$B$4:$B63,$B64)&gt;0,MIN(AY$1,IF($A64=$A63,AY63,1))-AD64&lt;0),-1,MIN(1,IF($A64=$A63,AY63,1)-AD64+$D$3))</f>
        <v>1</v>
      </c>
      <c r="AZ64">
        <f>IF(OR($J64=0,COUNTIFS($A$4:$A63,"&gt;="&amp;$A64-1,$A$4:$A63,"&lt;="&amp;$A64,$B$4:$B63,$B64)&gt;0,MIN(AZ$1,IF($A64=$A63,AZ63,1))-AE64&lt;0),-1,MIN(1,IF($A64=$A63,AZ63,1)-AE64+$D$3))</f>
        <v>1</v>
      </c>
      <c r="BA64">
        <f>IF(OR($J64=0,COUNTIFS($A$4:$A63,"&gt;="&amp;$A64-1,$A$4:$A63,"&lt;="&amp;$A64,$B$4:$B63,$B64)&gt;0,MIN(BA$1,IF($A64=$A63,BA63,1))-AF64&lt;0),-1,MIN(1,IF($A64=$A63,BA63,1)-AF64+$D$3))</f>
        <v>1</v>
      </c>
      <c r="BB64">
        <f>IF(OR($J64=0,COUNTIFS($A$4:$A63,"&gt;="&amp;$A64-1,$A$4:$A63,"&lt;="&amp;$A64,$B$4:$B63,$B64)&gt;0,MIN(BB$1,IF($A64=$A63,BB63,1))-AG64&lt;0),-1,MIN(1,IF($A64=$A63,BB63,1)-AG64+$D$3))</f>
        <v>1</v>
      </c>
      <c r="BC64">
        <f>IF(OR($J64=0,COUNTIFS($A$4:$A63,"&gt;="&amp;$A64-1,$A$4:$A63,"&lt;="&amp;$A64,$B$4:$B63,$B64)&gt;0,MIN(BC$1,IF($A64=$A63,BC63,1))-AH64&lt;0),-1,MIN(1,IF($A64=$A63,BC63,1)-AH64+$D$3))</f>
        <v>1</v>
      </c>
      <c r="BD64">
        <f>IF(OR($J64=0,COUNTIFS($A$4:$A63,"&gt;="&amp;$A64-1,$A$4:$A63,"&lt;="&amp;$A64,$B$4:$B63,$B64)&gt;0,MIN(BD$1,IF($A64=$A63,BD63,1))-AI64&lt;0),-1,MIN(1,IF($A64=$A63,BD63,1)-AI64+$D$3))</f>
        <v>1</v>
      </c>
      <c r="BF64" s="44">
        <f t="shared" si="179"/>
        <v>9.7661234803401734E-2</v>
      </c>
      <c r="BG64" s="44">
        <f t="shared" si="180"/>
        <v>0.24017653455199112</v>
      </c>
      <c r="BH64" s="44">
        <f t="shared" si="181"/>
        <v>0.24615568381861369</v>
      </c>
      <c r="BI64" s="44">
        <f t="shared" si="182"/>
        <v>0.2273795096077306</v>
      </c>
      <c r="BJ64" s="44">
        <f t="shared" si="183"/>
        <v>0.23501830967157236</v>
      </c>
      <c r="BK64" s="44">
        <f t="shared" si="184"/>
        <v>0.10092562481645158</v>
      </c>
      <c r="BL64" s="44">
        <f t="shared" si="185"/>
        <v>5.4521610327570996E-2</v>
      </c>
      <c r="BM64" s="44">
        <f t="shared" si="186"/>
        <v>0.13869660991034519</v>
      </c>
      <c r="BN64" s="44">
        <f t="shared" si="187"/>
        <v>0.144255283679913</v>
      </c>
      <c r="BO64" s="44">
        <f t="shared" si="188"/>
        <v>6.7603499792152313E-2</v>
      </c>
      <c r="BP64" s="44">
        <f t="shared" si="189"/>
        <v>0.22731526183172299</v>
      </c>
      <c r="BQ64" s="44">
        <f t="shared" si="190"/>
        <v>6.1342979382797889E-2</v>
      </c>
      <c r="BR64" s="44">
        <f t="shared" si="191"/>
        <v>0.18122251685040908</v>
      </c>
      <c r="BS64" s="44">
        <f t="shared" si="192"/>
        <v>7.1419918707170404E-2</v>
      </c>
      <c r="BT64" s="44">
        <f t="shared" si="193"/>
        <v>0.33413858179050632</v>
      </c>
      <c r="BU64" s="44">
        <f t="shared" si="194"/>
        <v>0.34316609762052674</v>
      </c>
      <c r="BV64" s="44">
        <f t="shared" si="195"/>
        <v>0.32852239085160351</v>
      </c>
      <c r="BW64" s="44">
        <f t="shared" si="196"/>
        <v>0.17945211787847895</v>
      </c>
      <c r="BX64" s="44">
        <f t="shared" si="197"/>
        <v>0.14514343127484544</v>
      </c>
      <c r="BY64" s="44">
        <f t="shared" si="198"/>
        <v>0.12090165853867454</v>
      </c>
      <c r="CA64" s="44">
        <f t="shared" si="199"/>
        <v>-0.36637617685376223</v>
      </c>
      <c r="CB64" s="44">
        <f t="shared" si="200"/>
        <v>3.8839851924176161E-2</v>
      </c>
      <c r="CC64" s="44">
        <f t="shared" si="201"/>
        <v>0.59705235945771329</v>
      </c>
      <c r="CD64" s="44">
        <f t="shared" si="202"/>
        <v>0.47523297726877201</v>
      </c>
      <c r="CE64" s="44">
        <f t="shared" si="203"/>
        <v>0.52479333466589706</v>
      </c>
      <c r="CF64" s="44">
        <f t="shared" si="204"/>
        <v>-0.67259844513354761</v>
      </c>
      <c r="CG64" s="44">
        <f t="shared" si="205"/>
        <v>-0.64626505850157834</v>
      </c>
      <c r="CH64" s="44">
        <f t="shared" si="206"/>
        <v>-0.40009307749230449</v>
      </c>
      <c r="CI64" s="44">
        <f t="shared" si="207"/>
        <v>-6.4075069926027739E-2</v>
      </c>
      <c r="CJ64" s="44">
        <f t="shared" si="208"/>
        <v>-0.56139006349244525</v>
      </c>
      <c r="CK64" s="44">
        <f t="shared" si="209"/>
        <v>0.47481613919023924</v>
      </c>
      <c r="CL64" s="44">
        <f t="shared" si="210"/>
        <v>-0.60200817450287469</v>
      </c>
      <c r="CM64" s="44">
        <f t="shared" si="211"/>
        <v>-0.21615501313908536</v>
      </c>
      <c r="CN64" s="44">
        <f t="shared" si="212"/>
        <v>-0.5366292262111092</v>
      </c>
      <c r="CO64" s="44">
        <f t="shared" si="213"/>
        <v>1.1678833580280297</v>
      </c>
      <c r="CP64" s="44">
        <f t="shared" si="214"/>
        <v>1.2264536710621172</v>
      </c>
      <c r="CQ64" s="44">
        <f t="shared" si="215"/>
        <v>0.4209637611045578</v>
      </c>
      <c r="CR64" s="44">
        <f t="shared" si="216"/>
        <v>0.16428117288038391</v>
      </c>
      <c r="CS64" s="44">
        <f t="shared" si="217"/>
        <v>-5.8312788958025608E-2</v>
      </c>
      <c r="CT64" s="44">
        <f t="shared" si="218"/>
        <v>-0.21559284743625218</v>
      </c>
      <c r="CV64" s="44">
        <f t="shared" si="219"/>
        <v>0.56513846911000032</v>
      </c>
    </row>
    <row r="65" spans="1:100" x14ac:dyDescent="0.25">
      <c r="A65" s="49">
        <v>45065</v>
      </c>
      <c r="B65" s="50">
        <v>5</v>
      </c>
      <c r="C65" s="51" t="str" cm="1">
        <f t="array" ref="C65">IF(B65="","",INDEX(UWS!$B$10:$B$41,B65))</f>
        <v>Lateral elliptical machine</v>
      </c>
      <c r="D65" s="45">
        <f t="shared" si="176"/>
        <v>0.4</v>
      </c>
      <c r="E65" s="70">
        <f t="shared" si="177"/>
        <v>0.93678944502003736</v>
      </c>
      <c r="F65" s="52" cm="1">
        <f t="array" ref="F65">0.1+IFERROR(INDEX($F$5:$F64,SUMPRODUCT(MAX(ROW($C$5:$C64)*($C65=$C$5:$C64))-ROW($A$4)))*0.9^($A65-INDEX($A$5:A64,SUMPRODUCT(MAX(ROW($C$5:$C64)*($C65=$C$5:$C64))-ROW($A$4)))),0)</f>
        <v>0.14991126149751843</v>
      </c>
      <c r="G65" s="56">
        <f>INDEX(UWS!$AB$10:$AB$41,MATCH(C65,UWS!$B$10:$B$41,0))</f>
        <v>4.5</v>
      </c>
      <c r="H65" s="52">
        <f>INDEX(UWS!$C$10:$C$41,MATCH(C65,UWS!$B$10:$B$41,0))</f>
        <v>1</v>
      </c>
      <c r="I65" s="46">
        <f t="shared" si="178"/>
        <v>5</v>
      </c>
      <c r="J65" s="46">
        <f>INDEX(UWS!$E$10:$E$41,MATCH(C65,UWS!$B$10:$B$41,0))</f>
        <v>1</v>
      </c>
      <c r="K65" s="46">
        <v>3</v>
      </c>
      <c r="L65" s="109" t="str" cm="1">
        <f t="array" ref="L65">IF(K65="","",INDEX(UWS!$B$10:$B$41,K65))</f>
        <v>Stair climbing machine</v>
      </c>
      <c r="M65" s="46">
        <v>4</v>
      </c>
      <c r="N65" s="109" t="str" cm="1">
        <f t="array" ref="N65">IF(M65="","",INDEX(UWS!$B$10:$B$41,M65))</f>
        <v>Cycling machine</v>
      </c>
      <c r="O65" s="47"/>
      <c r="P65" s="47">
        <f>IFERROR(INDEX(UWS!$G$10:$Z$41,MATCH($C65,UWS!$B$10:$B$41,0),MATCH(P$4,UWS!$G$3:$Z$3,0)),0)</f>
        <v>0</v>
      </c>
      <c r="Q65" s="47">
        <f>IFERROR(INDEX(UWS!$G$10:$Z$41,MATCH($C65,UWS!$B$10:$B$41,0),MATCH(Q$4,UWS!$G$3:$Z$3,0)),0)</f>
        <v>0</v>
      </c>
      <c r="R65" s="47">
        <f>IFERROR(INDEX(UWS!$G$10:$Z$41,MATCH($C65,UWS!$B$10:$B$41,0),MATCH(R$4,UWS!$G$3:$Z$3,0)),0)</f>
        <v>0</v>
      </c>
      <c r="S65" s="47">
        <f>IFERROR(INDEX(UWS!$G$10:$Z$41,MATCH($C65,UWS!$B$10:$B$41,0),MATCH(S$4,UWS!$G$3:$Z$3,0)),0)</f>
        <v>0</v>
      </c>
      <c r="T65" s="47">
        <f>IFERROR(INDEX(UWS!$G$10:$Z$41,MATCH($C65,UWS!$B$10:$B$41,0),MATCH(T$4,UWS!$G$3:$Z$3,0)),0)</f>
        <v>0</v>
      </c>
      <c r="U65" s="47">
        <f>IFERROR(INDEX(UWS!$G$10:$Z$41,MATCH($C65,UWS!$B$10:$B$41,0),MATCH(U$4,UWS!$G$3:$Z$3,0)),0)</f>
        <v>0</v>
      </c>
      <c r="V65" s="47">
        <f>IFERROR(INDEX(UWS!$G$10:$Z$41,MATCH($C65,UWS!$B$10:$B$41,0),MATCH(V$4,UWS!$G$3:$Z$3,0)),0)</f>
        <v>0</v>
      </c>
      <c r="W65" s="47">
        <f>IFERROR(INDEX(UWS!$G$10:$Z$41,MATCH($C65,UWS!$B$10:$B$41,0),MATCH(W$4,UWS!$G$3:$Z$3,0)),0)</f>
        <v>0</v>
      </c>
      <c r="X65" s="47">
        <f>IFERROR(INDEX(UWS!$G$10:$Z$41,MATCH($C65,UWS!$B$10:$B$41,0),MATCH(X$4,UWS!$G$3:$Z$3,0)),0)</f>
        <v>0</v>
      </c>
      <c r="Y65" s="47">
        <f>IFERROR(INDEX(UWS!$G$10:$Z$41,MATCH($C65,UWS!$B$10:$B$41,0),MATCH(Y$4,UWS!$G$3:$Z$3,0)),0)</f>
        <v>0</v>
      </c>
      <c r="Z65" s="47">
        <f>IFERROR(INDEX(UWS!$G$10:$Z$41,MATCH($C65,UWS!$B$10:$B$41,0),MATCH(Z$4,UWS!$G$3:$Z$3,0)),0)</f>
        <v>0</v>
      </c>
      <c r="AA65" s="47">
        <f>IFERROR(INDEX(UWS!$G$10:$Z$41,MATCH($C65,UWS!$B$10:$B$41,0),MATCH(AA$4,UWS!$G$3:$Z$3,0)),0)</f>
        <v>0</v>
      </c>
      <c r="AB65" s="47">
        <f>IFERROR(INDEX(UWS!$G$10:$Z$41,MATCH($C65,UWS!$B$10:$B$41,0),MATCH(AB$4,UWS!$G$3:$Z$3,0)),0)</f>
        <v>0</v>
      </c>
      <c r="AC65" s="47">
        <f>IFERROR(INDEX(UWS!$G$10:$Z$41,MATCH($C65,UWS!$B$10:$B$41,0),MATCH(AC$4,UWS!$G$3:$Z$3,0)),0)</f>
        <v>0.5</v>
      </c>
      <c r="AD65" s="47">
        <f>IFERROR(INDEX(UWS!$G$10:$Z$41,MATCH($C65,UWS!$B$10:$B$41,0),MATCH(AD$4,UWS!$G$3:$Z$3,0)),0)</f>
        <v>1</v>
      </c>
      <c r="AE65" s="47">
        <f>IFERROR(INDEX(UWS!$G$10:$Z$41,MATCH($C65,UWS!$B$10:$B$41,0),MATCH(AE$4,UWS!$G$3:$Z$3,0)),0)</f>
        <v>0.5</v>
      </c>
      <c r="AF65" s="47">
        <f>IFERROR(INDEX(UWS!$G$10:$Z$41,MATCH($C65,UWS!$B$10:$B$41,0),MATCH(AF$4,UWS!$G$3:$Z$3,0)),0)</f>
        <v>0.5</v>
      </c>
      <c r="AG65" s="47">
        <f>IFERROR(INDEX(UWS!$G$10:$Z$41,MATCH($C65,UWS!$B$10:$B$41,0),MATCH(AG$4,UWS!$G$3:$Z$3,0)),0)</f>
        <v>1</v>
      </c>
      <c r="AH65" s="47">
        <f>IFERROR(INDEX(UWS!$G$10:$Z$41,MATCH($C65,UWS!$B$10:$B$41,0),MATCH(AH$4,UWS!$G$3:$Z$3,0)),0)</f>
        <v>0.5</v>
      </c>
      <c r="AI65" s="47">
        <f>IFERROR(INDEX(UWS!$G$10:$Z$41,MATCH($C65,UWS!$B$10:$B$41,0),MATCH(AI$4,UWS!$G$3:$Z$3,0)),0)</f>
        <v>0.5</v>
      </c>
      <c r="AJ65" s="47"/>
      <c r="AK65" s="47">
        <f>IF(OR($J65=0,COUNTIFS($A$4:$A64,"&gt;="&amp;$A65-1,$A$4:$A64,"&lt;="&amp;$A65,$B$4:$B64,$B65)&gt;0,MIN(AK$1,IF($A65=$A64,AK64,1))-P65&lt;0),-1,MIN(1,IF($A65=$A64,AK64,1)-P65+$D$3))</f>
        <v>1</v>
      </c>
      <c r="AL65" s="47">
        <f>IF(OR($J65=0,COUNTIFS($A$4:$A64,"&gt;="&amp;$A65-1,$A$4:$A64,"&lt;="&amp;$A65,$B$4:$B64,$B65)&gt;0,MIN(AL$1,IF($A65=$A64,AL64,1))-Q65&lt;0),-1,MIN(1,IF($A65=$A64,AL64,1)-Q65+$D$3))</f>
        <v>1</v>
      </c>
      <c r="AM65" s="47">
        <f>IF(OR($J65=0,COUNTIFS($A$4:$A64,"&gt;="&amp;$A65-1,$A$4:$A64,"&lt;="&amp;$A65,$B$4:$B64,$B65)&gt;0,MIN(AM$1,IF($A65=$A64,AM64,1))-R65&lt;0),-1,MIN(1,IF($A65=$A64,AM64,1)-R65+$D$3))</f>
        <v>1</v>
      </c>
      <c r="AN65" s="47">
        <f>IF(OR($J65=0,COUNTIFS($A$4:$A64,"&gt;="&amp;$A65-1,$A$4:$A64,"&lt;="&amp;$A65,$B$4:$B64,$B65)&gt;0,MIN(AN$1,IF($A65=$A64,AN64,1))-S65&lt;0),-1,MIN(1,IF($A65=$A64,AN64,1)-S65+$D$3))</f>
        <v>1</v>
      </c>
      <c r="AO65" s="47">
        <f>IF(OR($J65=0,COUNTIFS($A$4:$A64,"&gt;="&amp;$A65-1,$A$4:$A64,"&lt;="&amp;$A65,$B$4:$B64,$B65)&gt;0,MIN(AO$1,IF($A65=$A64,AO64,1))-T65&lt;0),-1,MIN(1,IF($A65=$A64,AO64,1)-T65+$D$3))</f>
        <v>1</v>
      </c>
      <c r="AP65" s="47">
        <f>IF(OR($J65=0,COUNTIFS($A$4:$A64,"&gt;="&amp;$A65-1,$A$4:$A64,"&lt;="&amp;$A65,$B$4:$B64,$B65)&gt;0,MIN(AP$1,IF($A65=$A64,AP64,1))-U65&lt;0),-1,MIN(1,IF($A65=$A64,AP64,1)-U65+$D$3))</f>
        <v>0.8</v>
      </c>
      <c r="AQ65" s="47">
        <f>IF(OR($J65=0,COUNTIFS($A$4:$A64,"&gt;="&amp;$A65-1,$A$4:$A64,"&lt;="&amp;$A65,$B$4:$B64,$B65)&gt;0,MIN(AQ$1,IF($A65=$A64,AQ64,1))-V65&lt;0),-1,MIN(1,IF($A65=$A64,AQ64,1)-V65+$D$3))</f>
        <v>1</v>
      </c>
      <c r="AR65" s="47">
        <f>IF(OR($J65=0,COUNTIFS($A$4:$A64,"&gt;="&amp;$A65-1,$A$4:$A64,"&lt;="&amp;$A65,$B$4:$B64,$B65)&gt;0,MIN(AR$1,IF($A65=$A64,AR64,1))-W65&lt;0),-1,MIN(1,IF($A65=$A64,AR64,1)-W65+$D$3))</f>
        <v>1</v>
      </c>
      <c r="AS65" s="47">
        <f>IF(OR($J65=0,COUNTIFS($A$4:$A64,"&gt;="&amp;$A65-1,$A$4:$A64,"&lt;="&amp;$A65,$B$4:$B64,$B65)&gt;0,MIN(AS$1,IF($A65=$A64,AS64,1))-X65&lt;0),-1,MIN(1,IF($A65=$A64,AS64,1)-X65+$D$3))</f>
        <v>1</v>
      </c>
      <c r="AT65" s="47">
        <f>IF(OR($J65=0,COUNTIFS($A$4:$A64,"&gt;="&amp;$A65-1,$A$4:$A64,"&lt;="&amp;$A65,$B$4:$B64,$B65)&gt;0,MIN(AT$1,IF($A65=$A64,AT64,1))-Y65&lt;0),-1,MIN(1,IF($A65=$A64,AT64,1)-Y65+$D$3))</f>
        <v>1</v>
      </c>
      <c r="AU65" s="47">
        <f>IF(OR($J65=0,COUNTIFS($A$4:$A64,"&gt;="&amp;$A65-1,$A$4:$A64,"&lt;="&amp;$A65,$B$4:$B64,$B65)&gt;0,MIN(AU$1,IF($A65=$A64,AU64,1))-Z65&lt;0),-1,MIN(1,IF($A65=$A64,AU64,1)-Z65+$D$3))</f>
        <v>1</v>
      </c>
      <c r="AV65" s="47">
        <f>IF(OR($J65=0,COUNTIFS($A$4:$A64,"&gt;="&amp;$A65-1,$A$4:$A64,"&lt;="&amp;$A65,$B$4:$B64,$B65)&gt;0,MIN(AV$1,IF($A65=$A64,AV64,1))-AA65&lt;0),-1,MIN(1,IF($A65=$A64,AV64,1)-AA65+$D$3))</f>
        <v>1</v>
      </c>
      <c r="AW65" s="47">
        <f>IF(OR($J65=0,COUNTIFS($A$4:$A64,"&gt;="&amp;$A65-1,$A$4:$A64,"&lt;="&amp;$A65,$B$4:$B64,$B65)&gt;0,MIN(AW$1,IF($A65=$A64,AW64,1))-AB65&lt;0),-1,MIN(1,IF($A65=$A64,AW64,1)-AB65+$D$3))</f>
        <v>1</v>
      </c>
      <c r="AX65" s="47">
        <f>IF(OR($J65=0,COUNTIFS($A$4:$A64,"&gt;="&amp;$A65-1,$A$4:$A64,"&lt;="&amp;$A65,$B$4:$B64,$B65)&gt;0,MIN(AX$1,IF($A65=$A64,AX64,1))-AC65&lt;0),-1,MIN(1,IF($A65=$A64,AX64,1)-AC65+$D$3))</f>
        <v>0.9</v>
      </c>
      <c r="AY65" s="47">
        <f>IF(OR($J65=0,COUNTIFS($A$4:$A64,"&gt;="&amp;$A65-1,$A$4:$A64,"&lt;="&amp;$A65,$B$4:$B64,$B65)&gt;0,MIN(AY$1,IF($A65=$A64,AY64,1))-AD65&lt;0),-1,MIN(1,IF($A65=$A64,AY64,1)-AD65+$D$3))</f>
        <v>0.4</v>
      </c>
      <c r="AZ65" s="47">
        <f>IF(OR($J65=0,COUNTIFS($A$4:$A64,"&gt;="&amp;$A65-1,$A$4:$A64,"&lt;="&amp;$A65,$B$4:$B64,$B65)&gt;0,MIN(AZ$1,IF($A65=$A64,AZ64,1))-AE65&lt;0),-1,MIN(1,IF($A65=$A64,AZ64,1)-AE65+$D$3))</f>
        <v>0.9</v>
      </c>
      <c r="BA65" s="47">
        <f>IF(OR($J65=0,COUNTIFS($A$4:$A64,"&gt;="&amp;$A65-1,$A$4:$A64,"&lt;="&amp;$A65,$B$4:$B64,$B65)&gt;0,MIN(BA$1,IF($A65=$A64,BA64,1))-AF65&lt;0),-1,MIN(1,IF($A65=$A64,BA64,1)-AF65+$D$3))</f>
        <v>0.9</v>
      </c>
      <c r="BB65" s="47">
        <f>IF(OR($J65=0,COUNTIFS($A$4:$A64,"&gt;="&amp;$A65-1,$A$4:$A64,"&lt;="&amp;$A65,$B$4:$B64,$B65)&gt;0,MIN(BB$1,IF($A65=$A64,BB64,1))-AG65&lt;0),-1,MIN(1,IF($A65=$A64,BB64,1)-AG65+$D$3))</f>
        <v>0.4</v>
      </c>
      <c r="BC65" s="47">
        <f>IF(OR($J65=0,COUNTIFS($A$4:$A64,"&gt;="&amp;$A65-1,$A$4:$A64,"&lt;="&amp;$A65,$B$4:$B64,$B65)&gt;0,MIN(BC$1,IF($A65=$A64,BC64,1))-AH65&lt;0),-1,MIN(1,IF($A65=$A64,BC64,1)-AH65+$D$3))</f>
        <v>0.9</v>
      </c>
      <c r="BD65" s="47">
        <f>IF(OR($J65=0,COUNTIFS($A$4:$A64,"&gt;="&amp;$A65-1,$A$4:$A64,"&lt;="&amp;$A65,$B$4:$B64,$B65)&gt;0,MIN(BD$1,IF($A65=$A64,BD64,1))-AI65&lt;0),-1,MIN(1,IF($A65=$A64,BD64,1)-AI65+$D$3))</f>
        <v>0.9</v>
      </c>
      <c r="BE65" s="47"/>
      <c r="BF65" s="53">
        <f t="shared" si="179"/>
        <v>9.2778173063231648E-2</v>
      </c>
      <c r="BG65" s="53">
        <f t="shared" si="180"/>
        <v>0.22816770782439155</v>
      </c>
      <c r="BH65" s="53">
        <f t="shared" si="181"/>
        <v>0.23384789962768299</v>
      </c>
      <c r="BI65" s="53">
        <f t="shared" si="182"/>
        <v>0.21601053412734406</v>
      </c>
      <c r="BJ65" s="53">
        <f t="shared" si="183"/>
        <v>0.22326739418799374</v>
      </c>
      <c r="BK65" s="53">
        <f t="shared" si="184"/>
        <v>9.5879343575628995E-2</v>
      </c>
      <c r="BL65" s="53">
        <f t="shared" si="185"/>
        <v>5.1795529811192446E-2</v>
      </c>
      <c r="BM65" s="53">
        <f t="shared" si="186"/>
        <v>0.13176177941482792</v>
      </c>
      <c r="BN65" s="53">
        <f t="shared" si="187"/>
        <v>0.13704251949591734</v>
      </c>
      <c r="BO65" s="53">
        <f t="shared" si="188"/>
        <v>6.4223324802544696E-2</v>
      </c>
      <c r="BP65" s="53">
        <f t="shared" si="189"/>
        <v>0.21594949874013683</v>
      </c>
      <c r="BQ65" s="53">
        <f t="shared" si="190"/>
        <v>5.827583041365799E-2</v>
      </c>
      <c r="BR65" s="53">
        <f t="shared" si="191"/>
        <v>0.1721613910078886</v>
      </c>
      <c r="BS65" s="53">
        <f t="shared" si="192"/>
        <v>9.2848922771811893E-2</v>
      </c>
      <c r="BT65" s="53">
        <f t="shared" si="193"/>
        <v>0.36743165270098099</v>
      </c>
      <c r="BU65" s="53">
        <f t="shared" si="194"/>
        <v>0.35100779273950039</v>
      </c>
      <c r="BV65" s="53">
        <f t="shared" si="195"/>
        <v>0.33709627130902337</v>
      </c>
      <c r="BW65" s="53">
        <f t="shared" si="196"/>
        <v>0.22047951198455501</v>
      </c>
      <c r="BX65" s="53">
        <f t="shared" si="197"/>
        <v>0.16288625971110315</v>
      </c>
      <c r="BY65" s="53">
        <f t="shared" si="198"/>
        <v>0.13985657561174081</v>
      </c>
      <c r="BZ65" s="47"/>
      <c r="CA65" s="53">
        <f t="shared" si="199"/>
        <v>-0.40605738189213292</v>
      </c>
      <c r="CB65" s="53">
        <f t="shared" si="200"/>
        <v>-2.6218335063720621E-2</v>
      </c>
      <c r="CC65" s="53">
        <f t="shared" si="201"/>
        <v>0.49703566214040151</v>
      </c>
      <c r="CD65" s="53">
        <f t="shared" si="202"/>
        <v>0.38284531741139061</v>
      </c>
      <c r="CE65" s="53">
        <f t="shared" si="203"/>
        <v>0.42930191729213152</v>
      </c>
      <c r="CF65" s="53">
        <f t="shared" si="204"/>
        <v>-0.69310223263955906</v>
      </c>
      <c r="CG65" s="53">
        <f t="shared" si="205"/>
        <v>-0.66841799567041216</v>
      </c>
      <c r="CH65" s="53">
        <f t="shared" si="206"/>
        <v>-0.43766273432395997</v>
      </c>
      <c r="CI65" s="53">
        <f t="shared" si="207"/>
        <v>-0.12268812659169648</v>
      </c>
      <c r="CJ65" s="53">
        <f t="shared" si="208"/>
        <v>-0.58885836595620233</v>
      </c>
      <c r="CK65" s="53">
        <f t="shared" si="209"/>
        <v>0.38245458415508504</v>
      </c>
      <c r="CL65" s="53">
        <f t="shared" si="210"/>
        <v>-0.62693273487171997</v>
      </c>
      <c r="CM65" s="53">
        <f t="shared" si="211"/>
        <v>-0.26524394020543463</v>
      </c>
      <c r="CN65" s="53">
        <f t="shared" si="212"/>
        <v>-0.4056044599843488</v>
      </c>
      <c r="CO65" s="53">
        <f t="shared" si="213"/>
        <v>1.3522053795151514</v>
      </c>
      <c r="CP65" s="53">
        <f t="shared" si="214"/>
        <v>1.2470639430879595</v>
      </c>
      <c r="CQ65" s="53">
        <f t="shared" si="215"/>
        <v>0.43867057897498474</v>
      </c>
      <c r="CR65" s="53">
        <f t="shared" si="216"/>
        <v>0.41145459393776673</v>
      </c>
      <c r="CS65" s="53">
        <f t="shared" si="217"/>
        <v>4.2757023041134268E-2</v>
      </c>
      <c r="CT65" s="53">
        <f t="shared" si="218"/>
        <v>-0.10467324440819481</v>
      </c>
      <c r="CU65" s="47"/>
      <c r="CV65" s="53">
        <f t="shared" si="219"/>
        <v>0.58122020051510104</v>
      </c>
    </row>
    <row r="66" spans="1:100" x14ac:dyDescent="0.25">
      <c r="A66" s="41"/>
      <c r="B66" s="42"/>
      <c r="C66" s="43" t="str" cm="1">
        <f t="array" ref="C66">IF(B66="","",INDEX(UWS!$B$10:$B$41,B66))</f>
        <v/>
      </c>
      <c r="D66" s="40" t="str">
        <f t="shared" si="176"/>
        <v/>
      </c>
      <c r="E66" s="69" t="str">
        <f t="shared" si="177"/>
        <v/>
      </c>
      <c r="F66" s="48" cm="1">
        <f t="array" ref="F66">0.1+IFERROR(INDEX($F$5:$F65,SUMPRODUCT(MAX(ROW($C$5:$C65)*($C66=$C$5:$C65))-ROW($A$4)))*0.9^($A66-INDEX($A$5:A65,SUMPRODUCT(MAX(ROW($C$5:$C65)*($C66=$C$5:$C65))-ROW($A$4)))),0)</f>
        <v>0.1</v>
      </c>
      <c r="G66" s="55" t="e">
        <f>INDEX(UWS!$AB$10:$AB$41,MATCH(C66,UWS!$B$10:$B$41,0))</f>
        <v>#N/A</v>
      </c>
      <c r="H66" s="48" t="e">
        <f>INDEX(UWS!$C$10:$C$41,MATCH(C66,UWS!$B$10:$B$41,0))</f>
        <v>#N/A</v>
      </c>
      <c r="I66" s="82">
        <f t="shared" si="178"/>
        <v>5</v>
      </c>
      <c r="J66" s="27" t="e">
        <f>INDEX(UWS!$E$10:$E$41,MATCH(C66,UWS!$B$10:$B$41,0))</f>
        <v>#N/A</v>
      </c>
      <c r="L66" s="108" t="str" cm="1">
        <f t="array" ref="L66">IF(K66="","",INDEX(UWS!$B$10:$B$41,K66))</f>
        <v/>
      </c>
      <c r="N66" s="108" t="str" cm="1">
        <f t="array" ref="N66">IF(M66="","",INDEX(UWS!$B$10:$B$41,M66))</f>
        <v/>
      </c>
      <c r="P66">
        <f>IFERROR(INDEX(UWS!$G$10:$Z$41,MATCH($C66,UWS!$B$10:$B$41,0),MATCH(P$4,UWS!$G$3:$Z$3,0)),0)</f>
        <v>0</v>
      </c>
      <c r="Q66">
        <f>IFERROR(INDEX(UWS!$G$10:$Z$41,MATCH($C66,UWS!$B$10:$B$41,0),MATCH(Q$4,UWS!$G$3:$Z$3,0)),0)</f>
        <v>0</v>
      </c>
      <c r="R66">
        <f>IFERROR(INDEX(UWS!$G$10:$Z$41,MATCH($C66,UWS!$B$10:$B$41,0),MATCH(R$4,UWS!$G$3:$Z$3,0)),0)</f>
        <v>0</v>
      </c>
      <c r="S66">
        <f>IFERROR(INDEX(UWS!$G$10:$Z$41,MATCH($C66,UWS!$B$10:$B$41,0),MATCH(S$4,UWS!$G$3:$Z$3,0)),0)</f>
        <v>0</v>
      </c>
      <c r="T66">
        <f>IFERROR(INDEX(UWS!$G$10:$Z$41,MATCH($C66,UWS!$B$10:$B$41,0),MATCH(T$4,UWS!$G$3:$Z$3,0)),0)</f>
        <v>0</v>
      </c>
      <c r="U66">
        <f>IFERROR(INDEX(UWS!$G$10:$Z$41,MATCH($C66,UWS!$B$10:$B$41,0),MATCH(U$4,UWS!$G$3:$Z$3,0)),0)</f>
        <v>0</v>
      </c>
      <c r="V66">
        <f>IFERROR(INDEX(UWS!$G$10:$Z$41,MATCH($C66,UWS!$B$10:$B$41,0),MATCH(V$4,UWS!$G$3:$Z$3,0)),0)</f>
        <v>0</v>
      </c>
      <c r="W66">
        <f>IFERROR(INDEX(UWS!$G$10:$Z$41,MATCH($C66,UWS!$B$10:$B$41,0),MATCH(W$4,UWS!$G$3:$Z$3,0)),0)</f>
        <v>0</v>
      </c>
      <c r="X66">
        <f>IFERROR(INDEX(UWS!$G$10:$Z$41,MATCH($C66,UWS!$B$10:$B$41,0),MATCH(X$4,UWS!$G$3:$Z$3,0)),0)</f>
        <v>0</v>
      </c>
      <c r="Y66">
        <f>IFERROR(INDEX(UWS!$G$10:$Z$41,MATCH($C66,UWS!$B$10:$B$41,0),MATCH(Y$4,UWS!$G$3:$Z$3,0)),0)</f>
        <v>0</v>
      </c>
      <c r="Z66">
        <f>IFERROR(INDEX(UWS!$G$10:$Z$41,MATCH($C66,UWS!$B$10:$B$41,0),MATCH(Z$4,UWS!$G$3:$Z$3,0)),0)</f>
        <v>0</v>
      </c>
      <c r="AA66">
        <f>IFERROR(INDEX(UWS!$G$10:$Z$41,MATCH($C66,UWS!$B$10:$B$41,0),MATCH(AA$4,UWS!$G$3:$Z$3,0)),0)</f>
        <v>0</v>
      </c>
      <c r="AB66">
        <f>IFERROR(INDEX(UWS!$G$10:$Z$41,MATCH($C66,UWS!$B$10:$B$41,0),MATCH(AB$4,UWS!$G$3:$Z$3,0)),0)</f>
        <v>0</v>
      </c>
      <c r="AC66">
        <f>IFERROR(INDEX(UWS!$G$10:$Z$41,MATCH($C66,UWS!$B$10:$B$41,0),MATCH(AC$4,UWS!$G$3:$Z$3,0)),0)</f>
        <v>0</v>
      </c>
      <c r="AD66">
        <f>IFERROR(INDEX(UWS!$G$10:$Z$41,MATCH($C66,UWS!$B$10:$B$41,0),MATCH(AD$4,UWS!$G$3:$Z$3,0)),0)</f>
        <v>0</v>
      </c>
      <c r="AE66">
        <f>IFERROR(INDEX(UWS!$G$10:$Z$41,MATCH($C66,UWS!$B$10:$B$41,0),MATCH(AE$4,UWS!$G$3:$Z$3,0)),0)</f>
        <v>0</v>
      </c>
      <c r="AF66">
        <f>IFERROR(INDEX(UWS!$G$10:$Z$41,MATCH($C66,UWS!$B$10:$B$41,0),MATCH(AF$4,UWS!$G$3:$Z$3,0)),0)</f>
        <v>0</v>
      </c>
      <c r="AG66">
        <f>IFERROR(INDEX(UWS!$G$10:$Z$41,MATCH($C66,UWS!$B$10:$B$41,0),MATCH(AG$4,UWS!$G$3:$Z$3,0)),0)</f>
        <v>0</v>
      </c>
      <c r="AH66">
        <f>IFERROR(INDEX(UWS!$G$10:$Z$41,MATCH($C66,UWS!$B$10:$B$41,0),MATCH(AH$4,UWS!$G$3:$Z$3,0)),0)</f>
        <v>0</v>
      </c>
      <c r="AI66">
        <f>IFERROR(INDEX(UWS!$G$10:$Z$41,MATCH($C66,UWS!$B$10:$B$41,0),MATCH(AI$4,UWS!$G$3:$Z$3,0)),0)</f>
        <v>0</v>
      </c>
      <c r="AK66" t="e">
        <f>IF(OR($J66=0,COUNTIFS($A$4:$A65,"&gt;="&amp;$A66-1,$A$4:$A65,"&lt;="&amp;$A66,$B$4:$B65,$B66)&gt;0,MIN(AK$1,IF($A66=$A65,AK65,1))-P66&lt;0),-1,MIN(1,IF($A66=$A65,AK65,1)-P66+$D$3))</f>
        <v>#N/A</v>
      </c>
      <c r="AL66" t="e">
        <f>IF(OR($J66=0,COUNTIFS($A$4:$A65,"&gt;="&amp;$A66-1,$A$4:$A65,"&lt;="&amp;$A66,$B$4:$B65,$B66)&gt;0,MIN(AL$1,IF($A66=$A65,AL65,1))-Q66&lt;0),-1,MIN(1,IF($A66=$A65,AL65,1)-Q66+$D$3))</f>
        <v>#N/A</v>
      </c>
      <c r="AM66" t="e">
        <f>IF(OR($J66=0,COUNTIFS($A$4:$A65,"&gt;="&amp;$A66-1,$A$4:$A65,"&lt;="&amp;$A66,$B$4:$B65,$B66)&gt;0,MIN(AM$1,IF($A66=$A65,AM65,1))-R66&lt;0),-1,MIN(1,IF($A66=$A65,AM65,1)-R66+$D$3))</f>
        <v>#N/A</v>
      </c>
      <c r="AN66" t="e">
        <f>IF(OR($J66=0,COUNTIFS($A$4:$A65,"&gt;="&amp;$A66-1,$A$4:$A65,"&lt;="&amp;$A66,$B$4:$B65,$B66)&gt;0,MIN(AN$1,IF($A66=$A65,AN65,1))-S66&lt;0),-1,MIN(1,IF($A66=$A65,AN65,1)-S66+$D$3))</f>
        <v>#N/A</v>
      </c>
      <c r="AO66" t="e">
        <f>IF(OR($J66=0,COUNTIFS($A$4:$A65,"&gt;="&amp;$A66-1,$A$4:$A65,"&lt;="&amp;$A66,$B$4:$B65,$B66)&gt;0,MIN(AO$1,IF($A66=$A65,AO65,1))-T66&lt;0),-1,MIN(1,IF($A66=$A65,AO65,1)-T66+$D$3))</f>
        <v>#N/A</v>
      </c>
      <c r="AP66" t="e">
        <f>IF(OR($J66=0,COUNTIFS($A$4:$A65,"&gt;="&amp;$A66-1,$A$4:$A65,"&lt;="&amp;$A66,$B$4:$B65,$B66)&gt;0,MIN(AP$1,IF($A66=$A65,AP65,1))-U66&lt;0),-1,MIN(1,IF($A66=$A65,AP65,1)-U66+$D$3))</f>
        <v>#N/A</v>
      </c>
      <c r="AQ66" t="e">
        <f>IF(OR($J66=0,COUNTIFS($A$4:$A65,"&gt;="&amp;$A66-1,$A$4:$A65,"&lt;="&amp;$A66,$B$4:$B65,$B66)&gt;0,MIN(AQ$1,IF($A66=$A65,AQ65,1))-V66&lt;0),-1,MIN(1,IF($A66=$A65,AQ65,1)-V66+$D$3))</f>
        <v>#N/A</v>
      </c>
      <c r="AR66" t="e">
        <f>IF(OR($J66=0,COUNTIFS($A$4:$A65,"&gt;="&amp;$A66-1,$A$4:$A65,"&lt;="&amp;$A66,$B$4:$B65,$B66)&gt;0,MIN(AR$1,IF($A66=$A65,AR65,1))-W66&lt;0),-1,MIN(1,IF($A66=$A65,AR65,1)-W66+$D$3))</f>
        <v>#N/A</v>
      </c>
      <c r="AS66" t="e">
        <f>IF(OR($J66=0,COUNTIFS($A$4:$A65,"&gt;="&amp;$A66-1,$A$4:$A65,"&lt;="&amp;$A66,$B$4:$B65,$B66)&gt;0,MIN(AS$1,IF($A66=$A65,AS65,1))-X66&lt;0),-1,MIN(1,IF($A66=$A65,AS65,1)-X66+$D$3))</f>
        <v>#N/A</v>
      </c>
      <c r="AT66" t="e">
        <f>IF(OR($J66=0,COUNTIFS($A$4:$A65,"&gt;="&amp;$A66-1,$A$4:$A65,"&lt;="&amp;$A66,$B$4:$B65,$B66)&gt;0,MIN(AT$1,IF($A66=$A65,AT65,1))-Y66&lt;0),-1,MIN(1,IF($A66=$A65,AT65,1)-Y66+$D$3))</f>
        <v>#N/A</v>
      </c>
      <c r="AU66" t="e">
        <f>IF(OR($J66=0,COUNTIFS($A$4:$A65,"&gt;="&amp;$A66-1,$A$4:$A65,"&lt;="&amp;$A66,$B$4:$B65,$B66)&gt;0,MIN(AU$1,IF($A66=$A65,AU65,1))-Z66&lt;0),-1,MIN(1,IF($A66=$A65,AU65,1)-Z66+$D$3))</f>
        <v>#N/A</v>
      </c>
      <c r="AV66" t="e">
        <f>IF(OR($J66=0,COUNTIFS($A$4:$A65,"&gt;="&amp;$A66-1,$A$4:$A65,"&lt;="&amp;$A66,$B$4:$B65,$B66)&gt;0,MIN(AV$1,IF($A66=$A65,AV65,1))-AA66&lt;0),-1,MIN(1,IF($A66=$A65,AV65,1)-AA66+$D$3))</f>
        <v>#N/A</v>
      </c>
      <c r="AW66" t="e">
        <f>IF(OR($J66=0,COUNTIFS($A$4:$A65,"&gt;="&amp;$A66-1,$A$4:$A65,"&lt;="&amp;$A66,$B$4:$B65,$B66)&gt;0,MIN(AW$1,IF($A66=$A65,AW65,1))-AB66&lt;0),-1,MIN(1,IF($A66=$A65,AW65,1)-AB66+$D$3))</f>
        <v>#N/A</v>
      </c>
      <c r="AX66" t="e">
        <f>IF(OR($J66=0,COUNTIFS($A$4:$A65,"&gt;="&amp;$A66-1,$A$4:$A65,"&lt;="&amp;$A66,$B$4:$B65,$B66)&gt;0,MIN(AX$1,IF($A66=$A65,AX65,1))-AC66&lt;0),-1,MIN(1,IF($A66=$A65,AX65,1)-AC66+$D$3))</f>
        <v>#N/A</v>
      </c>
      <c r="AY66" t="e">
        <f>IF(OR($J66=0,COUNTIFS($A$4:$A65,"&gt;="&amp;$A66-1,$A$4:$A65,"&lt;="&amp;$A66,$B$4:$B65,$B66)&gt;0,MIN(AY$1,IF($A66=$A65,AY65,1))-AD66&lt;0),-1,MIN(1,IF($A66=$A65,AY65,1)-AD66+$D$3))</f>
        <v>#N/A</v>
      </c>
      <c r="AZ66" t="e">
        <f>IF(OR($J66=0,COUNTIFS($A$4:$A65,"&gt;="&amp;$A66-1,$A$4:$A65,"&lt;="&amp;$A66,$B$4:$B65,$B66)&gt;0,MIN(AZ$1,IF($A66=$A65,AZ65,1))-AE66&lt;0),-1,MIN(1,IF($A66=$A65,AZ65,1)-AE66+$D$3))</f>
        <v>#N/A</v>
      </c>
      <c r="BA66" t="e">
        <f>IF(OR($J66=0,COUNTIFS($A$4:$A65,"&gt;="&amp;$A66-1,$A$4:$A65,"&lt;="&amp;$A66,$B$4:$B65,$B66)&gt;0,MIN(BA$1,IF($A66=$A65,BA65,1))-AF66&lt;0),-1,MIN(1,IF($A66=$A65,BA65,1)-AF66+$D$3))</f>
        <v>#N/A</v>
      </c>
      <c r="BB66" t="e">
        <f>IF(OR($J66=0,COUNTIFS($A$4:$A65,"&gt;="&amp;$A66-1,$A$4:$A65,"&lt;="&amp;$A66,$B$4:$B65,$B66)&gt;0,MIN(BB$1,IF($A66=$A65,BB65,1))-AG66&lt;0),-1,MIN(1,IF($A66=$A65,BB65,1)-AG66+$D$3))</f>
        <v>#N/A</v>
      </c>
      <c r="BC66" t="e">
        <f>IF(OR($J66=0,COUNTIFS($A$4:$A65,"&gt;="&amp;$A66-1,$A$4:$A65,"&lt;="&amp;$A66,$B$4:$B65,$B66)&gt;0,MIN(BC$1,IF($A66=$A65,BC65,1))-AH66&lt;0),-1,MIN(1,IF($A66=$A65,BC65,1)-AH66+$D$3))</f>
        <v>#N/A</v>
      </c>
      <c r="BD66" t="e">
        <f>IF(OR($J66=0,COUNTIFS($A$4:$A65,"&gt;="&amp;$A66-1,$A$4:$A65,"&lt;="&amp;$A66,$B$4:$B65,$B66)&gt;0,MIN(BD$1,IF($A66=$A65,BD65,1))-AI66&lt;0),-1,MIN(1,IF($A66=$A65,BD65,1)-AI66+$D$3))</f>
        <v>#N/A</v>
      </c>
      <c r="BF66" s="44">
        <f t="shared" si="179"/>
        <v>8.8139264410070056E-2</v>
      </c>
      <c r="BG66" s="44">
        <f t="shared" si="180"/>
        <v>0.21675932243317197</v>
      </c>
      <c r="BH66" s="44">
        <f t="shared" si="181"/>
        <v>0.22215550464629882</v>
      </c>
      <c r="BI66" s="44">
        <f t="shared" si="182"/>
        <v>0.20521000742097684</v>
      </c>
      <c r="BJ66" s="44">
        <f t="shared" si="183"/>
        <v>0.21210402447859406</v>
      </c>
      <c r="BK66" s="44">
        <f t="shared" si="184"/>
        <v>9.1085376396847537E-2</v>
      </c>
      <c r="BL66" s="44">
        <f t="shared" si="185"/>
        <v>4.9205753320632824E-2</v>
      </c>
      <c r="BM66" s="44">
        <f t="shared" si="186"/>
        <v>0.12517369044408652</v>
      </c>
      <c r="BN66" s="44">
        <f t="shared" si="187"/>
        <v>0.13019039352112147</v>
      </c>
      <c r="BO66" s="44">
        <f t="shared" si="188"/>
        <v>6.1012158562417457E-2</v>
      </c>
      <c r="BP66" s="44">
        <f t="shared" si="189"/>
        <v>0.20515202380312997</v>
      </c>
      <c r="BQ66" s="44">
        <f t="shared" si="190"/>
        <v>5.5362038892975085E-2</v>
      </c>
      <c r="BR66" s="44">
        <f t="shared" si="191"/>
        <v>0.16355332145749416</v>
      </c>
      <c r="BS66" s="44">
        <f t="shared" si="192"/>
        <v>8.8206476633221301E-2</v>
      </c>
      <c r="BT66" s="44">
        <f t="shared" si="193"/>
        <v>0.34906007006593193</v>
      </c>
      <c r="BU66" s="44">
        <f t="shared" si="194"/>
        <v>0.33345740310252536</v>
      </c>
      <c r="BV66" s="44">
        <f t="shared" si="195"/>
        <v>0.32024145774357216</v>
      </c>
      <c r="BW66" s="44">
        <f t="shared" si="196"/>
        <v>0.20945553638532724</v>
      </c>
      <c r="BX66" s="44">
        <f t="shared" si="197"/>
        <v>0.154741946725548</v>
      </c>
      <c r="BY66" s="44">
        <f t="shared" si="198"/>
        <v>0.13286374683115376</v>
      </c>
      <c r="CA66" s="44" t="str">
        <f t="shared" si="199"/>
        <v/>
      </c>
      <c r="CB66" s="44" t="str">
        <f t="shared" si="200"/>
        <v/>
      </c>
      <c r="CC66" s="44" t="str">
        <f t="shared" si="201"/>
        <v/>
      </c>
      <c r="CD66" s="44" t="str">
        <f t="shared" si="202"/>
        <v/>
      </c>
      <c r="CE66" s="44" t="str">
        <f t="shared" si="203"/>
        <v/>
      </c>
      <c r="CF66" s="44" t="str">
        <f t="shared" si="204"/>
        <v/>
      </c>
      <c r="CG66" s="44" t="str">
        <f t="shared" si="205"/>
        <v/>
      </c>
      <c r="CH66" s="44" t="str">
        <f t="shared" si="206"/>
        <v/>
      </c>
      <c r="CI66" s="44" t="str">
        <f t="shared" si="207"/>
        <v/>
      </c>
      <c r="CJ66" s="44" t="str">
        <f t="shared" si="208"/>
        <v/>
      </c>
      <c r="CK66" s="44" t="str">
        <f t="shared" si="209"/>
        <v/>
      </c>
      <c r="CL66" s="44" t="str">
        <f t="shared" si="210"/>
        <v/>
      </c>
      <c r="CM66" s="44" t="str">
        <f t="shared" si="211"/>
        <v/>
      </c>
      <c r="CN66" s="44" t="str">
        <f t="shared" si="212"/>
        <v/>
      </c>
      <c r="CO66" s="44" t="str">
        <f t="shared" si="213"/>
        <v/>
      </c>
      <c r="CP66" s="44" t="str">
        <f t="shared" si="214"/>
        <v/>
      </c>
      <c r="CQ66" s="44" t="str">
        <f t="shared" si="215"/>
        <v/>
      </c>
      <c r="CR66" s="44" t="str">
        <f t="shared" si="216"/>
        <v/>
      </c>
      <c r="CS66" s="44" t="str">
        <f t="shared" si="217"/>
        <v/>
      </c>
      <c r="CT66" s="44" t="str">
        <f t="shared" si="218"/>
        <v/>
      </c>
      <c r="CV66" s="44">
        <f t="shared" si="219"/>
        <v>0</v>
      </c>
    </row>
    <row r="67" spans="1:100" x14ac:dyDescent="0.25">
      <c r="A67" s="41"/>
      <c r="B67" s="42"/>
      <c r="C67" s="43" t="str" cm="1">
        <f t="array" ref="C67">IF(B67="","",INDEX(UWS!$B$10:$B$41,B67))</f>
        <v/>
      </c>
      <c r="D67" s="40" t="str">
        <f t="shared" si="176"/>
        <v/>
      </c>
      <c r="E67" s="69" t="str">
        <f t="shared" si="177"/>
        <v/>
      </c>
      <c r="F67" s="48" cm="1">
        <f t="array" ref="F67">0.1+IFERROR(INDEX($F$5:$F66,SUMPRODUCT(MAX(ROW($C$5:$C66)*($C67=$C$5:$C66))-ROW($A$4)))*0.9^($A67-INDEX($A$5:A66,SUMPRODUCT(MAX(ROW($C$5:$C66)*($C67=$C$5:$C66))-ROW($A$4)))),0)</f>
        <v>0.2</v>
      </c>
      <c r="G67" s="55" t="e">
        <f>INDEX(UWS!$AB$10:$AB$41,MATCH(C67,UWS!$B$10:$B$41,0))</f>
        <v>#N/A</v>
      </c>
      <c r="H67" s="48" t="e">
        <f>INDEX(UWS!$C$10:$C$41,MATCH(C67,UWS!$B$10:$B$41,0))</f>
        <v>#N/A</v>
      </c>
      <c r="I67" s="27">
        <f t="shared" si="178"/>
        <v>5</v>
      </c>
      <c r="J67" s="27" t="e">
        <f>INDEX(UWS!$E$10:$E$41,MATCH(C67,UWS!$B$10:$B$41,0))</f>
        <v>#N/A</v>
      </c>
      <c r="L67" s="108" t="str" cm="1">
        <f t="array" ref="L67">IF(K67="","",INDEX(UWS!$B$10:$B$41,K67))</f>
        <v/>
      </c>
      <c r="N67" s="108" t="str" cm="1">
        <f t="array" ref="N67">IF(M67="","",INDEX(UWS!$B$10:$B$41,M67))</f>
        <v/>
      </c>
      <c r="P67">
        <f>IFERROR(INDEX(UWS!$G$10:$Z$41,MATCH($C67,UWS!$B$10:$B$41,0),MATCH(P$4,UWS!$G$3:$Z$3,0)),0)</f>
        <v>0</v>
      </c>
      <c r="Q67">
        <f>IFERROR(INDEX(UWS!$G$10:$Z$41,MATCH($C67,UWS!$B$10:$B$41,0),MATCH(Q$4,UWS!$G$3:$Z$3,0)),0)</f>
        <v>0</v>
      </c>
      <c r="R67">
        <f>IFERROR(INDEX(UWS!$G$10:$Z$41,MATCH($C67,UWS!$B$10:$B$41,0),MATCH(R$4,UWS!$G$3:$Z$3,0)),0)</f>
        <v>0</v>
      </c>
      <c r="S67">
        <f>IFERROR(INDEX(UWS!$G$10:$Z$41,MATCH($C67,UWS!$B$10:$B$41,0),MATCH(S$4,UWS!$G$3:$Z$3,0)),0)</f>
        <v>0</v>
      </c>
      <c r="T67">
        <f>IFERROR(INDEX(UWS!$G$10:$Z$41,MATCH($C67,UWS!$B$10:$B$41,0),MATCH(T$4,UWS!$G$3:$Z$3,0)),0)</f>
        <v>0</v>
      </c>
      <c r="U67">
        <f>IFERROR(INDEX(UWS!$G$10:$Z$41,MATCH($C67,UWS!$B$10:$B$41,0),MATCH(U$4,UWS!$G$3:$Z$3,0)),0)</f>
        <v>0</v>
      </c>
      <c r="V67">
        <f>IFERROR(INDEX(UWS!$G$10:$Z$41,MATCH($C67,UWS!$B$10:$B$41,0),MATCH(V$4,UWS!$G$3:$Z$3,0)),0)</f>
        <v>0</v>
      </c>
      <c r="W67">
        <f>IFERROR(INDEX(UWS!$G$10:$Z$41,MATCH($C67,UWS!$B$10:$B$41,0),MATCH(W$4,UWS!$G$3:$Z$3,0)),0)</f>
        <v>0</v>
      </c>
      <c r="X67">
        <f>IFERROR(INDEX(UWS!$G$10:$Z$41,MATCH($C67,UWS!$B$10:$B$41,0),MATCH(X$4,UWS!$G$3:$Z$3,0)),0)</f>
        <v>0</v>
      </c>
      <c r="Y67">
        <f>IFERROR(INDEX(UWS!$G$10:$Z$41,MATCH($C67,UWS!$B$10:$B$41,0),MATCH(Y$4,UWS!$G$3:$Z$3,0)),0)</f>
        <v>0</v>
      </c>
      <c r="Z67">
        <f>IFERROR(INDEX(UWS!$G$10:$Z$41,MATCH($C67,UWS!$B$10:$B$41,0),MATCH(Z$4,UWS!$G$3:$Z$3,0)),0)</f>
        <v>0</v>
      </c>
      <c r="AA67">
        <f>IFERROR(INDEX(UWS!$G$10:$Z$41,MATCH($C67,UWS!$B$10:$B$41,0),MATCH(AA$4,UWS!$G$3:$Z$3,0)),0)</f>
        <v>0</v>
      </c>
      <c r="AB67">
        <f>IFERROR(INDEX(UWS!$G$10:$Z$41,MATCH($C67,UWS!$B$10:$B$41,0),MATCH(AB$4,UWS!$G$3:$Z$3,0)),0)</f>
        <v>0</v>
      </c>
      <c r="AC67">
        <f>IFERROR(INDEX(UWS!$G$10:$Z$41,MATCH($C67,UWS!$B$10:$B$41,0),MATCH(AC$4,UWS!$G$3:$Z$3,0)),0)</f>
        <v>0</v>
      </c>
      <c r="AD67">
        <f>IFERROR(INDEX(UWS!$G$10:$Z$41,MATCH($C67,UWS!$B$10:$B$41,0),MATCH(AD$4,UWS!$G$3:$Z$3,0)),0)</f>
        <v>0</v>
      </c>
      <c r="AE67">
        <f>IFERROR(INDEX(UWS!$G$10:$Z$41,MATCH($C67,UWS!$B$10:$B$41,0),MATCH(AE$4,UWS!$G$3:$Z$3,0)),0)</f>
        <v>0</v>
      </c>
      <c r="AF67">
        <f>IFERROR(INDEX(UWS!$G$10:$Z$41,MATCH($C67,UWS!$B$10:$B$41,0),MATCH(AF$4,UWS!$G$3:$Z$3,0)),0)</f>
        <v>0</v>
      </c>
      <c r="AG67">
        <f>IFERROR(INDEX(UWS!$G$10:$Z$41,MATCH($C67,UWS!$B$10:$B$41,0),MATCH(AG$4,UWS!$G$3:$Z$3,0)),0)</f>
        <v>0</v>
      </c>
      <c r="AH67">
        <f>IFERROR(INDEX(UWS!$G$10:$Z$41,MATCH($C67,UWS!$B$10:$B$41,0),MATCH(AH$4,UWS!$G$3:$Z$3,0)),0)</f>
        <v>0</v>
      </c>
      <c r="AI67">
        <f>IFERROR(INDEX(UWS!$G$10:$Z$41,MATCH($C67,UWS!$B$10:$B$41,0),MATCH(AI$4,UWS!$G$3:$Z$3,0)),0)</f>
        <v>0</v>
      </c>
      <c r="AK67" t="e">
        <f>IF(OR($J67=0,COUNTIFS($A$4:$A66,"&gt;="&amp;$A67-1,$A$4:$A66,"&lt;="&amp;$A67,$B$4:$B66,$B67)&gt;0,MIN(AK$1,IF($A67=$A66,AK66,1))-P67&lt;0),-1,MIN(1,IF($A67=$A66,AK66,1)-P67+$D$3))</f>
        <v>#N/A</v>
      </c>
      <c r="AL67" t="e">
        <f>IF(OR($J67=0,COUNTIFS($A$4:$A66,"&gt;="&amp;$A67-1,$A$4:$A66,"&lt;="&amp;$A67,$B$4:$B66,$B67)&gt;0,MIN(AL$1,IF($A67=$A66,AL66,1))-Q67&lt;0),-1,MIN(1,IF($A67=$A66,AL66,1)-Q67+$D$3))</f>
        <v>#N/A</v>
      </c>
      <c r="AM67" t="e">
        <f>IF(OR($J67=0,COUNTIFS($A$4:$A66,"&gt;="&amp;$A67-1,$A$4:$A66,"&lt;="&amp;$A67,$B$4:$B66,$B67)&gt;0,MIN(AM$1,IF($A67=$A66,AM66,1))-R67&lt;0),-1,MIN(1,IF($A67=$A66,AM66,1)-R67+$D$3))</f>
        <v>#N/A</v>
      </c>
      <c r="AN67" t="e">
        <f>IF(OR($J67=0,COUNTIFS($A$4:$A66,"&gt;="&amp;$A67-1,$A$4:$A66,"&lt;="&amp;$A67,$B$4:$B66,$B67)&gt;0,MIN(AN$1,IF($A67=$A66,AN66,1))-S67&lt;0),-1,MIN(1,IF($A67=$A66,AN66,1)-S67+$D$3))</f>
        <v>#N/A</v>
      </c>
      <c r="AO67" t="e">
        <f>IF(OR($J67=0,COUNTIFS($A$4:$A66,"&gt;="&amp;$A67-1,$A$4:$A66,"&lt;="&amp;$A67,$B$4:$B66,$B67)&gt;0,MIN(AO$1,IF($A67=$A66,AO66,1))-T67&lt;0),-1,MIN(1,IF($A67=$A66,AO66,1)-T67+$D$3))</f>
        <v>#N/A</v>
      </c>
      <c r="AP67" t="e">
        <f>IF(OR($J67=0,COUNTIFS($A$4:$A66,"&gt;="&amp;$A67-1,$A$4:$A66,"&lt;="&amp;$A67,$B$4:$B66,$B67)&gt;0,MIN(AP$1,IF($A67=$A66,AP66,1))-U67&lt;0),-1,MIN(1,IF($A67=$A66,AP66,1)-U67+$D$3))</f>
        <v>#N/A</v>
      </c>
      <c r="AQ67" t="e">
        <f>IF(OR($J67=0,COUNTIFS($A$4:$A66,"&gt;="&amp;$A67-1,$A$4:$A66,"&lt;="&amp;$A67,$B$4:$B66,$B67)&gt;0,MIN(AQ$1,IF($A67=$A66,AQ66,1))-V67&lt;0),-1,MIN(1,IF($A67=$A66,AQ66,1)-V67+$D$3))</f>
        <v>#N/A</v>
      </c>
      <c r="AR67" t="e">
        <f>IF(OR($J67=0,COUNTIFS($A$4:$A66,"&gt;="&amp;$A67-1,$A$4:$A66,"&lt;="&amp;$A67,$B$4:$B66,$B67)&gt;0,MIN(AR$1,IF($A67=$A66,AR66,1))-W67&lt;0),-1,MIN(1,IF($A67=$A66,AR66,1)-W67+$D$3))</f>
        <v>#N/A</v>
      </c>
      <c r="AS67" t="e">
        <f>IF(OR($J67=0,COUNTIFS($A$4:$A66,"&gt;="&amp;$A67-1,$A$4:$A66,"&lt;="&amp;$A67,$B$4:$B66,$B67)&gt;0,MIN(AS$1,IF($A67=$A66,AS66,1))-X67&lt;0),-1,MIN(1,IF($A67=$A66,AS66,1)-X67+$D$3))</f>
        <v>#N/A</v>
      </c>
      <c r="AT67" t="e">
        <f>IF(OR($J67=0,COUNTIFS($A$4:$A66,"&gt;="&amp;$A67-1,$A$4:$A66,"&lt;="&amp;$A67,$B$4:$B66,$B67)&gt;0,MIN(AT$1,IF($A67=$A66,AT66,1))-Y67&lt;0),-1,MIN(1,IF($A67=$A66,AT66,1)-Y67+$D$3))</f>
        <v>#N/A</v>
      </c>
      <c r="AU67" t="e">
        <f>IF(OR($J67=0,COUNTIFS($A$4:$A66,"&gt;="&amp;$A67-1,$A$4:$A66,"&lt;="&amp;$A67,$B$4:$B66,$B67)&gt;0,MIN(AU$1,IF($A67=$A66,AU66,1))-Z67&lt;0),-1,MIN(1,IF($A67=$A66,AU66,1)-Z67+$D$3))</f>
        <v>#N/A</v>
      </c>
      <c r="AV67" t="e">
        <f>IF(OR($J67=0,COUNTIFS($A$4:$A66,"&gt;="&amp;$A67-1,$A$4:$A66,"&lt;="&amp;$A67,$B$4:$B66,$B67)&gt;0,MIN(AV$1,IF($A67=$A66,AV66,1))-AA67&lt;0),-1,MIN(1,IF($A67=$A66,AV66,1)-AA67+$D$3))</f>
        <v>#N/A</v>
      </c>
      <c r="AW67" t="e">
        <f>IF(OR($J67=0,COUNTIFS($A$4:$A66,"&gt;="&amp;$A67-1,$A$4:$A66,"&lt;="&amp;$A67,$B$4:$B66,$B67)&gt;0,MIN(AW$1,IF($A67=$A66,AW66,1))-AB67&lt;0),-1,MIN(1,IF($A67=$A66,AW66,1)-AB67+$D$3))</f>
        <v>#N/A</v>
      </c>
      <c r="AX67" t="e">
        <f>IF(OR($J67=0,COUNTIFS($A$4:$A66,"&gt;="&amp;$A67-1,$A$4:$A66,"&lt;="&amp;$A67,$B$4:$B66,$B67)&gt;0,MIN(AX$1,IF($A67=$A66,AX66,1))-AC67&lt;0),-1,MIN(1,IF($A67=$A66,AX66,1)-AC67+$D$3))</f>
        <v>#N/A</v>
      </c>
      <c r="AY67" t="e">
        <f>IF(OR($J67=0,COUNTIFS($A$4:$A66,"&gt;="&amp;$A67-1,$A$4:$A66,"&lt;="&amp;$A67,$B$4:$B66,$B67)&gt;0,MIN(AY$1,IF($A67=$A66,AY66,1))-AD67&lt;0),-1,MIN(1,IF($A67=$A66,AY66,1)-AD67+$D$3))</f>
        <v>#N/A</v>
      </c>
      <c r="AZ67" t="e">
        <f>IF(OR($J67=0,COUNTIFS($A$4:$A66,"&gt;="&amp;$A67-1,$A$4:$A66,"&lt;="&amp;$A67,$B$4:$B66,$B67)&gt;0,MIN(AZ$1,IF($A67=$A66,AZ66,1))-AE67&lt;0),-1,MIN(1,IF($A67=$A66,AZ66,1)-AE67+$D$3))</f>
        <v>#N/A</v>
      </c>
      <c r="BA67" t="e">
        <f>IF(OR($J67=0,COUNTIFS($A$4:$A66,"&gt;="&amp;$A67-1,$A$4:$A66,"&lt;="&amp;$A67,$B$4:$B66,$B67)&gt;0,MIN(BA$1,IF($A67=$A66,BA66,1))-AF67&lt;0),-1,MIN(1,IF($A67=$A66,BA66,1)-AF67+$D$3))</f>
        <v>#N/A</v>
      </c>
      <c r="BB67" t="e">
        <f>IF(OR($J67=0,COUNTIFS($A$4:$A66,"&gt;="&amp;$A67-1,$A$4:$A66,"&lt;="&amp;$A67,$B$4:$B66,$B67)&gt;0,MIN(BB$1,IF($A67=$A66,BB66,1))-AG67&lt;0),-1,MIN(1,IF($A67=$A66,BB66,1)-AG67+$D$3))</f>
        <v>#N/A</v>
      </c>
      <c r="BC67" t="e">
        <f>IF(OR($J67=0,COUNTIFS($A$4:$A66,"&gt;="&amp;$A67-1,$A$4:$A66,"&lt;="&amp;$A67,$B$4:$B66,$B67)&gt;0,MIN(BC$1,IF($A67=$A66,BC66,1))-AH67&lt;0),-1,MIN(1,IF($A67=$A66,BC66,1)-AH67+$D$3))</f>
        <v>#N/A</v>
      </c>
      <c r="BD67" t="e">
        <f>IF(OR($J67=0,COUNTIFS($A$4:$A66,"&gt;="&amp;$A67-1,$A$4:$A66,"&lt;="&amp;$A67,$B$4:$B66,$B67)&gt;0,MIN(BD$1,IF($A67=$A66,BD66,1))-AI67&lt;0),-1,MIN(1,IF($A67=$A66,BD66,1)-AI67+$D$3))</f>
        <v>#N/A</v>
      </c>
      <c r="BF67" s="44">
        <f t="shared" si="179"/>
        <v>8.3732301189566552E-2</v>
      </c>
      <c r="BG67" s="44">
        <f t="shared" si="180"/>
        <v>0.20592135631151337</v>
      </c>
      <c r="BH67" s="44">
        <f t="shared" si="181"/>
        <v>0.21104772941398386</v>
      </c>
      <c r="BI67" s="44">
        <f t="shared" si="182"/>
        <v>0.19494950704992797</v>
      </c>
      <c r="BJ67" s="44">
        <f t="shared" si="183"/>
        <v>0.20149882325466434</v>
      </c>
      <c r="BK67" s="44">
        <f t="shared" si="184"/>
        <v>8.6531107577005162E-2</v>
      </c>
      <c r="BL67" s="44">
        <f t="shared" si="185"/>
        <v>4.6745465654601179E-2</v>
      </c>
      <c r="BM67" s="44">
        <f t="shared" si="186"/>
        <v>0.11891500592188219</v>
      </c>
      <c r="BN67" s="44">
        <f t="shared" si="187"/>
        <v>0.12368087384506539</v>
      </c>
      <c r="BO67" s="44">
        <f t="shared" si="188"/>
        <v>5.7961550634296581E-2</v>
      </c>
      <c r="BP67" s="44">
        <f t="shared" si="189"/>
        <v>0.19489442261297346</v>
      </c>
      <c r="BQ67" s="44">
        <f t="shared" si="190"/>
        <v>5.2593936948326328E-2</v>
      </c>
      <c r="BR67" s="44">
        <f t="shared" si="191"/>
        <v>0.15537565538461945</v>
      </c>
      <c r="BS67" s="44">
        <f t="shared" si="192"/>
        <v>8.3796152801560234E-2</v>
      </c>
      <c r="BT67" s="44">
        <f t="shared" si="193"/>
        <v>0.33160706656263533</v>
      </c>
      <c r="BU67" s="44">
        <f t="shared" si="194"/>
        <v>0.31678453294739906</v>
      </c>
      <c r="BV67" s="44">
        <f t="shared" si="195"/>
        <v>0.30422938485639356</v>
      </c>
      <c r="BW67" s="44">
        <f t="shared" si="196"/>
        <v>0.19898275956606087</v>
      </c>
      <c r="BX67" s="44">
        <f t="shared" si="197"/>
        <v>0.14700484938927061</v>
      </c>
      <c r="BY67" s="44">
        <f t="shared" si="198"/>
        <v>0.12622055948959607</v>
      </c>
      <c r="CA67" s="44" t="str">
        <f t="shared" si="199"/>
        <v/>
      </c>
      <c r="CB67" s="44" t="str">
        <f t="shared" si="200"/>
        <v/>
      </c>
      <c r="CC67" s="44" t="str">
        <f t="shared" si="201"/>
        <v/>
      </c>
      <c r="CD67" s="44" t="str">
        <f t="shared" si="202"/>
        <v/>
      </c>
      <c r="CE67" s="44" t="str">
        <f t="shared" si="203"/>
        <v/>
      </c>
      <c r="CF67" s="44" t="str">
        <f t="shared" si="204"/>
        <v/>
      </c>
      <c r="CG67" s="44" t="str">
        <f t="shared" si="205"/>
        <v/>
      </c>
      <c r="CH67" s="44" t="str">
        <f t="shared" si="206"/>
        <v/>
      </c>
      <c r="CI67" s="44" t="str">
        <f t="shared" si="207"/>
        <v/>
      </c>
      <c r="CJ67" s="44" t="str">
        <f t="shared" si="208"/>
        <v/>
      </c>
      <c r="CK67" s="44" t="str">
        <f t="shared" si="209"/>
        <v/>
      </c>
      <c r="CL67" s="44" t="str">
        <f t="shared" si="210"/>
        <v/>
      </c>
      <c r="CM67" s="44" t="str">
        <f t="shared" si="211"/>
        <v/>
      </c>
      <c r="CN67" s="44" t="str">
        <f t="shared" si="212"/>
        <v/>
      </c>
      <c r="CO67" s="44" t="str">
        <f t="shared" si="213"/>
        <v/>
      </c>
      <c r="CP67" s="44" t="str">
        <f t="shared" si="214"/>
        <v/>
      </c>
      <c r="CQ67" s="44" t="str">
        <f t="shared" si="215"/>
        <v/>
      </c>
      <c r="CR67" s="44" t="str">
        <f t="shared" si="216"/>
        <v/>
      </c>
      <c r="CS67" s="44" t="str">
        <f t="shared" si="217"/>
        <v/>
      </c>
      <c r="CT67" s="44" t="str">
        <f t="shared" si="218"/>
        <v/>
      </c>
      <c r="CV67" s="44">
        <f t="shared" si="219"/>
        <v>0</v>
      </c>
    </row>
    <row r="68" spans="1:100" x14ac:dyDescent="0.25">
      <c r="A68" s="41"/>
      <c r="B68" s="42"/>
      <c r="C68" s="43" t="str" cm="1">
        <f t="array" ref="C68">IF(B68="","",INDEX(UWS!$B$10:$B$41,B68))</f>
        <v/>
      </c>
      <c r="D68" s="40" t="str">
        <f t="shared" si="176"/>
        <v/>
      </c>
      <c r="E68" s="69" t="str">
        <f t="shared" si="177"/>
        <v/>
      </c>
      <c r="F68" s="48" cm="1">
        <f t="array" ref="F68">0.1+IFERROR(INDEX($F$5:$F67,SUMPRODUCT(MAX(ROW($C$5:$C67)*($C68=$C$5:$C67))-ROW($A$4)))*0.9^($A68-INDEX($A$5:A67,SUMPRODUCT(MAX(ROW($C$5:$C67)*($C68=$C$5:$C67))-ROW($A$4)))),0)</f>
        <v>0.30000000000000004</v>
      </c>
      <c r="G68" s="55" t="e">
        <f>INDEX(UWS!$AB$10:$AB$41,MATCH(C68,UWS!$B$10:$B$41,0))</f>
        <v>#N/A</v>
      </c>
      <c r="H68" s="48" t="e">
        <f>INDEX(UWS!$C$10:$C$41,MATCH(C68,UWS!$B$10:$B$41,0))</f>
        <v>#N/A</v>
      </c>
      <c r="I68" s="27">
        <f t="shared" si="178"/>
        <v>5</v>
      </c>
      <c r="J68" s="27" t="e">
        <f>INDEX(UWS!$E$10:$E$41,MATCH(C68,UWS!$B$10:$B$41,0))</f>
        <v>#N/A</v>
      </c>
      <c r="L68" s="108" t="str" cm="1">
        <f t="array" ref="L68">IF(K68="","",INDEX(UWS!$B$10:$B$41,K68))</f>
        <v/>
      </c>
      <c r="N68" s="108" t="str" cm="1">
        <f t="array" ref="N68">IF(M68="","",INDEX(UWS!$B$10:$B$41,M68))</f>
        <v/>
      </c>
      <c r="P68">
        <f>IFERROR(INDEX(UWS!$G$10:$Z$41,MATCH($C68,UWS!$B$10:$B$41,0),MATCH(P$4,UWS!$G$3:$Z$3,0)),0)</f>
        <v>0</v>
      </c>
      <c r="Q68">
        <f>IFERROR(INDEX(UWS!$G$10:$Z$41,MATCH($C68,UWS!$B$10:$B$41,0),MATCH(Q$4,UWS!$G$3:$Z$3,0)),0)</f>
        <v>0</v>
      </c>
      <c r="R68">
        <f>IFERROR(INDEX(UWS!$G$10:$Z$41,MATCH($C68,UWS!$B$10:$B$41,0),MATCH(R$4,UWS!$G$3:$Z$3,0)),0)</f>
        <v>0</v>
      </c>
      <c r="S68">
        <f>IFERROR(INDEX(UWS!$G$10:$Z$41,MATCH($C68,UWS!$B$10:$B$41,0),MATCH(S$4,UWS!$G$3:$Z$3,0)),0)</f>
        <v>0</v>
      </c>
      <c r="T68">
        <f>IFERROR(INDEX(UWS!$G$10:$Z$41,MATCH($C68,UWS!$B$10:$B$41,0),MATCH(T$4,UWS!$G$3:$Z$3,0)),0)</f>
        <v>0</v>
      </c>
      <c r="U68">
        <f>IFERROR(INDEX(UWS!$G$10:$Z$41,MATCH($C68,UWS!$B$10:$B$41,0),MATCH(U$4,UWS!$G$3:$Z$3,0)),0)</f>
        <v>0</v>
      </c>
      <c r="V68">
        <f>IFERROR(INDEX(UWS!$G$10:$Z$41,MATCH($C68,UWS!$B$10:$B$41,0),MATCH(V$4,UWS!$G$3:$Z$3,0)),0)</f>
        <v>0</v>
      </c>
      <c r="W68">
        <f>IFERROR(INDEX(UWS!$G$10:$Z$41,MATCH($C68,UWS!$B$10:$B$41,0),MATCH(W$4,UWS!$G$3:$Z$3,0)),0)</f>
        <v>0</v>
      </c>
      <c r="X68">
        <f>IFERROR(INDEX(UWS!$G$10:$Z$41,MATCH($C68,UWS!$B$10:$B$41,0),MATCH(X$4,UWS!$G$3:$Z$3,0)),0)</f>
        <v>0</v>
      </c>
      <c r="Y68">
        <f>IFERROR(INDEX(UWS!$G$10:$Z$41,MATCH($C68,UWS!$B$10:$B$41,0),MATCH(Y$4,UWS!$G$3:$Z$3,0)),0)</f>
        <v>0</v>
      </c>
      <c r="Z68">
        <f>IFERROR(INDEX(UWS!$G$10:$Z$41,MATCH($C68,UWS!$B$10:$B$41,0),MATCH(Z$4,UWS!$G$3:$Z$3,0)),0)</f>
        <v>0</v>
      </c>
      <c r="AA68">
        <f>IFERROR(INDEX(UWS!$G$10:$Z$41,MATCH($C68,UWS!$B$10:$B$41,0),MATCH(AA$4,UWS!$G$3:$Z$3,0)),0)</f>
        <v>0</v>
      </c>
      <c r="AB68">
        <f>IFERROR(INDEX(UWS!$G$10:$Z$41,MATCH($C68,UWS!$B$10:$B$41,0),MATCH(AB$4,UWS!$G$3:$Z$3,0)),0)</f>
        <v>0</v>
      </c>
      <c r="AC68">
        <f>IFERROR(INDEX(UWS!$G$10:$Z$41,MATCH($C68,UWS!$B$10:$B$41,0),MATCH(AC$4,UWS!$G$3:$Z$3,0)),0)</f>
        <v>0</v>
      </c>
      <c r="AD68">
        <f>IFERROR(INDEX(UWS!$G$10:$Z$41,MATCH($C68,UWS!$B$10:$B$41,0),MATCH(AD$4,UWS!$G$3:$Z$3,0)),0)</f>
        <v>0</v>
      </c>
      <c r="AE68">
        <f>IFERROR(INDEX(UWS!$G$10:$Z$41,MATCH($C68,UWS!$B$10:$B$41,0),MATCH(AE$4,UWS!$G$3:$Z$3,0)),0)</f>
        <v>0</v>
      </c>
      <c r="AF68">
        <f>IFERROR(INDEX(UWS!$G$10:$Z$41,MATCH($C68,UWS!$B$10:$B$41,0),MATCH(AF$4,UWS!$G$3:$Z$3,0)),0)</f>
        <v>0</v>
      </c>
      <c r="AG68">
        <f>IFERROR(INDEX(UWS!$G$10:$Z$41,MATCH($C68,UWS!$B$10:$B$41,0),MATCH(AG$4,UWS!$G$3:$Z$3,0)),0)</f>
        <v>0</v>
      </c>
      <c r="AH68">
        <f>IFERROR(INDEX(UWS!$G$10:$Z$41,MATCH($C68,UWS!$B$10:$B$41,0),MATCH(AH$4,UWS!$G$3:$Z$3,0)),0)</f>
        <v>0</v>
      </c>
      <c r="AI68">
        <f>IFERROR(INDEX(UWS!$G$10:$Z$41,MATCH($C68,UWS!$B$10:$B$41,0),MATCH(AI$4,UWS!$G$3:$Z$3,0)),0)</f>
        <v>0</v>
      </c>
      <c r="AK68" t="e">
        <f>IF(OR($J68=0,COUNTIFS($A$4:$A67,"&gt;="&amp;$A68-1,$A$4:$A67,"&lt;="&amp;$A68,$B$4:$B67,$B68)&gt;0,MIN(AK$1,IF($A68=$A67,AK67,1))-P68&lt;0),-1,MIN(1,IF($A68=$A67,AK67,1)-P68+$D$3))</f>
        <v>#N/A</v>
      </c>
      <c r="AL68" t="e">
        <f>IF(OR($J68=0,COUNTIFS($A$4:$A67,"&gt;="&amp;$A68-1,$A$4:$A67,"&lt;="&amp;$A68,$B$4:$B67,$B68)&gt;0,MIN(AL$1,IF($A68=$A67,AL67,1))-Q68&lt;0),-1,MIN(1,IF($A68=$A67,AL67,1)-Q68+$D$3))</f>
        <v>#N/A</v>
      </c>
      <c r="AM68" t="e">
        <f>IF(OR($J68=0,COUNTIFS($A$4:$A67,"&gt;="&amp;$A68-1,$A$4:$A67,"&lt;="&amp;$A68,$B$4:$B67,$B68)&gt;0,MIN(AM$1,IF($A68=$A67,AM67,1))-R68&lt;0),-1,MIN(1,IF($A68=$A67,AM67,1)-R68+$D$3))</f>
        <v>#N/A</v>
      </c>
      <c r="AN68" t="e">
        <f>IF(OR($J68=0,COUNTIFS($A$4:$A67,"&gt;="&amp;$A68-1,$A$4:$A67,"&lt;="&amp;$A68,$B$4:$B67,$B68)&gt;0,MIN(AN$1,IF($A68=$A67,AN67,1))-S68&lt;0),-1,MIN(1,IF($A68=$A67,AN67,1)-S68+$D$3))</f>
        <v>#N/A</v>
      </c>
      <c r="AO68" t="e">
        <f>IF(OR($J68=0,COUNTIFS($A$4:$A67,"&gt;="&amp;$A68-1,$A$4:$A67,"&lt;="&amp;$A68,$B$4:$B67,$B68)&gt;0,MIN(AO$1,IF($A68=$A67,AO67,1))-T68&lt;0),-1,MIN(1,IF($A68=$A67,AO67,1)-T68+$D$3))</f>
        <v>#N/A</v>
      </c>
      <c r="AP68" t="e">
        <f>IF(OR($J68=0,COUNTIFS($A$4:$A67,"&gt;="&amp;$A68-1,$A$4:$A67,"&lt;="&amp;$A68,$B$4:$B67,$B68)&gt;0,MIN(AP$1,IF($A68=$A67,AP67,1))-U68&lt;0),-1,MIN(1,IF($A68=$A67,AP67,1)-U68+$D$3))</f>
        <v>#N/A</v>
      </c>
      <c r="AQ68" t="e">
        <f>IF(OR($J68=0,COUNTIFS($A$4:$A67,"&gt;="&amp;$A68-1,$A$4:$A67,"&lt;="&amp;$A68,$B$4:$B67,$B68)&gt;0,MIN(AQ$1,IF($A68=$A67,AQ67,1))-V68&lt;0),-1,MIN(1,IF($A68=$A67,AQ67,1)-V68+$D$3))</f>
        <v>#N/A</v>
      </c>
      <c r="AR68" t="e">
        <f>IF(OR($J68=0,COUNTIFS($A$4:$A67,"&gt;="&amp;$A68-1,$A$4:$A67,"&lt;="&amp;$A68,$B$4:$B67,$B68)&gt;0,MIN(AR$1,IF($A68=$A67,AR67,1))-W68&lt;0),-1,MIN(1,IF($A68=$A67,AR67,1)-W68+$D$3))</f>
        <v>#N/A</v>
      </c>
      <c r="AS68" t="e">
        <f>IF(OR($J68=0,COUNTIFS($A$4:$A67,"&gt;="&amp;$A68-1,$A$4:$A67,"&lt;="&amp;$A68,$B$4:$B67,$B68)&gt;0,MIN(AS$1,IF($A68=$A67,AS67,1))-X68&lt;0),-1,MIN(1,IF($A68=$A67,AS67,1)-X68+$D$3))</f>
        <v>#N/A</v>
      </c>
      <c r="AT68" t="e">
        <f>IF(OR($J68=0,COUNTIFS($A$4:$A67,"&gt;="&amp;$A68-1,$A$4:$A67,"&lt;="&amp;$A68,$B$4:$B67,$B68)&gt;0,MIN(AT$1,IF($A68=$A67,AT67,1))-Y68&lt;0),-1,MIN(1,IF($A68=$A67,AT67,1)-Y68+$D$3))</f>
        <v>#N/A</v>
      </c>
      <c r="AU68" t="e">
        <f>IF(OR($J68=0,COUNTIFS($A$4:$A67,"&gt;="&amp;$A68-1,$A$4:$A67,"&lt;="&amp;$A68,$B$4:$B67,$B68)&gt;0,MIN(AU$1,IF($A68=$A67,AU67,1))-Z68&lt;0),-1,MIN(1,IF($A68=$A67,AU67,1)-Z68+$D$3))</f>
        <v>#N/A</v>
      </c>
      <c r="AV68" t="e">
        <f>IF(OR($J68=0,COUNTIFS($A$4:$A67,"&gt;="&amp;$A68-1,$A$4:$A67,"&lt;="&amp;$A68,$B$4:$B67,$B68)&gt;0,MIN(AV$1,IF($A68=$A67,AV67,1))-AA68&lt;0),-1,MIN(1,IF($A68=$A67,AV67,1)-AA68+$D$3))</f>
        <v>#N/A</v>
      </c>
      <c r="AW68" t="e">
        <f>IF(OR($J68=0,COUNTIFS($A$4:$A67,"&gt;="&amp;$A68-1,$A$4:$A67,"&lt;="&amp;$A68,$B$4:$B67,$B68)&gt;0,MIN(AW$1,IF($A68=$A67,AW67,1))-AB68&lt;0),-1,MIN(1,IF($A68=$A67,AW67,1)-AB68+$D$3))</f>
        <v>#N/A</v>
      </c>
      <c r="AX68" t="e">
        <f>IF(OR($J68=0,COUNTIFS($A$4:$A67,"&gt;="&amp;$A68-1,$A$4:$A67,"&lt;="&amp;$A68,$B$4:$B67,$B68)&gt;0,MIN(AX$1,IF($A68=$A67,AX67,1))-AC68&lt;0),-1,MIN(1,IF($A68=$A67,AX67,1)-AC68+$D$3))</f>
        <v>#N/A</v>
      </c>
      <c r="AY68" t="e">
        <f>IF(OR($J68=0,COUNTIFS($A$4:$A67,"&gt;="&amp;$A68-1,$A$4:$A67,"&lt;="&amp;$A68,$B$4:$B67,$B68)&gt;0,MIN(AY$1,IF($A68=$A67,AY67,1))-AD68&lt;0),-1,MIN(1,IF($A68=$A67,AY67,1)-AD68+$D$3))</f>
        <v>#N/A</v>
      </c>
      <c r="AZ68" t="e">
        <f>IF(OR($J68=0,COUNTIFS($A$4:$A67,"&gt;="&amp;$A68-1,$A$4:$A67,"&lt;="&amp;$A68,$B$4:$B67,$B68)&gt;0,MIN(AZ$1,IF($A68=$A67,AZ67,1))-AE68&lt;0),-1,MIN(1,IF($A68=$A67,AZ67,1)-AE68+$D$3))</f>
        <v>#N/A</v>
      </c>
      <c r="BA68" t="e">
        <f>IF(OR($J68=0,COUNTIFS($A$4:$A67,"&gt;="&amp;$A68-1,$A$4:$A67,"&lt;="&amp;$A68,$B$4:$B67,$B68)&gt;0,MIN(BA$1,IF($A68=$A67,BA67,1))-AF68&lt;0),-1,MIN(1,IF($A68=$A67,BA67,1)-AF68+$D$3))</f>
        <v>#N/A</v>
      </c>
      <c r="BB68" t="e">
        <f>IF(OR($J68=0,COUNTIFS($A$4:$A67,"&gt;="&amp;$A68-1,$A$4:$A67,"&lt;="&amp;$A68,$B$4:$B67,$B68)&gt;0,MIN(BB$1,IF($A68=$A67,BB67,1))-AG68&lt;0),-1,MIN(1,IF($A68=$A67,BB67,1)-AG68+$D$3))</f>
        <v>#N/A</v>
      </c>
      <c r="BC68" t="e">
        <f>IF(OR($J68=0,COUNTIFS($A$4:$A67,"&gt;="&amp;$A68-1,$A$4:$A67,"&lt;="&amp;$A68,$B$4:$B67,$B68)&gt;0,MIN(BC$1,IF($A68=$A67,BC67,1))-AH68&lt;0),-1,MIN(1,IF($A68=$A67,BC67,1)-AH68+$D$3))</f>
        <v>#N/A</v>
      </c>
      <c r="BD68" t="e">
        <f>IF(OR($J68=0,COUNTIFS($A$4:$A67,"&gt;="&amp;$A68-1,$A$4:$A67,"&lt;="&amp;$A68,$B$4:$B67,$B68)&gt;0,MIN(BD$1,IF($A68=$A67,BD67,1))-AI68&lt;0),-1,MIN(1,IF($A68=$A67,BD67,1)-AI68+$D$3))</f>
        <v>#N/A</v>
      </c>
      <c r="BF68" s="44">
        <f t="shared" si="179"/>
        <v>7.9545686130088222E-2</v>
      </c>
      <c r="BG68" s="44">
        <f t="shared" si="180"/>
        <v>0.19562528849593769</v>
      </c>
      <c r="BH68" s="44">
        <f t="shared" si="181"/>
        <v>0.20049534294328467</v>
      </c>
      <c r="BI68" s="44">
        <f t="shared" si="182"/>
        <v>0.18520203169743157</v>
      </c>
      <c r="BJ68" s="44">
        <f t="shared" si="183"/>
        <v>0.19142388209193112</v>
      </c>
      <c r="BK68" s="44">
        <f t="shared" si="184"/>
        <v>8.2204552198154895E-2</v>
      </c>
      <c r="BL68" s="44">
        <f t="shared" si="185"/>
        <v>4.4408192371871116E-2</v>
      </c>
      <c r="BM68" s="44">
        <f t="shared" si="186"/>
        <v>0.11296925562578806</v>
      </c>
      <c r="BN68" s="44">
        <f t="shared" si="187"/>
        <v>0.11749683015281212</v>
      </c>
      <c r="BO68" s="44">
        <f t="shared" si="188"/>
        <v>5.506347310258175E-2</v>
      </c>
      <c r="BP68" s="44">
        <f t="shared" si="189"/>
        <v>0.18514970148232479</v>
      </c>
      <c r="BQ68" s="44">
        <f t="shared" si="190"/>
        <v>4.996424010091001E-2</v>
      </c>
      <c r="BR68" s="44">
        <f t="shared" si="191"/>
        <v>0.14760687261538846</v>
      </c>
      <c r="BS68" s="44">
        <f t="shared" si="192"/>
        <v>7.9606345161482212E-2</v>
      </c>
      <c r="BT68" s="44">
        <f t="shared" si="193"/>
        <v>0.31502671323450354</v>
      </c>
      <c r="BU68" s="44">
        <f t="shared" si="194"/>
        <v>0.30094530630002908</v>
      </c>
      <c r="BV68" s="44">
        <f t="shared" si="195"/>
        <v>0.28901791561357387</v>
      </c>
      <c r="BW68" s="44">
        <f t="shared" si="196"/>
        <v>0.18903362158775783</v>
      </c>
      <c r="BX68" s="44">
        <f t="shared" si="197"/>
        <v>0.13965460691980708</v>
      </c>
      <c r="BY68" s="44">
        <f t="shared" si="198"/>
        <v>0.11990953151511625</v>
      </c>
      <c r="CA68" s="44" t="str">
        <f t="shared" si="199"/>
        <v/>
      </c>
      <c r="CB68" s="44" t="str">
        <f t="shared" si="200"/>
        <v/>
      </c>
      <c r="CC68" s="44" t="str">
        <f t="shared" si="201"/>
        <v/>
      </c>
      <c r="CD68" s="44" t="str">
        <f t="shared" si="202"/>
        <v/>
      </c>
      <c r="CE68" s="44" t="str">
        <f t="shared" si="203"/>
        <v/>
      </c>
      <c r="CF68" s="44" t="str">
        <f t="shared" si="204"/>
        <v/>
      </c>
      <c r="CG68" s="44" t="str">
        <f t="shared" si="205"/>
        <v/>
      </c>
      <c r="CH68" s="44" t="str">
        <f t="shared" si="206"/>
        <v/>
      </c>
      <c r="CI68" s="44" t="str">
        <f t="shared" si="207"/>
        <v/>
      </c>
      <c r="CJ68" s="44" t="str">
        <f t="shared" si="208"/>
        <v/>
      </c>
      <c r="CK68" s="44" t="str">
        <f t="shared" si="209"/>
        <v/>
      </c>
      <c r="CL68" s="44" t="str">
        <f t="shared" si="210"/>
        <v/>
      </c>
      <c r="CM68" s="44" t="str">
        <f t="shared" si="211"/>
        <v/>
      </c>
      <c r="CN68" s="44" t="str">
        <f t="shared" si="212"/>
        <v/>
      </c>
      <c r="CO68" s="44" t="str">
        <f t="shared" si="213"/>
        <v/>
      </c>
      <c r="CP68" s="44" t="str">
        <f t="shared" si="214"/>
        <v/>
      </c>
      <c r="CQ68" s="44" t="str">
        <f t="shared" si="215"/>
        <v/>
      </c>
      <c r="CR68" s="44" t="str">
        <f t="shared" si="216"/>
        <v/>
      </c>
      <c r="CS68" s="44" t="str">
        <f t="shared" si="217"/>
        <v/>
      </c>
      <c r="CT68" s="44" t="str">
        <f t="shared" si="218"/>
        <v/>
      </c>
      <c r="CV68" s="44">
        <f t="shared" si="219"/>
        <v>0</v>
      </c>
    </row>
    <row r="69" spans="1:100" x14ac:dyDescent="0.25">
      <c r="A69" s="41"/>
      <c r="B69" s="42"/>
      <c r="C69" s="43" t="str" cm="1">
        <f t="array" ref="C69">IF(B69="","",INDEX(UWS!$B$10:$B$41,B69))</f>
        <v/>
      </c>
      <c r="D69" s="40" t="str">
        <f t="shared" si="176"/>
        <v/>
      </c>
      <c r="E69" s="69" t="str">
        <f t="shared" si="177"/>
        <v/>
      </c>
      <c r="F69" s="48" cm="1">
        <f t="array" ref="F69">0.1+IFERROR(INDEX($F$5:$F68,SUMPRODUCT(MAX(ROW($C$5:$C68)*($C69=$C$5:$C68))-ROW($A$4)))*0.9^($A69-INDEX($A$5:A68,SUMPRODUCT(MAX(ROW($C$5:$C68)*($C69=$C$5:$C68))-ROW($A$4)))),0)</f>
        <v>0.4</v>
      </c>
      <c r="G69" s="55" t="e">
        <f>INDEX(UWS!$AB$10:$AB$41,MATCH(C69,UWS!$B$10:$B$41,0))</f>
        <v>#N/A</v>
      </c>
      <c r="H69" s="48" t="e">
        <f>INDEX(UWS!$C$10:$C$41,MATCH(C69,UWS!$B$10:$B$41,0))</f>
        <v>#N/A</v>
      </c>
      <c r="I69" s="27">
        <f t="shared" si="178"/>
        <v>5</v>
      </c>
      <c r="J69" s="27" t="e">
        <f>INDEX(UWS!$E$10:$E$41,MATCH(C69,UWS!$B$10:$B$41,0))</f>
        <v>#N/A</v>
      </c>
      <c r="L69" s="108" t="str" cm="1">
        <f t="array" ref="L69">IF(K69="","",INDEX(UWS!$B$10:$B$41,K69))</f>
        <v/>
      </c>
      <c r="N69" s="108" t="str" cm="1">
        <f t="array" ref="N69">IF(M69="","",INDEX(UWS!$B$10:$B$41,M69))</f>
        <v/>
      </c>
      <c r="P69">
        <f>IFERROR(INDEX(UWS!$G$10:$Z$41,MATCH($C69,UWS!$B$10:$B$41,0),MATCH(P$4,UWS!$G$3:$Z$3,0)),0)</f>
        <v>0</v>
      </c>
      <c r="Q69">
        <f>IFERROR(INDEX(UWS!$G$10:$Z$41,MATCH($C69,UWS!$B$10:$B$41,0),MATCH(Q$4,UWS!$G$3:$Z$3,0)),0)</f>
        <v>0</v>
      </c>
      <c r="R69">
        <f>IFERROR(INDEX(UWS!$G$10:$Z$41,MATCH($C69,UWS!$B$10:$B$41,0),MATCH(R$4,UWS!$G$3:$Z$3,0)),0)</f>
        <v>0</v>
      </c>
      <c r="S69">
        <f>IFERROR(INDEX(UWS!$G$10:$Z$41,MATCH($C69,UWS!$B$10:$B$41,0),MATCH(S$4,UWS!$G$3:$Z$3,0)),0)</f>
        <v>0</v>
      </c>
      <c r="T69">
        <f>IFERROR(INDEX(UWS!$G$10:$Z$41,MATCH($C69,UWS!$B$10:$B$41,0),MATCH(T$4,UWS!$G$3:$Z$3,0)),0)</f>
        <v>0</v>
      </c>
      <c r="U69">
        <f>IFERROR(INDEX(UWS!$G$10:$Z$41,MATCH($C69,UWS!$B$10:$B$41,0),MATCH(U$4,UWS!$G$3:$Z$3,0)),0)</f>
        <v>0</v>
      </c>
      <c r="V69">
        <f>IFERROR(INDEX(UWS!$G$10:$Z$41,MATCH($C69,UWS!$B$10:$B$41,0),MATCH(V$4,UWS!$G$3:$Z$3,0)),0)</f>
        <v>0</v>
      </c>
      <c r="W69">
        <f>IFERROR(INDEX(UWS!$G$10:$Z$41,MATCH($C69,UWS!$B$10:$B$41,0),MATCH(W$4,UWS!$G$3:$Z$3,0)),0)</f>
        <v>0</v>
      </c>
      <c r="X69">
        <f>IFERROR(INDEX(UWS!$G$10:$Z$41,MATCH($C69,UWS!$B$10:$B$41,0),MATCH(X$4,UWS!$G$3:$Z$3,0)),0)</f>
        <v>0</v>
      </c>
      <c r="Y69">
        <f>IFERROR(INDEX(UWS!$G$10:$Z$41,MATCH($C69,UWS!$B$10:$B$41,0),MATCH(Y$4,UWS!$G$3:$Z$3,0)),0)</f>
        <v>0</v>
      </c>
      <c r="Z69">
        <f>IFERROR(INDEX(UWS!$G$10:$Z$41,MATCH($C69,UWS!$B$10:$B$41,0),MATCH(Z$4,UWS!$G$3:$Z$3,0)),0)</f>
        <v>0</v>
      </c>
      <c r="AA69">
        <f>IFERROR(INDEX(UWS!$G$10:$Z$41,MATCH($C69,UWS!$B$10:$B$41,0),MATCH(AA$4,UWS!$G$3:$Z$3,0)),0)</f>
        <v>0</v>
      </c>
      <c r="AB69">
        <f>IFERROR(INDEX(UWS!$G$10:$Z$41,MATCH($C69,UWS!$B$10:$B$41,0),MATCH(AB$4,UWS!$G$3:$Z$3,0)),0)</f>
        <v>0</v>
      </c>
      <c r="AC69">
        <f>IFERROR(INDEX(UWS!$G$10:$Z$41,MATCH($C69,UWS!$B$10:$B$41,0),MATCH(AC$4,UWS!$G$3:$Z$3,0)),0)</f>
        <v>0</v>
      </c>
      <c r="AD69">
        <f>IFERROR(INDEX(UWS!$G$10:$Z$41,MATCH($C69,UWS!$B$10:$B$41,0),MATCH(AD$4,UWS!$G$3:$Z$3,0)),0)</f>
        <v>0</v>
      </c>
      <c r="AE69">
        <f>IFERROR(INDEX(UWS!$G$10:$Z$41,MATCH($C69,UWS!$B$10:$B$41,0),MATCH(AE$4,UWS!$G$3:$Z$3,0)),0)</f>
        <v>0</v>
      </c>
      <c r="AF69">
        <f>IFERROR(INDEX(UWS!$G$10:$Z$41,MATCH($C69,UWS!$B$10:$B$41,0),MATCH(AF$4,UWS!$G$3:$Z$3,0)),0)</f>
        <v>0</v>
      </c>
      <c r="AG69">
        <f>IFERROR(INDEX(UWS!$G$10:$Z$41,MATCH($C69,UWS!$B$10:$B$41,0),MATCH(AG$4,UWS!$G$3:$Z$3,0)),0)</f>
        <v>0</v>
      </c>
      <c r="AH69">
        <f>IFERROR(INDEX(UWS!$G$10:$Z$41,MATCH($C69,UWS!$B$10:$B$41,0),MATCH(AH$4,UWS!$G$3:$Z$3,0)),0)</f>
        <v>0</v>
      </c>
      <c r="AI69">
        <f>IFERROR(INDEX(UWS!$G$10:$Z$41,MATCH($C69,UWS!$B$10:$B$41,0),MATCH(AI$4,UWS!$G$3:$Z$3,0)),0)</f>
        <v>0</v>
      </c>
      <c r="AK69" t="e">
        <f>IF(OR($J69=0,COUNTIFS($A$4:$A68,"&gt;="&amp;$A69-1,$A$4:$A68,"&lt;="&amp;$A69,$B$4:$B68,$B69)&gt;0,MIN(AK$1,IF($A69=$A68,AK68,1))-P69&lt;0),-1,MIN(1,IF($A69=$A68,AK68,1)-P69+$D$3))</f>
        <v>#N/A</v>
      </c>
      <c r="AL69" t="e">
        <f>IF(OR($J69=0,COUNTIFS($A$4:$A68,"&gt;="&amp;$A69-1,$A$4:$A68,"&lt;="&amp;$A69,$B$4:$B68,$B69)&gt;0,MIN(AL$1,IF($A69=$A68,AL68,1))-Q69&lt;0),-1,MIN(1,IF($A69=$A68,AL68,1)-Q69+$D$3))</f>
        <v>#N/A</v>
      </c>
      <c r="AM69" t="e">
        <f>IF(OR($J69=0,COUNTIFS($A$4:$A68,"&gt;="&amp;$A69-1,$A$4:$A68,"&lt;="&amp;$A69,$B$4:$B68,$B69)&gt;0,MIN(AM$1,IF($A69=$A68,AM68,1))-R69&lt;0),-1,MIN(1,IF($A69=$A68,AM68,1)-R69+$D$3))</f>
        <v>#N/A</v>
      </c>
      <c r="AN69" t="e">
        <f>IF(OR($J69=0,COUNTIFS($A$4:$A68,"&gt;="&amp;$A69-1,$A$4:$A68,"&lt;="&amp;$A69,$B$4:$B68,$B69)&gt;0,MIN(AN$1,IF($A69=$A68,AN68,1))-S69&lt;0),-1,MIN(1,IF($A69=$A68,AN68,1)-S69+$D$3))</f>
        <v>#N/A</v>
      </c>
      <c r="AO69" t="e">
        <f>IF(OR($J69=0,COUNTIFS($A$4:$A68,"&gt;="&amp;$A69-1,$A$4:$A68,"&lt;="&amp;$A69,$B$4:$B68,$B69)&gt;0,MIN(AO$1,IF($A69=$A68,AO68,1))-T69&lt;0),-1,MIN(1,IF($A69=$A68,AO68,1)-T69+$D$3))</f>
        <v>#N/A</v>
      </c>
      <c r="AP69" t="e">
        <f>IF(OR($J69=0,COUNTIFS($A$4:$A68,"&gt;="&amp;$A69-1,$A$4:$A68,"&lt;="&amp;$A69,$B$4:$B68,$B69)&gt;0,MIN(AP$1,IF($A69=$A68,AP68,1))-U69&lt;0),-1,MIN(1,IF($A69=$A68,AP68,1)-U69+$D$3))</f>
        <v>#N/A</v>
      </c>
      <c r="AQ69" t="e">
        <f>IF(OR($J69=0,COUNTIFS($A$4:$A68,"&gt;="&amp;$A69-1,$A$4:$A68,"&lt;="&amp;$A69,$B$4:$B68,$B69)&gt;0,MIN(AQ$1,IF($A69=$A68,AQ68,1))-V69&lt;0),-1,MIN(1,IF($A69=$A68,AQ68,1)-V69+$D$3))</f>
        <v>#N/A</v>
      </c>
      <c r="AR69" t="e">
        <f>IF(OR($J69=0,COUNTIFS($A$4:$A68,"&gt;="&amp;$A69-1,$A$4:$A68,"&lt;="&amp;$A69,$B$4:$B68,$B69)&gt;0,MIN(AR$1,IF($A69=$A68,AR68,1))-W69&lt;0),-1,MIN(1,IF($A69=$A68,AR68,1)-W69+$D$3))</f>
        <v>#N/A</v>
      </c>
      <c r="AS69" t="e">
        <f>IF(OR($J69=0,COUNTIFS($A$4:$A68,"&gt;="&amp;$A69-1,$A$4:$A68,"&lt;="&amp;$A69,$B$4:$B68,$B69)&gt;0,MIN(AS$1,IF($A69=$A68,AS68,1))-X69&lt;0),-1,MIN(1,IF($A69=$A68,AS68,1)-X69+$D$3))</f>
        <v>#N/A</v>
      </c>
      <c r="AT69" t="e">
        <f>IF(OR($J69=0,COUNTIFS($A$4:$A68,"&gt;="&amp;$A69-1,$A$4:$A68,"&lt;="&amp;$A69,$B$4:$B68,$B69)&gt;0,MIN(AT$1,IF($A69=$A68,AT68,1))-Y69&lt;0),-1,MIN(1,IF($A69=$A68,AT68,1)-Y69+$D$3))</f>
        <v>#N/A</v>
      </c>
      <c r="AU69" t="e">
        <f>IF(OR($J69=0,COUNTIFS($A$4:$A68,"&gt;="&amp;$A69-1,$A$4:$A68,"&lt;="&amp;$A69,$B$4:$B68,$B69)&gt;0,MIN(AU$1,IF($A69=$A68,AU68,1))-Z69&lt;0),-1,MIN(1,IF($A69=$A68,AU68,1)-Z69+$D$3))</f>
        <v>#N/A</v>
      </c>
      <c r="AV69" t="e">
        <f>IF(OR($J69=0,COUNTIFS($A$4:$A68,"&gt;="&amp;$A69-1,$A$4:$A68,"&lt;="&amp;$A69,$B$4:$B68,$B69)&gt;0,MIN(AV$1,IF($A69=$A68,AV68,1))-AA69&lt;0),-1,MIN(1,IF($A69=$A68,AV68,1)-AA69+$D$3))</f>
        <v>#N/A</v>
      </c>
      <c r="AW69" t="e">
        <f>IF(OR($J69=0,COUNTIFS($A$4:$A68,"&gt;="&amp;$A69-1,$A$4:$A68,"&lt;="&amp;$A69,$B$4:$B68,$B69)&gt;0,MIN(AW$1,IF($A69=$A68,AW68,1))-AB69&lt;0),-1,MIN(1,IF($A69=$A68,AW68,1)-AB69+$D$3))</f>
        <v>#N/A</v>
      </c>
      <c r="AX69" t="e">
        <f>IF(OR($J69=0,COUNTIFS($A$4:$A68,"&gt;="&amp;$A69-1,$A$4:$A68,"&lt;="&amp;$A69,$B$4:$B68,$B69)&gt;0,MIN(AX$1,IF($A69=$A68,AX68,1))-AC69&lt;0),-1,MIN(1,IF($A69=$A68,AX68,1)-AC69+$D$3))</f>
        <v>#N/A</v>
      </c>
      <c r="AY69" t="e">
        <f>IF(OR($J69=0,COUNTIFS($A$4:$A68,"&gt;="&amp;$A69-1,$A$4:$A68,"&lt;="&amp;$A69,$B$4:$B68,$B69)&gt;0,MIN(AY$1,IF($A69=$A68,AY68,1))-AD69&lt;0),-1,MIN(1,IF($A69=$A68,AY68,1)-AD69+$D$3))</f>
        <v>#N/A</v>
      </c>
      <c r="AZ69" t="e">
        <f>IF(OR($J69=0,COUNTIFS($A$4:$A68,"&gt;="&amp;$A69-1,$A$4:$A68,"&lt;="&amp;$A69,$B$4:$B68,$B69)&gt;0,MIN(AZ$1,IF($A69=$A68,AZ68,1))-AE69&lt;0),-1,MIN(1,IF($A69=$A68,AZ68,1)-AE69+$D$3))</f>
        <v>#N/A</v>
      </c>
      <c r="BA69" t="e">
        <f>IF(OR($J69=0,COUNTIFS($A$4:$A68,"&gt;="&amp;$A69-1,$A$4:$A68,"&lt;="&amp;$A69,$B$4:$B68,$B69)&gt;0,MIN(BA$1,IF($A69=$A68,BA68,1))-AF69&lt;0),-1,MIN(1,IF($A69=$A68,BA68,1)-AF69+$D$3))</f>
        <v>#N/A</v>
      </c>
      <c r="BB69" t="e">
        <f>IF(OR($J69=0,COUNTIFS($A$4:$A68,"&gt;="&amp;$A69-1,$A$4:$A68,"&lt;="&amp;$A69,$B$4:$B68,$B69)&gt;0,MIN(BB$1,IF($A69=$A68,BB68,1))-AG69&lt;0),-1,MIN(1,IF($A69=$A68,BB68,1)-AG69+$D$3))</f>
        <v>#N/A</v>
      </c>
      <c r="BC69" t="e">
        <f>IF(OR($J69=0,COUNTIFS($A$4:$A68,"&gt;="&amp;$A69-1,$A$4:$A68,"&lt;="&amp;$A69,$B$4:$B68,$B69)&gt;0,MIN(BC$1,IF($A69=$A68,BC68,1))-AH69&lt;0),-1,MIN(1,IF($A69=$A68,BC68,1)-AH69+$D$3))</f>
        <v>#N/A</v>
      </c>
      <c r="BD69" t="e">
        <f>IF(OR($J69=0,COUNTIFS($A$4:$A68,"&gt;="&amp;$A69-1,$A$4:$A68,"&lt;="&amp;$A69,$B$4:$B68,$B69)&gt;0,MIN(BD$1,IF($A69=$A68,BD68,1))-AI69&lt;0),-1,MIN(1,IF($A69=$A68,BD68,1)-AI69+$D$3))</f>
        <v>#N/A</v>
      </c>
      <c r="BF69" s="44">
        <f t="shared" si="179"/>
        <v>7.5568401823583806E-2</v>
      </c>
      <c r="BG69" s="44">
        <f t="shared" si="180"/>
        <v>0.18584402407114078</v>
      </c>
      <c r="BH69" s="44">
        <f t="shared" si="181"/>
        <v>0.19047057579612042</v>
      </c>
      <c r="BI69" s="44">
        <f t="shared" si="182"/>
        <v>0.17594193011255999</v>
      </c>
      <c r="BJ69" s="44">
        <f t="shared" si="183"/>
        <v>0.18185268798733456</v>
      </c>
      <c r="BK69" s="44">
        <f t="shared" si="184"/>
        <v>7.8094324588247152E-2</v>
      </c>
      <c r="BL69" s="44">
        <f t="shared" si="185"/>
        <v>4.2187782753277558E-2</v>
      </c>
      <c r="BM69" s="44">
        <f t="shared" si="186"/>
        <v>0.10732079284449865</v>
      </c>
      <c r="BN69" s="44">
        <f t="shared" si="187"/>
        <v>0.1116219886451715</v>
      </c>
      <c r="BO69" s="44">
        <f t="shared" si="188"/>
        <v>5.2310299447452663E-2</v>
      </c>
      <c r="BP69" s="44">
        <f t="shared" si="189"/>
        <v>0.17589221640820854</v>
      </c>
      <c r="BQ69" s="44">
        <f t="shared" si="190"/>
        <v>4.7466028095864504E-2</v>
      </c>
      <c r="BR69" s="44">
        <f t="shared" si="191"/>
        <v>0.14022652898461904</v>
      </c>
      <c r="BS69" s="44">
        <f t="shared" si="192"/>
        <v>7.5626027903408097E-2</v>
      </c>
      <c r="BT69" s="44">
        <f t="shared" si="193"/>
        <v>0.29927537757277833</v>
      </c>
      <c r="BU69" s="44">
        <f t="shared" si="194"/>
        <v>0.28589804098502763</v>
      </c>
      <c r="BV69" s="44">
        <f t="shared" si="195"/>
        <v>0.27456701983289516</v>
      </c>
      <c r="BW69" s="44">
        <f t="shared" si="196"/>
        <v>0.17958194050836992</v>
      </c>
      <c r="BX69" s="44">
        <f t="shared" si="197"/>
        <v>0.13267187657381671</v>
      </c>
      <c r="BY69" s="44">
        <f t="shared" si="198"/>
        <v>0.11391405493936044</v>
      </c>
      <c r="CA69" s="44" t="str">
        <f t="shared" si="199"/>
        <v/>
      </c>
      <c r="CB69" s="44" t="str">
        <f t="shared" si="200"/>
        <v/>
      </c>
      <c r="CC69" s="44" t="str">
        <f t="shared" si="201"/>
        <v/>
      </c>
      <c r="CD69" s="44" t="str">
        <f t="shared" si="202"/>
        <v/>
      </c>
      <c r="CE69" s="44" t="str">
        <f t="shared" si="203"/>
        <v/>
      </c>
      <c r="CF69" s="44" t="str">
        <f t="shared" si="204"/>
        <v/>
      </c>
      <c r="CG69" s="44" t="str">
        <f t="shared" si="205"/>
        <v/>
      </c>
      <c r="CH69" s="44" t="str">
        <f t="shared" si="206"/>
        <v/>
      </c>
      <c r="CI69" s="44" t="str">
        <f t="shared" si="207"/>
        <v/>
      </c>
      <c r="CJ69" s="44" t="str">
        <f t="shared" si="208"/>
        <v/>
      </c>
      <c r="CK69" s="44" t="str">
        <f t="shared" si="209"/>
        <v/>
      </c>
      <c r="CL69" s="44" t="str">
        <f t="shared" si="210"/>
        <v/>
      </c>
      <c r="CM69" s="44" t="str">
        <f t="shared" si="211"/>
        <v/>
      </c>
      <c r="CN69" s="44" t="str">
        <f t="shared" si="212"/>
        <v/>
      </c>
      <c r="CO69" s="44" t="str">
        <f t="shared" si="213"/>
        <v/>
      </c>
      <c r="CP69" s="44" t="str">
        <f t="shared" si="214"/>
        <v/>
      </c>
      <c r="CQ69" s="44" t="str">
        <f t="shared" si="215"/>
        <v/>
      </c>
      <c r="CR69" s="44" t="str">
        <f t="shared" si="216"/>
        <v/>
      </c>
      <c r="CS69" s="44" t="str">
        <f t="shared" si="217"/>
        <v/>
      </c>
      <c r="CT69" s="44" t="str">
        <f t="shared" si="218"/>
        <v/>
      </c>
      <c r="CV69" s="44">
        <f t="shared" si="219"/>
        <v>0</v>
      </c>
    </row>
    <row r="70" spans="1:100" x14ac:dyDescent="0.25">
      <c r="A70" s="49"/>
      <c r="B70" s="50"/>
      <c r="C70" s="51" t="str" cm="1">
        <f t="array" ref="C70">IF(B70="","",INDEX(UWS!$B$10:$B$41,B70))</f>
        <v/>
      </c>
      <c r="D70" s="45" t="str">
        <f t="shared" si="176"/>
        <v/>
      </c>
      <c r="E70" s="70" t="str">
        <f t="shared" si="177"/>
        <v/>
      </c>
      <c r="F70" s="52" cm="1">
        <f t="array" ref="F70">0.1+IFERROR(INDEX($F$5:$F69,SUMPRODUCT(MAX(ROW($C$5:$C69)*($C70=$C$5:$C69))-ROW($A$4)))*0.9^($A70-INDEX($A$5:A69,SUMPRODUCT(MAX(ROW($C$5:$C69)*($C70=$C$5:$C69))-ROW($A$4)))),0)</f>
        <v>0.5</v>
      </c>
      <c r="G70" s="56" t="e">
        <f>INDEX(UWS!$AB$10:$AB$41,MATCH(C70,UWS!$B$10:$B$41,0))</f>
        <v>#N/A</v>
      </c>
      <c r="H70" s="52" t="e">
        <f>INDEX(UWS!$C$10:$C$41,MATCH(C70,UWS!$B$10:$B$41,0))</f>
        <v>#N/A</v>
      </c>
      <c r="I70" s="46">
        <f t="shared" si="178"/>
        <v>5</v>
      </c>
      <c r="J70" s="46" t="e">
        <f>INDEX(UWS!$E$10:$E$41,MATCH(C70,UWS!$B$10:$B$41,0))</f>
        <v>#N/A</v>
      </c>
      <c r="K70" s="46"/>
      <c r="L70" s="109" t="str" cm="1">
        <f t="array" ref="L70">IF(K70="","",INDEX(UWS!$B$10:$B$41,K70))</f>
        <v/>
      </c>
      <c r="M70" s="46"/>
      <c r="N70" s="109" t="str" cm="1">
        <f t="array" ref="N70">IF(M70="","",INDEX(UWS!$B$10:$B$41,M70))</f>
        <v/>
      </c>
      <c r="O70" s="47"/>
      <c r="P70" s="47">
        <f>IFERROR(INDEX(UWS!$G$10:$Z$41,MATCH($C70,UWS!$B$10:$B$41,0),MATCH(P$4,UWS!$G$3:$Z$3,0)),0)</f>
        <v>0</v>
      </c>
      <c r="Q70" s="47">
        <f>IFERROR(INDEX(UWS!$G$10:$Z$41,MATCH($C70,UWS!$B$10:$B$41,0),MATCH(Q$4,UWS!$G$3:$Z$3,0)),0)</f>
        <v>0</v>
      </c>
      <c r="R70" s="47">
        <f>IFERROR(INDEX(UWS!$G$10:$Z$41,MATCH($C70,UWS!$B$10:$B$41,0),MATCH(R$4,UWS!$G$3:$Z$3,0)),0)</f>
        <v>0</v>
      </c>
      <c r="S70" s="47">
        <f>IFERROR(INDEX(UWS!$G$10:$Z$41,MATCH($C70,UWS!$B$10:$B$41,0),MATCH(S$4,UWS!$G$3:$Z$3,0)),0)</f>
        <v>0</v>
      </c>
      <c r="T70" s="47">
        <f>IFERROR(INDEX(UWS!$G$10:$Z$41,MATCH($C70,UWS!$B$10:$B$41,0),MATCH(T$4,UWS!$G$3:$Z$3,0)),0)</f>
        <v>0</v>
      </c>
      <c r="U70" s="47">
        <f>IFERROR(INDEX(UWS!$G$10:$Z$41,MATCH($C70,UWS!$B$10:$B$41,0),MATCH(U$4,UWS!$G$3:$Z$3,0)),0)</f>
        <v>0</v>
      </c>
      <c r="V70" s="47">
        <f>IFERROR(INDEX(UWS!$G$10:$Z$41,MATCH($C70,UWS!$B$10:$B$41,0),MATCH(V$4,UWS!$G$3:$Z$3,0)),0)</f>
        <v>0</v>
      </c>
      <c r="W70" s="47">
        <f>IFERROR(INDEX(UWS!$G$10:$Z$41,MATCH($C70,UWS!$B$10:$B$41,0),MATCH(W$4,UWS!$G$3:$Z$3,0)),0)</f>
        <v>0</v>
      </c>
      <c r="X70" s="47">
        <f>IFERROR(INDEX(UWS!$G$10:$Z$41,MATCH($C70,UWS!$B$10:$B$41,0),MATCH(X$4,UWS!$G$3:$Z$3,0)),0)</f>
        <v>0</v>
      </c>
      <c r="Y70" s="47">
        <f>IFERROR(INDEX(UWS!$G$10:$Z$41,MATCH($C70,UWS!$B$10:$B$41,0),MATCH(Y$4,UWS!$G$3:$Z$3,0)),0)</f>
        <v>0</v>
      </c>
      <c r="Z70" s="47">
        <f>IFERROR(INDEX(UWS!$G$10:$Z$41,MATCH($C70,UWS!$B$10:$B$41,0),MATCH(Z$4,UWS!$G$3:$Z$3,0)),0)</f>
        <v>0</v>
      </c>
      <c r="AA70" s="47">
        <f>IFERROR(INDEX(UWS!$G$10:$Z$41,MATCH($C70,UWS!$B$10:$B$41,0),MATCH(AA$4,UWS!$G$3:$Z$3,0)),0)</f>
        <v>0</v>
      </c>
      <c r="AB70" s="47">
        <f>IFERROR(INDEX(UWS!$G$10:$Z$41,MATCH($C70,UWS!$B$10:$B$41,0),MATCH(AB$4,UWS!$G$3:$Z$3,0)),0)</f>
        <v>0</v>
      </c>
      <c r="AC70" s="47">
        <f>IFERROR(INDEX(UWS!$G$10:$Z$41,MATCH($C70,UWS!$B$10:$B$41,0),MATCH(AC$4,UWS!$G$3:$Z$3,0)),0)</f>
        <v>0</v>
      </c>
      <c r="AD70" s="47">
        <f>IFERROR(INDEX(UWS!$G$10:$Z$41,MATCH($C70,UWS!$B$10:$B$41,0),MATCH(AD$4,UWS!$G$3:$Z$3,0)),0)</f>
        <v>0</v>
      </c>
      <c r="AE70" s="47">
        <f>IFERROR(INDEX(UWS!$G$10:$Z$41,MATCH($C70,UWS!$B$10:$B$41,0),MATCH(AE$4,UWS!$G$3:$Z$3,0)),0)</f>
        <v>0</v>
      </c>
      <c r="AF70" s="47">
        <f>IFERROR(INDEX(UWS!$G$10:$Z$41,MATCH($C70,UWS!$B$10:$B$41,0),MATCH(AF$4,UWS!$G$3:$Z$3,0)),0)</f>
        <v>0</v>
      </c>
      <c r="AG70" s="47">
        <f>IFERROR(INDEX(UWS!$G$10:$Z$41,MATCH($C70,UWS!$B$10:$B$41,0),MATCH(AG$4,UWS!$G$3:$Z$3,0)),0)</f>
        <v>0</v>
      </c>
      <c r="AH70" s="47">
        <f>IFERROR(INDEX(UWS!$G$10:$Z$41,MATCH($C70,UWS!$B$10:$B$41,0),MATCH(AH$4,UWS!$G$3:$Z$3,0)),0)</f>
        <v>0</v>
      </c>
      <c r="AI70" s="47">
        <f>IFERROR(INDEX(UWS!$G$10:$Z$41,MATCH($C70,UWS!$B$10:$B$41,0),MATCH(AI$4,UWS!$G$3:$Z$3,0)),0)</f>
        <v>0</v>
      </c>
      <c r="AJ70" s="47"/>
      <c r="AK70" s="47" t="e">
        <f>IF(OR($J70=0,COUNTIFS($A$4:$A69,"&gt;="&amp;$A70-1,$A$4:$A69,"&lt;="&amp;$A70,$B$4:$B69,$B70)&gt;0,MIN(AK$1,IF($A70=$A69,AK69,1))-P70&lt;0),-1,MIN(1,IF($A70=$A69,AK69,1)-P70+$D$3))</f>
        <v>#N/A</v>
      </c>
      <c r="AL70" s="47" t="e">
        <f>IF(OR($J70=0,COUNTIFS($A$4:$A69,"&gt;="&amp;$A70-1,$A$4:$A69,"&lt;="&amp;$A70,$B$4:$B69,$B70)&gt;0,MIN(AL$1,IF($A70=$A69,AL69,1))-Q70&lt;0),-1,MIN(1,IF($A70=$A69,AL69,1)-Q70+$D$3))</f>
        <v>#N/A</v>
      </c>
      <c r="AM70" s="47" t="e">
        <f>IF(OR($J70=0,COUNTIFS($A$4:$A69,"&gt;="&amp;$A70-1,$A$4:$A69,"&lt;="&amp;$A70,$B$4:$B69,$B70)&gt;0,MIN(AM$1,IF($A70=$A69,AM69,1))-R70&lt;0),-1,MIN(1,IF($A70=$A69,AM69,1)-R70+$D$3))</f>
        <v>#N/A</v>
      </c>
      <c r="AN70" s="47" t="e">
        <f>IF(OR($J70=0,COUNTIFS($A$4:$A69,"&gt;="&amp;$A70-1,$A$4:$A69,"&lt;="&amp;$A70,$B$4:$B69,$B70)&gt;0,MIN(AN$1,IF($A70=$A69,AN69,1))-S70&lt;0),-1,MIN(1,IF($A70=$A69,AN69,1)-S70+$D$3))</f>
        <v>#N/A</v>
      </c>
      <c r="AO70" s="47" t="e">
        <f>IF(OR($J70=0,COUNTIFS($A$4:$A69,"&gt;="&amp;$A70-1,$A$4:$A69,"&lt;="&amp;$A70,$B$4:$B69,$B70)&gt;0,MIN(AO$1,IF($A70=$A69,AO69,1))-T70&lt;0),-1,MIN(1,IF($A70=$A69,AO69,1)-T70+$D$3))</f>
        <v>#N/A</v>
      </c>
      <c r="AP70" s="47" t="e">
        <f>IF(OR($J70=0,COUNTIFS($A$4:$A69,"&gt;="&amp;$A70-1,$A$4:$A69,"&lt;="&amp;$A70,$B$4:$B69,$B70)&gt;0,MIN(AP$1,IF($A70=$A69,AP69,1))-U70&lt;0),-1,MIN(1,IF($A70=$A69,AP69,1)-U70+$D$3))</f>
        <v>#N/A</v>
      </c>
      <c r="AQ70" s="47" t="e">
        <f>IF(OR($J70=0,COUNTIFS($A$4:$A69,"&gt;="&amp;$A70-1,$A$4:$A69,"&lt;="&amp;$A70,$B$4:$B69,$B70)&gt;0,MIN(AQ$1,IF($A70=$A69,AQ69,1))-V70&lt;0),-1,MIN(1,IF($A70=$A69,AQ69,1)-V70+$D$3))</f>
        <v>#N/A</v>
      </c>
      <c r="AR70" s="47" t="e">
        <f>IF(OR($J70=0,COUNTIFS($A$4:$A69,"&gt;="&amp;$A70-1,$A$4:$A69,"&lt;="&amp;$A70,$B$4:$B69,$B70)&gt;0,MIN(AR$1,IF($A70=$A69,AR69,1))-W70&lt;0),-1,MIN(1,IF($A70=$A69,AR69,1)-W70+$D$3))</f>
        <v>#N/A</v>
      </c>
      <c r="AS70" s="47" t="e">
        <f>IF(OR($J70=0,COUNTIFS($A$4:$A69,"&gt;="&amp;$A70-1,$A$4:$A69,"&lt;="&amp;$A70,$B$4:$B69,$B70)&gt;0,MIN(AS$1,IF($A70=$A69,AS69,1))-X70&lt;0),-1,MIN(1,IF($A70=$A69,AS69,1)-X70+$D$3))</f>
        <v>#N/A</v>
      </c>
      <c r="AT70" s="47" t="e">
        <f>IF(OR($J70=0,COUNTIFS($A$4:$A69,"&gt;="&amp;$A70-1,$A$4:$A69,"&lt;="&amp;$A70,$B$4:$B69,$B70)&gt;0,MIN(AT$1,IF($A70=$A69,AT69,1))-Y70&lt;0),-1,MIN(1,IF($A70=$A69,AT69,1)-Y70+$D$3))</f>
        <v>#N/A</v>
      </c>
      <c r="AU70" s="47" t="e">
        <f>IF(OR($J70=0,COUNTIFS($A$4:$A69,"&gt;="&amp;$A70-1,$A$4:$A69,"&lt;="&amp;$A70,$B$4:$B69,$B70)&gt;0,MIN(AU$1,IF($A70=$A69,AU69,1))-Z70&lt;0),-1,MIN(1,IF($A70=$A69,AU69,1)-Z70+$D$3))</f>
        <v>#N/A</v>
      </c>
      <c r="AV70" s="47" t="e">
        <f>IF(OR($J70=0,COUNTIFS($A$4:$A69,"&gt;="&amp;$A70-1,$A$4:$A69,"&lt;="&amp;$A70,$B$4:$B69,$B70)&gt;0,MIN(AV$1,IF($A70=$A69,AV69,1))-AA70&lt;0),-1,MIN(1,IF($A70=$A69,AV69,1)-AA70+$D$3))</f>
        <v>#N/A</v>
      </c>
      <c r="AW70" s="47" t="e">
        <f>IF(OR($J70=0,COUNTIFS($A$4:$A69,"&gt;="&amp;$A70-1,$A$4:$A69,"&lt;="&amp;$A70,$B$4:$B69,$B70)&gt;0,MIN(AW$1,IF($A70=$A69,AW69,1))-AB70&lt;0),-1,MIN(1,IF($A70=$A69,AW69,1)-AB70+$D$3))</f>
        <v>#N/A</v>
      </c>
      <c r="AX70" s="47" t="e">
        <f>IF(OR($J70=0,COUNTIFS($A$4:$A69,"&gt;="&amp;$A70-1,$A$4:$A69,"&lt;="&amp;$A70,$B$4:$B69,$B70)&gt;0,MIN(AX$1,IF($A70=$A69,AX69,1))-AC70&lt;0),-1,MIN(1,IF($A70=$A69,AX69,1)-AC70+$D$3))</f>
        <v>#N/A</v>
      </c>
      <c r="AY70" s="47" t="e">
        <f>IF(OR($J70=0,COUNTIFS($A$4:$A69,"&gt;="&amp;$A70-1,$A$4:$A69,"&lt;="&amp;$A70,$B$4:$B69,$B70)&gt;0,MIN(AY$1,IF($A70=$A69,AY69,1))-AD70&lt;0),-1,MIN(1,IF($A70=$A69,AY69,1)-AD70+$D$3))</f>
        <v>#N/A</v>
      </c>
      <c r="AZ70" s="47" t="e">
        <f>IF(OR($J70=0,COUNTIFS($A$4:$A69,"&gt;="&amp;$A70-1,$A$4:$A69,"&lt;="&amp;$A70,$B$4:$B69,$B70)&gt;0,MIN(AZ$1,IF($A70=$A69,AZ69,1))-AE70&lt;0),-1,MIN(1,IF($A70=$A69,AZ69,1)-AE70+$D$3))</f>
        <v>#N/A</v>
      </c>
      <c r="BA70" s="47" t="e">
        <f>IF(OR($J70=0,COUNTIFS($A$4:$A69,"&gt;="&amp;$A70-1,$A$4:$A69,"&lt;="&amp;$A70,$B$4:$B69,$B70)&gt;0,MIN(BA$1,IF($A70=$A69,BA69,1))-AF70&lt;0),-1,MIN(1,IF($A70=$A69,BA69,1)-AF70+$D$3))</f>
        <v>#N/A</v>
      </c>
      <c r="BB70" s="47" t="e">
        <f>IF(OR($J70=0,COUNTIFS($A$4:$A69,"&gt;="&amp;$A70-1,$A$4:$A69,"&lt;="&amp;$A70,$B$4:$B69,$B70)&gt;0,MIN(BB$1,IF($A70=$A69,BB69,1))-AG70&lt;0),-1,MIN(1,IF($A70=$A69,BB69,1)-AG70+$D$3))</f>
        <v>#N/A</v>
      </c>
      <c r="BC70" s="47" t="e">
        <f>IF(OR($J70=0,COUNTIFS($A$4:$A69,"&gt;="&amp;$A70-1,$A$4:$A69,"&lt;="&amp;$A70,$B$4:$B69,$B70)&gt;0,MIN(BC$1,IF($A70=$A69,BC69,1))-AH70&lt;0),-1,MIN(1,IF($A70=$A69,BC69,1)-AH70+$D$3))</f>
        <v>#N/A</v>
      </c>
      <c r="BD70" s="47" t="e">
        <f>IF(OR($J70=0,COUNTIFS($A$4:$A69,"&gt;="&amp;$A70-1,$A$4:$A69,"&lt;="&amp;$A70,$B$4:$B69,$B70)&gt;0,MIN(BD$1,IF($A70=$A69,BD69,1))-AI70&lt;0),-1,MIN(1,IF($A70=$A69,BD69,1)-AI70+$D$3))</f>
        <v>#N/A</v>
      </c>
      <c r="BE70" s="47"/>
      <c r="BF70" s="53">
        <f t="shared" si="179"/>
        <v>7.1789981732404612E-2</v>
      </c>
      <c r="BG70" s="53">
        <f t="shared" si="180"/>
        <v>0.17655182286758372</v>
      </c>
      <c r="BH70" s="53">
        <f t="shared" si="181"/>
        <v>0.18094704700631439</v>
      </c>
      <c r="BI70" s="53">
        <f t="shared" si="182"/>
        <v>0.16714483360693197</v>
      </c>
      <c r="BJ70" s="53">
        <f t="shared" si="183"/>
        <v>0.17276005358796784</v>
      </c>
      <c r="BK70" s="53">
        <f t="shared" si="184"/>
        <v>7.4189608358834785E-2</v>
      </c>
      <c r="BL70" s="53">
        <f t="shared" si="185"/>
        <v>4.0078393615613682E-2</v>
      </c>
      <c r="BM70" s="53">
        <f t="shared" si="186"/>
        <v>0.10195475320227371</v>
      </c>
      <c r="BN70" s="53">
        <f t="shared" si="187"/>
        <v>0.10604088921291292</v>
      </c>
      <c r="BO70" s="53">
        <f t="shared" si="188"/>
        <v>4.969478447508003E-2</v>
      </c>
      <c r="BP70" s="53">
        <f t="shared" si="189"/>
        <v>0.1670976055877981</v>
      </c>
      <c r="BQ70" s="53">
        <f t="shared" si="190"/>
        <v>4.5092726691071276E-2</v>
      </c>
      <c r="BR70" s="53">
        <f t="shared" si="191"/>
        <v>0.13321520253538807</v>
      </c>
      <c r="BS70" s="53">
        <f t="shared" si="192"/>
        <v>7.1844726508237686E-2</v>
      </c>
      <c r="BT70" s="53">
        <f t="shared" si="193"/>
        <v>0.28431160869413941</v>
      </c>
      <c r="BU70" s="53">
        <f t="shared" si="194"/>
        <v>0.27160313893577626</v>
      </c>
      <c r="BV70" s="53">
        <f t="shared" si="195"/>
        <v>0.2608386688412504</v>
      </c>
      <c r="BW70" s="53">
        <f t="shared" si="196"/>
        <v>0.17060284348295143</v>
      </c>
      <c r="BX70" s="53">
        <f t="shared" si="197"/>
        <v>0.12603828274512588</v>
      </c>
      <c r="BY70" s="53">
        <f t="shared" si="198"/>
        <v>0.10821835219239241</v>
      </c>
      <c r="BZ70" s="47"/>
      <c r="CA70" s="53" t="str">
        <f t="shared" si="199"/>
        <v/>
      </c>
      <c r="CB70" s="53" t="str">
        <f t="shared" si="200"/>
        <v/>
      </c>
      <c r="CC70" s="53" t="str">
        <f t="shared" si="201"/>
        <v/>
      </c>
      <c r="CD70" s="53" t="str">
        <f t="shared" si="202"/>
        <v/>
      </c>
      <c r="CE70" s="53" t="str">
        <f t="shared" si="203"/>
        <v/>
      </c>
      <c r="CF70" s="53" t="str">
        <f t="shared" si="204"/>
        <v/>
      </c>
      <c r="CG70" s="53" t="str">
        <f t="shared" si="205"/>
        <v/>
      </c>
      <c r="CH70" s="53" t="str">
        <f t="shared" si="206"/>
        <v/>
      </c>
      <c r="CI70" s="53" t="str">
        <f t="shared" si="207"/>
        <v/>
      </c>
      <c r="CJ70" s="53" t="str">
        <f t="shared" si="208"/>
        <v/>
      </c>
      <c r="CK70" s="53" t="str">
        <f t="shared" si="209"/>
        <v/>
      </c>
      <c r="CL70" s="53" t="str">
        <f t="shared" si="210"/>
        <v/>
      </c>
      <c r="CM70" s="53" t="str">
        <f t="shared" si="211"/>
        <v/>
      </c>
      <c r="CN70" s="53" t="str">
        <f t="shared" si="212"/>
        <v/>
      </c>
      <c r="CO70" s="53" t="str">
        <f t="shared" si="213"/>
        <v/>
      </c>
      <c r="CP70" s="53" t="str">
        <f t="shared" si="214"/>
        <v/>
      </c>
      <c r="CQ70" s="53" t="str">
        <f t="shared" si="215"/>
        <v/>
      </c>
      <c r="CR70" s="53" t="str">
        <f t="shared" si="216"/>
        <v/>
      </c>
      <c r="CS70" s="53" t="str">
        <f t="shared" si="217"/>
        <v/>
      </c>
      <c r="CT70" s="53" t="str">
        <f t="shared" si="218"/>
        <v/>
      </c>
      <c r="CU70" s="47"/>
      <c r="CV70" s="53">
        <f t="shared" si="219"/>
        <v>0</v>
      </c>
    </row>
    <row r="71" spans="1:100" x14ac:dyDescent="0.25">
      <c r="A71" s="41"/>
      <c r="B71" s="42"/>
      <c r="C71" s="43" t="str" cm="1">
        <f t="array" ref="C71">IF(B71="","",INDEX(UWS!$B$10:$B$41,B71))</f>
        <v/>
      </c>
      <c r="D71" s="40" t="str">
        <f t="shared" si="176"/>
        <v/>
      </c>
      <c r="E71" s="69" t="str">
        <f t="shared" si="177"/>
        <v/>
      </c>
      <c r="F71" s="48" cm="1">
        <f t="array" ref="F71">0.1+IFERROR(INDEX($F$5:$F70,SUMPRODUCT(MAX(ROW($C$5:$C70)*($C71=$C$5:$C70))-ROW($A$4)))*0.9^($A71-INDEX($A$5:A70,SUMPRODUCT(MAX(ROW($C$5:$C70)*($C71=$C$5:$C70))-ROW($A$4)))),0)</f>
        <v>0.6</v>
      </c>
      <c r="G71" s="55" t="e">
        <f>INDEX(UWS!$AB$10:$AB$41,MATCH(C71,UWS!$B$10:$B$41,0))</f>
        <v>#N/A</v>
      </c>
      <c r="H71" s="48" t="e">
        <f>INDEX(UWS!$C$10:$C$41,MATCH(C71,UWS!$B$10:$B$41,0))</f>
        <v>#N/A</v>
      </c>
      <c r="I71" s="82">
        <f t="shared" si="178"/>
        <v>5</v>
      </c>
      <c r="J71" s="27" t="e">
        <f>INDEX(UWS!$E$10:$E$41,MATCH(C71,UWS!$B$10:$B$41,0))</f>
        <v>#N/A</v>
      </c>
      <c r="L71" s="108" t="str" cm="1">
        <f t="array" ref="L71">IF(K71="","",INDEX(UWS!$B$10:$B$41,K71))</f>
        <v/>
      </c>
      <c r="N71" s="108" t="str" cm="1">
        <f t="array" ref="N71">IF(M71="","",INDEX(UWS!$B$10:$B$41,M71))</f>
        <v/>
      </c>
      <c r="P71">
        <f>IFERROR(INDEX(UWS!$G$10:$Z$41,MATCH($C71,UWS!$B$10:$B$41,0),MATCH(P$4,UWS!$G$3:$Z$3,0)),0)</f>
        <v>0</v>
      </c>
      <c r="Q71">
        <f>IFERROR(INDEX(UWS!$G$10:$Z$41,MATCH($C71,UWS!$B$10:$B$41,0),MATCH(Q$4,UWS!$G$3:$Z$3,0)),0)</f>
        <v>0</v>
      </c>
      <c r="R71">
        <f>IFERROR(INDEX(UWS!$G$10:$Z$41,MATCH($C71,UWS!$B$10:$B$41,0),MATCH(R$4,UWS!$G$3:$Z$3,0)),0)</f>
        <v>0</v>
      </c>
      <c r="S71">
        <f>IFERROR(INDEX(UWS!$G$10:$Z$41,MATCH($C71,UWS!$B$10:$B$41,0),MATCH(S$4,UWS!$G$3:$Z$3,0)),0)</f>
        <v>0</v>
      </c>
      <c r="T71">
        <f>IFERROR(INDEX(UWS!$G$10:$Z$41,MATCH($C71,UWS!$B$10:$B$41,0),MATCH(T$4,UWS!$G$3:$Z$3,0)),0)</f>
        <v>0</v>
      </c>
      <c r="U71">
        <f>IFERROR(INDEX(UWS!$G$10:$Z$41,MATCH($C71,UWS!$B$10:$B$41,0),MATCH(U$4,UWS!$G$3:$Z$3,0)),0)</f>
        <v>0</v>
      </c>
      <c r="V71">
        <f>IFERROR(INDEX(UWS!$G$10:$Z$41,MATCH($C71,UWS!$B$10:$B$41,0),MATCH(V$4,UWS!$G$3:$Z$3,0)),0)</f>
        <v>0</v>
      </c>
      <c r="W71">
        <f>IFERROR(INDEX(UWS!$G$10:$Z$41,MATCH($C71,UWS!$B$10:$B$41,0),MATCH(W$4,UWS!$G$3:$Z$3,0)),0)</f>
        <v>0</v>
      </c>
      <c r="X71">
        <f>IFERROR(INDEX(UWS!$G$10:$Z$41,MATCH($C71,UWS!$B$10:$B$41,0),MATCH(X$4,UWS!$G$3:$Z$3,0)),0)</f>
        <v>0</v>
      </c>
      <c r="Y71">
        <f>IFERROR(INDEX(UWS!$G$10:$Z$41,MATCH($C71,UWS!$B$10:$B$41,0),MATCH(Y$4,UWS!$G$3:$Z$3,0)),0)</f>
        <v>0</v>
      </c>
      <c r="Z71">
        <f>IFERROR(INDEX(UWS!$G$10:$Z$41,MATCH($C71,UWS!$B$10:$B$41,0),MATCH(Z$4,UWS!$G$3:$Z$3,0)),0)</f>
        <v>0</v>
      </c>
      <c r="AA71">
        <f>IFERROR(INDEX(UWS!$G$10:$Z$41,MATCH($C71,UWS!$B$10:$B$41,0),MATCH(AA$4,UWS!$G$3:$Z$3,0)),0)</f>
        <v>0</v>
      </c>
      <c r="AB71">
        <f>IFERROR(INDEX(UWS!$G$10:$Z$41,MATCH($C71,UWS!$B$10:$B$41,0),MATCH(AB$4,UWS!$G$3:$Z$3,0)),0)</f>
        <v>0</v>
      </c>
      <c r="AC71">
        <f>IFERROR(INDEX(UWS!$G$10:$Z$41,MATCH($C71,UWS!$B$10:$B$41,0),MATCH(AC$4,UWS!$G$3:$Z$3,0)),0)</f>
        <v>0</v>
      </c>
      <c r="AD71">
        <f>IFERROR(INDEX(UWS!$G$10:$Z$41,MATCH($C71,UWS!$B$10:$B$41,0),MATCH(AD$4,UWS!$G$3:$Z$3,0)),0)</f>
        <v>0</v>
      </c>
      <c r="AE71">
        <f>IFERROR(INDEX(UWS!$G$10:$Z$41,MATCH($C71,UWS!$B$10:$B$41,0),MATCH(AE$4,UWS!$G$3:$Z$3,0)),0)</f>
        <v>0</v>
      </c>
      <c r="AF71">
        <f>IFERROR(INDEX(UWS!$G$10:$Z$41,MATCH($C71,UWS!$B$10:$B$41,0),MATCH(AF$4,UWS!$G$3:$Z$3,0)),0)</f>
        <v>0</v>
      </c>
      <c r="AG71">
        <f>IFERROR(INDEX(UWS!$G$10:$Z$41,MATCH($C71,UWS!$B$10:$B$41,0),MATCH(AG$4,UWS!$G$3:$Z$3,0)),0)</f>
        <v>0</v>
      </c>
      <c r="AH71">
        <f>IFERROR(INDEX(UWS!$G$10:$Z$41,MATCH($C71,UWS!$B$10:$B$41,0),MATCH(AH$4,UWS!$G$3:$Z$3,0)),0)</f>
        <v>0</v>
      </c>
      <c r="AI71">
        <f>IFERROR(INDEX(UWS!$G$10:$Z$41,MATCH($C71,UWS!$B$10:$B$41,0),MATCH(AI$4,UWS!$G$3:$Z$3,0)),0)</f>
        <v>0</v>
      </c>
      <c r="AK71" t="e">
        <f>IF(OR($J71=0,COUNTIFS($A$4:$A70,"&gt;="&amp;$A71-1,$A$4:$A70,"&lt;="&amp;$A71,$B$4:$B70,$B71)&gt;0,MIN(AK$1,IF($A71=$A70,AK70,1))-P71&lt;0),-1,MIN(1,IF($A71=$A70,AK70,1)-P71+$D$3))</f>
        <v>#N/A</v>
      </c>
      <c r="AL71" t="e">
        <f>IF(OR($J71=0,COUNTIFS($A$4:$A70,"&gt;="&amp;$A71-1,$A$4:$A70,"&lt;="&amp;$A71,$B$4:$B70,$B71)&gt;0,MIN(AL$1,IF($A71=$A70,AL70,1))-Q71&lt;0),-1,MIN(1,IF($A71=$A70,AL70,1)-Q71+$D$3))</f>
        <v>#N/A</v>
      </c>
      <c r="AM71" t="e">
        <f>IF(OR($J71=0,COUNTIFS($A$4:$A70,"&gt;="&amp;$A71-1,$A$4:$A70,"&lt;="&amp;$A71,$B$4:$B70,$B71)&gt;0,MIN(AM$1,IF($A71=$A70,AM70,1))-R71&lt;0),-1,MIN(1,IF($A71=$A70,AM70,1)-R71+$D$3))</f>
        <v>#N/A</v>
      </c>
      <c r="AN71" t="e">
        <f>IF(OR($J71=0,COUNTIFS($A$4:$A70,"&gt;="&amp;$A71-1,$A$4:$A70,"&lt;="&amp;$A71,$B$4:$B70,$B71)&gt;0,MIN(AN$1,IF($A71=$A70,AN70,1))-S71&lt;0),-1,MIN(1,IF($A71=$A70,AN70,1)-S71+$D$3))</f>
        <v>#N/A</v>
      </c>
      <c r="AO71" t="e">
        <f>IF(OR($J71=0,COUNTIFS($A$4:$A70,"&gt;="&amp;$A71-1,$A$4:$A70,"&lt;="&amp;$A71,$B$4:$B70,$B71)&gt;0,MIN(AO$1,IF($A71=$A70,AO70,1))-T71&lt;0),-1,MIN(1,IF($A71=$A70,AO70,1)-T71+$D$3))</f>
        <v>#N/A</v>
      </c>
      <c r="AP71" t="e">
        <f>IF(OR($J71=0,COUNTIFS($A$4:$A70,"&gt;="&amp;$A71-1,$A$4:$A70,"&lt;="&amp;$A71,$B$4:$B70,$B71)&gt;0,MIN(AP$1,IF($A71=$A70,AP70,1))-U71&lt;0),-1,MIN(1,IF($A71=$A70,AP70,1)-U71+$D$3))</f>
        <v>#N/A</v>
      </c>
      <c r="AQ71" t="e">
        <f>IF(OR($J71=0,COUNTIFS($A$4:$A70,"&gt;="&amp;$A71-1,$A$4:$A70,"&lt;="&amp;$A71,$B$4:$B70,$B71)&gt;0,MIN(AQ$1,IF($A71=$A70,AQ70,1))-V71&lt;0),-1,MIN(1,IF($A71=$A70,AQ70,1)-V71+$D$3))</f>
        <v>#N/A</v>
      </c>
      <c r="AR71" t="e">
        <f>IF(OR($J71=0,COUNTIFS($A$4:$A70,"&gt;="&amp;$A71-1,$A$4:$A70,"&lt;="&amp;$A71,$B$4:$B70,$B71)&gt;0,MIN(AR$1,IF($A71=$A70,AR70,1))-W71&lt;0),-1,MIN(1,IF($A71=$A70,AR70,1)-W71+$D$3))</f>
        <v>#N/A</v>
      </c>
      <c r="AS71" t="e">
        <f>IF(OR($J71=0,COUNTIFS($A$4:$A70,"&gt;="&amp;$A71-1,$A$4:$A70,"&lt;="&amp;$A71,$B$4:$B70,$B71)&gt;0,MIN(AS$1,IF($A71=$A70,AS70,1))-X71&lt;0),-1,MIN(1,IF($A71=$A70,AS70,1)-X71+$D$3))</f>
        <v>#N/A</v>
      </c>
      <c r="AT71" t="e">
        <f>IF(OR($J71=0,COUNTIFS($A$4:$A70,"&gt;="&amp;$A71-1,$A$4:$A70,"&lt;="&amp;$A71,$B$4:$B70,$B71)&gt;0,MIN(AT$1,IF($A71=$A70,AT70,1))-Y71&lt;0),-1,MIN(1,IF($A71=$A70,AT70,1)-Y71+$D$3))</f>
        <v>#N/A</v>
      </c>
      <c r="AU71" t="e">
        <f>IF(OR($J71=0,COUNTIFS($A$4:$A70,"&gt;="&amp;$A71-1,$A$4:$A70,"&lt;="&amp;$A71,$B$4:$B70,$B71)&gt;0,MIN(AU$1,IF($A71=$A70,AU70,1))-Z71&lt;0),-1,MIN(1,IF($A71=$A70,AU70,1)-Z71+$D$3))</f>
        <v>#N/A</v>
      </c>
      <c r="AV71" t="e">
        <f>IF(OR($J71=0,COUNTIFS($A$4:$A70,"&gt;="&amp;$A71-1,$A$4:$A70,"&lt;="&amp;$A71,$B$4:$B70,$B71)&gt;0,MIN(AV$1,IF($A71=$A70,AV70,1))-AA71&lt;0),-1,MIN(1,IF($A71=$A70,AV70,1)-AA71+$D$3))</f>
        <v>#N/A</v>
      </c>
      <c r="AW71" t="e">
        <f>IF(OR($J71=0,COUNTIFS($A$4:$A70,"&gt;="&amp;$A71-1,$A$4:$A70,"&lt;="&amp;$A71,$B$4:$B70,$B71)&gt;0,MIN(AW$1,IF($A71=$A70,AW70,1))-AB71&lt;0),-1,MIN(1,IF($A71=$A70,AW70,1)-AB71+$D$3))</f>
        <v>#N/A</v>
      </c>
      <c r="AX71" t="e">
        <f>IF(OR($J71=0,COUNTIFS($A$4:$A70,"&gt;="&amp;$A71-1,$A$4:$A70,"&lt;="&amp;$A71,$B$4:$B70,$B71)&gt;0,MIN(AX$1,IF($A71=$A70,AX70,1))-AC71&lt;0),-1,MIN(1,IF($A71=$A70,AX70,1)-AC71+$D$3))</f>
        <v>#N/A</v>
      </c>
      <c r="AY71" t="e">
        <f>IF(OR($J71=0,COUNTIFS($A$4:$A70,"&gt;="&amp;$A71-1,$A$4:$A70,"&lt;="&amp;$A71,$B$4:$B70,$B71)&gt;0,MIN(AY$1,IF($A71=$A70,AY70,1))-AD71&lt;0),-1,MIN(1,IF($A71=$A70,AY70,1)-AD71+$D$3))</f>
        <v>#N/A</v>
      </c>
      <c r="AZ71" t="e">
        <f>IF(OR($J71=0,COUNTIFS($A$4:$A70,"&gt;="&amp;$A71-1,$A$4:$A70,"&lt;="&amp;$A71,$B$4:$B70,$B71)&gt;0,MIN(AZ$1,IF($A71=$A70,AZ70,1))-AE71&lt;0),-1,MIN(1,IF($A71=$A70,AZ70,1)-AE71+$D$3))</f>
        <v>#N/A</v>
      </c>
      <c r="BA71" t="e">
        <f>IF(OR($J71=0,COUNTIFS($A$4:$A70,"&gt;="&amp;$A71-1,$A$4:$A70,"&lt;="&amp;$A71,$B$4:$B70,$B71)&gt;0,MIN(BA$1,IF($A71=$A70,BA70,1))-AF71&lt;0),-1,MIN(1,IF($A71=$A70,BA70,1)-AF71+$D$3))</f>
        <v>#N/A</v>
      </c>
      <c r="BB71" t="e">
        <f>IF(OR($J71=0,COUNTIFS($A$4:$A70,"&gt;="&amp;$A71-1,$A$4:$A70,"&lt;="&amp;$A71,$B$4:$B70,$B71)&gt;0,MIN(BB$1,IF($A71=$A70,BB70,1))-AG71&lt;0),-1,MIN(1,IF($A71=$A70,BB70,1)-AG71+$D$3))</f>
        <v>#N/A</v>
      </c>
      <c r="BC71" t="e">
        <f>IF(OR($J71=0,COUNTIFS($A$4:$A70,"&gt;="&amp;$A71-1,$A$4:$A70,"&lt;="&amp;$A71,$B$4:$B70,$B71)&gt;0,MIN(BC$1,IF($A71=$A70,BC70,1))-AH71&lt;0),-1,MIN(1,IF($A71=$A70,BC70,1)-AH71+$D$3))</f>
        <v>#N/A</v>
      </c>
      <c r="BD71" t="e">
        <f>IF(OR($J71=0,COUNTIFS($A$4:$A70,"&gt;="&amp;$A71-1,$A$4:$A70,"&lt;="&amp;$A71,$B$4:$B70,$B71)&gt;0,MIN(BD$1,IF($A71=$A70,BD70,1))-AI71&lt;0),-1,MIN(1,IF($A71=$A70,BD70,1)-AI71+$D$3))</f>
        <v>#N/A</v>
      </c>
      <c r="BF71" s="44">
        <f t="shared" si="179"/>
        <v>6.8200482645784377E-2</v>
      </c>
      <c r="BG71" s="44">
        <f t="shared" si="180"/>
        <v>0.16772423172420453</v>
      </c>
      <c r="BH71" s="44">
        <f t="shared" si="181"/>
        <v>0.17189969465599866</v>
      </c>
      <c r="BI71" s="44">
        <f t="shared" si="182"/>
        <v>0.15878759192658537</v>
      </c>
      <c r="BJ71" s="44">
        <f t="shared" si="183"/>
        <v>0.16412205090856943</v>
      </c>
      <c r="BK71" s="44">
        <f t="shared" si="184"/>
        <v>7.0480127940893048E-2</v>
      </c>
      <c r="BL71" s="44">
        <f t="shared" si="185"/>
        <v>3.8074473934832993E-2</v>
      </c>
      <c r="BM71" s="44">
        <f t="shared" si="186"/>
        <v>9.6857015542160016E-2</v>
      </c>
      <c r="BN71" s="44">
        <f t="shared" si="187"/>
        <v>0.10073884475226727</v>
      </c>
      <c r="BO71" s="44">
        <f t="shared" si="188"/>
        <v>4.7210045251326029E-2</v>
      </c>
      <c r="BP71" s="44">
        <f t="shared" si="189"/>
        <v>0.15874272530840819</v>
      </c>
      <c r="BQ71" s="44">
        <f t="shared" si="190"/>
        <v>4.2838090356517713E-2</v>
      </c>
      <c r="BR71" s="44">
        <f t="shared" si="191"/>
        <v>0.12655444240861866</v>
      </c>
      <c r="BS71" s="44">
        <f t="shared" si="192"/>
        <v>6.8252490182825795E-2</v>
      </c>
      <c r="BT71" s="44">
        <f t="shared" si="193"/>
        <v>0.27009602825943241</v>
      </c>
      <c r="BU71" s="44">
        <f t="shared" si="194"/>
        <v>0.25802298198898743</v>
      </c>
      <c r="BV71" s="44">
        <f t="shared" si="195"/>
        <v>0.24779673539918787</v>
      </c>
      <c r="BW71" s="44">
        <f t="shared" si="196"/>
        <v>0.16207270130880386</v>
      </c>
      <c r="BX71" s="44">
        <f t="shared" si="197"/>
        <v>0.11973636860786958</v>
      </c>
      <c r="BY71" s="44">
        <f t="shared" si="198"/>
        <v>0.10280743458277279</v>
      </c>
      <c r="CA71" s="44" t="str">
        <f t="shared" si="199"/>
        <v/>
      </c>
      <c r="CB71" s="44" t="str">
        <f t="shared" si="200"/>
        <v/>
      </c>
      <c r="CC71" s="44" t="str">
        <f t="shared" si="201"/>
        <v/>
      </c>
      <c r="CD71" s="44" t="str">
        <f t="shared" si="202"/>
        <v/>
      </c>
      <c r="CE71" s="44" t="str">
        <f t="shared" si="203"/>
        <v/>
      </c>
      <c r="CF71" s="44" t="str">
        <f t="shared" si="204"/>
        <v/>
      </c>
      <c r="CG71" s="44" t="str">
        <f t="shared" si="205"/>
        <v/>
      </c>
      <c r="CH71" s="44" t="str">
        <f t="shared" si="206"/>
        <v/>
      </c>
      <c r="CI71" s="44" t="str">
        <f t="shared" si="207"/>
        <v/>
      </c>
      <c r="CJ71" s="44" t="str">
        <f t="shared" si="208"/>
        <v/>
      </c>
      <c r="CK71" s="44" t="str">
        <f t="shared" si="209"/>
        <v/>
      </c>
      <c r="CL71" s="44" t="str">
        <f t="shared" si="210"/>
        <v/>
      </c>
      <c r="CM71" s="44" t="str">
        <f t="shared" si="211"/>
        <v/>
      </c>
      <c r="CN71" s="44" t="str">
        <f t="shared" si="212"/>
        <v/>
      </c>
      <c r="CO71" s="44" t="str">
        <f t="shared" si="213"/>
        <v/>
      </c>
      <c r="CP71" s="44" t="str">
        <f t="shared" si="214"/>
        <v/>
      </c>
      <c r="CQ71" s="44" t="str">
        <f t="shared" si="215"/>
        <v/>
      </c>
      <c r="CR71" s="44" t="str">
        <f t="shared" si="216"/>
        <v/>
      </c>
      <c r="CS71" s="44" t="str">
        <f t="shared" si="217"/>
        <v/>
      </c>
      <c r="CT71" s="44" t="str">
        <f t="shared" si="218"/>
        <v/>
      </c>
      <c r="CV71" s="44">
        <f t="shared" si="219"/>
        <v>0</v>
      </c>
    </row>
    <row r="72" spans="1:100" x14ac:dyDescent="0.25">
      <c r="A72" s="41"/>
      <c r="B72" s="42"/>
      <c r="C72" s="43" t="str" cm="1">
        <f t="array" ref="C72">IF(B72="","",INDEX(UWS!$B$10:$B$41,B72))</f>
        <v/>
      </c>
      <c r="D72" s="40" t="str">
        <f t="shared" si="176"/>
        <v/>
      </c>
      <c r="E72" s="69" t="str">
        <f t="shared" si="177"/>
        <v/>
      </c>
      <c r="F72" s="48" cm="1">
        <f t="array" ref="F72">0.1+IFERROR(INDEX($F$5:$F71,SUMPRODUCT(MAX(ROW($C$5:$C71)*($C72=$C$5:$C71))-ROW($A$4)))*0.9^($A72-INDEX($A$5:A71,SUMPRODUCT(MAX(ROW($C$5:$C71)*($C72=$C$5:$C71))-ROW($A$4)))),0)</f>
        <v>0.7</v>
      </c>
      <c r="G72" s="55" t="e">
        <f>INDEX(UWS!$AB$10:$AB$41,MATCH(C72,UWS!$B$10:$B$41,0))</f>
        <v>#N/A</v>
      </c>
      <c r="H72" s="48" t="e">
        <f>INDEX(UWS!$C$10:$C$41,MATCH(C72,UWS!$B$10:$B$41,0))</f>
        <v>#N/A</v>
      </c>
      <c r="I72" s="27">
        <f t="shared" si="178"/>
        <v>5</v>
      </c>
      <c r="J72" s="27" t="e">
        <f>INDEX(UWS!$E$10:$E$41,MATCH(C72,UWS!$B$10:$B$41,0))</f>
        <v>#N/A</v>
      </c>
      <c r="L72" s="108" t="str" cm="1">
        <f t="array" ref="L72">IF(K72="","",INDEX(UWS!$B$10:$B$41,K72))</f>
        <v/>
      </c>
      <c r="N72" s="108" t="str" cm="1">
        <f t="array" ref="N72">IF(M72="","",INDEX(UWS!$B$10:$B$41,M72))</f>
        <v/>
      </c>
      <c r="P72">
        <f>IFERROR(INDEX(UWS!$G$10:$Z$41,MATCH($C72,UWS!$B$10:$B$41,0),MATCH(P$4,UWS!$G$3:$Z$3,0)),0)</f>
        <v>0</v>
      </c>
      <c r="Q72">
        <f>IFERROR(INDEX(UWS!$G$10:$Z$41,MATCH($C72,UWS!$B$10:$B$41,0),MATCH(Q$4,UWS!$G$3:$Z$3,0)),0)</f>
        <v>0</v>
      </c>
      <c r="R72">
        <f>IFERROR(INDEX(UWS!$G$10:$Z$41,MATCH($C72,UWS!$B$10:$B$41,0),MATCH(R$4,UWS!$G$3:$Z$3,0)),0)</f>
        <v>0</v>
      </c>
      <c r="S72">
        <f>IFERROR(INDEX(UWS!$G$10:$Z$41,MATCH($C72,UWS!$B$10:$B$41,0),MATCH(S$4,UWS!$G$3:$Z$3,0)),0)</f>
        <v>0</v>
      </c>
      <c r="T72">
        <f>IFERROR(INDEX(UWS!$G$10:$Z$41,MATCH($C72,UWS!$B$10:$B$41,0),MATCH(T$4,UWS!$G$3:$Z$3,0)),0)</f>
        <v>0</v>
      </c>
      <c r="U72">
        <f>IFERROR(INDEX(UWS!$G$10:$Z$41,MATCH($C72,UWS!$B$10:$B$41,0),MATCH(U$4,UWS!$G$3:$Z$3,0)),0)</f>
        <v>0</v>
      </c>
      <c r="V72">
        <f>IFERROR(INDEX(UWS!$G$10:$Z$41,MATCH($C72,UWS!$B$10:$B$41,0),MATCH(V$4,UWS!$G$3:$Z$3,0)),0)</f>
        <v>0</v>
      </c>
      <c r="W72">
        <f>IFERROR(INDEX(UWS!$G$10:$Z$41,MATCH($C72,UWS!$B$10:$B$41,0),MATCH(W$4,UWS!$G$3:$Z$3,0)),0)</f>
        <v>0</v>
      </c>
      <c r="X72">
        <f>IFERROR(INDEX(UWS!$G$10:$Z$41,MATCH($C72,UWS!$B$10:$B$41,0),MATCH(X$4,UWS!$G$3:$Z$3,0)),0)</f>
        <v>0</v>
      </c>
      <c r="Y72">
        <f>IFERROR(INDEX(UWS!$G$10:$Z$41,MATCH($C72,UWS!$B$10:$B$41,0),MATCH(Y$4,UWS!$G$3:$Z$3,0)),0)</f>
        <v>0</v>
      </c>
      <c r="Z72">
        <f>IFERROR(INDEX(UWS!$G$10:$Z$41,MATCH($C72,UWS!$B$10:$B$41,0),MATCH(Z$4,UWS!$G$3:$Z$3,0)),0)</f>
        <v>0</v>
      </c>
      <c r="AA72">
        <f>IFERROR(INDEX(UWS!$G$10:$Z$41,MATCH($C72,UWS!$B$10:$B$41,0),MATCH(AA$4,UWS!$G$3:$Z$3,0)),0)</f>
        <v>0</v>
      </c>
      <c r="AB72">
        <f>IFERROR(INDEX(UWS!$G$10:$Z$41,MATCH($C72,UWS!$B$10:$B$41,0),MATCH(AB$4,UWS!$G$3:$Z$3,0)),0)</f>
        <v>0</v>
      </c>
      <c r="AC72">
        <f>IFERROR(INDEX(UWS!$G$10:$Z$41,MATCH($C72,UWS!$B$10:$B$41,0),MATCH(AC$4,UWS!$G$3:$Z$3,0)),0)</f>
        <v>0</v>
      </c>
      <c r="AD72">
        <f>IFERROR(INDEX(UWS!$G$10:$Z$41,MATCH($C72,UWS!$B$10:$B$41,0),MATCH(AD$4,UWS!$G$3:$Z$3,0)),0)</f>
        <v>0</v>
      </c>
      <c r="AE72">
        <f>IFERROR(INDEX(UWS!$G$10:$Z$41,MATCH($C72,UWS!$B$10:$B$41,0),MATCH(AE$4,UWS!$G$3:$Z$3,0)),0)</f>
        <v>0</v>
      </c>
      <c r="AF72">
        <f>IFERROR(INDEX(UWS!$G$10:$Z$41,MATCH($C72,UWS!$B$10:$B$41,0),MATCH(AF$4,UWS!$G$3:$Z$3,0)),0)</f>
        <v>0</v>
      </c>
      <c r="AG72">
        <f>IFERROR(INDEX(UWS!$G$10:$Z$41,MATCH($C72,UWS!$B$10:$B$41,0),MATCH(AG$4,UWS!$G$3:$Z$3,0)),0)</f>
        <v>0</v>
      </c>
      <c r="AH72">
        <f>IFERROR(INDEX(UWS!$G$10:$Z$41,MATCH($C72,UWS!$B$10:$B$41,0),MATCH(AH$4,UWS!$G$3:$Z$3,0)),0)</f>
        <v>0</v>
      </c>
      <c r="AI72">
        <f>IFERROR(INDEX(UWS!$G$10:$Z$41,MATCH($C72,UWS!$B$10:$B$41,0),MATCH(AI$4,UWS!$G$3:$Z$3,0)),0)</f>
        <v>0</v>
      </c>
      <c r="AK72" t="e">
        <f>IF(OR($J72=0,COUNTIFS($A$4:$A71,"&gt;="&amp;$A72-1,$A$4:$A71,"&lt;="&amp;$A72,$B$4:$B71,$B72)&gt;0,MIN(AK$1,IF($A72=$A71,AK71,1))-P72&lt;0),-1,MIN(1,IF($A72=$A71,AK71,1)-P72+$D$3))</f>
        <v>#N/A</v>
      </c>
      <c r="AL72" t="e">
        <f>IF(OR($J72=0,COUNTIFS($A$4:$A71,"&gt;="&amp;$A72-1,$A$4:$A71,"&lt;="&amp;$A72,$B$4:$B71,$B72)&gt;0,MIN(AL$1,IF($A72=$A71,AL71,1))-Q72&lt;0),-1,MIN(1,IF($A72=$A71,AL71,1)-Q72+$D$3))</f>
        <v>#N/A</v>
      </c>
      <c r="AM72" t="e">
        <f>IF(OR($J72=0,COUNTIFS($A$4:$A71,"&gt;="&amp;$A72-1,$A$4:$A71,"&lt;="&amp;$A72,$B$4:$B71,$B72)&gt;0,MIN(AM$1,IF($A72=$A71,AM71,1))-R72&lt;0),-1,MIN(1,IF($A72=$A71,AM71,1)-R72+$D$3))</f>
        <v>#N/A</v>
      </c>
      <c r="AN72" t="e">
        <f>IF(OR($J72=0,COUNTIFS($A$4:$A71,"&gt;="&amp;$A72-1,$A$4:$A71,"&lt;="&amp;$A72,$B$4:$B71,$B72)&gt;0,MIN(AN$1,IF($A72=$A71,AN71,1))-S72&lt;0),-1,MIN(1,IF($A72=$A71,AN71,1)-S72+$D$3))</f>
        <v>#N/A</v>
      </c>
      <c r="AO72" t="e">
        <f>IF(OR($J72=0,COUNTIFS($A$4:$A71,"&gt;="&amp;$A72-1,$A$4:$A71,"&lt;="&amp;$A72,$B$4:$B71,$B72)&gt;0,MIN(AO$1,IF($A72=$A71,AO71,1))-T72&lt;0),-1,MIN(1,IF($A72=$A71,AO71,1)-T72+$D$3))</f>
        <v>#N/A</v>
      </c>
      <c r="AP72" t="e">
        <f>IF(OR($J72=0,COUNTIFS($A$4:$A71,"&gt;="&amp;$A72-1,$A$4:$A71,"&lt;="&amp;$A72,$B$4:$B71,$B72)&gt;0,MIN(AP$1,IF($A72=$A71,AP71,1))-U72&lt;0),-1,MIN(1,IF($A72=$A71,AP71,1)-U72+$D$3))</f>
        <v>#N/A</v>
      </c>
      <c r="AQ72" t="e">
        <f>IF(OR($J72=0,COUNTIFS($A$4:$A71,"&gt;="&amp;$A72-1,$A$4:$A71,"&lt;="&amp;$A72,$B$4:$B71,$B72)&gt;0,MIN(AQ$1,IF($A72=$A71,AQ71,1))-V72&lt;0),-1,MIN(1,IF($A72=$A71,AQ71,1)-V72+$D$3))</f>
        <v>#N/A</v>
      </c>
      <c r="AR72" t="e">
        <f>IF(OR($J72=0,COUNTIFS($A$4:$A71,"&gt;="&amp;$A72-1,$A$4:$A71,"&lt;="&amp;$A72,$B$4:$B71,$B72)&gt;0,MIN(AR$1,IF($A72=$A71,AR71,1))-W72&lt;0),-1,MIN(1,IF($A72=$A71,AR71,1)-W72+$D$3))</f>
        <v>#N/A</v>
      </c>
      <c r="AS72" t="e">
        <f>IF(OR($J72=0,COUNTIFS($A$4:$A71,"&gt;="&amp;$A72-1,$A$4:$A71,"&lt;="&amp;$A72,$B$4:$B71,$B72)&gt;0,MIN(AS$1,IF($A72=$A71,AS71,1))-X72&lt;0),-1,MIN(1,IF($A72=$A71,AS71,1)-X72+$D$3))</f>
        <v>#N/A</v>
      </c>
      <c r="AT72" t="e">
        <f>IF(OR($J72=0,COUNTIFS($A$4:$A71,"&gt;="&amp;$A72-1,$A$4:$A71,"&lt;="&amp;$A72,$B$4:$B71,$B72)&gt;0,MIN(AT$1,IF($A72=$A71,AT71,1))-Y72&lt;0),-1,MIN(1,IF($A72=$A71,AT71,1)-Y72+$D$3))</f>
        <v>#N/A</v>
      </c>
      <c r="AU72" t="e">
        <f>IF(OR($J72=0,COUNTIFS($A$4:$A71,"&gt;="&amp;$A72-1,$A$4:$A71,"&lt;="&amp;$A72,$B$4:$B71,$B72)&gt;0,MIN(AU$1,IF($A72=$A71,AU71,1))-Z72&lt;0),-1,MIN(1,IF($A72=$A71,AU71,1)-Z72+$D$3))</f>
        <v>#N/A</v>
      </c>
      <c r="AV72" t="e">
        <f>IF(OR($J72=0,COUNTIFS($A$4:$A71,"&gt;="&amp;$A72-1,$A$4:$A71,"&lt;="&amp;$A72,$B$4:$B71,$B72)&gt;0,MIN(AV$1,IF($A72=$A71,AV71,1))-AA72&lt;0),-1,MIN(1,IF($A72=$A71,AV71,1)-AA72+$D$3))</f>
        <v>#N/A</v>
      </c>
      <c r="AW72" t="e">
        <f>IF(OR($J72=0,COUNTIFS($A$4:$A71,"&gt;="&amp;$A72-1,$A$4:$A71,"&lt;="&amp;$A72,$B$4:$B71,$B72)&gt;0,MIN(AW$1,IF($A72=$A71,AW71,1))-AB72&lt;0),-1,MIN(1,IF($A72=$A71,AW71,1)-AB72+$D$3))</f>
        <v>#N/A</v>
      </c>
      <c r="AX72" t="e">
        <f>IF(OR($J72=0,COUNTIFS($A$4:$A71,"&gt;="&amp;$A72-1,$A$4:$A71,"&lt;="&amp;$A72,$B$4:$B71,$B72)&gt;0,MIN(AX$1,IF($A72=$A71,AX71,1))-AC72&lt;0),-1,MIN(1,IF($A72=$A71,AX71,1)-AC72+$D$3))</f>
        <v>#N/A</v>
      </c>
      <c r="AY72" t="e">
        <f>IF(OR($J72=0,COUNTIFS($A$4:$A71,"&gt;="&amp;$A72-1,$A$4:$A71,"&lt;="&amp;$A72,$B$4:$B71,$B72)&gt;0,MIN(AY$1,IF($A72=$A71,AY71,1))-AD72&lt;0),-1,MIN(1,IF($A72=$A71,AY71,1)-AD72+$D$3))</f>
        <v>#N/A</v>
      </c>
      <c r="AZ72" t="e">
        <f>IF(OR($J72=0,COUNTIFS($A$4:$A71,"&gt;="&amp;$A72-1,$A$4:$A71,"&lt;="&amp;$A72,$B$4:$B71,$B72)&gt;0,MIN(AZ$1,IF($A72=$A71,AZ71,1))-AE72&lt;0),-1,MIN(1,IF($A72=$A71,AZ71,1)-AE72+$D$3))</f>
        <v>#N/A</v>
      </c>
      <c r="BA72" t="e">
        <f>IF(OR($J72=0,COUNTIFS($A$4:$A71,"&gt;="&amp;$A72-1,$A$4:$A71,"&lt;="&amp;$A72,$B$4:$B71,$B72)&gt;0,MIN(BA$1,IF($A72=$A71,BA71,1))-AF72&lt;0),-1,MIN(1,IF($A72=$A71,BA71,1)-AF72+$D$3))</f>
        <v>#N/A</v>
      </c>
      <c r="BB72" t="e">
        <f>IF(OR($J72=0,COUNTIFS($A$4:$A71,"&gt;="&amp;$A72-1,$A$4:$A71,"&lt;="&amp;$A72,$B$4:$B71,$B72)&gt;0,MIN(BB$1,IF($A72=$A71,BB71,1))-AG72&lt;0),-1,MIN(1,IF($A72=$A71,BB71,1)-AG72+$D$3))</f>
        <v>#N/A</v>
      </c>
      <c r="BC72" t="e">
        <f>IF(OR($J72=0,COUNTIFS($A$4:$A71,"&gt;="&amp;$A72-1,$A$4:$A71,"&lt;="&amp;$A72,$B$4:$B71,$B72)&gt;0,MIN(BC$1,IF($A72=$A71,BC71,1))-AH72&lt;0),-1,MIN(1,IF($A72=$A71,BC71,1)-AH72+$D$3))</f>
        <v>#N/A</v>
      </c>
      <c r="BD72" t="e">
        <f>IF(OR($J72=0,COUNTIFS($A$4:$A71,"&gt;="&amp;$A72-1,$A$4:$A71,"&lt;="&amp;$A72,$B$4:$B71,$B72)&gt;0,MIN(BD$1,IF($A72=$A71,BD71,1))-AI72&lt;0),-1,MIN(1,IF($A72=$A71,BD71,1)-AI72+$D$3))</f>
        <v>#N/A</v>
      </c>
      <c r="BF72" s="44">
        <f t="shared" si="179"/>
        <v>6.4790458513495158E-2</v>
      </c>
      <c r="BG72" s="44">
        <f t="shared" si="180"/>
        <v>0.15933802013799431</v>
      </c>
      <c r="BH72" s="44">
        <f t="shared" si="181"/>
        <v>0.16330470992319873</v>
      </c>
      <c r="BI72" s="44">
        <f t="shared" si="182"/>
        <v>0.15084821233025608</v>
      </c>
      <c r="BJ72" s="44">
        <f t="shared" si="183"/>
        <v>0.15591594836314096</v>
      </c>
      <c r="BK72" s="44">
        <f t="shared" si="184"/>
        <v>6.695612154384839E-2</v>
      </c>
      <c r="BL72" s="44">
        <f t="shared" si="185"/>
        <v>3.617075023809134E-2</v>
      </c>
      <c r="BM72" s="44">
        <f t="shared" si="186"/>
        <v>9.2014164765052017E-2</v>
      </c>
      <c r="BN72" s="44">
        <f t="shared" si="187"/>
        <v>9.5701902514653908E-2</v>
      </c>
      <c r="BO72" s="44">
        <f t="shared" si="188"/>
        <v>4.4849542988759726E-2</v>
      </c>
      <c r="BP72" s="44">
        <f t="shared" si="189"/>
        <v>0.15080558904298777</v>
      </c>
      <c r="BQ72" s="44">
        <f t="shared" si="190"/>
        <v>4.0696185838691827E-2</v>
      </c>
      <c r="BR72" s="44">
        <f t="shared" si="191"/>
        <v>0.12022672028818772</v>
      </c>
      <c r="BS72" s="44">
        <f t="shared" si="192"/>
        <v>6.4839865673684507E-2</v>
      </c>
      <c r="BT72" s="44">
        <f t="shared" si="193"/>
        <v>0.2565912268464608</v>
      </c>
      <c r="BU72" s="44">
        <f t="shared" si="194"/>
        <v>0.24512183288953804</v>
      </c>
      <c r="BV72" s="44">
        <f t="shared" si="195"/>
        <v>0.23540689862922845</v>
      </c>
      <c r="BW72" s="44">
        <f t="shared" si="196"/>
        <v>0.15396906624336365</v>
      </c>
      <c r="BX72" s="44">
        <f t="shared" si="197"/>
        <v>0.11374955017747609</v>
      </c>
      <c r="BY72" s="44">
        <f t="shared" si="198"/>
        <v>9.7667062853634148E-2</v>
      </c>
      <c r="CA72" s="44" t="str">
        <f t="shared" si="199"/>
        <v/>
      </c>
      <c r="CB72" s="44" t="str">
        <f t="shared" si="200"/>
        <v/>
      </c>
      <c r="CC72" s="44" t="str">
        <f t="shared" si="201"/>
        <v/>
      </c>
      <c r="CD72" s="44" t="str">
        <f t="shared" si="202"/>
        <v/>
      </c>
      <c r="CE72" s="44" t="str">
        <f t="shared" si="203"/>
        <v/>
      </c>
      <c r="CF72" s="44" t="str">
        <f t="shared" si="204"/>
        <v/>
      </c>
      <c r="CG72" s="44" t="str">
        <f t="shared" si="205"/>
        <v/>
      </c>
      <c r="CH72" s="44" t="str">
        <f t="shared" si="206"/>
        <v/>
      </c>
      <c r="CI72" s="44" t="str">
        <f t="shared" si="207"/>
        <v/>
      </c>
      <c r="CJ72" s="44" t="str">
        <f t="shared" si="208"/>
        <v/>
      </c>
      <c r="CK72" s="44" t="str">
        <f t="shared" si="209"/>
        <v/>
      </c>
      <c r="CL72" s="44" t="str">
        <f t="shared" si="210"/>
        <v/>
      </c>
      <c r="CM72" s="44" t="str">
        <f t="shared" si="211"/>
        <v/>
      </c>
      <c r="CN72" s="44" t="str">
        <f t="shared" si="212"/>
        <v/>
      </c>
      <c r="CO72" s="44" t="str">
        <f t="shared" si="213"/>
        <v/>
      </c>
      <c r="CP72" s="44" t="str">
        <f t="shared" si="214"/>
        <v/>
      </c>
      <c r="CQ72" s="44" t="str">
        <f t="shared" si="215"/>
        <v/>
      </c>
      <c r="CR72" s="44" t="str">
        <f t="shared" si="216"/>
        <v/>
      </c>
      <c r="CS72" s="44" t="str">
        <f t="shared" si="217"/>
        <v/>
      </c>
      <c r="CT72" s="44" t="str">
        <f t="shared" si="218"/>
        <v/>
      </c>
      <c r="CV72" s="44">
        <f t="shared" si="219"/>
        <v>0</v>
      </c>
    </row>
    <row r="73" spans="1:100" x14ac:dyDescent="0.25">
      <c r="A73" s="41"/>
      <c r="B73" s="42"/>
      <c r="C73" s="43" t="str" cm="1">
        <f t="array" ref="C73">IF(B73="","",INDEX(UWS!$B$10:$B$41,B73))</f>
        <v/>
      </c>
      <c r="D73" s="40" t="str">
        <f t="shared" si="176"/>
        <v/>
      </c>
      <c r="E73" s="69" t="str">
        <f t="shared" si="177"/>
        <v/>
      </c>
      <c r="F73" s="48" cm="1">
        <f t="array" ref="F73">0.1+IFERROR(INDEX($F$5:$F72,SUMPRODUCT(MAX(ROW($C$5:$C72)*($C73=$C$5:$C72))-ROW($A$4)))*0.9^($A73-INDEX($A$5:A72,SUMPRODUCT(MAX(ROW($C$5:$C72)*($C73=$C$5:$C72))-ROW($A$4)))),0)</f>
        <v>0.79999999999999993</v>
      </c>
      <c r="G73" s="55" t="e">
        <f>INDEX(UWS!$AB$10:$AB$41,MATCH(C73,UWS!$B$10:$B$41,0))</f>
        <v>#N/A</v>
      </c>
      <c r="H73" s="48" t="e">
        <f>INDEX(UWS!$C$10:$C$41,MATCH(C73,UWS!$B$10:$B$41,0))</f>
        <v>#N/A</v>
      </c>
      <c r="I73" s="27">
        <f t="shared" si="178"/>
        <v>5</v>
      </c>
      <c r="J73" s="27" t="e">
        <f>INDEX(UWS!$E$10:$E$41,MATCH(C73,UWS!$B$10:$B$41,0))</f>
        <v>#N/A</v>
      </c>
      <c r="L73" s="108" t="str" cm="1">
        <f t="array" ref="L73">IF(K73="","",INDEX(UWS!$B$10:$B$41,K73))</f>
        <v/>
      </c>
      <c r="N73" s="108" t="str" cm="1">
        <f t="array" ref="N73">IF(M73="","",INDEX(UWS!$B$10:$B$41,M73))</f>
        <v/>
      </c>
      <c r="P73">
        <f>IFERROR(INDEX(UWS!$G$10:$Z$41,MATCH($C73,UWS!$B$10:$B$41,0),MATCH(P$4,UWS!$G$3:$Z$3,0)),0)</f>
        <v>0</v>
      </c>
      <c r="Q73">
        <f>IFERROR(INDEX(UWS!$G$10:$Z$41,MATCH($C73,UWS!$B$10:$B$41,0),MATCH(Q$4,UWS!$G$3:$Z$3,0)),0)</f>
        <v>0</v>
      </c>
      <c r="R73">
        <f>IFERROR(INDEX(UWS!$G$10:$Z$41,MATCH($C73,UWS!$B$10:$B$41,0),MATCH(R$4,UWS!$G$3:$Z$3,0)),0)</f>
        <v>0</v>
      </c>
      <c r="S73">
        <f>IFERROR(INDEX(UWS!$G$10:$Z$41,MATCH($C73,UWS!$B$10:$B$41,0),MATCH(S$4,UWS!$G$3:$Z$3,0)),0)</f>
        <v>0</v>
      </c>
      <c r="T73">
        <f>IFERROR(INDEX(UWS!$G$10:$Z$41,MATCH($C73,UWS!$B$10:$B$41,0),MATCH(T$4,UWS!$G$3:$Z$3,0)),0)</f>
        <v>0</v>
      </c>
      <c r="U73">
        <f>IFERROR(INDEX(UWS!$G$10:$Z$41,MATCH($C73,UWS!$B$10:$B$41,0),MATCH(U$4,UWS!$G$3:$Z$3,0)),0)</f>
        <v>0</v>
      </c>
      <c r="V73">
        <f>IFERROR(INDEX(UWS!$G$10:$Z$41,MATCH($C73,UWS!$B$10:$B$41,0),MATCH(V$4,UWS!$G$3:$Z$3,0)),0)</f>
        <v>0</v>
      </c>
      <c r="W73">
        <f>IFERROR(INDEX(UWS!$G$10:$Z$41,MATCH($C73,UWS!$B$10:$B$41,0),MATCH(W$4,UWS!$G$3:$Z$3,0)),0)</f>
        <v>0</v>
      </c>
      <c r="X73">
        <f>IFERROR(INDEX(UWS!$G$10:$Z$41,MATCH($C73,UWS!$B$10:$B$41,0),MATCH(X$4,UWS!$G$3:$Z$3,0)),0)</f>
        <v>0</v>
      </c>
      <c r="Y73">
        <f>IFERROR(INDEX(UWS!$G$10:$Z$41,MATCH($C73,UWS!$B$10:$B$41,0),MATCH(Y$4,UWS!$G$3:$Z$3,0)),0)</f>
        <v>0</v>
      </c>
      <c r="Z73">
        <f>IFERROR(INDEX(UWS!$G$10:$Z$41,MATCH($C73,UWS!$B$10:$B$41,0),MATCH(Z$4,UWS!$G$3:$Z$3,0)),0)</f>
        <v>0</v>
      </c>
      <c r="AA73">
        <f>IFERROR(INDEX(UWS!$G$10:$Z$41,MATCH($C73,UWS!$B$10:$B$41,0),MATCH(AA$4,UWS!$G$3:$Z$3,0)),0)</f>
        <v>0</v>
      </c>
      <c r="AB73">
        <f>IFERROR(INDEX(UWS!$G$10:$Z$41,MATCH($C73,UWS!$B$10:$B$41,0),MATCH(AB$4,UWS!$G$3:$Z$3,0)),0)</f>
        <v>0</v>
      </c>
      <c r="AC73">
        <f>IFERROR(INDEX(UWS!$G$10:$Z$41,MATCH($C73,UWS!$B$10:$B$41,0),MATCH(AC$4,UWS!$G$3:$Z$3,0)),0)</f>
        <v>0</v>
      </c>
      <c r="AD73">
        <f>IFERROR(INDEX(UWS!$G$10:$Z$41,MATCH($C73,UWS!$B$10:$B$41,0),MATCH(AD$4,UWS!$G$3:$Z$3,0)),0)</f>
        <v>0</v>
      </c>
      <c r="AE73">
        <f>IFERROR(INDEX(UWS!$G$10:$Z$41,MATCH($C73,UWS!$B$10:$B$41,0),MATCH(AE$4,UWS!$G$3:$Z$3,0)),0)</f>
        <v>0</v>
      </c>
      <c r="AF73">
        <f>IFERROR(INDEX(UWS!$G$10:$Z$41,MATCH($C73,UWS!$B$10:$B$41,0),MATCH(AF$4,UWS!$G$3:$Z$3,0)),0)</f>
        <v>0</v>
      </c>
      <c r="AG73">
        <f>IFERROR(INDEX(UWS!$G$10:$Z$41,MATCH($C73,UWS!$B$10:$B$41,0),MATCH(AG$4,UWS!$G$3:$Z$3,0)),0)</f>
        <v>0</v>
      </c>
      <c r="AH73">
        <f>IFERROR(INDEX(UWS!$G$10:$Z$41,MATCH($C73,UWS!$B$10:$B$41,0),MATCH(AH$4,UWS!$G$3:$Z$3,0)),0)</f>
        <v>0</v>
      </c>
      <c r="AI73">
        <f>IFERROR(INDEX(UWS!$G$10:$Z$41,MATCH($C73,UWS!$B$10:$B$41,0),MATCH(AI$4,UWS!$G$3:$Z$3,0)),0)</f>
        <v>0</v>
      </c>
      <c r="AK73" t="e">
        <f>IF(OR($J73=0,COUNTIFS($A$4:$A72,"&gt;="&amp;$A73-1,$A$4:$A72,"&lt;="&amp;$A73,$B$4:$B72,$B73)&gt;0,MIN(AK$1,IF($A73=$A72,AK72,1))-P73&lt;0),-1,MIN(1,IF($A73=$A72,AK72,1)-P73+$D$3))</f>
        <v>#N/A</v>
      </c>
      <c r="AL73" t="e">
        <f>IF(OR($J73=0,COUNTIFS($A$4:$A72,"&gt;="&amp;$A73-1,$A$4:$A72,"&lt;="&amp;$A73,$B$4:$B72,$B73)&gt;0,MIN(AL$1,IF($A73=$A72,AL72,1))-Q73&lt;0),-1,MIN(1,IF($A73=$A72,AL72,1)-Q73+$D$3))</f>
        <v>#N/A</v>
      </c>
      <c r="AM73" t="e">
        <f>IF(OR($J73=0,COUNTIFS($A$4:$A72,"&gt;="&amp;$A73-1,$A$4:$A72,"&lt;="&amp;$A73,$B$4:$B72,$B73)&gt;0,MIN(AM$1,IF($A73=$A72,AM72,1))-R73&lt;0),-1,MIN(1,IF($A73=$A72,AM72,1)-R73+$D$3))</f>
        <v>#N/A</v>
      </c>
      <c r="AN73" t="e">
        <f>IF(OR($J73=0,COUNTIFS($A$4:$A72,"&gt;="&amp;$A73-1,$A$4:$A72,"&lt;="&amp;$A73,$B$4:$B72,$B73)&gt;0,MIN(AN$1,IF($A73=$A72,AN72,1))-S73&lt;0),-1,MIN(1,IF($A73=$A72,AN72,1)-S73+$D$3))</f>
        <v>#N/A</v>
      </c>
      <c r="AO73" t="e">
        <f>IF(OR($J73=0,COUNTIFS($A$4:$A72,"&gt;="&amp;$A73-1,$A$4:$A72,"&lt;="&amp;$A73,$B$4:$B72,$B73)&gt;0,MIN(AO$1,IF($A73=$A72,AO72,1))-T73&lt;0),-1,MIN(1,IF($A73=$A72,AO72,1)-T73+$D$3))</f>
        <v>#N/A</v>
      </c>
      <c r="AP73" t="e">
        <f>IF(OR($J73=0,COUNTIFS($A$4:$A72,"&gt;="&amp;$A73-1,$A$4:$A72,"&lt;="&amp;$A73,$B$4:$B72,$B73)&gt;0,MIN(AP$1,IF($A73=$A72,AP72,1))-U73&lt;0),-1,MIN(1,IF($A73=$A72,AP72,1)-U73+$D$3))</f>
        <v>#N/A</v>
      </c>
      <c r="AQ73" t="e">
        <f>IF(OR($J73=0,COUNTIFS($A$4:$A72,"&gt;="&amp;$A73-1,$A$4:$A72,"&lt;="&amp;$A73,$B$4:$B72,$B73)&gt;0,MIN(AQ$1,IF($A73=$A72,AQ72,1))-V73&lt;0),-1,MIN(1,IF($A73=$A72,AQ72,1)-V73+$D$3))</f>
        <v>#N/A</v>
      </c>
      <c r="AR73" t="e">
        <f>IF(OR($J73=0,COUNTIFS($A$4:$A72,"&gt;="&amp;$A73-1,$A$4:$A72,"&lt;="&amp;$A73,$B$4:$B72,$B73)&gt;0,MIN(AR$1,IF($A73=$A72,AR72,1))-W73&lt;0),-1,MIN(1,IF($A73=$A72,AR72,1)-W73+$D$3))</f>
        <v>#N/A</v>
      </c>
      <c r="AS73" t="e">
        <f>IF(OR($J73=0,COUNTIFS($A$4:$A72,"&gt;="&amp;$A73-1,$A$4:$A72,"&lt;="&amp;$A73,$B$4:$B72,$B73)&gt;0,MIN(AS$1,IF($A73=$A72,AS72,1))-X73&lt;0),-1,MIN(1,IF($A73=$A72,AS72,1)-X73+$D$3))</f>
        <v>#N/A</v>
      </c>
      <c r="AT73" t="e">
        <f>IF(OR($J73=0,COUNTIFS($A$4:$A72,"&gt;="&amp;$A73-1,$A$4:$A72,"&lt;="&amp;$A73,$B$4:$B72,$B73)&gt;0,MIN(AT$1,IF($A73=$A72,AT72,1))-Y73&lt;0),-1,MIN(1,IF($A73=$A72,AT72,1)-Y73+$D$3))</f>
        <v>#N/A</v>
      </c>
      <c r="AU73" t="e">
        <f>IF(OR($J73=0,COUNTIFS($A$4:$A72,"&gt;="&amp;$A73-1,$A$4:$A72,"&lt;="&amp;$A73,$B$4:$B72,$B73)&gt;0,MIN(AU$1,IF($A73=$A72,AU72,1))-Z73&lt;0),-1,MIN(1,IF($A73=$A72,AU72,1)-Z73+$D$3))</f>
        <v>#N/A</v>
      </c>
      <c r="AV73" t="e">
        <f>IF(OR($J73=0,COUNTIFS($A$4:$A72,"&gt;="&amp;$A73-1,$A$4:$A72,"&lt;="&amp;$A73,$B$4:$B72,$B73)&gt;0,MIN(AV$1,IF($A73=$A72,AV72,1))-AA73&lt;0),-1,MIN(1,IF($A73=$A72,AV72,1)-AA73+$D$3))</f>
        <v>#N/A</v>
      </c>
      <c r="AW73" t="e">
        <f>IF(OR($J73=0,COUNTIFS($A$4:$A72,"&gt;="&amp;$A73-1,$A$4:$A72,"&lt;="&amp;$A73,$B$4:$B72,$B73)&gt;0,MIN(AW$1,IF($A73=$A72,AW72,1))-AB73&lt;0),-1,MIN(1,IF($A73=$A72,AW72,1)-AB73+$D$3))</f>
        <v>#N/A</v>
      </c>
      <c r="AX73" t="e">
        <f>IF(OR($J73=0,COUNTIFS($A$4:$A72,"&gt;="&amp;$A73-1,$A$4:$A72,"&lt;="&amp;$A73,$B$4:$B72,$B73)&gt;0,MIN(AX$1,IF($A73=$A72,AX72,1))-AC73&lt;0),-1,MIN(1,IF($A73=$A72,AX72,1)-AC73+$D$3))</f>
        <v>#N/A</v>
      </c>
      <c r="AY73" t="e">
        <f>IF(OR($J73=0,COUNTIFS($A$4:$A72,"&gt;="&amp;$A73-1,$A$4:$A72,"&lt;="&amp;$A73,$B$4:$B72,$B73)&gt;0,MIN(AY$1,IF($A73=$A72,AY72,1))-AD73&lt;0),-1,MIN(1,IF($A73=$A72,AY72,1)-AD73+$D$3))</f>
        <v>#N/A</v>
      </c>
      <c r="AZ73" t="e">
        <f>IF(OR($J73=0,COUNTIFS($A$4:$A72,"&gt;="&amp;$A73-1,$A$4:$A72,"&lt;="&amp;$A73,$B$4:$B72,$B73)&gt;0,MIN(AZ$1,IF($A73=$A72,AZ72,1))-AE73&lt;0),-1,MIN(1,IF($A73=$A72,AZ72,1)-AE73+$D$3))</f>
        <v>#N/A</v>
      </c>
      <c r="BA73" t="e">
        <f>IF(OR($J73=0,COUNTIFS($A$4:$A72,"&gt;="&amp;$A73-1,$A$4:$A72,"&lt;="&amp;$A73,$B$4:$B72,$B73)&gt;0,MIN(BA$1,IF($A73=$A72,BA72,1))-AF73&lt;0),-1,MIN(1,IF($A73=$A72,BA72,1)-AF73+$D$3))</f>
        <v>#N/A</v>
      </c>
      <c r="BB73" t="e">
        <f>IF(OR($J73=0,COUNTIFS($A$4:$A72,"&gt;="&amp;$A73-1,$A$4:$A72,"&lt;="&amp;$A73,$B$4:$B72,$B73)&gt;0,MIN(BB$1,IF($A73=$A72,BB72,1))-AG73&lt;0),-1,MIN(1,IF($A73=$A72,BB72,1)-AG73+$D$3))</f>
        <v>#N/A</v>
      </c>
      <c r="BC73" t="e">
        <f>IF(OR($J73=0,COUNTIFS($A$4:$A72,"&gt;="&amp;$A73-1,$A$4:$A72,"&lt;="&amp;$A73,$B$4:$B72,$B73)&gt;0,MIN(BC$1,IF($A73=$A72,BC72,1))-AH73&lt;0),-1,MIN(1,IF($A73=$A72,BC72,1)-AH73+$D$3))</f>
        <v>#N/A</v>
      </c>
      <c r="BD73" t="e">
        <f>IF(OR($J73=0,COUNTIFS($A$4:$A72,"&gt;="&amp;$A73-1,$A$4:$A72,"&lt;="&amp;$A73,$B$4:$B72,$B73)&gt;0,MIN(BD$1,IF($A73=$A72,BD72,1))-AI73&lt;0),-1,MIN(1,IF($A73=$A72,BD72,1)-AI73+$D$3))</f>
        <v>#N/A</v>
      </c>
      <c r="BF73" s="44">
        <f t="shared" si="179"/>
        <v>6.1550935587820398E-2</v>
      </c>
      <c r="BG73" s="44">
        <f t="shared" si="180"/>
        <v>0.15137111913109458</v>
      </c>
      <c r="BH73" s="44">
        <f t="shared" si="181"/>
        <v>0.15513947442703879</v>
      </c>
      <c r="BI73" s="44">
        <f t="shared" si="182"/>
        <v>0.14330580171374327</v>
      </c>
      <c r="BJ73" s="44">
        <f t="shared" si="183"/>
        <v>0.1481201509449839</v>
      </c>
      <c r="BK73" s="44">
        <f t="shared" si="184"/>
        <v>6.3608315466655962E-2</v>
      </c>
      <c r="BL73" s="44">
        <f t="shared" si="185"/>
        <v>3.4362212726186774E-2</v>
      </c>
      <c r="BM73" s="44">
        <f t="shared" si="186"/>
        <v>8.741345652679941E-2</v>
      </c>
      <c r="BN73" s="44">
        <f t="shared" si="187"/>
        <v>9.0916807388921203E-2</v>
      </c>
      <c r="BO73" s="44">
        <f t="shared" si="188"/>
        <v>4.2607065839321737E-2</v>
      </c>
      <c r="BP73" s="44">
        <f t="shared" si="189"/>
        <v>0.14326530959083839</v>
      </c>
      <c r="BQ73" s="44">
        <f t="shared" si="190"/>
        <v>3.8661376546757234E-2</v>
      </c>
      <c r="BR73" s="44">
        <f t="shared" si="191"/>
        <v>0.11421538427377832</v>
      </c>
      <c r="BS73" s="44">
        <f t="shared" si="192"/>
        <v>6.159787239000028E-2</v>
      </c>
      <c r="BT73" s="44">
        <f t="shared" si="193"/>
        <v>0.24376166550413775</v>
      </c>
      <c r="BU73" s="44">
        <f t="shared" si="194"/>
        <v>0.23286574124506113</v>
      </c>
      <c r="BV73" s="44">
        <f t="shared" si="195"/>
        <v>0.22363655369776703</v>
      </c>
      <c r="BW73" s="44">
        <f t="shared" si="196"/>
        <v>0.14627061293119545</v>
      </c>
      <c r="BX73" s="44">
        <f t="shared" si="197"/>
        <v>0.10806207266860228</v>
      </c>
      <c r="BY73" s="44">
        <f t="shared" si="198"/>
        <v>9.2783709710952442E-2</v>
      </c>
      <c r="CA73" s="44" t="str">
        <f t="shared" si="199"/>
        <v/>
      </c>
      <c r="CB73" s="44" t="str">
        <f t="shared" si="200"/>
        <v/>
      </c>
      <c r="CC73" s="44" t="str">
        <f t="shared" si="201"/>
        <v/>
      </c>
      <c r="CD73" s="44" t="str">
        <f t="shared" si="202"/>
        <v/>
      </c>
      <c r="CE73" s="44" t="str">
        <f t="shared" si="203"/>
        <v/>
      </c>
      <c r="CF73" s="44" t="str">
        <f t="shared" si="204"/>
        <v/>
      </c>
      <c r="CG73" s="44" t="str">
        <f t="shared" si="205"/>
        <v/>
      </c>
      <c r="CH73" s="44" t="str">
        <f t="shared" si="206"/>
        <v/>
      </c>
      <c r="CI73" s="44" t="str">
        <f t="shared" si="207"/>
        <v/>
      </c>
      <c r="CJ73" s="44" t="str">
        <f t="shared" si="208"/>
        <v/>
      </c>
      <c r="CK73" s="44" t="str">
        <f t="shared" si="209"/>
        <v/>
      </c>
      <c r="CL73" s="44" t="str">
        <f t="shared" si="210"/>
        <v/>
      </c>
      <c r="CM73" s="44" t="str">
        <f t="shared" si="211"/>
        <v/>
      </c>
      <c r="CN73" s="44" t="str">
        <f t="shared" si="212"/>
        <v/>
      </c>
      <c r="CO73" s="44" t="str">
        <f t="shared" si="213"/>
        <v/>
      </c>
      <c r="CP73" s="44" t="str">
        <f t="shared" si="214"/>
        <v/>
      </c>
      <c r="CQ73" s="44" t="str">
        <f t="shared" si="215"/>
        <v/>
      </c>
      <c r="CR73" s="44" t="str">
        <f t="shared" si="216"/>
        <v/>
      </c>
      <c r="CS73" s="44" t="str">
        <f t="shared" si="217"/>
        <v/>
      </c>
      <c r="CT73" s="44" t="str">
        <f t="shared" si="218"/>
        <v/>
      </c>
      <c r="CV73" s="44">
        <f t="shared" si="219"/>
        <v>0</v>
      </c>
    </row>
    <row r="74" spans="1:100" x14ac:dyDescent="0.25">
      <c r="A74" s="41"/>
      <c r="B74" s="42"/>
      <c r="C74" s="43" t="str" cm="1">
        <f t="array" ref="C74">IF(B74="","",INDEX(UWS!$B$10:$B$41,B74))</f>
        <v/>
      </c>
      <c r="D74" s="40" t="str">
        <f t="shared" si="176"/>
        <v/>
      </c>
      <c r="E74" s="69" t="str">
        <f t="shared" si="177"/>
        <v/>
      </c>
      <c r="F74" s="48" cm="1">
        <f t="array" ref="F74">0.1+IFERROR(INDEX($F$5:$F73,SUMPRODUCT(MAX(ROW($C$5:$C73)*($C74=$C$5:$C73))-ROW($A$4)))*0.9^($A74-INDEX($A$5:A73,SUMPRODUCT(MAX(ROW($C$5:$C73)*($C74=$C$5:$C73))-ROW($A$4)))),0)</f>
        <v>0.89999999999999991</v>
      </c>
      <c r="G74" s="55" t="e">
        <f>INDEX(UWS!$AB$10:$AB$41,MATCH(C74,UWS!$B$10:$B$41,0))</f>
        <v>#N/A</v>
      </c>
      <c r="H74" s="48" t="e">
        <f>INDEX(UWS!$C$10:$C$41,MATCH(C74,UWS!$B$10:$B$41,0))</f>
        <v>#N/A</v>
      </c>
      <c r="I74" s="27">
        <f t="shared" si="178"/>
        <v>5</v>
      </c>
      <c r="J74" s="27" t="e">
        <f>INDEX(UWS!$E$10:$E$41,MATCH(C74,UWS!$B$10:$B$41,0))</f>
        <v>#N/A</v>
      </c>
      <c r="L74" s="108" t="str" cm="1">
        <f t="array" ref="L74">IF(K74="","",INDEX(UWS!$B$10:$B$41,K74))</f>
        <v/>
      </c>
      <c r="N74" s="108" t="str" cm="1">
        <f t="array" ref="N74">IF(M74="","",INDEX(UWS!$B$10:$B$41,M74))</f>
        <v/>
      </c>
      <c r="P74">
        <f>IFERROR(INDEX(UWS!$G$10:$Z$41,MATCH($C74,UWS!$B$10:$B$41,0),MATCH(P$4,UWS!$G$3:$Z$3,0)),0)</f>
        <v>0</v>
      </c>
      <c r="Q74">
        <f>IFERROR(INDEX(UWS!$G$10:$Z$41,MATCH($C74,UWS!$B$10:$B$41,0),MATCH(Q$4,UWS!$G$3:$Z$3,0)),0)</f>
        <v>0</v>
      </c>
      <c r="R74">
        <f>IFERROR(INDEX(UWS!$G$10:$Z$41,MATCH($C74,UWS!$B$10:$B$41,0),MATCH(R$4,UWS!$G$3:$Z$3,0)),0)</f>
        <v>0</v>
      </c>
      <c r="S74">
        <f>IFERROR(INDEX(UWS!$G$10:$Z$41,MATCH($C74,UWS!$B$10:$B$41,0),MATCH(S$4,UWS!$G$3:$Z$3,0)),0)</f>
        <v>0</v>
      </c>
      <c r="T74">
        <f>IFERROR(INDEX(UWS!$G$10:$Z$41,MATCH($C74,UWS!$B$10:$B$41,0),MATCH(T$4,UWS!$G$3:$Z$3,0)),0)</f>
        <v>0</v>
      </c>
      <c r="U74">
        <f>IFERROR(INDEX(UWS!$G$10:$Z$41,MATCH($C74,UWS!$B$10:$B$41,0),MATCH(U$4,UWS!$G$3:$Z$3,0)),0)</f>
        <v>0</v>
      </c>
      <c r="V74">
        <f>IFERROR(INDEX(UWS!$G$10:$Z$41,MATCH($C74,UWS!$B$10:$B$41,0),MATCH(V$4,UWS!$G$3:$Z$3,0)),0)</f>
        <v>0</v>
      </c>
      <c r="W74">
        <f>IFERROR(INDEX(UWS!$G$10:$Z$41,MATCH($C74,UWS!$B$10:$B$41,0),MATCH(W$4,UWS!$G$3:$Z$3,0)),0)</f>
        <v>0</v>
      </c>
      <c r="X74">
        <f>IFERROR(INDEX(UWS!$G$10:$Z$41,MATCH($C74,UWS!$B$10:$B$41,0),MATCH(X$4,UWS!$G$3:$Z$3,0)),0)</f>
        <v>0</v>
      </c>
      <c r="Y74">
        <f>IFERROR(INDEX(UWS!$G$10:$Z$41,MATCH($C74,UWS!$B$10:$B$41,0),MATCH(Y$4,UWS!$G$3:$Z$3,0)),0)</f>
        <v>0</v>
      </c>
      <c r="Z74">
        <f>IFERROR(INDEX(UWS!$G$10:$Z$41,MATCH($C74,UWS!$B$10:$B$41,0),MATCH(Z$4,UWS!$G$3:$Z$3,0)),0)</f>
        <v>0</v>
      </c>
      <c r="AA74">
        <f>IFERROR(INDEX(UWS!$G$10:$Z$41,MATCH($C74,UWS!$B$10:$B$41,0),MATCH(AA$4,UWS!$G$3:$Z$3,0)),0)</f>
        <v>0</v>
      </c>
      <c r="AB74">
        <f>IFERROR(INDEX(UWS!$G$10:$Z$41,MATCH($C74,UWS!$B$10:$B$41,0),MATCH(AB$4,UWS!$G$3:$Z$3,0)),0)</f>
        <v>0</v>
      </c>
      <c r="AC74">
        <f>IFERROR(INDEX(UWS!$G$10:$Z$41,MATCH($C74,UWS!$B$10:$B$41,0),MATCH(AC$4,UWS!$G$3:$Z$3,0)),0)</f>
        <v>0</v>
      </c>
      <c r="AD74">
        <f>IFERROR(INDEX(UWS!$G$10:$Z$41,MATCH($C74,UWS!$B$10:$B$41,0),MATCH(AD$4,UWS!$G$3:$Z$3,0)),0)</f>
        <v>0</v>
      </c>
      <c r="AE74">
        <f>IFERROR(INDEX(UWS!$G$10:$Z$41,MATCH($C74,UWS!$B$10:$B$41,0),MATCH(AE$4,UWS!$G$3:$Z$3,0)),0)</f>
        <v>0</v>
      </c>
      <c r="AF74">
        <f>IFERROR(INDEX(UWS!$G$10:$Z$41,MATCH($C74,UWS!$B$10:$B$41,0),MATCH(AF$4,UWS!$G$3:$Z$3,0)),0)</f>
        <v>0</v>
      </c>
      <c r="AG74">
        <f>IFERROR(INDEX(UWS!$G$10:$Z$41,MATCH($C74,UWS!$B$10:$B$41,0),MATCH(AG$4,UWS!$G$3:$Z$3,0)),0)</f>
        <v>0</v>
      </c>
      <c r="AH74">
        <f>IFERROR(INDEX(UWS!$G$10:$Z$41,MATCH($C74,UWS!$B$10:$B$41,0),MATCH(AH$4,UWS!$G$3:$Z$3,0)),0)</f>
        <v>0</v>
      </c>
      <c r="AI74">
        <f>IFERROR(INDEX(UWS!$G$10:$Z$41,MATCH($C74,UWS!$B$10:$B$41,0),MATCH(AI$4,UWS!$G$3:$Z$3,0)),0)</f>
        <v>0</v>
      </c>
      <c r="AK74" t="e">
        <f>IF(OR($J74=0,COUNTIFS($A$4:$A73,"&gt;="&amp;$A74-1,$A$4:$A73,"&lt;="&amp;$A74,$B$4:$B73,$B74)&gt;0,MIN(AK$1,IF($A74=$A73,AK73,1))-P74&lt;0),-1,MIN(1,IF($A74=$A73,AK73,1)-P74+$D$3))</f>
        <v>#N/A</v>
      </c>
      <c r="AL74" t="e">
        <f>IF(OR($J74=0,COUNTIFS($A$4:$A73,"&gt;="&amp;$A74-1,$A$4:$A73,"&lt;="&amp;$A74,$B$4:$B73,$B74)&gt;0,MIN(AL$1,IF($A74=$A73,AL73,1))-Q74&lt;0),-1,MIN(1,IF($A74=$A73,AL73,1)-Q74+$D$3))</f>
        <v>#N/A</v>
      </c>
      <c r="AM74" t="e">
        <f>IF(OR($J74=0,COUNTIFS($A$4:$A73,"&gt;="&amp;$A74-1,$A$4:$A73,"&lt;="&amp;$A74,$B$4:$B73,$B74)&gt;0,MIN(AM$1,IF($A74=$A73,AM73,1))-R74&lt;0),-1,MIN(1,IF($A74=$A73,AM73,1)-R74+$D$3))</f>
        <v>#N/A</v>
      </c>
      <c r="AN74" t="e">
        <f>IF(OR($J74=0,COUNTIFS($A$4:$A73,"&gt;="&amp;$A74-1,$A$4:$A73,"&lt;="&amp;$A74,$B$4:$B73,$B74)&gt;0,MIN(AN$1,IF($A74=$A73,AN73,1))-S74&lt;0),-1,MIN(1,IF($A74=$A73,AN73,1)-S74+$D$3))</f>
        <v>#N/A</v>
      </c>
      <c r="AO74" t="e">
        <f>IF(OR($J74=0,COUNTIFS($A$4:$A73,"&gt;="&amp;$A74-1,$A$4:$A73,"&lt;="&amp;$A74,$B$4:$B73,$B74)&gt;0,MIN(AO$1,IF($A74=$A73,AO73,1))-T74&lt;0),-1,MIN(1,IF($A74=$A73,AO73,1)-T74+$D$3))</f>
        <v>#N/A</v>
      </c>
      <c r="AP74" t="e">
        <f>IF(OR($J74=0,COUNTIFS($A$4:$A73,"&gt;="&amp;$A74-1,$A$4:$A73,"&lt;="&amp;$A74,$B$4:$B73,$B74)&gt;0,MIN(AP$1,IF($A74=$A73,AP73,1))-U74&lt;0),-1,MIN(1,IF($A74=$A73,AP73,1)-U74+$D$3))</f>
        <v>#N/A</v>
      </c>
      <c r="AQ74" t="e">
        <f>IF(OR($J74=0,COUNTIFS($A$4:$A73,"&gt;="&amp;$A74-1,$A$4:$A73,"&lt;="&amp;$A74,$B$4:$B73,$B74)&gt;0,MIN(AQ$1,IF($A74=$A73,AQ73,1))-V74&lt;0),-1,MIN(1,IF($A74=$A73,AQ73,1)-V74+$D$3))</f>
        <v>#N/A</v>
      </c>
      <c r="AR74" t="e">
        <f>IF(OR($J74=0,COUNTIFS($A$4:$A73,"&gt;="&amp;$A74-1,$A$4:$A73,"&lt;="&amp;$A74,$B$4:$B73,$B74)&gt;0,MIN(AR$1,IF($A74=$A73,AR73,1))-W74&lt;0),-1,MIN(1,IF($A74=$A73,AR73,1)-W74+$D$3))</f>
        <v>#N/A</v>
      </c>
      <c r="AS74" t="e">
        <f>IF(OR($J74=0,COUNTIFS($A$4:$A73,"&gt;="&amp;$A74-1,$A$4:$A73,"&lt;="&amp;$A74,$B$4:$B73,$B74)&gt;0,MIN(AS$1,IF($A74=$A73,AS73,1))-X74&lt;0),-1,MIN(1,IF($A74=$A73,AS73,1)-X74+$D$3))</f>
        <v>#N/A</v>
      </c>
      <c r="AT74" t="e">
        <f>IF(OR($J74=0,COUNTIFS($A$4:$A73,"&gt;="&amp;$A74-1,$A$4:$A73,"&lt;="&amp;$A74,$B$4:$B73,$B74)&gt;0,MIN(AT$1,IF($A74=$A73,AT73,1))-Y74&lt;0),-1,MIN(1,IF($A74=$A73,AT73,1)-Y74+$D$3))</f>
        <v>#N/A</v>
      </c>
      <c r="AU74" t="e">
        <f>IF(OR($J74=0,COUNTIFS($A$4:$A73,"&gt;="&amp;$A74-1,$A$4:$A73,"&lt;="&amp;$A74,$B$4:$B73,$B74)&gt;0,MIN(AU$1,IF($A74=$A73,AU73,1))-Z74&lt;0),-1,MIN(1,IF($A74=$A73,AU73,1)-Z74+$D$3))</f>
        <v>#N/A</v>
      </c>
      <c r="AV74" t="e">
        <f>IF(OR($J74=0,COUNTIFS($A$4:$A73,"&gt;="&amp;$A74-1,$A$4:$A73,"&lt;="&amp;$A74,$B$4:$B73,$B74)&gt;0,MIN(AV$1,IF($A74=$A73,AV73,1))-AA74&lt;0),-1,MIN(1,IF($A74=$A73,AV73,1)-AA74+$D$3))</f>
        <v>#N/A</v>
      </c>
      <c r="AW74" t="e">
        <f>IF(OR($J74=0,COUNTIFS($A$4:$A73,"&gt;="&amp;$A74-1,$A$4:$A73,"&lt;="&amp;$A74,$B$4:$B73,$B74)&gt;0,MIN(AW$1,IF($A74=$A73,AW73,1))-AB74&lt;0),-1,MIN(1,IF($A74=$A73,AW73,1)-AB74+$D$3))</f>
        <v>#N/A</v>
      </c>
      <c r="AX74" t="e">
        <f>IF(OR($J74=0,COUNTIFS($A$4:$A73,"&gt;="&amp;$A74-1,$A$4:$A73,"&lt;="&amp;$A74,$B$4:$B73,$B74)&gt;0,MIN(AX$1,IF($A74=$A73,AX73,1))-AC74&lt;0),-1,MIN(1,IF($A74=$A73,AX73,1)-AC74+$D$3))</f>
        <v>#N/A</v>
      </c>
      <c r="AY74" t="e">
        <f>IF(OR($J74=0,COUNTIFS($A$4:$A73,"&gt;="&amp;$A74-1,$A$4:$A73,"&lt;="&amp;$A74,$B$4:$B73,$B74)&gt;0,MIN(AY$1,IF($A74=$A73,AY73,1))-AD74&lt;0),-1,MIN(1,IF($A74=$A73,AY73,1)-AD74+$D$3))</f>
        <v>#N/A</v>
      </c>
      <c r="AZ74" t="e">
        <f>IF(OR($J74=0,COUNTIFS($A$4:$A73,"&gt;="&amp;$A74-1,$A$4:$A73,"&lt;="&amp;$A74,$B$4:$B73,$B74)&gt;0,MIN(AZ$1,IF($A74=$A73,AZ73,1))-AE74&lt;0),-1,MIN(1,IF($A74=$A73,AZ73,1)-AE74+$D$3))</f>
        <v>#N/A</v>
      </c>
      <c r="BA74" t="e">
        <f>IF(OR($J74=0,COUNTIFS($A$4:$A73,"&gt;="&amp;$A74-1,$A$4:$A73,"&lt;="&amp;$A74,$B$4:$B73,$B74)&gt;0,MIN(BA$1,IF($A74=$A73,BA73,1))-AF74&lt;0),-1,MIN(1,IF($A74=$A73,BA73,1)-AF74+$D$3))</f>
        <v>#N/A</v>
      </c>
      <c r="BB74" t="e">
        <f>IF(OR($J74=0,COUNTIFS($A$4:$A73,"&gt;="&amp;$A74-1,$A$4:$A73,"&lt;="&amp;$A74,$B$4:$B73,$B74)&gt;0,MIN(BB$1,IF($A74=$A73,BB73,1))-AG74&lt;0),-1,MIN(1,IF($A74=$A73,BB73,1)-AG74+$D$3))</f>
        <v>#N/A</v>
      </c>
      <c r="BC74" t="e">
        <f>IF(OR($J74=0,COUNTIFS($A$4:$A73,"&gt;="&amp;$A74-1,$A$4:$A73,"&lt;="&amp;$A74,$B$4:$B73,$B74)&gt;0,MIN(BC$1,IF($A74=$A73,BC73,1))-AH74&lt;0),-1,MIN(1,IF($A74=$A73,BC73,1)-AH74+$D$3))</f>
        <v>#N/A</v>
      </c>
      <c r="BD74" t="e">
        <f>IF(OR($J74=0,COUNTIFS($A$4:$A73,"&gt;="&amp;$A74-1,$A$4:$A73,"&lt;="&amp;$A74,$B$4:$B73,$B74)&gt;0,MIN(BD$1,IF($A74=$A73,BD73,1))-AI74&lt;0),-1,MIN(1,IF($A74=$A73,BD73,1)-AI74+$D$3))</f>
        <v>#N/A</v>
      </c>
      <c r="BF74" s="44">
        <f t="shared" si="179"/>
        <v>5.8473388808429373E-2</v>
      </c>
      <c r="BG74" s="44">
        <f t="shared" si="180"/>
        <v>0.14380256317453985</v>
      </c>
      <c r="BH74" s="44">
        <f t="shared" si="181"/>
        <v>0.14738250070568684</v>
      </c>
      <c r="BI74" s="44">
        <f t="shared" si="182"/>
        <v>0.1361405116280561</v>
      </c>
      <c r="BJ74" s="44">
        <f t="shared" si="183"/>
        <v>0.14071414339773469</v>
      </c>
      <c r="BK74" s="44">
        <f t="shared" si="184"/>
        <v>6.0427899693323163E-2</v>
      </c>
      <c r="BL74" s="44">
        <f t="shared" si="185"/>
        <v>3.2644102089877433E-2</v>
      </c>
      <c r="BM74" s="44">
        <f t="shared" si="186"/>
        <v>8.3042783700459435E-2</v>
      </c>
      <c r="BN74" s="44">
        <f t="shared" si="187"/>
        <v>8.6370967019475137E-2</v>
      </c>
      <c r="BO74" s="44">
        <f t="shared" si="188"/>
        <v>4.0476712547355645E-2</v>
      </c>
      <c r="BP74" s="44">
        <f t="shared" si="189"/>
        <v>0.13610204411129645</v>
      </c>
      <c r="BQ74" s="44">
        <f t="shared" si="190"/>
        <v>3.6728307719419373E-2</v>
      </c>
      <c r="BR74" s="44">
        <f t="shared" si="191"/>
        <v>0.1085046150600894</v>
      </c>
      <c r="BS74" s="44">
        <f t="shared" si="192"/>
        <v>5.8517978770500266E-2</v>
      </c>
      <c r="BT74" s="44">
        <f t="shared" si="193"/>
        <v>0.23157358222893085</v>
      </c>
      <c r="BU74" s="44">
        <f t="shared" si="194"/>
        <v>0.22122245418280806</v>
      </c>
      <c r="BV74" s="44">
        <f t="shared" si="195"/>
        <v>0.21245472601287865</v>
      </c>
      <c r="BW74" s="44">
        <f t="shared" si="196"/>
        <v>0.13895708228463566</v>
      </c>
      <c r="BX74" s="44">
        <f t="shared" si="197"/>
        <v>0.10265896903517216</v>
      </c>
      <c r="BY74" s="44">
        <f t="shared" si="198"/>
        <v>8.8144524225404822E-2</v>
      </c>
      <c r="CA74" s="44" t="str">
        <f t="shared" si="199"/>
        <v/>
      </c>
      <c r="CB74" s="44" t="str">
        <f t="shared" si="200"/>
        <v/>
      </c>
      <c r="CC74" s="44" t="str">
        <f t="shared" si="201"/>
        <v/>
      </c>
      <c r="CD74" s="44" t="str">
        <f t="shared" si="202"/>
        <v/>
      </c>
      <c r="CE74" s="44" t="str">
        <f t="shared" si="203"/>
        <v/>
      </c>
      <c r="CF74" s="44" t="str">
        <f t="shared" si="204"/>
        <v/>
      </c>
      <c r="CG74" s="44" t="str">
        <f t="shared" si="205"/>
        <v/>
      </c>
      <c r="CH74" s="44" t="str">
        <f t="shared" si="206"/>
        <v/>
      </c>
      <c r="CI74" s="44" t="str">
        <f t="shared" si="207"/>
        <v/>
      </c>
      <c r="CJ74" s="44" t="str">
        <f t="shared" si="208"/>
        <v/>
      </c>
      <c r="CK74" s="44" t="str">
        <f t="shared" si="209"/>
        <v/>
      </c>
      <c r="CL74" s="44" t="str">
        <f t="shared" si="210"/>
        <v/>
      </c>
      <c r="CM74" s="44" t="str">
        <f t="shared" si="211"/>
        <v/>
      </c>
      <c r="CN74" s="44" t="str">
        <f t="shared" si="212"/>
        <v/>
      </c>
      <c r="CO74" s="44" t="str">
        <f t="shared" si="213"/>
        <v/>
      </c>
      <c r="CP74" s="44" t="str">
        <f t="shared" si="214"/>
        <v/>
      </c>
      <c r="CQ74" s="44" t="str">
        <f t="shared" si="215"/>
        <v/>
      </c>
      <c r="CR74" s="44" t="str">
        <f t="shared" si="216"/>
        <v/>
      </c>
      <c r="CS74" s="44" t="str">
        <f t="shared" si="217"/>
        <v/>
      </c>
      <c r="CT74" s="44" t="str">
        <f t="shared" si="218"/>
        <v/>
      </c>
      <c r="CV74" s="44">
        <f t="shared" si="219"/>
        <v>0</v>
      </c>
    </row>
    <row r="75" spans="1:100" x14ac:dyDescent="0.25">
      <c r="A75" s="49"/>
      <c r="B75" s="50"/>
      <c r="C75" s="51" t="str" cm="1">
        <f t="array" ref="C75">IF(B75="","",INDEX(UWS!$B$10:$B$41,B75))</f>
        <v/>
      </c>
      <c r="D75" s="45" t="str">
        <f t="shared" si="176"/>
        <v/>
      </c>
      <c r="E75" s="70" t="str">
        <f t="shared" si="177"/>
        <v/>
      </c>
      <c r="F75" s="52" cm="1">
        <f t="array" ref="F75">0.1+IFERROR(INDEX($F$5:$F74,SUMPRODUCT(MAX(ROW($C$5:$C74)*($C75=$C$5:$C74))-ROW($A$4)))*0.9^($A75-INDEX($A$5:A74,SUMPRODUCT(MAX(ROW($C$5:$C74)*($C75=$C$5:$C74))-ROW($A$4)))),0)</f>
        <v>0.99999999999999989</v>
      </c>
      <c r="G75" s="56" t="e">
        <f>INDEX(UWS!$AB$10:$AB$41,MATCH(C75,UWS!$B$10:$B$41,0))</f>
        <v>#N/A</v>
      </c>
      <c r="H75" s="52" t="e">
        <f>INDEX(UWS!$C$10:$C$41,MATCH(C75,UWS!$B$10:$B$41,0))</f>
        <v>#N/A</v>
      </c>
      <c r="I75" s="46">
        <f t="shared" si="178"/>
        <v>5</v>
      </c>
      <c r="J75" s="46" t="e">
        <f>INDEX(UWS!$E$10:$E$41,MATCH(C75,UWS!$B$10:$B$41,0))</f>
        <v>#N/A</v>
      </c>
      <c r="K75" s="46"/>
      <c r="L75" s="109" t="str" cm="1">
        <f t="array" ref="L75">IF(K75="","",INDEX(UWS!$B$10:$B$41,K75))</f>
        <v/>
      </c>
      <c r="M75" s="46"/>
      <c r="N75" s="109" t="str" cm="1">
        <f t="array" ref="N75">IF(M75="","",INDEX(UWS!$B$10:$B$41,M75))</f>
        <v/>
      </c>
      <c r="O75" s="47"/>
      <c r="P75" s="47">
        <f>IFERROR(INDEX(UWS!$G$10:$Z$41,MATCH($C75,UWS!$B$10:$B$41,0),MATCH(P$4,UWS!$G$3:$Z$3,0)),0)</f>
        <v>0</v>
      </c>
      <c r="Q75" s="47">
        <f>IFERROR(INDEX(UWS!$G$10:$Z$41,MATCH($C75,UWS!$B$10:$B$41,0),MATCH(Q$4,UWS!$G$3:$Z$3,0)),0)</f>
        <v>0</v>
      </c>
      <c r="R75" s="47">
        <f>IFERROR(INDEX(UWS!$G$10:$Z$41,MATCH($C75,UWS!$B$10:$B$41,0),MATCH(R$4,UWS!$G$3:$Z$3,0)),0)</f>
        <v>0</v>
      </c>
      <c r="S75" s="47">
        <f>IFERROR(INDEX(UWS!$G$10:$Z$41,MATCH($C75,UWS!$B$10:$B$41,0),MATCH(S$4,UWS!$G$3:$Z$3,0)),0)</f>
        <v>0</v>
      </c>
      <c r="T75" s="47">
        <f>IFERROR(INDEX(UWS!$G$10:$Z$41,MATCH($C75,UWS!$B$10:$B$41,0),MATCH(T$4,UWS!$G$3:$Z$3,0)),0)</f>
        <v>0</v>
      </c>
      <c r="U75" s="47">
        <f>IFERROR(INDEX(UWS!$G$10:$Z$41,MATCH($C75,UWS!$B$10:$B$41,0),MATCH(U$4,UWS!$G$3:$Z$3,0)),0)</f>
        <v>0</v>
      </c>
      <c r="V75" s="47">
        <f>IFERROR(INDEX(UWS!$G$10:$Z$41,MATCH($C75,UWS!$B$10:$B$41,0),MATCH(V$4,UWS!$G$3:$Z$3,0)),0)</f>
        <v>0</v>
      </c>
      <c r="W75" s="47">
        <f>IFERROR(INDEX(UWS!$G$10:$Z$41,MATCH($C75,UWS!$B$10:$B$41,0),MATCH(W$4,UWS!$G$3:$Z$3,0)),0)</f>
        <v>0</v>
      </c>
      <c r="X75" s="47">
        <f>IFERROR(INDEX(UWS!$G$10:$Z$41,MATCH($C75,UWS!$B$10:$B$41,0),MATCH(X$4,UWS!$G$3:$Z$3,0)),0)</f>
        <v>0</v>
      </c>
      <c r="Y75" s="47">
        <f>IFERROR(INDEX(UWS!$G$10:$Z$41,MATCH($C75,UWS!$B$10:$B$41,0),MATCH(Y$4,UWS!$G$3:$Z$3,0)),0)</f>
        <v>0</v>
      </c>
      <c r="Z75" s="47">
        <f>IFERROR(INDEX(UWS!$G$10:$Z$41,MATCH($C75,UWS!$B$10:$B$41,0),MATCH(Z$4,UWS!$G$3:$Z$3,0)),0)</f>
        <v>0</v>
      </c>
      <c r="AA75" s="47">
        <f>IFERROR(INDEX(UWS!$G$10:$Z$41,MATCH($C75,UWS!$B$10:$B$41,0),MATCH(AA$4,UWS!$G$3:$Z$3,0)),0)</f>
        <v>0</v>
      </c>
      <c r="AB75" s="47">
        <f>IFERROR(INDEX(UWS!$G$10:$Z$41,MATCH($C75,UWS!$B$10:$B$41,0),MATCH(AB$4,UWS!$G$3:$Z$3,0)),0)</f>
        <v>0</v>
      </c>
      <c r="AC75" s="47">
        <f>IFERROR(INDEX(UWS!$G$10:$Z$41,MATCH($C75,UWS!$B$10:$B$41,0),MATCH(AC$4,UWS!$G$3:$Z$3,0)),0)</f>
        <v>0</v>
      </c>
      <c r="AD75" s="47">
        <f>IFERROR(INDEX(UWS!$G$10:$Z$41,MATCH($C75,UWS!$B$10:$B$41,0),MATCH(AD$4,UWS!$G$3:$Z$3,0)),0)</f>
        <v>0</v>
      </c>
      <c r="AE75" s="47">
        <f>IFERROR(INDEX(UWS!$G$10:$Z$41,MATCH($C75,UWS!$B$10:$B$41,0),MATCH(AE$4,UWS!$G$3:$Z$3,0)),0)</f>
        <v>0</v>
      </c>
      <c r="AF75" s="47">
        <f>IFERROR(INDEX(UWS!$G$10:$Z$41,MATCH($C75,UWS!$B$10:$B$41,0),MATCH(AF$4,UWS!$G$3:$Z$3,0)),0)</f>
        <v>0</v>
      </c>
      <c r="AG75" s="47">
        <f>IFERROR(INDEX(UWS!$G$10:$Z$41,MATCH($C75,UWS!$B$10:$B$41,0),MATCH(AG$4,UWS!$G$3:$Z$3,0)),0)</f>
        <v>0</v>
      </c>
      <c r="AH75" s="47">
        <f>IFERROR(INDEX(UWS!$G$10:$Z$41,MATCH($C75,UWS!$B$10:$B$41,0),MATCH(AH$4,UWS!$G$3:$Z$3,0)),0)</f>
        <v>0</v>
      </c>
      <c r="AI75" s="47">
        <f>IFERROR(INDEX(UWS!$G$10:$Z$41,MATCH($C75,UWS!$B$10:$B$41,0),MATCH(AI$4,UWS!$G$3:$Z$3,0)),0)</f>
        <v>0</v>
      </c>
      <c r="AJ75" s="47"/>
      <c r="AK75" s="47" t="e">
        <f>IF(OR($J75=0,COUNTIFS($A$4:$A74,"&gt;="&amp;$A75-1,$A$4:$A74,"&lt;="&amp;$A75,$B$4:$B74,$B75)&gt;0,MIN(AK$1,IF($A75=$A74,AK74,1))-P75&lt;0),-1,MIN(1,IF($A75=$A74,AK74,1)-P75+$D$3))</f>
        <v>#N/A</v>
      </c>
      <c r="AL75" s="47" t="e">
        <f>IF(OR($J75=0,COUNTIFS($A$4:$A74,"&gt;="&amp;$A75-1,$A$4:$A74,"&lt;="&amp;$A75,$B$4:$B74,$B75)&gt;0,MIN(AL$1,IF($A75=$A74,AL74,1))-Q75&lt;0),-1,MIN(1,IF($A75=$A74,AL74,1)-Q75+$D$3))</f>
        <v>#N/A</v>
      </c>
      <c r="AM75" s="47" t="e">
        <f>IF(OR($J75=0,COUNTIFS($A$4:$A74,"&gt;="&amp;$A75-1,$A$4:$A74,"&lt;="&amp;$A75,$B$4:$B74,$B75)&gt;0,MIN(AM$1,IF($A75=$A74,AM74,1))-R75&lt;0),-1,MIN(1,IF($A75=$A74,AM74,1)-R75+$D$3))</f>
        <v>#N/A</v>
      </c>
      <c r="AN75" s="47" t="e">
        <f>IF(OR($J75=0,COUNTIFS($A$4:$A74,"&gt;="&amp;$A75-1,$A$4:$A74,"&lt;="&amp;$A75,$B$4:$B74,$B75)&gt;0,MIN(AN$1,IF($A75=$A74,AN74,1))-S75&lt;0),-1,MIN(1,IF($A75=$A74,AN74,1)-S75+$D$3))</f>
        <v>#N/A</v>
      </c>
      <c r="AO75" s="47" t="e">
        <f>IF(OR($J75=0,COUNTIFS($A$4:$A74,"&gt;="&amp;$A75-1,$A$4:$A74,"&lt;="&amp;$A75,$B$4:$B74,$B75)&gt;0,MIN(AO$1,IF($A75=$A74,AO74,1))-T75&lt;0),-1,MIN(1,IF($A75=$A74,AO74,1)-T75+$D$3))</f>
        <v>#N/A</v>
      </c>
      <c r="AP75" s="47" t="e">
        <f>IF(OR($J75=0,COUNTIFS($A$4:$A74,"&gt;="&amp;$A75-1,$A$4:$A74,"&lt;="&amp;$A75,$B$4:$B74,$B75)&gt;0,MIN(AP$1,IF($A75=$A74,AP74,1))-U75&lt;0),-1,MIN(1,IF($A75=$A74,AP74,1)-U75+$D$3))</f>
        <v>#N/A</v>
      </c>
      <c r="AQ75" s="47" t="e">
        <f>IF(OR($J75=0,COUNTIFS($A$4:$A74,"&gt;="&amp;$A75-1,$A$4:$A74,"&lt;="&amp;$A75,$B$4:$B74,$B75)&gt;0,MIN(AQ$1,IF($A75=$A74,AQ74,1))-V75&lt;0),-1,MIN(1,IF($A75=$A74,AQ74,1)-V75+$D$3))</f>
        <v>#N/A</v>
      </c>
      <c r="AR75" s="47" t="e">
        <f>IF(OR($J75=0,COUNTIFS($A$4:$A74,"&gt;="&amp;$A75-1,$A$4:$A74,"&lt;="&amp;$A75,$B$4:$B74,$B75)&gt;0,MIN(AR$1,IF($A75=$A74,AR74,1))-W75&lt;0),-1,MIN(1,IF($A75=$A74,AR74,1)-W75+$D$3))</f>
        <v>#N/A</v>
      </c>
      <c r="AS75" s="47" t="e">
        <f>IF(OR($J75=0,COUNTIFS($A$4:$A74,"&gt;="&amp;$A75-1,$A$4:$A74,"&lt;="&amp;$A75,$B$4:$B74,$B75)&gt;0,MIN(AS$1,IF($A75=$A74,AS74,1))-X75&lt;0),-1,MIN(1,IF($A75=$A74,AS74,1)-X75+$D$3))</f>
        <v>#N/A</v>
      </c>
      <c r="AT75" s="47" t="e">
        <f>IF(OR($J75=0,COUNTIFS($A$4:$A74,"&gt;="&amp;$A75-1,$A$4:$A74,"&lt;="&amp;$A75,$B$4:$B74,$B75)&gt;0,MIN(AT$1,IF($A75=$A74,AT74,1))-Y75&lt;0),-1,MIN(1,IF($A75=$A74,AT74,1)-Y75+$D$3))</f>
        <v>#N/A</v>
      </c>
      <c r="AU75" s="47" t="e">
        <f>IF(OR($J75=0,COUNTIFS($A$4:$A74,"&gt;="&amp;$A75-1,$A$4:$A74,"&lt;="&amp;$A75,$B$4:$B74,$B75)&gt;0,MIN(AU$1,IF($A75=$A74,AU74,1))-Z75&lt;0),-1,MIN(1,IF($A75=$A74,AU74,1)-Z75+$D$3))</f>
        <v>#N/A</v>
      </c>
      <c r="AV75" s="47" t="e">
        <f>IF(OR($J75=0,COUNTIFS($A$4:$A74,"&gt;="&amp;$A75-1,$A$4:$A74,"&lt;="&amp;$A75,$B$4:$B74,$B75)&gt;0,MIN(AV$1,IF($A75=$A74,AV74,1))-AA75&lt;0),-1,MIN(1,IF($A75=$A74,AV74,1)-AA75+$D$3))</f>
        <v>#N/A</v>
      </c>
      <c r="AW75" s="47" t="e">
        <f>IF(OR($J75=0,COUNTIFS($A$4:$A74,"&gt;="&amp;$A75-1,$A$4:$A74,"&lt;="&amp;$A75,$B$4:$B74,$B75)&gt;0,MIN(AW$1,IF($A75=$A74,AW74,1))-AB75&lt;0),-1,MIN(1,IF($A75=$A74,AW74,1)-AB75+$D$3))</f>
        <v>#N/A</v>
      </c>
      <c r="AX75" s="47" t="e">
        <f>IF(OR($J75=0,COUNTIFS($A$4:$A74,"&gt;="&amp;$A75-1,$A$4:$A74,"&lt;="&amp;$A75,$B$4:$B74,$B75)&gt;0,MIN(AX$1,IF($A75=$A74,AX74,1))-AC75&lt;0),-1,MIN(1,IF($A75=$A74,AX74,1)-AC75+$D$3))</f>
        <v>#N/A</v>
      </c>
      <c r="AY75" s="47" t="e">
        <f>IF(OR($J75=0,COUNTIFS($A$4:$A74,"&gt;="&amp;$A75-1,$A$4:$A74,"&lt;="&amp;$A75,$B$4:$B74,$B75)&gt;0,MIN(AY$1,IF($A75=$A74,AY74,1))-AD75&lt;0),-1,MIN(1,IF($A75=$A74,AY74,1)-AD75+$D$3))</f>
        <v>#N/A</v>
      </c>
      <c r="AZ75" s="47" t="e">
        <f>IF(OR($J75=0,COUNTIFS($A$4:$A74,"&gt;="&amp;$A75-1,$A$4:$A74,"&lt;="&amp;$A75,$B$4:$B74,$B75)&gt;0,MIN(AZ$1,IF($A75=$A74,AZ74,1))-AE75&lt;0),-1,MIN(1,IF($A75=$A74,AZ74,1)-AE75+$D$3))</f>
        <v>#N/A</v>
      </c>
      <c r="BA75" s="47" t="e">
        <f>IF(OR($J75=0,COUNTIFS($A$4:$A74,"&gt;="&amp;$A75-1,$A$4:$A74,"&lt;="&amp;$A75,$B$4:$B74,$B75)&gt;0,MIN(BA$1,IF($A75=$A74,BA74,1))-AF75&lt;0),-1,MIN(1,IF($A75=$A74,BA74,1)-AF75+$D$3))</f>
        <v>#N/A</v>
      </c>
      <c r="BB75" s="47" t="e">
        <f>IF(OR($J75=0,COUNTIFS($A$4:$A74,"&gt;="&amp;$A75-1,$A$4:$A74,"&lt;="&amp;$A75,$B$4:$B74,$B75)&gt;0,MIN(BB$1,IF($A75=$A74,BB74,1))-AG75&lt;0),-1,MIN(1,IF($A75=$A74,BB74,1)-AG75+$D$3))</f>
        <v>#N/A</v>
      </c>
      <c r="BC75" s="47" t="e">
        <f>IF(OR($J75=0,COUNTIFS($A$4:$A74,"&gt;="&amp;$A75-1,$A$4:$A74,"&lt;="&amp;$A75,$B$4:$B74,$B75)&gt;0,MIN(BC$1,IF($A75=$A74,BC74,1))-AH75&lt;0),-1,MIN(1,IF($A75=$A74,BC74,1)-AH75+$D$3))</f>
        <v>#N/A</v>
      </c>
      <c r="BD75" s="47" t="e">
        <f>IF(OR($J75=0,COUNTIFS($A$4:$A74,"&gt;="&amp;$A75-1,$A$4:$A74,"&lt;="&amp;$A75,$B$4:$B74,$B75)&gt;0,MIN(BD$1,IF($A75=$A74,BD74,1))-AI75&lt;0),-1,MIN(1,IF($A75=$A74,BD74,1)-AI75+$D$3))</f>
        <v>#N/A</v>
      </c>
      <c r="BE75" s="47"/>
      <c r="BF75" s="53">
        <f t="shared" si="179"/>
        <v>5.5549719368007899E-2</v>
      </c>
      <c r="BG75" s="53">
        <f t="shared" si="180"/>
        <v>0.13661243501581286</v>
      </c>
      <c r="BH75" s="53">
        <f t="shared" si="181"/>
        <v>0.14001337567040251</v>
      </c>
      <c r="BI75" s="53">
        <f t="shared" si="182"/>
        <v>0.12933348604665329</v>
      </c>
      <c r="BJ75" s="53">
        <f t="shared" si="183"/>
        <v>0.13367843622784795</v>
      </c>
      <c r="BK75" s="53">
        <f t="shared" si="184"/>
        <v>5.7406504708657005E-2</v>
      </c>
      <c r="BL75" s="53">
        <f t="shared" si="185"/>
        <v>3.101189698538356E-2</v>
      </c>
      <c r="BM75" s="53">
        <f t="shared" si="186"/>
        <v>7.8890644515436453E-2</v>
      </c>
      <c r="BN75" s="53">
        <f t="shared" si="187"/>
        <v>8.2052418668501381E-2</v>
      </c>
      <c r="BO75" s="53">
        <f t="shared" si="188"/>
        <v>3.8452876919987861E-2</v>
      </c>
      <c r="BP75" s="53">
        <f t="shared" si="189"/>
        <v>0.12929694190573163</v>
      </c>
      <c r="BQ75" s="53">
        <f t="shared" si="190"/>
        <v>3.4891892333448402E-2</v>
      </c>
      <c r="BR75" s="53">
        <f t="shared" si="191"/>
        <v>0.10307938430708492</v>
      </c>
      <c r="BS75" s="53">
        <f t="shared" si="192"/>
        <v>5.5592079831975248E-2</v>
      </c>
      <c r="BT75" s="53">
        <f t="shared" si="193"/>
        <v>0.21999490311748429</v>
      </c>
      <c r="BU75" s="53">
        <f t="shared" si="194"/>
        <v>0.21016133147366764</v>
      </c>
      <c r="BV75" s="53">
        <f t="shared" si="195"/>
        <v>0.20183198971223471</v>
      </c>
      <c r="BW75" s="53">
        <f t="shared" si="196"/>
        <v>0.13200922817040386</v>
      </c>
      <c r="BX75" s="53">
        <f t="shared" si="197"/>
        <v>9.7526020583413545E-2</v>
      </c>
      <c r="BY75" s="53">
        <f t="shared" si="198"/>
        <v>8.373729801413457E-2</v>
      </c>
      <c r="BZ75" s="47"/>
      <c r="CA75" s="53" t="str">
        <f t="shared" si="199"/>
        <v/>
      </c>
      <c r="CB75" s="53" t="str">
        <f t="shared" si="200"/>
        <v/>
      </c>
      <c r="CC75" s="53" t="str">
        <f t="shared" si="201"/>
        <v/>
      </c>
      <c r="CD75" s="53" t="str">
        <f t="shared" si="202"/>
        <v/>
      </c>
      <c r="CE75" s="53" t="str">
        <f t="shared" si="203"/>
        <v/>
      </c>
      <c r="CF75" s="53" t="str">
        <f t="shared" si="204"/>
        <v/>
      </c>
      <c r="CG75" s="53" t="str">
        <f t="shared" si="205"/>
        <v/>
      </c>
      <c r="CH75" s="53" t="str">
        <f t="shared" si="206"/>
        <v/>
      </c>
      <c r="CI75" s="53" t="str">
        <f t="shared" si="207"/>
        <v/>
      </c>
      <c r="CJ75" s="53" t="str">
        <f t="shared" si="208"/>
        <v/>
      </c>
      <c r="CK75" s="53" t="str">
        <f t="shared" si="209"/>
        <v/>
      </c>
      <c r="CL75" s="53" t="str">
        <f t="shared" si="210"/>
        <v/>
      </c>
      <c r="CM75" s="53" t="str">
        <f t="shared" si="211"/>
        <v/>
      </c>
      <c r="CN75" s="53" t="str">
        <f t="shared" si="212"/>
        <v/>
      </c>
      <c r="CO75" s="53" t="str">
        <f t="shared" si="213"/>
        <v/>
      </c>
      <c r="CP75" s="53" t="str">
        <f t="shared" si="214"/>
        <v/>
      </c>
      <c r="CQ75" s="53" t="str">
        <f t="shared" si="215"/>
        <v/>
      </c>
      <c r="CR75" s="53" t="str">
        <f t="shared" si="216"/>
        <v/>
      </c>
      <c r="CS75" s="53" t="str">
        <f t="shared" si="217"/>
        <v/>
      </c>
      <c r="CT75" s="53" t="str">
        <f t="shared" si="218"/>
        <v/>
      </c>
      <c r="CU75" s="47"/>
      <c r="CV75" s="53">
        <f t="shared" si="219"/>
        <v>0</v>
      </c>
    </row>
    <row r="76" spans="1:100" x14ac:dyDescent="0.25">
      <c r="A76" s="41"/>
      <c r="B76" s="42"/>
      <c r="C76" s="43" t="str" cm="1">
        <f t="array" ref="C76">IF(B76="","",INDEX(UWS!$B$10:$B$41,B76))</f>
        <v/>
      </c>
      <c r="D76" s="40" t="str">
        <f t="shared" si="176"/>
        <v/>
      </c>
      <c r="E76" s="69" t="str">
        <f t="shared" si="177"/>
        <v/>
      </c>
      <c r="F76" s="48" cm="1">
        <f t="array" ref="F76">0.1+IFERROR(INDEX($F$5:$F75,SUMPRODUCT(MAX(ROW($C$5:$C75)*($C76=$C$5:$C75))-ROW($A$4)))*0.9^($A76-INDEX($A$5:A75,SUMPRODUCT(MAX(ROW($C$5:$C75)*($C76=$C$5:$C75))-ROW($A$4)))),0)</f>
        <v>1.0999999999999999</v>
      </c>
      <c r="G76" s="55" t="e">
        <f>INDEX(UWS!$AB$10:$AB$41,MATCH(C76,UWS!$B$10:$B$41,0))</f>
        <v>#N/A</v>
      </c>
      <c r="H76" s="48" t="e">
        <f>INDEX(UWS!$C$10:$C$41,MATCH(C76,UWS!$B$10:$B$41,0))</f>
        <v>#N/A</v>
      </c>
      <c r="I76" s="82">
        <f t="shared" si="178"/>
        <v>5</v>
      </c>
      <c r="J76" s="27" t="e">
        <f>INDEX(UWS!$E$10:$E$41,MATCH(C76,UWS!$B$10:$B$41,0))</f>
        <v>#N/A</v>
      </c>
      <c r="L76" s="108" t="str" cm="1">
        <f t="array" ref="L76">IF(K76="","",INDEX(UWS!$B$10:$B$41,K76))</f>
        <v/>
      </c>
      <c r="N76" s="108" t="str" cm="1">
        <f t="array" ref="N76">IF(M76="","",INDEX(UWS!$B$10:$B$41,M76))</f>
        <v/>
      </c>
      <c r="P76">
        <f>IFERROR(INDEX(UWS!$G$10:$Z$41,MATCH($C76,UWS!$B$10:$B$41,0),MATCH(P$4,UWS!$G$3:$Z$3,0)),0)</f>
        <v>0</v>
      </c>
      <c r="Q76">
        <f>IFERROR(INDEX(UWS!$G$10:$Z$41,MATCH($C76,UWS!$B$10:$B$41,0),MATCH(Q$4,UWS!$G$3:$Z$3,0)),0)</f>
        <v>0</v>
      </c>
      <c r="R76">
        <f>IFERROR(INDEX(UWS!$G$10:$Z$41,MATCH($C76,UWS!$B$10:$B$41,0),MATCH(R$4,UWS!$G$3:$Z$3,0)),0)</f>
        <v>0</v>
      </c>
      <c r="S76">
        <f>IFERROR(INDEX(UWS!$G$10:$Z$41,MATCH($C76,UWS!$B$10:$B$41,0),MATCH(S$4,UWS!$G$3:$Z$3,0)),0)</f>
        <v>0</v>
      </c>
      <c r="T76">
        <f>IFERROR(INDEX(UWS!$G$10:$Z$41,MATCH($C76,UWS!$B$10:$B$41,0),MATCH(T$4,UWS!$G$3:$Z$3,0)),0)</f>
        <v>0</v>
      </c>
      <c r="U76">
        <f>IFERROR(INDEX(UWS!$G$10:$Z$41,MATCH($C76,UWS!$B$10:$B$41,0),MATCH(U$4,UWS!$G$3:$Z$3,0)),0)</f>
        <v>0</v>
      </c>
      <c r="V76">
        <f>IFERROR(INDEX(UWS!$G$10:$Z$41,MATCH($C76,UWS!$B$10:$B$41,0),MATCH(V$4,UWS!$G$3:$Z$3,0)),0)</f>
        <v>0</v>
      </c>
      <c r="W76">
        <f>IFERROR(INDEX(UWS!$G$10:$Z$41,MATCH($C76,UWS!$B$10:$B$41,0),MATCH(W$4,UWS!$G$3:$Z$3,0)),0)</f>
        <v>0</v>
      </c>
      <c r="X76">
        <f>IFERROR(INDEX(UWS!$G$10:$Z$41,MATCH($C76,UWS!$B$10:$B$41,0),MATCH(X$4,UWS!$G$3:$Z$3,0)),0)</f>
        <v>0</v>
      </c>
      <c r="Y76">
        <f>IFERROR(INDEX(UWS!$G$10:$Z$41,MATCH($C76,UWS!$B$10:$B$41,0),MATCH(Y$4,UWS!$G$3:$Z$3,0)),0)</f>
        <v>0</v>
      </c>
      <c r="Z76">
        <f>IFERROR(INDEX(UWS!$G$10:$Z$41,MATCH($C76,UWS!$B$10:$B$41,0),MATCH(Z$4,UWS!$G$3:$Z$3,0)),0)</f>
        <v>0</v>
      </c>
      <c r="AA76">
        <f>IFERROR(INDEX(UWS!$G$10:$Z$41,MATCH($C76,UWS!$B$10:$B$41,0),MATCH(AA$4,UWS!$G$3:$Z$3,0)),0)</f>
        <v>0</v>
      </c>
      <c r="AB76">
        <f>IFERROR(INDEX(UWS!$G$10:$Z$41,MATCH($C76,UWS!$B$10:$B$41,0),MATCH(AB$4,UWS!$G$3:$Z$3,0)),0)</f>
        <v>0</v>
      </c>
      <c r="AC76">
        <f>IFERROR(INDEX(UWS!$G$10:$Z$41,MATCH($C76,UWS!$B$10:$B$41,0),MATCH(AC$4,UWS!$G$3:$Z$3,0)),0)</f>
        <v>0</v>
      </c>
      <c r="AD76">
        <f>IFERROR(INDEX(UWS!$G$10:$Z$41,MATCH($C76,UWS!$B$10:$B$41,0),MATCH(AD$4,UWS!$G$3:$Z$3,0)),0)</f>
        <v>0</v>
      </c>
      <c r="AE76">
        <f>IFERROR(INDEX(UWS!$G$10:$Z$41,MATCH($C76,UWS!$B$10:$B$41,0),MATCH(AE$4,UWS!$G$3:$Z$3,0)),0)</f>
        <v>0</v>
      </c>
      <c r="AF76">
        <f>IFERROR(INDEX(UWS!$G$10:$Z$41,MATCH($C76,UWS!$B$10:$B$41,0),MATCH(AF$4,UWS!$G$3:$Z$3,0)),0)</f>
        <v>0</v>
      </c>
      <c r="AG76">
        <f>IFERROR(INDEX(UWS!$G$10:$Z$41,MATCH($C76,UWS!$B$10:$B$41,0),MATCH(AG$4,UWS!$G$3:$Z$3,0)),0)</f>
        <v>0</v>
      </c>
      <c r="AH76">
        <f>IFERROR(INDEX(UWS!$G$10:$Z$41,MATCH($C76,UWS!$B$10:$B$41,0),MATCH(AH$4,UWS!$G$3:$Z$3,0)),0)</f>
        <v>0</v>
      </c>
      <c r="AI76">
        <f>IFERROR(INDEX(UWS!$G$10:$Z$41,MATCH($C76,UWS!$B$10:$B$41,0),MATCH(AI$4,UWS!$G$3:$Z$3,0)),0)</f>
        <v>0</v>
      </c>
      <c r="AK76" t="e">
        <f>IF(OR($J76=0,COUNTIFS($A$4:$A75,"&gt;="&amp;$A76-1,$A$4:$A75,"&lt;="&amp;$A76,$B$4:$B75,$B76)&gt;0,MIN(AK$1,IF($A76=$A75,AK75,1))-P76&lt;0),-1,MIN(1,IF($A76=$A75,AK75,1)-P76+$D$3))</f>
        <v>#N/A</v>
      </c>
      <c r="AL76" t="e">
        <f>IF(OR($J76=0,COUNTIFS($A$4:$A75,"&gt;="&amp;$A76-1,$A$4:$A75,"&lt;="&amp;$A76,$B$4:$B75,$B76)&gt;0,MIN(AL$1,IF($A76=$A75,AL75,1))-Q76&lt;0),-1,MIN(1,IF($A76=$A75,AL75,1)-Q76+$D$3))</f>
        <v>#N/A</v>
      </c>
      <c r="AM76" t="e">
        <f>IF(OR($J76=0,COUNTIFS($A$4:$A75,"&gt;="&amp;$A76-1,$A$4:$A75,"&lt;="&amp;$A76,$B$4:$B75,$B76)&gt;0,MIN(AM$1,IF($A76=$A75,AM75,1))-R76&lt;0),-1,MIN(1,IF($A76=$A75,AM75,1)-R76+$D$3))</f>
        <v>#N/A</v>
      </c>
      <c r="AN76" t="e">
        <f>IF(OR($J76=0,COUNTIFS($A$4:$A75,"&gt;="&amp;$A76-1,$A$4:$A75,"&lt;="&amp;$A76,$B$4:$B75,$B76)&gt;0,MIN(AN$1,IF($A76=$A75,AN75,1))-S76&lt;0),-1,MIN(1,IF($A76=$A75,AN75,1)-S76+$D$3))</f>
        <v>#N/A</v>
      </c>
      <c r="AO76" t="e">
        <f>IF(OR($J76=0,COUNTIFS($A$4:$A75,"&gt;="&amp;$A76-1,$A$4:$A75,"&lt;="&amp;$A76,$B$4:$B75,$B76)&gt;0,MIN(AO$1,IF($A76=$A75,AO75,1))-T76&lt;0),-1,MIN(1,IF($A76=$A75,AO75,1)-T76+$D$3))</f>
        <v>#N/A</v>
      </c>
      <c r="AP76" t="e">
        <f>IF(OR($J76=0,COUNTIFS($A$4:$A75,"&gt;="&amp;$A76-1,$A$4:$A75,"&lt;="&amp;$A76,$B$4:$B75,$B76)&gt;0,MIN(AP$1,IF($A76=$A75,AP75,1))-U76&lt;0),-1,MIN(1,IF($A76=$A75,AP75,1)-U76+$D$3))</f>
        <v>#N/A</v>
      </c>
      <c r="AQ76" t="e">
        <f>IF(OR($J76=0,COUNTIFS($A$4:$A75,"&gt;="&amp;$A76-1,$A$4:$A75,"&lt;="&amp;$A76,$B$4:$B75,$B76)&gt;0,MIN(AQ$1,IF($A76=$A75,AQ75,1))-V76&lt;0),-1,MIN(1,IF($A76=$A75,AQ75,1)-V76+$D$3))</f>
        <v>#N/A</v>
      </c>
      <c r="AR76" t="e">
        <f>IF(OR($J76=0,COUNTIFS($A$4:$A75,"&gt;="&amp;$A76-1,$A$4:$A75,"&lt;="&amp;$A76,$B$4:$B75,$B76)&gt;0,MIN(AR$1,IF($A76=$A75,AR75,1))-W76&lt;0),-1,MIN(1,IF($A76=$A75,AR75,1)-W76+$D$3))</f>
        <v>#N/A</v>
      </c>
      <c r="AS76" t="e">
        <f>IF(OR($J76=0,COUNTIFS($A$4:$A75,"&gt;="&amp;$A76-1,$A$4:$A75,"&lt;="&amp;$A76,$B$4:$B75,$B76)&gt;0,MIN(AS$1,IF($A76=$A75,AS75,1))-X76&lt;0),-1,MIN(1,IF($A76=$A75,AS75,1)-X76+$D$3))</f>
        <v>#N/A</v>
      </c>
      <c r="AT76" t="e">
        <f>IF(OR($J76=0,COUNTIFS($A$4:$A75,"&gt;="&amp;$A76-1,$A$4:$A75,"&lt;="&amp;$A76,$B$4:$B75,$B76)&gt;0,MIN(AT$1,IF($A76=$A75,AT75,1))-Y76&lt;0),-1,MIN(1,IF($A76=$A75,AT75,1)-Y76+$D$3))</f>
        <v>#N/A</v>
      </c>
      <c r="AU76" t="e">
        <f>IF(OR($J76=0,COUNTIFS($A$4:$A75,"&gt;="&amp;$A76-1,$A$4:$A75,"&lt;="&amp;$A76,$B$4:$B75,$B76)&gt;0,MIN(AU$1,IF($A76=$A75,AU75,1))-Z76&lt;0),-1,MIN(1,IF($A76=$A75,AU75,1)-Z76+$D$3))</f>
        <v>#N/A</v>
      </c>
      <c r="AV76" t="e">
        <f>IF(OR($J76=0,COUNTIFS($A$4:$A75,"&gt;="&amp;$A76-1,$A$4:$A75,"&lt;="&amp;$A76,$B$4:$B75,$B76)&gt;0,MIN(AV$1,IF($A76=$A75,AV75,1))-AA76&lt;0),-1,MIN(1,IF($A76=$A75,AV75,1)-AA76+$D$3))</f>
        <v>#N/A</v>
      </c>
      <c r="AW76" t="e">
        <f>IF(OR($J76=0,COUNTIFS($A$4:$A75,"&gt;="&amp;$A76-1,$A$4:$A75,"&lt;="&amp;$A76,$B$4:$B75,$B76)&gt;0,MIN(AW$1,IF($A76=$A75,AW75,1))-AB76&lt;0),-1,MIN(1,IF($A76=$A75,AW75,1)-AB76+$D$3))</f>
        <v>#N/A</v>
      </c>
      <c r="AX76" t="e">
        <f>IF(OR($J76=0,COUNTIFS($A$4:$A75,"&gt;="&amp;$A76-1,$A$4:$A75,"&lt;="&amp;$A76,$B$4:$B75,$B76)&gt;0,MIN(AX$1,IF($A76=$A75,AX75,1))-AC76&lt;0),-1,MIN(1,IF($A76=$A75,AX75,1)-AC76+$D$3))</f>
        <v>#N/A</v>
      </c>
      <c r="AY76" t="e">
        <f>IF(OR($J76=0,COUNTIFS($A$4:$A75,"&gt;="&amp;$A76-1,$A$4:$A75,"&lt;="&amp;$A76,$B$4:$B75,$B76)&gt;0,MIN(AY$1,IF($A76=$A75,AY75,1))-AD76&lt;0),-1,MIN(1,IF($A76=$A75,AY75,1)-AD76+$D$3))</f>
        <v>#N/A</v>
      </c>
      <c r="AZ76" t="e">
        <f>IF(OR($J76=0,COUNTIFS($A$4:$A75,"&gt;="&amp;$A76-1,$A$4:$A75,"&lt;="&amp;$A76,$B$4:$B75,$B76)&gt;0,MIN(AZ$1,IF($A76=$A75,AZ75,1))-AE76&lt;0),-1,MIN(1,IF($A76=$A75,AZ75,1)-AE76+$D$3))</f>
        <v>#N/A</v>
      </c>
      <c r="BA76" t="e">
        <f>IF(OR($J76=0,COUNTIFS($A$4:$A75,"&gt;="&amp;$A76-1,$A$4:$A75,"&lt;="&amp;$A76,$B$4:$B75,$B76)&gt;0,MIN(BA$1,IF($A76=$A75,BA75,1))-AF76&lt;0),-1,MIN(1,IF($A76=$A75,BA75,1)-AF76+$D$3))</f>
        <v>#N/A</v>
      </c>
      <c r="BB76" t="e">
        <f>IF(OR($J76=0,COUNTIFS($A$4:$A75,"&gt;="&amp;$A76-1,$A$4:$A75,"&lt;="&amp;$A76,$B$4:$B75,$B76)&gt;0,MIN(BB$1,IF($A76=$A75,BB75,1))-AG76&lt;0),-1,MIN(1,IF($A76=$A75,BB75,1)-AG76+$D$3))</f>
        <v>#N/A</v>
      </c>
      <c r="BC76" t="e">
        <f>IF(OR($J76=0,COUNTIFS($A$4:$A75,"&gt;="&amp;$A76-1,$A$4:$A75,"&lt;="&amp;$A76,$B$4:$B75,$B76)&gt;0,MIN(BC$1,IF($A76=$A75,BC75,1))-AH76&lt;0),-1,MIN(1,IF($A76=$A75,BC75,1)-AH76+$D$3))</f>
        <v>#N/A</v>
      </c>
      <c r="BD76" t="e">
        <f>IF(OR($J76=0,COUNTIFS($A$4:$A75,"&gt;="&amp;$A76-1,$A$4:$A75,"&lt;="&amp;$A76,$B$4:$B75,$B76)&gt;0,MIN(BD$1,IF($A76=$A75,BD75,1))-AI76&lt;0),-1,MIN(1,IF($A76=$A75,BD75,1)-AI76+$D$3))</f>
        <v>#N/A</v>
      </c>
      <c r="BF76" s="44">
        <f t="shared" si="179"/>
        <v>5.2772233399607502E-2</v>
      </c>
      <c r="BG76" s="44">
        <f t="shared" si="180"/>
        <v>0.12978181326502219</v>
      </c>
      <c r="BH76" s="44">
        <f t="shared" si="181"/>
        <v>0.13301270688688238</v>
      </c>
      <c r="BI76" s="44">
        <f t="shared" si="182"/>
        <v>0.12286681174432063</v>
      </c>
      <c r="BJ76" s="44">
        <f t="shared" si="183"/>
        <v>0.12699451441645554</v>
      </c>
      <c r="BK76" s="44">
        <f t="shared" si="184"/>
        <v>5.4536179473224151E-2</v>
      </c>
      <c r="BL76" s="44">
        <f t="shared" si="185"/>
        <v>2.9461302136114382E-2</v>
      </c>
      <c r="BM76" s="44">
        <f t="shared" si="186"/>
        <v>7.4946112289664621E-2</v>
      </c>
      <c r="BN76" s="44">
        <f t="shared" si="187"/>
        <v>7.7949797735076307E-2</v>
      </c>
      <c r="BO76" s="44">
        <f t="shared" si="188"/>
        <v>3.6530233073988463E-2</v>
      </c>
      <c r="BP76" s="44">
        <f t="shared" si="189"/>
        <v>0.12283209481044503</v>
      </c>
      <c r="BQ76" s="44">
        <f t="shared" si="190"/>
        <v>3.3147297716775978E-2</v>
      </c>
      <c r="BR76" s="44">
        <f t="shared" si="191"/>
        <v>9.7925415091730666E-2</v>
      </c>
      <c r="BS76" s="44">
        <f t="shared" si="192"/>
        <v>5.2812475840376481E-2</v>
      </c>
      <c r="BT76" s="44">
        <f t="shared" si="193"/>
        <v>0.20899515796161006</v>
      </c>
      <c r="BU76" s="44">
        <f t="shared" si="194"/>
        <v>0.19965326489998425</v>
      </c>
      <c r="BV76" s="44">
        <f t="shared" si="195"/>
        <v>0.19174039022662295</v>
      </c>
      <c r="BW76" s="44">
        <f t="shared" si="196"/>
        <v>0.12540876676188367</v>
      </c>
      <c r="BX76" s="44">
        <f t="shared" si="197"/>
        <v>9.2649719554242865E-2</v>
      </c>
      <c r="BY76" s="44">
        <f t="shared" si="198"/>
        <v>7.955043311342784E-2</v>
      </c>
      <c r="CA76" s="44" t="str">
        <f t="shared" si="199"/>
        <v/>
      </c>
      <c r="CB76" s="44" t="str">
        <f t="shared" si="200"/>
        <v/>
      </c>
      <c r="CC76" s="44" t="str">
        <f t="shared" si="201"/>
        <v/>
      </c>
      <c r="CD76" s="44" t="str">
        <f t="shared" si="202"/>
        <v/>
      </c>
      <c r="CE76" s="44" t="str">
        <f t="shared" si="203"/>
        <v/>
      </c>
      <c r="CF76" s="44" t="str">
        <f t="shared" si="204"/>
        <v/>
      </c>
      <c r="CG76" s="44" t="str">
        <f t="shared" si="205"/>
        <v/>
      </c>
      <c r="CH76" s="44" t="str">
        <f t="shared" si="206"/>
        <v/>
      </c>
      <c r="CI76" s="44" t="str">
        <f t="shared" si="207"/>
        <v/>
      </c>
      <c r="CJ76" s="44" t="str">
        <f t="shared" si="208"/>
        <v/>
      </c>
      <c r="CK76" s="44" t="str">
        <f t="shared" si="209"/>
        <v/>
      </c>
      <c r="CL76" s="44" t="str">
        <f t="shared" si="210"/>
        <v/>
      </c>
      <c r="CM76" s="44" t="str">
        <f t="shared" si="211"/>
        <v/>
      </c>
      <c r="CN76" s="44" t="str">
        <f t="shared" si="212"/>
        <v/>
      </c>
      <c r="CO76" s="44" t="str">
        <f t="shared" si="213"/>
        <v/>
      </c>
      <c r="CP76" s="44" t="str">
        <f t="shared" si="214"/>
        <v/>
      </c>
      <c r="CQ76" s="44" t="str">
        <f t="shared" si="215"/>
        <v/>
      </c>
      <c r="CR76" s="44" t="str">
        <f t="shared" si="216"/>
        <v/>
      </c>
      <c r="CS76" s="44" t="str">
        <f t="shared" si="217"/>
        <v/>
      </c>
      <c r="CT76" s="44" t="str">
        <f t="shared" si="218"/>
        <v/>
      </c>
      <c r="CV76" s="44">
        <f t="shared" si="219"/>
        <v>0</v>
      </c>
    </row>
    <row r="77" spans="1:100" x14ac:dyDescent="0.25">
      <c r="A77" s="41"/>
      <c r="B77" s="42"/>
      <c r="C77" s="43" t="str" cm="1">
        <f t="array" ref="C77">IF(B77="","",INDEX(UWS!$B$10:$B$41,B77))</f>
        <v/>
      </c>
      <c r="D77" s="40" t="str">
        <f t="shared" si="176"/>
        <v/>
      </c>
      <c r="E77" s="69" t="str">
        <f t="shared" si="177"/>
        <v/>
      </c>
      <c r="F77" s="48" cm="1">
        <f t="array" ref="F77">0.1+IFERROR(INDEX($F$5:$F76,SUMPRODUCT(MAX(ROW($C$5:$C76)*($C77=$C$5:$C76))-ROW($A$4)))*0.9^($A77-INDEX($A$5:A76,SUMPRODUCT(MAX(ROW($C$5:$C76)*($C77=$C$5:$C76))-ROW($A$4)))),0)</f>
        <v>1.2</v>
      </c>
      <c r="G77" s="55" t="e">
        <f>INDEX(UWS!$AB$10:$AB$41,MATCH(C77,UWS!$B$10:$B$41,0))</f>
        <v>#N/A</v>
      </c>
      <c r="H77" s="48" t="e">
        <f>INDEX(UWS!$C$10:$C$41,MATCH(C77,UWS!$B$10:$B$41,0))</f>
        <v>#N/A</v>
      </c>
      <c r="I77" s="27">
        <f t="shared" si="178"/>
        <v>5</v>
      </c>
      <c r="J77" s="27" t="e">
        <f>INDEX(UWS!$E$10:$E$41,MATCH(C77,UWS!$B$10:$B$41,0))</f>
        <v>#N/A</v>
      </c>
      <c r="L77" s="108" t="str" cm="1">
        <f t="array" ref="L77">IF(K77="","",INDEX(UWS!$B$10:$B$41,K77))</f>
        <v/>
      </c>
      <c r="N77" s="108" t="str" cm="1">
        <f t="array" ref="N77">IF(M77="","",INDEX(UWS!$B$10:$B$41,M77))</f>
        <v/>
      </c>
      <c r="P77">
        <f>IFERROR(INDEX(UWS!$G$10:$Z$41,MATCH($C77,UWS!$B$10:$B$41,0),MATCH(P$4,UWS!$G$3:$Z$3,0)),0)</f>
        <v>0</v>
      </c>
      <c r="Q77">
        <f>IFERROR(INDEX(UWS!$G$10:$Z$41,MATCH($C77,UWS!$B$10:$B$41,0),MATCH(Q$4,UWS!$G$3:$Z$3,0)),0)</f>
        <v>0</v>
      </c>
      <c r="R77">
        <f>IFERROR(INDEX(UWS!$G$10:$Z$41,MATCH($C77,UWS!$B$10:$B$41,0),MATCH(R$4,UWS!$G$3:$Z$3,0)),0)</f>
        <v>0</v>
      </c>
      <c r="S77">
        <f>IFERROR(INDEX(UWS!$G$10:$Z$41,MATCH($C77,UWS!$B$10:$B$41,0),MATCH(S$4,UWS!$G$3:$Z$3,0)),0)</f>
        <v>0</v>
      </c>
      <c r="T77">
        <f>IFERROR(INDEX(UWS!$G$10:$Z$41,MATCH($C77,UWS!$B$10:$B$41,0),MATCH(T$4,UWS!$G$3:$Z$3,0)),0)</f>
        <v>0</v>
      </c>
      <c r="U77">
        <f>IFERROR(INDEX(UWS!$G$10:$Z$41,MATCH($C77,UWS!$B$10:$B$41,0),MATCH(U$4,UWS!$G$3:$Z$3,0)),0)</f>
        <v>0</v>
      </c>
      <c r="V77">
        <f>IFERROR(INDEX(UWS!$G$10:$Z$41,MATCH($C77,UWS!$B$10:$B$41,0),MATCH(V$4,UWS!$G$3:$Z$3,0)),0)</f>
        <v>0</v>
      </c>
      <c r="W77">
        <f>IFERROR(INDEX(UWS!$G$10:$Z$41,MATCH($C77,UWS!$B$10:$B$41,0),MATCH(W$4,UWS!$G$3:$Z$3,0)),0)</f>
        <v>0</v>
      </c>
      <c r="X77">
        <f>IFERROR(INDEX(UWS!$G$10:$Z$41,MATCH($C77,UWS!$B$10:$B$41,0),MATCH(X$4,UWS!$G$3:$Z$3,0)),0)</f>
        <v>0</v>
      </c>
      <c r="Y77">
        <f>IFERROR(INDEX(UWS!$G$10:$Z$41,MATCH($C77,UWS!$B$10:$B$41,0),MATCH(Y$4,UWS!$G$3:$Z$3,0)),0)</f>
        <v>0</v>
      </c>
      <c r="Z77">
        <f>IFERROR(INDEX(UWS!$G$10:$Z$41,MATCH($C77,UWS!$B$10:$B$41,0),MATCH(Z$4,UWS!$G$3:$Z$3,0)),0)</f>
        <v>0</v>
      </c>
      <c r="AA77">
        <f>IFERROR(INDEX(UWS!$G$10:$Z$41,MATCH($C77,UWS!$B$10:$B$41,0),MATCH(AA$4,UWS!$G$3:$Z$3,0)),0)</f>
        <v>0</v>
      </c>
      <c r="AB77">
        <f>IFERROR(INDEX(UWS!$G$10:$Z$41,MATCH($C77,UWS!$B$10:$B$41,0),MATCH(AB$4,UWS!$G$3:$Z$3,0)),0)</f>
        <v>0</v>
      </c>
      <c r="AC77">
        <f>IFERROR(INDEX(UWS!$G$10:$Z$41,MATCH($C77,UWS!$B$10:$B$41,0),MATCH(AC$4,UWS!$G$3:$Z$3,0)),0)</f>
        <v>0</v>
      </c>
      <c r="AD77">
        <f>IFERROR(INDEX(UWS!$G$10:$Z$41,MATCH($C77,UWS!$B$10:$B$41,0),MATCH(AD$4,UWS!$G$3:$Z$3,0)),0)</f>
        <v>0</v>
      </c>
      <c r="AE77">
        <f>IFERROR(INDEX(UWS!$G$10:$Z$41,MATCH($C77,UWS!$B$10:$B$41,0),MATCH(AE$4,UWS!$G$3:$Z$3,0)),0)</f>
        <v>0</v>
      </c>
      <c r="AF77">
        <f>IFERROR(INDEX(UWS!$G$10:$Z$41,MATCH($C77,UWS!$B$10:$B$41,0),MATCH(AF$4,UWS!$G$3:$Z$3,0)),0)</f>
        <v>0</v>
      </c>
      <c r="AG77">
        <f>IFERROR(INDEX(UWS!$G$10:$Z$41,MATCH($C77,UWS!$B$10:$B$41,0),MATCH(AG$4,UWS!$G$3:$Z$3,0)),0)</f>
        <v>0</v>
      </c>
      <c r="AH77">
        <f>IFERROR(INDEX(UWS!$G$10:$Z$41,MATCH($C77,UWS!$B$10:$B$41,0),MATCH(AH$4,UWS!$G$3:$Z$3,0)),0)</f>
        <v>0</v>
      </c>
      <c r="AI77">
        <f>IFERROR(INDEX(UWS!$G$10:$Z$41,MATCH($C77,UWS!$B$10:$B$41,0),MATCH(AI$4,UWS!$G$3:$Z$3,0)),0)</f>
        <v>0</v>
      </c>
      <c r="AK77" t="e">
        <f>IF(OR($J77=0,COUNTIFS($A$4:$A76,"&gt;="&amp;$A77-1,$A$4:$A76,"&lt;="&amp;$A77,$B$4:$B76,$B77)&gt;0,MIN(AK$1,IF($A77=$A76,AK76,1))-P77&lt;0),-1,MIN(1,IF($A77=$A76,AK76,1)-P77+$D$3))</f>
        <v>#N/A</v>
      </c>
      <c r="AL77" t="e">
        <f>IF(OR($J77=0,COUNTIFS($A$4:$A76,"&gt;="&amp;$A77-1,$A$4:$A76,"&lt;="&amp;$A77,$B$4:$B76,$B77)&gt;0,MIN(AL$1,IF($A77=$A76,AL76,1))-Q77&lt;0),-1,MIN(1,IF($A77=$A76,AL76,1)-Q77+$D$3))</f>
        <v>#N/A</v>
      </c>
      <c r="AM77" t="e">
        <f>IF(OR($J77=0,COUNTIFS($A$4:$A76,"&gt;="&amp;$A77-1,$A$4:$A76,"&lt;="&amp;$A77,$B$4:$B76,$B77)&gt;0,MIN(AM$1,IF($A77=$A76,AM76,1))-R77&lt;0),-1,MIN(1,IF($A77=$A76,AM76,1)-R77+$D$3))</f>
        <v>#N/A</v>
      </c>
      <c r="AN77" t="e">
        <f>IF(OR($J77=0,COUNTIFS($A$4:$A76,"&gt;="&amp;$A77-1,$A$4:$A76,"&lt;="&amp;$A77,$B$4:$B76,$B77)&gt;0,MIN(AN$1,IF($A77=$A76,AN76,1))-S77&lt;0),-1,MIN(1,IF($A77=$A76,AN76,1)-S77+$D$3))</f>
        <v>#N/A</v>
      </c>
      <c r="AO77" t="e">
        <f>IF(OR($J77=0,COUNTIFS($A$4:$A76,"&gt;="&amp;$A77-1,$A$4:$A76,"&lt;="&amp;$A77,$B$4:$B76,$B77)&gt;0,MIN(AO$1,IF($A77=$A76,AO76,1))-T77&lt;0),-1,MIN(1,IF($A77=$A76,AO76,1)-T77+$D$3))</f>
        <v>#N/A</v>
      </c>
      <c r="AP77" t="e">
        <f>IF(OR($J77=0,COUNTIFS($A$4:$A76,"&gt;="&amp;$A77-1,$A$4:$A76,"&lt;="&amp;$A77,$B$4:$B76,$B77)&gt;0,MIN(AP$1,IF($A77=$A76,AP76,1))-U77&lt;0),-1,MIN(1,IF($A77=$A76,AP76,1)-U77+$D$3))</f>
        <v>#N/A</v>
      </c>
      <c r="AQ77" t="e">
        <f>IF(OR($J77=0,COUNTIFS($A$4:$A76,"&gt;="&amp;$A77-1,$A$4:$A76,"&lt;="&amp;$A77,$B$4:$B76,$B77)&gt;0,MIN(AQ$1,IF($A77=$A76,AQ76,1))-V77&lt;0),-1,MIN(1,IF($A77=$A76,AQ76,1)-V77+$D$3))</f>
        <v>#N/A</v>
      </c>
      <c r="AR77" t="e">
        <f>IF(OR($J77=0,COUNTIFS($A$4:$A76,"&gt;="&amp;$A77-1,$A$4:$A76,"&lt;="&amp;$A77,$B$4:$B76,$B77)&gt;0,MIN(AR$1,IF($A77=$A76,AR76,1))-W77&lt;0),-1,MIN(1,IF($A77=$A76,AR76,1)-W77+$D$3))</f>
        <v>#N/A</v>
      </c>
      <c r="AS77" t="e">
        <f>IF(OR($J77=0,COUNTIFS($A$4:$A76,"&gt;="&amp;$A77-1,$A$4:$A76,"&lt;="&amp;$A77,$B$4:$B76,$B77)&gt;0,MIN(AS$1,IF($A77=$A76,AS76,1))-X77&lt;0),-1,MIN(1,IF($A77=$A76,AS76,1)-X77+$D$3))</f>
        <v>#N/A</v>
      </c>
      <c r="AT77" t="e">
        <f>IF(OR($J77=0,COUNTIFS($A$4:$A76,"&gt;="&amp;$A77-1,$A$4:$A76,"&lt;="&amp;$A77,$B$4:$B76,$B77)&gt;0,MIN(AT$1,IF($A77=$A76,AT76,1))-Y77&lt;0),-1,MIN(1,IF($A77=$A76,AT76,1)-Y77+$D$3))</f>
        <v>#N/A</v>
      </c>
      <c r="AU77" t="e">
        <f>IF(OR($J77=0,COUNTIFS($A$4:$A76,"&gt;="&amp;$A77-1,$A$4:$A76,"&lt;="&amp;$A77,$B$4:$B76,$B77)&gt;0,MIN(AU$1,IF($A77=$A76,AU76,1))-Z77&lt;0),-1,MIN(1,IF($A77=$A76,AU76,1)-Z77+$D$3))</f>
        <v>#N/A</v>
      </c>
      <c r="AV77" t="e">
        <f>IF(OR($J77=0,COUNTIFS($A$4:$A76,"&gt;="&amp;$A77-1,$A$4:$A76,"&lt;="&amp;$A77,$B$4:$B76,$B77)&gt;0,MIN(AV$1,IF($A77=$A76,AV76,1))-AA77&lt;0),-1,MIN(1,IF($A77=$A76,AV76,1)-AA77+$D$3))</f>
        <v>#N/A</v>
      </c>
      <c r="AW77" t="e">
        <f>IF(OR($J77=0,COUNTIFS($A$4:$A76,"&gt;="&amp;$A77-1,$A$4:$A76,"&lt;="&amp;$A77,$B$4:$B76,$B77)&gt;0,MIN(AW$1,IF($A77=$A76,AW76,1))-AB77&lt;0),-1,MIN(1,IF($A77=$A76,AW76,1)-AB77+$D$3))</f>
        <v>#N/A</v>
      </c>
      <c r="AX77" t="e">
        <f>IF(OR($J77=0,COUNTIFS($A$4:$A76,"&gt;="&amp;$A77-1,$A$4:$A76,"&lt;="&amp;$A77,$B$4:$B76,$B77)&gt;0,MIN(AX$1,IF($A77=$A76,AX76,1))-AC77&lt;0),-1,MIN(1,IF($A77=$A76,AX76,1)-AC77+$D$3))</f>
        <v>#N/A</v>
      </c>
      <c r="AY77" t="e">
        <f>IF(OR($J77=0,COUNTIFS($A$4:$A76,"&gt;="&amp;$A77-1,$A$4:$A76,"&lt;="&amp;$A77,$B$4:$B76,$B77)&gt;0,MIN(AY$1,IF($A77=$A76,AY76,1))-AD77&lt;0),-1,MIN(1,IF($A77=$A76,AY76,1)-AD77+$D$3))</f>
        <v>#N/A</v>
      </c>
      <c r="AZ77" t="e">
        <f>IF(OR($J77=0,COUNTIFS($A$4:$A76,"&gt;="&amp;$A77-1,$A$4:$A76,"&lt;="&amp;$A77,$B$4:$B76,$B77)&gt;0,MIN(AZ$1,IF($A77=$A76,AZ76,1))-AE77&lt;0),-1,MIN(1,IF($A77=$A76,AZ76,1)-AE77+$D$3))</f>
        <v>#N/A</v>
      </c>
      <c r="BA77" t="e">
        <f>IF(OR($J77=0,COUNTIFS($A$4:$A76,"&gt;="&amp;$A77-1,$A$4:$A76,"&lt;="&amp;$A77,$B$4:$B76,$B77)&gt;0,MIN(BA$1,IF($A77=$A76,BA76,1))-AF77&lt;0),-1,MIN(1,IF($A77=$A76,BA76,1)-AF77+$D$3))</f>
        <v>#N/A</v>
      </c>
      <c r="BB77" t="e">
        <f>IF(OR($J77=0,COUNTIFS($A$4:$A76,"&gt;="&amp;$A77-1,$A$4:$A76,"&lt;="&amp;$A77,$B$4:$B76,$B77)&gt;0,MIN(BB$1,IF($A77=$A76,BB76,1))-AG77&lt;0),-1,MIN(1,IF($A77=$A76,BB76,1)-AG77+$D$3))</f>
        <v>#N/A</v>
      </c>
      <c r="BC77" t="e">
        <f>IF(OR($J77=0,COUNTIFS($A$4:$A76,"&gt;="&amp;$A77-1,$A$4:$A76,"&lt;="&amp;$A77,$B$4:$B76,$B77)&gt;0,MIN(BC$1,IF($A77=$A76,BC76,1))-AH77&lt;0),-1,MIN(1,IF($A77=$A76,BC76,1)-AH77+$D$3))</f>
        <v>#N/A</v>
      </c>
      <c r="BD77" t="e">
        <f>IF(OR($J77=0,COUNTIFS($A$4:$A76,"&gt;="&amp;$A77-1,$A$4:$A76,"&lt;="&amp;$A77,$B$4:$B76,$B77)&gt;0,MIN(BD$1,IF($A77=$A76,BD76,1))-AI77&lt;0),-1,MIN(1,IF($A77=$A76,BD76,1)-AI77+$D$3))</f>
        <v>#N/A</v>
      </c>
      <c r="BF77" s="44">
        <f t="shared" si="179"/>
        <v>5.0133621729627126E-2</v>
      </c>
      <c r="BG77" s="44">
        <f t="shared" si="180"/>
        <v>0.12329272260177108</v>
      </c>
      <c r="BH77" s="44">
        <f t="shared" si="181"/>
        <v>0.12636207154253826</v>
      </c>
      <c r="BI77" s="44">
        <f t="shared" si="182"/>
        <v>0.11672347115710459</v>
      </c>
      <c r="BJ77" s="44">
        <f t="shared" si="183"/>
        <v>0.12064478869563276</v>
      </c>
      <c r="BK77" s="44">
        <f t="shared" si="184"/>
        <v>5.180937049956294E-2</v>
      </c>
      <c r="BL77" s="44">
        <f t="shared" si="185"/>
        <v>2.7988237029308662E-2</v>
      </c>
      <c r="BM77" s="44">
        <f t="shared" si="186"/>
        <v>7.1198806675181386E-2</v>
      </c>
      <c r="BN77" s="44">
        <f t="shared" si="187"/>
        <v>7.4052307848322493E-2</v>
      </c>
      <c r="BO77" s="44">
        <f t="shared" si="188"/>
        <v>3.470372142028904E-2</v>
      </c>
      <c r="BP77" s="44">
        <f t="shared" si="189"/>
        <v>0.11669049006992277</v>
      </c>
      <c r="BQ77" s="44">
        <f t="shared" si="190"/>
        <v>3.1489932830937178E-2</v>
      </c>
      <c r="BR77" s="44">
        <f t="shared" si="191"/>
        <v>9.3029144337144126E-2</v>
      </c>
      <c r="BS77" s="44">
        <f t="shared" si="192"/>
        <v>5.0171852048357654E-2</v>
      </c>
      <c r="BT77" s="44">
        <f t="shared" si="193"/>
        <v>0.19854540006352955</v>
      </c>
      <c r="BU77" s="44">
        <f t="shared" si="194"/>
        <v>0.18967060165498503</v>
      </c>
      <c r="BV77" s="44">
        <f t="shared" si="195"/>
        <v>0.18215337071529181</v>
      </c>
      <c r="BW77" s="44">
        <f t="shared" si="196"/>
        <v>0.11913832842378948</v>
      </c>
      <c r="BX77" s="44">
        <f t="shared" si="197"/>
        <v>8.8017233576530712E-2</v>
      </c>
      <c r="BY77" s="44">
        <f t="shared" si="198"/>
        <v>7.557291145775645E-2</v>
      </c>
      <c r="CA77" s="44" t="str">
        <f t="shared" si="199"/>
        <v/>
      </c>
      <c r="CB77" s="44" t="str">
        <f t="shared" si="200"/>
        <v/>
      </c>
      <c r="CC77" s="44" t="str">
        <f t="shared" si="201"/>
        <v/>
      </c>
      <c r="CD77" s="44" t="str">
        <f t="shared" si="202"/>
        <v/>
      </c>
      <c r="CE77" s="44" t="str">
        <f t="shared" si="203"/>
        <v/>
      </c>
      <c r="CF77" s="44" t="str">
        <f t="shared" si="204"/>
        <v/>
      </c>
      <c r="CG77" s="44" t="str">
        <f t="shared" si="205"/>
        <v/>
      </c>
      <c r="CH77" s="44" t="str">
        <f t="shared" si="206"/>
        <v/>
      </c>
      <c r="CI77" s="44" t="str">
        <f t="shared" si="207"/>
        <v/>
      </c>
      <c r="CJ77" s="44" t="str">
        <f t="shared" si="208"/>
        <v/>
      </c>
      <c r="CK77" s="44" t="str">
        <f t="shared" si="209"/>
        <v/>
      </c>
      <c r="CL77" s="44" t="str">
        <f t="shared" si="210"/>
        <v/>
      </c>
      <c r="CM77" s="44" t="str">
        <f t="shared" si="211"/>
        <v/>
      </c>
      <c r="CN77" s="44" t="str">
        <f t="shared" si="212"/>
        <v/>
      </c>
      <c r="CO77" s="44" t="str">
        <f t="shared" si="213"/>
        <v/>
      </c>
      <c r="CP77" s="44" t="str">
        <f t="shared" si="214"/>
        <v/>
      </c>
      <c r="CQ77" s="44" t="str">
        <f t="shared" si="215"/>
        <v/>
      </c>
      <c r="CR77" s="44" t="str">
        <f t="shared" si="216"/>
        <v/>
      </c>
      <c r="CS77" s="44" t="str">
        <f t="shared" si="217"/>
        <v/>
      </c>
      <c r="CT77" s="44" t="str">
        <f t="shared" si="218"/>
        <v/>
      </c>
      <c r="CV77" s="44">
        <f t="shared" si="219"/>
        <v>0</v>
      </c>
    </row>
    <row r="78" spans="1:100" x14ac:dyDescent="0.25">
      <c r="A78" s="41"/>
      <c r="B78" s="42"/>
      <c r="C78" s="43" t="str" cm="1">
        <f t="array" ref="C78">IF(B78="","",INDEX(UWS!$B$10:$B$41,B78))</f>
        <v/>
      </c>
      <c r="D78" s="40" t="str">
        <f t="shared" si="176"/>
        <v/>
      </c>
      <c r="E78" s="69" t="str">
        <f t="shared" si="177"/>
        <v/>
      </c>
      <c r="F78" s="48" cm="1">
        <f t="array" ref="F78">0.1+IFERROR(INDEX($F$5:$F77,SUMPRODUCT(MAX(ROW($C$5:$C77)*($C78=$C$5:$C77))-ROW($A$4)))*0.9^($A78-INDEX($A$5:A77,SUMPRODUCT(MAX(ROW($C$5:$C77)*($C78=$C$5:$C77))-ROW($A$4)))),0)</f>
        <v>1.3</v>
      </c>
      <c r="G78" s="55" t="e">
        <f>INDEX(UWS!$AB$10:$AB$41,MATCH(C78,UWS!$B$10:$B$41,0))</f>
        <v>#N/A</v>
      </c>
      <c r="H78" s="48" t="e">
        <f>INDEX(UWS!$C$10:$C$41,MATCH(C78,UWS!$B$10:$B$41,0))</f>
        <v>#N/A</v>
      </c>
      <c r="I78" s="27">
        <f t="shared" si="178"/>
        <v>5</v>
      </c>
      <c r="J78" s="27" t="e">
        <f>INDEX(UWS!$E$10:$E$41,MATCH(C78,UWS!$B$10:$B$41,0))</f>
        <v>#N/A</v>
      </c>
      <c r="L78" s="108" t="str" cm="1">
        <f t="array" ref="L78">IF(K78="","",INDEX(UWS!$B$10:$B$41,K78))</f>
        <v/>
      </c>
      <c r="N78" s="108" t="str" cm="1">
        <f t="array" ref="N78">IF(M78="","",INDEX(UWS!$B$10:$B$41,M78))</f>
        <v/>
      </c>
      <c r="P78">
        <f>IFERROR(INDEX(UWS!$G$10:$Z$41,MATCH($C78,UWS!$B$10:$B$41,0),MATCH(P$4,UWS!$G$3:$Z$3,0)),0)</f>
        <v>0</v>
      </c>
      <c r="Q78">
        <f>IFERROR(INDEX(UWS!$G$10:$Z$41,MATCH($C78,UWS!$B$10:$B$41,0),MATCH(Q$4,UWS!$G$3:$Z$3,0)),0)</f>
        <v>0</v>
      </c>
      <c r="R78">
        <f>IFERROR(INDEX(UWS!$G$10:$Z$41,MATCH($C78,UWS!$B$10:$B$41,0),MATCH(R$4,UWS!$G$3:$Z$3,0)),0)</f>
        <v>0</v>
      </c>
      <c r="S78">
        <f>IFERROR(INDEX(UWS!$G$10:$Z$41,MATCH($C78,UWS!$B$10:$B$41,0),MATCH(S$4,UWS!$G$3:$Z$3,0)),0)</f>
        <v>0</v>
      </c>
      <c r="T78">
        <f>IFERROR(INDEX(UWS!$G$10:$Z$41,MATCH($C78,UWS!$B$10:$B$41,0),MATCH(T$4,UWS!$G$3:$Z$3,0)),0)</f>
        <v>0</v>
      </c>
      <c r="U78">
        <f>IFERROR(INDEX(UWS!$G$10:$Z$41,MATCH($C78,UWS!$B$10:$B$41,0),MATCH(U$4,UWS!$G$3:$Z$3,0)),0)</f>
        <v>0</v>
      </c>
      <c r="V78">
        <f>IFERROR(INDEX(UWS!$G$10:$Z$41,MATCH($C78,UWS!$B$10:$B$41,0),MATCH(V$4,UWS!$G$3:$Z$3,0)),0)</f>
        <v>0</v>
      </c>
      <c r="W78">
        <f>IFERROR(INDEX(UWS!$G$10:$Z$41,MATCH($C78,UWS!$B$10:$B$41,0),MATCH(W$4,UWS!$G$3:$Z$3,0)),0)</f>
        <v>0</v>
      </c>
      <c r="X78">
        <f>IFERROR(INDEX(UWS!$G$10:$Z$41,MATCH($C78,UWS!$B$10:$B$41,0),MATCH(X$4,UWS!$G$3:$Z$3,0)),0)</f>
        <v>0</v>
      </c>
      <c r="Y78">
        <f>IFERROR(INDEX(UWS!$G$10:$Z$41,MATCH($C78,UWS!$B$10:$B$41,0),MATCH(Y$4,UWS!$G$3:$Z$3,0)),0)</f>
        <v>0</v>
      </c>
      <c r="Z78">
        <f>IFERROR(INDEX(UWS!$G$10:$Z$41,MATCH($C78,UWS!$B$10:$B$41,0),MATCH(Z$4,UWS!$G$3:$Z$3,0)),0)</f>
        <v>0</v>
      </c>
      <c r="AA78">
        <f>IFERROR(INDEX(UWS!$G$10:$Z$41,MATCH($C78,UWS!$B$10:$B$41,0),MATCH(AA$4,UWS!$G$3:$Z$3,0)),0)</f>
        <v>0</v>
      </c>
      <c r="AB78">
        <f>IFERROR(INDEX(UWS!$G$10:$Z$41,MATCH($C78,UWS!$B$10:$B$41,0),MATCH(AB$4,UWS!$G$3:$Z$3,0)),0)</f>
        <v>0</v>
      </c>
      <c r="AC78">
        <f>IFERROR(INDEX(UWS!$G$10:$Z$41,MATCH($C78,UWS!$B$10:$B$41,0),MATCH(AC$4,UWS!$G$3:$Z$3,0)),0)</f>
        <v>0</v>
      </c>
      <c r="AD78">
        <f>IFERROR(INDEX(UWS!$G$10:$Z$41,MATCH($C78,UWS!$B$10:$B$41,0),MATCH(AD$4,UWS!$G$3:$Z$3,0)),0)</f>
        <v>0</v>
      </c>
      <c r="AE78">
        <f>IFERROR(INDEX(UWS!$G$10:$Z$41,MATCH($C78,UWS!$B$10:$B$41,0),MATCH(AE$4,UWS!$G$3:$Z$3,0)),0)</f>
        <v>0</v>
      </c>
      <c r="AF78">
        <f>IFERROR(INDEX(UWS!$G$10:$Z$41,MATCH($C78,UWS!$B$10:$B$41,0),MATCH(AF$4,UWS!$G$3:$Z$3,0)),0)</f>
        <v>0</v>
      </c>
      <c r="AG78">
        <f>IFERROR(INDEX(UWS!$G$10:$Z$41,MATCH($C78,UWS!$B$10:$B$41,0),MATCH(AG$4,UWS!$G$3:$Z$3,0)),0)</f>
        <v>0</v>
      </c>
      <c r="AH78">
        <f>IFERROR(INDEX(UWS!$G$10:$Z$41,MATCH($C78,UWS!$B$10:$B$41,0),MATCH(AH$4,UWS!$G$3:$Z$3,0)),0)</f>
        <v>0</v>
      </c>
      <c r="AI78">
        <f>IFERROR(INDEX(UWS!$G$10:$Z$41,MATCH($C78,UWS!$B$10:$B$41,0),MATCH(AI$4,UWS!$G$3:$Z$3,0)),0)</f>
        <v>0</v>
      </c>
      <c r="AK78" t="e">
        <f>IF(OR($J78=0,COUNTIFS($A$4:$A77,"&gt;="&amp;$A78-1,$A$4:$A77,"&lt;="&amp;$A78,$B$4:$B77,$B78)&gt;0,MIN(AK$1,IF($A78=$A77,AK77,1))-P78&lt;0),-1,MIN(1,IF($A78=$A77,AK77,1)-P78+$D$3))</f>
        <v>#N/A</v>
      </c>
      <c r="AL78" t="e">
        <f>IF(OR($J78=0,COUNTIFS($A$4:$A77,"&gt;="&amp;$A78-1,$A$4:$A77,"&lt;="&amp;$A78,$B$4:$B77,$B78)&gt;0,MIN(AL$1,IF($A78=$A77,AL77,1))-Q78&lt;0),-1,MIN(1,IF($A78=$A77,AL77,1)-Q78+$D$3))</f>
        <v>#N/A</v>
      </c>
      <c r="AM78" t="e">
        <f>IF(OR($J78=0,COUNTIFS($A$4:$A77,"&gt;="&amp;$A78-1,$A$4:$A77,"&lt;="&amp;$A78,$B$4:$B77,$B78)&gt;0,MIN(AM$1,IF($A78=$A77,AM77,1))-R78&lt;0),-1,MIN(1,IF($A78=$A77,AM77,1)-R78+$D$3))</f>
        <v>#N/A</v>
      </c>
      <c r="AN78" t="e">
        <f>IF(OR($J78=0,COUNTIFS($A$4:$A77,"&gt;="&amp;$A78-1,$A$4:$A77,"&lt;="&amp;$A78,$B$4:$B77,$B78)&gt;0,MIN(AN$1,IF($A78=$A77,AN77,1))-S78&lt;0),-1,MIN(1,IF($A78=$A77,AN77,1)-S78+$D$3))</f>
        <v>#N/A</v>
      </c>
      <c r="AO78" t="e">
        <f>IF(OR($J78=0,COUNTIFS($A$4:$A77,"&gt;="&amp;$A78-1,$A$4:$A77,"&lt;="&amp;$A78,$B$4:$B77,$B78)&gt;0,MIN(AO$1,IF($A78=$A77,AO77,1))-T78&lt;0),-1,MIN(1,IF($A78=$A77,AO77,1)-T78+$D$3))</f>
        <v>#N/A</v>
      </c>
      <c r="AP78" t="e">
        <f>IF(OR($J78=0,COUNTIFS($A$4:$A77,"&gt;="&amp;$A78-1,$A$4:$A77,"&lt;="&amp;$A78,$B$4:$B77,$B78)&gt;0,MIN(AP$1,IF($A78=$A77,AP77,1))-U78&lt;0),-1,MIN(1,IF($A78=$A77,AP77,1)-U78+$D$3))</f>
        <v>#N/A</v>
      </c>
      <c r="AQ78" t="e">
        <f>IF(OR($J78=0,COUNTIFS($A$4:$A77,"&gt;="&amp;$A78-1,$A$4:$A77,"&lt;="&amp;$A78,$B$4:$B77,$B78)&gt;0,MIN(AQ$1,IF($A78=$A77,AQ77,1))-V78&lt;0),-1,MIN(1,IF($A78=$A77,AQ77,1)-V78+$D$3))</f>
        <v>#N/A</v>
      </c>
      <c r="AR78" t="e">
        <f>IF(OR($J78=0,COUNTIFS($A$4:$A77,"&gt;="&amp;$A78-1,$A$4:$A77,"&lt;="&amp;$A78,$B$4:$B77,$B78)&gt;0,MIN(AR$1,IF($A78=$A77,AR77,1))-W78&lt;0),-1,MIN(1,IF($A78=$A77,AR77,1)-W78+$D$3))</f>
        <v>#N/A</v>
      </c>
      <c r="AS78" t="e">
        <f>IF(OR($J78=0,COUNTIFS($A$4:$A77,"&gt;="&amp;$A78-1,$A$4:$A77,"&lt;="&amp;$A78,$B$4:$B77,$B78)&gt;0,MIN(AS$1,IF($A78=$A77,AS77,1))-X78&lt;0),-1,MIN(1,IF($A78=$A77,AS77,1)-X78+$D$3))</f>
        <v>#N/A</v>
      </c>
      <c r="AT78" t="e">
        <f>IF(OR($J78=0,COUNTIFS($A$4:$A77,"&gt;="&amp;$A78-1,$A$4:$A77,"&lt;="&amp;$A78,$B$4:$B77,$B78)&gt;0,MIN(AT$1,IF($A78=$A77,AT77,1))-Y78&lt;0),-1,MIN(1,IF($A78=$A77,AT77,1)-Y78+$D$3))</f>
        <v>#N/A</v>
      </c>
      <c r="AU78" t="e">
        <f>IF(OR($J78=0,COUNTIFS($A$4:$A77,"&gt;="&amp;$A78-1,$A$4:$A77,"&lt;="&amp;$A78,$B$4:$B77,$B78)&gt;0,MIN(AU$1,IF($A78=$A77,AU77,1))-Z78&lt;0),-1,MIN(1,IF($A78=$A77,AU77,1)-Z78+$D$3))</f>
        <v>#N/A</v>
      </c>
      <c r="AV78" t="e">
        <f>IF(OR($J78=0,COUNTIFS($A$4:$A77,"&gt;="&amp;$A78-1,$A$4:$A77,"&lt;="&amp;$A78,$B$4:$B77,$B78)&gt;0,MIN(AV$1,IF($A78=$A77,AV77,1))-AA78&lt;0),-1,MIN(1,IF($A78=$A77,AV77,1)-AA78+$D$3))</f>
        <v>#N/A</v>
      </c>
      <c r="AW78" t="e">
        <f>IF(OR($J78=0,COUNTIFS($A$4:$A77,"&gt;="&amp;$A78-1,$A$4:$A77,"&lt;="&amp;$A78,$B$4:$B77,$B78)&gt;0,MIN(AW$1,IF($A78=$A77,AW77,1))-AB78&lt;0),-1,MIN(1,IF($A78=$A77,AW77,1)-AB78+$D$3))</f>
        <v>#N/A</v>
      </c>
      <c r="AX78" t="e">
        <f>IF(OR($J78=0,COUNTIFS($A$4:$A77,"&gt;="&amp;$A78-1,$A$4:$A77,"&lt;="&amp;$A78,$B$4:$B77,$B78)&gt;0,MIN(AX$1,IF($A78=$A77,AX77,1))-AC78&lt;0),-1,MIN(1,IF($A78=$A77,AX77,1)-AC78+$D$3))</f>
        <v>#N/A</v>
      </c>
      <c r="AY78" t="e">
        <f>IF(OR($J78=0,COUNTIFS($A$4:$A77,"&gt;="&amp;$A78-1,$A$4:$A77,"&lt;="&amp;$A78,$B$4:$B77,$B78)&gt;0,MIN(AY$1,IF($A78=$A77,AY77,1))-AD78&lt;0),-1,MIN(1,IF($A78=$A77,AY77,1)-AD78+$D$3))</f>
        <v>#N/A</v>
      </c>
      <c r="AZ78" t="e">
        <f>IF(OR($J78=0,COUNTIFS($A$4:$A77,"&gt;="&amp;$A78-1,$A$4:$A77,"&lt;="&amp;$A78,$B$4:$B77,$B78)&gt;0,MIN(AZ$1,IF($A78=$A77,AZ77,1))-AE78&lt;0),-1,MIN(1,IF($A78=$A77,AZ77,1)-AE78+$D$3))</f>
        <v>#N/A</v>
      </c>
      <c r="BA78" t="e">
        <f>IF(OR($J78=0,COUNTIFS($A$4:$A77,"&gt;="&amp;$A78-1,$A$4:$A77,"&lt;="&amp;$A78,$B$4:$B77,$B78)&gt;0,MIN(BA$1,IF($A78=$A77,BA77,1))-AF78&lt;0),-1,MIN(1,IF($A78=$A77,BA77,1)-AF78+$D$3))</f>
        <v>#N/A</v>
      </c>
      <c r="BB78" t="e">
        <f>IF(OR($J78=0,COUNTIFS($A$4:$A77,"&gt;="&amp;$A78-1,$A$4:$A77,"&lt;="&amp;$A78,$B$4:$B77,$B78)&gt;0,MIN(BB$1,IF($A78=$A77,BB77,1))-AG78&lt;0),-1,MIN(1,IF($A78=$A77,BB77,1)-AG78+$D$3))</f>
        <v>#N/A</v>
      </c>
      <c r="BC78" t="e">
        <f>IF(OR($J78=0,COUNTIFS($A$4:$A77,"&gt;="&amp;$A78-1,$A$4:$A77,"&lt;="&amp;$A78,$B$4:$B77,$B78)&gt;0,MIN(BC$1,IF($A78=$A77,BC77,1))-AH78&lt;0),-1,MIN(1,IF($A78=$A77,BC77,1)-AH78+$D$3))</f>
        <v>#N/A</v>
      </c>
      <c r="BD78" t="e">
        <f>IF(OR($J78=0,COUNTIFS($A$4:$A77,"&gt;="&amp;$A78-1,$A$4:$A77,"&lt;="&amp;$A78,$B$4:$B77,$B78)&gt;0,MIN(BD$1,IF($A78=$A77,BD77,1))-AI78&lt;0),-1,MIN(1,IF($A78=$A77,BD77,1)-AI78+$D$3))</f>
        <v>#N/A</v>
      </c>
      <c r="BF78" s="44">
        <f t="shared" si="179"/>
        <v>4.7626940643145765E-2</v>
      </c>
      <c r="BG78" s="44">
        <f t="shared" si="180"/>
        <v>0.11712808647168252</v>
      </c>
      <c r="BH78" s="44">
        <f t="shared" si="181"/>
        <v>0.12004396796541134</v>
      </c>
      <c r="BI78" s="44">
        <f t="shared" si="182"/>
        <v>0.11088729759924935</v>
      </c>
      <c r="BJ78" s="44">
        <f t="shared" si="183"/>
        <v>0.11461254926085111</v>
      </c>
      <c r="BK78" s="44">
        <f t="shared" si="184"/>
        <v>4.921890197458479E-2</v>
      </c>
      <c r="BL78" s="44">
        <f t="shared" si="185"/>
        <v>2.6588825177843226E-2</v>
      </c>
      <c r="BM78" s="44">
        <f t="shared" si="186"/>
        <v>6.7638866341422313E-2</v>
      </c>
      <c r="BN78" s="44">
        <f t="shared" si="187"/>
        <v>7.034969245590636E-2</v>
      </c>
      <c r="BO78" s="44">
        <f t="shared" si="188"/>
        <v>3.2968535349274589E-2</v>
      </c>
      <c r="BP78" s="44">
        <f t="shared" si="189"/>
        <v>0.11085596556642663</v>
      </c>
      <c r="BQ78" s="44">
        <f t="shared" si="190"/>
        <v>2.991543618939032E-2</v>
      </c>
      <c r="BR78" s="44">
        <f t="shared" si="191"/>
        <v>8.8377687120286916E-2</v>
      </c>
      <c r="BS78" s="44">
        <f t="shared" si="192"/>
        <v>4.7663259445939771E-2</v>
      </c>
      <c r="BT78" s="44">
        <f t="shared" si="193"/>
        <v>0.18861813006035308</v>
      </c>
      <c r="BU78" s="44">
        <f t="shared" si="194"/>
        <v>0.18018707157223576</v>
      </c>
      <c r="BV78" s="44">
        <f t="shared" si="195"/>
        <v>0.17304570217952722</v>
      </c>
      <c r="BW78" s="44">
        <f t="shared" si="196"/>
        <v>0.1131814120026</v>
      </c>
      <c r="BX78" s="44">
        <f t="shared" si="197"/>
        <v>8.361637189770417E-2</v>
      </c>
      <c r="BY78" s="44">
        <f t="shared" si="198"/>
        <v>7.1794265884868619E-2</v>
      </c>
      <c r="CA78" s="44" t="str">
        <f t="shared" si="199"/>
        <v/>
      </c>
      <c r="CB78" s="44" t="str">
        <f t="shared" si="200"/>
        <v/>
      </c>
      <c r="CC78" s="44" t="str">
        <f t="shared" si="201"/>
        <v/>
      </c>
      <c r="CD78" s="44" t="str">
        <f t="shared" si="202"/>
        <v/>
      </c>
      <c r="CE78" s="44" t="str">
        <f t="shared" si="203"/>
        <v/>
      </c>
      <c r="CF78" s="44" t="str">
        <f t="shared" si="204"/>
        <v/>
      </c>
      <c r="CG78" s="44" t="str">
        <f t="shared" si="205"/>
        <v/>
      </c>
      <c r="CH78" s="44" t="str">
        <f t="shared" si="206"/>
        <v/>
      </c>
      <c r="CI78" s="44" t="str">
        <f t="shared" si="207"/>
        <v/>
      </c>
      <c r="CJ78" s="44" t="str">
        <f t="shared" si="208"/>
        <v/>
      </c>
      <c r="CK78" s="44" t="str">
        <f t="shared" si="209"/>
        <v/>
      </c>
      <c r="CL78" s="44" t="str">
        <f t="shared" si="210"/>
        <v/>
      </c>
      <c r="CM78" s="44" t="str">
        <f t="shared" si="211"/>
        <v/>
      </c>
      <c r="CN78" s="44" t="str">
        <f t="shared" si="212"/>
        <v/>
      </c>
      <c r="CO78" s="44" t="str">
        <f t="shared" si="213"/>
        <v/>
      </c>
      <c r="CP78" s="44" t="str">
        <f t="shared" si="214"/>
        <v/>
      </c>
      <c r="CQ78" s="44" t="str">
        <f t="shared" si="215"/>
        <v/>
      </c>
      <c r="CR78" s="44" t="str">
        <f t="shared" si="216"/>
        <v/>
      </c>
      <c r="CS78" s="44" t="str">
        <f t="shared" si="217"/>
        <v/>
      </c>
      <c r="CT78" s="44" t="str">
        <f t="shared" si="218"/>
        <v/>
      </c>
      <c r="CV78" s="44">
        <f t="shared" si="219"/>
        <v>0</v>
      </c>
    </row>
    <row r="79" spans="1:100" x14ac:dyDescent="0.25">
      <c r="A79" s="41"/>
      <c r="B79" s="42"/>
      <c r="C79" s="43" t="str" cm="1">
        <f t="array" ref="C79">IF(B79="","",INDEX(UWS!$B$10:$B$41,B79))</f>
        <v/>
      </c>
      <c r="D79" s="40" t="str">
        <f t="shared" si="176"/>
        <v/>
      </c>
      <c r="E79" s="69" t="str">
        <f t="shared" si="177"/>
        <v/>
      </c>
      <c r="F79" s="48" cm="1">
        <f t="array" ref="F79">0.1+IFERROR(INDEX($F$5:$F78,SUMPRODUCT(MAX(ROW($C$5:$C78)*($C79=$C$5:$C78))-ROW($A$4)))*0.9^($A79-INDEX($A$5:A78,SUMPRODUCT(MAX(ROW($C$5:$C78)*($C79=$C$5:$C78))-ROW($A$4)))),0)</f>
        <v>1.4000000000000001</v>
      </c>
      <c r="G79" s="55" t="e">
        <f>INDEX(UWS!$AB$10:$AB$41,MATCH(C79,UWS!$B$10:$B$41,0))</f>
        <v>#N/A</v>
      </c>
      <c r="H79" s="48" t="e">
        <f>INDEX(UWS!$C$10:$C$41,MATCH(C79,UWS!$B$10:$B$41,0))</f>
        <v>#N/A</v>
      </c>
      <c r="I79" s="27">
        <f t="shared" si="178"/>
        <v>5</v>
      </c>
      <c r="J79" s="27" t="e">
        <f>INDEX(UWS!$E$10:$E$41,MATCH(C79,UWS!$B$10:$B$41,0))</f>
        <v>#N/A</v>
      </c>
      <c r="L79" s="108" t="str" cm="1">
        <f t="array" ref="L79">IF(K79="","",INDEX(UWS!$B$10:$B$41,K79))</f>
        <v/>
      </c>
      <c r="N79" s="108" t="str" cm="1">
        <f t="array" ref="N79">IF(M79="","",INDEX(UWS!$B$10:$B$41,M79))</f>
        <v/>
      </c>
      <c r="P79">
        <f>IFERROR(INDEX(UWS!$G$10:$Z$41,MATCH($C79,UWS!$B$10:$B$41,0),MATCH(P$4,UWS!$G$3:$Z$3,0)),0)</f>
        <v>0</v>
      </c>
      <c r="Q79">
        <f>IFERROR(INDEX(UWS!$G$10:$Z$41,MATCH($C79,UWS!$B$10:$B$41,0),MATCH(Q$4,UWS!$G$3:$Z$3,0)),0)</f>
        <v>0</v>
      </c>
      <c r="R79">
        <f>IFERROR(INDEX(UWS!$G$10:$Z$41,MATCH($C79,UWS!$B$10:$B$41,0),MATCH(R$4,UWS!$G$3:$Z$3,0)),0)</f>
        <v>0</v>
      </c>
      <c r="S79">
        <f>IFERROR(INDEX(UWS!$G$10:$Z$41,MATCH($C79,UWS!$B$10:$B$41,0),MATCH(S$4,UWS!$G$3:$Z$3,0)),0)</f>
        <v>0</v>
      </c>
      <c r="T79">
        <f>IFERROR(INDEX(UWS!$G$10:$Z$41,MATCH($C79,UWS!$B$10:$B$41,0),MATCH(T$4,UWS!$G$3:$Z$3,0)),0)</f>
        <v>0</v>
      </c>
      <c r="U79">
        <f>IFERROR(INDEX(UWS!$G$10:$Z$41,MATCH($C79,UWS!$B$10:$B$41,0),MATCH(U$4,UWS!$G$3:$Z$3,0)),0)</f>
        <v>0</v>
      </c>
      <c r="V79">
        <f>IFERROR(INDEX(UWS!$G$10:$Z$41,MATCH($C79,UWS!$B$10:$B$41,0),MATCH(V$4,UWS!$G$3:$Z$3,0)),0)</f>
        <v>0</v>
      </c>
      <c r="W79">
        <f>IFERROR(INDEX(UWS!$G$10:$Z$41,MATCH($C79,UWS!$B$10:$B$41,0),MATCH(W$4,UWS!$G$3:$Z$3,0)),0)</f>
        <v>0</v>
      </c>
      <c r="X79">
        <f>IFERROR(INDEX(UWS!$G$10:$Z$41,MATCH($C79,UWS!$B$10:$B$41,0),MATCH(X$4,UWS!$G$3:$Z$3,0)),0)</f>
        <v>0</v>
      </c>
      <c r="Y79">
        <f>IFERROR(INDEX(UWS!$G$10:$Z$41,MATCH($C79,UWS!$B$10:$B$41,0),MATCH(Y$4,UWS!$G$3:$Z$3,0)),0)</f>
        <v>0</v>
      </c>
      <c r="Z79">
        <f>IFERROR(INDEX(UWS!$G$10:$Z$41,MATCH($C79,UWS!$B$10:$B$41,0),MATCH(Z$4,UWS!$G$3:$Z$3,0)),0)</f>
        <v>0</v>
      </c>
      <c r="AA79">
        <f>IFERROR(INDEX(UWS!$G$10:$Z$41,MATCH($C79,UWS!$B$10:$B$41,0),MATCH(AA$4,UWS!$G$3:$Z$3,0)),0)</f>
        <v>0</v>
      </c>
      <c r="AB79">
        <f>IFERROR(INDEX(UWS!$G$10:$Z$41,MATCH($C79,UWS!$B$10:$B$41,0),MATCH(AB$4,UWS!$G$3:$Z$3,0)),0)</f>
        <v>0</v>
      </c>
      <c r="AC79">
        <f>IFERROR(INDEX(UWS!$G$10:$Z$41,MATCH($C79,UWS!$B$10:$B$41,0),MATCH(AC$4,UWS!$G$3:$Z$3,0)),0)</f>
        <v>0</v>
      </c>
      <c r="AD79">
        <f>IFERROR(INDEX(UWS!$G$10:$Z$41,MATCH($C79,UWS!$B$10:$B$41,0),MATCH(AD$4,UWS!$G$3:$Z$3,0)),0)</f>
        <v>0</v>
      </c>
      <c r="AE79">
        <f>IFERROR(INDEX(UWS!$G$10:$Z$41,MATCH($C79,UWS!$B$10:$B$41,0),MATCH(AE$4,UWS!$G$3:$Z$3,0)),0)</f>
        <v>0</v>
      </c>
      <c r="AF79">
        <f>IFERROR(INDEX(UWS!$G$10:$Z$41,MATCH($C79,UWS!$B$10:$B$41,0),MATCH(AF$4,UWS!$G$3:$Z$3,0)),0)</f>
        <v>0</v>
      </c>
      <c r="AG79">
        <f>IFERROR(INDEX(UWS!$G$10:$Z$41,MATCH($C79,UWS!$B$10:$B$41,0),MATCH(AG$4,UWS!$G$3:$Z$3,0)),0)</f>
        <v>0</v>
      </c>
      <c r="AH79">
        <f>IFERROR(INDEX(UWS!$G$10:$Z$41,MATCH($C79,UWS!$B$10:$B$41,0),MATCH(AH$4,UWS!$G$3:$Z$3,0)),0)</f>
        <v>0</v>
      </c>
      <c r="AI79">
        <f>IFERROR(INDEX(UWS!$G$10:$Z$41,MATCH($C79,UWS!$B$10:$B$41,0),MATCH(AI$4,UWS!$G$3:$Z$3,0)),0)</f>
        <v>0</v>
      </c>
      <c r="AK79" t="e">
        <f>IF(OR($J79=0,COUNTIFS($A$4:$A78,"&gt;="&amp;$A79-1,$A$4:$A78,"&lt;="&amp;$A79,$B$4:$B78,$B79)&gt;0,MIN(AK$1,IF($A79=$A78,AK78,1))-P79&lt;0),-1,MIN(1,IF($A79=$A78,AK78,1)-P79+$D$3))</f>
        <v>#N/A</v>
      </c>
      <c r="AL79" t="e">
        <f>IF(OR($J79=0,COUNTIFS($A$4:$A78,"&gt;="&amp;$A79-1,$A$4:$A78,"&lt;="&amp;$A79,$B$4:$B78,$B79)&gt;0,MIN(AL$1,IF($A79=$A78,AL78,1))-Q79&lt;0),-1,MIN(1,IF($A79=$A78,AL78,1)-Q79+$D$3))</f>
        <v>#N/A</v>
      </c>
      <c r="AM79" t="e">
        <f>IF(OR($J79=0,COUNTIFS($A$4:$A78,"&gt;="&amp;$A79-1,$A$4:$A78,"&lt;="&amp;$A79,$B$4:$B78,$B79)&gt;0,MIN(AM$1,IF($A79=$A78,AM78,1))-R79&lt;0),-1,MIN(1,IF($A79=$A78,AM78,1)-R79+$D$3))</f>
        <v>#N/A</v>
      </c>
      <c r="AN79" t="e">
        <f>IF(OR($J79=0,COUNTIFS($A$4:$A78,"&gt;="&amp;$A79-1,$A$4:$A78,"&lt;="&amp;$A79,$B$4:$B78,$B79)&gt;0,MIN(AN$1,IF($A79=$A78,AN78,1))-S79&lt;0),-1,MIN(1,IF($A79=$A78,AN78,1)-S79+$D$3))</f>
        <v>#N/A</v>
      </c>
      <c r="AO79" t="e">
        <f>IF(OR($J79=0,COUNTIFS($A$4:$A78,"&gt;="&amp;$A79-1,$A$4:$A78,"&lt;="&amp;$A79,$B$4:$B78,$B79)&gt;0,MIN(AO$1,IF($A79=$A78,AO78,1))-T79&lt;0),-1,MIN(1,IF($A79=$A78,AO78,1)-T79+$D$3))</f>
        <v>#N/A</v>
      </c>
      <c r="AP79" t="e">
        <f>IF(OR($J79=0,COUNTIFS($A$4:$A78,"&gt;="&amp;$A79-1,$A$4:$A78,"&lt;="&amp;$A79,$B$4:$B78,$B79)&gt;0,MIN(AP$1,IF($A79=$A78,AP78,1))-U79&lt;0),-1,MIN(1,IF($A79=$A78,AP78,1)-U79+$D$3))</f>
        <v>#N/A</v>
      </c>
      <c r="AQ79" t="e">
        <f>IF(OR($J79=0,COUNTIFS($A$4:$A78,"&gt;="&amp;$A79-1,$A$4:$A78,"&lt;="&amp;$A79,$B$4:$B78,$B79)&gt;0,MIN(AQ$1,IF($A79=$A78,AQ78,1))-V79&lt;0),-1,MIN(1,IF($A79=$A78,AQ78,1)-V79+$D$3))</f>
        <v>#N/A</v>
      </c>
      <c r="AR79" t="e">
        <f>IF(OR($J79=0,COUNTIFS($A$4:$A78,"&gt;="&amp;$A79-1,$A$4:$A78,"&lt;="&amp;$A79,$B$4:$B78,$B79)&gt;0,MIN(AR$1,IF($A79=$A78,AR78,1))-W79&lt;0),-1,MIN(1,IF($A79=$A78,AR78,1)-W79+$D$3))</f>
        <v>#N/A</v>
      </c>
      <c r="AS79" t="e">
        <f>IF(OR($J79=0,COUNTIFS($A$4:$A78,"&gt;="&amp;$A79-1,$A$4:$A78,"&lt;="&amp;$A79,$B$4:$B78,$B79)&gt;0,MIN(AS$1,IF($A79=$A78,AS78,1))-X79&lt;0),-1,MIN(1,IF($A79=$A78,AS78,1)-X79+$D$3))</f>
        <v>#N/A</v>
      </c>
      <c r="AT79" t="e">
        <f>IF(OR($J79=0,COUNTIFS($A$4:$A78,"&gt;="&amp;$A79-1,$A$4:$A78,"&lt;="&amp;$A79,$B$4:$B78,$B79)&gt;0,MIN(AT$1,IF($A79=$A78,AT78,1))-Y79&lt;0),-1,MIN(1,IF($A79=$A78,AT78,1)-Y79+$D$3))</f>
        <v>#N/A</v>
      </c>
      <c r="AU79" t="e">
        <f>IF(OR($J79=0,COUNTIFS($A$4:$A78,"&gt;="&amp;$A79-1,$A$4:$A78,"&lt;="&amp;$A79,$B$4:$B78,$B79)&gt;0,MIN(AU$1,IF($A79=$A78,AU78,1))-Z79&lt;0),-1,MIN(1,IF($A79=$A78,AU78,1)-Z79+$D$3))</f>
        <v>#N/A</v>
      </c>
      <c r="AV79" t="e">
        <f>IF(OR($J79=0,COUNTIFS($A$4:$A78,"&gt;="&amp;$A79-1,$A$4:$A78,"&lt;="&amp;$A79,$B$4:$B78,$B79)&gt;0,MIN(AV$1,IF($A79=$A78,AV78,1))-AA79&lt;0),-1,MIN(1,IF($A79=$A78,AV78,1)-AA79+$D$3))</f>
        <v>#N/A</v>
      </c>
      <c r="AW79" t="e">
        <f>IF(OR($J79=0,COUNTIFS($A$4:$A78,"&gt;="&amp;$A79-1,$A$4:$A78,"&lt;="&amp;$A79,$B$4:$B78,$B79)&gt;0,MIN(AW$1,IF($A79=$A78,AW78,1))-AB79&lt;0),-1,MIN(1,IF($A79=$A78,AW78,1)-AB79+$D$3))</f>
        <v>#N/A</v>
      </c>
      <c r="AX79" t="e">
        <f>IF(OR($J79=0,COUNTIFS($A$4:$A78,"&gt;="&amp;$A79-1,$A$4:$A78,"&lt;="&amp;$A79,$B$4:$B78,$B79)&gt;0,MIN(AX$1,IF($A79=$A78,AX78,1))-AC79&lt;0),-1,MIN(1,IF($A79=$A78,AX78,1)-AC79+$D$3))</f>
        <v>#N/A</v>
      </c>
      <c r="AY79" t="e">
        <f>IF(OR($J79=0,COUNTIFS($A$4:$A78,"&gt;="&amp;$A79-1,$A$4:$A78,"&lt;="&amp;$A79,$B$4:$B78,$B79)&gt;0,MIN(AY$1,IF($A79=$A78,AY78,1))-AD79&lt;0),-1,MIN(1,IF($A79=$A78,AY78,1)-AD79+$D$3))</f>
        <v>#N/A</v>
      </c>
      <c r="AZ79" t="e">
        <f>IF(OR($J79=0,COUNTIFS($A$4:$A78,"&gt;="&amp;$A79-1,$A$4:$A78,"&lt;="&amp;$A79,$B$4:$B78,$B79)&gt;0,MIN(AZ$1,IF($A79=$A78,AZ78,1))-AE79&lt;0),-1,MIN(1,IF($A79=$A78,AZ78,1)-AE79+$D$3))</f>
        <v>#N/A</v>
      </c>
      <c r="BA79" t="e">
        <f>IF(OR($J79=0,COUNTIFS($A$4:$A78,"&gt;="&amp;$A79-1,$A$4:$A78,"&lt;="&amp;$A79,$B$4:$B78,$B79)&gt;0,MIN(BA$1,IF($A79=$A78,BA78,1))-AF79&lt;0),-1,MIN(1,IF($A79=$A78,BA78,1)-AF79+$D$3))</f>
        <v>#N/A</v>
      </c>
      <c r="BB79" t="e">
        <f>IF(OR($J79=0,COUNTIFS($A$4:$A78,"&gt;="&amp;$A79-1,$A$4:$A78,"&lt;="&amp;$A79,$B$4:$B78,$B79)&gt;0,MIN(BB$1,IF($A79=$A78,BB78,1))-AG79&lt;0),-1,MIN(1,IF($A79=$A78,BB78,1)-AG79+$D$3))</f>
        <v>#N/A</v>
      </c>
      <c r="BC79" t="e">
        <f>IF(OR($J79=0,COUNTIFS($A$4:$A78,"&gt;="&amp;$A79-1,$A$4:$A78,"&lt;="&amp;$A79,$B$4:$B78,$B79)&gt;0,MIN(BC$1,IF($A79=$A78,BC78,1))-AH79&lt;0),-1,MIN(1,IF($A79=$A78,BC78,1)-AH79+$D$3))</f>
        <v>#N/A</v>
      </c>
      <c r="BD79" t="e">
        <f>IF(OR($J79=0,COUNTIFS($A$4:$A78,"&gt;="&amp;$A79-1,$A$4:$A78,"&lt;="&amp;$A79,$B$4:$B78,$B79)&gt;0,MIN(BD$1,IF($A79=$A78,BD78,1))-AI79&lt;0),-1,MIN(1,IF($A79=$A78,BD78,1)-AI79+$D$3))</f>
        <v>#N/A</v>
      </c>
      <c r="BF79" s="44">
        <f t="shared" si="179"/>
        <v>4.5245593610988476E-2</v>
      </c>
      <c r="BG79" s="44">
        <f t="shared" si="180"/>
        <v>0.11127168214809839</v>
      </c>
      <c r="BH79" s="44">
        <f t="shared" si="181"/>
        <v>0.11404176956714077</v>
      </c>
      <c r="BI79" s="44">
        <f t="shared" si="182"/>
        <v>0.10534293271928688</v>
      </c>
      <c r="BJ79" s="44">
        <f t="shared" si="183"/>
        <v>0.10888192179780855</v>
      </c>
      <c r="BK79" s="44">
        <f t="shared" si="184"/>
        <v>4.6757956875855551E-2</v>
      </c>
      <c r="BL79" s="44">
        <f t="shared" si="185"/>
        <v>2.5259383918951064E-2</v>
      </c>
      <c r="BM79" s="44">
        <f t="shared" si="186"/>
        <v>6.4256923024351195E-2</v>
      </c>
      <c r="BN79" s="44">
        <f t="shared" si="187"/>
        <v>6.6832207833111043E-2</v>
      </c>
      <c r="BO79" s="44">
        <f t="shared" si="188"/>
        <v>3.1320108581810856E-2</v>
      </c>
      <c r="BP79" s="44">
        <f t="shared" si="189"/>
        <v>0.10531316728810529</v>
      </c>
      <c r="BQ79" s="44">
        <f t="shared" si="190"/>
        <v>2.8419664379920804E-2</v>
      </c>
      <c r="BR79" s="44">
        <f t="shared" si="191"/>
        <v>8.3958802764272561E-2</v>
      </c>
      <c r="BS79" s="44">
        <f t="shared" si="192"/>
        <v>4.5280096473642777E-2</v>
      </c>
      <c r="BT79" s="44">
        <f t="shared" si="193"/>
        <v>0.17918722355733541</v>
      </c>
      <c r="BU79" s="44">
        <f t="shared" si="194"/>
        <v>0.17117771799362397</v>
      </c>
      <c r="BV79" s="44">
        <f t="shared" si="195"/>
        <v>0.16439341707055086</v>
      </c>
      <c r="BW79" s="44">
        <f t="shared" si="196"/>
        <v>0.10752234140247</v>
      </c>
      <c r="BX79" s="44">
        <f t="shared" si="197"/>
        <v>7.9435553302818956E-2</v>
      </c>
      <c r="BY79" s="44">
        <f t="shared" si="198"/>
        <v>6.8204552590625189E-2</v>
      </c>
      <c r="CA79" s="44" t="str">
        <f t="shared" si="199"/>
        <v/>
      </c>
      <c r="CB79" s="44" t="str">
        <f t="shared" si="200"/>
        <v/>
      </c>
      <c r="CC79" s="44" t="str">
        <f t="shared" si="201"/>
        <v/>
      </c>
      <c r="CD79" s="44" t="str">
        <f t="shared" si="202"/>
        <v/>
      </c>
      <c r="CE79" s="44" t="str">
        <f t="shared" si="203"/>
        <v/>
      </c>
      <c r="CF79" s="44" t="str">
        <f t="shared" si="204"/>
        <v/>
      </c>
      <c r="CG79" s="44" t="str">
        <f t="shared" si="205"/>
        <v/>
      </c>
      <c r="CH79" s="44" t="str">
        <f t="shared" si="206"/>
        <v/>
      </c>
      <c r="CI79" s="44" t="str">
        <f t="shared" si="207"/>
        <v/>
      </c>
      <c r="CJ79" s="44" t="str">
        <f t="shared" si="208"/>
        <v/>
      </c>
      <c r="CK79" s="44" t="str">
        <f t="shared" si="209"/>
        <v/>
      </c>
      <c r="CL79" s="44" t="str">
        <f t="shared" si="210"/>
        <v/>
      </c>
      <c r="CM79" s="44" t="str">
        <f t="shared" si="211"/>
        <v/>
      </c>
      <c r="CN79" s="44" t="str">
        <f t="shared" si="212"/>
        <v/>
      </c>
      <c r="CO79" s="44" t="str">
        <f t="shared" si="213"/>
        <v/>
      </c>
      <c r="CP79" s="44" t="str">
        <f t="shared" si="214"/>
        <v/>
      </c>
      <c r="CQ79" s="44" t="str">
        <f t="shared" si="215"/>
        <v/>
      </c>
      <c r="CR79" s="44" t="str">
        <f t="shared" si="216"/>
        <v/>
      </c>
      <c r="CS79" s="44" t="str">
        <f t="shared" si="217"/>
        <v/>
      </c>
      <c r="CT79" s="44" t="str">
        <f t="shared" si="218"/>
        <v/>
      </c>
      <c r="CV79" s="44">
        <f t="shared" si="219"/>
        <v>0</v>
      </c>
    </row>
    <row r="80" spans="1:100" x14ac:dyDescent="0.25">
      <c r="A80" s="49"/>
      <c r="B80" s="50"/>
      <c r="C80" s="51" t="str" cm="1">
        <f t="array" ref="C80">IF(B80="","",INDEX(UWS!$B$10:$B$41,B80))</f>
        <v/>
      </c>
      <c r="D80" s="45" t="str">
        <f t="shared" si="176"/>
        <v/>
      </c>
      <c r="E80" s="70" t="str">
        <f t="shared" si="177"/>
        <v/>
      </c>
      <c r="F80" s="52" cm="1">
        <f t="array" ref="F80">0.1+IFERROR(INDEX($F$5:$F79,SUMPRODUCT(MAX(ROW($C$5:$C79)*($C80=$C$5:$C79))-ROW($A$4)))*0.9^($A80-INDEX($A$5:A79,SUMPRODUCT(MAX(ROW($C$5:$C79)*($C80=$C$5:$C79))-ROW($A$4)))),0)</f>
        <v>1.5000000000000002</v>
      </c>
      <c r="G80" s="56" t="e">
        <f>INDEX(UWS!$AB$10:$AB$41,MATCH(C80,UWS!$B$10:$B$41,0))</f>
        <v>#N/A</v>
      </c>
      <c r="H80" s="52" t="e">
        <f>INDEX(UWS!$C$10:$C$41,MATCH(C80,UWS!$B$10:$B$41,0))</f>
        <v>#N/A</v>
      </c>
      <c r="I80" s="46">
        <f t="shared" si="178"/>
        <v>5</v>
      </c>
      <c r="J80" s="46" t="e">
        <f>INDEX(UWS!$E$10:$E$41,MATCH(C80,UWS!$B$10:$B$41,0))</f>
        <v>#N/A</v>
      </c>
      <c r="K80" s="46"/>
      <c r="L80" s="109" t="str" cm="1">
        <f t="array" ref="L80">IF(K80="","",INDEX(UWS!$B$10:$B$41,K80))</f>
        <v/>
      </c>
      <c r="M80" s="46"/>
      <c r="N80" s="109" t="str" cm="1">
        <f t="array" ref="N80">IF(M80="","",INDEX(UWS!$B$10:$B$41,M80))</f>
        <v/>
      </c>
      <c r="O80" s="47"/>
      <c r="P80" s="47">
        <f>IFERROR(INDEX(UWS!$G$10:$Z$41,MATCH($C80,UWS!$B$10:$B$41,0),MATCH(P$4,UWS!$G$3:$Z$3,0)),0)</f>
        <v>0</v>
      </c>
      <c r="Q80" s="47">
        <f>IFERROR(INDEX(UWS!$G$10:$Z$41,MATCH($C80,UWS!$B$10:$B$41,0),MATCH(Q$4,UWS!$G$3:$Z$3,0)),0)</f>
        <v>0</v>
      </c>
      <c r="R80" s="47">
        <f>IFERROR(INDEX(UWS!$G$10:$Z$41,MATCH($C80,UWS!$B$10:$B$41,0),MATCH(R$4,UWS!$G$3:$Z$3,0)),0)</f>
        <v>0</v>
      </c>
      <c r="S80" s="47">
        <f>IFERROR(INDEX(UWS!$G$10:$Z$41,MATCH($C80,UWS!$B$10:$B$41,0),MATCH(S$4,UWS!$G$3:$Z$3,0)),0)</f>
        <v>0</v>
      </c>
      <c r="T80" s="47">
        <f>IFERROR(INDEX(UWS!$G$10:$Z$41,MATCH($C80,UWS!$B$10:$B$41,0),MATCH(T$4,UWS!$G$3:$Z$3,0)),0)</f>
        <v>0</v>
      </c>
      <c r="U80" s="47">
        <f>IFERROR(INDEX(UWS!$G$10:$Z$41,MATCH($C80,UWS!$B$10:$B$41,0),MATCH(U$4,UWS!$G$3:$Z$3,0)),0)</f>
        <v>0</v>
      </c>
      <c r="V80" s="47">
        <f>IFERROR(INDEX(UWS!$G$10:$Z$41,MATCH($C80,UWS!$B$10:$B$41,0),MATCH(V$4,UWS!$G$3:$Z$3,0)),0)</f>
        <v>0</v>
      </c>
      <c r="W80" s="47">
        <f>IFERROR(INDEX(UWS!$G$10:$Z$41,MATCH($C80,UWS!$B$10:$B$41,0),MATCH(W$4,UWS!$G$3:$Z$3,0)),0)</f>
        <v>0</v>
      </c>
      <c r="X80" s="47">
        <f>IFERROR(INDEX(UWS!$G$10:$Z$41,MATCH($C80,UWS!$B$10:$B$41,0),MATCH(X$4,UWS!$G$3:$Z$3,0)),0)</f>
        <v>0</v>
      </c>
      <c r="Y80" s="47">
        <f>IFERROR(INDEX(UWS!$G$10:$Z$41,MATCH($C80,UWS!$B$10:$B$41,0),MATCH(Y$4,UWS!$G$3:$Z$3,0)),0)</f>
        <v>0</v>
      </c>
      <c r="Z80" s="47">
        <f>IFERROR(INDEX(UWS!$G$10:$Z$41,MATCH($C80,UWS!$B$10:$B$41,0),MATCH(Z$4,UWS!$G$3:$Z$3,0)),0)</f>
        <v>0</v>
      </c>
      <c r="AA80" s="47">
        <f>IFERROR(INDEX(UWS!$G$10:$Z$41,MATCH($C80,UWS!$B$10:$B$41,0),MATCH(AA$4,UWS!$G$3:$Z$3,0)),0)</f>
        <v>0</v>
      </c>
      <c r="AB80" s="47">
        <f>IFERROR(INDEX(UWS!$G$10:$Z$41,MATCH($C80,UWS!$B$10:$B$41,0),MATCH(AB$4,UWS!$G$3:$Z$3,0)),0)</f>
        <v>0</v>
      </c>
      <c r="AC80" s="47">
        <f>IFERROR(INDEX(UWS!$G$10:$Z$41,MATCH($C80,UWS!$B$10:$B$41,0),MATCH(AC$4,UWS!$G$3:$Z$3,0)),0)</f>
        <v>0</v>
      </c>
      <c r="AD80" s="47">
        <f>IFERROR(INDEX(UWS!$G$10:$Z$41,MATCH($C80,UWS!$B$10:$B$41,0),MATCH(AD$4,UWS!$G$3:$Z$3,0)),0)</f>
        <v>0</v>
      </c>
      <c r="AE80" s="47">
        <f>IFERROR(INDEX(UWS!$G$10:$Z$41,MATCH($C80,UWS!$B$10:$B$41,0),MATCH(AE$4,UWS!$G$3:$Z$3,0)),0)</f>
        <v>0</v>
      </c>
      <c r="AF80" s="47">
        <f>IFERROR(INDEX(UWS!$G$10:$Z$41,MATCH($C80,UWS!$B$10:$B$41,0),MATCH(AF$4,UWS!$G$3:$Z$3,0)),0)</f>
        <v>0</v>
      </c>
      <c r="AG80" s="47">
        <f>IFERROR(INDEX(UWS!$G$10:$Z$41,MATCH($C80,UWS!$B$10:$B$41,0),MATCH(AG$4,UWS!$G$3:$Z$3,0)),0)</f>
        <v>0</v>
      </c>
      <c r="AH80" s="47">
        <f>IFERROR(INDEX(UWS!$G$10:$Z$41,MATCH($C80,UWS!$B$10:$B$41,0),MATCH(AH$4,UWS!$G$3:$Z$3,0)),0)</f>
        <v>0</v>
      </c>
      <c r="AI80" s="47">
        <f>IFERROR(INDEX(UWS!$G$10:$Z$41,MATCH($C80,UWS!$B$10:$B$41,0),MATCH(AI$4,UWS!$G$3:$Z$3,0)),0)</f>
        <v>0</v>
      </c>
      <c r="AJ80" s="47"/>
      <c r="AK80" s="47" t="e">
        <f>IF(OR($J80=0,COUNTIFS($A$4:$A79,"&gt;="&amp;$A80-1,$A$4:$A79,"&lt;="&amp;$A80,$B$4:$B79,$B80)&gt;0,MIN(AK$1,IF($A80=$A79,AK79,1))-P80&lt;0),-1,MIN(1,IF($A80=$A79,AK79,1)-P80+$D$3))</f>
        <v>#N/A</v>
      </c>
      <c r="AL80" s="47" t="e">
        <f>IF(OR($J80=0,COUNTIFS($A$4:$A79,"&gt;="&amp;$A80-1,$A$4:$A79,"&lt;="&amp;$A80,$B$4:$B79,$B80)&gt;0,MIN(AL$1,IF($A80=$A79,AL79,1))-Q80&lt;0),-1,MIN(1,IF($A80=$A79,AL79,1)-Q80+$D$3))</f>
        <v>#N/A</v>
      </c>
      <c r="AM80" s="47" t="e">
        <f>IF(OR($J80=0,COUNTIFS($A$4:$A79,"&gt;="&amp;$A80-1,$A$4:$A79,"&lt;="&amp;$A80,$B$4:$B79,$B80)&gt;0,MIN(AM$1,IF($A80=$A79,AM79,1))-R80&lt;0),-1,MIN(1,IF($A80=$A79,AM79,1)-R80+$D$3))</f>
        <v>#N/A</v>
      </c>
      <c r="AN80" s="47" t="e">
        <f>IF(OR($J80=0,COUNTIFS($A$4:$A79,"&gt;="&amp;$A80-1,$A$4:$A79,"&lt;="&amp;$A80,$B$4:$B79,$B80)&gt;0,MIN(AN$1,IF($A80=$A79,AN79,1))-S80&lt;0),-1,MIN(1,IF($A80=$A79,AN79,1)-S80+$D$3))</f>
        <v>#N/A</v>
      </c>
      <c r="AO80" s="47" t="e">
        <f>IF(OR($J80=0,COUNTIFS($A$4:$A79,"&gt;="&amp;$A80-1,$A$4:$A79,"&lt;="&amp;$A80,$B$4:$B79,$B80)&gt;0,MIN(AO$1,IF($A80=$A79,AO79,1))-T80&lt;0),-1,MIN(1,IF($A80=$A79,AO79,1)-T80+$D$3))</f>
        <v>#N/A</v>
      </c>
      <c r="AP80" s="47" t="e">
        <f>IF(OR($J80=0,COUNTIFS($A$4:$A79,"&gt;="&amp;$A80-1,$A$4:$A79,"&lt;="&amp;$A80,$B$4:$B79,$B80)&gt;0,MIN(AP$1,IF($A80=$A79,AP79,1))-U80&lt;0),-1,MIN(1,IF($A80=$A79,AP79,1)-U80+$D$3))</f>
        <v>#N/A</v>
      </c>
      <c r="AQ80" s="47" t="e">
        <f>IF(OR($J80=0,COUNTIFS($A$4:$A79,"&gt;="&amp;$A80-1,$A$4:$A79,"&lt;="&amp;$A80,$B$4:$B79,$B80)&gt;0,MIN(AQ$1,IF($A80=$A79,AQ79,1))-V80&lt;0),-1,MIN(1,IF($A80=$A79,AQ79,1)-V80+$D$3))</f>
        <v>#N/A</v>
      </c>
      <c r="AR80" s="47" t="e">
        <f>IF(OR($J80=0,COUNTIFS($A$4:$A79,"&gt;="&amp;$A80-1,$A$4:$A79,"&lt;="&amp;$A80,$B$4:$B79,$B80)&gt;0,MIN(AR$1,IF($A80=$A79,AR79,1))-W80&lt;0),-1,MIN(1,IF($A80=$A79,AR79,1)-W80+$D$3))</f>
        <v>#N/A</v>
      </c>
      <c r="AS80" s="47" t="e">
        <f>IF(OR($J80=0,COUNTIFS($A$4:$A79,"&gt;="&amp;$A80-1,$A$4:$A79,"&lt;="&amp;$A80,$B$4:$B79,$B80)&gt;0,MIN(AS$1,IF($A80=$A79,AS79,1))-X80&lt;0),-1,MIN(1,IF($A80=$A79,AS79,1)-X80+$D$3))</f>
        <v>#N/A</v>
      </c>
      <c r="AT80" s="47" t="e">
        <f>IF(OR($J80=0,COUNTIFS($A$4:$A79,"&gt;="&amp;$A80-1,$A$4:$A79,"&lt;="&amp;$A80,$B$4:$B79,$B80)&gt;0,MIN(AT$1,IF($A80=$A79,AT79,1))-Y80&lt;0),-1,MIN(1,IF($A80=$A79,AT79,1)-Y80+$D$3))</f>
        <v>#N/A</v>
      </c>
      <c r="AU80" s="47" t="e">
        <f>IF(OR($J80=0,COUNTIFS($A$4:$A79,"&gt;="&amp;$A80-1,$A$4:$A79,"&lt;="&amp;$A80,$B$4:$B79,$B80)&gt;0,MIN(AU$1,IF($A80=$A79,AU79,1))-Z80&lt;0),-1,MIN(1,IF($A80=$A79,AU79,1)-Z80+$D$3))</f>
        <v>#N/A</v>
      </c>
      <c r="AV80" s="47" t="e">
        <f>IF(OR($J80=0,COUNTIFS($A$4:$A79,"&gt;="&amp;$A80-1,$A$4:$A79,"&lt;="&amp;$A80,$B$4:$B79,$B80)&gt;0,MIN(AV$1,IF($A80=$A79,AV79,1))-AA80&lt;0),-1,MIN(1,IF($A80=$A79,AV79,1)-AA80+$D$3))</f>
        <v>#N/A</v>
      </c>
      <c r="AW80" s="47" t="e">
        <f>IF(OR($J80=0,COUNTIFS($A$4:$A79,"&gt;="&amp;$A80-1,$A$4:$A79,"&lt;="&amp;$A80,$B$4:$B79,$B80)&gt;0,MIN(AW$1,IF($A80=$A79,AW79,1))-AB80&lt;0),-1,MIN(1,IF($A80=$A79,AW79,1)-AB80+$D$3))</f>
        <v>#N/A</v>
      </c>
      <c r="AX80" s="47" t="e">
        <f>IF(OR($J80=0,COUNTIFS($A$4:$A79,"&gt;="&amp;$A80-1,$A$4:$A79,"&lt;="&amp;$A80,$B$4:$B79,$B80)&gt;0,MIN(AX$1,IF($A80=$A79,AX79,1))-AC80&lt;0),-1,MIN(1,IF($A80=$A79,AX79,1)-AC80+$D$3))</f>
        <v>#N/A</v>
      </c>
      <c r="AY80" s="47" t="e">
        <f>IF(OR($J80=0,COUNTIFS($A$4:$A79,"&gt;="&amp;$A80-1,$A$4:$A79,"&lt;="&amp;$A80,$B$4:$B79,$B80)&gt;0,MIN(AY$1,IF($A80=$A79,AY79,1))-AD80&lt;0),-1,MIN(1,IF($A80=$A79,AY79,1)-AD80+$D$3))</f>
        <v>#N/A</v>
      </c>
      <c r="AZ80" s="47" t="e">
        <f>IF(OR($J80=0,COUNTIFS($A$4:$A79,"&gt;="&amp;$A80-1,$A$4:$A79,"&lt;="&amp;$A80,$B$4:$B79,$B80)&gt;0,MIN(AZ$1,IF($A80=$A79,AZ79,1))-AE80&lt;0),-1,MIN(1,IF($A80=$A79,AZ79,1)-AE80+$D$3))</f>
        <v>#N/A</v>
      </c>
      <c r="BA80" s="47" t="e">
        <f>IF(OR($J80=0,COUNTIFS($A$4:$A79,"&gt;="&amp;$A80-1,$A$4:$A79,"&lt;="&amp;$A80,$B$4:$B79,$B80)&gt;0,MIN(BA$1,IF($A80=$A79,BA79,1))-AF80&lt;0),-1,MIN(1,IF($A80=$A79,BA79,1)-AF80+$D$3))</f>
        <v>#N/A</v>
      </c>
      <c r="BB80" s="47" t="e">
        <f>IF(OR($J80=0,COUNTIFS($A$4:$A79,"&gt;="&amp;$A80-1,$A$4:$A79,"&lt;="&amp;$A80,$B$4:$B79,$B80)&gt;0,MIN(BB$1,IF($A80=$A79,BB79,1))-AG80&lt;0),-1,MIN(1,IF($A80=$A79,BB79,1)-AG80+$D$3))</f>
        <v>#N/A</v>
      </c>
      <c r="BC80" s="47" t="e">
        <f>IF(OR($J80=0,COUNTIFS($A$4:$A79,"&gt;="&amp;$A80-1,$A$4:$A79,"&lt;="&amp;$A80,$B$4:$B79,$B80)&gt;0,MIN(BC$1,IF($A80=$A79,BC79,1))-AH80&lt;0),-1,MIN(1,IF($A80=$A79,BC79,1)-AH80+$D$3))</f>
        <v>#N/A</v>
      </c>
      <c r="BD80" s="47" t="e">
        <f>IF(OR($J80=0,COUNTIFS($A$4:$A79,"&gt;="&amp;$A80-1,$A$4:$A79,"&lt;="&amp;$A80,$B$4:$B79,$B80)&gt;0,MIN(BD$1,IF($A80=$A79,BD79,1))-AI80&lt;0),-1,MIN(1,IF($A80=$A79,BD79,1)-AI80+$D$3))</f>
        <v>#N/A</v>
      </c>
      <c r="BE80" s="47"/>
      <c r="BF80" s="53">
        <f t="shared" si="179"/>
        <v>4.2983313930439047E-2</v>
      </c>
      <c r="BG80" s="53">
        <f t="shared" si="180"/>
        <v>0.10570809804069346</v>
      </c>
      <c r="BH80" s="53">
        <f t="shared" si="181"/>
        <v>0.10833968108878372</v>
      </c>
      <c r="BI80" s="53">
        <f t="shared" si="182"/>
        <v>0.10007578608332253</v>
      </c>
      <c r="BJ80" s="53">
        <f t="shared" si="183"/>
        <v>0.10343782570791811</v>
      </c>
      <c r="BK80" s="53">
        <f t="shared" si="184"/>
        <v>4.4420059032062774E-2</v>
      </c>
      <c r="BL80" s="53">
        <f t="shared" si="185"/>
        <v>2.3996414723003508E-2</v>
      </c>
      <c r="BM80" s="53">
        <f t="shared" si="186"/>
        <v>6.1044076873133631E-2</v>
      </c>
      <c r="BN80" s="53">
        <f t="shared" si="187"/>
        <v>6.3490597441455493E-2</v>
      </c>
      <c r="BO80" s="53">
        <f t="shared" si="188"/>
        <v>2.9754103152720313E-2</v>
      </c>
      <c r="BP80" s="53">
        <f t="shared" si="189"/>
        <v>0.10004750892370003</v>
      </c>
      <c r="BQ80" s="53">
        <f t="shared" si="190"/>
        <v>2.6998681160924763E-2</v>
      </c>
      <c r="BR80" s="53">
        <f t="shared" si="191"/>
        <v>7.9760862626058929E-2</v>
      </c>
      <c r="BS80" s="53">
        <f t="shared" si="192"/>
        <v>4.3016091649960633E-2</v>
      </c>
      <c r="BT80" s="53">
        <f t="shared" si="193"/>
        <v>0.17022786237946863</v>
      </c>
      <c r="BU80" s="53">
        <f t="shared" si="194"/>
        <v>0.16261883209394276</v>
      </c>
      <c r="BV80" s="53">
        <f t="shared" si="195"/>
        <v>0.15617374621702332</v>
      </c>
      <c r="BW80" s="53">
        <f t="shared" si="196"/>
        <v>0.10214622433234649</v>
      </c>
      <c r="BX80" s="53">
        <f t="shared" si="197"/>
        <v>7.5463775637678004E-2</v>
      </c>
      <c r="BY80" s="53">
        <f t="shared" si="198"/>
        <v>6.4794324961093927E-2</v>
      </c>
      <c r="BZ80" s="47"/>
      <c r="CA80" s="53" t="str">
        <f t="shared" si="199"/>
        <v/>
      </c>
      <c r="CB80" s="53" t="str">
        <f t="shared" si="200"/>
        <v/>
      </c>
      <c r="CC80" s="53" t="str">
        <f t="shared" si="201"/>
        <v/>
      </c>
      <c r="CD80" s="53" t="str">
        <f t="shared" si="202"/>
        <v/>
      </c>
      <c r="CE80" s="53" t="str">
        <f t="shared" si="203"/>
        <v/>
      </c>
      <c r="CF80" s="53" t="str">
        <f t="shared" si="204"/>
        <v/>
      </c>
      <c r="CG80" s="53" t="str">
        <f t="shared" si="205"/>
        <v/>
      </c>
      <c r="CH80" s="53" t="str">
        <f t="shared" si="206"/>
        <v/>
      </c>
      <c r="CI80" s="53" t="str">
        <f t="shared" si="207"/>
        <v/>
      </c>
      <c r="CJ80" s="53" t="str">
        <f t="shared" si="208"/>
        <v/>
      </c>
      <c r="CK80" s="53" t="str">
        <f t="shared" si="209"/>
        <v/>
      </c>
      <c r="CL80" s="53" t="str">
        <f t="shared" si="210"/>
        <v/>
      </c>
      <c r="CM80" s="53" t="str">
        <f t="shared" si="211"/>
        <v/>
      </c>
      <c r="CN80" s="53" t="str">
        <f t="shared" si="212"/>
        <v/>
      </c>
      <c r="CO80" s="53" t="str">
        <f t="shared" si="213"/>
        <v/>
      </c>
      <c r="CP80" s="53" t="str">
        <f t="shared" si="214"/>
        <v/>
      </c>
      <c r="CQ80" s="53" t="str">
        <f t="shared" si="215"/>
        <v/>
      </c>
      <c r="CR80" s="53" t="str">
        <f t="shared" si="216"/>
        <v/>
      </c>
      <c r="CS80" s="53" t="str">
        <f t="shared" si="217"/>
        <v/>
      </c>
      <c r="CT80" s="53" t="str">
        <f t="shared" si="218"/>
        <v/>
      </c>
      <c r="CU80" s="47"/>
      <c r="CV80" s="53">
        <f t="shared" si="219"/>
        <v>0</v>
      </c>
    </row>
    <row r="81" spans="1:100" x14ac:dyDescent="0.25">
      <c r="A81" s="41"/>
      <c r="B81" s="42"/>
      <c r="C81" s="43" t="str" cm="1">
        <f t="array" ref="C81">IF(B81="","",INDEX(UWS!$B$10:$B$41,B81))</f>
        <v/>
      </c>
      <c r="D81" s="40" t="str">
        <f t="shared" si="176"/>
        <v/>
      </c>
      <c r="E81" s="69" t="str">
        <f t="shared" si="177"/>
        <v/>
      </c>
      <c r="F81" s="48" cm="1">
        <f t="array" ref="F81">0.1+IFERROR(INDEX($F$5:$F80,SUMPRODUCT(MAX(ROW($C$5:$C80)*($C81=$C$5:$C80))-ROW($A$4)))*0.9^($A81-INDEX($A$5:A80,SUMPRODUCT(MAX(ROW($C$5:$C80)*($C81=$C$5:$C80))-ROW($A$4)))),0)</f>
        <v>1.6000000000000003</v>
      </c>
      <c r="G81" s="55" t="e">
        <f>INDEX(UWS!$AB$10:$AB$41,MATCH(C81,UWS!$B$10:$B$41,0))</f>
        <v>#N/A</v>
      </c>
      <c r="H81" s="48" t="e">
        <f>INDEX(UWS!$C$10:$C$41,MATCH(C81,UWS!$B$10:$B$41,0))</f>
        <v>#N/A</v>
      </c>
      <c r="I81" s="82">
        <f t="shared" si="178"/>
        <v>5</v>
      </c>
      <c r="J81" s="27" t="e">
        <f>INDEX(UWS!$E$10:$E$41,MATCH(C81,UWS!$B$10:$B$41,0))</f>
        <v>#N/A</v>
      </c>
      <c r="L81" s="108" t="str" cm="1">
        <f t="array" ref="L81">IF(K81="","",INDEX(UWS!$B$10:$B$41,K81))</f>
        <v/>
      </c>
      <c r="N81" s="108" t="str" cm="1">
        <f t="array" ref="N81">IF(M81="","",INDEX(UWS!$B$10:$B$41,M81))</f>
        <v/>
      </c>
      <c r="P81">
        <f>IFERROR(INDEX(UWS!$G$10:$Z$41,MATCH($C81,UWS!$B$10:$B$41,0),MATCH(P$4,UWS!$G$3:$Z$3,0)),0)</f>
        <v>0</v>
      </c>
      <c r="Q81">
        <f>IFERROR(INDEX(UWS!$G$10:$Z$41,MATCH($C81,UWS!$B$10:$B$41,0),MATCH(Q$4,UWS!$G$3:$Z$3,0)),0)</f>
        <v>0</v>
      </c>
      <c r="R81">
        <f>IFERROR(INDEX(UWS!$G$10:$Z$41,MATCH($C81,UWS!$B$10:$B$41,0),MATCH(R$4,UWS!$G$3:$Z$3,0)),0)</f>
        <v>0</v>
      </c>
      <c r="S81">
        <f>IFERROR(INDEX(UWS!$G$10:$Z$41,MATCH($C81,UWS!$B$10:$B$41,0),MATCH(S$4,UWS!$G$3:$Z$3,0)),0)</f>
        <v>0</v>
      </c>
      <c r="T81">
        <f>IFERROR(INDEX(UWS!$G$10:$Z$41,MATCH($C81,UWS!$B$10:$B$41,0),MATCH(T$4,UWS!$G$3:$Z$3,0)),0)</f>
        <v>0</v>
      </c>
      <c r="U81">
        <f>IFERROR(INDEX(UWS!$G$10:$Z$41,MATCH($C81,UWS!$B$10:$B$41,0),MATCH(U$4,UWS!$G$3:$Z$3,0)),0)</f>
        <v>0</v>
      </c>
      <c r="V81">
        <f>IFERROR(INDEX(UWS!$G$10:$Z$41,MATCH($C81,UWS!$B$10:$B$41,0),MATCH(V$4,UWS!$G$3:$Z$3,0)),0)</f>
        <v>0</v>
      </c>
      <c r="W81">
        <f>IFERROR(INDEX(UWS!$G$10:$Z$41,MATCH($C81,UWS!$B$10:$B$41,0),MATCH(W$4,UWS!$G$3:$Z$3,0)),0)</f>
        <v>0</v>
      </c>
      <c r="X81">
        <f>IFERROR(INDEX(UWS!$G$10:$Z$41,MATCH($C81,UWS!$B$10:$B$41,0),MATCH(X$4,UWS!$G$3:$Z$3,0)),0)</f>
        <v>0</v>
      </c>
      <c r="Y81">
        <f>IFERROR(INDEX(UWS!$G$10:$Z$41,MATCH($C81,UWS!$B$10:$B$41,0),MATCH(Y$4,UWS!$G$3:$Z$3,0)),0)</f>
        <v>0</v>
      </c>
      <c r="Z81">
        <f>IFERROR(INDEX(UWS!$G$10:$Z$41,MATCH($C81,UWS!$B$10:$B$41,0),MATCH(Z$4,UWS!$G$3:$Z$3,0)),0)</f>
        <v>0</v>
      </c>
      <c r="AA81">
        <f>IFERROR(INDEX(UWS!$G$10:$Z$41,MATCH($C81,UWS!$B$10:$B$41,0),MATCH(AA$4,UWS!$G$3:$Z$3,0)),0)</f>
        <v>0</v>
      </c>
      <c r="AB81">
        <f>IFERROR(INDEX(UWS!$G$10:$Z$41,MATCH($C81,UWS!$B$10:$B$41,0),MATCH(AB$4,UWS!$G$3:$Z$3,0)),0)</f>
        <v>0</v>
      </c>
      <c r="AC81">
        <f>IFERROR(INDEX(UWS!$G$10:$Z$41,MATCH($C81,UWS!$B$10:$B$41,0),MATCH(AC$4,UWS!$G$3:$Z$3,0)),0)</f>
        <v>0</v>
      </c>
      <c r="AD81">
        <f>IFERROR(INDEX(UWS!$G$10:$Z$41,MATCH($C81,UWS!$B$10:$B$41,0),MATCH(AD$4,UWS!$G$3:$Z$3,0)),0)</f>
        <v>0</v>
      </c>
      <c r="AE81">
        <f>IFERROR(INDEX(UWS!$G$10:$Z$41,MATCH($C81,UWS!$B$10:$B$41,0),MATCH(AE$4,UWS!$G$3:$Z$3,0)),0)</f>
        <v>0</v>
      </c>
      <c r="AF81">
        <f>IFERROR(INDEX(UWS!$G$10:$Z$41,MATCH($C81,UWS!$B$10:$B$41,0),MATCH(AF$4,UWS!$G$3:$Z$3,0)),0)</f>
        <v>0</v>
      </c>
      <c r="AG81">
        <f>IFERROR(INDEX(UWS!$G$10:$Z$41,MATCH($C81,UWS!$B$10:$B$41,0),MATCH(AG$4,UWS!$G$3:$Z$3,0)),0)</f>
        <v>0</v>
      </c>
      <c r="AH81">
        <f>IFERROR(INDEX(UWS!$G$10:$Z$41,MATCH($C81,UWS!$B$10:$B$41,0),MATCH(AH$4,UWS!$G$3:$Z$3,0)),0)</f>
        <v>0</v>
      </c>
      <c r="AI81">
        <f>IFERROR(INDEX(UWS!$G$10:$Z$41,MATCH($C81,UWS!$B$10:$B$41,0),MATCH(AI$4,UWS!$G$3:$Z$3,0)),0)</f>
        <v>0</v>
      </c>
      <c r="AK81" t="e">
        <f>IF(OR($J81=0,COUNTIFS($A$4:$A80,"&gt;="&amp;$A81-1,$A$4:$A80,"&lt;="&amp;$A81,$B$4:$B80,$B81)&gt;0,MIN(AK$1,IF($A81=$A80,AK80,1))-P81&lt;0),-1,MIN(1,IF($A81=$A80,AK80,1)-P81+$D$3))</f>
        <v>#N/A</v>
      </c>
      <c r="AL81" t="e">
        <f>IF(OR($J81=0,COUNTIFS($A$4:$A80,"&gt;="&amp;$A81-1,$A$4:$A80,"&lt;="&amp;$A81,$B$4:$B80,$B81)&gt;0,MIN(AL$1,IF($A81=$A80,AL80,1))-Q81&lt;0),-1,MIN(1,IF($A81=$A80,AL80,1)-Q81+$D$3))</f>
        <v>#N/A</v>
      </c>
      <c r="AM81" t="e">
        <f>IF(OR($J81=0,COUNTIFS($A$4:$A80,"&gt;="&amp;$A81-1,$A$4:$A80,"&lt;="&amp;$A81,$B$4:$B80,$B81)&gt;0,MIN(AM$1,IF($A81=$A80,AM80,1))-R81&lt;0),-1,MIN(1,IF($A81=$A80,AM80,1)-R81+$D$3))</f>
        <v>#N/A</v>
      </c>
      <c r="AN81" t="e">
        <f>IF(OR($J81=0,COUNTIFS($A$4:$A80,"&gt;="&amp;$A81-1,$A$4:$A80,"&lt;="&amp;$A81,$B$4:$B80,$B81)&gt;0,MIN(AN$1,IF($A81=$A80,AN80,1))-S81&lt;0),-1,MIN(1,IF($A81=$A80,AN80,1)-S81+$D$3))</f>
        <v>#N/A</v>
      </c>
      <c r="AO81" t="e">
        <f>IF(OR($J81=0,COUNTIFS($A$4:$A80,"&gt;="&amp;$A81-1,$A$4:$A80,"&lt;="&amp;$A81,$B$4:$B80,$B81)&gt;0,MIN(AO$1,IF($A81=$A80,AO80,1))-T81&lt;0),-1,MIN(1,IF($A81=$A80,AO80,1)-T81+$D$3))</f>
        <v>#N/A</v>
      </c>
      <c r="AP81" t="e">
        <f>IF(OR($J81=0,COUNTIFS($A$4:$A80,"&gt;="&amp;$A81-1,$A$4:$A80,"&lt;="&amp;$A81,$B$4:$B80,$B81)&gt;0,MIN(AP$1,IF($A81=$A80,AP80,1))-U81&lt;0),-1,MIN(1,IF($A81=$A80,AP80,1)-U81+$D$3))</f>
        <v>#N/A</v>
      </c>
      <c r="AQ81" t="e">
        <f>IF(OR($J81=0,COUNTIFS($A$4:$A80,"&gt;="&amp;$A81-1,$A$4:$A80,"&lt;="&amp;$A81,$B$4:$B80,$B81)&gt;0,MIN(AQ$1,IF($A81=$A80,AQ80,1))-V81&lt;0),-1,MIN(1,IF($A81=$A80,AQ80,1)-V81+$D$3))</f>
        <v>#N/A</v>
      </c>
      <c r="AR81" t="e">
        <f>IF(OR($J81=0,COUNTIFS($A$4:$A80,"&gt;="&amp;$A81-1,$A$4:$A80,"&lt;="&amp;$A81,$B$4:$B80,$B81)&gt;0,MIN(AR$1,IF($A81=$A80,AR80,1))-W81&lt;0),-1,MIN(1,IF($A81=$A80,AR80,1)-W81+$D$3))</f>
        <v>#N/A</v>
      </c>
      <c r="AS81" t="e">
        <f>IF(OR($J81=0,COUNTIFS($A$4:$A80,"&gt;="&amp;$A81-1,$A$4:$A80,"&lt;="&amp;$A81,$B$4:$B80,$B81)&gt;0,MIN(AS$1,IF($A81=$A80,AS80,1))-X81&lt;0),-1,MIN(1,IF($A81=$A80,AS80,1)-X81+$D$3))</f>
        <v>#N/A</v>
      </c>
      <c r="AT81" t="e">
        <f>IF(OR($J81=0,COUNTIFS($A$4:$A80,"&gt;="&amp;$A81-1,$A$4:$A80,"&lt;="&amp;$A81,$B$4:$B80,$B81)&gt;0,MIN(AT$1,IF($A81=$A80,AT80,1))-Y81&lt;0),-1,MIN(1,IF($A81=$A80,AT80,1)-Y81+$D$3))</f>
        <v>#N/A</v>
      </c>
      <c r="AU81" t="e">
        <f>IF(OR($J81=0,COUNTIFS($A$4:$A80,"&gt;="&amp;$A81-1,$A$4:$A80,"&lt;="&amp;$A81,$B$4:$B80,$B81)&gt;0,MIN(AU$1,IF($A81=$A80,AU80,1))-Z81&lt;0),-1,MIN(1,IF($A81=$A80,AU80,1)-Z81+$D$3))</f>
        <v>#N/A</v>
      </c>
      <c r="AV81" t="e">
        <f>IF(OR($J81=0,COUNTIFS($A$4:$A80,"&gt;="&amp;$A81-1,$A$4:$A80,"&lt;="&amp;$A81,$B$4:$B80,$B81)&gt;0,MIN(AV$1,IF($A81=$A80,AV80,1))-AA81&lt;0),-1,MIN(1,IF($A81=$A80,AV80,1)-AA81+$D$3))</f>
        <v>#N/A</v>
      </c>
      <c r="AW81" t="e">
        <f>IF(OR($J81=0,COUNTIFS($A$4:$A80,"&gt;="&amp;$A81-1,$A$4:$A80,"&lt;="&amp;$A81,$B$4:$B80,$B81)&gt;0,MIN(AW$1,IF($A81=$A80,AW80,1))-AB81&lt;0),-1,MIN(1,IF($A81=$A80,AW80,1)-AB81+$D$3))</f>
        <v>#N/A</v>
      </c>
      <c r="AX81" t="e">
        <f>IF(OR($J81=0,COUNTIFS($A$4:$A80,"&gt;="&amp;$A81-1,$A$4:$A80,"&lt;="&amp;$A81,$B$4:$B80,$B81)&gt;0,MIN(AX$1,IF($A81=$A80,AX80,1))-AC81&lt;0),-1,MIN(1,IF($A81=$A80,AX80,1)-AC81+$D$3))</f>
        <v>#N/A</v>
      </c>
      <c r="AY81" t="e">
        <f>IF(OR($J81=0,COUNTIFS($A$4:$A80,"&gt;="&amp;$A81-1,$A$4:$A80,"&lt;="&amp;$A81,$B$4:$B80,$B81)&gt;0,MIN(AY$1,IF($A81=$A80,AY80,1))-AD81&lt;0),-1,MIN(1,IF($A81=$A80,AY80,1)-AD81+$D$3))</f>
        <v>#N/A</v>
      </c>
      <c r="AZ81" t="e">
        <f>IF(OR($J81=0,COUNTIFS($A$4:$A80,"&gt;="&amp;$A81-1,$A$4:$A80,"&lt;="&amp;$A81,$B$4:$B80,$B81)&gt;0,MIN(AZ$1,IF($A81=$A80,AZ80,1))-AE81&lt;0),-1,MIN(1,IF($A81=$A80,AZ80,1)-AE81+$D$3))</f>
        <v>#N/A</v>
      </c>
      <c r="BA81" t="e">
        <f>IF(OR($J81=0,COUNTIFS($A$4:$A80,"&gt;="&amp;$A81-1,$A$4:$A80,"&lt;="&amp;$A81,$B$4:$B80,$B81)&gt;0,MIN(BA$1,IF($A81=$A80,BA80,1))-AF81&lt;0),-1,MIN(1,IF($A81=$A80,BA80,1)-AF81+$D$3))</f>
        <v>#N/A</v>
      </c>
      <c r="BB81" t="e">
        <f>IF(OR($J81=0,COUNTIFS($A$4:$A80,"&gt;="&amp;$A81-1,$A$4:$A80,"&lt;="&amp;$A81,$B$4:$B80,$B81)&gt;0,MIN(BB$1,IF($A81=$A80,BB80,1))-AG81&lt;0),-1,MIN(1,IF($A81=$A80,BB80,1)-AG81+$D$3))</f>
        <v>#N/A</v>
      </c>
      <c r="BC81" t="e">
        <f>IF(OR($J81=0,COUNTIFS($A$4:$A80,"&gt;="&amp;$A81-1,$A$4:$A80,"&lt;="&amp;$A81,$B$4:$B80,$B81)&gt;0,MIN(BC$1,IF($A81=$A80,BC80,1))-AH81&lt;0),-1,MIN(1,IF($A81=$A80,BC80,1)-AH81+$D$3))</f>
        <v>#N/A</v>
      </c>
      <c r="BD81" t="e">
        <f>IF(OR($J81=0,COUNTIFS($A$4:$A80,"&gt;="&amp;$A81-1,$A$4:$A80,"&lt;="&amp;$A81,$B$4:$B80,$B81)&gt;0,MIN(BD$1,IF($A81=$A80,BD80,1))-AI81&lt;0),-1,MIN(1,IF($A81=$A80,BD80,1)-AI81+$D$3))</f>
        <v>#N/A</v>
      </c>
      <c r="BF81" s="44">
        <f t="shared" si="179"/>
        <v>4.0834148233917095E-2</v>
      </c>
      <c r="BG81" s="44">
        <f t="shared" si="180"/>
        <v>0.10042269313865879</v>
      </c>
      <c r="BH81" s="44">
        <f t="shared" si="181"/>
        <v>0.10292269703434453</v>
      </c>
      <c r="BI81" s="44">
        <f t="shared" si="182"/>
        <v>9.5071996779156398E-2</v>
      </c>
      <c r="BJ81" s="44">
        <f t="shared" si="183"/>
        <v>9.8265934422522197E-2</v>
      </c>
      <c r="BK81" s="44">
        <f t="shared" si="184"/>
        <v>4.2199056080459631E-2</v>
      </c>
      <c r="BL81" s="44">
        <f t="shared" si="185"/>
        <v>2.2796593986853332E-2</v>
      </c>
      <c r="BM81" s="44">
        <f t="shared" si="186"/>
        <v>5.7991873029476948E-2</v>
      </c>
      <c r="BN81" s="44">
        <f t="shared" si="187"/>
        <v>6.0316067569382716E-2</v>
      </c>
      <c r="BO81" s="44">
        <f t="shared" si="188"/>
        <v>2.8266397995084295E-2</v>
      </c>
      <c r="BP81" s="44">
        <f t="shared" si="189"/>
        <v>9.5045133477515018E-2</v>
      </c>
      <c r="BQ81" s="44">
        <f t="shared" si="190"/>
        <v>2.5648747102878525E-2</v>
      </c>
      <c r="BR81" s="44">
        <f t="shared" si="191"/>
        <v>7.5772819494755977E-2</v>
      </c>
      <c r="BS81" s="44">
        <f t="shared" si="192"/>
        <v>4.0865287067462598E-2</v>
      </c>
      <c r="BT81" s="44">
        <f t="shared" si="193"/>
        <v>0.16171646926049518</v>
      </c>
      <c r="BU81" s="44">
        <f t="shared" si="194"/>
        <v>0.15448789048924561</v>
      </c>
      <c r="BV81" s="44">
        <f t="shared" si="195"/>
        <v>0.14836505890617213</v>
      </c>
      <c r="BW81" s="44">
        <f t="shared" si="196"/>
        <v>9.7038913115729167E-2</v>
      </c>
      <c r="BX81" s="44">
        <f t="shared" si="197"/>
        <v>7.1690586855794103E-2</v>
      </c>
      <c r="BY81" s="44">
        <f t="shared" si="198"/>
        <v>6.1554608713039229E-2</v>
      </c>
      <c r="CA81" s="44" t="str">
        <f t="shared" si="199"/>
        <v/>
      </c>
      <c r="CB81" s="44" t="str">
        <f t="shared" si="200"/>
        <v/>
      </c>
      <c r="CC81" s="44" t="str">
        <f t="shared" si="201"/>
        <v/>
      </c>
      <c r="CD81" s="44" t="str">
        <f t="shared" si="202"/>
        <v/>
      </c>
      <c r="CE81" s="44" t="str">
        <f t="shared" si="203"/>
        <v/>
      </c>
      <c r="CF81" s="44" t="str">
        <f t="shared" si="204"/>
        <v/>
      </c>
      <c r="CG81" s="44" t="str">
        <f t="shared" si="205"/>
        <v/>
      </c>
      <c r="CH81" s="44" t="str">
        <f t="shared" si="206"/>
        <v/>
      </c>
      <c r="CI81" s="44" t="str">
        <f t="shared" si="207"/>
        <v/>
      </c>
      <c r="CJ81" s="44" t="str">
        <f t="shared" si="208"/>
        <v/>
      </c>
      <c r="CK81" s="44" t="str">
        <f t="shared" si="209"/>
        <v/>
      </c>
      <c r="CL81" s="44" t="str">
        <f t="shared" si="210"/>
        <v/>
      </c>
      <c r="CM81" s="44" t="str">
        <f t="shared" si="211"/>
        <v/>
      </c>
      <c r="CN81" s="44" t="str">
        <f t="shared" si="212"/>
        <v/>
      </c>
      <c r="CO81" s="44" t="str">
        <f t="shared" si="213"/>
        <v/>
      </c>
      <c r="CP81" s="44" t="str">
        <f t="shared" si="214"/>
        <v/>
      </c>
      <c r="CQ81" s="44" t="str">
        <f t="shared" si="215"/>
        <v/>
      </c>
      <c r="CR81" s="44" t="str">
        <f t="shared" si="216"/>
        <v/>
      </c>
      <c r="CS81" s="44" t="str">
        <f t="shared" si="217"/>
        <v/>
      </c>
      <c r="CT81" s="44" t="str">
        <f t="shared" si="218"/>
        <v/>
      </c>
      <c r="CV81" s="44">
        <f t="shared" si="219"/>
        <v>0</v>
      </c>
    </row>
    <row r="82" spans="1:100" x14ac:dyDescent="0.25">
      <c r="A82" s="41"/>
      <c r="B82" s="42"/>
      <c r="C82" s="43" t="str" cm="1">
        <f t="array" ref="C82">IF(B82="","",INDEX(UWS!$B$10:$B$41,B82))</f>
        <v/>
      </c>
      <c r="D82" s="40" t="str">
        <f t="shared" si="176"/>
        <v/>
      </c>
      <c r="E82" s="69" t="str">
        <f t="shared" si="177"/>
        <v/>
      </c>
      <c r="F82" s="48" cm="1">
        <f t="array" ref="F82">0.1+IFERROR(INDEX($F$5:$F81,SUMPRODUCT(MAX(ROW($C$5:$C81)*($C82=$C$5:$C81))-ROW($A$4)))*0.9^($A82-INDEX($A$5:A81,SUMPRODUCT(MAX(ROW($C$5:$C81)*($C82=$C$5:$C81))-ROW($A$4)))),0)</f>
        <v>1.7000000000000004</v>
      </c>
      <c r="G82" s="55" t="e">
        <f>INDEX(UWS!$AB$10:$AB$41,MATCH(C82,UWS!$B$10:$B$41,0))</f>
        <v>#N/A</v>
      </c>
      <c r="H82" s="48" t="e">
        <f>INDEX(UWS!$C$10:$C$41,MATCH(C82,UWS!$B$10:$B$41,0))</f>
        <v>#N/A</v>
      </c>
      <c r="I82" s="27">
        <f t="shared" si="178"/>
        <v>5</v>
      </c>
      <c r="J82" s="27" t="e">
        <f>INDEX(UWS!$E$10:$E$41,MATCH(C82,UWS!$B$10:$B$41,0))</f>
        <v>#N/A</v>
      </c>
      <c r="L82" s="108" t="str" cm="1">
        <f t="array" ref="L82">IF(K82="","",INDEX(UWS!$B$10:$B$41,K82))</f>
        <v/>
      </c>
      <c r="N82" s="108" t="str" cm="1">
        <f t="array" ref="N82">IF(M82="","",INDEX(UWS!$B$10:$B$41,M82))</f>
        <v/>
      </c>
      <c r="P82">
        <f>IFERROR(INDEX(UWS!$G$10:$Z$41,MATCH($C82,UWS!$B$10:$B$41,0),MATCH(P$4,UWS!$G$3:$Z$3,0)),0)</f>
        <v>0</v>
      </c>
      <c r="Q82">
        <f>IFERROR(INDEX(UWS!$G$10:$Z$41,MATCH($C82,UWS!$B$10:$B$41,0),MATCH(Q$4,UWS!$G$3:$Z$3,0)),0)</f>
        <v>0</v>
      </c>
      <c r="R82">
        <f>IFERROR(INDEX(UWS!$G$10:$Z$41,MATCH($C82,UWS!$B$10:$B$41,0),MATCH(R$4,UWS!$G$3:$Z$3,0)),0)</f>
        <v>0</v>
      </c>
      <c r="S82">
        <f>IFERROR(INDEX(UWS!$G$10:$Z$41,MATCH($C82,UWS!$B$10:$B$41,0),MATCH(S$4,UWS!$G$3:$Z$3,0)),0)</f>
        <v>0</v>
      </c>
      <c r="T82">
        <f>IFERROR(INDEX(UWS!$G$10:$Z$41,MATCH($C82,UWS!$B$10:$B$41,0),MATCH(T$4,UWS!$G$3:$Z$3,0)),0)</f>
        <v>0</v>
      </c>
      <c r="U82">
        <f>IFERROR(INDEX(UWS!$G$10:$Z$41,MATCH($C82,UWS!$B$10:$B$41,0),MATCH(U$4,UWS!$G$3:$Z$3,0)),0)</f>
        <v>0</v>
      </c>
      <c r="V82">
        <f>IFERROR(INDEX(UWS!$G$10:$Z$41,MATCH($C82,UWS!$B$10:$B$41,0),MATCH(V$4,UWS!$G$3:$Z$3,0)),0)</f>
        <v>0</v>
      </c>
      <c r="W82">
        <f>IFERROR(INDEX(UWS!$G$10:$Z$41,MATCH($C82,UWS!$B$10:$B$41,0),MATCH(W$4,UWS!$G$3:$Z$3,0)),0)</f>
        <v>0</v>
      </c>
      <c r="X82">
        <f>IFERROR(INDEX(UWS!$G$10:$Z$41,MATCH($C82,UWS!$B$10:$B$41,0),MATCH(X$4,UWS!$G$3:$Z$3,0)),0)</f>
        <v>0</v>
      </c>
      <c r="Y82">
        <f>IFERROR(INDEX(UWS!$G$10:$Z$41,MATCH($C82,UWS!$B$10:$B$41,0),MATCH(Y$4,UWS!$G$3:$Z$3,0)),0)</f>
        <v>0</v>
      </c>
      <c r="Z82">
        <f>IFERROR(INDEX(UWS!$G$10:$Z$41,MATCH($C82,UWS!$B$10:$B$41,0),MATCH(Z$4,UWS!$G$3:$Z$3,0)),0)</f>
        <v>0</v>
      </c>
      <c r="AA82">
        <f>IFERROR(INDEX(UWS!$G$10:$Z$41,MATCH($C82,UWS!$B$10:$B$41,0),MATCH(AA$4,UWS!$G$3:$Z$3,0)),0)</f>
        <v>0</v>
      </c>
      <c r="AB82">
        <f>IFERROR(INDEX(UWS!$G$10:$Z$41,MATCH($C82,UWS!$B$10:$B$41,0),MATCH(AB$4,UWS!$G$3:$Z$3,0)),0)</f>
        <v>0</v>
      </c>
      <c r="AC82">
        <f>IFERROR(INDEX(UWS!$G$10:$Z$41,MATCH($C82,UWS!$B$10:$B$41,0),MATCH(AC$4,UWS!$G$3:$Z$3,0)),0)</f>
        <v>0</v>
      </c>
      <c r="AD82">
        <f>IFERROR(INDEX(UWS!$G$10:$Z$41,MATCH($C82,UWS!$B$10:$B$41,0),MATCH(AD$4,UWS!$G$3:$Z$3,0)),0)</f>
        <v>0</v>
      </c>
      <c r="AE82">
        <f>IFERROR(INDEX(UWS!$G$10:$Z$41,MATCH($C82,UWS!$B$10:$B$41,0),MATCH(AE$4,UWS!$G$3:$Z$3,0)),0)</f>
        <v>0</v>
      </c>
      <c r="AF82">
        <f>IFERROR(INDEX(UWS!$G$10:$Z$41,MATCH($C82,UWS!$B$10:$B$41,0),MATCH(AF$4,UWS!$G$3:$Z$3,0)),0)</f>
        <v>0</v>
      </c>
      <c r="AG82">
        <f>IFERROR(INDEX(UWS!$G$10:$Z$41,MATCH($C82,UWS!$B$10:$B$41,0),MATCH(AG$4,UWS!$G$3:$Z$3,0)),0)</f>
        <v>0</v>
      </c>
      <c r="AH82">
        <f>IFERROR(INDEX(UWS!$G$10:$Z$41,MATCH($C82,UWS!$B$10:$B$41,0),MATCH(AH$4,UWS!$G$3:$Z$3,0)),0)</f>
        <v>0</v>
      </c>
      <c r="AI82">
        <f>IFERROR(INDEX(UWS!$G$10:$Z$41,MATCH($C82,UWS!$B$10:$B$41,0),MATCH(AI$4,UWS!$G$3:$Z$3,0)),0)</f>
        <v>0</v>
      </c>
      <c r="AK82" t="e">
        <f>IF(OR($J82=0,COUNTIFS($A$4:$A81,"&gt;="&amp;$A82-1,$A$4:$A81,"&lt;="&amp;$A82,$B$4:$B81,$B82)&gt;0,MIN(AK$1,IF($A82=$A81,AK81,1))-P82&lt;0),-1,MIN(1,IF($A82=$A81,AK81,1)-P82+$D$3))</f>
        <v>#N/A</v>
      </c>
      <c r="AL82" t="e">
        <f>IF(OR($J82=0,COUNTIFS($A$4:$A81,"&gt;="&amp;$A82-1,$A$4:$A81,"&lt;="&amp;$A82,$B$4:$B81,$B82)&gt;0,MIN(AL$1,IF($A82=$A81,AL81,1))-Q82&lt;0),-1,MIN(1,IF($A82=$A81,AL81,1)-Q82+$D$3))</f>
        <v>#N/A</v>
      </c>
      <c r="AM82" t="e">
        <f>IF(OR($J82=0,COUNTIFS($A$4:$A81,"&gt;="&amp;$A82-1,$A$4:$A81,"&lt;="&amp;$A82,$B$4:$B81,$B82)&gt;0,MIN(AM$1,IF($A82=$A81,AM81,1))-R82&lt;0),-1,MIN(1,IF($A82=$A81,AM81,1)-R82+$D$3))</f>
        <v>#N/A</v>
      </c>
      <c r="AN82" t="e">
        <f>IF(OR($J82=0,COUNTIFS($A$4:$A81,"&gt;="&amp;$A82-1,$A$4:$A81,"&lt;="&amp;$A82,$B$4:$B81,$B82)&gt;0,MIN(AN$1,IF($A82=$A81,AN81,1))-S82&lt;0),-1,MIN(1,IF($A82=$A81,AN81,1)-S82+$D$3))</f>
        <v>#N/A</v>
      </c>
      <c r="AO82" t="e">
        <f>IF(OR($J82=0,COUNTIFS($A$4:$A81,"&gt;="&amp;$A82-1,$A$4:$A81,"&lt;="&amp;$A82,$B$4:$B81,$B82)&gt;0,MIN(AO$1,IF($A82=$A81,AO81,1))-T82&lt;0),-1,MIN(1,IF($A82=$A81,AO81,1)-T82+$D$3))</f>
        <v>#N/A</v>
      </c>
      <c r="AP82" t="e">
        <f>IF(OR($J82=0,COUNTIFS($A$4:$A81,"&gt;="&amp;$A82-1,$A$4:$A81,"&lt;="&amp;$A82,$B$4:$B81,$B82)&gt;0,MIN(AP$1,IF($A82=$A81,AP81,1))-U82&lt;0),-1,MIN(1,IF($A82=$A81,AP81,1)-U82+$D$3))</f>
        <v>#N/A</v>
      </c>
      <c r="AQ82" t="e">
        <f>IF(OR($J82=0,COUNTIFS($A$4:$A81,"&gt;="&amp;$A82-1,$A$4:$A81,"&lt;="&amp;$A82,$B$4:$B81,$B82)&gt;0,MIN(AQ$1,IF($A82=$A81,AQ81,1))-V82&lt;0),-1,MIN(1,IF($A82=$A81,AQ81,1)-V82+$D$3))</f>
        <v>#N/A</v>
      </c>
      <c r="AR82" t="e">
        <f>IF(OR($J82=0,COUNTIFS($A$4:$A81,"&gt;="&amp;$A82-1,$A$4:$A81,"&lt;="&amp;$A82,$B$4:$B81,$B82)&gt;0,MIN(AR$1,IF($A82=$A81,AR81,1))-W82&lt;0),-1,MIN(1,IF($A82=$A81,AR81,1)-W82+$D$3))</f>
        <v>#N/A</v>
      </c>
      <c r="AS82" t="e">
        <f>IF(OR($J82=0,COUNTIFS($A$4:$A81,"&gt;="&amp;$A82-1,$A$4:$A81,"&lt;="&amp;$A82,$B$4:$B81,$B82)&gt;0,MIN(AS$1,IF($A82=$A81,AS81,1))-X82&lt;0),-1,MIN(1,IF($A82=$A81,AS81,1)-X82+$D$3))</f>
        <v>#N/A</v>
      </c>
      <c r="AT82" t="e">
        <f>IF(OR($J82=0,COUNTIFS($A$4:$A81,"&gt;="&amp;$A82-1,$A$4:$A81,"&lt;="&amp;$A82,$B$4:$B81,$B82)&gt;0,MIN(AT$1,IF($A82=$A81,AT81,1))-Y82&lt;0),-1,MIN(1,IF($A82=$A81,AT81,1)-Y82+$D$3))</f>
        <v>#N/A</v>
      </c>
      <c r="AU82" t="e">
        <f>IF(OR($J82=0,COUNTIFS($A$4:$A81,"&gt;="&amp;$A82-1,$A$4:$A81,"&lt;="&amp;$A82,$B$4:$B81,$B82)&gt;0,MIN(AU$1,IF($A82=$A81,AU81,1))-Z82&lt;0),-1,MIN(1,IF($A82=$A81,AU81,1)-Z82+$D$3))</f>
        <v>#N/A</v>
      </c>
      <c r="AV82" t="e">
        <f>IF(OR($J82=0,COUNTIFS($A$4:$A81,"&gt;="&amp;$A82-1,$A$4:$A81,"&lt;="&amp;$A82,$B$4:$B81,$B82)&gt;0,MIN(AV$1,IF($A82=$A81,AV81,1))-AA82&lt;0),-1,MIN(1,IF($A82=$A81,AV81,1)-AA82+$D$3))</f>
        <v>#N/A</v>
      </c>
      <c r="AW82" t="e">
        <f>IF(OR($J82=0,COUNTIFS($A$4:$A81,"&gt;="&amp;$A82-1,$A$4:$A81,"&lt;="&amp;$A82,$B$4:$B81,$B82)&gt;0,MIN(AW$1,IF($A82=$A81,AW81,1))-AB82&lt;0),-1,MIN(1,IF($A82=$A81,AW81,1)-AB82+$D$3))</f>
        <v>#N/A</v>
      </c>
      <c r="AX82" t="e">
        <f>IF(OR($J82=0,COUNTIFS($A$4:$A81,"&gt;="&amp;$A82-1,$A$4:$A81,"&lt;="&amp;$A82,$B$4:$B81,$B82)&gt;0,MIN(AX$1,IF($A82=$A81,AX81,1))-AC82&lt;0),-1,MIN(1,IF($A82=$A81,AX81,1)-AC82+$D$3))</f>
        <v>#N/A</v>
      </c>
      <c r="AY82" t="e">
        <f>IF(OR($J82=0,COUNTIFS($A$4:$A81,"&gt;="&amp;$A82-1,$A$4:$A81,"&lt;="&amp;$A82,$B$4:$B81,$B82)&gt;0,MIN(AY$1,IF($A82=$A81,AY81,1))-AD82&lt;0),-1,MIN(1,IF($A82=$A81,AY81,1)-AD82+$D$3))</f>
        <v>#N/A</v>
      </c>
      <c r="AZ82" t="e">
        <f>IF(OR($J82=0,COUNTIFS($A$4:$A81,"&gt;="&amp;$A82-1,$A$4:$A81,"&lt;="&amp;$A82,$B$4:$B81,$B82)&gt;0,MIN(AZ$1,IF($A82=$A81,AZ81,1))-AE82&lt;0),-1,MIN(1,IF($A82=$A81,AZ81,1)-AE82+$D$3))</f>
        <v>#N/A</v>
      </c>
      <c r="BA82" t="e">
        <f>IF(OR($J82=0,COUNTIFS($A$4:$A81,"&gt;="&amp;$A82-1,$A$4:$A81,"&lt;="&amp;$A82,$B$4:$B81,$B82)&gt;0,MIN(BA$1,IF($A82=$A81,BA81,1))-AF82&lt;0),-1,MIN(1,IF($A82=$A81,BA81,1)-AF82+$D$3))</f>
        <v>#N/A</v>
      </c>
      <c r="BB82" t="e">
        <f>IF(OR($J82=0,COUNTIFS($A$4:$A81,"&gt;="&amp;$A82-1,$A$4:$A81,"&lt;="&amp;$A82,$B$4:$B81,$B82)&gt;0,MIN(BB$1,IF($A82=$A81,BB81,1))-AG82&lt;0),-1,MIN(1,IF($A82=$A81,BB81,1)-AG82+$D$3))</f>
        <v>#N/A</v>
      </c>
      <c r="BC82" t="e">
        <f>IF(OR($J82=0,COUNTIFS($A$4:$A81,"&gt;="&amp;$A82-1,$A$4:$A81,"&lt;="&amp;$A82,$B$4:$B81,$B82)&gt;0,MIN(BC$1,IF($A82=$A81,BC81,1))-AH82&lt;0),-1,MIN(1,IF($A82=$A81,BC81,1)-AH82+$D$3))</f>
        <v>#N/A</v>
      </c>
      <c r="BD82" t="e">
        <f>IF(OR($J82=0,COUNTIFS($A$4:$A81,"&gt;="&amp;$A82-1,$A$4:$A81,"&lt;="&amp;$A82,$B$4:$B81,$B82)&gt;0,MIN(BD$1,IF($A82=$A81,BD81,1))-AI82&lt;0),-1,MIN(1,IF($A82=$A81,BD81,1)-AI82+$D$3))</f>
        <v>#N/A</v>
      </c>
      <c r="BF82" s="44">
        <f t="shared" si="179"/>
        <v>3.879244082222124E-2</v>
      </c>
      <c r="BG82" s="44">
        <f t="shared" si="180"/>
        <v>9.5401558481725837E-2</v>
      </c>
      <c r="BH82" s="44">
        <f t="shared" si="181"/>
        <v>9.77765621826273E-2</v>
      </c>
      <c r="BI82" s="44">
        <f t="shared" si="182"/>
        <v>9.0318396940198567E-2</v>
      </c>
      <c r="BJ82" s="44">
        <f t="shared" si="183"/>
        <v>9.3352637701396082E-2</v>
      </c>
      <c r="BK82" s="44">
        <f t="shared" si="184"/>
        <v>4.0089103276436645E-2</v>
      </c>
      <c r="BL82" s="44">
        <f t="shared" si="185"/>
        <v>2.1656764287510663E-2</v>
      </c>
      <c r="BM82" s="44">
        <f t="shared" si="186"/>
        <v>5.5092279378003095E-2</v>
      </c>
      <c r="BN82" s="44">
        <f t="shared" si="187"/>
        <v>5.730026419091358E-2</v>
      </c>
      <c r="BO82" s="44">
        <f t="shared" si="188"/>
        <v>2.685307809533008E-2</v>
      </c>
      <c r="BP82" s="44">
        <f t="shared" si="189"/>
        <v>9.029287680363926E-2</v>
      </c>
      <c r="BQ82" s="44">
        <f t="shared" si="190"/>
        <v>2.4366309747734596E-2</v>
      </c>
      <c r="BR82" s="44">
        <f t="shared" si="191"/>
        <v>7.1984178520018177E-2</v>
      </c>
      <c r="BS82" s="44">
        <f t="shared" si="192"/>
        <v>3.8822022714089466E-2</v>
      </c>
      <c r="BT82" s="44">
        <f t="shared" si="193"/>
        <v>0.15363064579747041</v>
      </c>
      <c r="BU82" s="44">
        <f t="shared" si="194"/>
        <v>0.14676349596478333</v>
      </c>
      <c r="BV82" s="44">
        <f t="shared" si="195"/>
        <v>0.14094680596086351</v>
      </c>
      <c r="BW82" s="44">
        <f t="shared" si="196"/>
        <v>9.2186967459942704E-2</v>
      </c>
      <c r="BX82" s="44">
        <f t="shared" si="197"/>
        <v>6.81060575130044E-2</v>
      </c>
      <c r="BY82" s="44">
        <f t="shared" si="198"/>
        <v>5.8476878277387262E-2</v>
      </c>
      <c r="CA82" s="44" t="str">
        <f t="shared" si="199"/>
        <v/>
      </c>
      <c r="CB82" s="44" t="str">
        <f t="shared" si="200"/>
        <v/>
      </c>
      <c r="CC82" s="44" t="str">
        <f t="shared" si="201"/>
        <v/>
      </c>
      <c r="CD82" s="44" t="str">
        <f t="shared" si="202"/>
        <v/>
      </c>
      <c r="CE82" s="44" t="str">
        <f t="shared" si="203"/>
        <v/>
      </c>
      <c r="CF82" s="44" t="str">
        <f t="shared" si="204"/>
        <v/>
      </c>
      <c r="CG82" s="44" t="str">
        <f t="shared" si="205"/>
        <v/>
      </c>
      <c r="CH82" s="44" t="str">
        <f t="shared" si="206"/>
        <v/>
      </c>
      <c r="CI82" s="44" t="str">
        <f t="shared" si="207"/>
        <v/>
      </c>
      <c r="CJ82" s="44" t="str">
        <f t="shared" si="208"/>
        <v/>
      </c>
      <c r="CK82" s="44" t="str">
        <f t="shared" si="209"/>
        <v/>
      </c>
      <c r="CL82" s="44" t="str">
        <f t="shared" si="210"/>
        <v/>
      </c>
      <c r="CM82" s="44" t="str">
        <f t="shared" si="211"/>
        <v/>
      </c>
      <c r="CN82" s="44" t="str">
        <f t="shared" si="212"/>
        <v/>
      </c>
      <c r="CO82" s="44" t="str">
        <f t="shared" si="213"/>
        <v/>
      </c>
      <c r="CP82" s="44" t="str">
        <f t="shared" si="214"/>
        <v/>
      </c>
      <c r="CQ82" s="44" t="str">
        <f t="shared" si="215"/>
        <v/>
      </c>
      <c r="CR82" s="44" t="str">
        <f t="shared" si="216"/>
        <v/>
      </c>
      <c r="CS82" s="44" t="str">
        <f t="shared" si="217"/>
        <v/>
      </c>
      <c r="CT82" s="44" t="str">
        <f t="shared" si="218"/>
        <v/>
      </c>
      <c r="CV82" s="44">
        <f t="shared" si="219"/>
        <v>0</v>
      </c>
    </row>
    <row r="83" spans="1:100" x14ac:dyDescent="0.25">
      <c r="A83" s="41"/>
      <c r="B83" s="42"/>
      <c r="C83" s="43" t="str" cm="1">
        <f t="array" ref="C83">IF(B83="","",INDEX(UWS!$B$10:$B$41,B83))</f>
        <v/>
      </c>
      <c r="D83" s="40" t="str">
        <f t="shared" si="176"/>
        <v/>
      </c>
      <c r="E83" s="69" t="str">
        <f t="shared" si="177"/>
        <v/>
      </c>
      <c r="F83" s="48" cm="1">
        <f t="array" ref="F83">0.1+IFERROR(INDEX($F$5:$F82,SUMPRODUCT(MAX(ROW($C$5:$C82)*($C83=$C$5:$C82))-ROW($A$4)))*0.9^($A83-INDEX($A$5:A82,SUMPRODUCT(MAX(ROW($C$5:$C82)*($C83=$C$5:$C82))-ROW($A$4)))),0)</f>
        <v>1.8000000000000005</v>
      </c>
      <c r="G83" s="55" t="e">
        <f>INDEX(UWS!$AB$10:$AB$41,MATCH(C83,UWS!$B$10:$B$41,0))</f>
        <v>#N/A</v>
      </c>
      <c r="H83" s="48" t="e">
        <f>INDEX(UWS!$C$10:$C$41,MATCH(C83,UWS!$B$10:$B$41,0))</f>
        <v>#N/A</v>
      </c>
      <c r="I83" s="27">
        <f t="shared" si="178"/>
        <v>5</v>
      </c>
      <c r="J83" s="27" t="e">
        <f>INDEX(UWS!$E$10:$E$41,MATCH(C83,UWS!$B$10:$B$41,0))</f>
        <v>#N/A</v>
      </c>
      <c r="L83" s="108" t="str" cm="1">
        <f t="array" ref="L83">IF(K83="","",INDEX(UWS!$B$10:$B$41,K83))</f>
        <v/>
      </c>
      <c r="N83" s="108" t="str" cm="1">
        <f t="array" ref="N83">IF(M83="","",INDEX(UWS!$B$10:$B$41,M83))</f>
        <v/>
      </c>
      <c r="P83">
        <f>IFERROR(INDEX(UWS!$G$10:$Z$41,MATCH($C83,UWS!$B$10:$B$41,0),MATCH(P$4,UWS!$G$3:$Z$3,0)),0)</f>
        <v>0</v>
      </c>
      <c r="Q83">
        <f>IFERROR(INDEX(UWS!$G$10:$Z$41,MATCH($C83,UWS!$B$10:$B$41,0),MATCH(Q$4,UWS!$G$3:$Z$3,0)),0)</f>
        <v>0</v>
      </c>
      <c r="R83">
        <f>IFERROR(INDEX(UWS!$G$10:$Z$41,MATCH($C83,UWS!$B$10:$B$41,0),MATCH(R$4,UWS!$G$3:$Z$3,0)),0)</f>
        <v>0</v>
      </c>
      <c r="S83">
        <f>IFERROR(INDEX(UWS!$G$10:$Z$41,MATCH($C83,UWS!$B$10:$B$41,0),MATCH(S$4,UWS!$G$3:$Z$3,0)),0)</f>
        <v>0</v>
      </c>
      <c r="T83">
        <f>IFERROR(INDEX(UWS!$G$10:$Z$41,MATCH($C83,UWS!$B$10:$B$41,0),MATCH(T$4,UWS!$G$3:$Z$3,0)),0)</f>
        <v>0</v>
      </c>
      <c r="U83">
        <f>IFERROR(INDEX(UWS!$G$10:$Z$41,MATCH($C83,UWS!$B$10:$B$41,0),MATCH(U$4,UWS!$G$3:$Z$3,0)),0)</f>
        <v>0</v>
      </c>
      <c r="V83">
        <f>IFERROR(INDEX(UWS!$G$10:$Z$41,MATCH($C83,UWS!$B$10:$B$41,0),MATCH(V$4,UWS!$G$3:$Z$3,0)),0)</f>
        <v>0</v>
      </c>
      <c r="W83">
        <f>IFERROR(INDEX(UWS!$G$10:$Z$41,MATCH($C83,UWS!$B$10:$B$41,0),MATCH(W$4,UWS!$G$3:$Z$3,0)),0)</f>
        <v>0</v>
      </c>
      <c r="X83">
        <f>IFERROR(INDEX(UWS!$G$10:$Z$41,MATCH($C83,UWS!$B$10:$B$41,0),MATCH(X$4,UWS!$G$3:$Z$3,0)),0)</f>
        <v>0</v>
      </c>
      <c r="Y83">
        <f>IFERROR(INDEX(UWS!$G$10:$Z$41,MATCH($C83,UWS!$B$10:$B$41,0),MATCH(Y$4,UWS!$G$3:$Z$3,0)),0)</f>
        <v>0</v>
      </c>
      <c r="Z83">
        <f>IFERROR(INDEX(UWS!$G$10:$Z$41,MATCH($C83,UWS!$B$10:$B$41,0),MATCH(Z$4,UWS!$G$3:$Z$3,0)),0)</f>
        <v>0</v>
      </c>
      <c r="AA83">
        <f>IFERROR(INDEX(UWS!$G$10:$Z$41,MATCH($C83,UWS!$B$10:$B$41,0),MATCH(AA$4,UWS!$G$3:$Z$3,0)),0)</f>
        <v>0</v>
      </c>
      <c r="AB83">
        <f>IFERROR(INDEX(UWS!$G$10:$Z$41,MATCH($C83,UWS!$B$10:$B$41,0),MATCH(AB$4,UWS!$G$3:$Z$3,0)),0)</f>
        <v>0</v>
      </c>
      <c r="AC83">
        <f>IFERROR(INDEX(UWS!$G$10:$Z$41,MATCH($C83,UWS!$B$10:$B$41,0),MATCH(AC$4,UWS!$G$3:$Z$3,0)),0)</f>
        <v>0</v>
      </c>
      <c r="AD83">
        <f>IFERROR(INDEX(UWS!$G$10:$Z$41,MATCH($C83,UWS!$B$10:$B$41,0),MATCH(AD$4,UWS!$G$3:$Z$3,0)),0)</f>
        <v>0</v>
      </c>
      <c r="AE83">
        <f>IFERROR(INDEX(UWS!$G$10:$Z$41,MATCH($C83,UWS!$B$10:$B$41,0),MATCH(AE$4,UWS!$G$3:$Z$3,0)),0)</f>
        <v>0</v>
      </c>
      <c r="AF83">
        <f>IFERROR(INDEX(UWS!$G$10:$Z$41,MATCH($C83,UWS!$B$10:$B$41,0),MATCH(AF$4,UWS!$G$3:$Z$3,0)),0)</f>
        <v>0</v>
      </c>
      <c r="AG83">
        <f>IFERROR(INDEX(UWS!$G$10:$Z$41,MATCH($C83,UWS!$B$10:$B$41,0),MATCH(AG$4,UWS!$G$3:$Z$3,0)),0)</f>
        <v>0</v>
      </c>
      <c r="AH83">
        <f>IFERROR(INDEX(UWS!$G$10:$Z$41,MATCH($C83,UWS!$B$10:$B$41,0),MATCH(AH$4,UWS!$G$3:$Z$3,0)),0)</f>
        <v>0</v>
      </c>
      <c r="AI83">
        <f>IFERROR(INDEX(UWS!$G$10:$Z$41,MATCH($C83,UWS!$B$10:$B$41,0),MATCH(AI$4,UWS!$G$3:$Z$3,0)),0)</f>
        <v>0</v>
      </c>
      <c r="AK83" t="e">
        <f>IF(OR($J83=0,COUNTIFS($A$4:$A82,"&gt;="&amp;$A83-1,$A$4:$A82,"&lt;="&amp;$A83,$B$4:$B82,$B83)&gt;0,MIN(AK$1,IF($A83=$A82,AK82,1))-P83&lt;0),-1,MIN(1,IF($A83=$A82,AK82,1)-P83+$D$3))</f>
        <v>#N/A</v>
      </c>
      <c r="AL83" t="e">
        <f>IF(OR($J83=0,COUNTIFS($A$4:$A82,"&gt;="&amp;$A83-1,$A$4:$A82,"&lt;="&amp;$A83,$B$4:$B82,$B83)&gt;0,MIN(AL$1,IF($A83=$A82,AL82,1))-Q83&lt;0),-1,MIN(1,IF($A83=$A82,AL82,1)-Q83+$D$3))</f>
        <v>#N/A</v>
      </c>
      <c r="AM83" t="e">
        <f>IF(OR($J83=0,COUNTIFS($A$4:$A82,"&gt;="&amp;$A83-1,$A$4:$A82,"&lt;="&amp;$A83,$B$4:$B82,$B83)&gt;0,MIN(AM$1,IF($A83=$A82,AM82,1))-R83&lt;0),-1,MIN(1,IF($A83=$A82,AM82,1)-R83+$D$3))</f>
        <v>#N/A</v>
      </c>
      <c r="AN83" t="e">
        <f>IF(OR($J83=0,COUNTIFS($A$4:$A82,"&gt;="&amp;$A83-1,$A$4:$A82,"&lt;="&amp;$A83,$B$4:$B82,$B83)&gt;0,MIN(AN$1,IF($A83=$A82,AN82,1))-S83&lt;0),-1,MIN(1,IF($A83=$A82,AN82,1)-S83+$D$3))</f>
        <v>#N/A</v>
      </c>
      <c r="AO83" t="e">
        <f>IF(OR($J83=0,COUNTIFS($A$4:$A82,"&gt;="&amp;$A83-1,$A$4:$A82,"&lt;="&amp;$A83,$B$4:$B82,$B83)&gt;0,MIN(AO$1,IF($A83=$A82,AO82,1))-T83&lt;0),-1,MIN(1,IF($A83=$A82,AO82,1)-T83+$D$3))</f>
        <v>#N/A</v>
      </c>
      <c r="AP83" t="e">
        <f>IF(OR($J83=0,COUNTIFS($A$4:$A82,"&gt;="&amp;$A83-1,$A$4:$A82,"&lt;="&amp;$A83,$B$4:$B82,$B83)&gt;0,MIN(AP$1,IF($A83=$A82,AP82,1))-U83&lt;0),-1,MIN(1,IF($A83=$A82,AP82,1)-U83+$D$3))</f>
        <v>#N/A</v>
      </c>
      <c r="AQ83" t="e">
        <f>IF(OR($J83=0,COUNTIFS($A$4:$A82,"&gt;="&amp;$A83-1,$A$4:$A82,"&lt;="&amp;$A83,$B$4:$B82,$B83)&gt;0,MIN(AQ$1,IF($A83=$A82,AQ82,1))-V83&lt;0),-1,MIN(1,IF($A83=$A82,AQ82,1)-V83+$D$3))</f>
        <v>#N/A</v>
      </c>
      <c r="AR83" t="e">
        <f>IF(OR($J83=0,COUNTIFS($A$4:$A82,"&gt;="&amp;$A83-1,$A$4:$A82,"&lt;="&amp;$A83,$B$4:$B82,$B83)&gt;0,MIN(AR$1,IF($A83=$A82,AR82,1))-W83&lt;0),-1,MIN(1,IF($A83=$A82,AR82,1)-W83+$D$3))</f>
        <v>#N/A</v>
      </c>
      <c r="AS83" t="e">
        <f>IF(OR($J83=0,COUNTIFS($A$4:$A82,"&gt;="&amp;$A83-1,$A$4:$A82,"&lt;="&amp;$A83,$B$4:$B82,$B83)&gt;0,MIN(AS$1,IF($A83=$A82,AS82,1))-X83&lt;0),-1,MIN(1,IF($A83=$A82,AS82,1)-X83+$D$3))</f>
        <v>#N/A</v>
      </c>
      <c r="AT83" t="e">
        <f>IF(OR($J83=0,COUNTIFS($A$4:$A82,"&gt;="&amp;$A83-1,$A$4:$A82,"&lt;="&amp;$A83,$B$4:$B82,$B83)&gt;0,MIN(AT$1,IF($A83=$A82,AT82,1))-Y83&lt;0),-1,MIN(1,IF($A83=$A82,AT82,1)-Y83+$D$3))</f>
        <v>#N/A</v>
      </c>
      <c r="AU83" t="e">
        <f>IF(OR($J83=0,COUNTIFS($A$4:$A82,"&gt;="&amp;$A83-1,$A$4:$A82,"&lt;="&amp;$A83,$B$4:$B82,$B83)&gt;0,MIN(AU$1,IF($A83=$A82,AU82,1))-Z83&lt;0),-1,MIN(1,IF($A83=$A82,AU82,1)-Z83+$D$3))</f>
        <v>#N/A</v>
      </c>
      <c r="AV83" t="e">
        <f>IF(OR($J83=0,COUNTIFS($A$4:$A82,"&gt;="&amp;$A83-1,$A$4:$A82,"&lt;="&amp;$A83,$B$4:$B82,$B83)&gt;0,MIN(AV$1,IF($A83=$A82,AV82,1))-AA83&lt;0),-1,MIN(1,IF($A83=$A82,AV82,1)-AA83+$D$3))</f>
        <v>#N/A</v>
      </c>
      <c r="AW83" t="e">
        <f>IF(OR($J83=0,COUNTIFS($A$4:$A82,"&gt;="&amp;$A83-1,$A$4:$A82,"&lt;="&amp;$A83,$B$4:$B82,$B83)&gt;0,MIN(AW$1,IF($A83=$A82,AW82,1))-AB83&lt;0),-1,MIN(1,IF($A83=$A82,AW82,1)-AB83+$D$3))</f>
        <v>#N/A</v>
      </c>
      <c r="AX83" t="e">
        <f>IF(OR($J83=0,COUNTIFS($A$4:$A82,"&gt;="&amp;$A83-1,$A$4:$A82,"&lt;="&amp;$A83,$B$4:$B82,$B83)&gt;0,MIN(AX$1,IF($A83=$A82,AX82,1))-AC83&lt;0),-1,MIN(1,IF($A83=$A82,AX82,1)-AC83+$D$3))</f>
        <v>#N/A</v>
      </c>
      <c r="AY83" t="e">
        <f>IF(OR($J83=0,COUNTIFS($A$4:$A82,"&gt;="&amp;$A83-1,$A$4:$A82,"&lt;="&amp;$A83,$B$4:$B82,$B83)&gt;0,MIN(AY$1,IF($A83=$A82,AY82,1))-AD83&lt;0),-1,MIN(1,IF($A83=$A82,AY82,1)-AD83+$D$3))</f>
        <v>#N/A</v>
      </c>
      <c r="AZ83" t="e">
        <f>IF(OR($J83=0,COUNTIFS($A$4:$A82,"&gt;="&amp;$A83-1,$A$4:$A82,"&lt;="&amp;$A83,$B$4:$B82,$B83)&gt;0,MIN(AZ$1,IF($A83=$A82,AZ82,1))-AE83&lt;0),-1,MIN(1,IF($A83=$A82,AZ82,1)-AE83+$D$3))</f>
        <v>#N/A</v>
      </c>
      <c r="BA83" t="e">
        <f>IF(OR($J83=0,COUNTIFS($A$4:$A82,"&gt;="&amp;$A83-1,$A$4:$A82,"&lt;="&amp;$A83,$B$4:$B82,$B83)&gt;0,MIN(BA$1,IF($A83=$A82,BA82,1))-AF83&lt;0),-1,MIN(1,IF($A83=$A82,BA82,1)-AF83+$D$3))</f>
        <v>#N/A</v>
      </c>
      <c r="BB83" t="e">
        <f>IF(OR($J83=0,COUNTIFS($A$4:$A82,"&gt;="&amp;$A83-1,$A$4:$A82,"&lt;="&amp;$A83,$B$4:$B82,$B83)&gt;0,MIN(BB$1,IF($A83=$A82,BB82,1))-AG83&lt;0),-1,MIN(1,IF($A83=$A82,BB82,1)-AG83+$D$3))</f>
        <v>#N/A</v>
      </c>
      <c r="BC83" t="e">
        <f>IF(OR($J83=0,COUNTIFS($A$4:$A82,"&gt;="&amp;$A83-1,$A$4:$A82,"&lt;="&amp;$A83,$B$4:$B82,$B83)&gt;0,MIN(BC$1,IF($A83=$A82,BC82,1))-AH83&lt;0),-1,MIN(1,IF($A83=$A82,BC82,1)-AH83+$D$3))</f>
        <v>#N/A</v>
      </c>
      <c r="BD83" t="e">
        <f>IF(OR($J83=0,COUNTIFS($A$4:$A82,"&gt;="&amp;$A83-1,$A$4:$A82,"&lt;="&amp;$A83,$B$4:$B82,$B83)&gt;0,MIN(BD$1,IF($A83=$A82,BD82,1))-AI83&lt;0),-1,MIN(1,IF($A83=$A82,BD82,1)-AI83+$D$3))</f>
        <v>#N/A</v>
      </c>
      <c r="BF83" s="44">
        <f t="shared" si="179"/>
        <v>3.6852818781110179E-2</v>
      </c>
      <c r="BG83" s="44">
        <f t="shared" si="180"/>
        <v>9.0631480557639546E-2</v>
      </c>
      <c r="BH83" s="44">
        <f t="shared" si="181"/>
        <v>9.2887734073495931E-2</v>
      </c>
      <c r="BI83" s="44">
        <f t="shared" si="182"/>
        <v>8.5802477093188639E-2</v>
      </c>
      <c r="BJ83" s="44">
        <f t="shared" si="183"/>
        <v>8.8685005816326268E-2</v>
      </c>
      <c r="BK83" s="44">
        <f t="shared" si="184"/>
        <v>3.8084648112614812E-2</v>
      </c>
      <c r="BL83" s="44">
        <f t="shared" si="185"/>
        <v>2.0573926073135129E-2</v>
      </c>
      <c r="BM83" s="44">
        <f t="shared" si="186"/>
        <v>5.2337665409102938E-2</v>
      </c>
      <c r="BN83" s="44">
        <f t="shared" si="187"/>
        <v>5.4435250981367901E-2</v>
      </c>
      <c r="BO83" s="44">
        <f t="shared" si="188"/>
        <v>2.5510424190563576E-2</v>
      </c>
      <c r="BP83" s="44">
        <f t="shared" si="189"/>
        <v>8.5778232963457296E-2</v>
      </c>
      <c r="BQ83" s="44">
        <f t="shared" si="190"/>
        <v>2.3147994260347866E-2</v>
      </c>
      <c r="BR83" s="44">
        <f t="shared" si="191"/>
        <v>6.838496959401727E-2</v>
      </c>
      <c r="BS83" s="44">
        <f t="shared" si="192"/>
        <v>3.688092157838499E-2</v>
      </c>
      <c r="BT83" s="44">
        <f t="shared" si="193"/>
        <v>0.14594911350759687</v>
      </c>
      <c r="BU83" s="44">
        <f t="shared" si="194"/>
        <v>0.13942532116654416</v>
      </c>
      <c r="BV83" s="44">
        <f t="shared" si="195"/>
        <v>0.13389946566282032</v>
      </c>
      <c r="BW83" s="44">
        <f t="shared" si="196"/>
        <v>8.7577619086945571E-2</v>
      </c>
      <c r="BX83" s="44">
        <f t="shared" si="197"/>
        <v>6.4700754637354183E-2</v>
      </c>
      <c r="BY83" s="44">
        <f t="shared" si="198"/>
        <v>5.5553034363517897E-2</v>
      </c>
      <c r="CA83" s="44" t="str">
        <f t="shared" si="199"/>
        <v/>
      </c>
      <c r="CB83" s="44" t="str">
        <f t="shared" si="200"/>
        <v/>
      </c>
      <c r="CC83" s="44" t="str">
        <f t="shared" si="201"/>
        <v/>
      </c>
      <c r="CD83" s="44" t="str">
        <f t="shared" si="202"/>
        <v/>
      </c>
      <c r="CE83" s="44" t="str">
        <f t="shared" si="203"/>
        <v/>
      </c>
      <c r="CF83" s="44" t="str">
        <f t="shared" si="204"/>
        <v/>
      </c>
      <c r="CG83" s="44" t="str">
        <f t="shared" si="205"/>
        <v/>
      </c>
      <c r="CH83" s="44" t="str">
        <f t="shared" si="206"/>
        <v/>
      </c>
      <c r="CI83" s="44" t="str">
        <f t="shared" si="207"/>
        <v/>
      </c>
      <c r="CJ83" s="44" t="str">
        <f t="shared" si="208"/>
        <v/>
      </c>
      <c r="CK83" s="44" t="str">
        <f t="shared" si="209"/>
        <v/>
      </c>
      <c r="CL83" s="44" t="str">
        <f t="shared" si="210"/>
        <v/>
      </c>
      <c r="CM83" s="44" t="str">
        <f t="shared" si="211"/>
        <v/>
      </c>
      <c r="CN83" s="44" t="str">
        <f t="shared" si="212"/>
        <v/>
      </c>
      <c r="CO83" s="44" t="str">
        <f t="shared" si="213"/>
        <v/>
      </c>
      <c r="CP83" s="44" t="str">
        <f t="shared" si="214"/>
        <v/>
      </c>
      <c r="CQ83" s="44" t="str">
        <f t="shared" si="215"/>
        <v/>
      </c>
      <c r="CR83" s="44" t="str">
        <f t="shared" si="216"/>
        <v/>
      </c>
      <c r="CS83" s="44" t="str">
        <f t="shared" si="217"/>
        <v/>
      </c>
      <c r="CT83" s="44" t="str">
        <f t="shared" si="218"/>
        <v/>
      </c>
      <c r="CV83" s="44">
        <f t="shared" si="219"/>
        <v>0</v>
      </c>
    </row>
    <row r="84" spans="1:100" x14ac:dyDescent="0.25">
      <c r="A84" s="41"/>
      <c r="B84" s="42"/>
      <c r="C84" s="43" t="str" cm="1">
        <f t="array" ref="C84">IF(B84="","",INDEX(UWS!$B$10:$B$41,B84))</f>
        <v/>
      </c>
      <c r="D84" s="40" t="str">
        <f t="shared" si="176"/>
        <v/>
      </c>
      <c r="E84" s="69" t="str">
        <f t="shared" si="177"/>
        <v/>
      </c>
      <c r="F84" s="48" cm="1">
        <f t="array" ref="F84">0.1+IFERROR(INDEX($F$5:$F83,SUMPRODUCT(MAX(ROW($C$5:$C83)*($C84=$C$5:$C83))-ROW($A$4)))*0.9^($A84-INDEX($A$5:A83,SUMPRODUCT(MAX(ROW($C$5:$C83)*($C84=$C$5:$C83))-ROW($A$4)))),0)</f>
        <v>1.9000000000000006</v>
      </c>
      <c r="G84" s="55" t="e">
        <f>INDEX(UWS!$AB$10:$AB$41,MATCH(C84,UWS!$B$10:$B$41,0))</f>
        <v>#N/A</v>
      </c>
      <c r="H84" s="48" t="e">
        <f>INDEX(UWS!$C$10:$C$41,MATCH(C84,UWS!$B$10:$B$41,0))</f>
        <v>#N/A</v>
      </c>
      <c r="I84" s="27">
        <f t="shared" si="178"/>
        <v>5</v>
      </c>
      <c r="J84" s="27" t="e">
        <f>INDEX(UWS!$E$10:$E$41,MATCH(C84,UWS!$B$10:$B$41,0))</f>
        <v>#N/A</v>
      </c>
      <c r="L84" s="108" t="str" cm="1">
        <f t="array" ref="L84">IF(K84="","",INDEX(UWS!$B$10:$B$41,K84))</f>
        <v/>
      </c>
      <c r="N84" s="108" t="str" cm="1">
        <f t="array" ref="N84">IF(M84="","",INDEX(UWS!$B$10:$B$41,M84))</f>
        <v/>
      </c>
      <c r="P84">
        <f>IFERROR(INDEX(UWS!$G$10:$Z$41,MATCH($C84,UWS!$B$10:$B$41,0),MATCH(P$4,UWS!$G$3:$Z$3,0)),0)</f>
        <v>0</v>
      </c>
      <c r="Q84">
        <f>IFERROR(INDEX(UWS!$G$10:$Z$41,MATCH($C84,UWS!$B$10:$B$41,0),MATCH(Q$4,UWS!$G$3:$Z$3,0)),0)</f>
        <v>0</v>
      </c>
      <c r="R84">
        <f>IFERROR(INDEX(UWS!$G$10:$Z$41,MATCH($C84,UWS!$B$10:$B$41,0),MATCH(R$4,UWS!$G$3:$Z$3,0)),0)</f>
        <v>0</v>
      </c>
      <c r="S84">
        <f>IFERROR(INDEX(UWS!$G$10:$Z$41,MATCH($C84,UWS!$B$10:$B$41,0),MATCH(S$4,UWS!$G$3:$Z$3,0)),0)</f>
        <v>0</v>
      </c>
      <c r="T84">
        <f>IFERROR(INDEX(UWS!$G$10:$Z$41,MATCH($C84,UWS!$B$10:$B$41,0),MATCH(T$4,UWS!$G$3:$Z$3,0)),0)</f>
        <v>0</v>
      </c>
      <c r="U84">
        <f>IFERROR(INDEX(UWS!$G$10:$Z$41,MATCH($C84,UWS!$B$10:$B$41,0),MATCH(U$4,UWS!$G$3:$Z$3,0)),0)</f>
        <v>0</v>
      </c>
      <c r="V84">
        <f>IFERROR(INDEX(UWS!$G$10:$Z$41,MATCH($C84,UWS!$B$10:$B$41,0),MATCH(V$4,UWS!$G$3:$Z$3,0)),0)</f>
        <v>0</v>
      </c>
      <c r="W84">
        <f>IFERROR(INDEX(UWS!$G$10:$Z$41,MATCH($C84,UWS!$B$10:$B$41,0),MATCH(W$4,UWS!$G$3:$Z$3,0)),0)</f>
        <v>0</v>
      </c>
      <c r="X84">
        <f>IFERROR(INDEX(UWS!$G$10:$Z$41,MATCH($C84,UWS!$B$10:$B$41,0),MATCH(X$4,UWS!$G$3:$Z$3,0)),0)</f>
        <v>0</v>
      </c>
      <c r="Y84">
        <f>IFERROR(INDEX(UWS!$G$10:$Z$41,MATCH($C84,UWS!$B$10:$B$41,0),MATCH(Y$4,UWS!$G$3:$Z$3,0)),0)</f>
        <v>0</v>
      </c>
      <c r="Z84">
        <f>IFERROR(INDEX(UWS!$G$10:$Z$41,MATCH($C84,UWS!$B$10:$B$41,0),MATCH(Z$4,UWS!$G$3:$Z$3,0)),0)</f>
        <v>0</v>
      </c>
      <c r="AA84">
        <f>IFERROR(INDEX(UWS!$G$10:$Z$41,MATCH($C84,UWS!$B$10:$B$41,0),MATCH(AA$4,UWS!$G$3:$Z$3,0)),0)</f>
        <v>0</v>
      </c>
      <c r="AB84">
        <f>IFERROR(INDEX(UWS!$G$10:$Z$41,MATCH($C84,UWS!$B$10:$B$41,0),MATCH(AB$4,UWS!$G$3:$Z$3,0)),0)</f>
        <v>0</v>
      </c>
      <c r="AC84">
        <f>IFERROR(INDEX(UWS!$G$10:$Z$41,MATCH($C84,UWS!$B$10:$B$41,0),MATCH(AC$4,UWS!$G$3:$Z$3,0)),0)</f>
        <v>0</v>
      </c>
      <c r="AD84">
        <f>IFERROR(INDEX(UWS!$G$10:$Z$41,MATCH($C84,UWS!$B$10:$B$41,0),MATCH(AD$4,UWS!$G$3:$Z$3,0)),0)</f>
        <v>0</v>
      </c>
      <c r="AE84">
        <f>IFERROR(INDEX(UWS!$G$10:$Z$41,MATCH($C84,UWS!$B$10:$B$41,0),MATCH(AE$4,UWS!$G$3:$Z$3,0)),0)</f>
        <v>0</v>
      </c>
      <c r="AF84">
        <f>IFERROR(INDEX(UWS!$G$10:$Z$41,MATCH($C84,UWS!$B$10:$B$41,0),MATCH(AF$4,UWS!$G$3:$Z$3,0)),0)</f>
        <v>0</v>
      </c>
      <c r="AG84">
        <f>IFERROR(INDEX(UWS!$G$10:$Z$41,MATCH($C84,UWS!$B$10:$B$41,0),MATCH(AG$4,UWS!$G$3:$Z$3,0)),0)</f>
        <v>0</v>
      </c>
      <c r="AH84">
        <f>IFERROR(INDEX(UWS!$G$10:$Z$41,MATCH($C84,UWS!$B$10:$B$41,0),MATCH(AH$4,UWS!$G$3:$Z$3,0)),0)</f>
        <v>0</v>
      </c>
      <c r="AI84">
        <f>IFERROR(INDEX(UWS!$G$10:$Z$41,MATCH($C84,UWS!$B$10:$B$41,0),MATCH(AI$4,UWS!$G$3:$Z$3,0)),0)</f>
        <v>0</v>
      </c>
      <c r="AK84" t="e">
        <f>IF(OR($J84=0,COUNTIFS($A$4:$A83,"&gt;="&amp;$A84-1,$A$4:$A83,"&lt;="&amp;$A84,$B$4:$B83,$B84)&gt;0,MIN(AK$1,IF($A84=$A83,AK83,1))-P84&lt;0),-1,MIN(1,IF($A84=$A83,AK83,1)-P84+$D$3))</f>
        <v>#N/A</v>
      </c>
      <c r="AL84" t="e">
        <f>IF(OR($J84=0,COUNTIFS($A$4:$A83,"&gt;="&amp;$A84-1,$A$4:$A83,"&lt;="&amp;$A84,$B$4:$B83,$B84)&gt;0,MIN(AL$1,IF($A84=$A83,AL83,1))-Q84&lt;0),-1,MIN(1,IF($A84=$A83,AL83,1)-Q84+$D$3))</f>
        <v>#N/A</v>
      </c>
      <c r="AM84" t="e">
        <f>IF(OR($J84=0,COUNTIFS($A$4:$A83,"&gt;="&amp;$A84-1,$A$4:$A83,"&lt;="&amp;$A84,$B$4:$B83,$B84)&gt;0,MIN(AM$1,IF($A84=$A83,AM83,1))-R84&lt;0),-1,MIN(1,IF($A84=$A83,AM83,1)-R84+$D$3))</f>
        <v>#N/A</v>
      </c>
      <c r="AN84" t="e">
        <f>IF(OR($J84=0,COUNTIFS($A$4:$A83,"&gt;="&amp;$A84-1,$A$4:$A83,"&lt;="&amp;$A84,$B$4:$B83,$B84)&gt;0,MIN(AN$1,IF($A84=$A83,AN83,1))-S84&lt;0),-1,MIN(1,IF($A84=$A83,AN83,1)-S84+$D$3))</f>
        <v>#N/A</v>
      </c>
      <c r="AO84" t="e">
        <f>IF(OR($J84=0,COUNTIFS($A$4:$A83,"&gt;="&amp;$A84-1,$A$4:$A83,"&lt;="&amp;$A84,$B$4:$B83,$B84)&gt;0,MIN(AO$1,IF($A84=$A83,AO83,1))-T84&lt;0),-1,MIN(1,IF($A84=$A83,AO83,1)-T84+$D$3))</f>
        <v>#N/A</v>
      </c>
      <c r="AP84" t="e">
        <f>IF(OR($J84=0,COUNTIFS($A$4:$A83,"&gt;="&amp;$A84-1,$A$4:$A83,"&lt;="&amp;$A84,$B$4:$B83,$B84)&gt;0,MIN(AP$1,IF($A84=$A83,AP83,1))-U84&lt;0),-1,MIN(1,IF($A84=$A83,AP83,1)-U84+$D$3))</f>
        <v>#N/A</v>
      </c>
      <c r="AQ84" t="e">
        <f>IF(OR($J84=0,COUNTIFS($A$4:$A83,"&gt;="&amp;$A84-1,$A$4:$A83,"&lt;="&amp;$A84,$B$4:$B83,$B84)&gt;0,MIN(AQ$1,IF($A84=$A83,AQ83,1))-V84&lt;0),-1,MIN(1,IF($A84=$A83,AQ83,1)-V84+$D$3))</f>
        <v>#N/A</v>
      </c>
      <c r="AR84" t="e">
        <f>IF(OR($J84=0,COUNTIFS($A$4:$A83,"&gt;="&amp;$A84-1,$A$4:$A83,"&lt;="&amp;$A84,$B$4:$B83,$B84)&gt;0,MIN(AR$1,IF($A84=$A83,AR83,1))-W84&lt;0),-1,MIN(1,IF($A84=$A83,AR83,1)-W84+$D$3))</f>
        <v>#N/A</v>
      </c>
      <c r="AS84" t="e">
        <f>IF(OR($J84=0,COUNTIFS($A$4:$A83,"&gt;="&amp;$A84-1,$A$4:$A83,"&lt;="&amp;$A84,$B$4:$B83,$B84)&gt;0,MIN(AS$1,IF($A84=$A83,AS83,1))-X84&lt;0),-1,MIN(1,IF($A84=$A83,AS83,1)-X84+$D$3))</f>
        <v>#N/A</v>
      </c>
      <c r="AT84" t="e">
        <f>IF(OR($J84=0,COUNTIFS($A$4:$A83,"&gt;="&amp;$A84-1,$A$4:$A83,"&lt;="&amp;$A84,$B$4:$B83,$B84)&gt;0,MIN(AT$1,IF($A84=$A83,AT83,1))-Y84&lt;0),-1,MIN(1,IF($A84=$A83,AT83,1)-Y84+$D$3))</f>
        <v>#N/A</v>
      </c>
      <c r="AU84" t="e">
        <f>IF(OR($J84=0,COUNTIFS($A$4:$A83,"&gt;="&amp;$A84-1,$A$4:$A83,"&lt;="&amp;$A84,$B$4:$B83,$B84)&gt;0,MIN(AU$1,IF($A84=$A83,AU83,1))-Z84&lt;0),-1,MIN(1,IF($A84=$A83,AU83,1)-Z84+$D$3))</f>
        <v>#N/A</v>
      </c>
      <c r="AV84" t="e">
        <f>IF(OR($J84=0,COUNTIFS($A$4:$A83,"&gt;="&amp;$A84-1,$A$4:$A83,"&lt;="&amp;$A84,$B$4:$B83,$B84)&gt;0,MIN(AV$1,IF($A84=$A83,AV83,1))-AA84&lt;0),-1,MIN(1,IF($A84=$A83,AV83,1)-AA84+$D$3))</f>
        <v>#N/A</v>
      </c>
      <c r="AW84" t="e">
        <f>IF(OR($J84=0,COUNTIFS($A$4:$A83,"&gt;="&amp;$A84-1,$A$4:$A83,"&lt;="&amp;$A84,$B$4:$B83,$B84)&gt;0,MIN(AW$1,IF($A84=$A83,AW83,1))-AB84&lt;0),-1,MIN(1,IF($A84=$A83,AW83,1)-AB84+$D$3))</f>
        <v>#N/A</v>
      </c>
      <c r="AX84" t="e">
        <f>IF(OR($J84=0,COUNTIFS($A$4:$A83,"&gt;="&amp;$A84-1,$A$4:$A83,"&lt;="&amp;$A84,$B$4:$B83,$B84)&gt;0,MIN(AX$1,IF($A84=$A83,AX83,1))-AC84&lt;0),-1,MIN(1,IF($A84=$A83,AX83,1)-AC84+$D$3))</f>
        <v>#N/A</v>
      </c>
      <c r="AY84" t="e">
        <f>IF(OR($J84=0,COUNTIFS($A$4:$A83,"&gt;="&amp;$A84-1,$A$4:$A83,"&lt;="&amp;$A84,$B$4:$B83,$B84)&gt;0,MIN(AY$1,IF($A84=$A83,AY83,1))-AD84&lt;0),-1,MIN(1,IF($A84=$A83,AY83,1)-AD84+$D$3))</f>
        <v>#N/A</v>
      </c>
      <c r="AZ84" t="e">
        <f>IF(OR($J84=0,COUNTIFS($A$4:$A83,"&gt;="&amp;$A84-1,$A$4:$A83,"&lt;="&amp;$A84,$B$4:$B83,$B84)&gt;0,MIN(AZ$1,IF($A84=$A83,AZ83,1))-AE84&lt;0),-1,MIN(1,IF($A84=$A83,AZ83,1)-AE84+$D$3))</f>
        <v>#N/A</v>
      </c>
      <c r="BA84" t="e">
        <f>IF(OR($J84=0,COUNTIFS($A$4:$A83,"&gt;="&amp;$A84-1,$A$4:$A83,"&lt;="&amp;$A84,$B$4:$B83,$B84)&gt;0,MIN(BA$1,IF($A84=$A83,BA83,1))-AF84&lt;0),-1,MIN(1,IF($A84=$A83,BA83,1)-AF84+$D$3))</f>
        <v>#N/A</v>
      </c>
      <c r="BB84" t="e">
        <f>IF(OR($J84=0,COUNTIFS($A$4:$A83,"&gt;="&amp;$A84-1,$A$4:$A83,"&lt;="&amp;$A84,$B$4:$B83,$B84)&gt;0,MIN(BB$1,IF($A84=$A83,BB83,1))-AG84&lt;0),-1,MIN(1,IF($A84=$A83,BB83,1)-AG84+$D$3))</f>
        <v>#N/A</v>
      </c>
      <c r="BC84" t="e">
        <f>IF(OR($J84=0,COUNTIFS($A$4:$A83,"&gt;="&amp;$A84-1,$A$4:$A83,"&lt;="&amp;$A84,$B$4:$B83,$B84)&gt;0,MIN(BC$1,IF($A84=$A83,BC83,1))-AH84&lt;0),-1,MIN(1,IF($A84=$A83,BC83,1)-AH84+$D$3))</f>
        <v>#N/A</v>
      </c>
      <c r="BD84" t="e">
        <f>IF(OR($J84=0,COUNTIFS($A$4:$A83,"&gt;="&amp;$A84-1,$A$4:$A83,"&lt;="&amp;$A84,$B$4:$B83,$B84)&gt;0,MIN(BD$1,IF($A84=$A83,BD83,1))-AI84&lt;0),-1,MIN(1,IF($A84=$A83,BD83,1)-AI84+$D$3))</f>
        <v>#N/A</v>
      </c>
      <c r="BF84" s="44">
        <f t="shared" si="179"/>
        <v>3.5010177842054666E-2</v>
      </c>
      <c r="BG84" s="44">
        <f t="shared" si="180"/>
        <v>8.6099906529757561E-2</v>
      </c>
      <c r="BH84" s="44">
        <f t="shared" si="181"/>
        <v>8.8243347369821132E-2</v>
      </c>
      <c r="BI84" s="44">
        <f t="shared" si="182"/>
        <v>8.1512353238529206E-2</v>
      </c>
      <c r="BJ84" s="44">
        <f t="shared" si="183"/>
        <v>8.4250755525509952E-2</v>
      </c>
      <c r="BK84" s="44">
        <f t="shared" si="184"/>
        <v>3.6180415706984069E-2</v>
      </c>
      <c r="BL84" s="44">
        <f t="shared" si="185"/>
        <v>1.9545229769478371E-2</v>
      </c>
      <c r="BM84" s="44">
        <f t="shared" si="186"/>
        <v>4.9720782138647786E-2</v>
      </c>
      <c r="BN84" s="44">
        <f t="shared" si="187"/>
        <v>5.1713488432299504E-2</v>
      </c>
      <c r="BO84" s="44">
        <f t="shared" si="188"/>
        <v>2.4234902981035394E-2</v>
      </c>
      <c r="BP84" s="44">
        <f t="shared" si="189"/>
        <v>8.1489321315284427E-2</v>
      </c>
      <c r="BQ84" s="44">
        <f t="shared" si="190"/>
        <v>2.1990594547330471E-2</v>
      </c>
      <c r="BR84" s="44">
        <f t="shared" si="191"/>
        <v>6.4965721114316408E-2</v>
      </c>
      <c r="BS84" s="44">
        <f t="shared" si="192"/>
        <v>3.5036875499465742E-2</v>
      </c>
      <c r="BT84" s="44">
        <f t="shared" si="193"/>
        <v>0.13865165783221703</v>
      </c>
      <c r="BU84" s="44">
        <f t="shared" si="194"/>
        <v>0.13245405510821695</v>
      </c>
      <c r="BV84" s="44">
        <f t="shared" si="195"/>
        <v>0.12720449237967929</v>
      </c>
      <c r="BW84" s="44">
        <f t="shared" si="196"/>
        <v>8.3198738132598288E-2</v>
      </c>
      <c r="BX84" s="44">
        <f t="shared" si="197"/>
        <v>6.1465716905486467E-2</v>
      </c>
      <c r="BY84" s="44">
        <f t="shared" si="198"/>
        <v>5.2775382645341998E-2</v>
      </c>
      <c r="CA84" s="44" t="str">
        <f t="shared" si="199"/>
        <v/>
      </c>
      <c r="CB84" s="44" t="str">
        <f t="shared" si="200"/>
        <v/>
      </c>
      <c r="CC84" s="44" t="str">
        <f t="shared" si="201"/>
        <v/>
      </c>
      <c r="CD84" s="44" t="str">
        <f t="shared" si="202"/>
        <v/>
      </c>
      <c r="CE84" s="44" t="str">
        <f t="shared" si="203"/>
        <v/>
      </c>
      <c r="CF84" s="44" t="str">
        <f t="shared" si="204"/>
        <v/>
      </c>
      <c r="CG84" s="44" t="str">
        <f t="shared" si="205"/>
        <v/>
      </c>
      <c r="CH84" s="44" t="str">
        <f t="shared" si="206"/>
        <v/>
      </c>
      <c r="CI84" s="44" t="str">
        <f t="shared" si="207"/>
        <v/>
      </c>
      <c r="CJ84" s="44" t="str">
        <f t="shared" si="208"/>
        <v/>
      </c>
      <c r="CK84" s="44" t="str">
        <f t="shared" si="209"/>
        <v/>
      </c>
      <c r="CL84" s="44" t="str">
        <f t="shared" si="210"/>
        <v/>
      </c>
      <c r="CM84" s="44" t="str">
        <f t="shared" si="211"/>
        <v/>
      </c>
      <c r="CN84" s="44" t="str">
        <f t="shared" si="212"/>
        <v/>
      </c>
      <c r="CO84" s="44" t="str">
        <f t="shared" si="213"/>
        <v/>
      </c>
      <c r="CP84" s="44" t="str">
        <f t="shared" si="214"/>
        <v/>
      </c>
      <c r="CQ84" s="44" t="str">
        <f t="shared" si="215"/>
        <v/>
      </c>
      <c r="CR84" s="44" t="str">
        <f t="shared" si="216"/>
        <v/>
      </c>
      <c r="CS84" s="44" t="str">
        <f t="shared" si="217"/>
        <v/>
      </c>
      <c r="CT84" s="44" t="str">
        <f t="shared" si="218"/>
        <v/>
      </c>
      <c r="CV84" s="44">
        <f t="shared" si="219"/>
        <v>0</v>
      </c>
    </row>
    <row r="85" spans="1:100" x14ac:dyDescent="0.25">
      <c r="A85" s="49"/>
      <c r="B85" s="50"/>
      <c r="C85" s="51" t="str" cm="1">
        <f t="array" ref="C85">IF(B85="","",INDEX(UWS!$B$10:$B$41,B85))</f>
        <v/>
      </c>
      <c r="D85" s="45" t="str">
        <f t="shared" si="176"/>
        <v/>
      </c>
      <c r="E85" s="70" t="str">
        <f t="shared" si="177"/>
        <v/>
      </c>
      <c r="F85" s="52" cm="1">
        <f t="array" ref="F85">0.1+IFERROR(INDEX($F$5:$F84,SUMPRODUCT(MAX(ROW($C$5:$C84)*($C85=$C$5:$C84))-ROW($A$4)))*0.9^($A85-INDEX($A$5:A84,SUMPRODUCT(MAX(ROW($C$5:$C84)*($C85=$C$5:$C84))-ROW($A$4)))),0)</f>
        <v>2.0000000000000004</v>
      </c>
      <c r="G85" s="56" t="e">
        <f>INDEX(UWS!$AB$10:$AB$41,MATCH(C85,UWS!$B$10:$B$41,0))</f>
        <v>#N/A</v>
      </c>
      <c r="H85" s="52" t="e">
        <f>INDEX(UWS!$C$10:$C$41,MATCH(C85,UWS!$B$10:$B$41,0))</f>
        <v>#N/A</v>
      </c>
      <c r="I85" s="46">
        <f t="shared" si="178"/>
        <v>5</v>
      </c>
      <c r="J85" s="46" t="e">
        <f>INDEX(UWS!$E$10:$E$41,MATCH(C85,UWS!$B$10:$B$41,0))</f>
        <v>#N/A</v>
      </c>
      <c r="K85" s="46"/>
      <c r="L85" s="109" t="str" cm="1">
        <f t="array" ref="L85">IF(K85="","",INDEX(UWS!$B$10:$B$41,K85))</f>
        <v/>
      </c>
      <c r="M85" s="46"/>
      <c r="N85" s="109" t="str" cm="1">
        <f t="array" ref="N85">IF(M85="","",INDEX(UWS!$B$10:$B$41,M85))</f>
        <v/>
      </c>
      <c r="O85" s="47"/>
      <c r="P85" s="47">
        <f>IFERROR(INDEX(UWS!$G$10:$Z$41,MATCH($C85,UWS!$B$10:$B$41,0),MATCH(P$4,UWS!$G$3:$Z$3,0)),0)</f>
        <v>0</v>
      </c>
      <c r="Q85" s="47">
        <f>IFERROR(INDEX(UWS!$G$10:$Z$41,MATCH($C85,UWS!$B$10:$B$41,0),MATCH(Q$4,UWS!$G$3:$Z$3,0)),0)</f>
        <v>0</v>
      </c>
      <c r="R85" s="47">
        <f>IFERROR(INDEX(UWS!$G$10:$Z$41,MATCH($C85,UWS!$B$10:$B$41,0),MATCH(R$4,UWS!$G$3:$Z$3,0)),0)</f>
        <v>0</v>
      </c>
      <c r="S85" s="47">
        <f>IFERROR(INDEX(UWS!$G$10:$Z$41,MATCH($C85,UWS!$B$10:$B$41,0),MATCH(S$4,UWS!$G$3:$Z$3,0)),0)</f>
        <v>0</v>
      </c>
      <c r="T85" s="47">
        <f>IFERROR(INDEX(UWS!$G$10:$Z$41,MATCH($C85,UWS!$B$10:$B$41,0),MATCH(T$4,UWS!$G$3:$Z$3,0)),0)</f>
        <v>0</v>
      </c>
      <c r="U85" s="47">
        <f>IFERROR(INDEX(UWS!$G$10:$Z$41,MATCH($C85,UWS!$B$10:$B$41,0),MATCH(U$4,UWS!$G$3:$Z$3,0)),0)</f>
        <v>0</v>
      </c>
      <c r="V85" s="47">
        <f>IFERROR(INDEX(UWS!$G$10:$Z$41,MATCH($C85,UWS!$B$10:$B$41,0),MATCH(V$4,UWS!$G$3:$Z$3,0)),0)</f>
        <v>0</v>
      </c>
      <c r="W85" s="47">
        <f>IFERROR(INDEX(UWS!$G$10:$Z$41,MATCH($C85,UWS!$B$10:$B$41,0),MATCH(W$4,UWS!$G$3:$Z$3,0)),0)</f>
        <v>0</v>
      </c>
      <c r="X85" s="47">
        <f>IFERROR(INDEX(UWS!$G$10:$Z$41,MATCH($C85,UWS!$B$10:$B$41,0),MATCH(X$4,UWS!$G$3:$Z$3,0)),0)</f>
        <v>0</v>
      </c>
      <c r="Y85" s="47">
        <f>IFERROR(INDEX(UWS!$G$10:$Z$41,MATCH($C85,UWS!$B$10:$B$41,0),MATCH(Y$4,UWS!$G$3:$Z$3,0)),0)</f>
        <v>0</v>
      </c>
      <c r="Z85" s="47">
        <f>IFERROR(INDEX(UWS!$G$10:$Z$41,MATCH($C85,UWS!$B$10:$B$41,0),MATCH(Z$4,UWS!$G$3:$Z$3,0)),0)</f>
        <v>0</v>
      </c>
      <c r="AA85" s="47">
        <f>IFERROR(INDEX(UWS!$G$10:$Z$41,MATCH($C85,UWS!$B$10:$B$41,0),MATCH(AA$4,UWS!$G$3:$Z$3,0)),0)</f>
        <v>0</v>
      </c>
      <c r="AB85" s="47">
        <f>IFERROR(INDEX(UWS!$G$10:$Z$41,MATCH($C85,UWS!$B$10:$B$41,0),MATCH(AB$4,UWS!$G$3:$Z$3,0)),0)</f>
        <v>0</v>
      </c>
      <c r="AC85" s="47">
        <f>IFERROR(INDEX(UWS!$G$10:$Z$41,MATCH($C85,UWS!$B$10:$B$41,0),MATCH(AC$4,UWS!$G$3:$Z$3,0)),0)</f>
        <v>0</v>
      </c>
      <c r="AD85" s="47">
        <f>IFERROR(INDEX(UWS!$G$10:$Z$41,MATCH($C85,UWS!$B$10:$B$41,0),MATCH(AD$4,UWS!$G$3:$Z$3,0)),0)</f>
        <v>0</v>
      </c>
      <c r="AE85" s="47">
        <f>IFERROR(INDEX(UWS!$G$10:$Z$41,MATCH($C85,UWS!$B$10:$B$41,0),MATCH(AE$4,UWS!$G$3:$Z$3,0)),0)</f>
        <v>0</v>
      </c>
      <c r="AF85" s="47">
        <f>IFERROR(INDEX(UWS!$G$10:$Z$41,MATCH($C85,UWS!$B$10:$B$41,0),MATCH(AF$4,UWS!$G$3:$Z$3,0)),0)</f>
        <v>0</v>
      </c>
      <c r="AG85" s="47">
        <f>IFERROR(INDEX(UWS!$G$10:$Z$41,MATCH($C85,UWS!$B$10:$B$41,0),MATCH(AG$4,UWS!$G$3:$Z$3,0)),0)</f>
        <v>0</v>
      </c>
      <c r="AH85" s="47">
        <f>IFERROR(INDEX(UWS!$G$10:$Z$41,MATCH($C85,UWS!$B$10:$B$41,0),MATCH(AH$4,UWS!$G$3:$Z$3,0)),0)</f>
        <v>0</v>
      </c>
      <c r="AI85" s="47">
        <f>IFERROR(INDEX(UWS!$G$10:$Z$41,MATCH($C85,UWS!$B$10:$B$41,0),MATCH(AI$4,UWS!$G$3:$Z$3,0)),0)</f>
        <v>0</v>
      </c>
      <c r="AJ85" s="47"/>
      <c r="AK85" s="47" t="e">
        <f>IF(OR($J85=0,COUNTIFS($A$4:$A84,"&gt;="&amp;$A85-1,$A$4:$A84,"&lt;="&amp;$A85,$B$4:$B84,$B85)&gt;0,MIN(AK$1,IF($A85=$A84,AK84,1))-P85&lt;0),-1,MIN(1,IF($A85=$A84,AK84,1)-P85+$D$3))</f>
        <v>#N/A</v>
      </c>
      <c r="AL85" s="47" t="e">
        <f>IF(OR($J85=0,COUNTIFS($A$4:$A84,"&gt;="&amp;$A85-1,$A$4:$A84,"&lt;="&amp;$A85,$B$4:$B84,$B85)&gt;0,MIN(AL$1,IF($A85=$A84,AL84,1))-Q85&lt;0),-1,MIN(1,IF($A85=$A84,AL84,1)-Q85+$D$3))</f>
        <v>#N/A</v>
      </c>
      <c r="AM85" s="47" t="e">
        <f>IF(OR($J85=0,COUNTIFS($A$4:$A84,"&gt;="&amp;$A85-1,$A$4:$A84,"&lt;="&amp;$A85,$B$4:$B84,$B85)&gt;0,MIN(AM$1,IF($A85=$A84,AM84,1))-R85&lt;0),-1,MIN(1,IF($A85=$A84,AM84,1)-R85+$D$3))</f>
        <v>#N/A</v>
      </c>
      <c r="AN85" s="47" t="e">
        <f>IF(OR($J85=0,COUNTIFS($A$4:$A84,"&gt;="&amp;$A85-1,$A$4:$A84,"&lt;="&amp;$A85,$B$4:$B84,$B85)&gt;0,MIN(AN$1,IF($A85=$A84,AN84,1))-S85&lt;0),-1,MIN(1,IF($A85=$A84,AN84,1)-S85+$D$3))</f>
        <v>#N/A</v>
      </c>
      <c r="AO85" s="47" t="e">
        <f>IF(OR($J85=0,COUNTIFS($A$4:$A84,"&gt;="&amp;$A85-1,$A$4:$A84,"&lt;="&amp;$A85,$B$4:$B84,$B85)&gt;0,MIN(AO$1,IF($A85=$A84,AO84,1))-T85&lt;0),-1,MIN(1,IF($A85=$A84,AO84,1)-T85+$D$3))</f>
        <v>#N/A</v>
      </c>
      <c r="AP85" s="47" t="e">
        <f>IF(OR($J85=0,COUNTIFS($A$4:$A84,"&gt;="&amp;$A85-1,$A$4:$A84,"&lt;="&amp;$A85,$B$4:$B84,$B85)&gt;0,MIN(AP$1,IF($A85=$A84,AP84,1))-U85&lt;0),-1,MIN(1,IF($A85=$A84,AP84,1)-U85+$D$3))</f>
        <v>#N/A</v>
      </c>
      <c r="AQ85" s="47" t="e">
        <f>IF(OR($J85=0,COUNTIFS($A$4:$A84,"&gt;="&amp;$A85-1,$A$4:$A84,"&lt;="&amp;$A85,$B$4:$B84,$B85)&gt;0,MIN(AQ$1,IF($A85=$A84,AQ84,1))-V85&lt;0),-1,MIN(1,IF($A85=$A84,AQ84,1)-V85+$D$3))</f>
        <v>#N/A</v>
      </c>
      <c r="AR85" s="47" t="e">
        <f>IF(OR($J85=0,COUNTIFS($A$4:$A84,"&gt;="&amp;$A85-1,$A$4:$A84,"&lt;="&amp;$A85,$B$4:$B84,$B85)&gt;0,MIN(AR$1,IF($A85=$A84,AR84,1))-W85&lt;0),-1,MIN(1,IF($A85=$A84,AR84,1)-W85+$D$3))</f>
        <v>#N/A</v>
      </c>
      <c r="AS85" s="47" t="e">
        <f>IF(OR($J85=0,COUNTIFS($A$4:$A84,"&gt;="&amp;$A85-1,$A$4:$A84,"&lt;="&amp;$A85,$B$4:$B84,$B85)&gt;0,MIN(AS$1,IF($A85=$A84,AS84,1))-X85&lt;0),-1,MIN(1,IF($A85=$A84,AS84,1)-X85+$D$3))</f>
        <v>#N/A</v>
      </c>
      <c r="AT85" s="47" t="e">
        <f>IF(OR($J85=0,COUNTIFS($A$4:$A84,"&gt;="&amp;$A85-1,$A$4:$A84,"&lt;="&amp;$A85,$B$4:$B84,$B85)&gt;0,MIN(AT$1,IF($A85=$A84,AT84,1))-Y85&lt;0),-1,MIN(1,IF($A85=$A84,AT84,1)-Y85+$D$3))</f>
        <v>#N/A</v>
      </c>
      <c r="AU85" s="47" t="e">
        <f>IF(OR($J85=0,COUNTIFS($A$4:$A84,"&gt;="&amp;$A85-1,$A$4:$A84,"&lt;="&amp;$A85,$B$4:$B84,$B85)&gt;0,MIN(AU$1,IF($A85=$A84,AU84,1))-Z85&lt;0),-1,MIN(1,IF($A85=$A84,AU84,1)-Z85+$D$3))</f>
        <v>#N/A</v>
      </c>
      <c r="AV85" s="47" t="e">
        <f>IF(OR($J85=0,COUNTIFS($A$4:$A84,"&gt;="&amp;$A85-1,$A$4:$A84,"&lt;="&amp;$A85,$B$4:$B84,$B85)&gt;0,MIN(AV$1,IF($A85=$A84,AV84,1))-AA85&lt;0),-1,MIN(1,IF($A85=$A84,AV84,1)-AA85+$D$3))</f>
        <v>#N/A</v>
      </c>
      <c r="AW85" s="47" t="e">
        <f>IF(OR($J85=0,COUNTIFS($A$4:$A84,"&gt;="&amp;$A85-1,$A$4:$A84,"&lt;="&amp;$A85,$B$4:$B84,$B85)&gt;0,MIN(AW$1,IF($A85=$A84,AW84,1))-AB85&lt;0),-1,MIN(1,IF($A85=$A84,AW84,1)-AB85+$D$3))</f>
        <v>#N/A</v>
      </c>
      <c r="AX85" s="47" t="e">
        <f>IF(OR($J85=0,COUNTIFS($A$4:$A84,"&gt;="&amp;$A85-1,$A$4:$A84,"&lt;="&amp;$A85,$B$4:$B84,$B85)&gt;0,MIN(AX$1,IF($A85=$A84,AX84,1))-AC85&lt;0),-1,MIN(1,IF($A85=$A84,AX84,1)-AC85+$D$3))</f>
        <v>#N/A</v>
      </c>
      <c r="AY85" s="47" t="e">
        <f>IF(OR($J85=0,COUNTIFS($A$4:$A84,"&gt;="&amp;$A85-1,$A$4:$A84,"&lt;="&amp;$A85,$B$4:$B84,$B85)&gt;0,MIN(AY$1,IF($A85=$A84,AY84,1))-AD85&lt;0),-1,MIN(1,IF($A85=$A84,AY84,1)-AD85+$D$3))</f>
        <v>#N/A</v>
      </c>
      <c r="AZ85" s="47" t="e">
        <f>IF(OR($J85=0,COUNTIFS($A$4:$A84,"&gt;="&amp;$A85-1,$A$4:$A84,"&lt;="&amp;$A85,$B$4:$B84,$B85)&gt;0,MIN(AZ$1,IF($A85=$A84,AZ84,1))-AE85&lt;0),-1,MIN(1,IF($A85=$A84,AZ84,1)-AE85+$D$3))</f>
        <v>#N/A</v>
      </c>
      <c r="BA85" s="47" t="e">
        <f>IF(OR($J85=0,COUNTIFS($A$4:$A84,"&gt;="&amp;$A85-1,$A$4:$A84,"&lt;="&amp;$A85,$B$4:$B84,$B85)&gt;0,MIN(BA$1,IF($A85=$A84,BA84,1))-AF85&lt;0),-1,MIN(1,IF($A85=$A84,BA84,1)-AF85+$D$3))</f>
        <v>#N/A</v>
      </c>
      <c r="BB85" s="47" t="e">
        <f>IF(OR($J85=0,COUNTIFS($A$4:$A84,"&gt;="&amp;$A85-1,$A$4:$A84,"&lt;="&amp;$A85,$B$4:$B84,$B85)&gt;0,MIN(BB$1,IF($A85=$A84,BB84,1))-AG85&lt;0),-1,MIN(1,IF($A85=$A84,BB84,1)-AG85+$D$3))</f>
        <v>#N/A</v>
      </c>
      <c r="BC85" s="47" t="e">
        <f>IF(OR($J85=0,COUNTIFS($A$4:$A84,"&gt;="&amp;$A85-1,$A$4:$A84,"&lt;="&amp;$A85,$B$4:$B84,$B85)&gt;0,MIN(BC$1,IF($A85=$A84,BC84,1))-AH85&lt;0),-1,MIN(1,IF($A85=$A84,BC84,1)-AH85+$D$3))</f>
        <v>#N/A</v>
      </c>
      <c r="BD85" s="47" t="e">
        <f>IF(OR($J85=0,COUNTIFS($A$4:$A84,"&gt;="&amp;$A85-1,$A$4:$A84,"&lt;="&amp;$A85,$B$4:$B84,$B85)&gt;0,MIN(BD$1,IF($A85=$A84,BD84,1))-AI85&lt;0),-1,MIN(1,IF($A85=$A84,BD84,1)-AI85+$D$3))</f>
        <v>#N/A</v>
      </c>
      <c r="BE85" s="47"/>
      <c r="BF85" s="53">
        <f t="shared" si="179"/>
        <v>3.3259668949951929E-2</v>
      </c>
      <c r="BG85" s="53">
        <f t="shared" si="180"/>
        <v>8.1794911203269677E-2</v>
      </c>
      <c r="BH85" s="53">
        <f t="shared" si="181"/>
        <v>8.3831180001330066E-2</v>
      </c>
      <c r="BI85" s="53">
        <f t="shared" si="182"/>
        <v>7.7436735576602744E-2</v>
      </c>
      <c r="BJ85" s="53">
        <f t="shared" si="183"/>
        <v>8.0038217749234447E-2</v>
      </c>
      <c r="BK85" s="53">
        <f t="shared" si="184"/>
        <v>3.4371394921634865E-2</v>
      </c>
      <c r="BL85" s="53">
        <f t="shared" si="185"/>
        <v>1.8567968281004453E-2</v>
      </c>
      <c r="BM85" s="53">
        <f t="shared" si="186"/>
        <v>4.7234743031715397E-2</v>
      </c>
      <c r="BN85" s="53">
        <f t="shared" si="187"/>
        <v>4.9127814010684528E-2</v>
      </c>
      <c r="BO85" s="53">
        <f t="shared" si="188"/>
        <v>2.3023157831983623E-2</v>
      </c>
      <c r="BP85" s="53">
        <f t="shared" si="189"/>
        <v>7.7414855249520201E-2</v>
      </c>
      <c r="BQ85" s="53">
        <f t="shared" si="190"/>
        <v>2.0891064819963948E-2</v>
      </c>
      <c r="BR85" s="53">
        <f t="shared" si="191"/>
        <v>6.1717435058600584E-2</v>
      </c>
      <c r="BS85" s="53">
        <f t="shared" si="192"/>
        <v>3.3285031724492452E-2</v>
      </c>
      <c r="BT85" s="53">
        <f t="shared" si="193"/>
        <v>0.13171907494060617</v>
      </c>
      <c r="BU85" s="53">
        <f t="shared" si="194"/>
        <v>0.1258313523528061</v>
      </c>
      <c r="BV85" s="53">
        <f t="shared" si="195"/>
        <v>0.12084426776069532</v>
      </c>
      <c r="BW85" s="53">
        <f t="shared" si="196"/>
        <v>7.9038801225968375E-2</v>
      </c>
      <c r="BX85" s="53">
        <f t="shared" si="197"/>
        <v>5.8392431060212142E-2</v>
      </c>
      <c r="BY85" s="53">
        <f t="shared" si="198"/>
        <v>5.0136613513074899E-2</v>
      </c>
      <c r="BZ85" s="47"/>
      <c r="CA85" s="53" t="str">
        <f t="shared" si="199"/>
        <v/>
      </c>
      <c r="CB85" s="53" t="str">
        <f t="shared" si="200"/>
        <v/>
      </c>
      <c r="CC85" s="53" t="str">
        <f t="shared" si="201"/>
        <v/>
      </c>
      <c r="CD85" s="53" t="str">
        <f t="shared" si="202"/>
        <v/>
      </c>
      <c r="CE85" s="53" t="str">
        <f t="shared" si="203"/>
        <v/>
      </c>
      <c r="CF85" s="53" t="str">
        <f t="shared" si="204"/>
        <v/>
      </c>
      <c r="CG85" s="53" t="str">
        <f t="shared" si="205"/>
        <v/>
      </c>
      <c r="CH85" s="53" t="str">
        <f t="shared" si="206"/>
        <v/>
      </c>
      <c r="CI85" s="53" t="str">
        <f t="shared" si="207"/>
        <v/>
      </c>
      <c r="CJ85" s="53" t="str">
        <f t="shared" si="208"/>
        <v/>
      </c>
      <c r="CK85" s="53" t="str">
        <f t="shared" si="209"/>
        <v/>
      </c>
      <c r="CL85" s="53" t="str">
        <f t="shared" si="210"/>
        <v/>
      </c>
      <c r="CM85" s="53" t="str">
        <f t="shared" si="211"/>
        <v/>
      </c>
      <c r="CN85" s="53" t="str">
        <f t="shared" si="212"/>
        <v/>
      </c>
      <c r="CO85" s="53" t="str">
        <f t="shared" si="213"/>
        <v/>
      </c>
      <c r="CP85" s="53" t="str">
        <f t="shared" si="214"/>
        <v/>
      </c>
      <c r="CQ85" s="53" t="str">
        <f t="shared" si="215"/>
        <v/>
      </c>
      <c r="CR85" s="53" t="str">
        <f t="shared" si="216"/>
        <v/>
      </c>
      <c r="CS85" s="53" t="str">
        <f t="shared" si="217"/>
        <v/>
      </c>
      <c r="CT85" s="53" t="str">
        <f t="shared" si="218"/>
        <v/>
      </c>
      <c r="CU85" s="47"/>
      <c r="CV85" s="53">
        <f t="shared" si="219"/>
        <v>0</v>
      </c>
    </row>
    <row r="86" spans="1:100" x14ac:dyDescent="0.25">
      <c r="A86" s="41"/>
      <c r="B86" s="42"/>
      <c r="C86" s="43" t="str" cm="1">
        <f t="array" ref="C86">IF(B86="","",INDEX(UWS!$B$10:$B$41,B86))</f>
        <v/>
      </c>
      <c r="D86" s="40" t="str">
        <f t="shared" si="176"/>
        <v/>
      </c>
      <c r="E86" s="69" t="str">
        <f t="shared" si="177"/>
        <v/>
      </c>
      <c r="F86" s="48" cm="1">
        <f t="array" ref="F86">0.1+IFERROR(INDEX($F$5:$F85,SUMPRODUCT(MAX(ROW($C$5:$C85)*($C86=$C$5:$C85))-ROW($A$4)))*0.9^($A86-INDEX($A$5:A85,SUMPRODUCT(MAX(ROW($C$5:$C85)*($C86=$C$5:$C85))-ROW($A$4)))),0)</f>
        <v>2.1000000000000005</v>
      </c>
      <c r="G86" s="55" t="e">
        <f>INDEX(UWS!$AB$10:$AB$41,MATCH(C86,UWS!$B$10:$B$41,0))</f>
        <v>#N/A</v>
      </c>
      <c r="H86" s="48" t="e">
        <f>INDEX(UWS!$C$10:$C$41,MATCH(C86,UWS!$B$10:$B$41,0))</f>
        <v>#N/A</v>
      </c>
      <c r="I86" s="82">
        <f t="shared" si="178"/>
        <v>5</v>
      </c>
      <c r="J86" s="27" t="e">
        <f>INDEX(UWS!$E$10:$E$41,MATCH(C86,UWS!$B$10:$B$41,0))</f>
        <v>#N/A</v>
      </c>
      <c r="L86" s="108" t="str" cm="1">
        <f t="array" ref="L86">IF(K86="","",INDEX(UWS!$B$10:$B$41,K86))</f>
        <v/>
      </c>
      <c r="N86" s="108" t="str" cm="1">
        <f t="array" ref="N86">IF(M86="","",INDEX(UWS!$B$10:$B$41,M86))</f>
        <v/>
      </c>
      <c r="P86">
        <f>IFERROR(INDEX(UWS!$G$10:$Z$41,MATCH($C86,UWS!$B$10:$B$41,0),MATCH(P$4,UWS!$G$3:$Z$3,0)),0)</f>
        <v>0</v>
      </c>
      <c r="Q86">
        <f>IFERROR(INDEX(UWS!$G$10:$Z$41,MATCH($C86,UWS!$B$10:$B$41,0),MATCH(Q$4,UWS!$G$3:$Z$3,0)),0)</f>
        <v>0</v>
      </c>
      <c r="R86">
        <f>IFERROR(INDEX(UWS!$G$10:$Z$41,MATCH($C86,UWS!$B$10:$B$41,0),MATCH(R$4,UWS!$G$3:$Z$3,0)),0)</f>
        <v>0</v>
      </c>
      <c r="S86">
        <f>IFERROR(INDEX(UWS!$G$10:$Z$41,MATCH($C86,UWS!$B$10:$B$41,0),MATCH(S$4,UWS!$G$3:$Z$3,0)),0)</f>
        <v>0</v>
      </c>
      <c r="T86">
        <f>IFERROR(INDEX(UWS!$G$10:$Z$41,MATCH($C86,UWS!$B$10:$B$41,0),MATCH(T$4,UWS!$G$3:$Z$3,0)),0)</f>
        <v>0</v>
      </c>
      <c r="U86">
        <f>IFERROR(INDEX(UWS!$G$10:$Z$41,MATCH($C86,UWS!$B$10:$B$41,0),MATCH(U$4,UWS!$G$3:$Z$3,0)),0)</f>
        <v>0</v>
      </c>
      <c r="V86">
        <f>IFERROR(INDEX(UWS!$G$10:$Z$41,MATCH($C86,UWS!$B$10:$B$41,0),MATCH(V$4,UWS!$G$3:$Z$3,0)),0)</f>
        <v>0</v>
      </c>
      <c r="W86">
        <f>IFERROR(INDEX(UWS!$G$10:$Z$41,MATCH($C86,UWS!$B$10:$B$41,0),MATCH(W$4,UWS!$G$3:$Z$3,0)),0)</f>
        <v>0</v>
      </c>
      <c r="X86">
        <f>IFERROR(INDEX(UWS!$G$10:$Z$41,MATCH($C86,UWS!$B$10:$B$41,0),MATCH(X$4,UWS!$G$3:$Z$3,0)),0)</f>
        <v>0</v>
      </c>
      <c r="Y86">
        <f>IFERROR(INDEX(UWS!$G$10:$Z$41,MATCH($C86,UWS!$B$10:$B$41,0),MATCH(Y$4,UWS!$G$3:$Z$3,0)),0)</f>
        <v>0</v>
      </c>
      <c r="Z86">
        <f>IFERROR(INDEX(UWS!$G$10:$Z$41,MATCH($C86,UWS!$B$10:$B$41,0),MATCH(Z$4,UWS!$G$3:$Z$3,0)),0)</f>
        <v>0</v>
      </c>
      <c r="AA86">
        <f>IFERROR(INDEX(UWS!$G$10:$Z$41,MATCH($C86,UWS!$B$10:$B$41,0),MATCH(AA$4,UWS!$G$3:$Z$3,0)),0)</f>
        <v>0</v>
      </c>
      <c r="AB86">
        <f>IFERROR(INDEX(UWS!$G$10:$Z$41,MATCH($C86,UWS!$B$10:$B$41,0),MATCH(AB$4,UWS!$G$3:$Z$3,0)),0)</f>
        <v>0</v>
      </c>
      <c r="AC86">
        <f>IFERROR(INDEX(UWS!$G$10:$Z$41,MATCH($C86,UWS!$B$10:$B$41,0),MATCH(AC$4,UWS!$G$3:$Z$3,0)),0)</f>
        <v>0</v>
      </c>
      <c r="AD86">
        <f>IFERROR(INDEX(UWS!$G$10:$Z$41,MATCH($C86,UWS!$B$10:$B$41,0),MATCH(AD$4,UWS!$G$3:$Z$3,0)),0)</f>
        <v>0</v>
      </c>
      <c r="AE86">
        <f>IFERROR(INDEX(UWS!$G$10:$Z$41,MATCH($C86,UWS!$B$10:$B$41,0),MATCH(AE$4,UWS!$G$3:$Z$3,0)),0)</f>
        <v>0</v>
      </c>
      <c r="AF86">
        <f>IFERROR(INDEX(UWS!$G$10:$Z$41,MATCH($C86,UWS!$B$10:$B$41,0),MATCH(AF$4,UWS!$G$3:$Z$3,0)),0)</f>
        <v>0</v>
      </c>
      <c r="AG86">
        <f>IFERROR(INDEX(UWS!$G$10:$Z$41,MATCH($C86,UWS!$B$10:$B$41,0),MATCH(AG$4,UWS!$G$3:$Z$3,0)),0)</f>
        <v>0</v>
      </c>
      <c r="AH86">
        <f>IFERROR(INDEX(UWS!$G$10:$Z$41,MATCH($C86,UWS!$B$10:$B$41,0),MATCH(AH$4,UWS!$G$3:$Z$3,0)),0)</f>
        <v>0</v>
      </c>
      <c r="AI86">
        <f>IFERROR(INDEX(UWS!$G$10:$Z$41,MATCH($C86,UWS!$B$10:$B$41,0),MATCH(AI$4,UWS!$G$3:$Z$3,0)),0)</f>
        <v>0</v>
      </c>
      <c r="AK86" t="e">
        <f>IF(OR($J86=0,COUNTIFS($A$4:$A85,"&gt;="&amp;$A86-1,$A$4:$A85,"&lt;="&amp;$A86,$B$4:$B85,$B86)&gt;0,MIN(AK$1,IF($A86=$A85,AK85,1))-P86&lt;0),-1,MIN(1,IF($A86=$A85,AK85,1)-P86+$D$3))</f>
        <v>#N/A</v>
      </c>
      <c r="AL86" t="e">
        <f>IF(OR($J86=0,COUNTIFS($A$4:$A85,"&gt;="&amp;$A86-1,$A$4:$A85,"&lt;="&amp;$A86,$B$4:$B85,$B86)&gt;0,MIN(AL$1,IF($A86=$A85,AL85,1))-Q86&lt;0),-1,MIN(1,IF($A86=$A85,AL85,1)-Q86+$D$3))</f>
        <v>#N/A</v>
      </c>
      <c r="AM86" t="e">
        <f>IF(OR($J86=0,COUNTIFS($A$4:$A85,"&gt;="&amp;$A86-1,$A$4:$A85,"&lt;="&amp;$A86,$B$4:$B85,$B86)&gt;0,MIN(AM$1,IF($A86=$A85,AM85,1))-R86&lt;0),-1,MIN(1,IF($A86=$A85,AM85,1)-R86+$D$3))</f>
        <v>#N/A</v>
      </c>
      <c r="AN86" t="e">
        <f>IF(OR($J86=0,COUNTIFS($A$4:$A85,"&gt;="&amp;$A86-1,$A$4:$A85,"&lt;="&amp;$A86,$B$4:$B85,$B86)&gt;0,MIN(AN$1,IF($A86=$A85,AN85,1))-S86&lt;0),-1,MIN(1,IF($A86=$A85,AN85,1)-S86+$D$3))</f>
        <v>#N/A</v>
      </c>
      <c r="AO86" t="e">
        <f>IF(OR($J86=0,COUNTIFS($A$4:$A85,"&gt;="&amp;$A86-1,$A$4:$A85,"&lt;="&amp;$A86,$B$4:$B85,$B86)&gt;0,MIN(AO$1,IF($A86=$A85,AO85,1))-T86&lt;0),-1,MIN(1,IF($A86=$A85,AO85,1)-T86+$D$3))</f>
        <v>#N/A</v>
      </c>
      <c r="AP86" t="e">
        <f>IF(OR($J86=0,COUNTIFS($A$4:$A85,"&gt;="&amp;$A86-1,$A$4:$A85,"&lt;="&amp;$A86,$B$4:$B85,$B86)&gt;0,MIN(AP$1,IF($A86=$A85,AP85,1))-U86&lt;0),-1,MIN(1,IF($A86=$A85,AP85,1)-U86+$D$3))</f>
        <v>#N/A</v>
      </c>
      <c r="AQ86" t="e">
        <f>IF(OR($J86=0,COUNTIFS($A$4:$A85,"&gt;="&amp;$A86-1,$A$4:$A85,"&lt;="&amp;$A86,$B$4:$B85,$B86)&gt;0,MIN(AQ$1,IF($A86=$A85,AQ85,1))-V86&lt;0),-1,MIN(1,IF($A86=$A85,AQ85,1)-V86+$D$3))</f>
        <v>#N/A</v>
      </c>
      <c r="AR86" t="e">
        <f>IF(OR($J86=0,COUNTIFS($A$4:$A85,"&gt;="&amp;$A86-1,$A$4:$A85,"&lt;="&amp;$A86,$B$4:$B85,$B86)&gt;0,MIN(AR$1,IF($A86=$A85,AR85,1))-W86&lt;0),-1,MIN(1,IF($A86=$A85,AR85,1)-W86+$D$3))</f>
        <v>#N/A</v>
      </c>
      <c r="AS86" t="e">
        <f>IF(OR($J86=0,COUNTIFS($A$4:$A85,"&gt;="&amp;$A86-1,$A$4:$A85,"&lt;="&amp;$A86,$B$4:$B85,$B86)&gt;0,MIN(AS$1,IF($A86=$A85,AS85,1))-X86&lt;0),-1,MIN(1,IF($A86=$A85,AS85,1)-X86+$D$3))</f>
        <v>#N/A</v>
      </c>
      <c r="AT86" t="e">
        <f>IF(OR($J86=0,COUNTIFS($A$4:$A85,"&gt;="&amp;$A86-1,$A$4:$A85,"&lt;="&amp;$A86,$B$4:$B85,$B86)&gt;0,MIN(AT$1,IF($A86=$A85,AT85,1))-Y86&lt;0),-1,MIN(1,IF($A86=$A85,AT85,1)-Y86+$D$3))</f>
        <v>#N/A</v>
      </c>
      <c r="AU86" t="e">
        <f>IF(OR($J86=0,COUNTIFS($A$4:$A85,"&gt;="&amp;$A86-1,$A$4:$A85,"&lt;="&amp;$A86,$B$4:$B85,$B86)&gt;0,MIN(AU$1,IF($A86=$A85,AU85,1))-Z86&lt;0),-1,MIN(1,IF($A86=$A85,AU85,1)-Z86+$D$3))</f>
        <v>#N/A</v>
      </c>
      <c r="AV86" t="e">
        <f>IF(OR($J86=0,COUNTIFS($A$4:$A85,"&gt;="&amp;$A86-1,$A$4:$A85,"&lt;="&amp;$A86,$B$4:$B85,$B86)&gt;0,MIN(AV$1,IF($A86=$A85,AV85,1))-AA86&lt;0),-1,MIN(1,IF($A86=$A85,AV85,1)-AA86+$D$3))</f>
        <v>#N/A</v>
      </c>
      <c r="AW86" t="e">
        <f>IF(OR($J86=0,COUNTIFS($A$4:$A85,"&gt;="&amp;$A86-1,$A$4:$A85,"&lt;="&amp;$A86,$B$4:$B85,$B86)&gt;0,MIN(AW$1,IF($A86=$A85,AW85,1))-AB86&lt;0),-1,MIN(1,IF($A86=$A85,AW85,1)-AB86+$D$3))</f>
        <v>#N/A</v>
      </c>
      <c r="AX86" t="e">
        <f>IF(OR($J86=0,COUNTIFS($A$4:$A85,"&gt;="&amp;$A86-1,$A$4:$A85,"&lt;="&amp;$A86,$B$4:$B85,$B86)&gt;0,MIN(AX$1,IF($A86=$A85,AX85,1))-AC86&lt;0),-1,MIN(1,IF($A86=$A85,AX85,1)-AC86+$D$3))</f>
        <v>#N/A</v>
      </c>
      <c r="AY86" t="e">
        <f>IF(OR($J86=0,COUNTIFS($A$4:$A85,"&gt;="&amp;$A86-1,$A$4:$A85,"&lt;="&amp;$A86,$B$4:$B85,$B86)&gt;0,MIN(AY$1,IF($A86=$A85,AY85,1))-AD86&lt;0),-1,MIN(1,IF($A86=$A85,AY85,1)-AD86+$D$3))</f>
        <v>#N/A</v>
      </c>
      <c r="AZ86" t="e">
        <f>IF(OR($J86=0,COUNTIFS($A$4:$A85,"&gt;="&amp;$A86-1,$A$4:$A85,"&lt;="&amp;$A86,$B$4:$B85,$B86)&gt;0,MIN(AZ$1,IF($A86=$A85,AZ85,1))-AE86&lt;0),-1,MIN(1,IF($A86=$A85,AZ85,1)-AE86+$D$3))</f>
        <v>#N/A</v>
      </c>
      <c r="BA86" t="e">
        <f>IF(OR($J86=0,COUNTIFS($A$4:$A85,"&gt;="&amp;$A86-1,$A$4:$A85,"&lt;="&amp;$A86,$B$4:$B85,$B86)&gt;0,MIN(BA$1,IF($A86=$A85,BA85,1))-AF86&lt;0),-1,MIN(1,IF($A86=$A85,BA85,1)-AF86+$D$3))</f>
        <v>#N/A</v>
      </c>
      <c r="BB86" t="e">
        <f>IF(OR($J86=0,COUNTIFS($A$4:$A85,"&gt;="&amp;$A86-1,$A$4:$A85,"&lt;="&amp;$A86,$B$4:$B85,$B86)&gt;0,MIN(BB$1,IF($A86=$A85,BB85,1))-AG86&lt;0),-1,MIN(1,IF($A86=$A85,BB85,1)-AG86+$D$3))</f>
        <v>#N/A</v>
      </c>
      <c r="BC86" t="e">
        <f>IF(OR($J86=0,COUNTIFS($A$4:$A85,"&gt;="&amp;$A86-1,$A$4:$A85,"&lt;="&amp;$A86,$B$4:$B85,$B86)&gt;0,MIN(BC$1,IF($A86=$A85,BC85,1))-AH86&lt;0),-1,MIN(1,IF($A86=$A85,BC85,1)-AH86+$D$3))</f>
        <v>#N/A</v>
      </c>
      <c r="BD86" t="e">
        <f>IF(OR($J86=0,COUNTIFS($A$4:$A85,"&gt;="&amp;$A86-1,$A$4:$A85,"&lt;="&amp;$A86,$B$4:$B85,$B86)&gt;0,MIN(BD$1,IF($A86=$A85,BD85,1))-AI86&lt;0),-1,MIN(1,IF($A86=$A85,BD85,1)-AI86+$D$3))</f>
        <v>#N/A</v>
      </c>
      <c r="BF86" s="44">
        <f t="shared" si="179"/>
        <v>3.1596685502454327E-2</v>
      </c>
      <c r="BG86" s="44">
        <f t="shared" si="180"/>
        <v>7.7705165643106186E-2</v>
      </c>
      <c r="BH86" s="44">
        <f t="shared" si="181"/>
        <v>7.9639621001263552E-2</v>
      </c>
      <c r="BI86" s="44">
        <f t="shared" si="182"/>
        <v>7.3564898797772602E-2</v>
      </c>
      <c r="BJ86" s="44">
        <f t="shared" si="183"/>
        <v>7.6036306861772721E-2</v>
      </c>
      <c r="BK86" s="44">
        <f t="shared" si="184"/>
        <v>3.2652825175553117E-2</v>
      </c>
      <c r="BL86" s="44">
        <f t="shared" si="185"/>
        <v>1.7639569866954228E-2</v>
      </c>
      <c r="BM86" s="44">
        <f t="shared" si="186"/>
        <v>4.4873005880129622E-2</v>
      </c>
      <c r="BN86" s="44">
        <f t="shared" si="187"/>
        <v>4.6671423310150298E-2</v>
      </c>
      <c r="BO86" s="44">
        <f t="shared" si="188"/>
        <v>2.187199994038444E-2</v>
      </c>
      <c r="BP86" s="44">
        <f t="shared" si="189"/>
        <v>7.3544112487044191E-2</v>
      </c>
      <c r="BQ86" s="44">
        <f t="shared" si="190"/>
        <v>1.9846511578965751E-2</v>
      </c>
      <c r="BR86" s="44">
        <f t="shared" si="191"/>
        <v>5.8631563305670549E-2</v>
      </c>
      <c r="BS86" s="44">
        <f t="shared" si="192"/>
        <v>3.1620780138267829E-2</v>
      </c>
      <c r="BT86" s="44">
        <f t="shared" si="193"/>
        <v>0.12513312119357586</v>
      </c>
      <c r="BU86" s="44">
        <f t="shared" si="194"/>
        <v>0.11953978473516579</v>
      </c>
      <c r="BV86" s="44">
        <f t="shared" si="195"/>
        <v>0.11480205437266054</v>
      </c>
      <c r="BW86" s="44">
        <f t="shared" si="196"/>
        <v>7.5086861164669949E-2</v>
      </c>
      <c r="BX86" s="44">
        <f t="shared" si="197"/>
        <v>5.5472809507201536E-2</v>
      </c>
      <c r="BY86" s="44">
        <f t="shared" si="198"/>
        <v>4.7629782837421149E-2</v>
      </c>
      <c r="CA86" s="44" t="str">
        <f t="shared" si="199"/>
        <v/>
      </c>
      <c r="CB86" s="44" t="str">
        <f t="shared" si="200"/>
        <v/>
      </c>
      <c r="CC86" s="44" t="str">
        <f t="shared" si="201"/>
        <v/>
      </c>
      <c r="CD86" s="44" t="str">
        <f t="shared" si="202"/>
        <v/>
      </c>
      <c r="CE86" s="44" t="str">
        <f t="shared" si="203"/>
        <v/>
      </c>
      <c r="CF86" s="44" t="str">
        <f t="shared" si="204"/>
        <v/>
      </c>
      <c r="CG86" s="44" t="str">
        <f t="shared" si="205"/>
        <v/>
      </c>
      <c r="CH86" s="44" t="str">
        <f t="shared" si="206"/>
        <v/>
      </c>
      <c r="CI86" s="44" t="str">
        <f t="shared" si="207"/>
        <v/>
      </c>
      <c r="CJ86" s="44" t="str">
        <f t="shared" si="208"/>
        <v/>
      </c>
      <c r="CK86" s="44" t="str">
        <f t="shared" si="209"/>
        <v/>
      </c>
      <c r="CL86" s="44" t="str">
        <f t="shared" si="210"/>
        <v/>
      </c>
      <c r="CM86" s="44" t="str">
        <f t="shared" si="211"/>
        <v/>
      </c>
      <c r="CN86" s="44" t="str">
        <f t="shared" si="212"/>
        <v/>
      </c>
      <c r="CO86" s="44" t="str">
        <f t="shared" si="213"/>
        <v/>
      </c>
      <c r="CP86" s="44" t="str">
        <f t="shared" si="214"/>
        <v/>
      </c>
      <c r="CQ86" s="44" t="str">
        <f t="shared" si="215"/>
        <v/>
      </c>
      <c r="CR86" s="44" t="str">
        <f t="shared" si="216"/>
        <v/>
      </c>
      <c r="CS86" s="44" t="str">
        <f t="shared" si="217"/>
        <v/>
      </c>
      <c r="CT86" s="44" t="str">
        <f t="shared" si="218"/>
        <v/>
      </c>
      <c r="CV86" s="44">
        <f t="shared" si="219"/>
        <v>0</v>
      </c>
    </row>
    <row r="87" spans="1:100" x14ac:dyDescent="0.25">
      <c r="A87" s="41"/>
      <c r="B87" s="42"/>
      <c r="C87" s="43" t="str" cm="1">
        <f t="array" ref="C87">IF(B87="","",INDEX(UWS!$B$10:$B$41,B87))</f>
        <v/>
      </c>
      <c r="D87" s="40" t="str">
        <f t="shared" si="176"/>
        <v/>
      </c>
      <c r="E87" s="69" t="str">
        <f t="shared" si="177"/>
        <v/>
      </c>
      <c r="F87" s="48" cm="1">
        <f t="array" ref="F87">0.1+IFERROR(INDEX($F$5:$F86,SUMPRODUCT(MAX(ROW($C$5:$C86)*($C87=$C$5:$C86))-ROW($A$4)))*0.9^($A87-INDEX($A$5:A86,SUMPRODUCT(MAX(ROW($C$5:$C86)*($C87=$C$5:$C86))-ROW($A$4)))),0)</f>
        <v>2.2000000000000006</v>
      </c>
      <c r="G87" s="55" t="e">
        <f>INDEX(UWS!$AB$10:$AB$41,MATCH(C87,UWS!$B$10:$B$41,0))</f>
        <v>#N/A</v>
      </c>
      <c r="H87" s="48" t="e">
        <f>INDEX(UWS!$C$10:$C$41,MATCH(C87,UWS!$B$10:$B$41,0))</f>
        <v>#N/A</v>
      </c>
      <c r="I87" s="27">
        <f t="shared" si="178"/>
        <v>5</v>
      </c>
      <c r="J87" s="27" t="e">
        <f>INDEX(UWS!$E$10:$E$41,MATCH(C87,UWS!$B$10:$B$41,0))</f>
        <v>#N/A</v>
      </c>
      <c r="L87" s="108" t="str" cm="1">
        <f t="array" ref="L87">IF(K87="","",INDEX(UWS!$B$10:$B$41,K87))</f>
        <v/>
      </c>
      <c r="N87" s="108" t="str" cm="1">
        <f t="array" ref="N87">IF(M87="","",INDEX(UWS!$B$10:$B$41,M87))</f>
        <v/>
      </c>
      <c r="P87">
        <f>IFERROR(INDEX(UWS!$G$10:$Z$41,MATCH($C87,UWS!$B$10:$B$41,0),MATCH(P$4,UWS!$G$3:$Z$3,0)),0)</f>
        <v>0</v>
      </c>
      <c r="Q87">
        <f>IFERROR(INDEX(UWS!$G$10:$Z$41,MATCH($C87,UWS!$B$10:$B$41,0),MATCH(Q$4,UWS!$G$3:$Z$3,0)),0)</f>
        <v>0</v>
      </c>
      <c r="R87">
        <f>IFERROR(INDEX(UWS!$G$10:$Z$41,MATCH($C87,UWS!$B$10:$B$41,0),MATCH(R$4,UWS!$G$3:$Z$3,0)),0)</f>
        <v>0</v>
      </c>
      <c r="S87">
        <f>IFERROR(INDEX(UWS!$G$10:$Z$41,MATCH($C87,UWS!$B$10:$B$41,0),MATCH(S$4,UWS!$G$3:$Z$3,0)),0)</f>
        <v>0</v>
      </c>
      <c r="T87">
        <f>IFERROR(INDEX(UWS!$G$10:$Z$41,MATCH($C87,UWS!$B$10:$B$41,0),MATCH(T$4,UWS!$G$3:$Z$3,0)),0)</f>
        <v>0</v>
      </c>
      <c r="U87">
        <f>IFERROR(INDEX(UWS!$G$10:$Z$41,MATCH($C87,UWS!$B$10:$B$41,0),MATCH(U$4,UWS!$G$3:$Z$3,0)),0)</f>
        <v>0</v>
      </c>
      <c r="V87">
        <f>IFERROR(INDEX(UWS!$G$10:$Z$41,MATCH($C87,UWS!$B$10:$B$41,0),MATCH(V$4,UWS!$G$3:$Z$3,0)),0)</f>
        <v>0</v>
      </c>
      <c r="W87">
        <f>IFERROR(INDEX(UWS!$G$10:$Z$41,MATCH($C87,UWS!$B$10:$B$41,0),MATCH(W$4,UWS!$G$3:$Z$3,0)),0)</f>
        <v>0</v>
      </c>
      <c r="X87">
        <f>IFERROR(INDEX(UWS!$G$10:$Z$41,MATCH($C87,UWS!$B$10:$B$41,0),MATCH(X$4,UWS!$G$3:$Z$3,0)),0)</f>
        <v>0</v>
      </c>
      <c r="Y87">
        <f>IFERROR(INDEX(UWS!$G$10:$Z$41,MATCH($C87,UWS!$B$10:$B$41,0),MATCH(Y$4,UWS!$G$3:$Z$3,0)),0)</f>
        <v>0</v>
      </c>
      <c r="Z87">
        <f>IFERROR(INDEX(UWS!$G$10:$Z$41,MATCH($C87,UWS!$B$10:$B$41,0),MATCH(Z$4,UWS!$G$3:$Z$3,0)),0)</f>
        <v>0</v>
      </c>
      <c r="AA87">
        <f>IFERROR(INDEX(UWS!$G$10:$Z$41,MATCH($C87,UWS!$B$10:$B$41,0),MATCH(AA$4,UWS!$G$3:$Z$3,0)),0)</f>
        <v>0</v>
      </c>
      <c r="AB87">
        <f>IFERROR(INDEX(UWS!$G$10:$Z$41,MATCH($C87,UWS!$B$10:$B$41,0),MATCH(AB$4,UWS!$G$3:$Z$3,0)),0)</f>
        <v>0</v>
      </c>
      <c r="AC87">
        <f>IFERROR(INDEX(UWS!$G$10:$Z$41,MATCH($C87,UWS!$B$10:$B$41,0),MATCH(AC$4,UWS!$G$3:$Z$3,0)),0)</f>
        <v>0</v>
      </c>
      <c r="AD87">
        <f>IFERROR(INDEX(UWS!$G$10:$Z$41,MATCH($C87,UWS!$B$10:$B$41,0),MATCH(AD$4,UWS!$G$3:$Z$3,0)),0)</f>
        <v>0</v>
      </c>
      <c r="AE87">
        <f>IFERROR(INDEX(UWS!$G$10:$Z$41,MATCH($C87,UWS!$B$10:$B$41,0),MATCH(AE$4,UWS!$G$3:$Z$3,0)),0)</f>
        <v>0</v>
      </c>
      <c r="AF87">
        <f>IFERROR(INDEX(UWS!$G$10:$Z$41,MATCH($C87,UWS!$B$10:$B$41,0),MATCH(AF$4,UWS!$G$3:$Z$3,0)),0)</f>
        <v>0</v>
      </c>
      <c r="AG87">
        <f>IFERROR(INDEX(UWS!$G$10:$Z$41,MATCH($C87,UWS!$B$10:$B$41,0),MATCH(AG$4,UWS!$G$3:$Z$3,0)),0)</f>
        <v>0</v>
      </c>
      <c r="AH87">
        <f>IFERROR(INDEX(UWS!$G$10:$Z$41,MATCH($C87,UWS!$B$10:$B$41,0),MATCH(AH$4,UWS!$G$3:$Z$3,0)),0)</f>
        <v>0</v>
      </c>
      <c r="AI87">
        <f>IFERROR(INDEX(UWS!$G$10:$Z$41,MATCH($C87,UWS!$B$10:$B$41,0),MATCH(AI$4,UWS!$G$3:$Z$3,0)),0)</f>
        <v>0</v>
      </c>
      <c r="AK87" t="e">
        <f>IF(OR($J87=0,COUNTIFS($A$4:$A86,"&gt;="&amp;$A87-1,$A$4:$A86,"&lt;="&amp;$A87,$B$4:$B86,$B87)&gt;0,MIN(AK$1,IF($A87=$A86,AK86,1))-P87&lt;0),-1,MIN(1,IF($A87=$A86,AK86,1)-P87+$D$3))</f>
        <v>#N/A</v>
      </c>
      <c r="AL87" t="e">
        <f>IF(OR($J87=0,COUNTIFS($A$4:$A86,"&gt;="&amp;$A87-1,$A$4:$A86,"&lt;="&amp;$A87,$B$4:$B86,$B87)&gt;0,MIN(AL$1,IF($A87=$A86,AL86,1))-Q87&lt;0),-1,MIN(1,IF($A87=$A86,AL86,1)-Q87+$D$3))</f>
        <v>#N/A</v>
      </c>
      <c r="AM87" t="e">
        <f>IF(OR($J87=0,COUNTIFS($A$4:$A86,"&gt;="&amp;$A87-1,$A$4:$A86,"&lt;="&amp;$A87,$B$4:$B86,$B87)&gt;0,MIN(AM$1,IF($A87=$A86,AM86,1))-R87&lt;0),-1,MIN(1,IF($A87=$A86,AM86,1)-R87+$D$3))</f>
        <v>#N/A</v>
      </c>
      <c r="AN87" t="e">
        <f>IF(OR($J87=0,COUNTIFS($A$4:$A86,"&gt;="&amp;$A87-1,$A$4:$A86,"&lt;="&amp;$A87,$B$4:$B86,$B87)&gt;0,MIN(AN$1,IF($A87=$A86,AN86,1))-S87&lt;0),-1,MIN(1,IF($A87=$A86,AN86,1)-S87+$D$3))</f>
        <v>#N/A</v>
      </c>
      <c r="AO87" t="e">
        <f>IF(OR($J87=0,COUNTIFS($A$4:$A86,"&gt;="&amp;$A87-1,$A$4:$A86,"&lt;="&amp;$A87,$B$4:$B86,$B87)&gt;0,MIN(AO$1,IF($A87=$A86,AO86,1))-T87&lt;0),-1,MIN(1,IF($A87=$A86,AO86,1)-T87+$D$3))</f>
        <v>#N/A</v>
      </c>
      <c r="AP87" t="e">
        <f>IF(OR($J87=0,COUNTIFS($A$4:$A86,"&gt;="&amp;$A87-1,$A$4:$A86,"&lt;="&amp;$A87,$B$4:$B86,$B87)&gt;0,MIN(AP$1,IF($A87=$A86,AP86,1))-U87&lt;0),-1,MIN(1,IF($A87=$A86,AP86,1)-U87+$D$3))</f>
        <v>#N/A</v>
      </c>
      <c r="AQ87" t="e">
        <f>IF(OR($J87=0,COUNTIFS($A$4:$A86,"&gt;="&amp;$A87-1,$A$4:$A86,"&lt;="&amp;$A87,$B$4:$B86,$B87)&gt;0,MIN(AQ$1,IF($A87=$A86,AQ86,1))-V87&lt;0),-1,MIN(1,IF($A87=$A86,AQ86,1)-V87+$D$3))</f>
        <v>#N/A</v>
      </c>
      <c r="AR87" t="e">
        <f>IF(OR($J87=0,COUNTIFS($A$4:$A86,"&gt;="&amp;$A87-1,$A$4:$A86,"&lt;="&amp;$A87,$B$4:$B86,$B87)&gt;0,MIN(AR$1,IF($A87=$A86,AR86,1))-W87&lt;0),-1,MIN(1,IF($A87=$A86,AR86,1)-W87+$D$3))</f>
        <v>#N/A</v>
      </c>
      <c r="AS87" t="e">
        <f>IF(OR($J87=0,COUNTIFS($A$4:$A86,"&gt;="&amp;$A87-1,$A$4:$A86,"&lt;="&amp;$A87,$B$4:$B86,$B87)&gt;0,MIN(AS$1,IF($A87=$A86,AS86,1))-X87&lt;0),-1,MIN(1,IF($A87=$A86,AS86,1)-X87+$D$3))</f>
        <v>#N/A</v>
      </c>
      <c r="AT87" t="e">
        <f>IF(OR($J87=0,COUNTIFS($A$4:$A86,"&gt;="&amp;$A87-1,$A$4:$A86,"&lt;="&amp;$A87,$B$4:$B86,$B87)&gt;0,MIN(AT$1,IF($A87=$A86,AT86,1))-Y87&lt;0),-1,MIN(1,IF($A87=$A86,AT86,1)-Y87+$D$3))</f>
        <v>#N/A</v>
      </c>
      <c r="AU87" t="e">
        <f>IF(OR($J87=0,COUNTIFS($A$4:$A86,"&gt;="&amp;$A87-1,$A$4:$A86,"&lt;="&amp;$A87,$B$4:$B86,$B87)&gt;0,MIN(AU$1,IF($A87=$A86,AU86,1))-Z87&lt;0),-1,MIN(1,IF($A87=$A86,AU86,1)-Z87+$D$3))</f>
        <v>#N/A</v>
      </c>
      <c r="AV87" t="e">
        <f>IF(OR($J87=0,COUNTIFS($A$4:$A86,"&gt;="&amp;$A87-1,$A$4:$A86,"&lt;="&amp;$A87,$B$4:$B86,$B87)&gt;0,MIN(AV$1,IF($A87=$A86,AV86,1))-AA87&lt;0),-1,MIN(1,IF($A87=$A86,AV86,1)-AA87+$D$3))</f>
        <v>#N/A</v>
      </c>
      <c r="AW87" t="e">
        <f>IF(OR($J87=0,COUNTIFS($A$4:$A86,"&gt;="&amp;$A87-1,$A$4:$A86,"&lt;="&amp;$A87,$B$4:$B86,$B87)&gt;0,MIN(AW$1,IF($A87=$A86,AW86,1))-AB87&lt;0),-1,MIN(1,IF($A87=$A86,AW86,1)-AB87+$D$3))</f>
        <v>#N/A</v>
      </c>
      <c r="AX87" t="e">
        <f>IF(OR($J87=0,COUNTIFS($A$4:$A86,"&gt;="&amp;$A87-1,$A$4:$A86,"&lt;="&amp;$A87,$B$4:$B86,$B87)&gt;0,MIN(AX$1,IF($A87=$A86,AX86,1))-AC87&lt;0),-1,MIN(1,IF($A87=$A86,AX86,1)-AC87+$D$3))</f>
        <v>#N/A</v>
      </c>
      <c r="AY87" t="e">
        <f>IF(OR($J87=0,COUNTIFS($A$4:$A86,"&gt;="&amp;$A87-1,$A$4:$A86,"&lt;="&amp;$A87,$B$4:$B86,$B87)&gt;0,MIN(AY$1,IF($A87=$A86,AY86,1))-AD87&lt;0),-1,MIN(1,IF($A87=$A86,AY86,1)-AD87+$D$3))</f>
        <v>#N/A</v>
      </c>
      <c r="AZ87" t="e">
        <f>IF(OR($J87=0,COUNTIFS($A$4:$A86,"&gt;="&amp;$A87-1,$A$4:$A86,"&lt;="&amp;$A87,$B$4:$B86,$B87)&gt;0,MIN(AZ$1,IF($A87=$A86,AZ86,1))-AE87&lt;0),-1,MIN(1,IF($A87=$A86,AZ86,1)-AE87+$D$3))</f>
        <v>#N/A</v>
      </c>
      <c r="BA87" t="e">
        <f>IF(OR($J87=0,COUNTIFS($A$4:$A86,"&gt;="&amp;$A87-1,$A$4:$A86,"&lt;="&amp;$A87,$B$4:$B86,$B87)&gt;0,MIN(BA$1,IF($A87=$A86,BA86,1))-AF87&lt;0),-1,MIN(1,IF($A87=$A86,BA86,1)-AF87+$D$3))</f>
        <v>#N/A</v>
      </c>
      <c r="BB87" t="e">
        <f>IF(OR($J87=0,COUNTIFS($A$4:$A86,"&gt;="&amp;$A87-1,$A$4:$A86,"&lt;="&amp;$A87,$B$4:$B86,$B87)&gt;0,MIN(BB$1,IF($A87=$A86,BB86,1))-AG87&lt;0),-1,MIN(1,IF($A87=$A86,BB86,1)-AG87+$D$3))</f>
        <v>#N/A</v>
      </c>
      <c r="BC87" t="e">
        <f>IF(OR($J87=0,COUNTIFS($A$4:$A86,"&gt;="&amp;$A87-1,$A$4:$A86,"&lt;="&amp;$A87,$B$4:$B86,$B87)&gt;0,MIN(BC$1,IF($A87=$A86,BC86,1))-AH87&lt;0),-1,MIN(1,IF($A87=$A86,BC86,1)-AH87+$D$3))</f>
        <v>#N/A</v>
      </c>
      <c r="BD87" t="e">
        <f>IF(OR($J87=0,COUNTIFS($A$4:$A86,"&gt;="&amp;$A87-1,$A$4:$A86,"&lt;="&amp;$A87,$B$4:$B86,$B87)&gt;0,MIN(BD$1,IF($A87=$A86,BD86,1))-AI87&lt;0),-1,MIN(1,IF($A87=$A86,BD86,1)-AI87+$D$3))</f>
        <v>#N/A</v>
      </c>
      <c r="BF87" s="44">
        <f t="shared" si="179"/>
        <v>3.0016851227331609E-2</v>
      </c>
      <c r="BG87" s="44">
        <f t="shared" si="180"/>
        <v>7.381990736095087E-2</v>
      </c>
      <c r="BH87" s="44">
        <f t="shared" si="181"/>
        <v>7.5657639951200367E-2</v>
      </c>
      <c r="BI87" s="44">
        <f t="shared" si="182"/>
        <v>6.9886653857883965E-2</v>
      </c>
      <c r="BJ87" s="44">
        <f t="shared" si="183"/>
        <v>7.223449151868408E-2</v>
      </c>
      <c r="BK87" s="44">
        <f t="shared" si="184"/>
        <v>3.1020183916775461E-2</v>
      </c>
      <c r="BL87" s="44">
        <f t="shared" si="185"/>
        <v>1.6757591373606516E-2</v>
      </c>
      <c r="BM87" s="44">
        <f t="shared" si="186"/>
        <v>4.2629355586123137E-2</v>
      </c>
      <c r="BN87" s="44">
        <f t="shared" si="187"/>
        <v>4.4337852144642781E-2</v>
      </c>
      <c r="BO87" s="44">
        <f t="shared" si="188"/>
        <v>2.0778399943365219E-2</v>
      </c>
      <c r="BP87" s="44">
        <f t="shared" si="189"/>
        <v>6.986690686269198E-2</v>
      </c>
      <c r="BQ87" s="44">
        <f t="shared" si="190"/>
        <v>1.8854186000017464E-2</v>
      </c>
      <c r="BR87" s="44">
        <f t="shared" si="191"/>
        <v>5.5699985140387022E-2</v>
      </c>
      <c r="BS87" s="44">
        <f t="shared" si="192"/>
        <v>3.0039741131354436E-2</v>
      </c>
      <c r="BT87" s="44">
        <f t="shared" si="193"/>
        <v>0.11887646513389706</v>
      </c>
      <c r="BU87" s="44">
        <f t="shared" si="194"/>
        <v>0.11356279549840749</v>
      </c>
      <c r="BV87" s="44">
        <f t="shared" si="195"/>
        <v>0.1090619516540275</v>
      </c>
      <c r="BW87" s="44">
        <f t="shared" si="196"/>
        <v>7.1332518106436454E-2</v>
      </c>
      <c r="BX87" s="44">
        <f t="shared" si="197"/>
        <v>5.2699169031841457E-2</v>
      </c>
      <c r="BY87" s="44">
        <f t="shared" si="198"/>
        <v>4.5248293695550092E-2</v>
      </c>
      <c r="CA87" s="44" t="str">
        <f t="shared" si="199"/>
        <v/>
      </c>
      <c r="CB87" s="44" t="str">
        <f t="shared" si="200"/>
        <v/>
      </c>
      <c r="CC87" s="44" t="str">
        <f t="shared" si="201"/>
        <v/>
      </c>
      <c r="CD87" s="44" t="str">
        <f t="shared" si="202"/>
        <v/>
      </c>
      <c r="CE87" s="44" t="str">
        <f t="shared" si="203"/>
        <v/>
      </c>
      <c r="CF87" s="44" t="str">
        <f t="shared" si="204"/>
        <v/>
      </c>
      <c r="CG87" s="44" t="str">
        <f t="shared" si="205"/>
        <v/>
      </c>
      <c r="CH87" s="44" t="str">
        <f t="shared" si="206"/>
        <v/>
      </c>
      <c r="CI87" s="44" t="str">
        <f t="shared" si="207"/>
        <v/>
      </c>
      <c r="CJ87" s="44" t="str">
        <f t="shared" si="208"/>
        <v/>
      </c>
      <c r="CK87" s="44" t="str">
        <f t="shared" si="209"/>
        <v/>
      </c>
      <c r="CL87" s="44" t="str">
        <f t="shared" si="210"/>
        <v/>
      </c>
      <c r="CM87" s="44" t="str">
        <f t="shared" si="211"/>
        <v/>
      </c>
      <c r="CN87" s="44" t="str">
        <f t="shared" si="212"/>
        <v/>
      </c>
      <c r="CO87" s="44" t="str">
        <f t="shared" si="213"/>
        <v/>
      </c>
      <c r="CP87" s="44" t="str">
        <f t="shared" si="214"/>
        <v/>
      </c>
      <c r="CQ87" s="44" t="str">
        <f t="shared" si="215"/>
        <v/>
      </c>
      <c r="CR87" s="44" t="str">
        <f t="shared" si="216"/>
        <v/>
      </c>
      <c r="CS87" s="44" t="str">
        <f t="shared" si="217"/>
        <v/>
      </c>
      <c r="CT87" s="44" t="str">
        <f t="shared" si="218"/>
        <v/>
      </c>
      <c r="CV87" s="44">
        <f t="shared" si="219"/>
        <v>0</v>
      </c>
    </row>
    <row r="88" spans="1:100" x14ac:dyDescent="0.25">
      <c r="A88" s="41"/>
      <c r="B88" s="42"/>
      <c r="C88" s="43" t="str" cm="1">
        <f t="array" ref="C88">IF(B88="","",INDEX(UWS!$B$10:$B$41,B88))</f>
        <v/>
      </c>
      <c r="D88" s="40" t="str">
        <f t="shared" si="176"/>
        <v/>
      </c>
      <c r="E88" s="69" t="str">
        <f t="shared" si="177"/>
        <v/>
      </c>
      <c r="F88" s="48" cm="1">
        <f t="array" ref="F88">0.1+IFERROR(INDEX($F$5:$F87,SUMPRODUCT(MAX(ROW($C$5:$C87)*($C88=$C$5:$C87))-ROW($A$4)))*0.9^($A88-INDEX($A$5:A87,SUMPRODUCT(MAX(ROW($C$5:$C87)*($C88=$C$5:$C87))-ROW($A$4)))),0)</f>
        <v>2.3000000000000007</v>
      </c>
      <c r="G88" s="55" t="e">
        <f>INDEX(UWS!$AB$10:$AB$41,MATCH(C88,UWS!$B$10:$B$41,0))</f>
        <v>#N/A</v>
      </c>
      <c r="H88" s="48" t="e">
        <f>INDEX(UWS!$C$10:$C$41,MATCH(C88,UWS!$B$10:$B$41,0))</f>
        <v>#N/A</v>
      </c>
      <c r="I88" s="27">
        <f t="shared" si="178"/>
        <v>5</v>
      </c>
      <c r="J88" s="27" t="e">
        <f>INDEX(UWS!$E$10:$E$41,MATCH(C88,UWS!$B$10:$B$41,0))</f>
        <v>#N/A</v>
      </c>
      <c r="L88" s="108" t="str" cm="1">
        <f t="array" ref="L88">IF(K88="","",INDEX(UWS!$B$10:$B$41,K88))</f>
        <v/>
      </c>
      <c r="N88" s="108" t="str" cm="1">
        <f t="array" ref="N88">IF(M88="","",INDEX(UWS!$B$10:$B$41,M88))</f>
        <v/>
      </c>
      <c r="P88">
        <f>IFERROR(INDEX(UWS!$G$10:$Z$41,MATCH($C88,UWS!$B$10:$B$41,0),MATCH(P$4,UWS!$G$3:$Z$3,0)),0)</f>
        <v>0</v>
      </c>
      <c r="Q88">
        <f>IFERROR(INDEX(UWS!$G$10:$Z$41,MATCH($C88,UWS!$B$10:$B$41,0),MATCH(Q$4,UWS!$G$3:$Z$3,0)),0)</f>
        <v>0</v>
      </c>
      <c r="R88">
        <f>IFERROR(INDEX(UWS!$G$10:$Z$41,MATCH($C88,UWS!$B$10:$B$41,0),MATCH(R$4,UWS!$G$3:$Z$3,0)),0)</f>
        <v>0</v>
      </c>
      <c r="S88">
        <f>IFERROR(INDEX(UWS!$G$10:$Z$41,MATCH($C88,UWS!$B$10:$B$41,0),MATCH(S$4,UWS!$G$3:$Z$3,0)),0)</f>
        <v>0</v>
      </c>
      <c r="T88">
        <f>IFERROR(INDEX(UWS!$G$10:$Z$41,MATCH($C88,UWS!$B$10:$B$41,0),MATCH(T$4,UWS!$G$3:$Z$3,0)),0)</f>
        <v>0</v>
      </c>
      <c r="U88">
        <f>IFERROR(INDEX(UWS!$G$10:$Z$41,MATCH($C88,UWS!$B$10:$B$41,0),MATCH(U$4,UWS!$G$3:$Z$3,0)),0)</f>
        <v>0</v>
      </c>
      <c r="V88">
        <f>IFERROR(INDEX(UWS!$G$10:$Z$41,MATCH($C88,UWS!$B$10:$B$41,0),MATCH(V$4,UWS!$G$3:$Z$3,0)),0)</f>
        <v>0</v>
      </c>
      <c r="W88">
        <f>IFERROR(INDEX(UWS!$G$10:$Z$41,MATCH($C88,UWS!$B$10:$B$41,0),MATCH(W$4,UWS!$G$3:$Z$3,0)),0)</f>
        <v>0</v>
      </c>
      <c r="X88">
        <f>IFERROR(INDEX(UWS!$G$10:$Z$41,MATCH($C88,UWS!$B$10:$B$41,0),MATCH(X$4,UWS!$G$3:$Z$3,0)),0)</f>
        <v>0</v>
      </c>
      <c r="Y88">
        <f>IFERROR(INDEX(UWS!$G$10:$Z$41,MATCH($C88,UWS!$B$10:$B$41,0),MATCH(Y$4,UWS!$G$3:$Z$3,0)),0)</f>
        <v>0</v>
      </c>
      <c r="Z88">
        <f>IFERROR(INDEX(UWS!$G$10:$Z$41,MATCH($C88,UWS!$B$10:$B$41,0),MATCH(Z$4,UWS!$G$3:$Z$3,0)),0)</f>
        <v>0</v>
      </c>
      <c r="AA88">
        <f>IFERROR(INDEX(UWS!$G$10:$Z$41,MATCH($C88,UWS!$B$10:$B$41,0),MATCH(AA$4,UWS!$G$3:$Z$3,0)),0)</f>
        <v>0</v>
      </c>
      <c r="AB88">
        <f>IFERROR(INDEX(UWS!$G$10:$Z$41,MATCH($C88,UWS!$B$10:$B$41,0),MATCH(AB$4,UWS!$G$3:$Z$3,0)),0)</f>
        <v>0</v>
      </c>
      <c r="AC88">
        <f>IFERROR(INDEX(UWS!$G$10:$Z$41,MATCH($C88,UWS!$B$10:$B$41,0),MATCH(AC$4,UWS!$G$3:$Z$3,0)),0)</f>
        <v>0</v>
      </c>
      <c r="AD88">
        <f>IFERROR(INDEX(UWS!$G$10:$Z$41,MATCH($C88,UWS!$B$10:$B$41,0),MATCH(AD$4,UWS!$G$3:$Z$3,0)),0)</f>
        <v>0</v>
      </c>
      <c r="AE88">
        <f>IFERROR(INDEX(UWS!$G$10:$Z$41,MATCH($C88,UWS!$B$10:$B$41,0),MATCH(AE$4,UWS!$G$3:$Z$3,0)),0)</f>
        <v>0</v>
      </c>
      <c r="AF88">
        <f>IFERROR(INDEX(UWS!$G$10:$Z$41,MATCH($C88,UWS!$B$10:$B$41,0),MATCH(AF$4,UWS!$G$3:$Z$3,0)),0)</f>
        <v>0</v>
      </c>
      <c r="AG88">
        <f>IFERROR(INDEX(UWS!$G$10:$Z$41,MATCH($C88,UWS!$B$10:$B$41,0),MATCH(AG$4,UWS!$G$3:$Z$3,0)),0)</f>
        <v>0</v>
      </c>
      <c r="AH88">
        <f>IFERROR(INDEX(UWS!$G$10:$Z$41,MATCH($C88,UWS!$B$10:$B$41,0),MATCH(AH$4,UWS!$G$3:$Z$3,0)),0)</f>
        <v>0</v>
      </c>
      <c r="AI88">
        <f>IFERROR(INDEX(UWS!$G$10:$Z$41,MATCH($C88,UWS!$B$10:$B$41,0),MATCH(AI$4,UWS!$G$3:$Z$3,0)),0)</f>
        <v>0</v>
      </c>
      <c r="AK88" t="e">
        <f>IF(OR($J88=0,COUNTIFS($A$4:$A87,"&gt;="&amp;$A88-1,$A$4:$A87,"&lt;="&amp;$A88,$B$4:$B87,$B88)&gt;0,MIN(AK$1,IF($A88=$A87,AK87,1))-P88&lt;0),-1,MIN(1,IF($A88=$A87,AK87,1)-P88+$D$3))</f>
        <v>#N/A</v>
      </c>
      <c r="AL88" t="e">
        <f>IF(OR($J88=0,COUNTIFS($A$4:$A87,"&gt;="&amp;$A88-1,$A$4:$A87,"&lt;="&amp;$A88,$B$4:$B87,$B88)&gt;0,MIN(AL$1,IF($A88=$A87,AL87,1))-Q88&lt;0),-1,MIN(1,IF($A88=$A87,AL87,1)-Q88+$D$3))</f>
        <v>#N/A</v>
      </c>
      <c r="AM88" t="e">
        <f>IF(OR($J88=0,COUNTIFS($A$4:$A87,"&gt;="&amp;$A88-1,$A$4:$A87,"&lt;="&amp;$A88,$B$4:$B87,$B88)&gt;0,MIN(AM$1,IF($A88=$A87,AM87,1))-R88&lt;0),-1,MIN(1,IF($A88=$A87,AM87,1)-R88+$D$3))</f>
        <v>#N/A</v>
      </c>
      <c r="AN88" t="e">
        <f>IF(OR($J88=0,COUNTIFS($A$4:$A87,"&gt;="&amp;$A88-1,$A$4:$A87,"&lt;="&amp;$A88,$B$4:$B87,$B88)&gt;0,MIN(AN$1,IF($A88=$A87,AN87,1))-S88&lt;0),-1,MIN(1,IF($A88=$A87,AN87,1)-S88+$D$3))</f>
        <v>#N/A</v>
      </c>
      <c r="AO88" t="e">
        <f>IF(OR($J88=0,COUNTIFS($A$4:$A87,"&gt;="&amp;$A88-1,$A$4:$A87,"&lt;="&amp;$A88,$B$4:$B87,$B88)&gt;0,MIN(AO$1,IF($A88=$A87,AO87,1))-T88&lt;0),-1,MIN(1,IF($A88=$A87,AO87,1)-T88+$D$3))</f>
        <v>#N/A</v>
      </c>
      <c r="AP88" t="e">
        <f>IF(OR($J88=0,COUNTIFS($A$4:$A87,"&gt;="&amp;$A88-1,$A$4:$A87,"&lt;="&amp;$A88,$B$4:$B87,$B88)&gt;0,MIN(AP$1,IF($A88=$A87,AP87,1))-U88&lt;0),-1,MIN(1,IF($A88=$A87,AP87,1)-U88+$D$3))</f>
        <v>#N/A</v>
      </c>
      <c r="AQ88" t="e">
        <f>IF(OR($J88=0,COUNTIFS($A$4:$A87,"&gt;="&amp;$A88-1,$A$4:$A87,"&lt;="&amp;$A88,$B$4:$B87,$B88)&gt;0,MIN(AQ$1,IF($A88=$A87,AQ87,1))-V88&lt;0),-1,MIN(1,IF($A88=$A87,AQ87,1)-V88+$D$3))</f>
        <v>#N/A</v>
      </c>
      <c r="AR88" t="e">
        <f>IF(OR($J88=0,COUNTIFS($A$4:$A87,"&gt;="&amp;$A88-1,$A$4:$A87,"&lt;="&amp;$A88,$B$4:$B87,$B88)&gt;0,MIN(AR$1,IF($A88=$A87,AR87,1))-W88&lt;0),-1,MIN(1,IF($A88=$A87,AR87,1)-W88+$D$3))</f>
        <v>#N/A</v>
      </c>
      <c r="AS88" t="e">
        <f>IF(OR($J88=0,COUNTIFS($A$4:$A87,"&gt;="&amp;$A88-1,$A$4:$A87,"&lt;="&amp;$A88,$B$4:$B87,$B88)&gt;0,MIN(AS$1,IF($A88=$A87,AS87,1))-X88&lt;0),-1,MIN(1,IF($A88=$A87,AS87,1)-X88+$D$3))</f>
        <v>#N/A</v>
      </c>
      <c r="AT88" t="e">
        <f>IF(OR($J88=0,COUNTIFS($A$4:$A87,"&gt;="&amp;$A88-1,$A$4:$A87,"&lt;="&amp;$A88,$B$4:$B87,$B88)&gt;0,MIN(AT$1,IF($A88=$A87,AT87,1))-Y88&lt;0),-1,MIN(1,IF($A88=$A87,AT87,1)-Y88+$D$3))</f>
        <v>#N/A</v>
      </c>
      <c r="AU88" t="e">
        <f>IF(OR($J88=0,COUNTIFS($A$4:$A87,"&gt;="&amp;$A88-1,$A$4:$A87,"&lt;="&amp;$A88,$B$4:$B87,$B88)&gt;0,MIN(AU$1,IF($A88=$A87,AU87,1))-Z88&lt;0),-1,MIN(1,IF($A88=$A87,AU87,1)-Z88+$D$3))</f>
        <v>#N/A</v>
      </c>
      <c r="AV88" t="e">
        <f>IF(OR($J88=0,COUNTIFS($A$4:$A87,"&gt;="&amp;$A88-1,$A$4:$A87,"&lt;="&amp;$A88,$B$4:$B87,$B88)&gt;0,MIN(AV$1,IF($A88=$A87,AV87,1))-AA88&lt;0),-1,MIN(1,IF($A88=$A87,AV87,1)-AA88+$D$3))</f>
        <v>#N/A</v>
      </c>
      <c r="AW88" t="e">
        <f>IF(OR($J88=0,COUNTIFS($A$4:$A87,"&gt;="&amp;$A88-1,$A$4:$A87,"&lt;="&amp;$A88,$B$4:$B87,$B88)&gt;0,MIN(AW$1,IF($A88=$A87,AW87,1))-AB88&lt;0),-1,MIN(1,IF($A88=$A87,AW87,1)-AB88+$D$3))</f>
        <v>#N/A</v>
      </c>
      <c r="AX88" t="e">
        <f>IF(OR($J88=0,COUNTIFS($A$4:$A87,"&gt;="&amp;$A88-1,$A$4:$A87,"&lt;="&amp;$A88,$B$4:$B87,$B88)&gt;0,MIN(AX$1,IF($A88=$A87,AX87,1))-AC88&lt;0),-1,MIN(1,IF($A88=$A87,AX87,1)-AC88+$D$3))</f>
        <v>#N/A</v>
      </c>
      <c r="AY88" t="e">
        <f>IF(OR($J88=0,COUNTIFS($A$4:$A87,"&gt;="&amp;$A88-1,$A$4:$A87,"&lt;="&amp;$A88,$B$4:$B87,$B88)&gt;0,MIN(AY$1,IF($A88=$A87,AY87,1))-AD88&lt;0),-1,MIN(1,IF($A88=$A87,AY87,1)-AD88+$D$3))</f>
        <v>#N/A</v>
      </c>
      <c r="AZ88" t="e">
        <f>IF(OR($J88=0,COUNTIFS($A$4:$A87,"&gt;="&amp;$A88-1,$A$4:$A87,"&lt;="&amp;$A88,$B$4:$B87,$B88)&gt;0,MIN(AZ$1,IF($A88=$A87,AZ87,1))-AE88&lt;0),-1,MIN(1,IF($A88=$A87,AZ87,1)-AE88+$D$3))</f>
        <v>#N/A</v>
      </c>
      <c r="BA88" t="e">
        <f>IF(OR($J88=0,COUNTIFS($A$4:$A87,"&gt;="&amp;$A88-1,$A$4:$A87,"&lt;="&amp;$A88,$B$4:$B87,$B88)&gt;0,MIN(BA$1,IF($A88=$A87,BA87,1))-AF88&lt;0),-1,MIN(1,IF($A88=$A87,BA87,1)-AF88+$D$3))</f>
        <v>#N/A</v>
      </c>
      <c r="BB88" t="e">
        <f>IF(OR($J88=0,COUNTIFS($A$4:$A87,"&gt;="&amp;$A88-1,$A$4:$A87,"&lt;="&amp;$A88,$B$4:$B87,$B88)&gt;0,MIN(BB$1,IF($A88=$A87,BB87,1))-AG88&lt;0),-1,MIN(1,IF($A88=$A87,BB87,1)-AG88+$D$3))</f>
        <v>#N/A</v>
      </c>
      <c r="BC88" t="e">
        <f>IF(OR($J88=0,COUNTIFS($A$4:$A87,"&gt;="&amp;$A88-1,$A$4:$A87,"&lt;="&amp;$A88,$B$4:$B87,$B88)&gt;0,MIN(BC$1,IF($A88=$A87,BC87,1))-AH88&lt;0),-1,MIN(1,IF($A88=$A87,BC87,1)-AH88+$D$3))</f>
        <v>#N/A</v>
      </c>
      <c r="BD88" t="e">
        <f>IF(OR($J88=0,COUNTIFS($A$4:$A87,"&gt;="&amp;$A88-1,$A$4:$A87,"&lt;="&amp;$A88,$B$4:$B87,$B88)&gt;0,MIN(BD$1,IF($A88=$A87,BD87,1))-AI88&lt;0),-1,MIN(1,IF($A88=$A87,BD87,1)-AI88+$D$3))</f>
        <v>#N/A</v>
      </c>
      <c r="BF88" s="44">
        <f t="shared" si="179"/>
        <v>2.8516008665965029E-2</v>
      </c>
      <c r="BG88" s="44">
        <f t="shared" si="180"/>
        <v>7.0128911992903317E-2</v>
      </c>
      <c r="BH88" s="44">
        <f t="shared" si="181"/>
        <v>7.1874757953640345E-2</v>
      </c>
      <c r="BI88" s="44">
        <f t="shared" si="182"/>
        <v>6.6392321164989762E-2</v>
      </c>
      <c r="BJ88" s="44">
        <f t="shared" si="183"/>
        <v>6.8622766942749866E-2</v>
      </c>
      <c r="BK88" s="44">
        <f t="shared" si="184"/>
        <v>2.9469174720936686E-2</v>
      </c>
      <c r="BL88" s="44">
        <f t="shared" si="185"/>
        <v>1.5919711804926188E-2</v>
      </c>
      <c r="BM88" s="44">
        <f t="shared" si="186"/>
        <v>4.0497887806816978E-2</v>
      </c>
      <c r="BN88" s="44">
        <f t="shared" si="187"/>
        <v>4.2120959537410643E-2</v>
      </c>
      <c r="BO88" s="44">
        <f t="shared" si="188"/>
        <v>1.9739479946196958E-2</v>
      </c>
      <c r="BP88" s="44">
        <f t="shared" si="189"/>
        <v>6.6373561519557381E-2</v>
      </c>
      <c r="BQ88" s="44">
        <f t="shared" si="190"/>
        <v>1.7911476700016589E-2</v>
      </c>
      <c r="BR88" s="44">
        <f t="shared" si="191"/>
        <v>5.2914985883367668E-2</v>
      </c>
      <c r="BS88" s="44">
        <f t="shared" si="192"/>
        <v>2.8537754074786714E-2</v>
      </c>
      <c r="BT88" s="44">
        <f t="shared" si="193"/>
        <v>0.1129326418772022</v>
      </c>
      <c r="BU88" s="44">
        <f t="shared" si="194"/>
        <v>0.10788465572348711</v>
      </c>
      <c r="BV88" s="44">
        <f t="shared" si="195"/>
        <v>0.10360885407132613</v>
      </c>
      <c r="BW88" s="44">
        <f t="shared" si="196"/>
        <v>6.7765892201114633E-2</v>
      </c>
      <c r="BX88" s="44">
        <f t="shared" si="197"/>
        <v>5.0064210580249381E-2</v>
      </c>
      <c r="BY88" s="44">
        <f t="shared" si="198"/>
        <v>4.2985879010772582E-2</v>
      </c>
      <c r="CA88" s="44" t="str">
        <f t="shared" si="199"/>
        <v/>
      </c>
      <c r="CB88" s="44" t="str">
        <f t="shared" si="200"/>
        <v/>
      </c>
      <c r="CC88" s="44" t="str">
        <f t="shared" si="201"/>
        <v/>
      </c>
      <c r="CD88" s="44" t="str">
        <f t="shared" si="202"/>
        <v/>
      </c>
      <c r="CE88" s="44" t="str">
        <f t="shared" si="203"/>
        <v/>
      </c>
      <c r="CF88" s="44" t="str">
        <f t="shared" si="204"/>
        <v/>
      </c>
      <c r="CG88" s="44" t="str">
        <f t="shared" si="205"/>
        <v/>
      </c>
      <c r="CH88" s="44" t="str">
        <f t="shared" si="206"/>
        <v/>
      </c>
      <c r="CI88" s="44" t="str">
        <f t="shared" si="207"/>
        <v/>
      </c>
      <c r="CJ88" s="44" t="str">
        <f t="shared" si="208"/>
        <v/>
      </c>
      <c r="CK88" s="44" t="str">
        <f t="shared" si="209"/>
        <v/>
      </c>
      <c r="CL88" s="44" t="str">
        <f t="shared" si="210"/>
        <v/>
      </c>
      <c r="CM88" s="44" t="str">
        <f t="shared" si="211"/>
        <v/>
      </c>
      <c r="CN88" s="44" t="str">
        <f t="shared" si="212"/>
        <v/>
      </c>
      <c r="CO88" s="44" t="str">
        <f t="shared" si="213"/>
        <v/>
      </c>
      <c r="CP88" s="44" t="str">
        <f t="shared" si="214"/>
        <v/>
      </c>
      <c r="CQ88" s="44" t="str">
        <f t="shared" si="215"/>
        <v/>
      </c>
      <c r="CR88" s="44" t="str">
        <f t="shared" si="216"/>
        <v/>
      </c>
      <c r="CS88" s="44" t="str">
        <f t="shared" si="217"/>
        <v/>
      </c>
      <c r="CT88" s="44" t="str">
        <f t="shared" si="218"/>
        <v/>
      </c>
      <c r="CV88" s="44">
        <f t="shared" si="219"/>
        <v>0</v>
      </c>
    </row>
    <row r="89" spans="1:100" x14ac:dyDescent="0.25">
      <c r="A89" s="41"/>
      <c r="B89" s="42"/>
      <c r="C89" s="43" t="str" cm="1">
        <f t="array" ref="C89">IF(B89="","",INDEX(UWS!$B$10:$B$41,B89))</f>
        <v/>
      </c>
      <c r="D89" s="40" t="str">
        <f t="shared" si="176"/>
        <v/>
      </c>
      <c r="E89" s="69" t="str">
        <f t="shared" si="177"/>
        <v/>
      </c>
      <c r="F89" s="48" cm="1">
        <f t="array" ref="F89">0.1+IFERROR(INDEX($F$5:$F88,SUMPRODUCT(MAX(ROW($C$5:$C88)*($C89=$C$5:$C88))-ROW($A$4)))*0.9^($A89-INDEX($A$5:A88,SUMPRODUCT(MAX(ROW($C$5:$C88)*($C89=$C$5:$C88))-ROW($A$4)))),0)</f>
        <v>2.4000000000000008</v>
      </c>
      <c r="G89" s="55" t="e">
        <f>INDEX(UWS!$AB$10:$AB$41,MATCH(C89,UWS!$B$10:$B$41,0))</f>
        <v>#N/A</v>
      </c>
      <c r="H89" s="48" t="e">
        <f>INDEX(UWS!$C$10:$C$41,MATCH(C89,UWS!$B$10:$B$41,0))</f>
        <v>#N/A</v>
      </c>
      <c r="I89" s="27">
        <f t="shared" si="178"/>
        <v>5</v>
      </c>
      <c r="J89" s="27" t="e">
        <f>INDEX(UWS!$E$10:$E$41,MATCH(C89,UWS!$B$10:$B$41,0))</f>
        <v>#N/A</v>
      </c>
      <c r="L89" s="108" t="str" cm="1">
        <f t="array" ref="L89">IF(K89="","",INDEX(UWS!$B$10:$B$41,K89))</f>
        <v/>
      </c>
      <c r="N89" s="108" t="str" cm="1">
        <f t="array" ref="N89">IF(M89="","",INDEX(UWS!$B$10:$B$41,M89))</f>
        <v/>
      </c>
      <c r="P89">
        <f>IFERROR(INDEX(UWS!$G$10:$Z$41,MATCH($C89,UWS!$B$10:$B$41,0),MATCH(P$4,UWS!$G$3:$Z$3,0)),0)</f>
        <v>0</v>
      </c>
      <c r="Q89">
        <f>IFERROR(INDEX(UWS!$G$10:$Z$41,MATCH($C89,UWS!$B$10:$B$41,0),MATCH(Q$4,UWS!$G$3:$Z$3,0)),0)</f>
        <v>0</v>
      </c>
      <c r="R89">
        <f>IFERROR(INDEX(UWS!$G$10:$Z$41,MATCH($C89,UWS!$B$10:$B$41,0),MATCH(R$4,UWS!$G$3:$Z$3,0)),0)</f>
        <v>0</v>
      </c>
      <c r="S89">
        <f>IFERROR(INDEX(UWS!$G$10:$Z$41,MATCH($C89,UWS!$B$10:$B$41,0),MATCH(S$4,UWS!$G$3:$Z$3,0)),0)</f>
        <v>0</v>
      </c>
      <c r="T89">
        <f>IFERROR(INDEX(UWS!$G$10:$Z$41,MATCH($C89,UWS!$B$10:$B$41,0),MATCH(T$4,UWS!$G$3:$Z$3,0)),0)</f>
        <v>0</v>
      </c>
      <c r="U89">
        <f>IFERROR(INDEX(UWS!$G$10:$Z$41,MATCH($C89,UWS!$B$10:$B$41,0),MATCH(U$4,UWS!$G$3:$Z$3,0)),0)</f>
        <v>0</v>
      </c>
      <c r="V89">
        <f>IFERROR(INDEX(UWS!$G$10:$Z$41,MATCH($C89,UWS!$B$10:$B$41,0),MATCH(V$4,UWS!$G$3:$Z$3,0)),0)</f>
        <v>0</v>
      </c>
      <c r="W89">
        <f>IFERROR(INDEX(UWS!$G$10:$Z$41,MATCH($C89,UWS!$B$10:$B$41,0),MATCH(W$4,UWS!$G$3:$Z$3,0)),0)</f>
        <v>0</v>
      </c>
      <c r="X89">
        <f>IFERROR(INDEX(UWS!$G$10:$Z$41,MATCH($C89,UWS!$B$10:$B$41,0),MATCH(X$4,UWS!$G$3:$Z$3,0)),0)</f>
        <v>0</v>
      </c>
      <c r="Y89">
        <f>IFERROR(INDEX(UWS!$G$10:$Z$41,MATCH($C89,UWS!$B$10:$B$41,0),MATCH(Y$4,UWS!$G$3:$Z$3,0)),0)</f>
        <v>0</v>
      </c>
      <c r="Z89">
        <f>IFERROR(INDEX(UWS!$G$10:$Z$41,MATCH($C89,UWS!$B$10:$B$41,0),MATCH(Z$4,UWS!$G$3:$Z$3,0)),0)</f>
        <v>0</v>
      </c>
      <c r="AA89">
        <f>IFERROR(INDEX(UWS!$G$10:$Z$41,MATCH($C89,UWS!$B$10:$B$41,0),MATCH(AA$4,UWS!$G$3:$Z$3,0)),0)</f>
        <v>0</v>
      </c>
      <c r="AB89">
        <f>IFERROR(INDEX(UWS!$G$10:$Z$41,MATCH($C89,UWS!$B$10:$B$41,0),MATCH(AB$4,UWS!$G$3:$Z$3,0)),0)</f>
        <v>0</v>
      </c>
      <c r="AC89">
        <f>IFERROR(INDEX(UWS!$G$10:$Z$41,MATCH($C89,UWS!$B$10:$B$41,0),MATCH(AC$4,UWS!$G$3:$Z$3,0)),0)</f>
        <v>0</v>
      </c>
      <c r="AD89">
        <f>IFERROR(INDEX(UWS!$G$10:$Z$41,MATCH($C89,UWS!$B$10:$B$41,0),MATCH(AD$4,UWS!$G$3:$Z$3,0)),0)</f>
        <v>0</v>
      </c>
      <c r="AE89">
        <f>IFERROR(INDEX(UWS!$G$10:$Z$41,MATCH($C89,UWS!$B$10:$B$41,0),MATCH(AE$4,UWS!$G$3:$Z$3,0)),0)</f>
        <v>0</v>
      </c>
      <c r="AF89">
        <f>IFERROR(INDEX(UWS!$G$10:$Z$41,MATCH($C89,UWS!$B$10:$B$41,0),MATCH(AF$4,UWS!$G$3:$Z$3,0)),0)</f>
        <v>0</v>
      </c>
      <c r="AG89">
        <f>IFERROR(INDEX(UWS!$G$10:$Z$41,MATCH($C89,UWS!$B$10:$B$41,0),MATCH(AG$4,UWS!$G$3:$Z$3,0)),0)</f>
        <v>0</v>
      </c>
      <c r="AH89">
        <f>IFERROR(INDEX(UWS!$G$10:$Z$41,MATCH($C89,UWS!$B$10:$B$41,0),MATCH(AH$4,UWS!$G$3:$Z$3,0)),0)</f>
        <v>0</v>
      </c>
      <c r="AI89">
        <f>IFERROR(INDEX(UWS!$G$10:$Z$41,MATCH($C89,UWS!$B$10:$B$41,0),MATCH(AI$4,UWS!$G$3:$Z$3,0)),0)</f>
        <v>0</v>
      </c>
      <c r="AK89" t="e">
        <f>IF(OR($J89=0,COUNTIFS($A$4:$A88,"&gt;="&amp;$A89-1,$A$4:$A88,"&lt;="&amp;$A89,$B$4:$B88,$B89)&gt;0,MIN(AK$1,IF($A89=$A88,AK88,1))-P89&lt;0),-1,MIN(1,IF($A89=$A88,AK88,1)-P89+$D$3))</f>
        <v>#N/A</v>
      </c>
      <c r="AL89" t="e">
        <f>IF(OR($J89=0,COUNTIFS($A$4:$A88,"&gt;="&amp;$A89-1,$A$4:$A88,"&lt;="&amp;$A89,$B$4:$B88,$B89)&gt;0,MIN(AL$1,IF($A89=$A88,AL88,1))-Q89&lt;0),-1,MIN(1,IF($A89=$A88,AL88,1)-Q89+$D$3))</f>
        <v>#N/A</v>
      </c>
      <c r="AM89" t="e">
        <f>IF(OR($J89=0,COUNTIFS($A$4:$A88,"&gt;="&amp;$A89-1,$A$4:$A88,"&lt;="&amp;$A89,$B$4:$B88,$B89)&gt;0,MIN(AM$1,IF($A89=$A88,AM88,1))-R89&lt;0),-1,MIN(1,IF($A89=$A88,AM88,1)-R89+$D$3))</f>
        <v>#N/A</v>
      </c>
      <c r="AN89" t="e">
        <f>IF(OR($J89=0,COUNTIFS($A$4:$A88,"&gt;="&amp;$A89-1,$A$4:$A88,"&lt;="&amp;$A89,$B$4:$B88,$B89)&gt;0,MIN(AN$1,IF($A89=$A88,AN88,1))-S89&lt;0),-1,MIN(1,IF($A89=$A88,AN88,1)-S89+$D$3))</f>
        <v>#N/A</v>
      </c>
      <c r="AO89" t="e">
        <f>IF(OR($J89=0,COUNTIFS($A$4:$A88,"&gt;="&amp;$A89-1,$A$4:$A88,"&lt;="&amp;$A89,$B$4:$B88,$B89)&gt;0,MIN(AO$1,IF($A89=$A88,AO88,1))-T89&lt;0),-1,MIN(1,IF($A89=$A88,AO88,1)-T89+$D$3))</f>
        <v>#N/A</v>
      </c>
      <c r="AP89" t="e">
        <f>IF(OR($J89=0,COUNTIFS($A$4:$A88,"&gt;="&amp;$A89-1,$A$4:$A88,"&lt;="&amp;$A89,$B$4:$B88,$B89)&gt;0,MIN(AP$1,IF($A89=$A88,AP88,1))-U89&lt;0),-1,MIN(1,IF($A89=$A88,AP88,1)-U89+$D$3))</f>
        <v>#N/A</v>
      </c>
      <c r="AQ89" t="e">
        <f>IF(OR($J89=0,COUNTIFS($A$4:$A88,"&gt;="&amp;$A89-1,$A$4:$A88,"&lt;="&amp;$A89,$B$4:$B88,$B89)&gt;0,MIN(AQ$1,IF($A89=$A88,AQ88,1))-V89&lt;0),-1,MIN(1,IF($A89=$A88,AQ88,1)-V89+$D$3))</f>
        <v>#N/A</v>
      </c>
      <c r="AR89" t="e">
        <f>IF(OR($J89=0,COUNTIFS($A$4:$A88,"&gt;="&amp;$A89-1,$A$4:$A88,"&lt;="&amp;$A89,$B$4:$B88,$B89)&gt;0,MIN(AR$1,IF($A89=$A88,AR88,1))-W89&lt;0),-1,MIN(1,IF($A89=$A88,AR88,1)-W89+$D$3))</f>
        <v>#N/A</v>
      </c>
      <c r="AS89" t="e">
        <f>IF(OR($J89=0,COUNTIFS($A$4:$A88,"&gt;="&amp;$A89-1,$A$4:$A88,"&lt;="&amp;$A89,$B$4:$B88,$B89)&gt;0,MIN(AS$1,IF($A89=$A88,AS88,1))-X89&lt;0),-1,MIN(1,IF($A89=$A88,AS88,1)-X89+$D$3))</f>
        <v>#N/A</v>
      </c>
      <c r="AT89" t="e">
        <f>IF(OR($J89=0,COUNTIFS($A$4:$A88,"&gt;="&amp;$A89-1,$A$4:$A88,"&lt;="&amp;$A89,$B$4:$B88,$B89)&gt;0,MIN(AT$1,IF($A89=$A88,AT88,1))-Y89&lt;0),-1,MIN(1,IF($A89=$A88,AT88,1)-Y89+$D$3))</f>
        <v>#N/A</v>
      </c>
      <c r="AU89" t="e">
        <f>IF(OR($J89=0,COUNTIFS($A$4:$A88,"&gt;="&amp;$A89-1,$A$4:$A88,"&lt;="&amp;$A89,$B$4:$B88,$B89)&gt;0,MIN(AU$1,IF($A89=$A88,AU88,1))-Z89&lt;0),-1,MIN(1,IF($A89=$A88,AU88,1)-Z89+$D$3))</f>
        <v>#N/A</v>
      </c>
      <c r="AV89" t="e">
        <f>IF(OR($J89=0,COUNTIFS($A$4:$A88,"&gt;="&amp;$A89-1,$A$4:$A88,"&lt;="&amp;$A89,$B$4:$B88,$B89)&gt;0,MIN(AV$1,IF($A89=$A88,AV88,1))-AA89&lt;0),-1,MIN(1,IF($A89=$A88,AV88,1)-AA89+$D$3))</f>
        <v>#N/A</v>
      </c>
      <c r="AW89" t="e">
        <f>IF(OR($J89=0,COUNTIFS($A$4:$A88,"&gt;="&amp;$A89-1,$A$4:$A88,"&lt;="&amp;$A89,$B$4:$B88,$B89)&gt;0,MIN(AW$1,IF($A89=$A88,AW88,1))-AB89&lt;0),-1,MIN(1,IF($A89=$A88,AW88,1)-AB89+$D$3))</f>
        <v>#N/A</v>
      </c>
      <c r="AX89" t="e">
        <f>IF(OR($J89=0,COUNTIFS($A$4:$A88,"&gt;="&amp;$A89-1,$A$4:$A88,"&lt;="&amp;$A89,$B$4:$B88,$B89)&gt;0,MIN(AX$1,IF($A89=$A88,AX88,1))-AC89&lt;0),-1,MIN(1,IF($A89=$A88,AX88,1)-AC89+$D$3))</f>
        <v>#N/A</v>
      </c>
      <c r="AY89" t="e">
        <f>IF(OR($J89=0,COUNTIFS($A$4:$A88,"&gt;="&amp;$A89-1,$A$4:$A88,"&lt;="&amp;$A89,$B$4:$B88,$B89)&gt;0,MIN(AY$1,IF($A89=$A88,AY88,1))-AD89&lt;0),-1,MIN(1,IF($A89=$A88,AY88,1)-AD89+$D$3))</f>
        <v>#N/A</v>
      </c>
      <c r="AZ89" t="e">
        <f>IF(OR($J89=0,COUNTIFS($A$4:$A88,"&gt;="&amp;$A89-1,$A$4:$A88,"&lt;="&amp;$A89,$B$4:$B88,$B89)&gt;0,MIN(AZ$1,IF($A89=$A88,AZ88,1))-AE89&lt;0),-1,MIN(1,IF($A89=$A88,AZ88,1)-AE89+$D$3))</f>
        <v>#N/A</v>
      </c>
      <c r="BA89" t="e">
        <f>IF(OR($J89=0,COUNTIFS($A$4:$A88,"&gt;="&amp;$A89-1,$A$4:$A88,"&lt;="&amp;$A89,$B$4:$B88,$B89)&gt;0,MIN(BA$1,IF($A89=$A88,BA88,1))-AF89&lt;0),-1,MIN(1,IF($A89=$A88,BA88,1)-AF89+$D$3))</f>
        <v>#N/A</v>
      </c>
      <c r="BB89" t="e">
        <f>IF(OR($J89=0,COUNTIFS($A$4:$A88,"&gt;="&amp;$A89-1,$A$4:$A88,"&lt;="&amp;$A89,$B$4:$B88,$B89)&gt;0,MIN(BB$1,IF($A89=$A88,BB88,1))-AG89&lt;0),-1,MIN(1,IF($A89=$A88,BB88,1)-AG89+$D$3))</f>
        <v>#N/A</v>
      </c>
      <c r="BC89" t="e">
        <f>IF(OR($J89=0,COUNTIFS($A$4:$A88,"&gt;="&amp;$A89-1,$A$4:$A88,"&lt;="&amp;$A89,$B$4:$B88,$B89)&gt;0,MIN(BC$1,IF($A89=$A88,BC88,1))-AH89&lt;0),-1,MIN(1,IF($A89=$A88,BC88,1)-AH89+$D$3))</f>
        <v>#N/A</v>
      </c>
      <c r="BD89" t="e">
        <f>IF(OR($J89=0,COUNTIFS($A$4:$A88,"&gt;="&amp;$A89-1,$A$4:$A88,"&lt;="&amp;$A89,$B$4:$B88,$B89)&gt;0,MIN(BD$1,IF($A89=$A88,BD88,1))-AI89&lt;0),-1,MIN(1,IF($A89=$A88,BD88,1)-AI89+$D$3))</f>
        <v>#N/A</v>
      </c>
      <c r="BF89" s="44">
        <f t="shared" si="179"/>
        <v>2.7090208232666776E-2</v>
      </c>
      <c r="BG89" s="44">
        <f t="shared" si="180"/>
        <v>6.6622466393258153E-2</v>
      </c>
      <c r="BH89" s="44">
        <f t="shared" si="181"/>
        <v>6.8281020055958319E-2</v>
      </c>
      <c r="BI89" s="44">
        <f t="shared" si="182"/>
        <v>6.3072705106740276E-2</v>
      </c>
      <c r="BJ89" s="44">
        <f t="shared" si="183"/>
        <v>6.5191628595612366E-2</v>
      </c>
      <c r="BK89" s="44">
        <f t="shared" si="184"/>
        <v>2.7995715984889851E-2</v>
      </c>
      <c r="BL89" s="44">
        <f t="shared" si="185"/>
        <v>1.5123726214679877E-2</v>
      </c>
      <c r="BM89" s="44">
        <f t="shared" si="186"/>
        <v>3.8472993416476128E-2</v>
      </c>
      <c r="BN89" s="44">
        <f t="shared" si="187"/>
        <v>4.0014911560540108E-2</v>
      </c>
      <c r="BO89" s="44">
        <f t="shared" si="188"/>
        <v>1.875250594888711E-2</v>
      </c>
      <c r="BP89" s="44">
        <f t="shared" si="189"/>
        <v>6.3054883443579512E-2</v>
      </c>
      <c r="BQ89" s="44">
        <f t="shared" si="190"/>
        <v>1.701590286501576E-2</v>
      </c>
      <c r="BR89" s="44">
        <f t="shared" si="191"/>
        <v>5.0269236589199282E-2</v>
      </c>
      <c r="BS89" s="44">
        <f t="shared" si="192"/>
        <v>2.7110866371047378E-2</v>
      </c>
      <c r="BT89" s="44">
        <f t="shared" si="193"/>
        <v>0.10728600978334209</v>
      </c>
      <c r="BU89" s="44">
        <f t="shared" si="194"/>
        <v>0.10249042293731275</v>
      </c>
      <c r="BV89" s="44">
        <f t="shared" si="195"/>
        <v>9.8428411367759816E-2</v>
      </c>
      <c r="BW89" s="44">
        <f t="shared" si="196"/>
        <v>6.4377597591058905E-2</v>
      </c>
      <c r="BX89" s="44">
        <f t="shared" si="197"/>
        <v>4.756100005123691E-2</v>
      </c>
      <c r="BY89" s="44">
        <f t="shared" si="198"/>
        <v>4.0836585060233951E-2</v>
      </c>
      <c r="CA89" s="44" t="str">
        <f t="shared" si="199"/>
        <v/>
      </c>
      <c r="CB89" s="44" t="str">
        <f t="shared" si="200"/>
        <v/>
      </c>
      <c r="CC89" s="44" t="str">
        <f t="shared" si="201"/>
        <v/>
      </c>
      <c r="CD89" s="44" t="str">
        <f t="shared" si="202"/>
        <v/>
      </c>
      <c r="CE89" s="44" t="str">
        <f t="shared" si="203"/>
        <v/>
      </c>
      <c r="CF89" s="44" t="str">
        <f t="shared" si="204"/>
        <v/>
      </c>
      <c r="CG89" s="44" t="str">
        <f t="shared" si="205"/>
        <v/>
      </c>
      <c r="CH89" s="44" t="str">
        <f t="shared" si="206"/>
        <v/>
      </c>
      <c r="CI89" s="44" t="str">
        <f t="shared" si="207"/>
        <v/>
      </c>
      <c r="CJ89" s="44" t="str">
        <f t="shared" si="208"/>
        <v/>
      </c>
      <c r="CK89" s="44" t="str">
        <f t="shared" si="209"/>
        <v/>
      </c>
      <c r="CL89" s="44" t="str">
        <f t="shared" si="210"/>
        <v/>
      </c>
      <c r="CM89" s="44" t="str">
        <f t="shared" si="211"/>
        <v/>
      </c>
      <c r="CN89" s="44" t="str">
        <f t="shared" si="212"/>
        <v/>
      </c>
      <c r="CO89" s="44" t="str">
        <f t="shared" si="213"/>
        <v/>
      </c>
      <c r="CP89" s="44" t="str">
        <f t="shared" si="214"/>
        <v/>
      </c>
      <c r="CQ89" s="44" t="str">
        <f t="shared" si="215"/>
        <v/>
      </c>
      <c r="CR89" s="44" t="str">
        <f t="shared" si="216"/>
        <v/>
      </c>
      <c r="CS89" s="44" t="str">
        <f t="shared" si="217"/>
        <v/>
      </c>
      <c r="CT89" s="44" t="str">
        <f t="shared" si="218"/>
        <v/>
      </c>
      <c r="CV89" s="44">
        <f t="shared" si="219"/>
        <v>0</v>
      </c>
    </row>
    <row r="90" spans="1:100" x14ac:dyDescent="0.25">
      <c r="A90" s="49"/>
      <c r="B90" s="50"/>
      <c r="C90" s="51" t="str" cm="1">
        <f t="array" ref="C90">IF(B90="","",INDEX(UWS!$B$10:$B$41,B90))</f>
        <v/>
      </c>
      <c r="D90" s="45" t="str">
        <f t="shared" si="176"/>
        <v/>
      </c>
      <c r="E90" s="70" t="str">
        <f t="shared" si="177"/>
        <v/>
      </c>
      <c r="F90" s="52" cm="1">
        <f t="array" ref="F90">0.1+IFERROR(INDEX($F$5:$F89,SUMPRODUCT(MAX(ROW($C$5:$C89)*($C90=$C$5:$C89))-ROW($A$4)))*0.9^($A90-INDEX($A$5:A89,SUMPRODUCT(MAX(ROW($C$5:$C89)*($C90=$C$5:$C89))-ROW($A$4)))),0)</f>
        <v>2.5000000000000009</v>
      </c>
      <c r="G90" s="56" t="e">
        <f>INDEX(UWS!$AB$10:$AB$41,MATCH(C90,UWS!$B$10:$B$41,0))</f>
        <v>#N/A</v>
      </c>
      <c r="H90" s="52" t="e">
        <f>INDEX(UWS!$C$10:$C$41,MATCH(C90,UWS!$B$10:$B$41,0))</f>
        <v>#N/A</v>
      </c>
      <c r="I90" s="46">
        <f t="shared" si="178"/>
        <v>5</v>
      </c>
      <c r="J90" s="46" t="e">
        <f>INDEX(UWS!$E$10:$E$41,MATCH(C90,UWS!$B$10:$B$41,0))</f>
        <v>#N/A</v>
      </c>
      <c r="K90" s="46"/>
      <c r="L90" s="109" t="str" cm="1">
        <f t="array" ref="L90">IF(K90="","",INDEX(UWS!$B$10:$B$41,K90))</f>
        <v/>
      </c>
      <c r="M90" s="46"/>
      <c r="N90" s="109" t="str" cm="1">
        <f t="array" ref="N90">IF(M90="","",INDEX(UWS!$B$10:$B$41,M90))</f>
        <v/>
      </c>
      <c r="O90" s="47"/>
      <c r="P90" s="47">
        <f>IFERROR(INDEX(UWS!$G$10:$Z$41,MATCH($C90,UWS!$B$10:$B$41,0),MATCH(P$4,UWS!$G$3:$Z$3,0)),0)</f>
        <v>0</v>
      </c>
      <c r="Q90" s="47">
        <f>IFERROR(INDEX(UWS!$G$10:$Z$41,MATCH($C90,UWS!$B$10:$B$41,0),MATCH(Q$4,UWS!$G$3:$Z$3,0)),0)</f>
        <v>0</v>
      </c>
      <c r="R90" s="47">
        <f>IFERROR(INDEX(UWS!$G$10:$Z$41,MATCH($C90,UWS!$B$10:$B$41,0),MATCH(R$4,UWS!$G$3:$Z$3,0)),0)</f>
        <v>0</v>
      </c>
      <c r="S90" s="47">
        <f>IFERROR(INDEX(UWS!$G$10:$Z$41,MATCH($C90,UWS!$B$10:$B$41,0),MATCH(S$4,UWS!$G$3:$Z$3,0)),0)</f>
        <v>0</v>
      </c>
      <c r="T90" s="47">
        <f>IFERROR(INDEX(UWS!$G$10:$Z$41,MATCH($C90,UWS!$B$10:$B$41,0),MATCH(T$4,UWS!$G$3:$Z$3,0)),0)</f>
        <v>0</v>
      </c>
      <c r="U90" s="47">
        <f>IFERROR(INDEX(UWS!$G$10:$Z$41,MATCH($C90,UWS!$B$10:$B$41,0),MATCH(U$4,UWS!$G$3:$Z$3,0)),0)</f>
        <v>0</v>
      </c>
      <c r="V90" s="47">
        <f>IFERROR(INDEX(UWS!$G$10:$Z$41,MATCH($C90,UWS!$B$10:$B$41,0),MATCH(V$4,UWS!$G$3:$Z$3,0)),0)</f>
        <v>0</v>
      </c>
      <c r="W90" s="47">
        <f>IFERROR(INDEX(UWS!$G$10:$Z$41,MATCH($C90,UWS!$B$10:$B$41,0),MATCH(W$4,UWS!$G$3:$Z$3,0)),0)</f>
        <v>0</v>
      </c>
      <c r="X90" s="47">
        <f>IFERROR(INDEX(UWS!$G$10:$Z$41,MATCH($C90,UWS!$B$10:$B$41,0),MATCH(X$4,UWS!$G$3:$Z$3,0)),0)</f>
        <v>0</v>
      </c>
      <c r="Y90" s="47">
        <f>IFERROR(INDEX(UWS!$G$10:$Z$41,MATCH($C90,UWS!$B$10:$B$41,0),MATCH(Y$4,UWS!$G$3:$Z$3,0)),0)</f>
        <v>0</v>
      </c>
      <c r="Z90" s="47">
        <f>IFERROR(INDEX(UWS!$G$10:$Z$41,MATCH($C90,UWS!$B$10:$B$41,0),MATCH(Z$4,UWS!$G$3:$Z$3,0)),0)</f>
        <v>0</v>
      </c>
      <c r="AA90" s="47">
        <f>IFERROR(INDEX(UWS!$G$10:$Z$41,MATCH($C90,UWS!$B$10:$B$41,0),MATCH(AA$4,UWS!$G$3:$Z$3,0)),0)</f>
        <v>0</v>
      </c>
      <c r="AB90" s="47">
        <f>IFERROR(INDEX(UWS!$G$10:$Z$41,MATCH($C90,UWS!$B$10:$B$41,0),MATCH(AB$4,UWS!$G$3:$Z$3,0)),0)</f>
        <v>0</v>
      </c>
      <c r="AC90" s="47">
        <f>IFERROR(INDEX(UWS!$G$10:$Z$41,MATCH($C90,UWS!$B$10:$B$41,0),MATCH(AC$4,UWS!$G$3:$Z$3,0)),0)</f>
        <v>0</v>
      </c>
      <c r="AD90" s="47">
        <f>IFERROR(INDEX(UWS!$G$10:$Z$41,MATCH($C90,UWS!$B$10:$B$41,0),MATCH(AD$4,UWS!$G$3:$Z$3,0)),0)</f>
        <v>0</v>
      </c>
      <c r="AE90" s="47">
        <f>IFERROR(INDEX(UWS!$G$10:$Z$41,MATCH($C90,UWS!$B$10:$B$41,0),MATCH(AE$4,UWS!$G$3:$Z$3,0)),0)</f>
        <v>0</v>
      </c>
      <c r="AF90" s="47">
        <f>IFERROR(INDEX(UWS!$G$10:$Z$41,MATCH($C90,UWS!$B$10:$B$41,0),MATCH(AF$4,UWS!$G$3:$Z$3,0)),0)</f>
        <v>0</v>
      </c>
      <c r="AG90" s="47">
        <f>IFERROR(INDEX(UWS!$G$10:$Z$41,MATCH($C90,UWS!$B$10:$B$41,0),MATCH(AG$4,UWS!$G$3:$Z$3,0)),0)</f>
        <v>0</v>
      </c>
      <c r="AH90" s="47">
        <f>IFERROR(INDEX(UWS!$G$10:$Z$41,MATCH($C90,UWS!$B$10:$B$41,0),MATCH(AH$4,UWS!$G$3:$Z$3,0)),0)</f>
        <v>0</v>
      </c>
      <c r="AI90" s="47">
        <f>IFERROR(INDEX(UWS!$G$10:$Z$41,MATCH($C90,UWS!$B$10:$B$41,0),MATCH(AI$4,UWS!$G$3:$Z$3,0)),0)</f>
        <v>0</v>
      </c>
      <c r="AJ90" s="47"/>
      <c r="AK90" s="47" t="e">
        <f>IF(OR($J90=0,COUNTIFS($A$4:$A89,"&gt;="&amp;$A90-1,$A$4:$A89,"&lt;="&amp;$A90,$B$4:$B89,$B90)&gt;0,MIN(AK$1,IF($A90=$A89,AK89,1))-P90&lt;0),-1,MIN(1,IF($A90=$A89,AK89,1)-P90+$D$3))</f>
        <v>#N/A</v>
      </c>
      <c r="AL90" s="47" t="e">
        <f>IF(OR($J90=0,COUNTIFS($A$4:$A89,"&gt;="&amp;$A90-1,$A$4:$A89,"&lt;="&amp;$A90,$B$4:$B89,$B90)&gt;0,MIN(AL$1,IF($A90=$A89,AL89,1))-Q90&lt;0),-1,MIN(1,IF($A90=$A89,AL89,1)-Q90+$D$3))</f>
        <v>#N/A</v>
      </c>
      <c r="AM90" s="47" t="e">
        <f>IF(OR($J90=0,COUNTIFS($A$4:$A89,"&gt;="&amp;$A90-1,$A$4:$A89,"&lt;="&amp;$A90,$B$4:$B89,$B90)&gt;0,MIN(AM$1,IF($A90=$A89,AM89,1))-R90&lt;0),-1,MIN(1,IF($A90=$A89,AM89,1)-R90+$D$3))</f>
        <v>#N/A</v>
      </c>
      <c r="AN90" s="47" t="e">
        <f>IF(OR($J90=0,COUNTIFS($A$4:$A89,"&gt;="&amp;$A90-1,$A$4:$A89,"&lt;="&amp;$A90,$B$4:$B89,$B90)&gt;0,MIN(AN$1,IF($A90=$A89,AN89,1))-S90&lt;0),-1,MIN(1,IF($A90=$A89,AN89,1)-S90+$D$3))</f>
        <v>#N/A</v>
      </c>
      <c r="AO90" s="47" t="e">
        <f>IF(OR($J90=0,COUNTIFS($A$4:$A89,"&gt;="&amp;$A90-1,$A$4:$A89,"&lt;="&amp;$A90,$B$4:$B89,$B90)&gt;0,MIN(AO$1,IF($A90=$A89,AO89,1))-T90&lt;0),-1,MIN(1,IF($A90=$A89,AO89,1)-T90+$D$3))</f>
        <v>#N/A</v>
      </c>
      <c r="AP90" s="47" t="e">
        <f>IF(OR($J90=0,COUNTIFS($A$4:$A89,"&gt;="&amp;$A90-1,$A$4:$A89,"&lt;="&amp;$A90,$B$4:$B89,$B90)&gt;0,MIN(AP$1,IF($A90=$A89,AP89,1))-U90&lt;0),-1,MIN(1,IF($A90=$A89,AP89,1)-U90+$D$3))</f>
        <v>#N/A</v>
      </c>
      <c r="AQ90" s="47" t="e">
        <f>IF(OR($J90=0,COUNTIFS($A$4:$A89,"&gt;="&amp;$A90-1,$A$4:$A89,"&lt;="&amp;$A90,$B$4:$B89,$B90)&gt;0,MIN(AQ$1,IF($A90=$A89,AQ89,1))-V90&lt;0),-1,MIN(1,IF($A90=$A89,AQ89,1)-V90+$D$3))</f>
        <v>#N/A</v>
      </c>
      <c r="AR90" s="47" t="e">
        <f>IF(OR($J90=0,COUNTIFS($A$4:$A89,"&gt;="&amp;$A90-1,$A$4:$A89,"&lt;="&amp;$A90,$B$4:$B89,$B90)&gt;0,MIN(AR$1,IF($A90=$A89,AR89,1))-W90&lt;0),-1,MIN(1,IF($A90=$A89,AR89,1)-W90+$D$3))</f>
        <v>#N/A</v>
      </c>
      <c r="AS90" s="47" t="e">
        <f>IF(OR($J90=0,COUNTIFS($A$4:$A89,"&gt;="&amp;$A90-1,$A$4:$A89,"&lt;="&amp;$A90,$B$4:$B89,$B90)&gt;0,MIN(AS$1,IF($A90=$A89,AS89,1))-X90&lt;0),-1,MIN(1,IF($A90=$A89,AS89,1)-X90+$D$3))</f>
        <v>#N/A</v>
      </c>
      <c r="AT90" s="47" t="e">
        <f>IF(OR($J90=0,COUNTIFS($A$4:$A89,"&gt;="&amp;$A90-1,$A$4:$A89,"&lt;="&amp;$A90,$B$4:$B89,$B90)&gt;0,MIN(AT$1,IF($A90=$A89,AT89,1))-Y90&lt;0),-1,MIN(1,IF($A90=$A89,AT89,1)-Y90+$D$3))</f>
        <v>#N/A</v>
      </c>
      <c r="AU90" s="47" t="e">
        <f>IF(OR($J90=0,COUNTIFS($A$4:$A89,"&gt;="&amp;$A90-1,$A$4:$A89,"&lt;="&amp;$A90,$B$4:$B89,$B90)&gt;0,MIN(AU$1,IF($A90=$A89,AU89,1))-Z90&lt;0),-1,MIN(1,IF($A90=$A89,AU89,1)-Z90+$D$3))</f>
        <v>#N/A</v>
      </c>
      <c r="AV90" s="47" t="e">
        <f>IF(OR($J90=0,COUNTIFS($A$4:$A89,"&gt;="&amp;$A90-1,$A$4:$A89,"&lt;="&amp;$A90,$B$4:$B89,$B90)&gt;0,MIN(AV$1,IF($A90=$A89,AV89,1))-AA90&lt;0),-1,MIN(1,IF($A90=$A89,AV89,1)-AA90+$D$3))</f>
        <v>#N/A</v>
      </c>
      <c r="AW90" s="47" t="e">
        <f>IF(OR($J90=0,COUNTIFS($A$4:$A89,"&gt;="&amp;$A90-1,$A$4:$A89,"&lt;="&amp;$A90,$B$4:$B89,$B90)&gt;0,MIN(AW$1,IF($A90=$A89,AW89,1))-AB90&lt;0),-1,MIN(1,IF($A90=$A89,AW89,1)-AB90+$D$3))</f>
        <v>#N/A</v>
      </c>
      <c r="AX90" s="47" t="e">
        <f>IF(OR($J90=0,COUNTIFS($A$4:$A89,"&gt;="&amp;$A90-1,$A$4:$A89,"&lt;="&amp;$A90,$B$4:$B89,$B90)&gt;0,MIN(AX$1,IF($A90=$A89,AX89,1))-AC90&lt;0),-1,MIN(1,IF($A90=$A89,AX89,1)-AC90+$D$3))</f>
        <v>#N/A</v>
      </c>
      <c r="AY90" s="47" t="e">
        <f>IF(OR($J90=0,COUNTIFS($A$4:$A89,"&gt;="&amp;$A90-1,$A$4:$A89,"&lt;="&amp;$A90,$B$4:$B89,$B90)&gt;0,MIN(AY$1,IF($A90=$A89,AY89,1))-AD90&lt;0),-1,MIN(1,IF($A90=$A89,AY89,1)-AD90+$D$3))</f>
        <v>#N/A</v>
      </c>
      <c r="AZ90" s="47" t="e">
        <f>IF(OR($J90=0,COUNTIFS($A$4:$A89,"&gt;="&amp;$A90-1,$A$4:$A89,"&lt;="&amp;$A90,$B$4:$B89,$B90)&gt;0,MIN(AZ$1,IF($A90=$A89,AZ89,1))-AE90&lt;0),-1,MIN(1,IF($A90=$A89,AZ89,1)-AE90+$D$3))</f>
        <v>#N/A</v>
      </c>
      <c r="BA90" s="47" t="e">
        <f>IF(OR($J90=0,COUNTIFS($A$4:$A89,"&gt;="&amp;$A90-1,$A$4:$A89,"&lt;="&amp;$A90,$B$4:$B89,$B90)&gt;0,MIN(BA$1,IF($A90=$A89,BA89,1))-AF90&lt;0),-1,MIN(1,IF($A90=$A89,BA89,1)-AF90+$D$3))</f>
        <v>#N/A</v>
      </c>
      <c r="BB90" s="47" t="e">
        <f>IF(OR($J90=0,COUNTIFS($A$4:$A89,"&gt;="&amp;$A90-1,$A$4:$A89,"&lt;="&amp;$A90,$B$4:$B89,$B90)&gt;0,MIN(BB$1,IF($A90=$A89,BB89,1))-AG90&lt;0),-1,MIN(1,IF($A90=$A89,BB89,1)-AG90+$D$3))</f>
        <v>#N/A</v>
      </c>
      <c r="BC90" s="47" t="e">
        <f>IF(OR($J90=0,COUNTIFS($A$4:$A89,"&gt;="&amp;$A90-1,$A$4:$A89,"&lt;="&amp;$A90,$B$4:$B89,$B90)&gt;0,MIN(BC$1,IF($A90=$A89,BC89,1))-AH90&lt;0),-1,MIN(1,IF($A90=$A89,BC89,1)-AH90+$D$3))</f>
        <v>#N/A</v>
      </c>
      <c r="BD90" s="47" t="e">
        <f>IF(OR($J90=0,COUNTIFS($A$4:$A89,"&gt;="&amp;$A90-1,$A$4:$A89,"&lt;="&amp;$A90,$B$4:$B89,$B90)&gt;0,MIN(BD$1,IF($A90=$A89,BD89,1))-AI90&lt;0),-1,MIN(1,IF($A90=$A89,BD89,1)-AI90+$D$3))</f>
        <v>#N/A</v>
      </c>
      <c r="BE90" s="47"/>
      <c r="BF90" s="53">
        <f t="shared" si="179"/>
        <v>2.5735697821033438E-2</v>
      </c>
      <c r="BG90" s="53">
        <f t="shared" si="180"/>
        <v>6.3291343073595241E-2</v>
      </c>
      <c r="BH90" s="53">
        <f t="shared" si="181"/>
        <v>6.4866969053160403E-2</v>
      </c>
      <c r="BI90" s="53">
        <f t="shared" si="182"/>
        <v>5.9919069851403259E-2</v>
      </c>
      <c r="BJ90" s="53">
        <f t="shared" si="183"/>
        <v>6.1932047165831748E-2</v>
      </c>
      <c r="BK90" s="53">
        <f t="shared" si="184"/>
        <v>2.6595930185645357E-2</v>
      </c>
      <c r="BL90" s="53">
        <f t="shared" si="185"/>
        <v>1.4367539903945882E-2</v>
      </c>
      <c r="BM90" s="53">
        <f t="shared" si="186"/>
        <v>3.6549343745652323E-2</v>
      </c>
      <c r="BN90" s="53">
        <f t="shared" si="187"/>
        <v>3.8014165982513101E-2</v>
      </c>
      <c r="BO90" s="53">
        <f t="shared" si="188"/>
        <v>1.7814880651442756E-2</v>
      </c>
      <c r="BP90" s="53">
        <f t="shared" si="189"/>
        <v>5.9902139271400534E-2</v>
      </c>
      <c r="BQ90" s="53">
        <f t="shared" si="190"/>
        <v>1.6165107721764972E-2</v>
      </c>
      <c r="BR90" s="53">
        <f t="shared" si="191"/>
        <v>4.7755774759739314E-2</v>
      </c>
      <c r="BS90" s="53">
        <f t="shared" si="192"/>
        <v>2.5755323052495008E-2</v>
      </c>
      <c r="BT90" s="53">
        <f t="shared" si="193"/>
        <v>0.10192170929417498</v>
      </c>
      <c r="BU90" s="53">
        <f t="shared" si="194"/>
        <v>9.7365901790447115E-2</v>
      </c>
      <c r="BV90" s="53">
        <f t="shared" si="195"/>
        <v>9.3506990799371817E-2</v>
      </c>
      <c r="BW90" s="53">
        <f t="shared" si="196"/>
        <v>6.115871771150596E-2</v>
      </c>
      <c r="BX90" s="53">
        <f t="shared" si="197"/>
        <v>4.5182950048675063E-2</v>
      </c>
      <c r="BY90" s="53">
        <f t="shared" si="198"/>
        <v>3.8794755807222255E-2</v>
      </c>
      <c r="BZ90" s="47"/>
      <c r="CA90" s="53" t="str">
        <f t="shared" si="199"/>
        <v/>
      </c>
      <c r="CB90" s="53" t="str">
        <f t="shared" si="200"/>
        <v/>
      </c>
      <c r="CC90" s="53" t="str">
        <f t="shared" si="201"/>
        <v/>
      </c>
      <c r="CD90" s="53" t="str">
        <f t="shared" si="202"/>
        <v/>
      </c>
      <c r="CE90" s="53" t="str">
        <f t="shared" si="203"/>
        <v/>
      </c>
      <c r="CF90" s="53" t="str">
        <f t="shared" si="204"/>
        <v/>
      </c>
      <c r="CG90" s="53" t="str">
        <f t="shared" si="205"/>
        <v/>
      </c>
      <c r="CH90" s="53" t="str">
        <f t="shared" si="206"/>
        <v/>
      </c>
      <c r="CI90" s="53" t="str">
        <f t="shared" si="207"/>
        <v/>
      </c>
      <c r="CJ90" s="53" t="str">
        <f t="shared" si="208"/>
        <v/>
      </c>
      <c r="CK90" s="53" t="str">
        <f t="shared" si="209"/>
        <v/>
      </c>
      <c r="CL90" s="53" t="str">
        <f t="shared" si="210"/>
        <v/>
      </c>
      <c r="CM90" s="53" t="str">
        <f t="shared" si="211"/>
        <v/>
      </c>
      <c r="CN90" s="53" t="str">
        <f t="shared" si="212"/>
        <v/>
      </c>
      <c r="CO90" s="53" t="str">
        <f t="shared" si="213"/>
        <v/>
      </c>
      <c r="CP90" s="53" t="str">
        <f t="shared" si="214"/>
        <v/>
      </c>
      <c r="CQ90" s="53" t="str">
        <f t="shared" si="215"/>
        <v/>
      </c>
      <c r="CR90" s="53" t="str">
        <f t="shared" si="216"/>
        <v/>
      </c>
      <c r="CS90" s="53" t="str">
        <f t="shared" si="217"/>
        <v/>
      </c>
      <c r="CT90" s="53" t="str">
        <f t="shared" si="218"/>
        <v/>
      </c>
      <c r="CU90" s="47"/>
      <c r="CV90" s="53">
        <f t="shared" si="219"/>
        <v>0</v>
      </c>
    </row>
    <row r="91" spans="1:100" x14ac:dyDescent="0.25">
      <c r="A91" s="41"/>
      <c r="B91" s="42"/>
      <c r="C91" s="43" t="str" cm="1">
        <f t="array" ref="C91">IF(B91="","",INDEX(UWS!$B$10:$B$41,B91))</f>
        <v/>
      </c>
      <c r="D91" s="40" t="str">
        <f t="shared" si="176"/>
        <v/>
      </c>
      <c r="E91" s="69" t="str">
        <f t="shared" si="177"/>
        <v/>
      </c>
      <c r="F91" s="48" cm="1">
        <f t="array" ref="F91">0.1+IFERROR(INDEX($F$5:$F90,SUMPRODUCT(MAX(ROW($C$5:$C90)*($C91=$C$5:$C90))-ROW($A$4)))*0.9^($A91-INDEX($A$5:A90,SUMPRODUCT(MAX(ROW($C$5:$C90)*($C91=$C$5:$C90))-ROW($A$4)))),0)</f>
        <v>2.600000000000001</v>
      </c>
      <c r="G91" s="55" t="e">
        <f>INDEX(UWS!$AB$10:$AB$41,MATCH(C91,UWS!$B$10:$B$41,0))</f>
        <v>#N/A</v>
      </c>
      <c r="H91" s="48" t="e">
        <f>INDEX(UWS!$C$10:$C$41,MATCH(C91,UWS!$B$10:$B$41,0))</f>
        <v>#N/A</v>
      </c>
      <c r="I91" s="82">
        <f t="shared" si="178"/>
        <v>5</v>
      </c>
      <c r="J91" s="27" t="e">
        <f>INDEX(UWS!$E$10:$E$41,MATCH(C91,UWS!$B$10:$B$41,0))</f>
        <v>#N/A</v>
      </c>
      <c r="L91" s="108" t="str" cm="1">
        <f t="array" ref="L91">IF(K91="","",INDEX(UWS!$B$10:$B$41,K91))</f>
        <v/>
      </c>
      <c r="N91" s="108" t="str" cm="1">
        <f t="array" ref="N91">IF(M91="","",INDEX(UWS!$B$10:$B$41,M91))</f>
        <v/>
      </c>
      <c r="P91">
        <f>IFERROR(INDEX(UWS!$G$10:$Z$41,MATCH($C91,UWS!$B$10:$B$41,0),MATCH(P$4,UWS!$G$3:$Z$3,0)),0)</f>
        <v>0</v>
      </c>
      <c r="Q91">
        <f>IFERROR(INDEX(UWS!$G$10:$Z$41,MATCH($C91,UWS!$B$10:$B$41,0),MATCH(Q$4,UWS!$G$3:$Z$3,0)),0)</f>
        <v>0</v>
      </c>
      <c r="R91">
        <f>IFERROR(INDEX(UWS!$G$10:$Z$41,MATCH($C91,UWS!$B$10:$B$41,0),MATCH(R$4,UWS!$G$3:$Z$3,0)),0)</f>
        <v>0</v>
      </c>
      <c r="S91">
        <f>IFERROR(INDEX(UWS!$G$10:$Z$41,MATCH($C91,UWS!$B$10:$B$41,0),MATCH(S$4,UWS!$G$3:$Z$3,0)),0)</f>
        <v>0</v>
      </c>
      <c r="T91">
        <f>IFERROR(INDEX(UWS!$G$10:$Z$41,MATCH($C91,UWS!$B$10:$B$41,0),MATCH(T$4,UWS!$G$3:$Z$3,0)),0)</f>
        <v>0</v>
      </c>
      <c r="U91">
        <f>IFERROR(INDEX(UWS!$G$10:$Z$41,MATCH($C91,UWS!$B$10:$B$41,0),MATCH(U$4,UWS!$G$3:$Z$3,0)),0)</f>
        <v>0</v>
      </c>
      <c r="V91">
        <f>IFERROR(INDEX(UWS!$G$10:$Z$41,MATCH($C91,UWS!$B$10:$B$41,0),MATCH(V$4,UWS!$G$3:$Z$3,0)),0)</f>
        <v>0</v>
      </c>
      <c r="W91">
        <f>IFERROR(INDEX(UWS!$G$10:$Z$41,MATCH($C91,UWS!$B$10:$B$41,0),MATCH(W$4,UWS!$G$3:$Z$3,0)),0)</f>
        <v>0</v>
      </c>
      <c r="X91">
        <f>IFERROR(INDEX(UWS!$G$10:$Z$41,MATCH($C91,UWS!$B$10:$B$41,0),MATCH(X$4,UWS!$G$3:$Z$3,0)),0)</f>
        <v>0</v>
      </c>
      <c r="Y91">
        <f>IFERROR(INDEX(UWS!$G$10:$Z$41,MATCH($C91,UWS!$B$10:$B$41,0),MATCH(Y$4,UWS!$G$3:$Z$3,0)),0)</f>
        <v>0</v>
      </c>
      <c r="Z91">
        <f>IFERROR(INDEX(UWS!$G$10:$Z$41,MATCH($C91,UWS!$B$10:$B$41,0),MATCH(Z$4,UWS!$G$3:$Z$3,0)),0)</f>
        <v>0</v>
      </c>
      <c r="AA91">
        <f>IFERROR(INDEX(UWS!$G$10:$Z$41,MATCH($C91,UWS!$B$10:$B$41,0),MATCH(AA$4,UWS!$G$3:$Z$3,0)),0)</f>
        <v>0</v>
      </c>
      <c r="AB91">
        <f>IFERROR(INDEX(UWS!$G$10:$Z$41,MATCH($C91,UWS!$B$10:$B$41,0),MATCH(AB$4,UWS!$G$3:$Z$3,0)),0)</f>
        <v>0</v>
      </c>
      <c r="AC91">
        <f>IFERROR(INDEX(UWS!$G$10:$Z$41,MATCH($C91,UWS!$B$10:$B$41,0),MATCH(AC$4,UWS!$G$3:$Z$3,0)),0)</f>
        <v>0</v>
      </c>
      <c r="AD91">
        <f>IFERROR(INDEX(UWS!$G$10:$Z$41,MATCH($C91,UWS!$B$10:$B$41,0),MATCH(AD$4,UWS!$G$3:$Z$3,0)),0)</f>
        <v>0</v>
      </c>
      <c r="AE91">
        <f>IFERROR(INDEX(UWS!$G$10:$Z$41,MATCH($C91,UWS!$B$10:$B$41,0),MATCH(AE$4,UWS!$G$3:$Z$3,0)),0)</f>
        <v>0</v>
      </c>
      <c r="AF91">
        <f>IFERROR(INDEX(UWS!$G$10:$Z$41,MATCH($C91,UWS!$B$10:$B$41,0),MATCH(AF$4,UWS!$G$3:$Z$3,0)),0)</f>
        <v>0</v>
      </c>
      <c r="AG91">
        <f>IFERROR(INDEX(UWS!$G$10:$Z$41,MATCH($C91,UWS!$B$10:$B$41,0),MATCH(AG$4,UWS!$G$3:$Z$3,0)),0)</f>
        <v>0</v>
      </c>
      <c r="AH91">
        <f>IFERROR(INDEX(UWS!$G$10:$Z$41,MATCH($C91,UWS!$B$10:$B$41,0),MATCH(AH$4,UWS!$G$3:$Z$3,0)),0)</f>
        <v>0</v>
      </c>
      <c r="AI91">
        <f>IFERROR(INDEX(UWS!$G$10:$Z$41,MATCH($C91,UWS!$B$10:$B$41,0),MATCH(AI$4,UWS!$G$3:$Z$3,0)),0)</f>
        <v>0</v>
      </c>
      <c r="AK91" t="e">
        <f>IF(OR($J91=0,COUNTIFS($A$4:$A90,"&gt;="&amp;$A91-1,$A$4:$A90,"&lt;="&amp;$A91,$B$4:$B90,$B91)&gt;0,MIN(AK$1,IF($A91=$A90,AK90,1))-P91&lt;0),-1,MIN(1,IF($A91=$A90,AK90,1)-P91+$D$3))</f>
        <v>#N/A</v>
      </c>
      <c r="AL91" t="e">
        <f>IF(OR($J91=0,COUNTIFS($A$4:$A90,"&gt;="&amp;$A91-1,$A$4:$A90,"&lt;="&amp;$A91,$B$4:$B90,$B91)&gt;0,MIN(AL$1,IF($A91=$A90,AL90,1))-Q91&lt;0),-1,MIN(1,IF($A91=$A90,AL90,1)-Q91+$D$3))</f>
        <v>#N/A</v>
      </c>
      <c r="AM91" t="e">
        <f>IF(OR($J91=0,COUNTIFS($A$4:$A90,"&gt;="&amp;$A91-1,$A$4:$A90,"&lt;="&amp;$A91,$B$4:$B90,$B91)&gt;0,MIN(AM$1,IF($A91=$A90,AM90,1))-R91&lt;0),-1,MIN(1,IF($A91=$A90,AM90,1)-R91+$D$3))</f>
        <v>#N/A</v>
      </c>
      <c r="AN91" t="e">
        <f>IF(OR($J91=0,COUNTIFS($A$4:$A90,"&gt;="&amp;$A91-1,$A$4:$A90,"&lt;="&amp;$A91,$B$4:$B90,$B91)&gt;0,MIN(AN$1,IF($A91=$A90,AN90,1))-S91&lt;0),-1,MIN(1,IF($A91=$A90,AN90,1)-S91+$D$3))</f>
        <v>#N/A</v>
      </c>
      <c r="AO91" t="e">
        <f>IF(OR($J91=0,COUNTIFS($A$4:$A90,"&gt;="&amp;$A91-1,$A$4:$A90,"&lt;="&amp;$A91,$B$4:$B90,$B91)&gt;0,MIN(AO$1,IF($A91=$A90,AO90,1))-T91&lt;0),-1,MIN(1,IF($A91=$A90,AO90,1)-T91+$D$3))</f>
        <v>#N/A</v>
      </c>
      <c r="AP91" t="e">
        <f>IF(OR($J91=0,COUNTIFS($A$4:$A90,"&gt;="&amp;$A91-1,$A$4:$A90,"&lt;="&amp;$A91,$B$4:$B90,$B91)&gt;0,MIN(AP$1,IF($A91=$A90,AP90,1))-U91&lt;0),-1,MIN(1,IF($A91=$A90,AP90,1)-U91+$D$3))</f>
        <v>#N/A</v>
      </c>
      <c r="AQ91" t="e">
        <f>IF(OR($J91=0,COUNTIFS($A$4:$A90,"&gt;="&amp;$A91-1,$A$4:$A90,"&lt;="&amp;$A91,$B$4:$B90,$B91)&gt;0,MIN(AQ$1,IF($A91=$A90,AQ90,1))-V91&lt;0),-1,MIN(1,IF($A91=$A90,AQ90,1)-V91+$D$3))</f>
        <v>#N/A</v>
      </c>
      <c r="AR91" t="e">
        <f>IF(OR($J91=0,COUNTIFS($A$4:$A90,"&gt;="&amp;$A91-1,$A$4:$A90,"&lt;="&amp;$A91,$B$4:$B90,$B91)&gt;0,MIN(AR$1,IF($A91=$A90,AR90,1))-W91&lt;0),-1,MIN(1,IF($A91=$A90,AR90,1)-W91+$D$3))</f>
        <v>#N/A</v>
      </c>
      <c r="AS91" t="e">
        <f>IF(OR($J91=0,COUNTIFS($A$4:$A90,"&gt;="&amp;$A91-1,$A$4:$A90,"&lt;="&amp;$A91,$B$4:$B90,$B91)&gt;0,MIN(AS$1,IF($A91=$A90,AS90,1))-X91&lt;0),-1,MIN(1,IF($A91=$A90,AS90,1)-X91+$D$3))</f>
        <v>#N/A</v>
      </c>
      <c r="AT91" t="e">
        <f>IF(OR($J91=0,COUNTIFS($A$4:$A90,"&gt;="&amp;$A91-1,$A$4:$A90,"&lt;="&amp;$A91,$B$4:$B90,$B91)&gt;0,MIN(AT$1,IF($A91=$A90,AT90,1))-Y91&lt;0),-1,MIN(1,IF($A91=$A90,AT90,1)-Y91+$D$3))</f>
        <v>#N/A</v>
      </c>
      <c r="AU91" t="e">
        <f>IF(OR($J91=0,COUNTIFS($A$4:$A90,"&gt;="&amp;$A91-1,$A$4:$A90,"&lt;="&amp;$A91,$B$4:$B90,$B91)&gt;0,MIN(AU$1,IF($A91=$A90,AU90,1))-Z91&lt;0),-1,MIN(1,IF($A91=$A90,AU90,1)-Z91+$D$3))</f>
        <v>#N/A</v>
      </c>
      <c r="AV91" t="e">
        <f>IF(OR($J91=0,COUNTIFS($A$4:$A90,"&gt;="&amp;$A91-1,$A$4:$A90,"&lt;="&amp;$A91,$B$4:$B90,$B91)&gt;0,MIN(AV$1,IF($A91=$A90,AV90,1))-AA91&lt;0),-1,MIN(1,IF($A91=$A90,AV90,1)-AA91+$D$3))</f>
        <v>#N/A</v>
      </c>
      <c r="AW91" t="e">
        <f>IF(OR($J91=0,COUNTIFS($A$4:$A90,"&gt;="&amp;$A91-1,$A$4:$A90,"&lt;="&amp;$A91,$B$4:$B90,$B91)&gt;0,MIN(AW$1,IF($A91=$A90,AW90,1))-AB91&lt;0),-1,MIN(1,IF($A91=$A90,AW90,1)-AB91+$D$3))</f>
        <v>#N/A</v>
      </c>
      <c r="AX91" t="e">
        <f>IF(OR($J91=0,COUNTIFS($A$4:$A90,"&gt;="&amp;$A91-1,$A$4:$A90,"&lt;="&amp;$A91,$B$4:$B90,$B91)&gt;0,MIN(AX$1,IF($A91=$A90,AX90,1))-AC91&lt;0),-1,MIN(1,IF($A91=$A90,AX90,1)-AC91+$D$3))</f>
        <v>#N/A</v>
      </c>
      <c r="AY91" t="e">
        <f>IF(OR($J91=0,COUNTIFS($A$4:$A90,"&gt;="&amp;$A91-1,$A$4:$A90,"&lt;="&amp;$A91,$B$4:$B90,$B91)&gt;0,MIN(AY$1,IF($A91=$A90,AY90,1))-AD91&lt;0),-1,MIN(1,IF($A91=$A90,AY90,1)-AD91+$D$3))</f>
        <v>#N/A</v>
      </c>
      <c r="AZ91" t="e">
        <f>IF(OR($J91=0,COUNTIFS($A$4:$A90,"&gt;="&amp;$A91-1,$A$4:$A90,"&lt;="&amp;$A91,$B$4:$B90,$B91)&gt;0,MIN(AZ$1,IF($A91=$A90,AZ90,1))-AE91&lt;0),-1,MIN(1,IF($A91=$A90,AZ90,1)-AE91+$D$3))</f>
        <v>#N/A</v>
      </c>
      <c r="BA91" t="e">
        <f>IF(OR($J91=0,COUNTIFS($A$4:$A90,"&gt;="&amp;$A91-1,$A$4:$A90,"&lt;="&amp;$A91,$B$4:$B90,$B91)&gt;0,MIN(BA$1,IF($A91=$A90,BA90,1))-AF91&lt;0),-1,MIN(1,IF($A91=$A90,BA90,1)-AF91+$D$3))</f>
        <v>#N/A</v>
      </c>
      <c r="BB91" t="e">
        <f>IF(OR($J91=0,COUNTIFS($A$4:$A90,"&gt;="&amp;$A91-1,$A$4:$A90,"&lt;="&amp;$A91,$B$4:$B90,$B91)&gt;0,MIN(BB$1,IF($A91=$A90,BB90,1))-AG91&lt;0),-1,MIN(1,IF($A91=$A90,BB90,1)-AG91+$D$3))</f>
        <v>#N/A</v>
      </c>
      <c r="BC91" t="e">
        <f>IF(OR($J91=0,COUNTIFS($A$4:$A90,"&gt;="&amp;$A91-1,$A$4:$A90,"&lt;="&amp;$A91,$B$4:$B90,$B91)&gt;0,MIN(BC$1,IF($A91=$A90,BC90,1))-AH91&lt;0),-1,MIN(1,IF($A91=$A90,BC90,1)-AH91+$D$3))</f>
        <v>#N/A</v>
      </c>
      <c r="BD91" t="e">
        <f>IF(OR($J91=0,COUNTIFS($A$4:$A90,"&gt;="&amp;$A91-1,$A$4:$A90,"&lt;="&amp;$A91,$B$4:$B90,$B91)&gt;0,MIN(BD$1,IF($A91=$A90,BD90,1))-AI91&lt;0),-1,MIN(1,IF($A91=$A90,BD90,1)-AI91+$D$3))</f>
        <v>#N/A</v>
      </c>
      <c r="BF91" s="44">
        <f t="shared" si="179"/>
        <v>2.4448912929981765E-2</v>
      </c>
      <c r="BG91" s="44">
        <f t="shared" si="180"/>
        <v>6.0126775919915477E-2</v>
      </c>
      <c r="BH91" s="44">
        <f t="shared" si="181"/>
        <v>6.1623620600502381E-2</v>
      </c>
      <c r="BI91" s="44">
        <f t="shared" si="182"/>
        <v>5.6923116358833091E-2</v>
      </c>
      <c r="BJ91" s="44">
        <f t="shared" si="183"/>
        <v>5.883544480754016E-2</v>
      </c>
      <c r="BK91" s="44">
        <f t="shared" si="184"/>
        <v>2.5266133676363087E-2</v>
      </c>
      <c r="BL91" s="44">
        <f t="shared" si="185"/>
        <v>1.3649162908748588E-2</v>
      </c>
      <c r="BM91" s="44">
        <f t="shared" si="186"/>
        <v>3.4721876558369703E-2</v>
      </c>
      <c r="BN91" s="44">
        <f t="shared" si="187"/>
        <v>3.6113457683387445E-2</v>
      </c>
      <c r="BO91" s="44">
        <f t="shared" si="188"/>
        <v>1.6924136618870617E-2</v>
      </c>
      <c r="BP91" s="44">
        <f t="shared" si="189"/>
        <v>5.6907032307830507E-2</v>
      </c>
      <c r="BQ91" s="44">
        <f t="shared" si="190"/>
        <v>1.5356852335676723E-2</v>
      </c>
      <c r="BR91" s="44">
        <f t="shared" si="191"/>
        <v>4.5367986021752349E-2</v>
      </c>
      <c r="BS91" s="44">
        <f t="shared" si="192"/>
        <v>2.4467556899870256E-2</v>
      </c>
      <c r="BT91" s="44">
        <f t="shared" si="193"/>
        <v>9.6825623829466217E-2</v>
      </c>
      <c r="BU91" s="44">
        <f t="shared" si="194"/>
        <v>9.2497606700924759E-2</v>
      </c>
      <c r="BV91" s="44">
        <f t="shared" si="195"/>
        <v>8.8831641259403224E-2</v>
      </c>
      <c r="BW91" s="44">
        <f t="shared" si="196"/>
        <v>5.8100781825930661E-2</v>
      </c>
      <c r="BX91" s="44">
        <f t="shared" si="197"/>
        <v>4.2923802546241306E-2</v>
      </c>
      <c r="BY91" s="44">
        <f t="shared" si="198"/>
        <v>3.6855018016861141E-2</v>
      </c>
      <c r="CA91" s="44" t="str">
        <f t="shared" si="199"/>
        <v/>
      </c>
      <c r="CB91" s="44" t="str">
        <f t="shared" si="200"/>
        <v/>
      </c>
      <c r="CC91" s="44" t="str">
        <f t="shared" si="201"/>
        <v/>
      </c>
      <c r="CD91" s="44" t="str">
        <f t="shared" si="202"/>
        <v/>
      </c>
      <c r="CE91" s="44" t="str">
        <f t="shared" si="203"/>
        <v/>
      </c>
      <c r="CF91" s="44" t="str">
        <f t="shared" si="204"/>
        <v/>
      </c>
      <c r="CG91" s="44" t="str">
        <f t="shared" si="205"/>
        <v/>
      </c>
      <c r="CH91" s="44" t="str">
        <f t="shared" si="206"/>
        <v/>
      </c>
      <c r="CI91" s="44" t="str">
        <f t="shared" si="207"/>
        <v/>
      </c>
      <c r="CJ91" s="44" t="str">
        <f t="shared" si="208"/>
        <v/>
      </c>
      <c r="CK91" s="44" t="str">
        <f t="shared" si="209"/>
        <v/>
      </c>
      <c r="CL91" s="44" t="str">
        <f t="shared" si="210"/>
        <v/>
      </c>
      <c r="CM91" s="44" t="str">
        <f t="shared" si="211"/>
        <v/>
      </c>
      <c r="CN91" s="44" t="str">
        <f t="shared" si="212"/>
        <v/>
      </c>
      <c r="CO91" s="44" t="str">
        <f t="shared" si="213"/>
        <v/>
      </c>
      <c r="CP91" s="44" t="str">
        <f t="shared" si="214"/>
        <v/>
      </c>
      <c r="CQ91" s="44" t="str">
        <f t="shared" si="215"/>
        <v/>
      </c>
      <c r="CR91" s="44" t="str">
        <f t="shared" si="216"/>
        <v/>
      </c>
      <c r="CS91" s="44" t="str">
        <f t="shared" si="217"/>
        <v/>
      </c>
      <c r="CT91" s="44" t="str">
        <f t="shared" si="218"/>
        <v/>
      </c>
      <c r="CV91" s="44">
        <f t="shared" si="219"/>
        <v>0</v>
      </c>
    </row>
    <row r="92" spans="1:100" x14ac:dyDescent="0.25">
      <c r="A92" s="41"/>
      <c r="B92" s="42"/>
      <c r="C92" s="43" t="str" cm="1">
        <f t="array" ref="C92">IF(B92="","",INDEX(UWS!$B$10:$B$41,B92))</f>
        <v/>
      </c>
      <c r="D92" s="40" t="str">
        <f t="shared" si="176"/>
        <v/>
      </c>
      <c r="E92" s="69" t="str">
        <f t="shared" si="177"/>
        <v/>
      </c>
      <c r="F92" s="48" cm="1">
        <f t="array" ref="F92">0.1+IFERROR(INDEX($F$5:$F91,SUMPRODUCT(MAX(ROW($C$5:$C91)*($C92=$C$5:$C91))-ROW($A$4)))*0.9^($A92-INDEX($A$5:A91,SUMPRODUCT(MAX(ROW($C$5:$C91)*($C92=$C$5:$C91))-ROW($A$4)))),0)</f>
        <v>2.7000000000000011</v>
      </c>
      <c r="G92" s="55" t="e">
        <f>INDEX(UWS!$AB$10:$AB$41,MATCH(C92,UWS!$B$10:$B$41,0))</f>
        <v>#N/A</v>
      </c>
      <c r="H92" s="48" t="e">
        <f>INDEX(UWS!$C$10:$C$41,MATCH(C92,UWS!$B$10:$B$41,0))</f>
        <v>#N/A</v>
      </c>
      <c r="I92" s="27">
        <f t="shared" si="178"/>
        <v>5</v>
      </c>
      <c r="J92" s="27" t="e">
        <f>INDEX(UWS!$E$10:$E$41,MATCH(C92,UWS!$B$10:$B$41,0))</f>
        <v>#N/A</v>
      </c>
      <c r="L92" s="108" t="str" cm="1">
        <f t="array" ref="L92">IF(K92="","",INDEX(UWS!$B$10:$B$41,K92))</f>
        <v/>
      </c>
      <c r="N92" s="108" t="str" cm="1">
        <f t="array" ref="N92">IF(M92="","",INDEX(UWS!$B$10:$B$41,M92))</f>
        <v/>
      </c>
      <c r="P92">
        <f>IFERROR(INDEX(UWS!$G$10:$Z$41,MATCH($C92,UWS!$B$10:$B$41,0),MATCH(P$4,UWS!$G$3:$Z$3,0)),0)</f>
        <v>0</v>
      </c>
      <c r="Q92">
        <f>IFERROR(INDEX(UWS!$G$10:$Z$41,MATCH($C92,UWS!$B$10:$B$41,0),MATCH(Q$4,UWS!$G$3:$Z$3,0)),0)</f>
        <v>0</v>
      </c>
      <c r="R92">
        <f>IFERROR(INDEX(UWS!$G$10:$Z$41,MATCH($C92,UWS!$B$10:$B$41,0),MATCH(R$4,UWS!$G$3:$Z$3,0)),0)</f>
        <v>0</v>
      </c>
      <c r="S92">
        <f>IFERROR(INDEX(UWS!$G$10:$Z$41,MATCH($C92,UWS!$B$10:$B$41,0),MATCH(S$4,UWS!$G$3:$Z$3,0)),0)</f>
        <v>0</v>
      </c>
      <c r="T92">
        <f>IFERROR(INDEX(UWS!$G$10:$Z$41,MATCH($C92,UWS!$B$10:$B$41,0),MATCH(T$4,UWS!$G$3:$Z$3,0)),0)</f>
        <v>0</v>
      </c>
      <c r="U92">
        <f>IFERROR(INDEX(UWS!$G$10:$Z$41,MATCH($C92,UWS!$B$10:$B$41,0),MATCH(U$4,UWS!$G$3:$Z$3,0)),0)</f>
        <v>0</v>
      </c>
      <c r="V92">
        <f>IFERROR(INDEX(UWS!$G$10:$Z$41,MATCH($C92,UWS!$B$10:$B$41,0),MATCH(V$4,UWS!$G$3:$Z$3,0)),0)</f>
        <v>0</v>
      </c>
      <c r="W92">
        <f>IFERROR(INDEX(UWS!$G$10:$Z$41,MATCH($C92,UWS!$B$10:$B$41,0),MATCH(W$4,UWS!$G$3:$Z$3,0)),0)</f>
        <v>0</v>
      </c>
      <c r="X92">
        <f>IFERROR(INDEX(UWS!$G$10:$Z$41,MATCH($C92,UWS!$B$10:$B$41,0),MATCH(X$4,UWS!$G$3:$Z$3,0)),0)</f>
        <v>0</v>
      </c>
      <c r="Y92">
        <f>IFERROR(INDEX(UWS!$G$10:$Z$41,MATCH($C92,UWS!$B$10:$B$41,0),MATCH(Y$4,UWS!$G$3:$Z$3,0)),0)</f>
        <v>0</v>
      </c>
      <c r="Z92">
        <f>IFERROR(INDEX(UWS!$G$10:$Z$41,MATCH($C92,UWS!$B$10:$B$41,0),MATCH(Z$4,UWS!$G$3:$Z$3,0)),0)</f>
        <v>0</v>
      </c>
      <c r="AA92">
        <f>IFERROR(INDEX(UWS!$G$10:$Z$41,MATCH($C92,UWS!$B$10:$B$41,0),MATCH(AA$4,UWS!$G$3:$Z$3,0)),0)</f>
        <v>0</v>
      </c>
      <c r="AB92">
        <f>IFERROR(INDEX(UWS!$G$10:$Z$41,MATCH($C92,UWS!$B$10:$B$41,0),MATCH(AB$4,UWS!$G$3:$Z$3,0)),0)</f>
        <v>0</v>
      </c>
      <c r="AC92">
        <f>IFERROR(INDEX(UWS!$G$10:$Z$41,MATCH($C92,UWS!$B$10:$B$41,0),MATCH(AC$4,UWS!$G$3:$Z$3,0)),0)</f>
        <v>0</v>
      </c>
      <c r="AD92">
        <f>IFERROR(INDEX(UWS!$G$10:$Z$41,MATCH($C92,UWS!$B$10:$B$41,0),MATCH(AD$4,UWS!$G$3:$Z$3,0)),0)</f>
        <v>0</v>
      </c>
      <c r="AE92">
        <f>IFERROR(INDEX(UWS!$G$10:$Z$41,MATCH($C92,UWS!$B$10:$B$41,0),MATCH(AE$4,UWS!$G$3:$Z$3,0)),0)</f>
        <v>0</v>
      </c>
      <c r="AF92">
        <f>IFERROR(INDEX(UWS!$G$10:$Z$41,MATCH($C92,UWS!$B$10:$B$41,0),MATCH(AF$4,UWS!$G$3:$Z$3,0)),0)</f>
        <v>0</v>
      </c>
      <c r="AG92">
        <f>IFERROR(INDEX(UWS!$G$10:$Z$41,MATCH($C92,UWS!$B$10:$B$41,0),MATCH(AG$4,UWS!$G$3:$Z$3,0)),0)</f>
        <v>0</v>
      </c>
      <c r="AH92">
        <f>IFERROR(INDEX(UWS!$G$10:$Z$41,MATCH($C92,UWS!$B$10:$B$41,0),MATCH(AH$4,UWS!$G$3:$Z$3,0)),0)</f>
        <v>0</v>
      </c>
      <c r="AI92">
        <f>IFERROR(INDEX(UWS!$G$10:$Z$41,MATCH($C92,UWS!$B$10:$B$41,0),MATCH(AI$4,UWS!$G$3:$Z$3,0)),0)</f>
        <v>0</v>
      </c>
      <c r="AK92" t="e">
        <f>IF(OR($J92=0,COUNTIFS($A$4:$A91,"&gt;="&amp;$A92-1,$A$4:$A91,"&lt;="&amp;$A92,$B$4:$B91,$B92)&gt;0,MIN(AK$1,IF($A92=$A91,AK91,1))-P92&lt;0),-1,MIN(1,IF($A92=$A91,AK91,1)-P92+$D$3))</f>
        <v>#N/A</v>
      </c>
      <c r="AL92" t="e">
        <f>IF(OR($J92=0,COUNTIFS($A$4:$A91,"&gt;="&amp;$A92-1,$A$4:$A91,"&lt;="&amp;$A92,$B$4:$B91,$B92)&gt;0,MIN(AL$1,IF($A92=$A91,AL91,1))-Q92&lt;0),-1,MIN(1,IF($A92=$A91,AL91,1)-Q92+$D$3))</f>
        <v>#N/A</v>
      </c>
      <c r="AM92" t="e">
        <f>IF(OR($J92=0,COUNTIFS($A$4:$A91,"&gt;="&amp;$A92-1,$A$4:$A91,"&lt;="&amp;$A92,$B$4:$B91,$B92)&gt;0,MIN(AM$1,IF($A92=$A91,AM91,1))-R92&lt;0),-1,MIN(1,IF($A92=$A91,AM91,1)-R92+$D$3))</f>
        <v>#N/A</v>
      </c>
      <c r="AN92" t="e">
        <f>IF(OR($J92=0,COUNTIFS($A$4:$A91,"&gt;="&amp;$A92-1,$A$4:$A91,"&lt;="&amp;$A92,$B$4:$B91,$B92)&gt;0,MIN(AN$1,IF($A92=$A91,AN91,1))-S92&lt;0),-1,MIN(1,IF($A92=$A91,AN91,1)-S92+$D$3))</f>
        <v>#N/A</v>
      </c>
      <c r="AO92" t="e">
        <f>IF(OR($J92=0,COUNTIFS($A$4:$A91,"&gt;="&amp;$A92-1,$A$4:$A91,"&lt;="&amp;$A92,$B$4:$B91,$B92)&gt;0,MIN(AO$1,IF($A92=$A91,AO91,1))-T92&lt;0),-1,MIN(1,IF($A92=$A91,AO91,1)-T92+$D$3))</f>
        <v>#N/A</v>
      </c>
      <c r="AP92" t="e">
        <f>IF(OR($J92=0,COUNTIFS($A$4:$A91,"&gt;="&amp;$A92-1,$A$4:$A91,"&lt;="&amp;$A92,$B$4:$B91,$B92)&gt;0,MIN(AP$1,IF($A92=$A91,AP91,1))-U92&lt;0),-1,MIN(1,IF($A92=$A91,AP91,1)-U92+$D$3))</f>
        <v>#N/A</v>
      </c>
      <c r="AQ92" t="e">
        <f>IF(OR($J92=0,COUNTIFS($A$4:$A91,"&gt;="&amp;$A92-1,$A$4:$A91,"&lt;="&amp;$A92,$B$4:$B91,$B92)&gt;0,MIN(AQ$1,IF($A92=$A91,AQ91,1))-V92&lt;0),-1,MIN(1,IF($A92=$A91,AQ91,1)-V92+$D$3))</f>
        <v>#N/A</v>
      </c>
      <c r="AR92" t="e">
        <f>IF(OR($J92=0,COUNTIFS($A$4:$A91,"&gt;="&amp;$A92-1,$A$4:$A91,"&lt;="&amp;$A92,$B$4:$B91,$B92)&gt;0,MIN(AR$1,IF($A92=$A91,AR91,1))-W92&lt;0),-1,MIN(1,IF($A92=$A91,AR91,1)-W92+$D$3))</f>
        <v>#N/A</v>
      </c>
      <c r="AS92" t="e">
        <f>IF(OR($J92=0,COUNTIFS($A$4:$A91,"&gt;="&amp;$A92-1,$A$4:$A91,"&lt;="&amp;$A92,$B$4:$B91,$B92)&gt;0,MIN(AS$1,IF($A92=$A91,AS91,1))-X92&lt;0),-1,MIN(1,IF($A92=$A91,AS91,1)-X92+$D$3))</f>
        <v>#N/A</v>
      </c>
      <c r="AT92" t="e">
        <f>IF(OR($J92=0,COUNTIFS($A$4:$A91,"&gt;="&amp;$A92-1,$A$4:$A91,"&lt;="&amp;$A92,$B$4:$B91,$B92)&gt;0,MIN(AT$1,IF($A92=$A91,AT91,1))-Y92&lt;0),-1,MIN(1,IF($A92=$A91,AT91,1)-Y92+$D$3))</f>
        <v>#N/A</v>
      </c>
      <c r="AU92" t="e">
        <f>IF(OR($J92=0,COUNTIFS($A$4:$A91,"&gt;="&amp;$A92-1,$A$4:$A91,"&lt;="&amp;$A92,$B$4:$B91,$B92)&gt;0,MIN(AU$1,IF($A92=$A91,AU91,1))-Z92&lt;0),-1,MIN(1,IF($A92=$A91,AU91,1)-Z92+$D$3))</f>
        <v>#N/A</v>
      </c>
      <c r="AV92" t="e">
        <f>IF(OR($J92=0,COUNTIFS($A$4:$A91,"&gt;="&amp;$A92-1,$A$4:$A91,"&lt;="&amp;$A92,$B$4:$B91,$B92)&gt;0,MIN(AV$1,IF($A92=$A91,AV91,1))-AA92&lt;0),-1,MIN(1,IF($A92=$A91,AV91,1)-AA92+$D$3))</f>
        <v>#N/A</v>
      </c>
      <c r="AW92" t="e">
        <f>IF(OR($J92=0,COUNTIFS($A$4:$A91,"&gt;="&amp;$A92-1,$A$4:$A91,"&lt;="&amp;$A92,$B$4:$B91,$B92)&gt;0,MIN(AW$1,IF($A92=$A91,AW91,1))-AB92&lt;0),-1,MIN(1,IF($A92=$A91,AW91,1)-AB92+$D$3))</f>
        <v>#N/A</v>
      </c>
      <c r="AX92" t="e">
        <f>IF(OR($J92=0,COUNTIFS($A$4:$A91,"&gt;="&amp;$A92-1,$A$4:$A91,"&lt;="&amp;$A92,$B$4:$B91,$B92)&gt;0,MIN(AX$1,IF($A92=$A91,AX91,1))-AC92&lt;0),-1,MIN(1,IF($A92=$A91,AX91,1)-AC92+$D$3))</f>
        <v>#N/A</v>
      </c>
      <c r="AY92" t="e">
        <f>IF(OR($J92=0,COUNTIFS($A$4:$A91,"&gt;="&amp;$A92-1,$A$4:$A91,"&lt;="&amp;$A92,$B$4:$B91,$B92)&gt;0,MIN(AY$1,IF($A92=$A91,AY91,1))-AD92&lt;0),-1,MIN(1,IF($A92=$A91,AY91,1)-AD92+$D$3))</f>
        <v>#N/A</v>
      </c>
      <c r="AZ92" t="e">
        <f>IF(OR($J92=0,COUNTIFS($A$4:$A91,"&gt;="&amp;$A92-1,$A$4:$A91,"&lt;="&amp;$A92,$B$4:$B91,$B92)&gt;0,MIN(AZ$1,IF($A92=$A91,AZ91,1))-AE92&lt;0),-1,MIN(1,IF($A92=$A91,AZ91,1)-AE92+$D$3))</f>
        <v>#N/A</v>
      </c>
      <c r="BA92" t="e">
        <f>IF(OR($J92=0,COUNTIFS($A$4:$A91,"&gt;="&amp;$A92-1,$A$4:$A91,"&lt;="&amp;$A92,$B$4:$B91,$B92)&gt;0,MIN(BA$1,IF($A92=$A91,BA91,1))-AF92&lt;0),-1,MIN(1,IF($A92=$A91,BA91,1)-AF92+$D$3))</f>
        <v>#N/A</v>
      </c>
      <c r="BB92" t="e">
        <f>IF(OR($J92=0,COUNTIFS($A$4:$A91,"&gt;="&amp;$A92-1,$A$4:$A91,"&lt;="&amp;$A92,$B$4:$B91,$B92)&gt;0,MIN(BB$1,IF($A92=$A91,BB91,1))-AG92&lt;0),-1,MIN(1,IF($A92=$A91,BB91,1)-AG92+$D$3))</f>
        <v>#N/A</v>
      </c>
      <c r="BC92" t="e">
        <f>IF(OR($J92=0,COUNTIFS($A$4:$A91,"&gt;="&amp;$A92-1,$A$4:$A91,"&lt;="&amp;$A92,$B$4:$B91,$B92)&gt;0,MIN(BC$1,IF($A92=$A91,BC91,1))-AH92&lt;0),-1,MIN(1,IF($A92=$A91,BC91,1)-AH92+$D$3))</f>
        <v>#N/A</v>
      </c>
      <c r="BD92" t="e">
        <f>IF(OR($J92=0,COUNTIFS($A$4:$A91,"&gt;="&amp;$A92-1,$A$4:$A91,"&lt;="&amp;$A92,$B$4:$B91,$B92)&gt;0,MIN(BD$1,IF($A92=$A91,BD91,1))-AI92&lt;0),-1,MIN(1,IF($A92=$A91,BD91,1)-AI92+$D$3))</f>
        <v>#N/A</v>
      </c>
      <c r="BF92" s="44">
        <f t="shared" si="179"/>
        <v>2.3226467283482675E-2</v>
      </c>
      <c r="BG92" s="44">
        <f t="shared" si="180"/>
        <v>5.7120437123919704E-2</v>
      </c>
      <c r="BH92" s="44">
        <f t="shared" si="181"/>
        <v>5.8542439570477257E-2</v>
      </c>
      <c r="BI92" s="44">
        <f t="shared" si="182"/>
        <v>5.4076960540891436E-2</v>
      </c>
      <c r="BJ92" s="44">
        <f t="shared" si="183"/>
        <v>5.5893672567163148E-2</v>
      </c>
      <c r="BK92" s="44">
        <f t="shared" si="184"/>
        <v>2.400282699254493E-2</v>
      </c>
      <c r="BL92" s="44">
        <f t="shared" si="185"/>
        <v>1.2966704763311158E-2</v>
      </c>
      <c r="BM92" s="44">
        <f t="shared" si="186"/>
        <v>3.2985782730451219E-2</v>
      </c>
      <c r="BN92" s="44">
        <f t="shared" si="187"/>
        <v>3.4307784799218075E-2</v>
      </c>
      <c r="BO92" s="44">
        <f t="shared" si="188"/>
        <v>1.6077929787927086E-2</v>
      </c>
      <c r="BP92" s="44">
        <f t="shared" si="189"/>
        <v>5.4061680692438982E-2</v>
      </c>
      <c r="BQ92" s="44">
        <f t="shared" si="190"/>
        <v>1.4589009718892886E-2</v>
      </c>
      <c r="BR92" s="44">
        <f t="shared" si="191"/>
        <v>4.3099586720664732E-2</v>
      </c>
      <c r="BS92" s="44">
        <f t="shared" si="192"/>
        <v>2.3244179054876742E-2</v>
      </c>
      <c r="BT92" s="44">
        <f t="shared" si="193"/>
        <v>9.1984342637992905E-2</v>
      </c>
      <c r="BU92" s="44">
        <f t="shared" si="194"/>
        <v>8.787272636587852E-2</v>
      </c>
      <c r="BV92" s="44">
        <f t="shared" si="195"/>
        <v>8.4390059196433054E-2</v>
      </c>
      <c r="BW92" s="44">
        <f t="shared" si="196"/>
        <v>5.5195742734634123E-2</v>
      </c>
      <c r="BX92" s="44">
        <f t="shared" si="197"/>
        <v>4.0777612418929236E-2</v>
      </c>
      <c r="BY92" s="44">
        <f t="shared" si="198"/>
        <v>3.5012267116018084E-2</v>
      </c>
      <c r="CA92" s="44" t="str">
        <f t="shared" si="199"/>
        <v/>
      </c>
      <c r="CB92" s="44" t="str">
        <f t="shared" si="200"/>
        <v/>
      </c>
      <c r="CC92" s="44" t="str">
        <f t="shared" si="201"/>
        <v/>
      </c>
      <c r="CD92" s="44" t="str">
        <f t="shared" si="202"/>
        <v/>
      </c>
      <c r="CE92" s="44" t="str">
        <f t="shared" si="203"/>
        <v/>
      </c>
      <c r="CF92" s="44" t="str">
        <f t="shared" si="204"/>
        <v/>
      </c>
      <c r="CG92" s="44" t="str">
        <f t="shared" si="205"/>
        <v/>
      </c>
      <c r="CH92" s="44" t="str">
        <f t="shared" si="206"/>
        <v/>
      </c>
      <c r="CI92" s="44" t="str">
        <f t="shared" si="207"/>
        <v/>
      </c>
      <c r="CJ92" s="44" t="str">
        <f t="shared" si="208"/>
        <v/>
      </c>
      <c r="CK92" s="44" t="str">
        <f t="shared" si="209"/>
        <v/>
      </c>
      <c r="CL92" s="44" t="str">
        <f t="shared" si="210"/>
        <v/>
      </c>
      <c r="CM92" s="44" t="str">
        <f t="shared" si="211"/>
        <v/>
      </c>
      <c r="CN92" s="44" t="str">
        <f t="shared" si="212"/>
        <v/>
      </c>
      <c r="CO92" s="44" t="str">
        <f t="shared" si="213"/>
        <v/>
      </c>
      <c r="CP92" s="44" t="str">
        <f t="shared" si="214"/>
        <v/>
      </c>
      <c r="CQ92" s="44" t="str">
        <f t="shared" si="215"/>
        <v/>
      </c>
      <c r="CR92" s="44" t="str">
        <f t="shared" si="216"/>
        <v/>
      </c>
      <c r="CS92" s="44" t="str">
        <f t="shared" si="217"/>
        <v/>
      </c>
      <c r="CT92" s="44" t="str">
        <f t="shared" si="218"/>
        <v/>
      </c>
      <c r="CV92" s="44">
        <f t="shared" si="219"/>
        <v>0</v>
      </c>
    </row>
    <row r="93" spans="1:100" x14ac:dyDescent="0.25">
      <c r="A93" s="41"/>
      <c r="B93" s="42"/>
      <c r="C93" s="43" t="str" cm="1">
        <f t="array" ref="C93">IF(B93="","",INDEX(UWS!$B$10:$B$41,B93))</f>
        <v/>
      </c>
      <c r="D93" s="40" t="str">
        <f t="shared" si="176"/>
        <v/>
      </c>
      <c r="E93" s="69" t="str">
        <f t="shared" si="177"/>
        <v/>
      </c>
      <c r="F93" s="48" cm="1">
        <f t="array" ref="F93">0.1+IFERROR(INDEX($F$5:$F92,SUMPRODUCT(MAX(ROW($C$5:$C92)*($C93=$C$5:$C92))-ROW($A$4)))*0.9^($A93-INDEX($A$5:A92,SUMPRODUCT(MAX(ROW($C$5:$C92)*($C93=$C$5:$C92))-ROW($A$4)))),0)</f>
        <v>2.8000000000000012</v>
      </c>
      <c r="G93" s="55" t="e">
        <f>INDEX(UWS!$AB$10:$AB$41,MATCH(C93,UWS!$B$10:$B$41,0))</f>
        <v>#N/A</v>
      </c>
      <c r="H93" s="48" t="e">
        <f>INDEX(UWS!$C$10:$C$41,MATCH(C93,UWS!$B$10:$B$41,0))</f>
        <v>#N/A</v>
      </c>
      <c r="I93" s="27">
        <f t="shared" si="178"/>
        <v>5</v>
      </c>
      <c r="J93" s="27" t="e">
        <f>INDEX(UWS!$E$10:$E$41,MATCH(C93,UWS!$B$10:$B$41,0))</f>
        <v>#N/A</v>
      </c>
      <c r="L93" s="108" t="str" cm="1">
        <f t="array" ref="L93">IF(K93="","",INDEX(UWS!$B$10:$B$41,K93))</f>
        <v/>
      </c>
      <c r="N93" s="108" t="str" cm="1">
        <f t="array" ref="N93">IF(M93="","",INDEX(UWS!$B$10:$B$41,M93))</f>
        <v/>
      </c>
      <c r="P93">
        <f>IFERROR(INDEX(UWS!$G$10:$Z$41,MATCH($C93,UWS!$B$10:$B$41,0),MATCH(P$4,UWS!$G$3:$Z$3,0)),0)</f>
        <v>0</v>
      </c>
      <c r="Q93">
        <f>IFERROR(INDEX(UWS!$G$10:$Z$41,MATCH($C93,UWS!$B$10:$B$41,0),MATCH(Q$4,UWS!$G$3:$Z$3,0)),0)</f>
        <v>0</v>
      </c>
      <c r="R93">
        <f>IFERROR(INDEX(UWS!$G$10:$Z$41,MATCH($C93,UWS!$B$10:$B$41,0),MATCH(R$4,UWS!$G$3:$Z$3,0)),0)</f>
        <v>0</v>
      </c>
      <c r="S93">
        <f>IFERROR(INDEX(UWS!$G$10:$Z$41,MATCH($C93,UWS!$B$10:$B$41,0),MATCH(S$4,UWS!$G$3:$Z$3,0)),0)</f>
        <v>0</v>
      </c>
      <c r="T93">
        <f>IFERROR(INDEX(UWS!$G$10:$Z$41,MATCH($C93,UWS!$B$10:$B$41,0),MATCH(T$4,UWS!$G$3:$Z$3,0)),0)</f>
        <v>0</v>
      </c>
      <c r="U93">
        <f>IFERROR(INDEX(UWS!$G$10:$Z$41,MATCH($C93,UWS!$B$10:$B$41,0),MATCH(U$4,UWS!$G$3:$Z$3,0)),0)</f>
        <v>0</v>
      </c>
      <c r="V93">
        <f>IFERROR(INDEX(UWS!$G$10:$Z$41,MATCH($C93,UWS!$B$10:$B$41,0),MATCH(V$4,UWS!$G$3:$Z$3,0)),0)</f>
        <v>0</v>
      </c>
      <c r="W93">
        <f>IFERROR(INDEX(UWS!$G$10:$Z$41,MATCH($C93,UWS!$B$10:$B$41,0),MATCH(W$4,UWS!$G$3:$Z$3,0)),0)</f>
        <v>0</v>
      </c>
      <c r="X93">
        <f>IFERROR(INDEX(UWS!$G$10:$Z$41,MATCH($C93,UWS!$B$10:$B$41,0),MATCH(X$4,UWS!$G$3:$Z$3,0)),0)</f>
        <v>0</v>
      </c>
      <c r="Y93">
        <f>IFERROR(INDEX(UWS!$G$10:$Z$41,MATCH($C93,UWS!$B$10:$B$41,0),MATCH(Y$4,UWS!$G$3:$Z$3,0)),0)</f>
        <v>0</v>
      </c>
      <c r="Z93">
        <f>IFERROR(INDEX(UWS!$G$10:$Z$41,MATCH($C93,UWS!$B$10:$B$41,0),MATCH(Z$4,UWS!$G$3:$Z$3,0)),0)</f>
        <v>0</v>
      </c>
      <c r="AA93">
        <f>IFERROR(INDEX(UWS!$G$10:$Z$41,MATCH($C93,UWS!$B$10:$B$41,0),MATCH(AA$4,UWS!$G$3:$Z$3,0)),0)</f>
        <v>0</v>
      </c>
      <c r="AB93">
        <f>IFERROR(INDEX(UWS!$G$10:$Z$41,MATCH($C93,UWS!$B$10:$B$41,0),MATCH(AB$4,UWS!$G$3:$Z$3,0)),0)</f>
        <v>0</v>
      </c>
      <c r="AC93">
        <f>IFERROR(INDEX(UWS!$G$10:$Z$41,MATCH($C93,UWS!$B$10:$B$41,0),MATCH(AC$4,UWS!$G$3:$Z$3,0)),0)</f>
        <v>0</v>
      </c>
      <c r="AD93">
        <f>IFERROR(INDEX(UWS!$G$10:$Z$41,MATCH($C93,UWS!$B$10:$B$41,0),MATCH(AD$4,UWS!$G$3:$Z$3,0)),0)</f>
        <v>0</v>
      </c>
      <c r="AE93">
        <f>IFERROR(INDEX(UWS!$G$10:$Z$41,MATCH($C93,UWS!$B$10:$B$41,0),MATCH(AE$4,UWS!$G$3:$Z$3,0)),0)</f>
        <v>0</v>
      </c>
      <c r="AF93">
        <f>IFERROR(INDEX(UWS!$G$10:$Z$41,MATCH($C93,UWS!$B$10:$B$41,0),MATCH(AF$4,UWS!$G$3:$Z$3,0)),0)</f>
        <v>0</v>
      </c>
      <c r="AG93">
        <f>IFERROR(INDEX(UWS!$G$10:$Z$41,MATCH($C93,UWS!$B$10:$B$41,0),MATCH(AG$4,UWS!$G$3:$Z$3,0)),0)</f>
        <v>0</v>
      </c>
      <c r="AH93">
        <f>IFERROR(INDEX(UWS!$G$10:$Z$41,MATCH($C93,UWS!$B$10:$B$41,0),MATCH(AH$4,UWS!$G$3:$Z$3,0)),0)</f>
        <v>0</v>
      </c>
      <c r="AI93">
        <f>IFERROR(INDEX(UWS!$G$10:$Z$41,MATCH($C93,UWS!$B$10:$B$41,0),MATCH(AI$4,UWS!$G$3:$Z$3,0)),0)</f>
        <v>0</v>
      </c>
      <c r="AK93" t="e">
        <f>IF(OR($J93=0,COUNTIFS($A$4:$A92,"&gt;="&amp;$A93-1,$A$4:$A92,"&lt;="&amp;$A93,$B$4:$B92,$B93)&gt;0,MIN(AK$1,IF($A93=$A92,AK92,1))-P93&lt;0),-1,MIN(1,IF($A93=$A92,AK92,1)-P93+$D$3))</f>
        <v>#N/A</v>
      </c>
      <c r="AL93" t="e">
        <f>IF(OR($J93=0,COUNTIFS($A$4:$A92,"&gt;="&amp;$A93-1,$A$4:$A92,"&lt;="&amp;$A93,$B$4:$B92,$B93)&gt;0,MIN(AL$1,IF($A93=$A92,AL92,1))-Q93&lt;0),-1,MIN(1,IF($A93=$A92,AL92,1)-Q93+$D$3))</f>
        <v>#N/A</v>
      </c>
      <c r="AM93" t="e">
        <f>IF(OR($J93=0,COUNTIFS($A$4:$A92,"&gt;="&amp;$A93-1,$A$4:$A92,"&lt;="&amp;$A93,$B$4:$B92,$B93)&gt;0,MIN(AM$1,IF($A93=$A92,AM92,1))-R93&lt;0),-1,MIN(1,IF($A93=$A92,AM92,1)-R93+$D$3))</f>
        <v>#N/A</v>
      </c>
      <c r="AN93" t="e">
        <f>IF(OR($J93=0,COUNTIFS($A$4:$A92,"&gt;="&amp;$A93-1,$A$4:$A92,"&lt;="&amp;$A93,$B$4:$B92,$B93)&gt;0,MIN(AN$1,IF($A93=$A92,AN92,1))-S93&lt;0),-1,MIN(1,IF($A93=$A92,AN92,1)-S93+$D$3))</f>
        <v>#N/A</v>
      </c>
      <c r="AO93" t="e">
        <f>IF(OR($J93=0,COUNTIFS($A$4:$A92,"&gt;="&amp;$A93-1,$A$4:$A92,"&lt;="&amp;$A93,$B$4:$B92,$B93)&gt;0,MIN(AO$1,IF($A93=$A92,AO92,1))-T93&lt;0),-1,MIN(1,IF($A93=$A92,AO92,1)-T93+$D$3))</f>
        <v>#N/A</v>
      </c>
      <c r="AP93" t="e">
        <f>IF(OR($J93=0,COUNTIFS($A$4:$A92,"&gt;="&amp;$A93-1,$A$4:$A92,"&lt;="&amp;$A93,$B$4:$B92,$B93)&gt;0,MIN(AP$1,IF($A93=$A92,AP92,1))-U93&lt;0),-1,MIN(1,IF($A93=$A92,AP92,1)-U93+$D$3))</f>
        <v>#N/A</v>
      </c>
      <c r="AQ93" t="e">
        <f>IF(OR($J93=0,COUNTIFS($A$4:$A92,"&gt;="&amp;$A93-1,$A$4:$A92,"&lt;="&amp;$A93,$B$4:$B92,$B93)&gt;0,MIN(AQ$1,IF($A93=$A92,AQ92,1))-V93&lt;0),-1,MIN(1,IF($A93=$A92,AQ92,1)-V93+$D$3))</f>
        <v>#N/A</v>
      </c>
      <c r="AR93" t="e">
        <f>IF(OR($J93=0,COUNTIFS($A$4:$A92,"&gt;="&amp;$A93-1,$A$4:$A92,"&lt;="&amp;$A93,$B$4:$B92,$B93)&gt;0,MIN(AR$1,IF($A93=$A92,AR92,1))-W93&lt;0),-1,MIN(1,IF($A93=$A92,AR92,1)-W93+$D$3))</f>
        <v>#N/A</v>
      </c>
      <c r="AS93" t="e">
        <f>IF(OR($J93=0,COUNTIFS($A$4:$A92,"&gt;="&amp;$A93-1,$A$4:$A92,"&lt;="&amp;$A93,$B$4:$B92,$B93)&gt;0,MIN(AS$1,IF($A93=$A92,AS92,1))-X93&lt;0),-1,MIN(1,IF($A93=$A92,AS92,1)-X93+$D$3))</f>
        <v>#N/A</v>
      </c>
      <c r="AT93" t="e">
        <f>IF(OR($J93=0,COUNTIFS($A$4:$A92,"&gt;="&amp;$A93-1,$A$4:$A92,"&lt;="&amp;$A93,$B$4:$B92,$B93)&gt;0,MIN(AT$1,IF($A93=$A92,AT92,1))-Y93&lt;0),-1,MIN(1,IF($A93=$A92,AT92,1)-Y93+$D$3))</f>
        <v>#N/A</v>
      </c>
      <c r="AU93" t="e">
        <f>IF(OR($J93=0,COUNTIFS($A$4:$A92,"&gt;="&amp;$A93-1,$A$4:$A92,"&lt;="&amp;$A93,$B$4:$B92,$B93)&gt;0,MIN(AU$1,IF($A93=$A92,AU92,1))-Z93&lt;0),-1,MIN(1,IF($A93=$A92,AU92,1)-Z93+$D$3))</f>
        <v>#N/A</v>
      </c>
      <c r="AV93" t="e">
        <f>IF(OR($J93=0,COUNTIFS($A$4:$A92,"&gt;="&amp;$A93-1,$A$4:$A92,"&lt;="&amp;$A93,$B$4:$B92,$B93)&gt;0,MIN(AV$1,IF($A93=$A92,AV92,1))-AA93&lt;0),-1,MIN(1,IF($A93=$A92,AV92,1)-AA93+$D$3))</f>
        <v>#N/A</v>
      </c>
      <c r="AW93" t="e">
        <f>IF(OR($J93=0,COUNTIFS($A$4:$A92,"&gt;="&amp;$A93-1,$A$4:$A92,"&lt;="&amp;$A93,$B$4:$B92,$B93)&gt;0,MIN(AW$1,IF($A93=$A92,AW92,1))-AB93&lt;0),-1,MIN(1,IF($A93=$A92,AW92,1)-AB93+$D$3))</f>
        <v>#N/A</v>
      </c>
      <c r="AX93" t="e">
        <f>IF(OR($J93=0,COUNTIFS($A$4:$A92,"&gt;="&amp;$A93-1,$A$4:$A92,"&lt;="&amp;$A93,$B$4:$B92,$B93)&gt;0,MIN(AX$1,IF($A93=$A92,AX92,1))-AC93&lt;0),-1,MIN(1,IF($A93=$A92,AX92,1)-AC93+$D$3))</f>
        <v>#N/A</v>
      </c>
      <c r="AY93" t="e">
        <f>IF(OR($J93=0,COUNTIFS($A$4:$A92,"&gt;="&amp;$A93-1,$A$4:$A92,"&lt;="&amp;$A93,$B$4:$B92,$B93)&gt;0,MIN(AY$1,IF($A93=$A92,AY92,1))-AD93&lt;0),-1,MIN(1,IF($A93=$A92,AY92,1)-AD93+$D$3))</f>
        <v>#N/A</v>
      </c>
      <c r="AZ93" t="e">
        <f>IF(OR($J93=0,COUNTIFS($A$4:$A92,"&gt;="&amp;$A93-1,$A$4:$A92,"&lt;="&amp;$A93,$B$4:$B92,$B93)&gt;0,MIN(AZ$1,IF($A93=$A92,AZ92,1))-AE93&lt;0),-1,MIN(1,IF($A93=$A92,AZ92,1)-AE93+$D$3))</f>
        <v>#N/A</v>
      </c>
      <c r="BA93" t="e">
        <f>IF(OR($J93=0,COUNTIFS($A$4:$A92,"&gt;="&amp;$A93-1,$A$4:$A92,"&lt;="&amp;$A93,$B$4:$B92,$B93)&gt;0,MIN(BA$1,IF($A93=$A92,BA92,1))-AF93&lt;0),-1,MIN(1,IF($A93=$A92,BA92,1)-AF93+$D$3))</f>
        <v>#N/A</v>
      </c>
      <c r="BB93" t="e">
        <f>IF(OR($J93=0,COUNTIFS($A$4:$A92,"&gt;="&amp;$A93-1,$A$4:$A92,"&lt;="&amp;$A93,$B$4:$B92,$B93)&gt;0,MIN(BB$1,IF($A93=$A92,BB92,1))-AG93&lt;0),-1,MIN(1,IF($A93=$A92,BB92,1)-AG93+$D$3))</f>
        <v>#N/A</v>
      </c>
      <c r="BC93" t="e">
        <f>IF(OR($J93=0,COUNTIFS($A$4:$A92,"&gt;="&amp;$A93-1,$A$4:$A92,"&lt;="&amp;$A93,$B$4:$B92,$B93)&gt;0,MIN(BC$1,IF($A93=$A92,BC92,1))-AH93&lt;0),-1,MIN(1,IF($A93=$A92,BC92,1)-AH93+$D$3))</f>
        <v>#N/A</v>
      </c>
      <c r="BD93" t="e">
        <f>IF(OR($J93=0,COUNTIFS($A$4:$A92,"&gt;="&amp;$A93-1,$A$4:$A92,"&lt;="&amp;$A93,$B$4:$B92,$B93)&gt;0,MIN(BD$1,IF($A93=$A92,BD92,1))-AI93&lt;0),-1,MIN(1,IF($A93=$A92,BD92,1)-AI93+$D$3))</f>
        <v>#N/A</v>
      </c>
      <c r="BF93" s="44">
        <f t="shared" si="179"/>
        <v>2.2065143919308541E-2</v>
      </c>
      <c r="BG93" s="44">
        <f t="shared" si="180"/>
        <v>5.4264415267723715E-2</v>
      </c>
      <c r="BH93" s="44">
        <f t="shared" si="181"/>
        <v>5.5615317591953393E-2</v>
      </c>
      <c r="BI93" s="44">
        <f t="shared" si="182"/>
        <v>5.1373112513846859E-2</v>
      </c>
      <c r="BJ93" s="44">
        <f t="shared" si="183"/>
        <v>5.3098988938804985E-2</v>
      </c>
      <c r="BK93" s="44">
        <f t="shared" si="184"/>
        <v>2.2802685642917681E-2</v>
      </c>
      <c r="BL93" s="44">
        <f t="shared" si="185"/>
        <v>1.23183695251456E-2</v>
      </c>
      <c r="BM93" s="44">
        <f t="shared" si="186"/>
        <v>3.1336493593928656E-2</v>
      </c>
      <c r="BN93" s="44">
        <f t="shared" si="187"/>
        <v>3.2592395559257172E-2</v>
      </c>
      <c r="BO93" s="44">
        <f t="shared" si="188"/>
        <v>1.5274033298530731E-2</v>
      </c>
      <c r="BP93" s="44">
        <f t="shared" si="189"/>
        <v>5.1358596657817029E-2</v>
      </c>
      <c r="BQ93" s="44">
        <f t="shared" si="190"/>
        <v>1.3859559232948241E-2</v>
      </c>
      <c r="BR93" s="44">
        <f t="shared" si="191"/>
        <v>4.0944607384631494E-2</v>
      </c>
      <c r="BS93" s="44">
        <f t="shared" si="192"/>
        <v>2.2081970102132906E-2</v>
      </c>
      <c r="BT93" s="44">
        <f t="shared" si="193"/>
        <v>8.7385125506093259E-2</v>
      </c>
      <c r="BU93" s="44">
        <f t="shared" si="194"/>
        <v>8.3479090047584595E-2</v>
      </c>
      <c r="BV93" s="44">
        <f t="shared" si="195"/>
        <v>8.0170556236611401E-2</v>
      </c>
      <c r="BW93" s="44">
        <f t="shared" si="196"/>
        <v>5.2435955597902414E-2</v>
      </c>
      <c r="BX93" s="44">
        <f t="shared" si="197"/>
        <v>3.8738731797982776E-2</v>
      </c>
      <c r="BY93" s="44">
        <f t="shared" si="198"/>
        <v>3.3261653760217176E-2</v>
      </c>
      <c r="CA93" s="44" t="str">
        <f t="shared" si="199"/>
        <v/>
      </c>
      <c r="CB93" s="44" t="str">
        <f t="shared" si="200"/>
        <v/>
      </c>
      <c r="CC93" s="44" t="str">
        <f t="shared" si="201"/>
        <v/>
      </c>
      <c r="CD93" s="44" t="str">
        <f t="shared" si="202"/>
        <v/>
      </c>
      <c r="CE93" s="44" t="str">
        <f t="shared" si="203"/>
        <v/>
      </c>
      <c r="CF93" s="44" t="str">
        <f t="shared" si="204"/>
        <v/>
      </c>
      <c r="CG93" s="44" t="str">
        <f t="shared" si="205"/>
        <v/>
      </c>
      <c r="CH93" s="44" t="str">
        <f t="shared" si="206"/>
        <v/>
      </c>
      <c r="CI93" s="44" t="str">
        <f t="shared" si="207"/>
        <v/>
      </c>
      <c r="CJ93" s="44" t="str">
        <f t="shared" si="208"/>
        <v/>
      </c>
      <c r="CK93" s="44" t="str">
        <f t="shared" si="209"/>
        <v/>
      </c>
      <c r="CL93" s="44" t="str">
        <f t="shared" si="210"/>
        <v/>
      </c>
      <c r="CM93" s="44" t="str">
        <f t="shared" si="211"/>
        <v/>
      </c>
      <c r="CN93" s="44" t="str">
        <f t="shared" si="212"/>
        <v/>
      </c>
      <c r="CO93" s="44" t="str">
        <f t="shared" si="213"/>
        <v/>
      </c>
      <c r="CP93" s="44" t="str">
        <f t="shared" si="214"/>
        <v/>
      </c>
      <c r="CQ93" s="44" t="str">
        <f t="shared" si="215"/>
        <v/>
      </c>
      <c r="CR93" s="44" t="str">
        <f t="shared" si="216"/>
        <v/>
      </c>
      <c r="CS93" s="44" t="str">
        <f t="shared" si="217"/>
        <v/>
      </c>
      <c r="CT93" s="44" t="str">
        <f t="shared" si="218"/>
        <v/>
      </c>
      <c r="CV93" s="44">
        <f t="shared" si="219"/>
        <v>0</v>
      </c>
    </row>
    <row r="94" spans="1:100" x14ac:dyDescent="0.25">
      <c r="A94" s="41"/>
      <c r="B94" s="42"/>
      <c r="C94" s="43" t="str" cm="1">
        <f t="array" ref="C94">IF(B94="","",INDEX(UWS!$B$10:$B$41,B94))</f>
        <v/>
      </c>
      <c r="D94" s="40" t="str">
        <f t="shared" si="176"/>
        <v/>
      </c>
      <c r="E94" s="69" t="str">
        <f t="shared" si="177"/>
        <v/>
      </c>
      <c r="F94" s="48" cm="1">
        <f t="array" ref="F94">0.1+IFERROR(INDEX($F$5:$F93,SUMPRODUCT(MAX(ROW($C$5:$C93)*($C94=$C$5:$C93))-ROW($A$4)))*0.9^($A94-INDEX($A$5:A93,SUMPRODUCT(MAX(ROW($C$5:$C93)*($C94=$C$5:$C93))-ROW($A$4)))),0)</f>
        <v>2.9000000000000012</v>
      </c>
      <c r="G94" s="55" t="e">
        <f>INDEX(UWS!$AB$10:$AB$41,MATCH(C94,UWS!$B$10:$B$41,0))</f>
        <v>#N/A</v>
      </c>
      <c r="H94" s="48" t="e">
        <f>INDEX(UWS!$C$10:$C$41,MATCH(C94,UWS!$B$10:$B$41,0))</f>
        <v>#N/A</v>
      </c>
      <c r="I94" s="27">
        <f t="shared" si="178"/>
        <v>5</v>
      </c>
      <c r="J94" s="27" t="e">
        <f>INDEX(UWS!$E$10:$E$41,MATCH(C94,UWS!$B$10:$B$41,0))</f>
        <v>#N/A</v>
      </c>
      <c r="L94" s="108" t="str" cm="1">
        <f t="array" ref="L94">IF(K94="","",INDEX(UWS!$B$10:$B$41,K94))</f>
        <v/>
      </c>
      <c r="N94" s="108" t="str" cm="1">
        <f t="array" ref="N94">IF(M94="","",INDEX(UWS!$B$10:$B$41,M94))</f>
        <v/>
      </c>
      <c r="P94">
        <f>IFERROR(INDEX(UWS!$G$10:$Z$41,MATCH($C94,UWS!$B$10:$B$41,0),MATCH(P$4,UWS!$G$3:$Z$3,0)),0)</f>
        <v>0</v>
      </c>
      <c r="Q94">
        <f>IFERROR(INDEX(UWS!$G$10:$Z$41,MATCH($C94,UWS!$B$10:$B$41,0),MATCH(Q$4,UWS!$G$3:$Z$3,0)),0)</f>
        <v>0</v>
      </c>
      <c r="R94">
        <f>IFERROR(INDEX(UWS!$G$10:$Z$41,MATCH($C94,UWS!$B$10:$B$41,0),MATCH(R$4,UWS!$G$3:$Z$3,0)),0)</f>
        <v>0</v>
      </c>
      <c r="S94">
        <f>IFERROR(INDEX(UWS!$G$10:$Z$41,MATCH($C94,UWS!$B$10:$B$41,0),MATCH(S$4,UWS!$G$3:$Z$3,0)),0)</f>
        <v>0</v>
      </c>
      <c r="T94">
        <f>IFERROR(INDEX(UWS!$G$10:$Z$41,MATCH($C94,UWS!$B$10:$B$41,0),MATCH(T$4,UWS!$G$3:$Z$3,0)),0)</f>
        <v>0</v>
      </c>
      <c r="U94">
        <f>IFERROR(INDEX(UWS!$G$10:$Z$41,MATCH($C94,UWS!$B$10:$B$41,0),MATCH(U$4,UWS!$G$3:$Z$3,0)),0)</f>
        <v>0</v>
      </c>
      <c r="V94">
        <f>IFERROR(INDEX(UWS!$G$10:$Z$41,MATCH($C94,UWS!$B$10:$B$41,0),MATCH(V$4,UWS!$G$3:$Z$3,0)),0)</f>
        <v>0</v>
      </c>
      <c r="W94">
        <f>IFERROR(INDEX(UWS!$G$10:$Z$41,MATCH($C94,UWS!$B$10:$B$41,0),MATCH(W$4,UWS!$G$3:$Z$3,0)),0)</f>
        <v>0</v>
      </c>
      <c r="X94">
        <f>IFERROR(INDEX(UWS!$G$10:$Z$41,MATCH($C94,UWS!$B$10:$B$41,0),MATCH(X$4,UWS!$G$3:$Z$3,0)),0)</f>
        <v>0</v>
      </c>
      <c r="Y94">
        <f>IFERROR(INDEX(UWS!$G$10:$Z$41,MATCH($C94,UWS!$B$10:$B$41,0),MATCH(Y$4,UWS!$G$3:$Z$3,0)),0)</f>
        <v>0</v>
      </c>
      <c r="Z94">
        <f>IFERROR(INDEX(UWS!$G$10:$Z$41,MATCH($C94,UWS!$B$10:$B$41,0),MATCH(Z$4,UWS!$G$3:$Z$3,0)),0)</f>
        <v>0</v>
      </c>
      <c r="AA94">
        <f>IFERROR(INDEX(UWS!$G$10:$Z$41,MATCH($C94,UWS!$B$10:$B$41,0),MATCH(AA$4,UWS!$G$3:$Z$3,0)),0)</f>
        <v>0</v>
      </c>
      <c r="AB94">
        <f>IFERROR(INDEX(UWS!$G$10:$Z$41,MATCH($C94,UWS!$B$10:$B$41,0),MATCH(AB$4,UWS!$G$3:$Z$3,0)),0)</f>
        <v>0</v>
      </c>
      <c r="AC94">
        <f>IFERROR(INDEX(UWS!$G$10:$Z$41,MATCH($C94,UWS!$B$10:$B$41,0),MATCH(AC$4,UWS!$G$3:$Z$3,0)),0)</f>
        <v>0</v>
      </c>
      <c r="AD94">
        <f>IFERROR(INDEX(UWS!$G$10:$Z$41,MATCH($C94,UWS!$B$10:$B$41,0),MATCH(AD$4,UWS!$G$3:$Z$3,0)),0)</f>
        <v>0</v>
      </c>
      <c r="AE94">
        <f>IFERROR(INDEX(UWS!$G$10:$Z$41,MATCH($C94,UWS!$B$10:$B$41,0),MATCH(AE$4,UWS!$G$3:$Z$3,0)),0)</f>
        <v>0</v>
      </c>
      <c r="AF94">
        <f>IFERROR(INDEX(UWS!$G$10:$Z$41,MATCH($C94,UWS!$B$10:$B$41,0),MATCH(AF$4,UWS!$G$3:$Z$3,0)),0)</f>
        <v>0</v>
      </c>
      <c r="AG94">
        <f>IFERROR(INDEX(UWS!$G$10:$Z$41,MATCH($C94,UWS!$B$10:$B$41,0),MATCH(AG$4,UWS!$G$3:$Z$3,0)),0)</f>
        <v>0</v>
      </c>
      <c r="AH94">
        <f>IFERROR(INDEX(UWS!$G$10:$Z$41,MATCH($C94,UWS!$B$10:$B$41,0),MATCH(AH$4,UWS!$G$3:$Z$3,0)),0)</f>
        <v>0</v>
      </c>
      <c r="AI94">
        <f>IFERROR(INDEX(UWS!$G$10:$Z$41,MATCH($C94,UWS!$B$10:$B$41,0),MATCH(AI$4,UWS!$G$3:$Z$3,0)),0)</f>
        <v>0</v>
      </c>
      <c r="AK94" t="e">
        <f>IF(OR($J94=0,COUNTIFS($A$4:$A93,"&gt;="&amp;$A94-1,$A$4:$A93,"&lt;="&amp;$A94,$B$4:$B93,$B94)&gt;0,MIN(AK$1,IF($A94=$A93,AK93,1))-P94&lt;0),-1,MIN(1,IF($A94=$A93,AK93,1)-P94+$D$3))</f>
        <v>#N/A</v>
      </c>
      <c r="AL94" t="e">
        <f>IF(OR($J94=0,COUNTIFS($A$4:$A93,"&gt;="&amp;$A94-1,$A$4:$A93,"&lt;="&amp;$A94,$B$4:$B93,$B94)&gt;0,MIN(AL$1,IF($A94=$A93,AL93,1))-Q94&lt;0),-1,MIN(1,IF($A94=$A93,AL93,1)-Q94+$D$3))</f>
        <v>#N/A</v>
      </c>
      <c r="AM94" t="e">
        <f>IF(OR($J94=0,COUNTIFS($A$4:$A93,"&gt;="&amp;$A94-1,$A$4:$A93,"&lt;="&amp;$A94,$B$4:$B93,$B94)&gt;0,MIN(AM$1,IF($A94=$A93,AM93,1))-R94&lt;0),-1,MIN(1,IF($A94=$A93,AM93,1)-R94+$D$3))</f>
        <v>#N/A</v>
      </c>
      <c r="AN94" t="e">
        <f>IF(OR($J94=0,COUNTIFS($A$4:$A93,"&gt;="&amp;$A94-1,$A$4:$A93,"&lt;="&amp;$A94,$B$4:$B93,$B94)&gt;0,MIN(AN$1,IF($A94=$A93,AN93,1))-S94&lt;0),-1,MIN(1,IF($A94=$A93,AN93,1)-S94+$D$3))</f>
        <v>#N/A</v>
      </c>
      <c r="AO94" t="e">
        <f>IF(OR($J94=0,COUNTIFS($A$4:$A93,"&gt;="&amp;$A94-1,$A$4:$A93,"&lt;="&amp;$A94,$B$4:$B93,$B94)&gt;0,MIN(AO$1,IF($A94=$A93,AO93,1))-T94&lt;0),-1,MIN(1,IF($A94=$A93,AO93,1)-T94+$D$3))</f>
        <v>#N/A</v>
      </c>
      <c r="AP94" t="e">
        <f>IF(OR($J94=0,COUNTIFS($A$4:$A93,"&gt;="&amp;$A94-1,$A$4:$A93,"&lt;="&amp;$A94,$B$4:$B93,$B94)&gt;0,MIN(AP$1,IF($A94=$A93,AP93,1))-U94&lt;0),-1,MIN(1,IF($A94=$A93,AP93,1)-U94+$D$3))</f>
        <v>#N/A</v>
      </c>
      <c r="AQ94" t="e">
        <f>IF(OR($J94=0,COUNTIFS($A$4:$A93,"&gt;="&amp;$A94-1,$A$4:$A93,"&lt;="&amp;$A94,$B$4:$B93,$B94)&gt;0,MIN(AQ$1,IF($A94=$A93,AQ93,1))-V94&lt;0),-1,MIN(1,IF($A94=$A93,AQ93,1)-V94+$D$3))</f>
        <v>#N/A</v>
      </c>
      <c r="AR94" t="e">
        <f>IF(OR($J94=0,COUNTIFS($A$4:$A93,"&gt;="&amp;$A94-1,$A$4:$A93,"&lt;="&amp;$A94,$B$4:$B93,$B94)&gt;0,MIN(AR$1,IF($A94=$A93,AR93,1))-W94&lt;0),-1,MIN(1,IF($A94=$A93,AR93,1)-W94+$D$3))</f>
        <v>#N/A</v>
      </c>
      <c r="AS94" t="e">
        <f>IF(OR($J94=0,COUNTIFS($A$4:$A93,"&gt;="&amp;$A94-1,$A$4:$A93,"&lt;="&amp;$A94,$B$4:$B93,$B94)&gt;0,MIN(AS$1,IF($A94=$A93,AS93,1))-X94&lt;0),-1,MIN(1,IF($A94=$A93,AS93,1)-X94+$D$3))</f>
        <v>#N/A</v>
      </c>
      <c r="AT94" t="e">
        <f>IF(OR($J94=0,COUNTIFS($A$4:$A93,"&gt;="&amp;$A94-1,$A$4:$A93,"&lt;="&amp;$A94,$B$4:$B93,$B94)&gt;0,MIN(AT$1,IF($A94=$A93,AT93,1))-Y94&lt;0),-1,MIN(1,IF($A94=$A93,AT93,1)-Y94+$D$3))</f>
        <v>#N/A</v>
      </c>
      <c r="AU94" t="e">
        <f>IF(OR($J94=0,COUNTIFS($A$4:$A93,"&gt;="&amp;$A94-1,$A$4:$A93,"&lt;="&amp;$A94,$B$4:$B93,$B94)&gt;0,MIN(AU$1,IF($A94=$A93,AU93,1))-Z94&lt;0),-1,MIN(1,IF($A94=$A93,AU93,1)-Z94+$D$3))</f>
        <v>#N/A</v>
      </c>
      <c r="AV94" t="e">
        <f>IF(OR($J94=0,COUNTIFS($A$4:$A93,"&gt;="&amp;$A94-1,$A$4:$A93,"&lt;="&amp;$A94,$B$4:$B93,$B94)&gt;0,MIN(AV$1,IF($A94=$A93,AV93,1))-AA94&lt;0),-1,MIN(1,IF($A94=$A93,AV93,1)-AA94+$D$3))</f>
        <v>#N/A</v>
      </c>
      <c r="AW94" t="e">
        <f>IF(OR($J94=0,COUNTIFS($A$4:$A93,"&gt;="&amp;$A94-1,$A$4:$A93,"&lt;="&amp;$A94,$B$4:$B93,$B94)&gt;0,MIN(AW$1,IF($A94=$A93,AW93,1))-AB94&lt;0),-1,MIN(1,IF($A94=$A93,AW93,1)-AB94+$D$3))</f>
        <v>#N/A</v>
      </c>
      <c r="AX94" t="e">
        <f>IF(OR($J94=0,COUNTIFS($A$4:$A93,"&gt;="&amp;$A94-1,$A$4:$A93,"&lt;="&amp;$A94,$B$4:$B93,$B94)&gt;0,MIN(AX$1,IF($A94=$A93,AX93,1))-AC94&lt;0),-1,MIN(1,IF($A94=$A93,AX93,1)-AC94+$D$3))</f>
        <v>#N/A</v>
      </c>
      <c r="AY94" t="e">
        <f>IF(OR($J94=0,COUNTIFS($A$4:$A93,"&gt;="&amp;$A94-1,$A$4:$A93,"&lt;="&amp;$A94,$B$4:$B93,$B94)&gt;0,MIN(AY$1,IF($A94=$A93,AY93,1))-AD94&lt;0),-1,MIN(1,IF($A94=$A93,AY93,1)-AD94+$D$3))</f>
        <v>#N/A</v>
      </c>
      <c r="AZ94" t="e">
        <f>IF(OR($J94=0,COUNTIFS($A$4:$A93,"&gt;="&amp;$A94-1,$A$4:$A93,"&lt;="&amp;$A94,$B$4:$B93,$B94)&gt;0,MIN(AZ$1,IF($A94=$A93,AZ93,1))-AE94&lt;0),-1,MIN(1,IF($A94=$A93,AZ93,1)-AE94+$D$3))</f>
        <v>#N/A</v>
      </c>
      <c r="BA94" t="e">
        <f>IF(OR($J94=0,COUNTIFS($A$4:$A93,"&gt;="&amp;$A94-1,$A$4:$A93,"&lt;="&amp;$A94,$B$4:$B93,$B94)&gt;0,MIN(BA$1,IF($A94=$A93,BA93,1))-AF94&lt;0),-1,MIN(1,IF($A94=$A93,BA93,1)-AF94+$D$3))</f>
        <v>#N/A</v>
      </c>
      <c r="BB94" t="e">
        <f>IF(OR($J94=0,COUNTIFS($A$4:$A93,"&gt;="&amp;$A94-1,$A$4:$A93,"&lt;="&amp;$A94,$B$4:$B93,$B94)&gt;0,MIN(BB$1,IF($A94=$A93,BB93,1))-AG94&lt;0),-1,MIN(1,IF($A94=$A93,BB93,1)-AG94+$D$3))</f>
        <v>#N/A</v>
      </c>
      <c r="BC94" t="e">
        <f>IF(OR($J94=0,COUNTIFS($A$4:$A93,"&gt;="&amp;$A94-1,$A$4:$A93,"&lt;="&amp;$A94,$B$4:$B93,$B94)&gt;0,MIN(BC$1,IF($A94=$A93,BC93,1))-AH94&lt;0),-1,MIN(1,IF($A94=$A93,BC93,1)-AH94+$D$3))</f>
        <v>#N/A</v>
      </c>
      <c r="BD94" t="e">
        <f>IF(OR($J94=0,COUNTIFS($A$4:$A93,"&gt;="&amp;$A94-1,$A$4:$A93,"&lt;="&amp;$A94,$B$4:$B93,$B94)&gt;0,MIN(BD$1,IF($A94=$A93,BD93,1))-AI94&lt;0),-1,MIN(1,IF($A94=$A93,BD93,1)-AI94+$D$3))</f>
        <v>#N/A</v>
      </c>
      <c r="BF94" s="44">
        <f t="shared" si="179"/>
        <v>2.0961886723343114E-2</v>
      </c>
      <c r="BG94" s="44">
        <f t="shared" si="180"/>
        <v>5.1551194504337525E-2</v>
      </c>
      <c r="BH94" s="44">
        <f t="shared" si="181"/>
        <v>5.2834551712355723E-2</v>
      </c>
      <c r="BI94" s="44">
        <f t="shared" si="182"/>
        <v>4.8804456888154511E-2</v>
      </c>
      <c r="BJ94" s="44">
        <f t="shared" si="183"/>
        <v>5.0444039491864733E-2</v>
      </c>
      <c r="BK94" s="44">
        <f t="shared" si="184"/>
        <v>2.1662551360771796E-2</v>
      </c>
      <c r="BL94" s="44">
        <f t="shared" si="185"/>
        <v>1.170245104888832E-2</v>
      </c>
      <c r="BM94" s="44">
        <f t="shared" si="186"/>
        <v>2.976966891423222E-2</v>
      </c>
      <c r="BN94" s="44">
        <f t="shared" si="187"/>
        <v>3.0962775781294312E-2</v>
      </c>
      <c r="BO94" s="44">
        <f t="shared" si="188"/>
        <v>1.4510331633604193E-2</v>
      </c>
      <c r="BP94" s="44">
        <f t="shared" si="189"/>
        <v>4.8790666824926172E-2</v>
      </c>
      <c r="BQ94" s="44">
        <f t="shared" si="190"/>
        <v>1.3166581271300829E-2</v>
      </c>
      <c r="BR94" s="44">
        <f t="shared" si="191"/>
        <v>3.8897377015399914E-2</v>
      </c>
      <c r="BS94" s="44">
        <f t="shared" si="192"/>
        <v>2.097787159702626E-2</v>
      </c>
      <c r="BT94" s="44">
        <f t="shared" si="193"/>
        <v>8.3015869230788589E-2</v>
      </c>
      <c r="BU94" s="44">
        <f t="shared" si="194"/>
        <v>7.9305135545205366E-2</v>
      </c>
      <c r="BV94" s="44">
        <f t="shared" si="195"/>
        <v>7.6162028424780828E-2</v>
      </c>
      <c r="BW94" s="44">
        <f t="shared" si="196"/>
        <v>4.9814157818007292E-2</v>
      </c>
      <c r="BX94" s="44">
        <f t="shared" si="197"/>
        <v>3.6801795208083632E-2</v>
      </c>
      <c r="BY94" s="44">
        <f t="shared" si="198"/>
        <v>3.1598571072206316E-2</v>
      </c>
      <c r="CA94" s="44" t="str">
        <f t="shared" si="199"/>
        <v/>
      </c>
      <c r="CB94" s="44" t="str">
        <f t="shared" si="200"/>
        <v/>
      </c>
      <c r="CC94" s="44" t="str">
        <f t="shared" si="201"/>
        <v/>
      </c>
      <c r="CD94" s="44" t="str">
        <f t="shared" si="202"/>
        <v/>
      </c>
      <c r="CE94" s="44" t="str">
        <f t="shared" si="203"/>
        <v/>
      </c>
      <c r="CF94" s="44" t="str">
        <f t="shared" si="204"/>
        <v/>
      </c>
      <c r="CG94" s="44" t="str">
        <f t="shared" si="205"/>
        <v/>
      </c>
      <c r="CH94" s="44" t="str">
        <f t="shared" si="206"/>
        <v/>
      </c>
      <c r="CI94" s="44" t="str">
        <f t="shared" si="207"/>
        <v/>
      </c>
      <c r="CJ94" s="44" t="str">
        <f t="shared" si="208"/>
        <v/>
      </c>
      <c r="CK94" s="44" t="str">
        <f t="shared" si="209"/>
        <v/>
      </c>
      <c r="CL94" s="44" t="str">
        <f t="shared" si="210"/>
        <v/>
      </c>
      <c r="CM94" s="44" t="str">
        <f t="shared" si="211"/>
        <v/>
      </c>
      <c r="CN94" s="44" t="str">
        <f t="shared" si="212"/>
        <v/>
      </c>
      <c r="CO94" s="44" t="str">
        <f t="shared" si="213"/>
        <v/>
      </c>
      <c r="CP94" s="44" t="str">
        <f t="shared" si="214"/>
        <v/>
      </c>
      <c r="CQ94" s="44" t="str">
        <f t="shared" si="215"/>
        <v/>
      </c>
      <c r="CR94" s="44" t="str">
        <f t="shared" si="216"/>
        <v/>
      </c>
      <c r="CS94" s="44" t="str">
        <f t="shared" si="217"/>
        <v/>
      </c>
      <c r="CT94" s="44" t="str">
        <f t="shared" si="218"/>
        <v/>
      </c>
      <c r="CV94" s="44">
        <f t="shared" si="219"/>
        <v>0</v>
      </c>
    </row>
    <row r="95" spans="1:100" x14ac:dyDescent="0.25">
      <c r="A95" s="49"/>
      <c r="B95" s="50"/>
      <c r="C95" s="51" t="str" cm="1">
        <f t="array" ref="C95">IF(B95="","",INDEX(UWS!$B$10:$B$41,B95))</f>
        <v/>
      </c>
      <c r="D95" s="45" t="str">
        <f t="shared" si="176"/>
        <v/>
      </c>
      <c r="E95" s="70" t="str">
        <f t="shared" si="177"/>
        <v/>
      </c>
      <c r="F95" s="52" cm="1">
        <f t="array" ref="F95">0.1+IFERROR(INDEX($F$5:$F94,SUMPRODUCT(MAX(ROW($C$5:$C94)*($C95=$C$5:$C94))-ROW($A$4)))*0.9^($A95-INDEX($A$5:A94,SUMPRODUCT(MAX(ROW($C$5:$C94)*($C95=$C$5:$C94))-ROW($A$4)))),0)</f>
        <v>3.0000000000000013</v>
      </c>
      <c r="G95" s="56" t="e">
        <f>INDEX(UWS!$AB$10:$AB$41,MATCH(C95,UWS!$B$10:$B$41,0))</f>
        <v>#N/A</v>
      </c>
      <c r="H95" s="52" t="e">
        <f>INDEX(UWS!$C$10:$C$41,MATCH(C95,UWS!$B$10:$B$41,0))</f>
        <v>#N/A</v>
      </c>
      <c r="I95" s="46">
        <f t="shared" si="178"/>
        <v>5</v>
      </c>
      <c r="J95" s="46" t="e">
        <f>INDEX(UWS!$E$10:$E$41,MATCH(C95,UWS!$B$10:$B$41,0))</f>
        <v>#N/A</v>
      </c>
      <c r="K95" s="46"/>
      <c r="L95" s="109" t="str" cm="1">
        <f t="array" ref="L95">IF(K95="","",INDEX(UWS!$B$10:$B$41,K95))</f>
        <v/>
      </c>
      <c r="M95" s="46"/>
      <c r="N95" s="109" t="str" cm="1">
        <f t="array" ref="N95">IF(M95="","",INDEX(UWS!$B$10:$B$41,M95))</f>
        <v/>
      </c>
      <c r="O95" s="47"/>
      <c r="P95" s="47">
        <f>IFERROR(INDEX(UWS!$G$10:$Z$41,MATCH($C95,UWS!$B$10:$B$41,0),MATCH(P$4,UWS!$G$3:$Z$3,0)),0)</f>
        <v>0</v>
      </c>
      <c r="Q95" s="47">
        <f>IFERROR(INDEX(UWS!$G$10:$Z$41,MATCH($C95,UWS!$B$10:$B$41,0),MATCH(Q$4,UWS!$G$3:$Z$3,0)),0)</f>
        <v>0</v>
      </c>
      <c r="R95" s="47">
        <f>IFERROR(INDEX(UWS!$G$10:$Z$41,MATCH($C95,UWS!$B$10:$B$41,0),MATCH(R$4,UWS!$G$3:$Z$3,0)),0)</f>
        <v>0</v>
      </c>
      <c r="S95" s="47">
        <f>IFERROR(INDEX(UWS!$G$10:$Z$41,MATCH($C95,UWS!$B$10:$B$41,0),MATCH(S$4,UWS!$G$3:$Z$3,0)),0)</f>
        <v>0</v>
      </c>
      <c r="T95" s="47">
        <f>IFERROR(INDEX(UWS!$G$10:$Z$41,MATCH($C95,UWS!$B$10:$B$41,0),MATCH(T$4,UWS!$G$3:$Z$3,0)),0)</f>
        <v>0</v>
      </c>
      <c r="U95" s="47">
        <f>IFERROR(INDEX(UWS!$G$10:$Z$41,MATCH($C95,UWS!$B$10:$B$41,0),MATCH(U$4,UWS!$G$3:$Z$3,0)),0)</f>
        <v>0</v>
      </c>
      <c r="V95" s="47">
        <f>IFERROR(INDEX(UWS!$G$10:$Z$41,MATCH($C95,UWS!$B$10:$B$41,0),MATCH(V$4,UWS!$G$3:$Z$3,0)),0)</f>
        <v>0</v>
      </c>
      <c r="W95" s="47">
        <f>IFERROR(INDEX(UWS!$G$10:$Z$41,MATCH($C95,UWS!$B$10:$B$41,0),MATCH(W$4,UWS!$G$3:$Z$3,0)),0)</f>
        <v>0</v>
      </c>
      <c r="X95" s="47">
        <f>IFERROR(INDEX(UWS!$G$10:$Z$41,MATCH($C95,UWS!$B$10:$B$41,0),MATCH(X$4,UWS!$G$3:$Z$3,0)),0)</f>
        <v>0</v>
      </c>
      <c r="Y95" s="47">
        <f>IFERROR(INDEX(UWS!$G$10:$Z$41,MATCH($C95,UWS!$B$10:$B$41,0),MATCH(Y$4,UWS!$G$3:$Z$3,0)),0)</f>
        <v>0</v>
      </c>
      <c r="Z95" s="47">
        <f>IFERROR(INDEX(UWS!$G$10:$Z$41,MATCH($C95,UWS!$B$10:$B$41,0),MATCH(Z$4,UWS!$G$3:$Z$3,0)),0)</f>
        <v>0</v>
      </c>
      <c r="AA95" s="47">
        <f>IFERROR(INDEX(UWS!$G$10:$Z$41,MATCH($C95,UWS!$B$10:$B$41,0),MATCH(AA$4,UWS!$G$3:$Z$3,0)),0)</f>
        <v>0</v>
      </c>
      <c r="AB95" s="47">
        <f>IFERROR(INDEX(UWS!$G$10:$Z$41,MATCH($C95,UWS!$B$10:$B$41,0),MATCH(AB$4,UWS!$G$3:$Z$3,0)),0)</f>
        <v>0</v>
      </c>
      <c r="AC95" s="47">
        <f>IFERROR(INDEX(UWS!$G$10:$Z$41,MATCH($C95,UWS!$B$10:$B$41,0),MATCH(AC$4,UWS!$G$3:$Z$3,0)),0)</f>
        <v>0</v>
      </c>
      <c r="AD95" s="47">
        <f>IFERROR(INDEX(UWS!$G$10:$Z$41,MATCH($C95,UWS!$B$10:$B$41,0),MATCH(AD$4,UWS!$G$3:$Z$3,0)),0)</f>
        <v>0</v>
      </c>
      <c r="AE95" s="47">
        <f>IFERROR(INDEX(UWS!$G$10:$Z$41,MATCH($C95,UWS!$B$10:$B$41,0),MATCH(AE$4,UWS!$G$3:$Z$3,0)),0)</f>
        <v>0</v>
      </c>
      <c r="AF95" s="47">
        <f>IFERROR(INDEX(UWS!$G$10:$Z$41,MATCH($C95,UWS!$B$10:$B$41,0),MATCH(AF$4,UWS!$G$3:$Z$3,0)),0)</f>
        <v>0</v>
      </c>
      <c r="AG95" s="47">
        <f>IFERROR(INDEX(UWS!$G$10:$Z$41,MATCH($C95,UWS!$B$10:$B$41,0),MATCH(AG$4,UWS!$G$3:$Z$3,0)),0)</f>
        <v>0</v>
      </c>
      <c r="AH95" s="47">
        <f>IFERROR(INDEX(UWS!$G$10:$Z$41,MATCH($C95,UWS!$B$10:$B$41,0),MATCH(AH$4,UWS!$G$3:$Z$3,0)),0)</f>
        <v>0</v>
      </c>
      <c r="AI95" s="47">
        <f>IFERROR(INDEX(UWS!$G$10:$Z$41,MATCH($C95,UWS!$B$10:$B$41,0),MATCH(AI$4,UWS!$G$3:$Z$3,0)),0)</f>
        <v>0</v>
      </c>
      <c r="AJ95" s="47"/>
      <c r="AK95" s="47" t="e">
        <f>IF(OR($J95=0,COUNTIFS($A$4:$A94,"&gt;="&amp;$A95-1,$A$4:$A94,"&lt;="&amp;$A95,$B$4:$B94,$B95)&gt;0,MIN(AK$1,IF($A95=$A94,AK94,1))-P95&lt;0),-1,MIN(1,IF($A95=$A94,AK94,1)-P95+$D$3))</f>
        <v>#N/A</v>
      </c>
      <c r="AL95" s="47" t="e">
        <f>IF(OR($J95=0,COUNTIFS($A$4:$A94,"&gt;="&amp;$A95-1,$A$4:$A94,"&lt;="&amp;$A95,$B$4:$B94,$B95)&gt;0,MIN(AL$1,IF($A95=$A94,AL94,1))-Q95&lt;0),-1,MIN(1,IF($A95=$A94,AL94,1)-Q95+$D$3))</f>
        <v>#N/A</v>
      </c>
      <c r="AM95" s="47" t="e">
        <f>IF(OR($J95=0,COUNTIFS($A$4:$A94,"&gt;="&amp;$A95-1,$A$4:$A94,"&lt;="&amp;$A95,$B$4:$B94,$B95)&gt;0,MIN(AM$1,IF($A95=$A94,AM94,1))-R95&lt;0),-1,MIN(1,IF($A95=$A94,AM94,1)-R95+$D$3))</f>
        <v>#N/A</v>
      </c>
      <c r="AN95" s="47" t="e">
        <f>IF(OR($J95=0,COUNTIFS($A$4:$A94,"&gt;="&amp;$A95-1,$A$4:$A94,"&lt;="&amp;$A95,$B$4:$B94,$B95)&gt;0,MIN(AN$1,IF($A95=$A94,AN94,1))-S95&lt;0),-1,MIN(1,IF($A95=$A94,AN94,1)-S95+$D$3))</f>
        <v>#N/A</v>
      </c>
      <c r="AO95" s="47" t="e">
        <f>IF(OR($J95=0,COUNTIFS($A$4:$A94,"&gt;="&amp;$A95-1,$A$4:$A94,"&lt;="&amp;$A95,$B$4:$B94,$B95)&gt;0,MIN(AO$1,IF($A95=$A94,AO94,1))-T95&lt;0),-1,MIN(1,IF($A95=$A94,AO94,1)-T95+$D$3))</f>
        <v>#N/A</v>
      </c>
      <c r="AP95" s="47" t="e">
        <f>IF(OR($J95=0,COUNTIFS($A$4:$A94,"&gt;="&amp;$A95-1,$A$4:$A94,"&lt;="&amp;$A95,$B$4:$B94,$B95)&gt;0,MIN(AP$1,IF($A95=$A94,AP94,1))-U95&lt;0),-1,MIN(1,IF($A95=$A94,AP94,1)-U95+$D$3))</f>
        <v>#N/A</v>
      </c>
      <c r="AQ95" s="47" t="e">
        <f>IF(OR($J95=0,COUNTIFS($A$4:$A94,"&gt;="&amp;$A95-1,$A$4:$A94,"&lt;="&amp;$A95,$B$4:$B94,$B95)&gt;0,MIN(AQ$1,IF($A95=$A94,AQ94,1))-V95&lt;0),-1,MIN(1,IF($A95=$A94,AQ94,1)-V95+$D$3))</f>
        <v>#N/A</v>
      </c>
      <c r="AR95" s="47" t="e">
        <f>IF(OR($J95=0,COUNTIFS($A$4:$A94,"&gt;="&amp;$A95-1,$A$4:$A94,"&lt;="&amp;$A95,$B$4:$B94,$B95)&gt;0,MIN(AR$1,IF($A95=$A94,AR94,1))-W95&lt;0),-1,MIN(1,IF($A95=$A94,AR94,1)-W95+$D$3))</f>
        <v>#N/A</v>
      </c>
      <c r="AS95" s="47" t="e">
        <f>IF(OR($J95=0,COUNTIFS($A$4:$A94,"&gt;="&amp;$A95-1,$A$4:$A94,"&lt;="&amp;$A95,$B$4:$B94,$B95)&gt;0,MIN(AS$1,IF($A95=$A94,AS94,1))-X95&lt;0),-1,MIN(1,IF($A95=$A94,AS94,1)-X95+$D$3))</f>
        <v>#N/A</v>
      </c>
      <c r="AT95" s="47" t="e">
        <f>IF(OR($J95=0,COUNTIFS($A$4:$A94,"&gt;="&amp;$A95-1,$A$4:$A94,"&lt;="&amp;$A95,$B$4:$B94,$B95)&gt;0,MIN(AT$1,IF($A95=$A94,AT94,1))-Y95&lt;0),-1,MIN(1,IF($A95=$A94,AT94,1)-Y95+$D$3))</f>
        <v>#N/A</v>
      </c>
      <c r="AU95" s="47" t="e">
        <f>IF(OR($J95=0,COUNTIFS($A$4:$A94,"&gt;="&amp;$A95-1,$A$4:$A94,"&lt;="&amp;$A95,$B$4:$B94,$B95)&gt;0,MIN(AU$1,IF($A95=$A94,AU94,1))-Z95&lt;0),-1,MIN(1,IF($A95=$A94,AU94,1)-Z95+$D$3))</f>
        <v>#N/A</v>
      </c>
      <c r="AV95" s="47" t="e">
        <f>IF(OR($J95=0,COUNTIFS($A$4:$A94,"&gt;="&amp;$A95-1,$A$4:$A94,"&lt;="&amp;$A95,$B$4:$B94,$B95)&gt;0,MIN(AV$1,IF($A95=$A94,AV94,1))-AA95&lt;0),-1,MIN(1,IF($A95=$A94,AV94,1)-AA95+$D$3))</f>
        <v>#N/A</v>
      </c>
      <c r="AW95" s="47" t="e">
        <f>IF(OR($J95=0,COUNTIFS($A$4:$A94,"&gt;="&amp;$A95-1,$A$4:$A94,"&lt;="&amp;$A95,$B$4:$B94,$B95)&gt;0,MIN(AW$1,IF($A95=$A94,AW94,1))-AB95&lt;0),-1,MIN(1,IF($A95=$A94,AW94,1)-AB95+$D$3))</f>
        <v>#N/A</v>
      </c>
      <c r="AX95" s="47" t="e">
        <f>IF(OR($J95=0,COUNTIFS($A$4:$A94,"&gt;="&amp;$A95-1,$A$4:$A94,"&lt;="&amp;$A95,$B$4:$B94,$B95)&gt;0,MIN(AX$1,IF($A95=$A94,AX94,1))-AC95&lt;0),-1,MIN(1,IF($A95=$A94,AX94,1)-AC95+$D$3))</f>
        <v>#N/A</v>
      </c>
      <c r="AY95" s="47" t="e">
        <f>IF(OR($J95=0,COUNTIFS($A$4:$A94,"&gt;="&amp;$A95-1,$A$4:$A94,"&lt;="&amp;$A95,$B$4:$B94,$B95)&gt;0,MIN(AY$1,IF($A95=$A94,AY94,1))-AD95&lt;0),-1,MIN(1,IF($A95=$A94,AY94,1)-AD95+$D$3))</f>
        <v>#N/A</v>
      </c>
      <c r="AZ95" s="47" t="e">
        <f>IF(OR($J95=0,COUNTIFS($A$4:$A94,"&gt;="&amp;$A95-1,$A$4:$A94,"&lt;="&amp;$A95,$B$4:$B94,$B95)&gt;0,MIN(AZ$1,IF($A95=$A94,AZ94,1))-AE95&lt;0),-1,MIN(1,IF($A95=$A94,AZ94,1)-AE95+$D$3))</f>
        <v>#N/A</v>
      </c>
      <c r="BA95" s="47" t="e">
        <f>IF(OR($J95=0,COUNTIFS($A$4:$A94,"&gt;="&amp;$A95-1,$A$4:$A94,"&lt;="&amp;$A95,$B$4:$B94,$B95)&gt;0,MIN(BA$1,IF($A95=$A94,BA94,1))-AF95&lt;0),-1,MIN(1,IF($A95=$A94,BA94,1)-AF95+$D$3))</f>
        <v>#N/A</v>
      </c>
      <c r="BB95" s="47" t="e">
        <f>IF(OR($J95=0,COUNTIFS($A$4:$A94,"&gt;="&amp;$A95-1,$A$4:$A94,"&lt;="&amp;$A95,$B$4:$B94,$B95)&gt;0,MIN(BB$1,IF($A95=$A94,BB94,1))-AG95&lt;0),-1,MIN(1,IF($A95=$A94,BB94,1)-AG95+$D$3))</f>
        <v>#N/A</v>
      </c>
      <c r="BC95" s="47" t="e">
        <f>IF(OR($J95=0,COUNTIFS($A$4:$A94,"&gt;="&amp;$A95-1,$A$4:$A94,"&lt;="&amp;$A95,$B$4:$B94,$B95)&gt;0,MIN(BC$1,IF($A95=$A94,BC94,1))-AH95&lt;0),-1,MIN(1,IF($A95=$A94,BC94,1)-AH95+$D$3))</f>
        <v>#N/A</v>
      </c>
      <c r="BD95" s="47" t="e">
        <f>IF(OR($J95=0,COUNTIFS($A$4:$A94,"&gt;="&amp;$A95-1,$A$4:$A94,"&lt;="&amp;$A95,$B$4:$B94,$B95)&gt;0,MIN(BD$1,IF($A95=$A94,BD94,1))-AI95&lt;0),-1,MIN(1,IF($A95=$A94,BD94,1)-AI95+$D$3))</f>
        <v>#N/A</v>
      </c>
      <c r="BE95" s="47"/>
      <c r="BF95" s="53">
        <f t="shared" si="179"/>
        <v>1.9913792387175958E-2</v>
      </c>
      <c r="BG95" s="53">
        <f t="shared" si="180"/>
        <v>4.8973634779120645E-2</v>
      </c>
      <c r="BH95" s="53">
        <f t="shared" si="181"/>
        <v>5.0192824126737937E-2</v>
      </c>
      <c r="BI95" s="53">
        <f t="shared" si="182"/>
        <v>4.6364234043746781E-2</v>
      </c>
      <c r="BJ95" s="53">
        <f t="shared" si="183"/>
        <v>4.7921837517271491E-2</v>
      </c>
      <c r="BK95" s="53">
        <f t="shared" si="184"/>
        <v>2.0579423792733205E-2</v>
      </c>
      <c r="BL95" s="53">
        <f t="shared" si="185"/>
        <v>1.1117328496443903E-2</v>
      </c>
      <c r="BM95" s="53">
        <f t="shared" si="186"/>
        <v>2.8281185468520608E-2</v>
      </c>
      <c r="BN95" s="53">
        <f t="shared" si="187"/>
        <v>2.9414636992229595E-2</v>
      </c>
      <c r="BO95" s="53">
        <f t="shared" si="188"/>
        <v>1.3784815051923983E-2</v>
      </c>
      <c r="BP95" s="53">
        <f t="shared" si="189"/>
        <v>4.6351133483679863E-2</v>
      </c>
      <c r="BQ95" s="53">
        <f t="shared" si="190"/>
        <v>1.2508252207735788E-2</v>
      </c>
      <c r="BR95" s="53">
        <f t="shared" si="191"/>
        <v>3.6952508164629916E-2</v>
      </c>
      <c r="BS95" s="53">
        <f t="shared" si="192"/>
        <v>1.9928978017174945E-2</v>
      </c>
      <c r="BT95" s="53">
        <f t="shared" si="193"/>
        <v>7.8865075769249157E-2</v>
      </c>
      <c r="BU95" s="53">
        <f t="shared" si="194"/>
        <v>7.5339878767945095E-2</v>
      </c>
      <c r="BV95" s="53">
        <f t="shared" si="195"/>
        <v>7.235392700354179E-2</v>
      </c>
      <c r="BW95" s="53">
        <f t="shared" si="196"/>
        <v>4.7323449927106923E-2</v>
      </c>
      <c r="BX95" s="53">
        <f t="shared" si="197"/>
        <v>3.4961705447679452E-2</v>
      </c>
      <c r="BY95" s="53">
        <f t="shared" si="198"/>
        <v>3.0018642518595998E-2</v>
      </c>
      <c r="BZ95" s="47"/>
      <c r="CA95" s="53" t="str">
        <f t="shared" si="199"/>
        <v/>
      </c>
      <c r="CB95" s="53" t="str">
        <f t="shared" si="200"/>
        <v/>
      </c>
      <c r="CC95" s="53" t="str">
        <f t="shared" si="201"/>
        <v/>
      </c>
      <c r="CD95" s="53" t="str">
        <f t="shared" si="202"/>
        <v/>
      </c>
      <c r="CE95" s="53" t="str">
        <f t="shared" si="203"/>
        <v/>
      </c>
      <c r="CF95" s="53" t="str">
        <f t="shared" si="204"/>
        <v/>
      </c>
      <c r="CG95" s="53" t="str">
        <f t="shared" si="205"/>
        <v/>
      </c>
      <c r="CH95" s="53" t="str">
        <f t="shared" si="206"/>
        <v/>
      </c>
      <c r="CI95" s="53" t="str">
        <f t="shared" si="207"/>
        <v/>
      </c>
      <c r="CJ95" s="53" t="str">
        <f t="shared" si="208"/>
        <v/>
      </c>
      <c r="CK95" s="53" t="str">
        <f t="shared" si="209"/>
        <v/>
      </c>
      <c r="CL95" s="53" t="str">
        <f t="shared" si="210"/>
        <v/>
      </c>
      <c r="CM95" s="53" t="str">
        <f t="shared" si="211"/>
        <v/>
      </c>
      <c r="CN95" s="53" t="str">
        <f t="shared" si="212"/>
        <v/>
      </c>
      <c r="CO95" s="53" t="str">
        <f t="shared" si="213"/>
        <v/>
      </c>
      <c r="CP95" s="53" t="str">
        <f t="shared" si="214"/>
        <v/>
      </c>
      <c r="CQ95" s="53" t="str">
        <f t="shared" si="215"/>
        <v/>
      </c>
      <c r="CR95" s="53" t="str">
        <f t="shared" si="216"/>
        <v/>
      </c>
      <c r="CS95" s="53" t="str">
        <f t="shared" si="217"/>
        <v/>
      </c>
      <c r="CT95" s="53" t="str">
        <f t="shared" si="218"/>
        <v/>
      </c>
      <c r="CU95" s="47"/>
      <c r="CV95" s="53">
        <f t="shared" si="219"/>
        <v>0</v>
      </c>
    </row>
    <row r="96" spans="1:100" x14ac:dyDescent="0.25">
      <c r="A96" s="41"/>
      <c r="B96" s="42"/>
      <c r="C96" s="43" t="str" cm="1">
        <f t="array" ref="C96">IF(B96="","",INDEX(UWS!$B$10:$B$41,B96))</f>
        <v/>
      </c>
      <c r="D96" s="40" t="str">
        <f t="shared" si="176"/>
        <v/>
      </c>
      <c r="E96" s="69" t="str">
        <f t="shared" si="177"/>
        <v/>
      </c>
      <c r="F96" s="48" cm="1">
        <f t="array" ref="F96">0.1+IFERROR(INDEX($F$5:$F95,SUMPRODUCT(MAX(ROW($C$5:$C95)*($C96=$C$5:$C95))-ROW($A$4)))*0.9^($A96-INDEX($A$5:A95,SUMPRODUCT(MAX(ROW($C$5:$C95)*($C96=$C$5:$C95))-ROW($A$4)))),0)</f>
        <v>3.1000000000000014</v>
      </c>
      <c r="G96" s="55" t="e">
        <f>INDEX(UWS!$AB$10:$AB$41,MATCH(C96,UWS!$B$10:$B$41,0))</f>
        <v>#N/A</v>
      </c>
      <c r="H96" s="48" t="e">
        <f>INDEX(UWS!$C$10:$C$41,MATCH(C96,UWS!$B$10:$B$41,0))</f>
        <v>#N/A</v>
      </c>
      <c r="I96" s="82">
        <f t="shared" si="178"/>
        <v>5</v>
      </c>
      <c r="J96" s="27" t="e">
        <f>INDEX(UWS!$E$10:$E$41,MATCH(C96,UWS!$B$10:$B$41,0))</f>
        <v>#N/A</v>
      </c>
      <c r="L96" s="108" t="str" cm="1">
        <f t="array" ref="L96">IF(K96="","",INDEX(UWS!$B$10:$B$41,K96))</f>
        <v/>
      </c>
      <c r="N96" s="108" t="str" cm="1">
        <f t="array" ref="N96">IF(M96="","",INDEX(UWS!$B$10:$B$41,M96))</f>
        <v/>
      </c>
      <c r="P96">
        <f>IFERROR(INDEX(UWS!$G$10:$Z$41,MATCH($C96,UWS!$B$10:$B$41,0),MATCH(P$4,UWS!$G$3:$Z$3,0)),0)</f>
        <v>0</v>
      </c>
      <c r="Q96">
        <f>IFERROR(INDEX(UWS!$G$10:$Z$41,MATCH($C96,UWS!$B$10:$B$41,0),MATCH(Q$4,UWS!$G$3:$Z$3,0)),0)</f>
        <v>0</v>
      </c>
      <c r="R96">
        <f>IFERROR(INDEX(UWS!$G$10:$Z$41,MATCH($C96,UWS!$B$10:$B$41,0),MATCH(R$4,UWS!$G$3:$Z$3,0)),0)</f>
        <v>0</v>
      </c>
      <c r="S96">
        <f>IFERROR(INDEX(UWS!$G$10:$Z$41,MATCH($C96,UWS!$B$10:$B$41,0),MATCH(S$4,UWS!$G$3:$Z$3,0)),0)</f>
        <v>0</v>
      </c>
      <c r="T96">
        <f>IFERROR(INDEX(UWS!$G$10:$Z$41,MATCH($C96,UWS!$B$10:$B$41,0),MATCH(T$4,UWS!$G$3:$Z$3,0)),0)</f>
        <v>0</v>
      </c>
      <c r="U96">
        <f>IFERROR(INDEX(UWS!$G$10:$Z$41,MATCH($C96,UWS!$B$10:$B$41,0),MATCH(U$4,UWS!$G$3:$Z$3,0)),0)</f>
        <v>0</v>
      </c>
      <c r="V96">
        <f>IFERROR(INDEX(UWS!$G$10:$Z$41,MATCH($C96,UWS!$B$10:$B$41,0),MATCH(V$4,UWS!$G$3:$Z$3,0)),0)</f>
        <v>0</v>
      </c>
      <c r="W96">
        <f>IFERROR(INDEX(UWS!$G$10:$Z$41,MATCH($C96,UWS!$B$10:$B$41,0),MATCH(W$4,UWS!$G$3:$Z$3,0)),0)</f>
        <v>0</v>
      </c>
      <c r="X96">
        <f>IFERROR(INDEX(UWS!$G$10:$Z$41,MATCH($C96,UWS!$B$10:$B$41,0),MATCH(X$4,UWS!$G$3:$Z$3,0)),0)</f>
        <v>0</v>
      </c>
      <c r="Y96">
        <f>IFERROR(INDEX(UWS!$G$10:$Z$41,MATCH($C96,UWS!$B$10:$B$41,0),MATCH(Y$4,UWS!$G$3:$Z$3,0)),0)</f>
        <v>0</v>
      </c>
      <c r="Z96">
        <f>IFERROR(INDEX(UWS!$G$10:$Z$41,MATCH($C96,UWS!$B$10:$B$41,0),MATCH(Z$4,UWS!$G$3:$Z$3,0)),0)</f>
        <v>0</v>
      </c>
      <c r="AA96">
        <f>IFERROR(INDEX(UWS!$G$10:$Z$41,MATCH($C96,UWS!$B$10:$B$41,0),MATCH(AA$4,UWS!$G$3:$Z$3,0)),0)</f>
        <v>0</v>
      </c>
      <c r="AB96">
        <f>IFERROR(INDEX(UWS!$G$10:$Z$41,MATCH($C96,UWS!$B$10:$B$41,0),MATCH(AB$4,UWS!$G$3:$Z$3,0)),0)</f>
        <v>0</v>
      </c>
      <c r="AC96">
        <f>IFERROR(INDEX(UWS!$G$10:$Z$41,MATCH($C96,UWS!$B$10:$B$41,0),MATCH(AC$4,UWS!$G$3:$Z$3,0)),0)</f>
        <v>0</v>
      </c>
      <c r="AD96">
        <f>IFERROR(INDEX(UWS!$G$10:$Z$41,MATCH($C96,UWS!$B$10:$B$41,0),MATCH(AD$4,UWS!$G$3:$Z$3,0)),0)</f>
        <v>0</v>
      </c>
      <c r="AE96">
        <f>IFERROR(INDEX(UWS!$G$10:$Z$41,MATCH($C96,UWS!$B$10:$B$41,0),MATCH(AE$4,UWS!$G$3:$Z$3,0)),0)</f>
        <v>0</v>
      </c>
      <c r="AF96">
        <f>IFERROR(INDEX(UWS!$G$10:$Z$41,MATCH($C96,UWS!$B$10:$B$41,0),MATCH(AF$4,UWS!$G$3:$Z$3,0)),0)</f>
        <v>0</v>
      </c>
      <c r="AG96">
        <f>IFERROR(INDEX(UWS!$G$10:$Z$41,MATCH($C96,UWS!$B$10:$B$41,0),MATCH(AG$4,UWS!$G$3:$Z$3,0)),0)</f>
        <v>0</v>
      </c>
      <c r="AH96">
        <f>IFERROR(INDEX(UWS!$G$10:$Z$41,MATCH($C96,UWS!$B$10:$B$41,0),MATCH(AH$4,UWS!$G$3:$Z$3,0)),0)</f>
        <v>0</v>
      </c>
      <c r="AI96">
        <f>IFERROR(INDEX(UWS!$G$10:$Z$41,MATCH($C96,UWS!$B$10:$B$41,0),MATCH(AI$4,UWS!$G$3:$Z$3,0)),0)</f>
        <v>0</v>
      </c>
      <c r="AK96" t="e">
        <f>IF(OR($J96=0,COUNTIFS($A$4:$A95,"&gt;="&amp;$A96-1,$A$4:$A95,"&lt;="&amp;$A96,$B$4:$B95,$B96)&gt;0,MIN(AK$1,IF($A96=$A95,AK95,1))-P96&lt;0),-1,MIN(1,IF($A96=$A95,AK95,1)-P96+$D$3))</f>
        <v>#N/A</v>
      </c>
      <c r="AL96" t="e">
        <f>IF(OR($J96=0,COUNTIFS($A$4:$A95,"&gt;="&amp;$A96-1,$A$4:$A95,"&lt;="&amp;$A96,$B$4:$B95,$B96)&gt;0,MIN(AL$1,IF($A96=$A95,AL95,1))-Q96&lt;0),-1,MIN(1,IF($A96=$A95,AL95,1)-Q96+$D$3))</f>
        <v>#N/A</v>
      </c>
      <c r="AM96" t="e">
        <f>IF(OR($J96=0,COUNTIFS($A$4:$A95,"&gt;="&amp;$A96-1,$A$4:$A95,"&lt;="&amp;$A96,$B$4:$B95,$B96)&gt;0,MIN(AM$1,IF($A96=$A95,AM95,1))-R96&lt;0),-1,MIN(1,IF($A96=$A95,AM95,1)-R96+$D$3))</f>
        <v>#N/A</v>
      </c>
      <c r="AN96" t="e">
        <f>IF(OR($J96=0,COUNTIFS($A$4:$A95,"&gt;="&amp;$A96-1,$A$4:$A95,"&lt;="&amp;$A96,$B$4:$B95,$B96)&gt;0,MIN(AN$1,IF($A96=$A95,AN95,1))-S96&lt;0),-1,MIN(1,IF($A96=$A95,AN95,1)-S96+$D$3))</f>
        <v>#N/A</v>
      </c>
      <c r="AO96" t="e">
        <f>IF(OR($J96=0,COUNTIFS($A$4:$A95,"&gt;="&amp;$A96-1,$A$4:$A95,"&lt;="&amp;$A96,$B$4:$B95,$B96)&gt;0,MIN(AO$1,IF($A96=$A95,AO95,1))-T96&lt;0),-1,MIN(1,IF($A96=$A95,AO95,1)-T96+$D$3))</f>
        <v>#N/A</v>
      </c>
      <c r="AP96" t="e">
        <f>IF(OR($J96=0,COUNTIFS($A$4:$A95,"&gt;="&amp;$A96-1,$A$4:$A95,"&lt;="&amp;$A96,$B$4:$B95,$B96)&gt;0,MIN(AP$1,IF($A96=$A95,AP95,1))-U96&lt;0),-1,MIN(1,IF($A96=$A95,AP95,1)-U96+$D$3))</f>
        <v>#N/A</v>
      </c>
      <c r="AQ96" t="e">
        <f>IF(OR($J96=0,COUNTIFS($A$4:$A95,"&gt;="&amp;$A96-1,$A$4:$A95,"&lt;="&amp;$A96,$B$4:$B95,$B96)&gt;0,MIN(AQ$1,IF($A96=$A95,AQ95,1))-V96&lt;0),-1,MIN(1,IF($A96=$A95,AQ95,1)-V96+$D$3))</f>
        <v>#N/A</v>
      </c>
      <c r="AR96" t="e">
        <f>IF(OR($J96=0,COUNTIFS($A$4:$A95,"&gt;="&amp;$A96-1,$A$4:$A95,"&lt;="&amp;$A96,$B$4:$B95,$B96)&gt;0,MIN(AR$1,IF($A96=$A95,AR95,1))-W96&lt;0),-1,MIN(1,IF($A96=$A95,AR95,1)-W96+$D$3))</f>
        <v>#N/A</v>
      </c>
      <c r="AS96" t="e">
        <f>IF(OR($J96=0,COUNTIFS($A$4:$A95,"&gt;="&amp;$A96-1,$A$4:$A95,"&lt;="&amp;$A96,$B$4:$B95,$B96)&gt;0,MIN(AS$1,IF($A96=$A95,AS95,1))-X96&lt;0),-1,MIN(1,IF($A96=$A95,AS95,1)-X96+$D$3))</f>
        <v>#N/A</v>
      </c>
      <c r="AT96" t="e">
        <f>IF(OR($J96=0,COUNTIFS($A$4:$A95,"&gt;="&amp;$A96-1,$A$4:$A95,"&lt;="&amp;$A96,$B$4:$B95,$B96)&gt;0,MIN(AT$1,IF($A96=$A95,AT95,1))-Y96&lt;0),-1,MIN(1,IF($A96=$A95,AT95,1)-Y96+$D$3))</f>
        <v>#N/A</v>
      </c>
      <c r="AU96" t="e">
        <f>IF(OR($J96=0,COUNTIFS($A$4:$A95,"&gt;="&amp;$A96-1,$A$4:$A95,"&lt;="&amp;$A96,$B$4:$B95,$B96)&gt;0,MIN(AU$1,IF($A96=$A95,AU95,1))-Z96&lt;0),-1,MIN(1,IF($A96=$A95,AU95,1)-Z96+$D$3))</f>
        <v>#N/A</v>
      </c>
      <c r="AV96" t="e">
        <f>IF(OR($J96=0,COUNTIFS($A$4:$A95,"&gt;="&amp;$A96-1,$A$4:$A95,"&lt;="&amp;$A96,$B$4:$B95,$B96)&gt;0,MIN(AV$1,IF($A96=$A95,AV95,1))-AA96&lt;0),-1,MIN(1,IF($A96=$A95,AV95,1)-AA96+$D$3))</f>
        <v>#N/A</v>
      </c>
      <c r="AW96" t="e">
        <f>IF(OR($J96=0,COUNTIFS($A$4:$A95,"&gt;="&amp;$A96-1,$A$4:$A95,"&lt;="&amp;$A96,$B$4:$B95,$B96)&gt;0,MIN(AW$1,IF($A96=$A95,AW95,1))-AB96&lt;0),-1,MIN(1,IF($A96=$A95,AW95,1)-AB96+$D$3))</f>
        <v>#N/A</v>
      </c>
      <c r="AX96" t="e">
        <f>IF(OR($J96=0,COUNTIFS($A$4:$A95,"&gt;="&amp;$A96-1,$A$4:$A95,"&lt;="&amp;$A96,$B$4:$B95,$B96)&gt;0,MIN(AX$1,IF($A96=$A95,AX95,1))-AC96&lt;0),-1,MIN(1,IF($A96=$A95,AX95,1)-AC96+$D$3))</f>
        <v>#N/A</v>
      </c>
      <c r="AY96" t="e">
        <f>IF(OR($J96=0,COUNTIFS($A$4:$A95,"&gt;="&amp;$A96-1,$A$4:$A95,"&lt;="&amp;$A96,$B$4:$B95,$B96)&gt;0,MIN(AY$1,IF($A96=$A95,AY95,1))-AD96&lt;0),-1,MIN(1,IF($A96=$A95,AY95,1)-AD96+$D$3))</f>
        <v>#N/A</v>
      </c>
      <c r="AZ96" t="e">
        <f>IF(OR($J96=0,COUNTIFS($A$4:$A95,"&gt;="&amp;$A96-1,$A$4:$A95,"&lt;="&amp;$A96,$B$4:$B95,$B96)&gt;0,MIN(AZ$1,IF($A96=$A95,AZ95,1))-AE96&lt;0),-1,MIN(1,IF($A96=$A95,AZ95,1)-AE96+$D$3))</f>
        <v>#N/A</v>
      </c>
      <c r="BA96" t="e">
        <f>IF(OR($J96=0,COUNTIFS($A$4:$A95,"&gt;="&amp;$A96-1,$A$4:$A95,"&lt;="&amp;$A96,$B$4:$B95,$B96)&gt;0,MIN(BA$1,IF($A96=$A95,BA95,1))-AF96&lt;0),-1,MIN(1,IF($A96=$A95,BA95,1)-AF96+$D$3))</f>
        <v>#N/A</v>
      </c>
      <c r="BB96" t="e">
        <f>IF(OR($J96=0,COUNTIFS($A$4:$A95,"&gt;="&amp;$A96-1,$A$4:$A95,"&lt;="&amp;$A96,$B$4:$B95,$B96)&gt;0,MIN(BB$1,IF($A96=$A95,BB95,1))-AG96&lt;0),-1,MIN(1,IF($A96=$A95,BB95,1)-AG96+$D$3))</f>
        <v>#N/A</v>
      </c>
      <c r="BC96" t="e">
        <f>IF(OR($J96=0,COUNTIFS($A$4:$A95,"&gt;="&amp;$A96-1,$A$4:$A95,"&lt;="&amp;$A96,$B$4:$B95,$B96)&gt;0,MIN(BC$1,IF($A96=$A95,BC95,1))-AH96&lt;0),-1,MIN(1,IF($A96=$A95,BC95,1)-AH96+$D$3))</f>
        <v>#N/A</v>
      </c>
      <c r="BD96" t="e">
        <f>IF(OR($J96=0,COUNTIFS($A$4:$A95,"&gt;="&amp;$A96-1,$A$4:$A95,"&lt;="&amp;$A96,$B$4:$B95,$B96)&gt;0,MIN(BD$1,IF($A96=$A95,BD95,1))-AI96&lt;0),-1,MIN(1,IF($A96=$A95,BD95,1)-AI96+$D$3))</f>
        <v>#N/A</v>
      </c>
      <c r="BF96" s="44">
        <f t="shared" si="179"/>
        <v>1.891810276781716E-2</v>
      </c>
      <c r="BG96" s="44">
        <f t="shared" si="180"/>
        <v>4.6524953040164609E-2</v>
      </c>
      <c r="BH96" s="44">
        <f t="shared" si="181"/>
        <v>4.7683182920401038E-2</v>
      </c>
      <c r="BI96" s="44">
        <f t="shared" si="182"/>
        <v>4.4046022341559438E-2</v>
      </c>
      <c r="BJ96" s="44">
        <f t="shared" si="183"/>
        <v>4.5525745641407912E-2</v>
      </c>
      <c r="BK96" s="44">
        <f t="shared" si="184"/>
        <v>1.9550452603096544E-2</v>
      </c>
      <c r="BL96" s="44">
        <f t="shared" si="185"/>
        <v>1.0561462071621707E-2</v>
      </c>
      <c r="BM96" s="44">
        <f t="shared" si="186"/>
        <v>2.6867126195094578E-2</v>
      </c>
      <c r="BN96" s="44">
        <f t="shared" si="187"/>
        <v>2.7943905142618113E-2</v>
      </c>
      <c r="BO96" s="44">
        <f t="shared" si="188"/>
        <v>1.3095574299327783E-2</v>
      </c>
      <c r="BP96" s="44">
        <f t="shared" si="189"/>
        <v>4.4033576809495871E-2</v>
      </c>
      <c r="BQ96" s="44">
        <f t="shared" si="190"/>
        <v>1.1882839597348998E-2</v>
      </c>
      <c r="BR96" s="44">
        <f t="shared" si="191"/>
        <v>3.510488275639842E-2</v>
      </c>
      <c r="BS96" s="44">
        <f t="shared" si="192"/>
        <v>1.8932529116316196E-2</v>
      </c>
      <c r="BT96" s="44">
        <f t="shared" si="193"/>
        <v>7.4921821980786701E-2</v>
      </c>
      <c r="BU96" s="44">
        <f t="shared" si="194"/>
        <v>7.1572884829547836E-2</v>
      </c>
      <c r="BV96" s="44">
        <f t="shared" si="195"/>
        <v>6.8736230653364691E-2</v>
      </c>
      <c r="BW96" s="44">
        <f t="shared" si="196"/>
        <v>4.4957277430751577E-2</v>
      </c>
      <c r="BX96" s="44">
        <f t="shared" si="197"/>
        <v>3.3213620175295479E-2</v>
      </c>
      <c r="BY96" s="44">
        <f t="shared" si="198"/>
        <v>2.8517710392666196E-2</v>
      </c>
      <c r="CA96" s="44" t="str">
        <f t="shared" si="199"/>
        <v/>
      </c>
      <c r="CB96" s="44" t="str">
        <f t="shared" si="200"/>
        <v/>
      </c>
      <c r="CC96" s="44" t="str">
        <f t="shared" si="201"/>
        <v/>
      </c>
      <c r="CD96" s="44" t="str">
        <f t="shared" si="202"/>
        <v/>
      </c>
      <c r="CE96" s="44" t="str">
        <f t="shared" si="203"/>
        <v/>
      </c>
      <c r="CF96" s="44" t="str">
        <f t="shared" si="204"/>
        <v/>
      </c>
      <c r="CG96" s="44" t="str">
        <f t="shared" si="205"/>
        <v/>
      </c>
      <c r="CH96" s="44" t="str">
        <f t="shared" si="206"/>
        <v/>
      </c>
      <c r="CI96" s="44" t="str">
        <f t="shared" si="207"/>
        <v/>
      </c>
      <c r="CJ96" s="44" t="str">
        <f t="shared" si="208"/>
        <v/>
      </c>
      <c r="CK96" s="44" t="str">
        <f t="shared" si="209"/>
        <v/>
      </c>
      <c r="CL96" s="44" t="str">
        <f t="shared" si="210"/>
        <v/>
      </c>
      <c r="CM96" s="44" t="str">
        <f t="shared" si="211"/>
        <v/>
      </c>
      <c r="CN96" s="44" t="str">
        <f t="shared" si="212"/>
        <v/>
      </c>
      <c r="CO96" s="44" t="str">
        <f t="shared" si="213"/>
        <v/>
      </c>
      <c r="CP96" s="44" t="str">
        <f t="shared" si="214"/>
        <v/>
      </c>
      <c r="CQ96" s="44" t="str">
        <f t="shared" si="215"/>
        <v/>
      </c>
      <c r="CR96" s="44" t="str">
        <f t="shared" si="216"/>
        <v/>
      </c>
      <c r="CS96" s="44" t="str">
        <f t="shared" si="217"/>
        <v/>
      </c>
      <c r="CT96" s="44" t="str">
        <f t="shared" si="218"/>
        <v/>
      </c>
      <c r="CV96" s="44">
        <f t="shared" si="219"/>
        <v>0</v>
      </c>
    </row>
    <row r="97" spans="1:100" x14ac:dyDescent="0.25">
      <c r="A97" s="41"/>
      <c r="B97" s="42"/>
      <c r="C97" s="43" t="str" cm="1">
        <f t="array" ref="C97">IF(B97="","",INDEX(UWS!$B$10:$B$41,B97))</f>
        <v/>
      </c>
      <c r="D97" s="40" t="str">
        <f t="shared" si="176"/>
        <v/>
      </c>
      <c r="E97" s="69" t="str">
        <f t="shared" si="177"/>
        <v/>
      </c>
      <c r="F97" s="48" cm="1">
        <f t="array" ref="F97">0.1+IFERROR(INDEX($F$5:$F96,SUMPRODUCT(MAX(ROW($C$5:$C96)*($C97=$C$5:$C96))-ROW($A$4)))*0.9^($A97-INDEX($A$5:A96,SUMPRODUCT(MAX(ROW($C$5:$C96)*($C97=$C$5:$C96))-ROW($A$4)))),0)</f>
        <v>3.2000000000000015</v>
      </c>
      <c r="G97" s="55" t="e">
        <f>INDEX(UWS!$AB$10:$AB$41,MATCH(C97,UWS!$B$10:$B$41,0))</f>
        <v>#N/A</v>
      </c>
      <c r="H97" s="48" t="e">
        <f>INDEX(UWS!$C$10:$C$41,MATCH(C97,UWS!$B$10:$B$41,0))</f>
        <v>#N/A</v>
      </c>
      <c r="I97" s="27">
        <f t="shared" si="178"/>
        <v>5</v>
      </c>
      <c r="J97" s="27" t="e">
        <f>INDEX(UWS!$E$10:$E$41,MATCH(C97,UWS!$B$10:$B$41,0))</f>
        <v>#N/A</v>
      </c>
      <c r="L97" s="108" t="str" cm="1">
        <f t="array" ref="L97">IF(K97="","",INDEX(UWS!$B$10:$B$41,K97))</f>
        <v/>
      </c>
      <c r="N97" s="108" t="str" cm="1">
        <f t="array" ref="N97">IF(M97="","",INDEX(UWS!$B$10:$B$41,M97))</f>
        <v/>
      </c>
      <c r="P97">
        <f>IFERROR(INDEX(UWS!$G$10:$Z$41,MATCH($C97,UWS!$B$10:$B$41,0),MATCH(P$4,UWS!$G$3:$Z$3,0)),0)</f>
        <v>0</v>
      </c>
      <c r="Q97">
        <f>IFERROR(INDEX(UWS!$G$10:$Z$41,MATCH($C97,UWS!$B$10:$B$41,0),MATCH(Q$4,UWS!$G$3:$Z$3,0)),0)</f>
        <v>0</v>
      </c>
      <c r="R97">
        <f>IFERROR(INDEX(UWS!$G$10:$Z$41,MATCH($C97,UWS!$B$10:$B$41,0),MATCH(R$4,UWS!$G$3:$Z$3,0)),0)</f>
        <v>0</v>
      </c>
      <c r="S97">
        <f>IFERROR(INDEX(UWS!$G$10:$Z$41,MATCH($C97,UWS!$B$10:$B$41,0),MATCH(S$4,UWS!$G$3:$Z$3,0)),0)</f>
        <v>0</v>
      </c>
      <c r="T97">
        <f>IFERROR(INDEX(UWS!$G$10:$Z$41,MATCH($C97,UWS!$B$10:$B$41,0),MATCH(T$4,UWS!$G$3:$Z$3,0)),0)</f>
        <v>0</v>
      </c>
      <c r="U97">
        <f>IFERROR(INDEX(UWS!$G$10:$Z$41,MATCH($C97,UWS!$B$10:$B$41,0),MATCH(U$4,UWS!$G$3:$Z$3,0)),0)</f>
        <v>0</v>
      </c>
      <c r="V97">
        <f>IFERROR(INDEX(UWS!$G$10:$Z$41,MATCH($C97,UWS!$B$10:$B$41,0),MATCH(V$4,UWS!$G$3:$Z$3,0)),0)</f>
        <v>0</v>
      </c>
      <c r="W97">
        <f>IFERROR(INDEX(UWS!$G$10:$Z$41,MATCH($C97,UWS!$B$10:$B$41,0),MATCH(W$4,UWS!$G$3:$Z$3,0)),0)</f>
        <v>0</v>
      </c>
      <c r="X97">
        <f>IFERROR(INDEX(UWS!$G$10:$Z$41,MATCH($C97,UWS!$B$10:$B$41,0),MATCH(X$4,UWS!$G$3:$Z$3,0)),0)</f>
        <v>0</v>
      </c>
      <c r="Y97">
        <f>IFERROR(INDEX(UWS!$G$10:$Z$41,MATCH($C97,UWS!$B$10:$B$41,0),MATCH(Y$4,UWS!$G$3:$Z$3,0)),0)</f>
        <v>0</v>
      </c>
      <c r="Z97">
        <f>IFERROR(INDEX(UWS!$G$10:$Z$41,MATCH($C97,UWS!$B$10:$B$41,0),MATCH(Z$4,UWS!$G$3:$Z$3,0)),0)</f>
        <v>0</v>
      </c>
      <c r="AA97">
        <f>IFERROR(INDEX(UWS!$G$10:$Z$41,MATCH($C97,UWS!$B$10:$B$41,0),MATCH(AA$4,UWS!$G$3:$Z$3,0)),0)</f>
        <v>0</v>
      </c>
      <c r="AB97">
        <f>IFERROR(INDEX(UWS!$G$10:$Z$41,MATCH($C97,UWS!$B$10:$B$41,0),MATCH(AB$4,UWS!$G$3:$Z$3,0)),0)</f>
        <v>0</v>
      </c>
      <c r="AC97">
        <f>IFERROR(INDEX(UWS!$G$10:$Z$41,MATCH($C97,UWS!$B$10:$B$41,0),MATCH(AC$4,UWS!$G$3:$Z$3,0)),0)</f>
        <v>0</v>
      </c>
      <c r="AD97">
        <f>IFERROR(INDEX(UWS!$G$10:$Z$41,MATCH($C97,UWS!$B$10:$B$41,0),MATCH(AD$4,UWS!$G$3:$Z$3,0)),0)</f>
        <v>0</v>
      </c>
      <c r="AE97">
        <f>IFERROR(INDEX(UWS!$G$10:$Z$41,MATCH($C97,UWS!$B$10:$B$41,0),MATCH(AE$4,UWS!$G$3:$Z$3,0)),0)</f>
        <v>0</v>
      </c>
      <c r="AF97">
        <f>IFERROR(INDEX(UWS!$G$10:$Z$41,MATCH($C97,UWS!$B$10:$B$41,0),MATCH(AF$4,UWS!$G$3:$Z$3,0)),0)</f>
        <v>0</v>
      </c>
      <c r="AG97">
        <f>IFERROR(INDEX(UWS!$G$10:$Z$41,MATCH($C97,UWS!$B$10:$B$41,0),MATCH(AG$4,UWS!$G$3:$Z$3,0)),0)</f>
        <v>0</v>
      </c>
      <c r="AH97">
        <f>IFERROR(INDEX(UWS!$G$10:$Z$41,MATCH($C97,UWS!$B$10:$B$41,0),MATCH(AH$4,UWS!$G$3:$Z$3,0)),0)</f>
        <v>0</v>
      </c>
      <c r="AI97">
        <f>IFERROR(INDEX(UWS!$G$10:$Z$41,MATCH($C97,UWS!$B$10:$B$41,0),MATCH(AI$4,UWS!$G$3:$Z$3,0)),0)</f>
        <v>0</v>
      </c>
      <c r="AK97" t="e">
        <f>IF(OR($J97=0,COUNTIFS($A$4:$A96,"&gt;="&amp;$A97-1,$A$4:$A96,"&lt;="&amp;$A97,$B$4:$B96,$B97)&gt;0,MIN(AK$1,IF($A97=$A96,AK96,1))-P97&lt;0),-1,MIN(1,IF($A97=$A96,AK96,1)-P97+$D$3))</f>
        <v>#N/A</v>
      </c>
      <c r="AL97" t="e">
        <f>IF(OR($J97=0,COUNTIFS($A$4:$A96,"&gt;="&amp;$A97-1,$A$4:$A96,"&lt;="&amp;$A97,$B$4:$B96,$B97)&gt;0,MIN(AL$1,IF($A97=$A96,AL96,1))-Q97&lt;0),-1,MIN(1,IF($A97=$A96,AL96,1)-Q97+$D$3))</f>
        <v>#N/A</v>
      </c>
      <c r="AM97" t="e">
        <f>IF(OR($J97=0,COUNTIFS($A$4:$A96,"&gt;="&amp;$A97-1,$A$4:$A96,"&lt;="&amp;$A97,$B$4:$B96,$B97)&gt;0,MIN(AM$1,IF($A97=$A96,AM96,1))-R97&lt;0),-1,MIN(1,IF($A97=$A96,AM96,1)-R97+$D$3))</f>
        <v>#N/A</v>
      </c>
      <c r="AN97" t="e">
        <f>IF(OR($J97=0,COUNTIFS($A$4:$A96,"&gt;="&amp;$A97-1,$A$4:$A96,"&lt;="&amp;$A97,$B$4:$B96,$B97)&gt;0,MIN(AN$1,IF($A97=$A96,AN96,1))-S97&lt;0),-1,MIN(1,IF($A97=$A96,AN96,1)-S97+$D$3))</f>
        <v>#N/A</v>
      </c>
      <c r="AO97" t="e">
        <f>IF(OR($J97=0,COUNTIFS($A$4:$A96,"&gt;="&amp;$A97-1,$A$4:$A96,"&lt;="&amp;$A97,$B$4:$B96,$B97)&gt;0,MIN(AO$1,IF($A97=$A96,AO96,1))-T97&lt;0),-1,MIN(1,IF($A97=$A96,AO96,1)-T97+$D$3))</f>
        <v>#N/A</v>
      </c>
      <c r="AP97" t="e">
        <f>IF(OR($J97=0,COUNTIFS($A$4:$A96,"&gt;="&amp;$A97-1,$A$4:$A96,"&lt;="&amp;$A97,$B$4:$B96,$B97)&gt;0,MIN(AP$1,IF($A97=$A96,AP96,1))-U97&lt;0),-1,MIN(1,IF($A97=$A96,AP96,1)-U97+$D$3))</f>
        <v>#N/A</v>
      </c>
      <c r="AQ97" t="e">
        <f>IF(OR($J97=0,COUNTIFS($A$4:$A96,"&gt;="&amp;$A97-1,$A$4:$A96,"&lt;="&amp;$A97,$B$4:$B96,$B97)&gt;0,MIN(AQ$1,IF($A97=$A96,AQ96,1))-V97&lt;0),-1,MIN(1,IF($A97=$A96,AQ96,1)-V97+$D$3))</f>
        <v>#N/A</v>
      </c>
      <c r="AR97" t="e">
        <f>IF(OR($J97=0,COUNTIFS($A$4:$A96,"&gt;="&amp;$A97-1,$A$4:$A96,"&lt;="&amp;$A97,$B$4:$B96,$B97)&gt;0,MIN(AR$1,IF($A97=$A96,AR96,1))-W97&lt;0),-1,MIN(1,IF($A97=$A96,AR96,1)-W97+$D$3))</f>
        <v>#N/A</v>
      </c>
      <c r="AS97" t="e">
        <f>IF(OR($J97=0,COUNTIFS($A$4:$A96,"&gt;="&amp;$A97-1,$A$4:$A96,"&lt;="&amp;$A97,$B$4:$B96,$B97)&gt;0,MIN(AS$1,IF($A97=$A96,AS96,1))-X97&lt;0),-1,MIN(1,IF($A97=$A96,AS96,1)-X97+$D$3))</f>
        <v>#N/A</v>
      </c>
      <c r="AT97" t="e">
        <f>IF(OR($J97=0,COUNTIFS($A$4:$A96,"&gt;="&amp;$A97-1,$A$4:$A96,"&lt;="&amp;$A97,$B$4:$B96,$B97)&gt;0,MIN(AT$1,IF($A97=$A96,AT96,1))-Y97&lt;0),-1,MIN(1,IF($A97=$A96,AT96,1)-Y97+$D$3))</f>
        <v>#N/A</v>
      </c>
      <c r="AU97" t="e">
        <f>IF(OR($J97=0,COUNTIFS($A$4:$A96,"&gt;="&amp;$A97-1,$A$4:$A96,"&lt;="&amp;$A97,$B$4:$B96,$B97)&gt;0,MIN(AU$1,IF($A97=$A96,AU96,1))-Z97&lt;0),-1,MIN(1,IF($A97=$A96,AU96,1)-Z97+$D$3))</f>
        <v>#N/A</v>
      </c>
      <c r="AV97" t="e">
        <f>IF(OR($J97=0,COUNTIFS($A$4:$A96,"&gt;="&amp;$A97-1,$A$4:$A96,"&lt;="&amp;$A97,$B$4:$B96,$B97)&gt;0,MIN(AV$1,IF($A97=$A96,AV96,1))-AA97&lt;0),-1,MIN(1,IF($A97=$A96,AV96,1)-AA97+$D$3))</f>
        <v>#N/A</v>
      </c>
      <c r="AW97" t="e">
        <f>IF(OR($J97=0,COUNTIFS($A$4:$A96,"&gt;="&amp;$A97-1,$A$4:$A96,"&lt;="&amp;$A97,$B$4:$B96,$B97)&gt;0,MIN(AW$1,IF($A97=$A96,AW96,1))-AB97&lt;0),-1,MIN(1,IF($A97=$A96,AW96,1)-AB97+$D$3))</f>
        <v>#N/A</v>
      </c>
      <c r="AX97" t="e">
        <f>IF(OR($J97=0,COUNTIFS($A$4:$A96,"&gt;="&amp;$A97-1,$A$4:$A96,"&lt;="&amp;$A97,$B$4:$B96,$B97)&gt;0,MIN(AX$1,IF($A97=$A96,AX96,1))-AC97&lt;0),-1,MIN(1,IF($A97=$A96,AX96,1)-AC97+$D$3))</f>
        <v>#N/A</v>
      </c>
      <c r="AY97" t="e">
        <f>IF(OR($J97=0,COUNTIFS($A$4:$A96,"&gt;="&amp;$A97-1,$A$4:$A96,"&lt;="&amp;$A97,$B$4:$B96,$B97)&gt;0,MIN(AY$1,IF($A97=$A96,AY96,1))-AD97&lt;0),-1,MIN(1,IF($A97=$A96,AY96,1)-AD97+$D$3))</f>
        <v>#N/A</v>
      </c>
      <c r="AZ97" t="e">
        <f>IF(OR($J97=0,COUNTIFS($A$4:$A96,"&gt;="&amp;$A97-1,$A$4:$A96,"&lt;="&amp;$A97,$B$4:$B96,$B97)&gt;0,MIN(AZ$1,IF($A97=$A96,AZ96,1))-AE97&lt;0),-1,MIN(1,IF($A97=$A96,AZ96,1)-AE97+$D$3))</f>
        <v>#N/A</v>
      </c>
      <c r="BA97" t="e">
        <f>IF(OR($J97=0,COUNTIFS($A$4:$A96,"&gt;="&amp;$A97-1,$A$4:$A96,"&lt;="&amp;$A97,$B$4:$B96,$B97)&gt;0,MIN(BA$1,IF($A97=$A96,BA96,1))-AF97&lt;0),-1,MIN(1,IF($A97=$A96,BA96,1)-AF97+$D$3))</f>
        <v>#N/A</v>
      </c>
      <c r="BB97" t="e">
        <f>IF(OR($J97=0,COUNTIFS($A$4:$A96,"&gt;="&amp;$A97-1,$A$4:$A96,"&lt;="&amp;$A97,$B$4:$B96,$B97)&gt;0,MIN(BB$1,IF($A97=$A96,BB96,1))-AG97&lt;0),-1,MIN(1,IF($A97=$A96,BB96,1)-AG97+$D$3))</f>
        <v>#N/A</v>
      </c>
      <c r="BC97" t="e">
        <f>IF(OR($J97=0,COUNTIFS($A$4:$A96,"&gt;="&amp;$A97-1,$A$4:$A96,"&lt;="&amp;$A97,$B$4:$B96,$B97)&gt;0,MIN(BC$1,IF($A97=$A96,BC96,1))-AH97&lt;0),-1,MIN(1,IF($A97=$A96,BC96,1)-AH97+$D$3))</f>
        <v>#N/A</v>
      </c>
      <c r="BD97" t="e">
        <f>IF(OR($J97=0,COUNTIFS($A$4:$A96,"&gt;="&amp;$A97-1,$A$4:$A96,"&lt;="&amp;$A97,$B$4:$B96,$B97)&gt;0,MIN(BD$1,IF($A97=$A96,BD96,1))-AI97&lt;0),-1,MIN(1,IF($A97=$A96,BD96,1)-AI97+$D$3))</f>
        <v>#N/A</v>
      </c>
      <c r="BF97" s="44">
        <f t="shared" si="179"/>
        <v>1.7972197629426302E-2</v>
      </c>
      <c r="BG97" s="44">
        <f t="shared" si="180"/>
        <v>4.4198705388156373E-2</v>
      </c>
      <c r="BH97" s="44">
        <f t="shared" si="181"/>
        <v>4.5299023774380984E-2</v>
      </c>
      <c r="BI97" s="44">
        <f t="shared" si="182"/>
        <v>4.1843721224481462E-2</v>
      </c>
      <c r="BJ97" s="44">
        <f t="shared" si="183"/>
        <v>4.3249458359337516E-2</v>
      </c>
      <c r="BK97" s="44">
        <f t="shared" si="184"/>
        <v>1.8572929972941715E-2</v>
      </c>
      <c r="BL97" s="44">
        <f t="shared" si="185"/>
        <v>1.0033388968040622E-2</v>
      </c>
      <c r="BM97" s="44">
        <f t="shared" si="186"/>
        <v>2.5523769885339848E-2</v>
      </c>
      <c r="BN97" s="44">
        <f t="shared" si="187"/>
        <v>2.6546709885487206E-2</v>
      </c>
      <c r="BO97" s="44">
        <f t="shared" si="188"/>
        <v>1.2440795584361394E-2</v>
      </c>
      <c r="BP97" s="44">
        <f t="shared" si="189"/>
        <v>4.1831897969021078E-2</v>
      </c>
      <c r="BQ97" s="44">
        <f t="shared" si="190"/>
        <v>1.1288697617481547E-2</v>
      </c>
      <c r="BR97" s="44">
        <f t="shared" si="191"/>
        <v>3.3349638618578495E-2</v>
      </c>
      <c r="BS97" s="44">
        <f t="shared" si="192"/>
        <v>1.7985902660500385E-2</v>
      </c>
      <c r="BT97" s="44">
        <f t="shared" si="193"/>
        <v>7.1175730881747362E-2</v>
      </c>
      <c r="BU97" s="44">
        <f t="shared" si="194"/>
        <v>6.7994240588070437E-2</v>
      </c>
      <c r="BV97" s="44">
        <f t="shared" si="195"/>
        <v>6.529941912069645E-2</v>
      </c>
      <c r="BW97" s="44">
        <f t="shared" si="196"/>
        <v>4.2709413559213996E-2</v>
      </c>
      <c r="BX97" s="44">
        <f t="shared" si="197"/>
        <v>3.1552939166530701E-2</v>
      </c>
      <c r="BY97" s="44">
        <f t="shared" si="198"/>
        <v>2.7091824873032886E-2</v>
      </c>
      <c r="CA97" s="44" t="str">
        <f t="shared" si="199"/>
        <v/>
      </c>
      <c r="CB97" s="44" t="str">
        <f t="shared" si="200"/>
        <v/>
      </c>
      <c r="CC97" s="44" t="str">
        <f t="shared" si="201"/>
        <v/>
      </c>
      <c r="CD97" s="44" t="str">
        <f t="shared" si="202"/>
        <v/>
      </c>
      <c r="CE97" s="44" t="str">
        <f t="shared" si="203"/>
        <v/>
      </c>
      <c r="CF97" s="44" t="str">
        <f t="shared" si="204"/>
        <v/>
      </c>
      <c r="CG97" s="44" t="str">
        <f t="shared" si="205"/>
        <v/>
      </c>
      <c r="CH97" s="44" t="str">
        <f t="shared" si="206"/>
        <v/>
      </c>
      <c r="CI97" s="44" t="str">
        <f t="shared" si="207"/>
        <v/>
      </c>
      <c r="CJ97" s="44" t="str">
        <f t="shared" si="208"/>
        <v/>
      </c>
      <c r="CK97" s="44" t="str">
        <f t="shared" si="209"/>
        <v/>
      </c>
      <c r="CL97" s="44" t="str">
        <f t="shared" si="210"/>
        <v/>
      </c>
      <c r="CM97" s="44" t="str">
        <f t="shared" si="211"/>
        <v/>
      </c>
      <c r="CN97" s="44" t="str">
        <f t="shared" si="212"/>
        <v/>
      </c>
      <c r="CO97" s="44" t="str">
        <f t="shared" si="213"/>
        <v/>
      </c>
      <c r="CP97" s="44" t="str">
        <f t="shared" si="214"/>
        <v/>
      </c>
      <c r="CQ97" s="44" t="str">
        <f t="shared" si="215"/>
        <v/>
      </c>
      <c r="CR97" s="44" t="str">
        <f t="shared" si="216"/>
        <v/>
      </c>
      <c r="CS97" s="44" t="str">
        <f t="shared" si="217"/>
        <v/>
      </c>
      <c r="CT97" s="44" t="str">
        <f t="shared" si="218"/>
        <v/>
      </c>
      <c r="CV97" s="44">
        <f t="shared" si="219"/>
        <v>0</v>
      </c>
    </row>
    <row r="98" spans="1:100" x14ac:dyDescent="0.25">
      <c r="A98" s="41"/>
      <c r="B98" s="42"/>
      <c r="C98" s="43" t="str" cm="1">
        <f t="array" ref="C98">IF(B98="","",INDEX(UWS!$B$10:$B$41,B98))</f>
        <v/>
      </c>
      <c r="D98" s="40" t="str">
        <f t="shared" si="176"/>
        <v/>
      </c>
      <c r="E98" s="69" t="str">
        <f t="shared" si="177"/>
        <v/>
      </c>
      <c r="F98" s="48" cm="1">
        <f t="array" ref="F98">0.1+IFERROR(INDEX($F$5:$F97,SUMPRODUCT(MAX(ROW($C$5:$C97)*($C98=$C$5:$C97))-ROW($A$4)))*0.9^($A98-INDEX($A$5:A97,SUMPRODUCT(MAX(ROW($C$5:$C97)*($C98=$C$5:$C97))-ROW($A$4)))),0)</f>
        <v>3.3000000000000016</v>
      </c>
      <c r="G98" s="55" t="e">
        <f>INDEX(UWS!$AB$10:$AB$41,MATCH(C98,UWS!$B$10:$B$41,0))</f>
        <v>#N/A</v>
      </c>
      <c r="H98" s="48" t="e">
        <f>INDEX(UWS!$C$10:$C$41,MATCH(C98,UWS!$B$10:$B$41,0))</f>
        <v>#N/A</v>
      </c>
      <c r="I98" s="27">
        <f t="shared" si="178"/>
        <v>5</v>
      </c>
      <c r="J98" s="27" t="e">
        <f>INDEX(UWS!$E$10:$E$41,MATCH(C98,UWS!$B$10:$B$41,0))</f>
        <v>#N/A</v>
      </c>
      <c r="L98" s="108" t="str" cm="1">
        <f t="array" ref="L98">IF(K98="","",INDEX(UWS!$B$10:$B$41,K98))</f>
        <v/>
      </c>
      <c r="N98" s="108" t="str" cm="1">
        <f t="array" ref="N98">IF(M98="","",INDEX(UWS!$B$10:$B$41,M98))</f>
        <v/>
      </c>
      <c r="P98">
        <f>IFERROR(INDEX(UWS!$G$10:$Z$41,MATCH($C98,UWS!$B$10:$B$41,0),MATCH(P$4,UWS!$G$3:$Z$3,0)),0)</f>
        <v>0</v>
      </c>
      <c r="Q98">
        <f>IFERROR(INDEX(UWS!$G$10:$Z$41,MATCH($C98,UWS!$B$10:$B$41,0),MATCH(Q$4,UWS!$G$3:$Z$3,0)),0)</f>
        <v>0</v>
      </c>
      <c r="R98">
        <f>IFERROR(INDEX(UWS!$G$10:$Z$41,MATCH($C98,UWS!$B$10:$B$41,0),MATCH(R$4,UWS!$G$3:$Z$3,0)),0)</f>
        <v>0</v>
      </c>
      <c r="S98">
        <f>IFERROR(INDEX(UWS!$G$10:$Z$41,MATCH($C98,UWS!$B$10:$B$41,0),MATCH(S$4,UWS!$G$3:$Z$3,0)),0)</f>
        <v>0</v>
      </c>
      <c r="T98">
        <f>IFERROR(INDEX(UWS!$G$10:$Z$41,MATCH($C98,UWS!$B$10:$B$41,0),MATCH(T$4,UWS!$G$3:$Z$3,0)),0)</f>
        <v>0</v>
      </c>
      <c r="U98">
        <f>IFERROR(INDEX(UWS!$G$10:$Z$41,MATCH($C98,UWS!$B$10:$B$41,0),MATCH(U$4,UWS!$G$3:$Z$3,0)),0)</f>
        <v>0</v>
      </c>
      <c r="V98">
        <f>IFERROR(INDEX(UWS!$G$10:$Z$41,MATCH($C98,UWS!$B$10:$B$41,0),MATCH(V$4,UWS!$G$3:$Z$3,0)),0)</f>
        <v>0</v>
      </c>
      <c r="W98">
        <f>IFERROR(INDEX(UWS!$G$10:$Z$41,MATCH($C98,UWS!$B$10:$B$41,0),MATCH(W$4,UWS!$G$3:$Z$3,0)),0)</f>
        <v>0</v>
      </c>
      <c r="X98">
        <f>IFERROR(INDEX(UWS!$G$10:$Z$41,MATCH($C98,UWS!$B$10:$B$41,0),MATCH(X$4,UWS!$G$3:$Z$3,0)),0)</f>
        <v>0</v>
      </c>
      <c r="Y98">
        <f>IFERROR(INDEX(UWS!$G$10:$Z$41,MATCH($C98,UWS!$B$10:$B$41,0),MATCH(Y$4,UWS!$G$3:$Z$3,0)),0)</f>
        <v>0</v>
      </c>
      <c r="Z98">
        <f>IFERROR(INDEX(UWS!$G$10:$Z$41,MATCH($C98,UWS!$B$10:$B$41,0),MATCH(Z$4,UWS!$G$3:$Z$3,0)),0)</f>
        <v>0</v>
      </c>
      <c r="AA98">
        <f>IFERROR(INDEX(UWS!$G$10:$Z$41,MATCH($C98,UWS!$B$10:$B$41,0),MATCH(AA$4,UWS!$G$3:$Z$3,0)),0)</f>
        <v>0</v>
      </c>
      <c r="AB98">
        <f>IFERROR(INDEX(UWS!$G$10:$Z$41,MATCH($C98,UWS!$B$10:$B$41,0),MATCH(AB$4,UWS!$G$3:$Z$3,0)),0)</f>
        <v>0</v>
      </c>
      <c r="AC98">
        <f>IFERROR(INDEX(UWS!$G$10:$Z$41,MATCH($C98,UWS!$B$10:$B$41,0),MATCH(AC$4,UWS!$G$3:$Z$3,0)),0)</f>
        <v>0</v>
      </c>
      <c r="AD98">
        <f>IFERROR(INDEX(UWS!$G$10:$Z$41,MATCH($C98,UWS!$B$10:$B$41,0),MATCH(AD$4,UWS!$G$3:$Z$3,0)),0)</f>
        <v>0</v>
      </c>
      <c r="AE98">
        <f>IFERROR(INDEX(UWS!$G$10:$Z$41,MATCH($C98,UWS!$B$10:$B$41,0),MATCH(AE$4,UWS!$G$3:$Z$3,0)),0)</f>
        <v>0</v>
      </c>
      <c r="AF98">
        <f>IFERROR(INDEX(UWS!$G$10:$Z$41,MATCH($C98,UWS!$B$10:$B$41,0),MATCH(AF$4,UWS!$G$3:$Z$3,0)),0)</f>
        <v>0</v>
      </c>
      <c r="AG98">
        <f>IFERROR(INDEX(UWS!$G$10:$Z$41,MATCH($C98,UWS!$B$10:$B$41,0),MATCH(AG$4,UWS!$G$3:$Z$3,0)),0)</f>
        <v>0</v>
      </c>
      <c r="AH98">
        <f>IFERROR(INDEX(UWS!$G$10:$Z$41,MATCH($C98,UWS!$B$10:$B$41,0),MATCH(AH$4,UWS!$G$3:$Z$3,0)),0)</f>
        <v>0</v>
      </c>
      <c r="AI98">
        <f>IFERROR(INDEX(UWS!$G$10:$Z$41,MATCH($C98,UWS!$B$10:$B$41,0),MATCH(AI$4,UWS!$G$3:$Z$3,0)),0)</f>
        <v>0</v>
      </c>
      <c r="AK98" t="e">
        <f>IF(OR($J98=0,COUNTIFS($A$4:$A97,"&gt;="&amp;$A98-1,$A$4:$A97,"&lt;="&amp;$A98,$B$4:$B97,$B98)&gt;0,MIN(AK$1,IF($A98=$A97,AK97,1))-P98&lt;0),-1,MIN(1,IF($A98=$A97,AK97,1)-P98+$D$3))</f>
        <v>#N/A</v>
      </c>
      <c r="AL98" t="e">
        <f>IF(OR($J98=0,COUNTIFS($A$4:$A97,"&gt;="&amp;$A98-1,$A$4:$A97,"&lt;="&amp;$A98,$B$4:$B97,$B98)&gt;0,MIN(AL$1,IF($A98=$A97,AL97,1))-Q98&lt;0),-1,MIN(1,IF($A98=$A97,AL97,1)-Q98+$D$3))</f>
        <v>#N/A</v>
      </c>
      <c r="AM98" t="e">
        <f>IF(OR($J98=0,COUNTIFS($A$4:$A97,"&gt;="&amp;$A98-1,$A$4:$A97,"&lt;="&amp;$A98,$B$4:$B97,$B98)&gt;0,MIN(AM$1,IF($A98=$A97,AM97,1))-R98&lt;0),-1,MIN(1,IF($A98=$A97,AM97,1)-R98+$D$3))</f>
        <v>#N/A</v>
      </c>
      <c r="AN98" t="e">
        <f>IF(OR($J98=0,COUNTIFS($A$4:$A97,"&gt;="&amp;$A98-1,$A$4:$A97,"&lt;="&amp;$A98,$B$4:$B97,$B98)&gt;0,MIN(AN$1,IF($A98=$A97,AN97,1))-S98&lt;0),-1,MIN(1,IF($A98=$A97,AN97,1)-S98+$D$3))</f>
        <v>#N/A</v>
      </c>
      <c r="AO98" t="e">
        <f>IF(OR($J98=0,COUNTIFS($A$4:$A97,"&gt;="&amp;$A98-1,$A$4:$A97,"&lt;="&amp;$A98,$B$4:$B97,$B98)&gt;0,MIN(AO$1,IF($A98=$A97,AO97,1))-T98&lt;0),-1,MIN(1,IF($A98=$A97,AO97,1)-T98+$D$3))</f>
        <v>#N/A</v>
      </c>
      <c r="AP98" t="e">
        <f>IF(OR($J98=0,COUNTIFS($A$4:$A97,"&gt;="&amp;$A98-1,$A$4:$A97,"&lt;="&amp;$A98,$B$4:$B97,$B98)&gt;0,MIN(AP$1,IF($A98=$A97,AP97,1))-U98&lt;0),-1,MIN(1,IF($A98=$A97,AP97,1)-U98+$D$3))</f>
        <v>#N/A</v>
      </c>
      <c r="AQ98" t="e">
        <f>IF(OR($J98=0,COUNTIFS($A$4:$A97,"&gt;="&amp;$A98-1,$A$4:$A97,"&lt;="&amp;$A98,$B$4:$B97,$B98)&gt;0,MIN(AQ$1,IF($A98=$A97,AQ97,1))-V98&lt;0),-1,MIN(1,IF($A98=$A97,AQ97,1)-V98+$D$3))</f>
        <v>#N/A</v>
      </c>
      <c r="AR98" t="e">
        <f>IF(OR($J98=0,COUNTIFS($A$4:$A97,"&gt;="&amp;$A98-1,$A$4:$A97,"&lt;="&amp;$A98,$B$4:$B97,$B98)&gt;0,MIN(AR$1,IF($A98=$A97,AR97,1))-W98&lt;0),-1,MIN(1,IF($A98=$A97,AR97,1)-W98+$D$3))</f>
        <v>#N/A</v>
      </c>
      <c r="AS98" t="e">
        <f>IF(OR($J98=0,COUNTIFS($A$4:$A97,"&gt;="&amp;$A98-1,$A$4:$A97,"&lt;="&amp;$A98,$B$4:$B97,$B98)&gt;0,MIN(AS$1,IF($A98=$A97,AS97,1))-X98&lt;0),-1,MIN(1,IF($A98=$A97,AS97,1)-X98+$D$3))</f>
        <v>#N/A</v>
      </c>
      <c r="AT98" t="e">
        <f>IF(OR($J98=0,COUNTIFS($A$4:$A97,"&gt;="&amp;$A98-1,$A$4:$A97,"&lt;="&amp;$A98,$B$4:$B97,$B98)&gt;0,MIN(AT$1,IF($A98=$A97,AT97,1))-Y98&lt;0),-1,MIN(1,IF($A98=$A97,AT97,1)-Y98+$D$3))</f>
        <v>#N/A</v>
      </c>
      <c r="AU98" t="e">
        <f>IF(OR($J98=0,COUNTIFS($A$4:$A97,"&gt;="&amp;$A98-1,$A$4:$A97,"&lt;="&amp;$A98,$B$4:$B97,$B98)&gt;0,MIN(AU$1,IF($A98=$A97,AU97,1))-Z98&lt;0),-1,MIN(1,IF($A98=$A97,AU97,1)-Z98+$D$3))</f>
        <v>#N/A</v>
      </c>
      <c r="AV98" t="e">
        <f>IF(OR($J98=0,COUNTIFS($A$4:$A97,"&gt;="&amp;$A98-1,$A$4:$A97,"&lt;="&amp;$A98,$B$4:$B97,$B98)&gt;0,MIN(AV$1,IF($A98=$A97,AV97,1))-AA98&lt;0),-1,MIN(1,IF($A98=$A97,AV97,1)-AA98+$D$3))</f>
        <v>#N/A</v>
      </c>
      <c r="AW98" t="e">
        <f>IF(OR($J98=0,COUNTIFS($A$4:$A97,"&gt;="&amp;$A98-1,$A$4:$A97,"&lt;="&amp;$A98,$B$4:$B97,$B98)&gt;0,MIN(AW$1,IF($A98=$A97,AW97,1))-AB98&lt;0),-1,MIN(1,IF($A98=$A97,AW97,1)-AB98+$D$3))</f>
        <v>#N/A</v>
      </c>
      <c r="AX98" t="e">
        <f>IF(OR($J98=0,COUNTIFS($A$4:$A97,"&gt;="&amp;$A98-1,$A$4:$A97,"&lt;="&amp;$A98,$B$4:$B97,$B98)&gt;0,MIN(AX$1,IF($A98=$A97,AX97,1))-AC98&lt;0),-1,MIN(1,IF($A98=$A97,AX97,1)-AC98+$D$3))</f>
        <v>#N/A</v>
      </c>
      <c r="AY98" t="e">
        <f>IF(OR($J98=0,COUNTIFS($A$4:$A97,"&gt;="&amp;$A98-1,$A$4:$A97,"&lt;="&amp;$A98,$B$4:$B97,$B98)&gt;0,MIN(AY$1,IF($A98=$A97,AY97,1))-AD98&lt;0),-1,MIN(1,IF($A98=$A97,AY97,1)-AD98+$D$3))</f>
        <v>#N/A</v>
      </c>
      <c r="AZ98" t="e">
        <f>IF(OR($J98=0,COUNTIFS($A$4:$A97,"&gt;="&amp;$A98-1,$A$4:$A97,"&lt;="&amp;$A98,$B$4:$B97,$B98)&gt;0,MIN(AZ$1,IF($A98=$A97,AZ97,1))-AE98&lt;0),-1,MIN(1,IF($A98=$A97,AZ97,1)-AE98+$D$3))</f>
        <v>#N/A</v>
      </c>
      <c r="BA98" t="e">
        <f>IF(OR($J98=0,COUNTIFS($A$4:$A97,"&gt;="&amp;$A98-1,$A$4:$A97,"&lt;="&amp;$A98,$B$4:$B97,$B98)&gt;0,MIN(BA$1,IF($A98=$A97,BA97,1))-AF98&lt;0),-1,MIN(1,IF($A98=$A97,BA97,1)-AF98+$D$3))</f>
        <v>#N/A</v>
      </c>
      <c r="BB98" t="e">
        <f>IF(OR($J98=0,COUNTIFS($A$4:$A97,"&gt;="&amp;$A98-1,$A$4:$A97,"&lt;="&amp;$A98,$B$4:$B97,$B98)&gt;0,MIN(BB$1,IF($A98=$A97,BB97,1))-AG98&lt;0),-1,MIN(1,IF($A98=$A97,BB97,1)-AG98+$D$3))</f>
        <v>#N/A</v>
      </c>
      <c r="BC98" t="e">
        <f>IF(OR($J98=0,COUNTIFS($A$4:$A97,"&gt;="&amp;$A98-1,$A$4:$A97,"&lt;="&amp;$A98,$B$4:$B97,$B98)&gt;0,MIN(BC$1,IF($A98=$A97,BC97,1))-AH98&lt;0),-1,MIN(1,IF($A98=$A97,BC97,1)-AH98+$D$3))</f>
        <v>#N/A</v>
      </c>
      <c r="BD98" t="e">
        <f>IF(OR($J98=0,COUNTIFS($A$4:$A97,"&gt;="&amp;$A98-1,$A$4:$A97,"&lt;="&amp;$A98,$B$4:$B97,$B98)&gt;0,MIN(BD$1,IF($A98=$A97,BD97,1))-AI98&lt;0),-1,MIN(1,IF($A98=$A97,BD97,1)-AI98+$D$3))</f>
        <v>#N/A</v>
      </c>
      <c r="BF98" s="44">
        <f t="shared" si="179"/>
        <v>1.7073587747954987E-2</v>
      </c>
      <c r="BG98" s="44">
        <f t="shared" si="180"/>
        <v>4.1988770118748554E-2</v>
      </c>
      <c r="BH98" s="44">
        <f t="shared" si="181"/>
        <v>4.3034072585661935E-2</v>
      </c>
      <c r="BI98" s="44">
        <f t="shared" si="182"/>
        <v>3.9751535163257384E-2</v>
      </c>
      <c r="BJ98" s="44">
        <f t="shared" si="183"/>
        <v>4.1086985441370641E-2</v>
      </c>
      <c r="BK98" s="44">
        <f t="shared" si="184"/>
        <v>1.7644283474294628E-2</v>
      </c>
      <c r="BL98" s="44">
        <f t="shared" si="185"/>
        <v>9.5317195196385901E-3</v>
      </c>
      <c r="BM98" s="44">
        <f t="shared" si="186"/>
        <v>2.4247581391072855E-2</v>
      </c>
      <c r="BN98" s="44">
        <f t="shared" si="187"/>
        <v>2.5219374391212846E-2</v>
      </c>
      <c r="BO98" s="44">
        <f t="shared" si="188"/>
        <v>1.1818755805143324E-2</v>
      </c>
      <c r="BP98" s="44">
        <f t="shared" si="189"/>
        <v>3.974030307057002E-2</v>
      </c>
      <c r="BQ98" s="44">
        <f t="shared" si="190"/>
        <v>1.0724262736607469E-2</v>
      </c>
      <c r="BR98" s="44">
        <f t="shared" si="191"/>
        <v>3.1682156687649565E-2</v>
      </c>
      <c r="BS98" s="44">
        <f t="shared" si="192"/>
        <v>1.7086607527475366E-2</v>
      </c>
      <c r="BT98" s="44">
        <f t="shared" si="193"/>
        <v>6.7616944337659995E-2</v>
      </c>
      <c r="BU98" s="44">
        <f t="shared" si="194"/>
        <v>6.4594528558666917E-2</v>
      </c>
      <c r="BV98" s="44">
        <f t="shared" si="195"/>
        <v>6.2034448164661624E-2</v>
      </c>
      <c r="BW98" s="44">
        <f t="shared" si="196"/>
        <v>4.0573942881253294E-2</v>
      </c>
      <c r="BX98" s="44">
        <f t="shared" si="197"/>
        <v>2.9975292208204163E-2</v>
      </c>
      <c r="BY98" s="44">
        <f t="shared" si="198"/>
        <v>2.573723362938124E-2</v>
      </c>
      <c r="CA98" s="44" t="str">
        <f t="shared" si="199"/>
        <v/>
      </c>
      <c r="CB98" s="44" t="str">
        <f t="shared" si="200"/>
        <v/>
      </c>
      <c r="CC98" s="44" t="str">
        <f t="shared" si="201"/>
        <v/>
      </c>
      <c r="CD98" s="44" t="str">
        <f t="shared" si="202"/>
        <v/>
      </c>
      <c r="CE98" s="44" t="str">
        <f t="shared" si="203"/>
        <v/>
      </c>
      <c r="CF98" s="44" t="str">
        <f t="shared" si="204"/>
        <v/>
      </c>
      <c r="CG98" s="44" t="str">
        <f t="shared" si="205"/>
        <v/>
      </c>
      <c r="CH98" s="44" t="str">
        <f t="shared" si="206"/>
        <v/>
      </c>
      <c r="CI98" s="44" t="str">
        <f t="shared" si="207"/>
        <v/>
      </c>
      <c r="CJ98" s="44" t="str">
        <f t="shared" si="208"/>
        <v/>
      </c>
      <c r="CK98" s="44" t="str">
        <f t="shared" si="209"/>
        <v/>
      </c>
      <c r="CL98" s="44" t="str">
        <f t="shared" si="210"/>
        <v/>
      </c>
      <c r="CM98" s="44" t="str">
        <f t="shared" si="211"/>
        <v/>
      </c>
      <c r="CN98" s="44" t="str">
        <f t="shared" si="212"/>
        <v/>
      </c>
      <c r="CO98" s="44" t="str">
        <f t="shared" si="213"/>
        <v/>
      </c>
      <c r="CP98" s="44" t="str">
        <f t="shared" si="214"/>
        <v/>
      </c>
      <c r="CQ98" s="44" t="str">
        <f t="shared" si="215"/>
        <v/>
      </c>
      <c r="CR98" s="44" t="str">
        <f t="shared" si="216"/>
        <v/>
      </c>
      <c r="CS98" s="44" t="str">
        <f t="shared" si="217"/>
        <v/>
      </c>
      <c r="CT98" s="44" t="str">
        <f t="shared" si="218"/>
        <v/>
      </c>
      <c r="CV98" s="44">
        <f t="shared" si="219"/>
        <v>0</v>
      </c>
    </row>
    <row r="99" spans="1:100" x14ac:dyDescent="0.25">
      <c r="A99" s="41"/>
      <c r="B99" s="42"/>
      <c r="C99" s="43" t="str" cm="1">
        <f t="array" ref="C99">IF(B99="","",INDEX(UWS!$B$10:$B$41,B99))</f>
        <v/>
      </c>
      <c r="D99" s="40" t="str">
        <f t="shared" si="176"/>
        <v/>
      </c>
      <c r="E99" s="69" t="str">
        <f t="shared" si="177"/>
        <v/>
      </c>
      <c r="F99" s="48" cm="1">
        <f t="array" ref="F99">0.1+IFERROR(INDEX($F$5:$F98,SUMPRODUCT(MAX(ROW($C$5:$C98)*($C99=$C$5:$C98))-ROW($A$4)))*0.9^($A99-INDEX($A$5:A98,SUMPRODUCT(MAX(ROW($C$5:$C98)*($C99=$C$5:$C98))-ROW($A$4)))),0)</f>
        <v>3.4000000000000017</v>
      </c>
      <c r="G99" s="55" t="e">
        <f>INDEX(UWS!$AB$10:$AB$41,MATCH(C99,UWS!$B$10:$B$41,0))</f>
        <v>#N/A</v>
      </c>
      <c r="H99" s="48" t="e">
        <f>INDEX(UWS!$C$10:$C$41,MATCH(C99,UWS!$B$10:$B$41,0))</f>
        <v>#N/A</v>
      </c>
      <c r="I99" s="27">
        <f t="shared" si="178"/>
        <v>5</v>
      </c>
      <c r="J99" s="27" t="e">
        <f>INDEX(UWS!$E$10:$E$41,MATCH(C99,UWS!$B$10:$B$41,0))</f>
        <v>#N/A</v>
      </c>
      <c r="L99" s="108" t="str" cm="1">
        <f t="array" ref="L99">IF(K99="","",INDEX(UWS!$B$10:$B$41,K99))</f>
        <v/>
      </c>
      <c r="N99" s="108" t="str" cm="1">
        <f t="array" ref="N99">IF(M99="","",INDEX(UWS!$B$10:$B$41,M99))</f>
        <v/>
      </c>
      <c r="P99">
        <f>IFERROR(INDEX(UWS!$G$10:$Z$41,MATCH($C99,UWS!$B$10:$B$41,0),MATCH(P$4,UWS!$G$3:$Z$3,0)),0)</f>
        <v>0</v>
      </c>
      <c r="Q99">
        <f>IFERROR(INDEX(UWS!$G$10:$Z$41,MATCH($C99,UWS!$B$10:$B$41,0),MATCH(Q$4,UWS!$G$3:$Z$3,0)),0)</f>
        <v>0</v>
      </c>
      <c r="R99">
        <f>IFERROR(INDEX(UWS!$G$10:$Z$41,MATCH($C99,UWS!$B$10:$B$41,0),MATCH(R$4,UWS!$G$3:$Z$3,0)),0)</f>
        <v>0</v>
      </c>
      <c r="S99">
        <f>IFERROR(INDEX(UWS!$G$10:$Z$41,MATCH($C99,UWS!$B$10:$B$41,0),MATCH(S$4,UWS!$G$3:$Z$3,0)),0)</f>
        <v>0</v>
      </c>
      <c r="T99">
        <f>IFERROR(INDEX(UWS!$G$10:$Z$41,MATCH($C99,UWS!$B$10:$B$41,0),MATCH(T$4,UWS!$G$3:$Z$3,0)),0)</f>
        <v>0</v>
      </c>
      <c r="U99">
        <f>IFERROR(INDEX(UWS!$G$10:$Z$41,MATCH($C99,UWS!$B$10:$B$41,0),MATCH(U$4,UWS!$G$3:$Z$3,0)),0)</f>
        <v>0</v>
      </c>
      <c r="V99">
        <f>IFERROR(INDEX(UWS!$G$10:$Z$41,MATCH($C99,UWS!$B$10:$B$41,0),MATCH(V$4,UWS!$G$3:$Z$3,0)),0)</f>
        <v>0</v>
      </c>
      <c r="W99">
        <f>IFERROR(INDEX(UWS!$G$10:$Z$41,MATCH($C99,UWS!$B$10:$B$41,0),MATCH(W$4,UWS!$G$3:$Z$3,0)),0)</f>
        <v>0</v>
      </c>
      <c r="X99">
        <f>IFERROR(INDEX(UWS!$G$10:$Z$41,MATCH($C99,UWS!$B$10:$B$41,0),MATCH(X$4,UWS!$G$3:$Z$3,0)),0)</f>
        <v>0</v>
      </c>
      <c r="Y99">
        <f>IFERROR(INDEX(UWS!$G$10:$Z$41,MATCH($C99,UWS!$B$10:$B$41,0),MATCH(Y$4,UWS!$G$3:$Z$3,0)),0)</f>
        <v>0</v>
      </c>
      <c r="Z99">
        <f>IFERROR(INDEX(UWS!$G$10:$Z$41,MATCH($C99,UWS!$B$10:$B$41,0),MATCH(Z$4,UWS!$G$3:$Z$3,0)),0)</f>
        <v>0</v>
      </c>
      <c r="AA99">
        <f>IFERROR(INDEX(UWS!$G$10:$Z$41,MATCH($C99,UWS!$B$10:$B$41,0),MATCH(AA$4,UWS!$G$3:$Z$3,0)),0)</f>
        <v>0</v>
      </c>
      <c r="AB99">
        <f>IFERROR(INDEX(UWS!$G$10:$Z$41,MATCH($C99,UWS!$B$10:$B$41,0),MATCH(AB$4,UWS!$G$3:$Z$3,0)),0)</f>
        <v>0</v>
      </c>
      <c r="AC99">
        <f>IFERROR(INDEX(UWS!$G$10:$Z$41,MATCH($C99,UWS!$B$10:$B$41,0),MATCH(AC$4,UWS!$G$3:$Z$3,0)),0)</f>
        <v>0</v>
      </c>
      <c r="AD99">
        <f>IFERROR(INDEX(UWS!$G$10:$Z$41,MATCH($C99,UWS!$B$10:$B$41,0),MATCH(AD$4,UWS!$G$3:$Z$3,0)),0)</f>
        <v>0</v>
      </c>
      <c r="AE99">
        <f>IFERROR(INDEX(UWS!$G$10:$Z$41,MATCH($C99,UWS!$B$10:$B$41,0),MATCH(AE$4,UWS!$G$3:$Z$3,0)),0)</f>
        <v>0</v>
      </c>
      <c r="AF99">
        <f>IFERROR(INDEX(UWS!$G$10:$Z$41,MATCH($C99,UWS!$B$10:$B$41,0),MATCH(AF$4,UWS!$G$3:$Z$3,0)),0)</f>
        <v>0</v>
      </c>
      <c r="AG99">
        <f>IFERROR(INDEX(UWS!$G$10:$Z$41,MATCH($C99,UWS!$B$10:$B$41,0),MATCH(AG$4,UWS!$G$3:$Z$3,0)),0)</f>
        <v>0</v>
      </c>
      <c r="AH99">
        <f>IFERROR(INDEX(UWS!$G$10:$Z$41,MATCH($C99,UWS!$B$10:$B$41,0),MATCH(AH$4,UWS!$G$3:$Z$3,0)),0)</f>
        <v>0</v>
      </c>
      <c r="AI99">
        <f>IFERROR(INDEX(UWS!$G$10:$Z$41,MATCH($C99,UWS!$B$10:$B$41,0),MATCH(AI$4,UWS!$G$3:$Z$3,0)),0)</f>
        <v>0</v>
      </c>
      <c r="AK99" t="e">
        <f>IF(OR($J99=0,COUNTIFS($A$4:$A98,"&gt;="&amp;$A99-1,$A$4:$A98,"&lt;="&amp;$A99,$B$4:$B98,$B99)&gt;0,MIN(AK$1,IF($A99=$A98,AK98,1))-P99&lt;0),-1,MIN(1,IF($A99=$A98,AK98,1)-P99+$D$3))</f>
        <v>#N/A</v>
      </c>
      <c r="AL99" t="e">
        <f>IF(OR($J99=0,COUNTIFS($A$4:$A98,"&gt;="&amp;$A99-1,$A$4:$A98,"&lt;="&amp;$A99,$B$4:$B98,$B99)&gt;0,MIN(AL$1,IF($A99=$A98,AL98,1))-Q99&lt;0),-1,MIN(1,IF($A99=$A98,AL98,1)-Q99+$D$3))</f>
        <v>#N/A</v>
      </c>
      <c r="AM99" t="e">
        <f>IF(OR($J99=0,COUNTIFS($A$4:$A98,"&gt;="&amp;$A99-1,$A$4:$A98,"&lt;="&amp;$A99,$B$4:$B98,$B99)&gt;0,MIN(AM$1,IF($A99=$A98,AM98,1))-R99&lt;0),-1,MIN(1,IF($A99=$A98,AM98,1)-R99+$D$3))</f>
        <v>#N/A</v>
      </c>
      <c r="AN99" t="e">
        <f>IF(OR($J99=0,COUNTIFS($A$4:$A98,"&gt;="&amp;$A99-1,$A$4:$A98,"&lt;="&amp;$A99,$B$4:$B98,$B99)&gt;0,MIN(AN$1,IF($A99=$A98,AN98,1))-S99&lt;0),-1,MIN(1,IF($A99=$A98,AN98,1)-S99+$D$3))</f>
        <v>#N/A</v>
      </c>
      <c r="AO99" t="e">
        <f>IF(OR($J99=0,COUNTIFS($A$4:$A98,"&gt;="&amp;$A99-1,$A$4:$A98,"&lt;="&amp;$A99,$B$4:$B98,$B99)&gt;0,MIN(AO$1,IF($A99=$A98,AO98,1))-T99&lt;0),-1,MIN(1,IF($A99=$A98,AO98,1)-T99+$D$3))</f>
        <v>#N/A</v>
      </c>
      <c r="AP99" t="e">
        <f>IF(OR($J99=0,COUNTIFS($A$4:$A98,"&gt;="&amp;$A99-1,$A$4:$A98,"&lt;="&amp;$A99,$B$4:$B98,$B99)&gt;0,MIN(AP$1,IF($A99=$A98,AP98,1))-U99&lt;0),-1,MIN(1,IF($A99=$A98,AP98,1)-U99+$D$3))</f>
        <v>#N/A</v>
      </c>
      <c r="AQ99" t="e">
        <f>IF(OR($J99=0,COUNTIFS($A$4:$A98,"&gt;="&amp;$A99-1,$A$4:$A98,"&lt;="&amp;$A99,$B$4:$B98,$B99)&gt;0,MIN(AQ$1,IF($A99=$A98,AQ98,1))-V99&lt;0),-1,MIN(1,IF($A99=$A98,AQ98,1)-V99+$D$3))</f>
        <v>#N/A</v>
      </c>
      <c r="AR99" t="e">
        <f>IF(OR($J99=0,COUNTIFS($A$4:$A98,"&gt;="&amp;$A99-1,$A$4:$A98,"&lt;="&amp;$A99,$B$4:$B98,$B99)&gt;0,MIN(AR$1,IF($A99=$A98,AR98,1))-W99&lt;0),-1,MIN(1,IF($A99=$A98,AR98,1)-W99+$D$3))</f>
        <v>#N/A</v>
      </c>
      <c r="AS99" t="e">
        <f>IF(OR($J99=0,COUNTIFS($A$4:$A98,"&gt;="&amp;$A99-1,$A$4:$A98,"&lt;="&amp;$A99,$B$4:$B98,$B99)&gt;0,MIN(AS$1,IF($A99=$A98,AS98,1))-X99&lt;0),-1,MIN(1,IF($A99=$A98,AS98,1)-X99+$D$3))</f>
        <v>#N/A</v>
      </c>
      <c r="AT99" t="e">
        <f>IF(OR($J99=0,COUNTIFS($A$4:$A98,"&gt;="&amp;$A99-1,$A$4:$A98,"&lt;="&amp;$A99,$B$4:$B98,$B99)&gt;0,MIN(AT$1,IF($A99=$A98,AT98,1))-Y99&lt;0),-1,MIN(1,IF($A99=$A98,AT98,1)-Y99+$D$3))</f>
        <v>#N/A</v>
      </c>
      <c r="AU99" t="e">
        <f>IF(OR($J99=0,COUNTIFS($A$4:$A98,"&gt;="&amp;$A99-1,$A$4:$A98,"&lt;="&amp;$A99,$B$4:$B98,$B99)&gt;0,MIN(AU$1,IF($A99=$A98,AU98,1))-Z99&lt;0),-1,MIN(1,IF($A99=$A98,AU98,1)-Z99+$D$3))</f>
        <v>#N/A</v>
      </c>
      <c r="AV99" t="e">
        <f>IF(OR($J99=0,COUNTIFS($A$4:$A98,"&gt;="&amp;$A99-1,$A$4:$A98,"&lt;="&amp;$A99,$B$4:$B98,$B99)&gt;0,MIN(AV$1,IF($A99=$A98,AV98,1))-AA99&lt;0),-1,MIN(1,IF($A99=$A98,AV98,1)-AA99+$D$3))</f>
        <v>#N/A</v>
      </c>
      <c r="AW99" t="e">
        <f>IF(OR($J99=0,COUNTIFS($A$4:$A98,"&gt;="&amp;$A99-1,$A$4:$A98,"&lt;="&amp;$A99,$B$4:$B98,$B99)&gt;0,MIN(AW$1,IF($A99=$A98,AW98,1))-AB99&lt;0),-1,MIN(1,IF($A99=$A98,AW98,1)-AB99+$D$3))</f>
        <v>#N/A</v>
      </c>
      <c r="AX99" t="e">
        <f>IF(OR($J99=0,COUNTIFS($A$4:$A98,"&gt;="&amp;$A99-1,$A$4:$A98,"&lt;="&amp;$A99,$B$4:$B98,$B99)&gt;0,MIN(AX$1,IF($A99=$A98,AX98,1))-AC99&lt;0),-1,MIN(1,IF($A99=$A98,AX98,1)-AC99+$D$3))</f>
        <v>#N/A</v>
      </c>
      <c r="AY99" t="e">
        <f>IF(OR($J99=0,COUNTIFS($A$4:$A98,"&gt;="&amp;$A99-1,$A$4:$A98,"&lt;="&amp;$A99,$B$4:$B98,$B99)&gt;0,MIN(AY$1,IF($A99=$A98,AY98,1))-AD99&lt;0),-1,MIN(1,IF($A99=$A98,AY98,1)-AD99+$D$3))</f>
        <v>#N/A</v>
      </c>
      <c r="AZ99" t="e">
        <f>IF(OR($J99=0,COUNTIFS($A$4:$A98,"&gt;="&amp;$A99-1,$A$4:$A98,"&lt;="&amp;$A99,$B$4:$B98,$B99)&gt;0,MIN(AZ$1,IF($A99=$A98,AZ98,1))-AE99&lt;0),-1,MIN(1,IF($A99=$A98,AZ98,1)-AE99+$D$3))</f>
        <v>#N/A</v>
      </c>
      <c r="BA99" t="e">
        <f>IF(OR($J99=0,COUNTIFS($A$4:$A98,"&gt;="&amp;$A99-1,$A$4:$A98,"&lt;="&amp;$A99,$B$4:$B98,$B99)&gt;0,MIN(BA$1,IF($A99=$A98,BA98,1))-AF99&lt;0),-1,MIN(1,IF($A99=$A98,BA98,1)-AF99+$D$3))</f>
        <v>#N/A</v>
      </c>
      <c r="BB99" t="e">
        <f>IF(OR($J99=0,COUNTIFS($A$4:$A98,"&gt;="&amp;$A99-1,$A$4:$A98,"&lt;="&amp;$A99,$B$4:$B98,$B99)&gt;0,MIN(BB$1,IF($A99=$A98,BB98,1))-AG99&lt;0),-1,MIN(1,IF($A99=$A98,BB98,1)-AG99+$D$3))</f>
        <v>#N/A</v>
      </c>
      <c r="BC99" t="e">
        <f>IF(OR($J99=0,COUNTIFS($A$4:$A98,"&gt;="&amp;$A99-1,$A$4:$A98,"&lt;="&amp;$A99,$B$4:$B98,$B99)&gt;0,MIN(BC$1,IF($A99=$A98,BC98,1))-AH99&lt;0),-1,MIN(1,IF($A99=$A98,BC98,1)-AH99+$D$3))</f>
        <v>#N/A</v>
      </c>
      <c r="BD99" t="e">
        <f>IF(OR($J99=0,COUNTIFS($A$4:$A98,"&gt;="&amp;$A99-1,$A$4:$A98,"&lt;="&amp;$A99,$B$4:$B98,$B99)&gt;0,MIN(BD$1,IF($A99=$A98,BD98,1))-AI99&lt;0),-1,MIN(1,IF($A99=$A98,BD98,1)-AI99+$D$3))</f>
        <v>#N/A</v>
      </c>
      <c r="BF99" s="44">
        <f t="shared" si="179"/>
        <v>1.6219908360557238E-2</v>
      </c>
      <c r="BG99" s="44">
        <f t="shared" si="180"/>
        <v>3.9889331612811121E-2</v>
      </c>
      <c r="BH99" s="44">
        <f t="shared" si="181"/>
        <v>4.0882368956378839E-2</v>
      </c>
      <c r="BI99" s="44">
        <f t="shared" si="182"/>
        <v>3.7763958405094514E-2</v>
      </c>
      <c r="BJ99" s="44">
        <f t="shared" si="183"/>
        <v>3.903263616930211E-2</v>
      </c>
      <c r="BK99" s="44">
        <f t="shared" si="184"/>
        <v>1.6762069300579895E-2</v>
      </c>
      <c r="BL99" s="44">
        <f t="shared" si="185"/>
        <v>9.0551335436566596E-3</v>
      </c>
      <c r="BM99" s="44">
        <f t="shared" si="186"/>
        <v>2.3035202321519212E-2</v>
      </c>
      <c r="BN99" s="44">
        <f t="shared" si="187"/>
        <v>2.3958405671652201E-2</v>
      </c>
      <c r="BO99" s="44">
        <f t="shared" si="188"/>
        <v>1.1227818014886157E-2</v>
      </c>
      <c r="BP99" s="44">
        <f t="shared" si="189"/>
        <v>3.7753287917041516E-2</v>
      </c>
      <c r="BQ99" s="44">
        <f t="shared" si="190"/>
        <v>1.0188049599777095E-2</v>
      </c>
      <c r="BR99" s="44">
        <f t="shared" si="191"/>
        <v>3.0098048853267084E-2</v>
      </c>
      <c r="BS99" s="44">
        <f t="shared" si="192"/>
        <v>1.6232277151101596E-2</v>
      </c>
      <c r="BT99" s="44">
        <f t="shared" si="193"/>
        <v>6.4236097120776992E-2</v>
      </c>
      <c r="BU99" s="44">
        <f t="shared" si="194"/>
        <v>6.1364802130733566E-2</v>
      </c>
      <c r="BV99" s="44">
        <f t="shared" si="195"/>
        <v>5.8932725756428543E-2</v>
      </c>
      <c r="BW99" s="44">
        <f t="shared" si="196"/>
        <v>3.8545245737190627E-2</v>
      </c>
      <c r="BX99" s="44">
        <f t="shared" si="197"/>
        <v>2.8476527597793955E-2</v>
      </c>
      <c r="BY99" s="44">
        <f t="shared" si="198"/>
        <v>2.4450371947912178E-2</v>
      </c>
      <c r="CA99" s="44" t="str">
        <f t="shared" si="199"/>
        <v/>
      </c>
      <c r="CB99" s="44" t="str">
        <f t="shared" si="200"/>
        <v/>
      </c>
      <c r="CC99" s="44" t="str">
        <f t="shared" si="201"/>
        <v/>
      </c>
      <c r="CD99" s="44" t="str">
        <f t="shared" si="202"/>
        <v/>
      </c>
      <c r="CE99" s="44" t="str">
        <f t="shared" si="203"/>
        <v/>
      </c>
      <c r="CF99" s="44" t="str">
        <f t="shared" si="204"/>
        <v/>
      </c>
      <c r="CG99" s="44" t="str">
        <f t="shared" si="205"/>
        <v/>
      </c>
      <c r="CH99" s="44" t="str">
        <f t="shared" si="206"/>
        <v/>
      </c>
      <c r="CI99" s="44" t="str">
        <f t="shared" si="207"/>
        <v/>
      </c>
      <c r="CJ99" s="44" t="str">
        <f t="shared" si="208"/>
        <v/>
      </c>
      <c r="CK99" s="44" t="str">
        <f t="shared" si="209"/>
        <v/>
      </c>
      <c r="CL99" s="44" t="str">
        <f t="shared" si="210"/>
        <v/>
      </c>
      <c r="CM99" s="44" t="str">
        <f t="shared" si="211"/>
        <v/>
      </c>
      <c r="CN99" s="44" t="str">
        <f t="shared" si="212"/>
        <v/>
      </c>
      <c r="CO99" s="44" t="str">
        <f t="shared" si="213"/>
        <v/>
      </c>
      <c r="CP99" s="44" t="str">
        <f t="shared" si="214"/>
        <v/>
      </c>
      <c r="CQ99" s="44" t="str">
        <f t="shared" si="215"/>
        <v/>
      </c>
      <c r="CR99" s="44" t="str">
        <f t="shared" si="216"/>
        <v/>
      </c>
      <c r="CS99" s="44" t="str">
        <f t="shared" si="217"/>
        <v/>
      </c>
      <c r="CT99" s="44" t="str">
        <f t="shared" si="218"/>
        <v/>
      </c>
      <c r="CV99" s="44">
        <f t="shared" si="219"/>
        <v>0</v>
      </c>
    </row>
    <row r="100" spans="1:100" x14ac:dyDescent="0.25">
      <c r="A100" s="49"/>
      <c r="B100" s="50"/>
      <c r="C100" s="51" t="str" cm="1">
        <f t="array" ref="C100">IF(B100="","",INDEX(UWS!$B$10:$B$41,B100))</f>
        <v/>
      </c>
      <c r="D100" s="45" t="str">
        <f t="shared" si="176"/>
        <v/>
      </c>
      <c r="E100" s="70" t="str">
        <f t="shared" si="177"/>
        <v/>
      </c>
      <c r="F100" s="52" cm="1">
        <f t="array" ref="F100">0.1+IFERROR(INDEX($F$5:$F99,SUMPRODUCT(MAX(ROW($C$5:$C99)*($C100=$C$5:$C99))-ROW($A$4)))*0.9^($A100-INDEX($A$5:A99,SUMPRODUCT(MAX(ROW($C$5:$C99)*($C100=$C$5:$C99))-ROW($A$4)))),0)</f>
        <v>3.5000000000000018</v>
      </c>
      <c r="G100" s="56" t="e">
        <f>INDEX(UWS!$AB$10:$AB$41,MATCH(C100,UWS!$B$10:$B$41,0))</f>
        <v>#N/A</v>
      </c>
      <c r="H100" s="52" t="e">
        <f>INDEX(UWS!$C$10:$C$41,MATCH(C100,UWS!$B$10:$B$41,0))</f>
        <v>#N/A</v>
      </c>
      <c r="I100" s="46">
        <f t="shared" si="178"/>
        <v>5</v>
      </c>
      <c r="J100" s="46" t="e">
        <f>INDEX(UWS!$E$10:$E$41,MATCH(C100,UWS!$B$10:$B$41,0))</f>
        <v>#N/A</v>
      </c>
      <c r="K100" s="46"/>
      <c r="L100" s="109" t="str" cm="1">
        <f t="array" ref="L100">IF(K100="","",INDEX(UWS!$B$10:$B$41,K100))</f>
        <v/>
      </c>
      <c r="M100" s="46"/>
      <c r="N100" s="109" t="str" cm="1">
        <f t="array" ref="N100">IF(M100="","",INDEX(UWS!$B$10:$B$41,M100))</f>
        <v/>
      </c>
      <c r="O100" s="47"/>
      <c r="P100" s="47">
        <f>IFERROR(INDEX(UWS!$G$10:$Z$41,MATCH($C100,UWS!$B$10:$B$41,0),MATCH(P$4,UWS!$G$3:$Z$3,0)),0)</f>
        <v>0</v>
      </c>
      <c r="Q100" s="47">
        <f>IFERROR(INDEX(UWS!$G$10:$Z$41,MATCH($C100,UWS!$B$10:$B$41,0),MATCH(Q$4,UWS!$G$3:$Z$3,0)),0)</f>
        <v>0</v>
      </c>
      <c r="R100" s="47">
        <f>IFERROR(INDEX(UWS!$G$10:$Z$41,MATCH($C100,UWS!$B$10:$B$41,0),MATCH(R$4,UWS!$G$3:$Z$3,0)),0)</f>
        <v>0</v>
      </c>
      <c r="S100" s="47">
        <f>IFERROR(INDEX(UWS!$G$10:$Z$41,MATCH($C100,UWS!$B$10:$B$41,0),MATCH(S$4,UWS!$G$3:$Z$3,0)),0)</f>
        <v>0</v>
      </c>
      <c r="T100" s="47">
        <f>IFERROR(INDEX(UWS!$G$10:$Z$41,MATCH($C100,UWS!$B$10:$B$41,0),MATCH(T$4,UWS!$G$3:$Z$3,0)),0)</f>
        <v>0</v>
      </c>
      <c r="U100" s="47">
        <f>IFERROR(INDEX(UWS!$G$10:$Z$41,MATCH($C100,UWS!$B$10:$B$41,0),MATCH(U$4,UWS!$G$3:$Z$3,0)),0)</f>
        <v>0</v>
      </c>
      <c r="V100" s="47">
        <f>IFERROR(INDEX(UWS!$G$10:$Z$41,MATCH($C100,UWS!$B$10:$B$41,0),MATCH(V$4,UWS!$G$3:$Z$3,0)),0)</f>
        <v>0</v>
      </c>
      <c r="W100" s="47">
        <f>IFERROR(INDEX(UWS!$G$10:$Z$41,MATCH($C100,UWS!$B$10:$B$41,0),MATCH(W$4,UWS!$G$3:$Z$3,0)),0)</f>
        <v>0</v>
      </c>
      <c r="X100" s="47">
        <f>IFERROR(INDEX(UWS!$G$10:$Z$41,MATCH($C100,UWS!$B$10:$B$41,0),MATCH(X$4,UWS!$G$3:$Z$3,0)),0)</f>
        <v>0</v>
      </c>
      <c r="Y100" s="47">
        <f>IFERROR(INDEX(UWS!$G$10:$Z$41,MATCH($C100,UWS!$B$10:$B$41,0),MATCH(Y$4,UWS!$G$3:$Z$3,0)),0)</f>
        <v>0</v>
      </c>
      <c r="Z100" s="47">
        <f>IFERROR(INDEX(UWS!$G$10:$Z$41,MATCH($C100,UWS!$B$10:$B$41,0),MATCH(Z$4,UWS!$G$3:$Z$3,0)),0)</f>
        <v>0</v>
      </c>
      <c r="AA100" s="47">
        <f>IFERROR(INDEX(UWS!$G$10:$Z$41,MATCH($C100,UWS!$B$10:$B$41,0),MATCH(AA$4,UWS!$G$3:$Z$3,0)),0)</f>
        <v>0</v>
      </c>
      <c r="AB100" s="47">
        <f>IFERROR(INDEX(UWS!$G$10:$Z$41,MATCH($C100,UWS!$B$10:$B$41,0),MATCH(AB$4,UWS!$G$3:$Z$3,0)),0)</f>
        <v>0</v>
      </c>
      <c r="AC100" s="47">
        <f>IFERROR(INDEX(UWS!$G$10:$Z$41,MATCH($C100,UWS!$B$10:$B$41,0),MATCH(AC$4,UWS!$G$3:$Z$3,0)),0)</f>
        <v>0</v>
      </c>
      <c r="AD100" s="47">
        <f>IFERROR(INDEX(UWS!$G$10:$Z$41,MATCH($C100,UWS!$B$10:$B$41,0),MATCH(AD$4,UWS!$G$3:$Z$3,0)),0)</f>
        <v>0</v>
      </c>
      <c r="AE100" s="47">
        <f>IFERROR(INDEX(UWS!$G$10:$Z$41,MATCH($C100,UWS!$B$10:$B$41,0),MATCH(AE$4,UWS!$G$3:$Z$3,0)),0)</f>
        <v>0</v>
      </c>
      <c r="AF100" s="47">
        <f>IFERROR(INDEX(UWS!$G$10:$Z$41,MATCH($C100,UWS!$B$10:$B$41,0),MATCH(AF$4,UWS!$G$3:$Z$3,0)),0)</f>
        <v>0</v>
      </c>
      <c r="AG100" s="47">
        <f>IFERROR(INDEX(UWS!$G$10:$Z$41,MATCH($C100,UWS!$B$10:$B$41,0),MATCH(AG$4,UWS!$G$3:$Z$3,0)),0)</f>
        <v>0</v>
      </c>
      <c r="AH100" s="47">
        <f>IFERROR(INDEX(UWS!$G$10:$Z$41,MATCH($C100,UWS!$B$10:$B$41,0),MATCH(AH$4,UWS!$G$3:$Z$3,0)),0)</f>
        <v>0</v>
      </c>
      <c r="AI100" s="47">
        <f>IFERROR(INDEX(UWS!$G$10:$Z$41,MATCH($C100,UWS!$B$10:$B$41,0),MATCH(AI$4,UWS!$G$3:$Z$3,0)),0)</f>
        <v>0</v>
      </c>
      <c r="AJ100" s="47"/>
      <c r="AK100" s="47" t="e">
        <f>IF(OR($J100=0,COUNTIFS($A$4:$A99,"&gt;="&amp;$A100-1,$A$4:$A99,"&lt;="&amp;$A100,$B$4:$B99,$B100)&gt;0,MIN(AK$1,IF($A100=$A99,AK99,1))-P100&lt;0),-1,MIN(1,IF($A100=$A99,AK99,1)-P100+$D$3))</f>
        <v>#N/A</v>
      </c>
      <c r="AL100" s="47" t="e">
        <f>IF(OR($J100=0,COUNTIFS($A$4:$A99,"&gt;="&amp;$A100-1,$A$4:$A99,"&lt;="&amp;$A100,$B$4:$B99,$B100)&gt;0,MIN(AL$1,IF($A100=$A99,AL99,1))-Q100&lt;0),-1,MIN(1,IF($A100=$A99,AL99,1)-Q100+$D$3))</f>
        <v>#N/A</v>
      </c>
      <c r="AM100" s="47" t="e">
        <f>IF(OR($J100=0,COUNTIFS($A$4:$A99,"&gt;="&amp;$A100-1,$A$4:$A99,"&lt;="&amp;$A100,$B$4:$B99,$B100)&gt;0,MIN(AM$1,IF($A100=$A99,AM99,1))-R100&lt;0),-1,MIN(1,IF($A100=$A99,AM99,1)-R100+$D$3))</f>
        <v>#N/A</v>
      </c>
      <c r="AN100" s="47" t="e">
        <f>IF(OR($J100=0,COUNTIFS($A$4:$A99,"&gt;="&amp;$A100-1,$A$4:$A99,"&lt;="&amp;$A100,$B$4:$B99,$B100)&gt;0,MIN(AN$1,IF($A100=$A99,AN99,1))-S100&lt;0),-1,MIN(1,IF($A100=$A99,AN99,1)-S100+$D$3))</f>
        <v>#N/A</v>
      </c>
      <c r="AO100" s="47" t="e">
        <f>IF(OR($J100=0,COUNTIFS($A$4:$A99,"&gt;="&amp;$A100-1,$A$4:$A99,"&lt;="&amp;$A100,$B$4:$B99,$B100)&gt;0,MIN(AO$1,IF($A100=$A99,AO99,1))-T100&lt;0),-1,MIN(1,IF($A100=$A99,AO99,1)-T100+$D$3))</f>
        <v>#N/A</v>
      </c>
      <c r="AP100" s="47" t="e">
        <f>IF(OR($J100=0,COUNTIFS($A$4:$A99,"&gt;="&amp;$A100-1,$A$4:$A99,"&lt;="&amp;$A100,$B$4:$B99,$B100)&gt;0,MIN(AP$1,IF($A100=$A99,AP99,1))-U100&lt;0),-1,MIN(1,IF($A100=$A99,AP99,1)-U100+$D$3))</f>
        <v>#N/A</v>
      </c>
      <c r="AQ100" s="47" t="e">
        <f>IF(OR($J100=0,COUNTIFS($A$4:$A99,"&gt;="&amp;$A100-1,$A$4:$A99,"&lt;="&amp;$A100,$B$4:$B99,$B100)&gt;0,MIN(AQ$1,IF($A100=$A99,AQ99,1))-V100&lt;0),-1,MIN(1,IF($A100=$A99,AQ99,1)-V100+$D$3))</f>
        <v>#N/A</v>
      </c>
      <c r="AR100" s="47" t="e">
        <f>IF(OR($J100=0,COUNTIFS($A$4:$A99,"&gt;="&amp;$A100-1,$A$4:$A99,"&lt;="&amp;$A100,$B$4:$B99,$B100)&gt;0,MIN(AR$1,IF($A100=$A99,AR99,1))-W100&lt;0),-1,MIN(1,IF($A100=$A99,AR99,1)-W100+$D$3))</f>
        <v>#N/A</v>
      </c>
      <c r="AS100" s="47" t="e">
        <f>IF(OR($J100=0,COUNTIFS($A$4:$A99,"&gt;="&amp;$A100-1,$A$4:$A99,"&lt;="&amp;$A100,$B$4:$B99,$B100)&gt;0,MIN(AS$1,IF($A100=$A99,AS99,1))-X100&lt;0),-1,MIN(1,IF($A100=$A99,AS99,1)-X100+$D$3))</f>
        <v>#N/A</v>
      </c>
      <c r="AT100" s="47" t="e">
        <f>IF(OR($J100=0,COUNTIFS($A$4:$A99,"&gt;="&amp;$A100-1,$A$4:$A99,"&lt;="&amp;$A100,$B$4:$B99,$B100)&gt;0,MIN(AT$1,IF($A100=$A99,AT99,1))-Y100&lt;0),-1,MIN(1,IF($A100=$A99,AT99,1)-Y100+$D$3))</f>
        <v>#N/A</v>
      </c>
      <c r="AU100" s="47" t="e">
        <f>IF(OR($J100=0,COUNTIFS($A$4:$A99,"&gt;="&amp;$A100-1,$A$4:$A99,"&lt;="&amp;$A100,$B$4:$B99,$B100)&gt;0,MIN(AU$1,IF($A100=$A99,AU99,1))-Z100&lt;0),-1,MIN(1,IF($A100=$A99,AU99,1)-Z100+$D$3))</f>
        <v>#N/A</v>
      </c>
      <c r="AV100" s="47" t="e">
        <f>IF(OR($J100=0,COUNTIFS($A$4:$A99,"&gt;="&amp;$A100-1,$A$4:$A99,"&lt;="&amp;$A100,$B$4:$B99,$B100)&gt;0,MIN(AV$1,IF($A100=$A99,AV99,1))-AA100&lt;0),-1,MIN(1,IF($A100=$A99,AV99,1)-AA100+$D$3))</f>
        <v>#N/A</v>
      </c>
      <c r="AW100" s="47" t="e">
        <f>IF(OR($J100=0,COUNTIFS($A$4:$A99,"&gt;="&amp;$A100-1,$A$4:$A99,"&lt;="&amp;$A100,$B$4:$B99,$B100)&gt;0,MIN(AW$1,IF($A100=$A99,AW99,1))-AB100&lt;0),-1,MIN(1,IF($A100=$A99,AW99,1)-AB100+$D$3))</f>
        <v>#N/A</v>
      </c>
      <c r="AX100" s="47" t="e">
        <f>IF(OR($J100=0,COUNTIFS($A$4:$A99,"&gt;="&amp;$A100-1,$A$4:$A99,"&lt;="&amp;$A100,$B$4:$B99,$B100)&gt;0,MIN(AX$1,IF($A100=$A99,AX99,1))-AC100&lt;0),-1,MIN(1,IF($A100=$A99,AX99,1)-AC100+$D$3))</f>
        <v>#N/A</v>
      </c>
      <c r="AY100" s="47" t="e">
        <f>IF(OR($J100=0,COUNTIFS($A$4:$A99,"&gt;="&amp;$A100-1,$A$4:$A99,"&lt;="&amp;$A100,$B$4:$B99,$B100)&gt;0,MIN(AY$1,IF($A100=$A99,AY99,1))-AD100&lt;0),-1,MIN(1,IF($A100=$A99,AY99,1)-AD100+$D$3))</f>
        <v>#N/A</v>
      </c>
      <c r="AZ100" s="47" t="e">
        <f>IF(OR($J100=0,COUNTIFS($A$4:$A99,"&gt;="&amp;$A100-1,$A$4:$A99,"&lt;="&amp;$A100,$B$4:$B99,$B100)&gt;0,MIN(AZ$1,IF($A100=$A99,AZ99,1))-AE100&lt;0),-1,MIN(1,IF($A100=$A99,AZ99,1)-AE100+$D$3))</f>
        <v>#N/A</v>
      </c>
      <c r="BA100" s="47" t="e">
        <f>IF(OR($J100=0,COUNTIFS($A$4:$A99,"&gt;="&amp;$A100-1,$A$4:$A99,"&lt;="&amp;$A100,$B$4:$B99,$B100)&gt;0,MIN(BA$1,IF($A100=$A99,BA99,1))-AF100&lt;0),-1,MIN(1,IF($A100=$A99,BA99,1)-AF100+$D$3))</f>
        <v>#N/A</v>
      </c>
      <c r="BB100" s="47" t="e">
        <f>IF(OR($J100=0,COUNTIFS($A$4:$A99,"&gt;="&amp;$A100-1,$A$4:$A99,"&lt;="&amp;$A100,$B$4:$B99,$B100)&gt;0,MIN(BB$1,IF($A100=$A99,BB99,1))-AG100&lt;0),-1,MIN(1,IF($A100=$A99,BB99,1)-AG100+$D$3))</f>
        <v>#N/A</v>
      </c>
      <c r="BC100" s="47" t="e">
        <f>IF(OR($J100=0,COUNTIFS($A$4:$A99,"&gt;="&amp;$A100-1,$A$4:$A99,"&lt;="&amp;$A100,$B$4:$B99,$B100)&gt;0,MIN(BC$1,IF($A100=$A99,BC99,1))-AH100&lt;0),-1,MIN(1,IF($A100=$A99,BC99,1)-AH100+$D$3))</f>
        <v>#N/A</v>
      </c>
      <c r="BD100" s="47" t="e">
        <f>IF(OR($J100=0,COUNTIFS($A$4:$A99,"&gt;="&amp;$A100-1,$A$4:$A99,"&lt;="&amp;$A100,$B$4:$B99,$B100)&gt;0,MIN(BD$1,IF($A100=$A99,BD99,1))-AI100&lt;0),-1,MIN(1,IF($A100=$A99,BD99,1)-AI100+$D$3))</f>
        <v>#N/A</v>
      </c>
      <c r="BE100" s="47"/>
      <c r="BF100" s="53">
        <f t="shared" si="179"/>
        <v>1.5408912942529376E-2</v>
      </c>
      <c r="BG100" s="53">
        <f t="shared" si="180"/>
        <v>3.7894865032170565E-2</v>
      </c>
      <c r="BH100" s="53">
        <f t="shared" si="181"/>
        <v>3.8838250508559893E-2</v>
      </c>
      <c r="BI100" s="53">
        <f t="shared" si="182"/>
        <v>3.5875760484839786E-2</v>
      </c>
      <c r="BJ100" s="53">
        <f t="shared" si="183"/>
        <v>3.7081004360837E-2</v>
      </c>
      <c r="BK100" s="53">
        <f t="shared" si="184"/>
        <v>1.5923965835550901E-2</v>
      </c>
      <c r="BL100" s="53">
        <f t="shared" si="185"/>
        <v>8.6023768664738268E-3</v>
      </c>
      <c r="BM100" s="53">
        <f t="shared" si="186"/>
        <v>2.1883442205443249E-2</v>
      </c>
      <c r="BN100" s="53">
        <f t="shared" si="187"/>
        <v>2.2760485388069591E-2</v>
      </c>
      <c r="BO100" s="53">
        <f t="shared" si="188"/>
        <v>1.0666427114141848E-2</v>
      </c>
      <c r="BP100" s="53">
        <f t="shared" si="189"/>
        <v>3.5865623521189438E-2</v>
      </c>
      <c r="BQ100" s="53">
        <f t="shared" si="190"/>
        <v>9.6786471197882404E-3</v>
      </c>
      <c r="BR100" s="53">
        <f t="shared" si="191"/>
        <v>2.8593146410603728E-2</v>
      </c>
      <c r="BS100" s="53">
        <f t="shared" si="192"/>
        <v>1.5420663293546516E-2</v>
      </c>
      <c r="BT100" s="53">
        <f t="shared" si="193"/>
        <v>6.1024292264738142E-2</v>
      </c>
      <c r="BU100" s="53">
        <f t="shared" si="194"/>
        <v>5.8296562024196884E-2</v>
      </c>
      <c r="BV100" s="53">
        <f t="shared" si="195"/>
        <v>5.5986089468607114E-2</v>
      </c>
      <c r="BW100" s="53">
        <f t="shared" si="196"/>
        <v>3.6617983450331092E-2</v>
      </c>
      <c r="BX100" s="53">
        <f t="shared" si="197"/>
        <v>2.7052701217904256E-2</v>
      </c>
      <c r="BY100" s="53">
        <f t="shared" si="198"/>
        <v>2.3227853350516567E-2</v>
      </c>
      <c r="BZ100" s="47"/>
      <c r="CA100" s="53" t="str">
        <f t="shared" si="199"/>
        <v/>
      </c>
      <c r="CB100" s="53" t="str">
        <f t="shared" si="200"/>
        <v/>
      </c>
      <c r="CC100" s="53" t="str">
        <f t="shared" si="201"/>
        <v/>
      </c>
      <c r="CD100" s="53" t="str">
        <f t="shared" si="202"/>
        <v/>
      </c>
      <c r="CE100" s="53" t="str">
        <f t="shared" si="203"/>
        <v/>
      </c>
      <c r="CF100" s="53" t="str">
        <f t="shared" si="204"/>
        <v/>
      </c>
      <c r="CG100" s="53" t="str">
        <f t="shared" si="205"/>
        <v/>
      </c>
      <c r="CH100" s="53" t="str">
        <f t="shared" si="206"/>
        <v/>
      </c>
      <c r="CI100" s="53" t="str">
        <f t="shared" si="207"/>
        <v/>
      </c>
      <c r="CJ100" s="53" t="str">
        <f t="shared" si="208"/>
        <v/>
      </c>
      <c r="CK100" s="53" t="str">
        <f t="shared" si="209"/>
        <v/>
      </c>
      <c r="CL100" s="53" t="str">
        <f t="shared" si="210"/>
        <v/>
      </c>
      <c r="CM100" s="53" t="str">
        <f t="shared" si="211"/>
        <v/>
      </c>
      <c r="CN100" s="53" t="str">
        <f t="shared" si="212"/>
        <v/>
      </c>
      <c r="CO100" s="53" t="str">
        <f t="shared" si="213"/>
        <v/>
      </c>
      <c r="CP100" s="53" t="str">
        <f t="shared" si="214"/>
        <v/>
      </c>
      <c r="CQ100" s="53" t="str">
        <f t="shared" si="215"/>
        <v/>
      </c>
      <c r="CR100" s="53" t="str">
        <f t="shared" si="216"/>
        <v/>
      </c>
      <c r="CS100" s="53" t="str">
        <f t="shared" si="217"/>
        <v/>
      </c>
      <c r="CT100" s="53" t="str">
        <f t="shared" si="218"/>
        <v/>
      </c>
      <c r="CU100" s="47"/>
      <c r="CV100" s="53">
        <f t="shared" si="219"/>
        <v>0</v>
      </c>
    </row>
    <row r="101" spans="1:100" x14ac:dyDescent="0.25">
      <c r="A101" s="41"/>
      <c r="B101" s="42"/>
      <c r="C101" s="43" t="str" cm="1">
        <f t="array" ref="C101">IF(B101="","",INDEX(UWS!$B$10:$B$41,B101))</f>
        <v/>
      </c>
      <c r="D101" s="40" t="str">
        <f t="shared" si="176"/>
        <v/>
      </c>
      <c r="E101" s="69" t="str">
        <f t="shared" si="177"/>
        <v/>
      </c>
      <c r="F101" s="48" cm="1">
        <f t="array" ref="F101">0.1+IFERROR(INDEX($F$5:$F100,SUMPRODUCT(MAX(ROW($C$5:$C100)*($C101=$C$5:$C100))-ROW($A$4)))*0.9^($A101-INDEX($A$5:A100,SUMPRODUCT(MAX(ROW($C$5:$C100)*($C101=$C$5:$C100))-ROW($A$4)))),0)</f>
        <v>3.6000000000000019</v>
      </c>
      <c r="G101" s="55" t="e">
        <f>INDEX(UWS!$AB$10:$AB$41,MATCH(C101,UWS!$B$10:$B$41,0))</f>
        <v>#N/A</v>
      </c>
      <c r="H101" s="48" t="e">
        <f>INDEX(UWS!$C$10:$C$41,MATCH(C101,UWS!$B$10:$B$41,0))</f>
        <v>#N/A</v>
      </c>
      <c r="I101" s="82">
        <f t="shared" si="178"/>
        <v>5</v>
      </c>
      <c r="J101" s="27" t="e">
        <f>INDEX(UWS!$E$10:$E$41,MATCH(C101,UWS!$B$10:$B$41,0))</f>
        <v>#N/A</v>
      </c>
      <c r="L101" s="108" t="str" cm="1">
        <f t="array" ref="L101">IF(K101="","",INDEX(UWS!$B$10:$B$41,K101))</f>
        <v/>
      </c>
      <c r="N101" s="108" t="str" cm="1">
        <f t="array" ref="N101">IF(M101="","",INDEX(UWS!$B$10:$B$41,M101))</f>
        <v/>
      </c>
      <c r="P101">
        <f>IFERROR(INDEX(UWS!$G$10:$Z$41,MATCH($C101,UWS!$B$10:$B$41,0),MATCH(P$4,UWS!$G$3:$Z$3,0)),0)</f>
        <v>0</v>
      </c>
      <c r="Q101">
        <f>IFERROR(INDEX(UWS!$G$10:$Z$41,MATCH($C101,UWS!$B$10:$B$41,0),MATCH(Q$4,UWS!$G$3:$Z$3,0)),0)</f>
        <v>0</v>
      </c>
      <c r="R101">
        <f>IFERROR(INDEX(UWS!$G$10:$Z$41,MATCH($C101,UWS!$B$10:$B$41,0),MATCH(R$4,UWS!$G$3:$Z$3,0)),0)</f>
        <v>0</v>
      </c>
      <c r="S101">
        <f>IFERROR(INDEX(UWS!$G$10:$Z$41,MATCH($C101,UWS!$B$10:$B$41,0),MATCH(S$4,UWS!$G$3:$Z$3,0)),0)</f>
        <v>0</v>
      </c>
      <c r="T101">
        <f>IFERROR(INDEX(UWS!$G$10:$Z$41,MATCH($C101,UWS!$B$10:$B$41,0),MATCH(T$4,UWS!$G$3:$Z$3,0)),0)</f>
        <v>0</v>
      </c>
      <c r="U101">
        <f>IFERROR(INDEX(UWS!$G$10:$Z$41,MATCH($C101,UWS!$B$10:$B$41,0),MATCH(U$4,UWS!$G$3:$Z$3,0)),0)</f>
        <v>0</v>
      </c>
      <c r="V101">
        <f>IFERROR(INDEX(UWS!$G$10:$Z$41,MATCH($C101,UWS!$B$10:$B$41,0),MATCH(V$4,UWS!$G$3:$Z$3,0)),0)</f>
        <v>0</v>
      </c>
      <c r="W101">
        <f>IFERROR(INDEX(UWS!$G$10:$Z$41,MATCH($C101,UWS!$B$10:$B$41,0),MATCH(W$4,UWS!$G$3:$Z$3,0)),0)</f>
        <v>0</v>
      </c>
      <c r="X101">
        <f>IFERROR(INDEX(UWS!$G$10:$Z$41,MATCH($C101,UWS!$B$10:$B$41,0),MATCH(X$4,UWS!$G$3:$Z$3,0)),0)</f>
        <v>0</v>
      </c>
      <c r="Y101">
        <f>IFERROR(INDEX(UWS!$G$10:$Z$41,MATCH($C101,UWS!$B$10:$B$41,0),MATCH(Y$4,UWS!$G$3:$Z$3,0)),0)</f>
        <v>0</v>
      </c>
      <c r="Z101">
        <f>IFERROR(INDEX(UWS!$G$10:$Z$41,MATCH($C101,UWS!$B$10:$B$41,0),MATCH(Z$4,UWS!$G$3:$Z$3,0)),0)</f>
        <v>0</v>
      </c>
      <c r="AA101">
        <f>IFERROR(INDEX(UWS!$G$10:$Z$41,MATCH($C101,UWS!$B$10:$B$41,0),MATCH(AA$4,UWS!$G$3:$Z$3,0)),0)</f>
        <v>0</v>
      </c>
      <c r="AB101">
        <f>IFERROR(INDEX(UWS!$G$10:$Z$41,MATCH($C101,UWS!$B$10:$B$41,0),MATCH(AB$4,UWS!$G$3:$Z$3,0)),0)</f>
        <v>0</v>
      </c>
      <c r="AC101">
        <f>IFERROR(INDEX(UWS!$G$10:$Z$41,MATCH($C101,UWS!$B$10:$B$41,0),MATCH(AC$4,UWS!$G$3:$Z$3,0)),0)</f>
        <v>0</v>
      </c>
      <c r="AD101">
        <f>IFERROR(INDEX(UWS!$G$10:$Z$41,MATCH($C101,UWS!$B$10:$B$41,0),MATCH(AD$4,UWS!$G$3:$Z$3,0)),0)</f>
        <v>0</v>
      </c>
      <c r="AE101">
        <f>IFERROR(INDEX(UWS!$G$10:$Z$41,MATCH($C101,UWS!$B$10:$B$41,0),MATCH(AE$4,UWS!$G$3:$Z$3,0)),0)</f>
        <v>0</v>
      </c>
      <c r="AF101">
        <f>IFERROR(INDEX(UWS!$G$10:$Z$41,MATCH($C101,UWS!$B$10:$B$41,0),MATCH(AF$4,UWS!$G$3:$Z$3,0)),0)</f>
        <v>0</v>
      </c>
      <c r="AG101">
        <f>IFERROR(INDEX(UWS!$G$10:$Z$41,MATCH($C101,UWS!$B$10:$B$41,0),MATCH(AG$4,UWS!$G$3:$Z$3,0)),0)</f>
        <v>0</v>
      </c>
      <c r="AH101">
        <f>IFERROR(INDEX(UWS!$G$10:$Z$41,MATCH($C101,UWS!$B$10:$B$41,0),MATCH(AH$4,UWS!$G$3:$Z$3,0)),0)</f>
        <v>0</v>
      </c>
      <c r="AI101">
        <f>IFERROR(INDEX(UWS!$G$10:$Z$41,MATCH($C101,UWS!$B$10:$B$41,0),MATCH(AI$4,UWS!$G$3:$Z$3,0)),0)</f>
        <v>0</v>
      </c>
      <c r="AK101" t="e">
        <f>IF(OR($J101=0,COUNTIFS($A$4:$A100,"&gt;="&amp;$A101-1,$A$4:$A100,"&lt;="&amp;$A101,$B$4:$B100,$B101)&gt;0,MIN(AK$1,IF($A101=$A100,AK100,1))-P101&lt;0),-1,MIN(1,IF($A101=$A100,AK100,1)-P101+$D$3))</f>
        <v>#N/A</v>
      </c>
      <c r="AL101" t="e">
        <f>IF(OR($J101=0,COUNTIFS($A$4:$A100,"&gt;="&amp;$A101-1,$A$4:$A100,"&lt;="&amp;$A101,$B$4:$B100,$B101)&gt;0,MIN(AL$1,IF($A101=$A100,AL100,1))-Q101&lt;0),-1,MIN(1,IF($A101=$A100,AL100,1)-Q101+$D$3))</f>
        <v>#N/A</v>
      </c>
      <c r="AM101" t="e">
        <f>IF(OR($J101=0,COUNTIFS($A$4:$A100,"&gt;="&amp;$A101-1,$A$4:$A100,"&lt;="&amp;$A101,$B$4:$B100,$B101)&gt;0,MIN(AM$1,IF($A101=$A100,AM100,1))-R101&lt;0),-1,MIN(1,IF($A101=$A100,AM100,1)-R101+$D$3))</f>
        <v>#N/A</v>
      </c>
      <c r="AN101" t="e">
        <f>IF(OR($J101=0,COUNTIFS($A$4:$A100,"&gt;="&amp;$A101-1,$A$4:$A100,"&lt;="&amp;$A101,$B$4:$B100,$B101)&gt;0,MIN(AN$1,IF($A101=$A100,AN100,1))-S101&lt;0),-1,MIN(1,IF($A101=$A100,AN100,1)-S101+$D$3))</f>
        <v>#N/A</v>
      </c>
      <c r="AO101" t="e">
        <f>IF(OR($J101=0,COUNTIFS($A$4:$A100,"&gt;="&amp;$A101-1,$A$4:$A100,"&lt;="&amp;$A101,$B$4:$B100,$B101)&gt;0,MIN(AO$1,IF($A101=$A100,AO100,1))-T101&lt;0),-1,MIN(1,IF($A101=$A100,AO100,1)-T101+$D$3))</f>
        <v>#N/A</v>
      </c>
      <c r="AP101" t="e">
        <f>IF(OR($J101=0,COUNTIFS($A$4:$A100,"&gt;="&amp;$A101-1,$A$4:$A100,"&lt;="&amp;$A101,$B$4:$B100,$B101)&gt;0,MIN(AP$1,IF($A101=$A100,AP100,1))-U101&lt;0),-1,MIN(1,IF($A101=$A100,AP100,1)-U101+$D$3))</f>
        <v>#N/A</v>
      </c>
      <c r="AQ101" t="e">
        <f>IF(OR($J101=0,COUNTIFS($A$4:$A100,"&gt;="&amp;$A101-1,$A$4:$A100,"&lt;="&amp;$A101,$B$4:$B100,$B101)&gt;0,MIN(AQ$1,IF($A101=$A100,AQ100,1))-V101&lt;0),-1,MIN(1,IF($A101=$A100,AQ100,1)-V101+$D$3))</f>
        <v>#N/A</v>
      </c>
      <c r="AR101" t="e">
        <f>IF(OR($J101=0,COUNTIFS($A$4:$A100,"&gt;="&amp;$A101-1,$A$4:$A100,"&lt;="&amp;$A101,$B$4:$B100,$B101)&gt;0,MIN(AR$1,IF($A101=$A100,AR100,1))-W101&lt;0),-1,MIN(1,IF($A101=$A100,AR100,1)-W101+$D$3))</f>
        <v>#N/A</v>
      </c>
      <c r="AS101" t="e">
        <f>IF(OR($J101=0,COUNTIFS($A$4:$A100,"&gt;="&amp;$A101-1,$A$4:$A100,"&lt;="&amp;$A101,$B$4:$B100,$B101)&gt;0,MIN(AS$1,IF($A101=$A100,AS100,1))-X101&lt;0),-1,MIN(1,IF($A101=$A100,AS100,1)-X101+$D$3))</f>
        <v>#N/A</v>
      </c>
      <c r="AT101" t="e">
        <f>IF(OR($J101=0,COUNTIFS($A$4:$A100,"&gt;="&amp;$A101-1,$A$4:$A100,"&lt;="&amp;$A101,$B$4:$B100,$B101)&gt;0,MIN(AT$1,IF($A101=$A100,AT100,1))-Y101&lt;0),-1,MIN(1,IF($A101=$A100,AT100,1)-Y101+$D$3))</f>
        <v>#N/A</v>
      </c>
      <c r="AU101" t="e">
        <f>IF(OR($J101=0,COUNTIFS($A$4:$A100,"&gt;="&amp;$A101-1,$A$4:$A100,"&lt;="&amp;$A101,$B$4:$B100,$B101)&gt;0,MIN(AU$1,IF($A101=$A100,AU100,1))-Z101&lt;0),-1,MIN(1,IF($A101=$A100,AU100,1)-Z101+$D$3))</f>
        <v>#N/A</v>
      </c>
      <c r="AV101" t="e">
        <f>IF(OR($J101=0,COUNTIFS($A$4:$A100,"&gt;="&amp;$A101-1,$A$4:$A100,"&lt;="&amp;$A101,$B$4:$B100,$B101)&gt;0,MIN(AV$1,IF($A101=$A100,AV100,1))-AA101&lt;0),-1,MIN(1,IF($A101=$A100,AV100,1)-AA101+$D$3))</f>
        <v>#N/A</v>
      </c>
      <c r="AW101" t="e">
        <f>IF(OR($J101=0,COUNTIFS($A$4:$A100,"&gt;="&amp;$A101-1,$A$4:$A100,"&lt;="&amp;$A101,$B$4:$B100,$B101)&gt;0,MIN(AW$1,IF($A101=$A100,AW100,1))-AB101&lt;0),-1,MIN(1,IF($A101=$A100,AW100,1)-AB101+$D$3))</f>
        <v>#N/A</v>
      </c>
      <c r="AX101" t="e">
        <f>IF(OR($J101=0,COUNTIFS($A$4:$A100,"&gt;="&amp;$A101-1,$A$4:$A100,"&lt;="&amp;$A101,$B$4:$B100,$B101)&gt;0,MIN(AX$1,IF($A101=$A100,AX100,1))-AC101&lt;0),-1,MIN(1,IF($A101=$A100,AX100,1)-AC101+$D$3))</f>
        <v>#N/A</v>
      </c>
      <c r="AY101" t="e">
        <f>IF(OR($J101=0,COUNTIFS($A$4:$A100,"&gt;="&amp;$A101-1,$A$4:$A100,"&lt;="&amp;$A101,$B$4:$B100,$B101)&gt;0,MIN(AY$1,IF($A101=$A100,AY100,1))-AD101&lt;0),-1,MIN(1,IF($A101=$A100,AY100,1)-AD101+$D$3))</f>
        <v>#N/A</v>
      </c>
      <c r="AZ101" t="e">
        <f>IF(OR($J101=0,COUNTIFS($A$4:$A100,"&gt;="&amp;$A101-1,$A$4:$A100,"&lt;="&amp;$A101,$B$4:$B100,$B101)&gt;0,MIN(AZ$1,IF($A101=$A100,AZ100,1))-AE101&lt;0),-1,MIN(1,IF($A101=$A100,AZ100,1)-AE101+$D$3))</f>
        <v>#N/A</v>
      </c>
      <c r="BA101" t="e">
        <f>IF(OR($J101=0,COUNTIFS($A$4:$A100,"&gt;="&amp;$A101-1,$A$4:$A100,"&lt;="&amp;$A101,$B$4:$B100,$B101)&gt;0,MIN(BA$1,IF($A101=$A100,BA100,1))-AF101&lt;0),-1,MIN(1,IF($A101=$A100,BA100,1)-AF101+$D$3))</f>
        <v>#N/A</v>
      </c>
      <c r="BB101" t="e">
        <f>IF(OR($J101=0,COUNTIFS($A$4:$A100,"&gt;="&amp;$A101-1,$A$4:$A100,"&lt;="&amp;$A101,$B$4:$B100,$B101)&gt;0,MIN(BB$1,IF($A101=$A100,BB100,1))-AG101&lt;0),-1,MIN(1,IF($A101=$A100,BB100,1)-AG101+$D$3))</f>
        <v>#N/A</v>
      </c>
      <c r="BC101" t="e">
        <f>IF(OR($J101=0,COUNTIFS($A$4:$A100,"&gt;="&amp;$A101-1,$A$4:$A100,"&lt;="&amp;$A101,$B$4:$B100,$B101)&gt;0,MIN(BC$1,IF($A101=$A100,BC100,1))-AH101&lt;0),-1,MIN(1,IF($A101=$A100,BC100,1)-AH101+$D$3))</f>
        <v>#N/A</v>
      </c>
      <c r="BD101" t="e">
        <f>IF(OR($J101=0,COUNTIFS($A$4:$A100,"&gt;="&amp;$A101-1,$A$4:$A100,"&lt;="&amp;$A101,$B$4:$B100,$B101)&gt;0,MIN(BD$1,IF($A101=$A100,BD100,1))-AI101&lt;0),-1,MIN(1,IF($A101=$A100,BD100,1)-AI101+$D$3))</f>
        <v>#N/A</v>
      </c>
      <c r="BF101" s="44">
        <f t="shared" si="179"/>
        <v>1.4638467295402906E-2</v>
      </c>
      <c r="BG101" s="44">
        <f t="shared" si="180"/>
        <v>3.6000121780562035E-2</v>
      </c>
      <c r="BH101" s="44">
        <f t="shared" si="181"/>
        <v>3.6896337983131897E-2</v>
      </c>
      <c r="BI101" s="44">
        <f t="shared" si="182"/>
        <v>3.4081972460597798E-2</v>
      </c>
      <c r="BJ101" s="44">
        <f t="shared" si="183"/>
        <v>3.5226954142795149E-2</v>
      </c>
      <c r="BK101" s="44">
        <f t="shared" si="184"/>
        <v>1.5127767543773355E-2</v>
      </c>
      <c r="BL101" s="44">
        <f t="shared" si="185"/>
        <v>8.1722580231501345E-3</v>
      </c>
      <c r="BM101" s="44">
        <f t="shared" si="186"/>
        <v>2.0789270095171085E-2</v>
      </c>
      <c r="BN101" s="44">
        <f t="shared" si="187"/>
        <v>2.1622461118666111E-2</v>
      </c>
      <c r="BO101" s="44">
        <f t="shared" si="188"/>
        <v>1.0133105758434756E-2</v>
      </c>
      <c r="BP101" s="44">
        <f t="shared" si="189"/>
        <v>3.4072342345129965E-2</v>
      </c>
      <c r="BQ101" s="44">
        <f t="shared" si="190"/>
        <v>9.1947147637988277E-3</v>
      </c>
      <c r="BR101" s="44">
        <f t="shared" si="191"/>
        <v>2.7163489090073541E-2</v>
      </c>
      <c r="BS101" s="44">
        <f t="shared" si="192"/>
        <v>1.464963012886919E-2</v>
      </c>
      <c r="BT101" s="44">
        <f t="shared" si="193"/>
        <v>5.7973077651501233E-2</v>
      </c>
      <c r="BU101" s="44">
        <f t="shared" si="194"/>
        <v>5.5381733922987036E-2</v>
      </c>
      <c r="BV101" s="44">
        <f t="shared" si="195"/>
        <v>5.3186784995176754E-2</v>
      </c>
      <c r="BW101" s="44">
        <f t="shared" si="196"/>
        <v>3.4787084277814538E-2</v>
      </c>
      <c r="BX101" s="44">
        <f t="shared" si="197"/>
        <v>2.5700066157009042E-2</v>
      </c>
      <c r="BY101" s="44">
        <f t="shared" si="198"/>
        <v>2.2066460682990736E-2</v>
      </c>
      <c r="CA101" s="44" t="str">
        <f t="shared" si="199"/>
        <v/>
      </c>
      <c r="CB101" s="44" t="str">
        <f t="shared" si="200"/>
        <v/>
      </c>
      <c r="CC101" s="44" t="str">
        <f t="shared" si="201"/>
        <v/>
      </c>
      <c r="CD101" s="44" t="str">
        <f t="shared" si="202"/>
        <v/>
      </c>
      <c r="CE101" s="44" t="str">
        <f t="shared" si="203"/>
        <v/>
      </c>
      <c r="CF101" s="44" t="str">
        <f t="shared" si="204"/>
        <v/>
      </c>
      <c r="CG101" s="44" t="str">
        <f t="shared" si="205"/>
        <v/>
      </c>
      <c r="CH101" s="44" t="str">
        <f t="shared" si="206"/>
        <v/>
      </c>
      <c r="CI101" s="44" t="str">
        <f t="shared" si="207"/>
        <v/>
      </c>
      <c r="CJ101" s="44" t="str">
        <f t="shared" si="208"/>
        <v/>
      </c>
      <c r="CK101" s="44" t="str">
        <f t="shared" si="209"/>
        <v/>
      </c>
      <c r="CL101" s="44" t="str">
        <f t="shared" si="210"/>
        <v/>
      </c>
      <c r="CM101" s="44" t="str">
        <f t="shared" si="211"/>
        <v/>
      </c>
      <c r="CN101" s="44" t="str">
        <f t="shared" si="212"/>
        <v/>
      </c>
      <c r="CO101" s="44" t="str">
        <f t="shared" si="213"/>
        <v/>
      </c>
      <c r="CP101" s="44" t="str">
        <f t="shared" si="214"/>
        <v/>
      </c>
      <c r="CQ101" s="44" t="str">
        <f t="shared" si="215"/>
        <v/>
      </c>
      <c r="CR101" s="44" t="str">
        <f t="shared" si="216"/>
        <v/>
      </c>
      <c r="CS101" s="44" t="str">
        <f t="shared" si="217"/>
        <v/>
      </c>
      <c r="CT101" s="44" t="str">
        <f t="shared" si="218"/>
        <v/>
      </c>
      <c r="CV101" s="44">
        <f t="shared" si="219"/>
        <v>0</v>
      </c>
    </row>
    <row r="102" spans="1:100" x14ac:dyDescent="0.25">
      <c r="A102" s="41"/>
      <c r="B102" s="42"/>
      <c r="C102" s="43" t="str" cm="1">
        <f t="array" ref="C102">IF(B102="","",INDEX(UWS!$B$10:$B$41,B102))</f>
        <v/>
      </c>
      <c r="D102" s="40" t="str">
        <f t="shared" si="176"/>
        <v/>
      </c>
      <c r="E102" s="69" t="str">
        <f t="shared" si="177"/>
        <v/>
      </c>
      <c r="F102" s="48" cm="1">
        <f t="array" ref="F102">0.1+IFERROR(INDEX($F$5:$F101,SUMPRODUCT(MAX(ROW($C$5:$C101)*($C102=$C$5:$C101))-ROW($A$4)))*0.9^($A102-INDEX($A$5:A101,SUMPRODUCT(MAX(ROW($C$5:$C101)*($C102=$C$5:$C101))-ROW($A$4)))),0)</f>
        <v>3.700000000000002</v>
      </c>
      <c r="G102" s="55" t="e">
        <f>INDEX(UWS!$AB$10:$AB$41,MATCH(C102,UWS!$B$10:$B$41,0))</f>
        <v>#N/A</v>
      </c>
      <c r="H102" s="48" t="e">
        <f>INDEX(UWS!$C$10:$C$41,MATCH(C102,UWS!$B$10:$B$41,0))</f>
        <v>#N/A</v>
      </c>
      <c r="I102" s="27">
        <f t="shared" si="178"/>
        <v>5</v>
      </c>
      <c r="J102" s="27" t="e">
        <f>INDEX(UWS!$E$10:$E$41,MATCH(C102,UWS!$B$10:$B$41,0))</f>
        <v>#N/A</v>
      </c>
      <c r="L102" s="108" t="str" cm="1">
        <f t="array" ref="L102">IF(K102="","",INDEX(UWS!$B$10:$B$41,K102))</f>
        <v/>
      </c>
      <c r="N102" s="108" t="str" cm="1">
        <f t="array" ref="N102">IF(M102="","",INDEX(UWS!$B$10:$B$41,M102))</f>
        <v/>
      </c>
      <c r="P102">
        <f>IFERROR(INDEX(UWS!$G$10:$Z$41,MATCH($C102,UWS!$B$10:$B$41,0),MATCH(P$4,UWS!$G$3:$Z$3,0)),0)</f>
        <v>0</v>
      </c>
      <c r="Q102">
        <f>IFERROR(INDEX(UWS!$G$10:$Z$41,MATCH($C102,UWS!$B$10:$B$41,0),MATCH(Q$4,UWS!$G$3:$Z$3,0)),0)</f>
        <v>0</v>
      </c>
      <c r="R102">
        <f>IFERROR(INDEX(UWS!$G$10:$Z$41,MATCH($C102,UWS!$B$10:$B$41,0),MATCH(R$4,UWS!$G$3:$Z$3,0)),0)</f>
        <v>0</v>
      </c>
      <c r="S102">
        <f>IFERROR(INDEX(UWS!$G$10:$Z$41,MATCH($C102,UWS!$B$10:$B$41,0),MATCH(S$4,UWS!$G$3:$Z$3,0)),0)</f>
        <v>0</v>
      </c>
      <c r="T102">
        <f>IFERROR(INDEX(UWS!$G$10:$Z$41,MATCH($C102,UWS!$B$10:$B$41,0),MATCH(T$4,UWS!$G$3:$Z$3,0)),0)</f>
        <v>0</v>
      </c>
      <c r="U102">
        <f>IFERROR(INDEX(UWS!$G$10:$Z$41,MATCH($C102,UWS!$B$10:$B$41,0),MATCH(U$4,UWS!$G$3:$Z$3,0)),0)</f>
        <v>0</v>
      </c>
      <c r="V102">
        <f>IFERROR(INDEX(UWS!$G$10:$Z$41,MATCH($C102,UWS!$B$10:$B$41,0),MATCH(V$4,UWS!$G$3:$Z$3,0)),0)</f>
        <v>0</v>
      </c>
      <c r="W102">
        <f>IFERROR(INDEX(UWS!$G$10:$Z$41,MATCH($C102,UWS!$B$10:$B$41,0),MATCH(W$4,UWS!$G$3:$Z$3,0)),0)</f>
        <v>0</v>
      </c>
      <c r="X102">
        <f>IFERROR(INDEX(UWS!$G$10:$Z$41,MATCH($C102,UWS!$B$10:$B$41,0),MATCH(X$4,UWS!$G$3:$Z$3,0)),0)</f>
        <v>0</v>
      </c>
      <c r="Y102">
        <f>IFERROR(INDEX(UWS!$G$10:$Z$41,MATCH($C102,UWS!$B$10:$B$41,0),MATCH(Y$4,UWS!$G$3:$Z$3,0)),0)</f>
        <v>0</v>
      </c>
      <c r="Z102">
        <f>IFERROR(INDEX(UWS!$G$10:$Z$41,MATCH($C102,UWS!$B$10:$B$41,0),MATCH(Z$4,UWS!$G$3:$Z$3,0)),0)</f>
        <v>0</v>
      </c>
      <c r="AA102">
        <f>IFERROR(INDEX(UWS!$G$10:$Z$41,MATCH($C102,UWS!$B$10:$B$41,0),MATCH(AA$4,UWS!$G$3:$Z$3,0)),0)</f>
        <v>0</v>
      </c>
      <c r="AB102">
        <f>IFERROR(INDEX(UWS!$G$10:$Z$41,MATCH($C102,UWS!$B$10:$B$41,0),MATCH(AB$4,UWS!$G$3:$Z$3,0)),0)</f>
        <v>0</v>
      </c>
      <c r="AC102">
        <f>IFERROR(INDEX(UWS!$G$10:$Z$41,MATCH($C102,UWS!$B$10:$B$41,0),MATCH(AC$4,UWS!$G$3:$Z$3,0)),0)</f>
        <v>0</v>
      </c>
      <c r="AD102">
        <f>IFERROR(INDEX(UWS!$G$10:$Z$41,MATCH($C102,UWS!$B$10:$B$41,0),MATCH(AD$4,UWS!$G$3:$Z$3,0)),0)</f>
        <v>0</v>
      </c>
      <c r="AE102">
        <f>IFERROR(INDEX(UWS!$G$10:$Z$41,MATCH($C102,UWS!$B$10:$B$41,0),MATCH(AE$4,UWS!$G$3:$Z$3,0)),0)</f>
        <v>0</v>
      </c>
      <c r="AF102">
        <f>IFERROR(INDEX(UWS!$G$10:$Z$41,MATCH($C102,UWS!$B$10:$B$41,0),MATCH(AF$4,UWS!$G$3:$Z$3,0)),0)</f>
        <v>0</v>
      </c>
      <c r="AG102">
        <f>IFERROR(INDEX(UWS!$G$10:$Z$41,MATCH($C102,UWS!$B$10:$B$41,0),MATCH(AG$4,UWS!$G$3:$Z$3,0)),0)</f>
        <v>0</v>
      </c>
      <c r="AH102">
        <f>IFERROR(INDEX(UWS!$G$10:$Z$41,MATCH($C102,UWS!$B$10:$B$41,0),MATCH(AH$4,UWS!$G$3:$Z$3,0)),0)</f>
        <v>0</v>
      </c>
      <c r="AI102">
        <f>IFERROR(INDEX(UWS!$G$10:$Z$41,MATCH($C102,UWS!$B$10:$B$41,0),MATCH(AI$4,UWS!$G$3:$Z$3,0)),0)</f>
        <v>0</v>
      </c>
      <c r="AK102" t="e">
        <f>IF(OR($J102=0,COUNTIFS($A$4:$A101,"&gt;="&amp;$A102-1,$A$4:$A101,"&lt;="&amp;$A102,$B$4:$B101,$B102)&gt;0,MIN(AK$1,IF($A102=$A101,AK101,1))-P102&lt;0),-1,MIN(1,IF($A102=$A101,AK101,1)-P102+$D$3))</f>
        <v>#N/A</v>
      </c>
      <c r="AL102" t="e">
        <f>IF(OR($J102=0,COUNTIFS($A$4:$A101,"&gt;="&amp;$A102-1,$A$4:$A101,"&lt;="&amp;$A102,$B$4:$B101,$B102)&gt;0,MIN(AL$1,IF($A102=$A101,AL101,1))-Q102&lt;0),-1,MIN(1,IF($A102=$A101,AL101,1)-Q102+$D$3))</f>
        <v>#N/A</v>
      </c>
      <c r="AM102" t="e">
        <f>IF(OR($J102=0,COUNTIFS($A$4:$A101,"&gt;="&amp;$A102-1,$A$4:$A101,"&lt;="&amp;$A102,$B$4:$B101,$B102)&gt;0,MIN(AM$1,IF($A102=$A101,AM101,1))-R102&lt;0),-1,MIN(1,IF($A102=$A101,AM101,1)-R102+$D$3))</f>
        <v>#N/A</v>
      </c>
      <c r="AN102" t="e">
        <f>IF(OR($J102=0,COUNTIFS($A$4:$A101,"&gt;="&amp;$A102-1,$A$4:$A101,"&lt;="&amp;$A102,$B$4:$B101,$B102)&gt;0,MIN(AN$1,IF($A102=$A101,AN101,1))-S102&lt;0),-1,MIN(1,IF($A102=$A101,AN101,1)-S102+$D$3))</f>
        <v>#N/A</v>
      </c>
      <c r="AO102" t="e">
        <f>IF(OR($J102=0,COUNTIFS($A$4:$A101,"&gt;="&amp;$A102-1,$A$4:$A101,"&lt;="&amp;$A102,$B$4:$B101,$B102)&gt;0,MIN(AO$1,IF($A102=$A101,AO101,1))-T102&lt;0),-1,MIN(1,IF($A102=$A101,AO101,1)-T102+$D$3))</f>
        <v>#N/A</v>
      </c>
      <c r="AP102" t="e">
        <f>IF(OR($J102=0,COUNTIFS($A$4:$A101,"&gt;="&amp;$A102-1,$A$4:$A101,"&lt;="&amp;$A102,$B$4:$B101,$B102)&gt;0,MIN(AP$1,IF($A102=$A101,AP101,1))-U102&lt;0),-1,MIN(1,IF($A102=$A101,AP101,1)-U102+$D$3))</f>
        <v>#N/A</v>
      </c>
      <c r="AQ102" t="e">
        <f>IF(OR($J102=0,COUNTIFS($A$4:$A101,"&gt;="&amp;$A102-1,$A$4:$A101,"&lt;="&amp;$A102,$B$4:$B101,$B102)&gt;0,MIN(AQ$1,IF($A102=$A101,AQ101,1))-V102&lt;0),-1,MIN(1,IF($A102=$A101,AQ101,1)-V102+$D$3))</f>
        <v>#N/A</v>
      </c>
      <c r="AR102" t="e">
        <f>IF(OR($J102=0,COUNTIFS($A$4:$A101,"&gt;="&amp;$A102-1,$A$4:$A101,"&lt;="&amp;$A102,$B$4:$B101,$B102)&gt;0,MIN(AR$1,IF($A102=$A101,AR101,1))-W102&lt;0),-1,MIN(1,IF($A102=$A101,AR101,1)-W102+$D$3))</f>
        <v>#N/A</v>
      </c>
      <c r="AS102" t="e">
        <f>IF(OR($J102=0,COUNTIFS($A$4:$A101,"&gt;="&amp;$A102-1,$A$4:$A101,"&lt;="&amp;$A102,$B$4:$B101,$B102)&gt;0,MIN(AS$1,IF($A102=$A101,AS101,1))-X102&lt;0),-1,MIN(1,IF($A102=$A101,AS101,1)-X102+$D$3))</f>
        <v>#N/A</v>
      </c>
      <c r="AT102" t="e">
        <f>IF(OR($J102=0,COUNTIFS($A$4:$A101,"&gt;="&amp;$A102-1,$A$4:$A101,"&lt;="&amp;$A102,$B$4:$B101,$B102)&gt;0,MIN(AT$1,IF($A102=$A101,AT101,1))-Y102&lt;0),-1,MIN(1,IF($A102=$A101,AT101,1)-Y102+$D$3))</f>
        <v>#N/A</v>
      </c>
      <c r="AU102" t="e">
        <f>IF(OR($J102=0,COUNTIFS($A$4:$A101,"&gt;="&amp;$A102-1,$A$4:$A101,"&lt;="&amp;$A102,$B$4:$B101,$B102)&gt;0,MIN(AU$1,IF($A102=$A101,AU101,1))-Z102&lt;0),-1,MIN(1,IF($A102=$A101,AU101,1)-Z102+$D$3))</f>
        <v>#N/A</v>
      </c>
      <c r="AV102" t="e">
        <f>IF(OR($J102=0,COUNTIFS($A$4:$A101,"&gt;="&amp;$A102-1,$A$4:$A101,"&lt;="&amp;$A102,$B$4:$B101,$B102)&gt;0,MIN(AV$1,IF($A102=$A101,AV101,1))-AA102&lt;0),-1,MIN(1,IF($A102=$A101,AV101,1)-AA102+$D$3))</f>
        <v>#N/A</v>
      </c>
      <c r="AW102" t="e">
        <f>IF(OR($J102=0,COUNTIFS($A$4:$A101,"&gt;="&amp;$A102-1,$A$4:$A101,"&lt;="&amp;$A102,$B$4:$B101,$B102)&gt;0,MIN(AW$1,IF($A102=$A101,AW101,1))-AB102&lt;0),-1,MIN(1,IF($A102=$A101,AW101,1)-AB102+$D$3))</f>
        <v>#N/A</v>
      </c>
      <c r="AX102" t="e">
        <f>IF(OR($J102=0,COUNTIFS($A$4:$A101,"&gt;="&amp;$A102-1,$A$4:$A101,"&lt;="&amp;$A102,$B$4:$B101,$B102)&gt;0,MIN(AX$1,IF($A102=$A101,AX101,1))-AC102&lt;0),-1,MIN(1,IF($A102=$A101,AX101,1)-AC102+$D$3))</f>
        <v>#N/A</v>
      </c>
      <c r="AY102" t="e">
        <f>IF(OR($J102=0,COUNTIFS($A$4:$A101,"&gt;="&amp;$A102-1,$A$4:$A101,"&lt;="&amp;$A102,$B$4:$B101,$B102)&gt;0,MIN(AY$1,IF($A102=$A101,AY101,1))-AD102&lt;0),-1,MIN(1,IF($A102=$A101,AY101,1)-AD102+$D$3))</f>
        <v>#N/A</v>
      </c>
      <c r="AZ102" t="e">
        <f>IF(OR($J102=0,COUNTIFS($A$4:$A101,"&gt;="&amp;$A102-1,$A$4:$A101,"&lt;="&amp;$A102,$B$4:$B101,$B102)&gt;0,MIN(AZ$1,IF($A102=$A101,AZ101,1))-AE102&lt;0),-1,MIN(1,IF($A102=$A101,AZ101,1)-AE102+$D$3))</f>
        <v>#N/A</v>
      </c>
      <c r="BA102" t="e">
        <f>IF(OR($J102=0,COUNTIFS($A$4:$A101,"&gt;="&amp;$A102-1,$A$4:$A101,"&lt;="&amp;$A102,$B$4:$B101,$B102)&gt;0,MIN(BA$1,IF($A102=$A101,BA101,1))-AF102&lt;0),-1,MIN(1,IF($A102=$A101,BA101,1)-AF102+$D$3))</f>
        <v>#N/A</v>
      </c>
      <c r="BB102" t="e">
        <f>IF(OR($J102=0,COUNTIFS($A$4:$A101,"&gt;="&amp;$A102-1,$A$4:$A101,"&lt;="&amp;$A102,$B$4:$B101,$B102)&gt;0,MIN(BB$1,IF($A102=$A101,BB101,1))-AG102&lt;0),-1,MIN(1,IF($A102=$A101,BB101,1)-AG102+$D$3))</f>
        <v>#N/A</v>
      </c>
      <c r="BC102" t="e">
        <f>IF(OR($J102=0,COUNTIFS($A$4:$A101,"&gt;="&amp;$A102-1,$A$4:$A101,"&lt;="&amp;$A102,$B$4:$B101,$B102)&gt;0,MIN(BC$1,IF($A102=$A101,BC101,1))-AH102&lt;0),-1,MIN(1,IF($A102=$A101,BC101,1)-AH102+$D$3))</f>
        <v>#N/A</v>
      </c>
      <c r="BD102" t="e">
        <f>IF(OR($J102=0,COUNTIFS($A$4:$A101,"&gt;="&amp;$A102-1,$A$4:$A101,"&lt;="&amp;$A102,$B$4:$B101,$B102)&gt;0,MIN(BD$1,IF($A102=$A101,BD101,1))-AI102&lt;0),-1,MIN(1,IF($A102=$A101,BD101,1)-AI102+$D$3))</f>
        <v>#N/A</v>
      </c>
      <c r="BF102" s="44">
        <f t="shared" si="179"/>
        <v>1.390654393063276E-2</v>
      </c>
      <c r="BG102" s="44">
        <f t="shared" si="180"/>
        <v>3.420011569153393E-2</v>
      </c>
      <c r="BH102" s="44">
        <f t="shared" si="181"/>
        <v>3.5051521083975301E-2</v>
      </c>
      <c r="BI102" s="44">
        <f t="shared" si="182"/>
        <v>3.2377873837567905E-2</v>
      </c>
      <c r="BJ102" s="44">
        <f t="shared" si="183"/>
        <v>3.3465606435655389E-2</v>
      </c>
      <c r="BK102" s="44">
        <f t="shared" si="184"/>
        <v>1.4371379166584687E-2</v>
      </c>
      <c r="BL102" s="44">
        <f t="shared" si="185"/>
        <v>7.7636451219926274E-3</v>
      </c>
      <c r="BM102" s="44">
        <f t="shared" si="186"/>
        <v>1.974980659041253E-2</v>
      </c>
      <c r="BN102" s="44">
        <f t="shared" si="187"/>
        <v>2.0541338062732804E-2</v>
      </c>
      <c r="BO102" s="44">
        <f t="shared" si="188"/>
        <v>9.6264504705130174E-3</v>
      </c>
      <c r="BP102" s="44">
        <f t="shared" si="189"/>
        <v>3.2368725227873464E-2</v>
      </c>
      <c r="BQ102" s="44">
        <f t="shared" si="190"/>
        <v>8.7349790256088852E-3</v>
      </c>
      <c r="BR102" s="44">
        <f t="shared" si="191"/>
        <v>2.5805314635569863E-2</v>
      </c>
      <c r="BS102" s="44">
        <f t="shared" si="192"/>
        <v>1.391714862242573E-2</v>
      </c>
      <c r="BT102" s="44">
        <f t="shared" si="193"/>
        <v>5.507442376892617E-2</v>
      </c>
      <c r="BU102" s="44">
        <f t="shared" si="194"/>
        <v>5.2612647226837679E-2</v>
      </c>
      <c r="BV102" s="44">
        <f t="shared" si="195"/>
        <v>5.0527445745417912E-2</v>
      </c>
      <c r="BW102" s="44">
        <f t="shared" si="196"/>
        <v>3.3047730063923808E-2</v>
      </c>
      <c r="BX102" s="44">
        <f t="shared" si="197"/>
        <v>2.4415062849158588E-2</v>
      </c>
      <c r="BY102" s="44">
        <f t="shared" si="198"/>
        <v>2.0963137648841199E-2</v>
      </c>
      <c r="CA102" s="44" t="str">
        <f t="shared" si="199"/>
        <v/>
      </c>
      <c r="CB102" s="44" t="str">
        <f t="shared" si="200"/>
        <v/>
      </c>
      <c r="CC102" s="44" t="str">
        <f t="shared" si="201"/>
        <v/>
      </c>
      <c r="CD102" s="44" t="str">
        <f t="shared" si="202"/>
        <v/>
      </c>
      <c r="CE102" s="44" t="str">
        <f t="shared" si="203"/>
        <v/>
      </c>
      <c r="CF102" s="44" t="str">
        <f t="shared" si="204"/>
        <v/>
      </c>
      <c r="CG102" s="44" t="str">
        <f t="shared" si="205"/>
        <v/>
      </c>
      <c r="CH102" s="44" t="str">
        <f t="shared" si="206"/>
        <v/>
      </c>
      <c r="CI102" s="44" t="str">
        <f t="shared" si="207"/>
        <v/>
      </c>
      <c r="CJ102" s="44" t="str">
        <f t="shared" si="208"/>
        <v/>
      </c>
      <c r="CK102" s="44" t="str">
        <f t="shared" si="209"/>
        <v/>
      </c>
      <c r="CL102" s="44" t="str">
        <f t="shared" si="210"/>
        <v/>
      </c>
      <c r="CM102" s="44" t="str">
        <f t="shared" si="211"/>
        <v/>
      </c>
      <c r="CN102" s="44" t="str">
        <f t="shared" si="212"/>
        <v/>
      </c>
      <c r="CO102" s="44" t="str">
        <f t="shared" si="213"/>
        <v/>
      </c>
      <c r="CP102" s="44" t="str">
        <f t="shared" si="214"/>
        <v/>
      </c>
      <c r="CQ102" s="44" t="str">
        <f t="shared" si="215"/>
        <v/>
      </c>
      <c r="CR102" s="44" t="str">
        <f t="shared" si="216"/>
        <v/>
      </c>
      <c r="CS102" s="44" t="str">
        <f t="shared" si="217"/>
        <v/>
      </c>
      <c r="CT102" s="44" t="str">
        <f t="shared" si="218"/>
        <v/>
      </c>
      <c r="CV102" s="44">
        <f t="shared" si="219"/>
        <v>0</v>
      </c>
    </row>
    <row r="103" spans="1:100" x14ac:dyDescent="0.25">
      <c r="A103" s="41"/>
      <c r="B103" s="42"/>
      <c r="C103" s="43" t="str" cm="1">
        <f t="array" ref="C103">IF(B103="","",INDEX(UWS!$B$10:$B$41,B103))</f>
        <v/>
      </c>
      <c r="D103" s="40" t="str">
        <f t="shared" si="176"/>
        <v/>
      </c>
      <c r="E103" s="69" t="str">
        <f t="shared" si="177"/>
        <v/>
      </c>
      <c r="F103" s="48" cm="1">
        <f t="array" ref="F103">0.1+IFERROR(INDEX($F$5:$F102,SUMPRODUCT(MAX(ROW($C$5:$C102)*($C103=$C$5:$C102))-ROW($A$4)))*0.9^($A103-INDEX($A$5:A102,SUMPRODUCT(MAX(ROW($C$5:$C102)*($C103=$C$5:$C102))-ROW($A$4)))),0)</f>
        <v>3.800000000000002</v>
      </c>
      <c r="G103" s="55" t="e">
        <f>INDEX(UWS!$AB$10:$AB$41,MATCH(C103,UWS!$B$10:$B$41,0))</f>
        <v>#N/A</v>
      </c>
      <c r="H103" s="48" t="e">
        <f>INDEX(UWS!$C$10:$C$41,MATCH(C103,UWS!$B$10:$B$41,0))</f>
        <v>#N/A</v>
      </c>
      <c r="I103" s="27">
        <f t="shared" si="178"/>
        <v>5</v>
      </c>
      <c r="J103" s="27" t="e">
        <f>INDEX(UWS!$E$10:$E$41,MATCH(C103,UWS!$B$10:$B$41,0))</f>
        <v>#N/A</v>
      </c>
      <c r="L103" s="108" t="str" cm="1">
        <f t="array" ref="L103">IF(K103="","",INDEX(UWS!$B$10:$B$41,K103))</f>
        <v/>
      </c>
      <c r="N103" s="108" t="str" cm="1">
        <f t="array" ref="N103">IF(M103="","",INDEX(UWS!$B$10:$B$41,M103))</f>
        <v/>
      </c>
      <c r="P103">
        <f>IFERROR(INDEX(UWS!$G$10:$Z$41,MATCH($C103,UWS!$B$10:$B$41,0),MATCH(P$4,UWS!$G$3:$Z$3,0)),0)</f>
        <v>0</v>
      </c>
      <c r="Q103">
        <f>IFERROR(INDEX(UWS!$G$10:$Z$41,MATCH($C103,UWS!$B$10:$B$41,0),MATCH(Q$4,UWS!$G$3:$Z$3,0)),0)</f>
        <v>0</v>
      </c>
      <c r="R103">
        <f>IFERROR(INDEX(UWS!$G$10:$Z$41,MATCH($C103,UWS!$B$10:$B$41,0),MATCH(R$4,UWS!$G$3:$Z$3,0)),0)</f>
        <v>0</v>
      </c>
      <c r="S103">
        <f>IFERROR(INDEX(UWS!$G$10:$Z$41,MATCH($C103,UWS!$B$10:$B$41,0),MATCH(S$4,UWS!$G$3:$Z$3,0)),0)</f>
        <v>0</v>
      </c>
      <c r="T103">
        <f>IFERROR(INDEX(UWS!$G$10:$Z$41,MATCH($C103,UWS!$B$10:$B$41,0),MATCH(T$4,UWS!$G$3:$Z$3,0)),0)</f>
        <v>0</v>
      </c>
      <c r="U103">
        <f>IFERROR(INDEX(UWS!$G$10:$Z$41,MATCH($C103,UWS!$B$10:$B$41,0),MATCH(U$4,UWS!$G$3:$Z$3,0)),0)</f>
        <v>0</v>
      </c>
      <c r="V103">
        <f>IFERROR(INDEX(UWS!$G$10:$Z$41,MATCH($C103,UWS!$B$10:$B$41,0),MATCH(V$4,UWS!$G$3:$Z$3,0)),0)</f>
        <v>0</v>
      </c>
      <c r="W103">
        <f>IFERROR(INDEX(UWS!$G$10:$Z$41,MATCH($C103,UWS!$B$10:$B$41,0),MATCH(W$4,UWS!$G$3:$Z$3,0)),0)</f>
        <v>0</v>
      </c>
      <c r="X103">
        <f>IFERROR(INDEX(UWS!$G$10:$Z$41,MATCH($C103,UWS!$B$10:$B$41,0),MATCH(X$4,UWS!$G$3:$Z$3,0)),0)</f>
        <v>0</v>
      </c>
      <c r="Y103">
        <f>IFERROR(INDEX(UWS!$G$10:$Z$41,MATCH($C103,UWS!$B$10:$B$41,0),MATCH(Y$4,UWS!$G$3:$Z$3,0)),0)</f>
        <v>0</v>
      </c>
      <c r="Z103">
        <f>IFERROR(INDEX(UWS!$G$10:$Z$41,MATCH($C103,UWS!$B$10:$B$41,0),MATCH(Z$4,UWS!$G$3:$Z$3,0)),0)</f>
        <v>0</v>
      </c>
      <c r="AA103">
        <f>IFERROR(INDEX(UWS!$G$10:$Z$41,MATCH($C103,UWS!$B$10:$B$41,0),MATCH(AA$4,UWS!$G$3:$Z$3,0)),0)</f>
        <v>0</v>
      </c>
      <c r="AB103">
        <f>IFERROR(INDEX(UWS!$G$10:$Z$41,MATCH($C103,UWS!$B$10:$B$41,0),MATCH(AB$4,UWS!$G$3:$Z$3,0)),0)</f>
        <v>0</v>
      </c>
      <c r="AC103">
        <f>IFERROR(INDEX(UWS!$G$10:$Z$41,MATCH($C103,UWS!$B$10:$B$41,0),MATCH(AC$4,UWS!$G$3:$Z$3,0)),0)</f>
        <v>0</v>
      </c>
      <c r="AD103">
        <f>IFERROR(INDEX(UWS!$G$10:$Z$41,MATCH($C103,UWS!$B$10:$B$41,0),MATCH(AD$4,UWS!$G$3:$Z$3,0)),0)</f>
        <v>0</v>
      </c>
      <c r="AE103">
        <f>IFERROR(INDEX(UWS!$G$10:$Z$41,MATCH($C103,UWS!$B$10:$B$41,0),MATCH(AE$4,UWS!$G$3:$Z$3,0)),0)</f>
        <v>0</v>
      </c>
      <c r="AF103">
        <f>IFERROR(INDEX(UWS!$G$10:$Z$41,MATCH($C103,UWS!$B$10:$B$41,0),MATCH(AF$4,UWS!$G$3:$Z$3,0)),0)</f>
        <v>0</v>
      </c>
      <c r="AG103">
        <f>IFERROR(INDEX(UWS!$G$10:$Z$41,MATCH($C103,UWS!$B$10:$B$41,0),MATCH(AG$4,UWS!$G$3:$Z$3,0)),0)</f>
        <v>0</v>
      </c>
      <c r="AH103">
        <f>IFERROR(INDEX(UWS!$G$10:$Z$41,MATCH($C103,UWS!$B$10:$B$41,0),MATCH(AH$4,UWS!$G$3:$Z$3,0)),0)</f>
        <v>0</v>
      </c>
      <c r="AI103">
        <f>IFERROR(INDEX(UWS!$G$10:$Z$41,MATCH($C103,UWS!$B$10:$B$41,0),MATCH(AI$4,UWS!$G$3:$Z$3,0)),0)</f>
        <v>0</v>
      </c>
      <c r="AK103" t="e">
        <f>IF(OR($J103=0,COUNTIFS($A$4:$A102,"&gt;="&amp;$A103-1,$A$4:$A102,"&lt;="&amp;$A103,$B$4:$B102,$B103)&gt;0,MIN(AK$1,IF($A103=$A102,AK102,1))-P103&lt;0),-1,MIN(1,IF($A103=$A102,AK102,1)-P103+$D$3))</f>
        <v>#N/A</v>
      </c>
      <c r="AL103" t="e">
        <f>IF(OR($J103=0,COUNTIFS($A$4:$A102,"&gt;="&amp;$A103-1,$A$4:$A102,"&lt;="&amp;$A103,$B$4:$B102,$B103)&gt;0,MIN(AL$1,IF($A103=$A102,AL102,1))-Q103&lt;0),-1,MIN(1,IF($A103=$A102,AL102,1)-Q103+$D$3))</f>
        <v>#N/A</v>
      </c>
      <c r="AM103" t="e">
        <f>IF(OR($J103=0,COUNTIFS($A$4:$A102,"&gt;="&amp;$A103-1,$A$4:$A102,"&lt;="&amp;$A103,$B$4:$B102,$B103)&gt;0,MIN(AM$1,IF($A103=$A102,AM102,1))-R103&lt;0),-1,MIN(1,IF($A103=$A102,AM102,1)-R103+$D$3))</f>
        <v>#N/A</v>
      </c>
      <c r="AN103" t="e">
        <f>IF(OR($J103=0,COUNTIFS($A$4:$A102,"&gt;="&amp;$A103-1,$A$4:$A102,"&lt;="&amp;$A103,$B$4:$B102,$B103)&gt;0,MIN(AN$1,IF($A103=$A102,AN102,1))-S103&lt;0),-1,MIN(1,IF($A103=$A102,AN102,1)-S103+$D$3))</f>
        <v>#N/A</v>
      </c>
      <c r="AO103" t="e">
        <f>IF(OR($J103=0,COUNTIFS($A$4:$A102,"&gt;="&amp;$A103-1,$A$4:$A102,"&lt;="&amp;$A103,$B$4:$B102,$B103)&gt;0,MIN(AO$1,IF($A103=$A102,AO102,1))-T103&lt;0),-1,MIN(1,IF($A103=$A102,AO102,1)-T103+$D$3))</f>
        <v>#N/A</v>
      </c>
      <c r="AP103" t="e">
        <f>IF(OR($J103=0,COUNTIFS($A$4:$A102,"&gt;="&amp;$A103-1,$A$4:$A102,"&lt;="&amp;$A103,$B$4:$B102,$B103)&gt;0,MIN(AP$1,IF($A103=$A102,AP102,1))-U103&lt;0),-1,MIN(1,IF($A103=$A102,AP102,1)-U103+$D$3))</f>
        <v>#N/A</v>
      </c>
      <c r="AQ103" t="e">
        <f>IF(OR($J103=0,COUNTIFS($A$4:$A102,"&gt;="&amp;$A103-1,$A$4:$A102,"&lt;="&amp;$A103,$B$4:$B102,$B103)&gt;0,MIN(AQ$1,IF($A103=$A102,AQ102,1))-V103&lt;0),-1,MIN(1,IF($A103=$A102,AQ102,1)-V103+$D$3))</f>
        <v>#N/A</v>
      </c>
      <c r="AR103" t="e">
        <f>IF(OR($J103=0,COUNTIFS($A$4:$A102,"&gt;="&amp;$A103-1,$A$4:$A102,"&lt;="&amp;$A103,$B$4:$B102,$B103)&gt;0,MIN(AR$1,IF($A103=$A102,AR102,1))-W103&lt;0),-1,MIN(1,IF($A103=$A102,AR102,1)-W103+$D$3))</f>
        <v>#N/A</v>
      </c>
      <c r="AS103" t="e">
        <f>IF(OR($J103=0,COUNTIFS($A$4:$A102,"&gt;="&amp;$A103-1,$A$4:$A102,"&lt;="&amp;$A103,$B$4:$B102,$B103)&gt;0,MIN(AS$1,IF($A103=$A102,AS102,1))-X103&lt;0),-1,MIN(1,IF($A103=$A102,AS102,1)-X103+$D$3))</f>
        <v>#N/A</v>
      </c>
      <c r="AT103" t="e">
        <f>IF(OR($J103=0,COUNTIFS($A$4:$A102,"&gt;="&amp;$A103-1,$A$4:$A102,"&lt;="&amp;$A103,$B$4:$B102,$B103)&gt;0,MIN(AT$1,IF($A103=$A102,AT102,1))-Y103&lt;0),-1,MIN(1,IF($A103=$A102,AT102,1)-Y103+$D$3))</f>
        <v>#N/A</v>
      </c>
      <c r="AU103" t="e">
        <f>IF(OR($J103=0,COUNTIFS($A$4:$A102,"&gt;="&amp;$A103-1,$A$4:$A102,"&lt;="&amp;$A103,$B$4:$B102,$B103)&gt;0,MIN(AU$1,IF($A103=$A102,AU102,1))-Z103&lt;0),-1,MIN(1,IF($A103=$A102,AU102,1)-Z103+$D$3))</f>
        <v>#N/A</v>
      </c>
      <c r="AV103" t="e">
        <f>IF(OR($J103=0,COUNTIFS($A$4:$A102,"&gt;="&amp;$A103-1,$A$4:$A102,"&lt;="&amp;$A103,$B$4:$B102,$B103)&gt;0,MIN(AV$1,IF($A103=$A102,AV102,1))-AA103&lt;0),-1,MIN(1,IF($A103=$A102,AV102,1)-AA103+$D$3))</f>
        <v>#N/A</v>
      </c>
      <c r="AW103" t="e">
        <f>IF(OR($J103=0,COUNTIFS($A$4:$A102,"&gt;="&amp;$A103-1,$A$4:$A102,"&lt;="&amp;$A103,$B$4:$B102,$B103)&gt;0,MIN(AW$1,IF($A103=$A102,AW102,1))-AB103&lt;0),-1,MIN(1,IF($A103=$A102,AW102,1)-AB103+$D$3))</f>
        <v>#N/A</v>
      </c>
      <c r="AX103" t="e">
        <f>IF(OR($J103=0,COUNTIFS($A$4:$A102,"&gt;="&amp;$A103-1,$A$4:$A102,"&lt;="&amp;$A103,$B$4:$B102,$B103)&gt;0,MIN(AX$1,IF($A103=$A102,AX102,1))-AC103&lt;0),-1,MIN(1,IF($A103=$A102,AX102,1)-AC103+$D$3))</f>
        <v>#N/A</v>
      </c>
      <c r="AY103" t="e">
        <f>IF(OR($J103=0,COUNTIFS($A$4:$A102,"&gt;="&amp;$A103-1,$A$4:$A102,"&lt;="&amp;$A103,$B$4:$B102,$B103)&gt;0,MIN(AY$1,IF($A103=$A102,AY102,1))-AD103&lt;0),-1,MIN(1,IF($A103=$A102,AY102,1)-AD103+$D$3))</f>
        <v>#N/A</v>
      </c>
      <c r="AZ103" t="e">
        <f>IF(OR($J103=0,COUNTIFS($A$4:$A102,"&gt;="&amp;$A103-1,$A$4:$A102,"&lt;="&amp;$A103,$B$4:$B102,$B103)&gt;0,MIN(AZ$1,IF($A103=$A102,AZ102,1))-AE103&lt;0),-1,MIN(1,IF($A103=$A102,AZ102,1)-AE103+$D$3))</f>
        <v>#N/A</v>
      </c>
      <c r="BA103" t="e">
        <f>IF(OR($J103=0,COUNTIFS($A$4:$A102,"&gt;="&amp;$A103-1,$A$4:$A102,"&lt;="&amp;$A103,$B$4:$B102,$B103)&gt;0,MIN(BA$1,IF($A103=$A102,BA102,1))-AF103&lt;0),-1,MIN(1,IF($A103=$A102,BA102,1)-AF103+$D$3))</f>
        <v>#N/A</v>
      </c>
      <c r="BB103" t="e">
        <f>IF(OR($J103=0,COUNTIFS($A$4:$A102,"&gt;="&amp;$A103-1,$A$4:$A102,"&lt;="&amp;$A103,$B$4:$B102,$B103)&gt;0,MIN(BB$1,IF($A103=$A102,BB102,1))-AG103&lt;0),-1,MIN(1,IF($A103=$A102,BB102,1)-AG103+$D$3))</f>
        <v>#N/A</v>
      </c>
      <c r="BC103" t="e">
        <f>IF(OR($J103=0,COUNTIFS($A$4:$A102,"&gt;="&amp;$A103-1,$A$4:$A102,"&lt;="&amp;$A103,$B$4:$B102,$B103)&gt;0,MIN(BC$1,IF($A103=$A102,BC102,1))-AH103&lt;0),-1,MIN(1,IF($A103=$A102,BC102,1)-AH103+$D$3))</f>
        <v>#N/A</v>
      </c>
      <c r="BD103" t="e">
        <f>IF(OR($J103=0,COUNTIFS($A$4:$A102,"&gt;="&amp;$A103-1,$A$4:$A102,"&lt;="&amp;$A103,$B$4:$B102,$B103)&gt;0,MIN(BD$1,IF($A103=$A102,BD102,1))-AI103&lt;0),-1,MIN(1,IF($A103=$A102,BD102,1)-AI103+$D$3))</f>
        <v>#N/A</v>
      </c>
      <c r="BF103" s="44">
        <f t="shared" si="179"/>
        <v>1.3211216734101121E-2</v>
      </c>
      <c r="BG103" s="44">
        <f t="shared" si="180"/>
        <v>3.2490109906957235E-2</v>
      </c>
      <c r="BH103" s="44">
        <f t="shared" si="181"/>
        <v>3.3298945029776532E-2</v>
      </c>
      <c r="BI103" s="44">
        <f t="shared" si="182"/>
        <v>3.0758980145689507E-2</v>
      </c>
      <c r="BJ103" s="44">
        <f t="shared" si="183"/>
        <v>3.1792326113872615E-2</v>
      </c>
      <c r="BK103" s="44">
        <f t="shared" si="184"/>
        <v>1.3652810208255452E-2</v>
      </c>
      <c r="BL103" s="44">
        <f t="shared" si="185"/>
        <v>7.3754628658929955E-3</v>
      </c>
      <c r="BM103" s="44">
        <f t="shared" si="186"/>
        <v>1.8762316260891903E-2</v>
      </c>
      <c r="BN103" s="44">
        <f t="shared" si="187"/>
        <v>1.9514271159596162E-2</v>
      </c>
      <c r="BO103" s="44">
        <f t="shared" si="188"/>
        <v>9.1451279469873664E-3</v>
      </c>
      <c r="BP103" s="44">
        <f t="shared" si="189"/>
        <v>3.0750288966479789E-2</v>
      </c>
      <c r="BQ103" s="44">
        <f t="shared" si="190"/>
        <v>8.2982300743284412E-3</v>
      </c>
      <c r="BR103" s="44">
        <f t="shared" si="191"/>
        <v>2.4515048903791369E-2</v>
      </c>
      <c r="BS103" s="44">
        <f t="shared" si="192"/>
        <v>1.3221291191304442E-2</v>
      </c>
      <c r="BT103" s="44">
        <f t="shared" si="193"/>
        <v>5.2320702580479862E-2</v>
      </c>
      <c r="BU103" s="44">
        <f t="shared" si="194"/>
        <v>4.9982014865495791E-2</v>
      </c>
      <c r="BV103" s="44">
        <f t="shared" si="195"/>
        <v>4.8001073458147012E-2</v>
      </c>
      <c r="BW103" s="44">
        <f t="shared" si="196"/>
        <v>3.1395343560727616E-2</v>
      </c>
      <c r="BX103" s="44">
        <f t="shared" si="197"/>
        <v>2.319430970670066E-2</v>
      </c>
      <c r="BY103" s="44">
        <f t="shared" si="198"/>
        <v>1.9914980766399137E-2</v>
      </c>
      <c r="CA103" s="44" t="str">
        <f t="shared" si="199"/>
        <v/>
      </c>
      <c r="CB103" s="44" t="str">
        <f t="shared" si="200"/>
        <v/>
      </c>
      <c r="CC103" s="44" t="str">
        <f t="shared" si="201"/>
        <v/>
      </c>
      <c r="CD103" s="44" t="str">
        <f t="shared" si="202"/>
        <v/>
      </c>
      <c r="CE103" s="44" t="str">
        <f t="shared" si="203"/>
        <v/>
      </c>
      <c r="CF103" s="44" t="str">
        <f t="shared" si="204"/>
        <v/>
      </c>
      <c r="CG103" s="44" t="str">
        <f t="shared" si="205"/>
        <v/>
      </c>
      <c r="CH103" s="44" t="str">
        <f t="shared" si="206"/>
        <v/>
      </c>
      <c r="CI103" s="44" t="str">
        <f t="shared" si="207"/>
        <v/>
      </c>
      <c r="CJ103" s="44" t="str">
        <f t="shared" si="208"/>
        <v/>
      </c>
      <c r="CK103" s="44" t="str">
        <f t="shared" si="209"/>
        <v/>
      </c>
      <c r="CL103" s="44" t="str">
        <f t="shared" si="210"/>
        <v/>
      </c>
      <c r="CM103" s="44" t="str">
        <f t="shared" si="211"/>
        <v/>
      </c>
      <c r="CN103" s="44" t="str">
        <f t="shared" si="212"/>
        <v/>
      </c>
      <c r="CO103" s="44" t="str">
        <f t="shared" si="213"/>
        <v/>
      </c>
      <c r="CP103" s="44" t="str">
        <f t="shared" si="214"/>
        <v/>
      </c>
      <c r="CQ103" s="44" t="str">
        <f t="shared" si="215"/>
        <v/>
      </c>
      <c r="CR103" s="44" t="str">
        <f t="shared" si="216"/>
        <v/>
      </c>
      <c r="CS103" s="44" t="str">
        <f t="shared" si="217"/>
        <v/>
      </c>
      <c r="CT103" s="44" t="str">
        <f t="shared" si="218"/>
        <v/>
      </c>
      <c r="CV103" s="44">
        <f t="shared" si="219"/>
        <v>0</v>
      </c>
    </row>
    <row r="104" spans="1:100" x14ac:dyDescent="0.25">
      <c r="A104" s="41"/>
      <c r="B104" s="42"/>
      <c r="C104" s="43" t="str" cm="1">
        <f t="array" ref="C104">IF(B104="","",INDEX(UWS!$B$10:$B$41,B104))</f>
        <v/>
      </c>
      <c r="D104" s="40" t="str">
        <f t="shared" si="176"/>
        <v/>
      </c>
      <c r="E104" s="69" t="str">
        <f t="shared" si="177"/>
        <v/>
      </c>
      <c r="F104" s="48" cm="1">
        <f t="array" ref="F104">0.1+IFERROR(INDEX($F$5:$F103,SUMPRODUCT(MAX(ROW($C$5:$C103)*($C104=$C$5:$C103))-ROW($A$4)))*0.9^($A104-INDEX($A$5:A103,SUMPRODUCT(MAX(ROW($C$5:$C103)*($C104=$C$5:$C103))-ROW($A$4)))),0)</f>
        <v>3.9000000000000021</v>
      </c>
      <c r="G104" s="55" t="e">
        <f>INDEX(UWS!$AB$10:$AB$41,MATCH(C104,UWS!$B$10:$B$41,0))</f>
        <v>#N/A</v>
      </c>
      <c r="H104" s="48" t="e">
        <f>INDEX(UWS!$C$10:$C$41,MATCH(C104,UWS!$B$10:$B$41,0))</f>
        <v>#N/A</v>
      </c>
      <c r="I104" s="27">
        <f t="shared" si="178"/>
        <v>5</v>
      </c>
      <c r="J104" s="27" t="e">
        <f>INDEX(UWS!$E$10:$E$41,MATCH(C104,UWS!$B$10:$B$41,0))</f>
        <v>#N/A</v>
      </c>
      <c r="L104" s="108" t="str" cm="1">
        <f t="array" ref="L104">IF(K104="","",INDEX(UWS!$B$10:$B$41,K104))</f>
        <v/>
      </c>
      <c r="N104" s="108" t="str" cm="1">
        <f t="array" ref="N104">IF(M104="","",INDEX(UWS!$B$10:$B$41,M104))</f>
        <v/>
      </c>
      <c r="P104">
        <f>IFERROR(INDEX(UWS!$G$10:$Z$41,MATCH($C104,UWS!$B$10:$B$41,0),MATCH(P$4,UWS!$G$3:$Z$3,0)),0)</f>
        <v>0</v>
      </c>
      <c r="Q104">
        <f>IFERROR(INDEX(UWS!$G$10:$Z$41,MATCH($C104,UWS!$B$10:$B$41,0),MATCH(Q$4,UWS!$G$3:$Z$3,0)),0)</f>
        <v>0</v>
      </c>
      <c r="R104">
        <f>IFERROR(INDEX(UWS!$G$10:$Z$41,MATCH($C104,UWS!$B$10:$B$41,0),MATCH(R$4,UWS!$G$3:$Z$3,0)),0)</f>
        <v>0</v>
      </c>
      <c r="S104">
        <f>IFERROR(INDEX(UWS!$G$10:$Z$41,MATCH($C104,UWS!$B$10:$B$41,0),MATCH(S$4,UWS!$G$3:$Z$3,0)),0)</f>
        <v>0</v>
      </c>
      <c r="T104">
        <f>IFERROR(INDEX(UWS!$G$10:$Z$41,MATCH($C104,UWS!$B$10:$B$41,0),MATCH(T$4,UWS!$G$3:$Z$3,0)),0)</f>
        <v>0</v>
      </c>
      <c r="U104">
        <f>IFERROR(INDEX(UWS!$G$10:$Z$41,MATCH($C104,UWS!$B$10:$B$41,0),MATCH(U$4,UWS!$G$3:$Z$3,0)),0)</f>
        <v>0</v>
      </c>
      <c r="V104">
        <f>IFERROR(INDEX(UWS!$G$10:$Z$41,MATCH($C104,UWS!$B$10:$B$41,0),MATCH(V$4,UWS!$G$3:$Z$3,0)),0)</f>
        <v>0</v>
      </c>
      <c r="W104">
        <f>IFERROR(INDEX(UWS!$G$10:$Z$41,MATCH($C104,UWS!$B$10:$B$41,0),MATCH(W$4,UWS!$G$3:$Z$3,0)),0)</f>
        <v>0</v>
      </c>
      <c r="X104">
        <f>IFERROR(INDEX(UWS!$G$10:$Z$41,MATCH($C104,UWS!$B$10:$B$41,0),MATCH(X$4,UWS!$G$3:$Z$3,0)),0)</f>
        <v>0</v>
      </c>
      <c r="Y104">
        <f>IFERROR(INDEX(UWS!$G$10:$Z$41,MATCH($C104,UWS!$B$10:$B$41,0),MATCH(Y$4,UWS!$G$3:$Z$3,0)),0)</f>
        <v>0</v>
      </c>
      <c r="Z104">
        <f>IFERROR(INDEX(UWS!$G$10:$Z$41,MATCH($C104,UWS!$B$10:$B$41,0),MATCH(Z$4,UWS!$G$3:$Z$3,0)),0)</f>
        <v>0</v>
      </c>
      <c r="AA104">
        <f>IFERROR(INDEX(UWS!$G$10:$Z$41,MATCH($C104,UWS!$B$10:$B$41,0),MATCH(AA$4,UWS!$G$3:$Z$3,0)),0)</f>
        <v>0</v>
      </c>
      <c r="AB104">
        <f>IFERROR(INDEX(UWS!$G$10:$Z$41,MATCH($C104,UWS!$B$10:$B$41,0),MATCH(AB$4,UWS!$G$3:$Z$3,0)),0)</f>
        <v>0</v>
      </c>
      <c r="AC104">
        <f>IFERROR(INDEX(UWS!$G$10:$Z$41,MATCH($C104,UWS!$B$10:$B$41,0),MATCH(AC$4,UWS!$G$3:$Z$3,0)),0)</f>
        <v>0</v>
      </c>
      <c r="AD104">
        <f>IFERROR(INDEX(UWS!$G$10:$Z$41,MATCH($C104,UWS!$B$10:$B$41,0),MATCH(AD$4,UWS!$G$3:$Z$3,0)),0)</f>
        <v>0</v>
      </c>
      <c r="AE104">
        <f>IFERROR(INDEX(UWS!$G$10:$Z$41,MATCH($C104,UWS!$B$10:$B$41,0),MATCH(AE$4,UWS!$G$3:$Z$3,0)),0)</f>
        <v>0</v>
      </c>
      <c r="AF104">
        <f>IFERROR(INDEX(UWS!$G$10:$Z$41,MATCH($C104,UWS!$B$10:$B$41,0),MATCH(AF$4,UWS!$G$3:$Z$3,0)),0)</f>
        <v>0</v>
      </c>
      <c r="AG104">
        <f>IFERROR(INDEX(UWS!$G$10:$Z$41,MATCH($C104,UWS!$B$10:$B$41,0),MATCH(AG$4,UWS!$G$3:$Z$3,0)),0)</f>
        <v>0</v>
      </c>
      <c r="AH104">
        <f>IFERROR(INDEX(UWS!$G$10:$Z$41,MATCH($C104,UWS!$B$10:$B$41,0),MATCH(AH$4,UWS!$G$3:$Z$3,0)),0)</f>
        <v>0</v>
      </c>
      <c r="AI104">
        <f>IFERROR(INDEX(UWS!$G$10:$Z$41,MATCH($C104,UWS!$B$10:$B$41,0),MATCH(AI$4,UWS!$G$3:$Z$3,0)),0)</f>
        <v>0</v>
      </c>
      <c r="AK104" t="e">
        <f>IF(OR($J104=0,COUNTIFS($A$4:$A103,"&gt;="&amp;$A104-1,$A$4:$A103,"&lt;="&amp;$A104,$B$4:$B103,$B104)&gt;0,MIN(AK$1,IF($A104=$A103,AK103,1))-P104&lt;0),-1,MIN(1,IF($A104=$A103,AK103,1)-P104+$D$3))</f>
        <v>#N/A</v>
      </c>
      <c r="AL104" t="e">
        <f>IF(OR($J104=0,COUNTIFS($A$4:$A103,"&gt;="&amp;$A104-1,$A$4:$A103,"&lt;="&amp;$A104,$B$4:$B103,$B104)&gt;0,MIN(AL$1,IF($A104=$A103,AL103,1))-Q104&lt;0),-1,MIN(1,IF($A104=$A103,AL103,1)-Q104+$D$3))</f>
        <v>#N/A</v>
      </c>
      <c r="AM104" t="e">
        <f>IF(OR($J104=0,COUNTIFS($A$4:$A103,"&gt;="&amp;$A104-1,$A$4:$A103,"&lt;="&amp;$A104,$B$4:$B103,$B104)&gt;0,MIN(AM$1,IF($A104=$A103,AM103,1))-R104&lt;0),-1,MIN(1,IF($A104=$A103,AM103,1)-R104+$D$3))</f>
        <v>#N/A</v>
      </c>
      <c r="AN104" t="e">
        <f>IF(OR($J104=0,COUNTIFS($A$4:$A103,"&gt;="&amp;$A104-1,$A$4:$A103,"&lt;="&amp;$A104,$B$4:$B103,$B104)&gt;0,MIN(AN$1,IF($A104=$A103,AN103,1))-S104&lt;0),-1,MIN(1,IF($A104=$A103,AN103,1)-S104+$D$3))</f>
        <v>#N/A</v>
      </c>
      <c r="AO104" t="e">
        <f>IF(OR($J104=0,COUNTIFS($A$4:$A103,"&gt;="&amp;$A104-1,$A$4:$A103,"&lt;="&amp;$A104,$B$4:$B103,$B104)&gt;0,MIN(AO$1,IF($A104=$A103,AO103,1))-T104&lt;0),-1,MIN(1,IF($A104=$A103,AO103,1)-T104+$D$3))</f>
        <v>#N/A</v>
      </c>
      <c r="AP104" t="e">
        <f>IF(OR($J104=0,COUNTIFS($A$4:$A103,"&gt;="&amp;$A104-1,$A$4:$A103,"&lt;="&amp;$A104,$B$4:$B103,$B104)&gt;0,MIN(AP$1,IF($A104=$A103,AP103,1))-U104&lt;0),-1,MIN(1,IF($A104=$A103,AP103,1)-U104+$D$3))</f>
        <v>#N/A</v>
      </c>
      <c r="AQ104" t="e">
        <f>IF(OR($J104=0,COUNTIFS($A$4:$A103,"&gt;="&amp;$A104-1,$A$4:$A103,"&lt;="&amp;$A104,$B$4:$B103,$B104)&gt;0,MIN(AQ$1,IF($A104=$A103,AQ103,1))-V104&lt;0),-1,MIN(1,IF($A104=$A103,AQ103,1)-V104+$D$3))</f>
        <v>#N/A</v>
      </c>
      <c r="AR104" t="e">
        <f>IF(OR($J104=0,COUNTIFS($A$4:$A103,"&gt;="&amp;$A104-1,$A$4:$A103,"&lt;="&amp;$A104,$B$4:$B103,$B104)&gt;0,MIN(AR$1,IF($A104=$A103,AR103,1))-W104&lt;0),-1,MIN(1,IF($A104=$A103,AR103,1)-W104+$D$3))</f>
        <v>#N/A</v>
      </c>
      <c r="AS104" t="e">
        <f>IF(OR($J104=0,COUNTIFS($A$4:$A103,"&gt;="&amp;$A104-1,$A$4:$A103,"&lt;="&amp;$A104,$B$4:$B103,$B104)&gt;0,MIN(AS$1,IF($A104=$A103,AS103,1))-X104&lt;0),-1,MIN(1,IF($A104=$A103,AS103,1)-X104+$D$3))</f>
        <v>#N/A</v>
      </c>
      <c r="AT104" t="e">
        <f>IF(OR($J104=0,COUNTIFS($A$4:$A103,"&gt;="&amp;$A104-1,$A$4:$A103,"&lt;="&amp;$A104,$B$4:$B103,$B104)&gt;0,MIN(AT$1,IF($A104=$A103,AT103,1))-Y104&lt;0),-1,MIN(1,IF($A104=$A103,AT103,1)-Y104+$D$3))</f>
        <v>#N/A</v>
      </c>
      <c r="AU104" t="e">
        <f>IF(OR($J104=0,COUNTIFS($A$4:$A103,"&gt;="&amp;$A104-1,$A$4:$A103,"&lt;="&amp;$A104,$B$4:$B103,$B104)&gt;0,MIN(AU$1,IF($A104=$A103,AU103,1))-Z104&lt;0),-1,MIN(1,IF($A104=$A103,AU103,1)-Z104+$D$3))</f>
        <v>#N/A</v>
      </c>
      <c r="AV104" t="e">
        <f>IF(OR($J104=0,COUNTIFS($A$4:$A103,"&gt;="&amp;$A104-1,$A$4:$A103,"&lt;="&amp;$A104,$B$4:$B103,$B104)&gt;0,MIN(AV$1,IF($A104=$A103,AV103,1))-AA104&lt;0),-1,MIN(1,IF($A104=$A103,AV103,1)-AA104+$D$3))</f>
        <v>#N/A</v>
      </c>
      <c r="AW104" t="e">
        <f>IF(OR($J104=0,COUNTIFS($A$4:$A103,"&gt;="&amp;$A104-1,$A$4:$A103,"&lt;="&amp;$A104,$B$4:$B103,$B104)&gt;0,MIN(AW$1,IF($A104=$A103,AW103,1))-AB104&lt;0),-1,MIN(1,IF($A104=$A103,AW103,1)-AB104+$D$3))</f>
        <v>#N/A</v>
      </c>
      <c r="AX104" t="e">
        <f>IF(OR($J104=0,COUNTIFS($A$4:$A103,"&gt;="&amp;$A104-1,$A$4:$A103,"&lt;="&amp;$A104,$B$4:$B103,$B104)&gt;0,MIN(AX$1,IF($A104=$A103,AX103,1))-AC104&lt;0),-1,MIN(1,IF($A104=$A103,AX103,1)-AC104+$D$3))</f>
        <v>#N/A</v>
      </c>
      <c r="AY104" t="e">
        <f>IF(OR($J104=0,COUNTIFS($A$4:$A103,"&gt;="&amp;$A104-1,$A$4:$A103,"&lt;="&amp;$A104,$B$4:$B103,$B104)&gt;0,MIN(AY$1,IF($A104=$A103,AY103,1))-AD104&lt;0),-1,MIN(1,IF($A104=$A103,AY103,1)-AD104+$D$3))</f>
        <v>#N/A</v>
      </c>
      <c r="AZ104" t="e">
        <f>IF(OR($J104=0,COUNTIFS($A$4:$A103,"&gt;="&amp;$A104-1,$A$4:$A103,"&lt;="&amp;$A104,$B$4:$B103,$B104)&gt;0,MIN(AZ$1,IF($A104=$A103,AZ103,1))-AE104&lt;0),-1,MIN(1,IF($A104=$A103,AZ103,1)-AE104+$D$3))</f>
        <v>#N/A</v>
      </c>
      <c r="BA104" t="e">
        <f>IF(OR($J104=0,COUNTIFS($A$4:$A103,"&gt;="&amp;$A104-1,$A$4:$A103,"&lt;="&amp;$A104,$B$4:$B103,$B104)&gt;0,MIN(BA$1,IF($A104=$A103,BA103,1))-AF104&lt;0),-1,MIN(1,IF($A104=$A103,BA103,1)-AF104+$D$3))</f>
        <v>#N/A</v>
      </c>
      <c r="BB104" t="e">
        <f>IF(OR($J104=0,COUNTIFS($A$4:$A103,"&gt;="&amp;$A104-1,$A$4:$A103,"&lt;="&amp;$A104,$B$4:$B103,$B104)&gt;0,MIN(BB$1,IF($A104=$A103,BB103,1))-AG104&lt;0),-1,MIN(1,IF($A104=$A103,BB103,1)-AG104+$D$3))</f>
        <v>#N/A</v>
      </c>
      <c r="BC104" t="e">
        <f>IF(OR($J104=0,COUNTIFS($A$4:$A103,"&gt;="&amp;$A104-1,$A$4:$A103,"&lt;="&amp;$A104,$B$4:$B103,$B104)&gt;0,MIN(BC$1,IF($A104=$A103,BC103,1))-AH104&lt;0),-1,MIN(1,IF($A104=$A103,BC103,1)-AH104+$D$3))</f>
        <v>#N/A</v>
      </c>
      <c r="BD104" t="e">
        <f>IF(OR($J104=0,COUNTIFS($A$4:$A103,"&gt;="&amp;$A104-1,$A$4:$A103,"&lt;="&amp;$A104,$B$4:$B103,$B104)&gt;0,MIN(BD$1,IF($A104=$A103,BD103,1))-AI104&lt;0),-1,MIN(1,IF($A104=$A103,BD103,1)-AI104+$D$3))</f>
        <v>#N/A</v>
      </c>
      <c r="BF104" s="44">
        <f t="shared" si="179"/>
        <v>1.2550655897396065E-2</v>
      </c>
      <c r="BG104" s="44">
        <f t="shared" si="180"/>
        <v>3.0865604411609373E-2</v>
      </c>
      <c r="BH104" s="44">
        <f t="shared" si="181"/>
        <v>3.1633997778287702E-2</v>
      </c>
      <c r="BI104" s="44">
        <f t="shared" si="182"/>
        <v>2.9221031138405032E-2</v>
      </c>
      <c r="BJ104" s="44">
        <f t="shared" si="183"/>
        <v>3.0202709808178983E-2</v>
      </c>
      <c r="BK104" s="44">
        <f t="shared" si="184"/>
        <v>1.297016969784268E-2</v>
      </c>
      <c r="BL104" s="44">
        <f t="shared" si="185"/>
        <v>7.0066897225983457E-3</v>
      </c>
      <c r="BM104" s="44">
        <f t="shared" si="186"/>
        <v>1.7824200447847306E-2</v>
      </c>
      <c r="BN104" s="44">
        <f t="shared" si="187"/>
        <v>1.8538557601616355E-2</v>
      </c>
      <c r="BO104" s="44">
        <f t="shared" si="188"/>
        <v>8.6878715496379981E-3</v>
      </c>
      <c r="BP104" s="44">
        <f t="shared" si="189"/>
        <v>2.92127745181558E-2</v>
      </c>
      <c r="BQ104" s="44">
        <f t="shared" si="190"/>
        <v>7.883318570612018E-3</v>
      </c>
      <c r="BR104" s="44">
        <f t="shared" si="191"/>
        <v>2.32892964586018E-2</v>
      </c>
      <c r="BS104" s="44">
        <f t="shared" si="192"/>
        <v>1.2560226631739219E-2</v>
      </c>
      <c r="BT104" s="44">
        <f t="shared" si="193"/>
        <v>4.9704667451455867E-2</v>
      </c>
      <c r="BU104" s="44">
        <f t="shared" si="194"/>
        <v>4.7482914122220998E-2</v>
      </c>
      <c r="BV104" s="44">
        <f t="shared" si="195"/>
        <v>4.5601019785239658E-2</v>
      </c>
      <c r="BW104" s="44">
        <f t="shared" si="196"/>
        <v>2.9825576382691232E-2</v>
      </c>
      <c r="BX104" s="44">
        <f t="shared" si="197"/>
        <v>2.2034594221365625E-2</v>
      </c>
      <c r="BY104" s="44">
        <f t="shared" si="198"/>
        <v>1.8919231728079178E-2</v>
      </c>
      <c r="CA104" s="44" t="str">
        <f t="shared" si="199"/>
        <v/>
      </c>
      <c r="CB104" s="44" t="str">
        <f t="shared" si="200"/>
        <v/>
      </c>
      <c r="CC104" s="44" t="str">
        <f t="shared" si="201"/>
        <v/>
      </c>
      <c r="CD104" s="44" t="str">
        <f t="shared" si="202"/>
        <v/>
      </c>
      <c r="CE104" s="44" t="str">
        <f t="shared" si="203"/>
        <v/>
      </c>
      <c r="CF104" s="44" t="str">
        <f t="shared" si="204"/>
        <v/>
      </c>
      <c r="CG104" s="44" t="str">
        <f t="shared" si="205"/>
        <v/>
      </c>
      <c r="CH104" s="44" t="str">
        <f t="shared" si="206"/>
        <v/>
      </c>
      <c r="CI104" s="44" t="str">
        <f t="shared" si="207"/>
        <v/>
      </c>
      <c r="CJ104" s="44" t="str">
        <f t="shared" si="208"/>
        <v/>
      </c>
      <c r="CK104" s="44" t="str">
        <f t="shared" si="209"/>
        <v/>
      </c>
      <c r="CL104" s="44" t="str">
        <f t="shared" si="210"/>
        <v/>
      </c>
      <c r="CM104" s="44" t="str">
        <f t="shared" si="211"/>
        <v/>
      </c>
      <c r="CN104" s="44" t="str">
        <f t="shared" si="212"/>
        <v/>
      </c>
      <c r="CO104" s="44" t="str">
        <f t="shared" si="213"/>
        <v/>
      </c>
      <c r="CP104" s="44" t="str">
        <f t="shared" si="214"/>
        <v/>
      </c>
      <c r="CQ104" s="44" t="str">
        <f t="shared" si="215"/>
        <v/>
      </c>
      <c r="CR104" s="44" t="str">
        <f t="shared" si="216"/>
        <v/>
      </c>
      <c r="CS104" s="44" t="str">
        <f t="shared" si="217"/>
        <v/>
      </c>
      <c r="CT104" s="44" t="str">
        <f t="shared" si="218"/>
        <v/>
      </c>
      <c r="CV104" s="44">
        <f t="shared" si="219"/>
        <v>0</v>
      </c>
    </row>
    <row r="105" spans="1:100" x14ac:dyDescent="0.25">
      <c r="A105" s="49"/>
      <c r="B105" s="50"/>
      <c r="C105" s="51" t="str" cm="1">
        <f t="array" ref="C105">IF(B105="","",INDEX(UWS!$B$10:$B$41,B105))</f>
        <v/>
      </c>
      <c r="D105" s="45" t="str">
        <f t="shared" si="176"/>
        <v/>
      </c>
      <c r="E105" s="70" t="str">
        <f t="shared" si="177"/>
        <v/>
      </c>
      <c r="F105" s="52" cm="1">
        <f t="array" ref="F105">0.1+IFERROR(INDEX($F$5:$F104,SUMPRODUCT(MAX(ROW($C$5:$C104)*($C105=$C$5:$C104))-ROW($A$4)))*0.9^($A105-INDEX($A$5:A104,SUMPRODUCT(MAX(ROW($C$5:$C104)*($C105=$C$5:$C104))-ROW($A$4)))),0)</f>
        <v>4.0000000000000018</v>
      </c>
      <c r="G105" s="56" t="e">
        <f>INDEX(UWS!$AB$10:$AB$41,MATCH(C105,UWS!$B$10:$B$41,0))</f>
        <v>#N/A</v>
      </c>
      <c r="H105" s="52" t="e">
        <f>INDEX(UWS!$C$10:$C$41,MATCH(C105,UWS!$B$10:$B$41,0))</f>
        <v>#N/A</v>
      </c>
      <c r="I105" s="46">
        <f t="shared" si="178"/>
        <v>5</v>
      </c>
      <c r="J105" s="46" t="e">
        <f>INDEX(UWS!$E$10:$E$41,MATCH(C105,UWS!$B$10:$B$41,0))</f>
        <v>#N/A</v>
      </c>
      <c r="K105" s="46"/>
      <c r="L105" s="109" t="str" cm="1">
        <f t="array" ref="L105">IF(K105="","",INDEX(UWS!$B$10:$B$41,K105))</f>
        <v/>
      </c>
      <c r="M105" s="46"/>
      <c r="N105" s="109" t="str" cm="1">
        <f t="array" ref="N105">IF(M105="","",INDEX(UWS!$B$10:$B$41,M105))</f>
        <v/>
      </c>
      <c r="O105" s="47"/>
      <c r="P105" s="47">
        <f>IFERROR(INDEX(UWS!$G$10:$Z$41,MATCH($C105,UWS!$B$10:$B$41,0),MATCH(P$4,UWS!$G$3:$Z$3,0)),0)</f>
        <v>0</v>
      </c>
      <c r="Q105" s="47">
        <f>IFERROR(INDEX(UWS!$G$10:$Z$41,MATCH($C105,UWS!$B$10:$B$41,0),MATCH(Q$4,UWS!$G$3:$Z$3,0)),0)</f>
        <v>0</v>
      </c>
      <c r="R105" s="47">
        <f>IFERROR(INDEX(UWS!$G$10:$Z$41,MATCH($C105,UWS!$B$10:$B$41,0),MATCH(R$4,UWS!$G$3:$Z$3,0)),0)</f>
        <v>0</v>
      </c>
      <c r="S105" s="47">
        <f>IFERROR(INDEX(UWS!$G$10:$Z$41,MATCH($C105,UWS!$B$10:$B$41,0),MATCH(S$4,UWS!$G$3:$Z$3,0)),0)</f>
        <v>0</v>
      </c>
      <c r="T105" s="47">
        <f>IFERROR(INDEX(UWS!$G$10:$Z$41,MATCH($C105,UWS!$B$10:$B$41,0),MATCH(T$4,UWS!$G$3:$Z$3,0)),0)</f>
        <v>0</v>
      </c>
      <c r="U105" s="47">
        <f>IFERROR(INDEX(UWS!$G$10:$Z$41,MATCH($C105,UWS!$B$10:$B$41,0),MATCH(U$4,UWS!$G$3:$Z$3,0)),0)</f>
        <v>0</v>
      </c>
      <c r="V105" s="47">
        <f>IFERROR(INDEX(UWS!$G$10:$Z$41,MATCH($C105,UWS!$B$10:$B$41,0),MATCH(V$4,UWS!$G$3:$Z$3,0)),0)</f>
        <v>0</v>
      </c>
      <c r="W105" s="47">
        <f>IFERROR(INDEX(UWS!$G$10:$Z$41,MATCH($C105,UWS!$B$10:$B$41,0),MATCH(W$4,UWS!$G$3:$Z$3,0)),0)</f>
        <v>0</v>
      </c>
      <c r="X105" s="47">
        <f>IFERROR(INDEX(UWS!$G$10:$Z$41,MATCH($C105,UWS!$B$10:$B$41,0),MATCH(X$4,UWS!$G$3:$Z$3,0)),0)</f>
        <v>0</v>
      </c>
      <c r="Y105" s="47">
        <f>IFERROR(INDEX(UWS!$G$10:$Z$41,MATCH($C105,UWS!$B$10:$B$41,0),MATCH(Y$4,UWS!$G$3:$Z$3,0)),0)</f>
        <v>0</v>
      </c>
      <c r="Z105" s="47">
        <f>IFERROR(INDEX(UWS!$G$10:$Z$41,MATCH($C105,UWS!$B$10:$B$41,0),MATCH(Z$4,UWS!$G$3:$Z$3,0)),0)</f>
        <v>0</v>
      </c>
      <c r="AA105" s="47">
        <f>IFERROR(INDEX(UWS!$G$10:$Z$41,MATCH($C105,UWS!$B$10:$B$41,0),MATCH(AA$4,UWS!$G$3:$Z$3,0)),0)</f>
        <v>0</v>
      </c>
      <c r="AB105" s="47">
        <f>IFERROR(INDEX(UWS!$G$10:$Z$41,MATCH($C105,UWS!$B$10:$B$41,0),MATCH(AB$4,UWS!$G$3:$Z$3,0)),0)</f>
        <v>0</v>
      </c>
      <c r="AC105" s="47">
        <f>IFERROR(INDEX(UWS!$G$10:$Z$41,MATCH($C105,UWS!$B$10:$B$41,0),MATCH(AC$4,UWS!$G$3:$Z$3,0)),0)</f>
        <v>0</v>
      </c>
      <c r="AD105" s="47">
        <f>IFERROR(INDEX(UWS!$G$10:$Z$41,MATCH($C105,UWS!$B$10:$B$41,0),MATCH(AD$4,UWS!$G$3:$Z$3,0)),0)</f>
        <v>0</v>
      </c>
      <c r="AE105" s="47">
        <f>IFERROR(INDEX(UWS!$G$10:$Z$41,MATCH($C105,UWS!$B$10:$B$41,0),MATCH(AE$4,UWS!$G$3:$Z$3,0)),0)</f>
        <v>0</v>
      </c>
      <c r="AF105" s="47">
        <f>IFERROR(INDEX(UWS!$G$10:$Z$41,MATCH($C105,UWS!$B$10:$B$41,0),MATCH(AF$4,UWS!$G$3:$Z$3,0)),0)</f>
        <v>0</v>
      </c>
      <c r="AG105" s="47">
        <f>IFERROR(INDEX(UWS!$G$10:$Z$41,MATCH($C105,UWS!$B$10:$B$41,0),MATCH(AG$4,UWS!$G$3:$Z$3,0)),0)</f>
        <v>0</v>
      </c>
      <c r="AH105" s="47">
        <f>IFERROR(INDEX(UWS!$G$10:$Z$41,MATCH($C105,UWS!$B$10:$B$41,0),MATCH(AH$4,UWS!$G$3:$Z$3,0)),0)</f>
        <v>0</v>
      </c>
      <c r="AI105" s="47">
        <f>IFERROR(INDEX(UWS!$G$10:$Z$41,MATCH($C105,UWS!$B$10:$B$41,0),MATCH(AI$4,UWS!$G$3:$Z$3,0)),0)</f>
        <v>0</v>
      </c>
      <c r="AJ105" s="47"/>
      <c r="AK105" s="47" t="e">
        <f>IF(OR($J105=0,COUNTIFS($A$4:$A104,"&gt;="&amp;$A105-1,$A$4:$A104,"&lt;="&amp;$A105,$B$4:$B104,$B105)&gt;0,MIN(AK$1,IF($A105=$A104,AK104,1))-P105&lt;0),-1,MIN(1,IF($A105=$A104,AK104,1)-P105+$D$3))</f>
        <v>#N/A</v>
      </c>
      <c r="AL105" s="47" t="e">
        <f>IF(OR($J105=0,COUNTIFS($A$4:$A104,"&gt;="&amp;$A105-1,$A$4:$A104,"&lt;="&amp;$A105,$B$4:$B104,$B105)&gt;0,MIN(AL$1,IF($A105=$A104,AL104,1))-Q105&lt;0),-1,MIN(1,IF($A105=$A104,AL104,1)-Q105+$D$3))</f>
        <v>#N/A</v>
      </c>
      <c r="AM105" s="47" t="e">
        <f>IF(OR($J105=0,COUNTIFS($A$4:$A104,"&gt;="&amp;$A105-1,$A$4:$A104,"&lt;="&amp;$A105,$B$4:$B104,$B105)&gt;0,MIN(AM$1,IF($A105=$A104,AM104,1))-R105&lt;0),-1,MIN(1,IF($A105=$A104,AM104,1)-R105+$D$3))</f>
        <v>#N/A</v>
      </c>
      <c r="AN105" s="47" t="e">
        <f>IF(OR($J105=0,COUNTIFS($A$4:$A104,"&gt;="&amp;$A105-1,$A$4:$A104,"&lt;="&amp;$A105,$B$4:$B104,$B105)&gt;0,MIN(AN$1,IF($A105=$A104,AN104,1))-S105&lt;0),-1,MIN(1,IF($A105=$A104,AN104,1)-S105+$D$3))</f>
        <v>#N/A</v>
      </c>
      <c r="AO105" s="47" t="e">
        <f>IF(OR($J105=0,COUNTIFS($A$4:$A104,"&gt;="&amp;$A105-1,$A$4:$A104,"&lt;="&amp;$A105,$B$4:$B104,$B105)&gt;0,MIN(AO$1,IF($A105=$A104,AO104,1))-T105&lt;0),-1,MIN(1,IF($A105=$A104,AO104,1)-T105+$D$3))</f>
        <v>#N/A</v>
      </c>
      <c r="AP105" s="47" t="e">
        <f>IF(OR($J105=0,COUNTIFS($A$4:$A104,"&gt;="&amp;$A105-1,$A$4:$A104,"&lt;="&amp;$A105,$B$4:$B104,$B105)&gt;0,MIN(AP$1,IF($A105=$A104,AP104,1))-U105&lt;0),-1,MIN(1,IF($A105=$A104,AP104,1)-U105+$D$3))</f>
        <v>#N/A</v>
      </c>
      <c r="AQ105" s="47" t="e">
        <f>IF(OR($J105=0,COUNTIFS($A$4:$A104,"&gt;="&amp;$A105-1,$A$4:$A104,"&lt;="&amp;$A105,$B$4:$B104,$B105)&gt;0,MIN(AQ$1,IF($A105=$A104,AQ104,1))-V105&lt;0),-1,MIN(1,IF($A105=$A104,AQ104,1)-V105+$D$3))</f>
        <v>#N/A</v>
      </c>
      <c r="AR105" s="47" t="e">
        <f>IF(OR($J105=0,COUNTIFS($A$4:$A104,"&gt;="&amp;$A105-1,$A$4:$A104,"&lt;="&amp;$A105,$B$4:$B104,$B105)&gt;0,MIN(AR$1,IF($A105=$A104,AR104,1))-W105&lt;0),-1,MIN(1,IF($A105=$A104,AR104,1)-W105+$D$3))</f>
        <v>#N/A</v>
      </c>
      <c r="AS105" s="47" t="e">
        <f>IF(OR($J105=0,COUNTIFS($A$4:$A104,"&gt;="&amp;$A105-1,$A$4:$A104,"&lt;="&amp;$A105,$B$4:$B104,$B105)&gt;0,MIN(AS$1,IF($A105=$A104,AS104,1))-X105&lt;0),-1,MIN(1,IF($A105=$A104,AS104,1)-X105+$D$3))</f>
        <v>#N/A</v>
      </c>
      <c r="AT105" s="47" t="e">
        <f>IF(OR($J105=0,COUNTIFS($A$4:$A104,"&gt;="&amp;$A105-1,$A$4:$A104,"&lt;="&amp;$A105,$B$4:$B104,$B105)&gt;0,MIN(AT$1,IF($A105=$A104,AT104,1))-Y105&lt;0),-1,MIN(1,IF($A105=$A104,AT104,1)-Y105+$D$3))</f>
        <v>#N/A</v>
      </c>
      <c r="AU105" s="47" t="e">
        <f>IF(OR($J105=0,COUNTIFS($A$4:$A104,"&gt;="&amp;$A105-1,$A$4:$A104,"&lt;="&amp;$A105,$B$4:$B104,$B105)&gt;0,MIN(AU$1,IF($A105=$A104,AU104,1))-Z105&lt;0),-1,MIN(1,IF($A105=$A104,AU104,1)-Z105+$D$3))</f>
        <v>#N/A</v>
      </c>
      <c r="AV105" s="47" t="e">
        <f>IF(OR($J105=0,COUNTIFS($A$4:$A104,"&gt;="&amp;$A105-1,$A$4:$A104,"&lt;="&amp;$A105,$B$4:$B104,$B105)&gt;0,MIN(AV$1,IF($A105=$A104,AV104,1))-AA105&lt;0),-1,MIN(1,IF($A105=$A104,AV104,1)-AA105+$D$3))</f>
        <v>#N/A</v>
      </c>
      <c r="AW105" s="47" t="e">
        <f>IF(OR($J105=0,COUNTIFS($A$4:$A104,"&gt;="&amp;$A105-1,$A$4:$A104,"&lt;="&amp;$A105,$B$4:$B104,$B105)&gt;0,MIN(AW$1,IF($A105=$A104,AW104,1))-AB105&lt;0),-1,MIN(1,IF($A105=$A104,AW104,1)-AB105+$D$3))</f>
        <v>#N/A</v>
      </c>
      <c r="AX105" s="47" t="e">
        <f>IF(OR($J105=0,COUNTIFS($A$4:$A104,"&gt;="&amp;$A105-1,$A$4:$A104,"&lt;="&amp;$A105,$B$4:$B104,$B105)&gt;0,MIN(AX$1,IF($A105=$A104,AX104,1))-AC105&lt;0),-1,MIN(1,IF($A105=$A104,AX104,1)-AC105+$D$3))</f>
        <v>#N/A</v>
      </c>
      <c r="AY105" s="47" t="e">
        <f>IF(OR($J105=0,COUNTIFS($A$4:$A104,"&gt;="&amp;$A105-1,$A$4:$A104,"&lt;="&amp;$A105,$B$4:$B104,$B105)&gt;0,MIN(AY$1,IF($A105=$A104,AY104,1))-AD105&lt;0),-1,MIN(1,IF($A105=$A104,AY104,1)-AD105+$D$3))</f>
        <v>#N/A</v>
      </c>
      <c r="AZ105" s="47" t="e">
        <f>IF(OR($J105=0,COUNTIFS($A$4:$A104,"&gt;="&amp;$A105-1,$A$4:$A104,"&lt;="&amp;$A105,$B$4:$B104,$B105)&gt;0,MIN(AZ$1,IF($A105=$A104,AZ104,1))-AE105&lt;0),-1,MIN(1,IF($A105=$A104,AZ104,1)-AE105+$D$3))</f>
        <v>#N/A</v>
      </c>
      <c r="BA105" s="47" t="e">
        <f>IF(OR($J105=0,COUNTIFS($A$4:$A104,"&gt;="&amp;$A105-1,$A$4:$A104,"&lt;="&amp;$A105,$B$4:$B104,$B105)&gt;0,MIN(BA$1,IF($A105=$A104,BA104,1))-AF105&lt;0),-1,MIN(1,IF($A105=$A104,BA104,1)-AF105+$D$3))</f>
        <v>#N/A</v>
      </c>
      <c r="BB105" s="47" t="e">
        <f>IF(OR($J105=0,COUNTIFS($A$4:$A104,"&gt;="&amp;$A105-1,$A$4:$A104,"&lt;="&amp;$A105,$B$4:$B104,$B105)&gt;0,MIN(BB$1,IF($A105=$A104,BB104,1))-AG105&lt;0),-1,MIN(1,IF($A105=$A104,BB104,1)-AG105+$D$3))</f>
        <v>#N/A</v>
      </c>
      <c r="BC105" s="47" t="e">
        <f>IF(OR($J105=0,COUNTIFS($A$4:$A104,"&gt;="&amp;$A105-1,$A$4:$A104,"&lt;="&amp;$A105,$B$4:$B104,$B105)&gt;0,MIN(BC$1,IF($A105=$A104,BC104,1))-AH105&lt;0),-1,MIN(1,IF($A105=$A104,BC104,1)-AH105+$D$3))</f>
        <v>#N/A</v>
      </c>
      <c r="BD105" s="47" t="e">
        <f>IF(OR($J105=0,COUNTIFS($A$4:$A104,"&gt;="&amp;$A105-1,$A$4:$A104,"&lt;="&amp;$A105,$B$4:$B104,$B105)&gt;0,MIN(BD$1,IF($A105=$A104,BD104,1))-AI105&lt;0),-1,MIN(1,IF($A105=$A104,BD104,1)-AI105+$D$3))</f>
        <v>#N/A</v>
      </c>
      <c r="BE105" s="47"/>
      <c r="BF105" s="53">
        <f t="shared" si="179"/>
        <v>1.1923123102526261E-2</v>
      </c>
      <c r="BG105" s="53">
        <f t="shared" si="180"/>
        <v>2.9322324191028901E-2</v>
      </c>
      <c r="BH105" s="53">
        <f t="shared" si="181"/>
        <v>3.0052297889373317E-2</v>
      </c>
      <c r="BI105" s="53">
        <f t="shared" si="182"/>
        <v>2.7759979581484778E-2</v>
      </c>
      <c r="BJ105" s="53">
        <f t="shared" si="183"/>
        <v>2.8692574317770034E-2</v>
      </c>
      <c r="BK105" s="53">
        <f t="shared" si="184"/>
        <v>1.2321661212950545E-2</v>
      </c>
      <c r="BL105" s="53">
        <f t="shared" si="185"/>
        <v>6.6563552364684283E-3</v>
      </c>
      <c r="BM105" s="53">
        <f t="shared" si="186"/>
        <v>1.6932990425454941E-2</v>
      </c>
      <c r="BN105" s="53">
        <f t="shared" si="187"/>
        <v>1.7611629721535536E-2</v>
      </c>
      <c r="BO105" s="53">
        <f t="shared" si="188"/>
        <v>8.2534779721560973E-3</v>
      </c>
      <c r="BP105" s="53">
        <f t="shared" si="189"/>
        <v>2.7752135792248007E-2</v>
      </c>
      <c r="BQ105" s="53">
        <f t="shared" si="190"/>
        <v>7.4891526420814165E-3</v>
      </c>
      <c r="BR105" s="53">
        <f t="shared" si="191"/>
        <v>2.2124831635671707E-2</v>
      </c>
      <c r="BS105" s="53">
        <f t="shared" si="192"/>
        <v>1.1932215300152257E-2</v>
      </c>
      <c r="BT105" s="53">
        <f t="shared" si="193"/>
        <v>4.7219434078883071E-2</v>
      </c>
      <c r="BU105" s="53">
        <f t="shared" si="194"/>
        <v>4.5108768416109946E-2</v>
      </c>
      <c r="BV105" s="53">
        <f t="shared" si="195"/>
        <v>4.3320968795977674E-2</v>
      </c>
      <c r="BW105" s="53">
        <f t="shared" si="196"/>
        <v>2.8334297563556668E-2</v>
      </c>
      <c r="BX105" s="53">
        <f t="shared" si="197"/>
        <v>2.0932864510297342E-2</v>
      </c>
      <c r="BY105" s="53">
        <f t="shared" si="198"/>
        <v>1.797327014167522E-2</v>
      </c>
      <c r="BZ105" s="47"/>
      <c r="CA105" s="53" t="str">
        <f t="shared" si="199"/>
        <v/>
      </c>
      <c r="CB105" s="53" t="str">
        <f t="shared" si="200"/>
        <v/>
      </c>
      <c r="CC105" s="53" t="str">
        <f t="shared" si="201"/>
        <v/>
      </c>
      <c r="CD105" s="53" t="str">
        <f t="shared" si="202"/>
        <v/>
      </c>
      <c r="CE105" s="53" t="str">
        <f t="shared" si="203"/>
        <v/>
      </c>
      <c r="CF105" s="53" t="str">
        <f t="shared" si="204"/>
        <v/>
      </c>
      <c r="CG105" s="53" t="str">
        <f t="shared" si="205"/>
        <v/>
      </c>
      <c r="CH105" s="53" t="str">
        <f t="shared" si="206"/>
        <v/>
      </c>
      <c r="CI105" s="53" t="str">
        <f t="shared" si="207"/>
        <v/>
      </c>
      <c r="CJ105" s="53" t="str">
        <f t="shared" si="208"/>
        <v/>
      </c>
      <c r="CK105" s="53" t="str">
        <f t="shared" si="209"/>
        <v/>
      </c>
      <c r="CL105" s="53" t="str">
        <f t="shared" si="210"/>
        <v/>
      </c>
      <c r="CM105" s="53" t="str">
        <f t="shared" si="211"/>
        <v/>
      </c>
      <c r="CN105" s="53" t="str">
        <f t="shared" si="212"/>
        <v/>
      </c>
      <c r="CO105" s="53" t="str">
        <f t="shared" si="213"/>
        <v/>
      </c>
      <c r="CP105" s="53" t="str">
        <f t="shared" si="214"/>
        <v/>
      </c>
      <c r="CQ105" s="53" t="str">
        <f t="shared" si="215"/>
        <v/>
      </c>
      <c r="CR105" s="53" t="str">
        <f t="shared" si="216"/>
        <v/>
      </c>
      <c r="CS105" s="53" t="str">
        <f t="shared" si="217"/>
        <v/>
      </c>
      <c r="CT105" s="53" t="str">
        <f t="shared" si="218"/>
        <v/>
      </c>
      <c r="CU105" s="47"/>
      <c r="CV105" s="53">
        <f t="shared" si="219"/>
        <v>0</v>
      </c>
    </row>
    <row r="106" spans="1:100" x14ac:dyDescent="0.25">
      <c r="A106" s="41"/>
      <c r="B106" s="42"/>
      <c r="C106" s="43" t="str" cm="1">
        <f t="array" ref="C106">IF(B106="","",INDEX(UWS!$B$10:$B$41,B106))</f>
        <v/>
      </c>
      <c r="D106" s="40" t="str">
        <f t="shared" si="176"/>
        <v/>
      </c>
      <c r="E106" s="69" t="str">
        <f t="shared" si="177"/>
        <v/>
      </c>
      <c r="F106" s="48" cm="1">
        <f t="array" ref="F106">0.1+IFERROR(INDEX($F$5:$F105,SUMPRODUCT(MAX(ROW($C$5:$C105)*($C106=$C$5:$C105))-ROW($A$4)))*0.9^($A106-INDEX($A$5:A105,SUMPRODUCT(MAX(ROW($C$5:$C105)*($C106=$C$5:$C105))-ROW($A$4)))),0)</f>
        <v>4.1000000000000014</v>
      </c>
      <c r="G106" s="55" t="e">
        <f>INDEX(UWS!$AB$10:$AB$41,MATCH(C106,UWS!$B$10:$B$41,0))</f>
        <v>#N/A</v>
      </c>
      <c r="H106" s="48" t="e">
        <f>INDEX(UWS!$C$10:$C$41,MATCH(C106,UWS!$B$10:$B$41,0))</f>
        <v>#N/A</v>
      </c>
      <c r="I106" s="82">
        <f t="shared" si="178"/>
        <v>5</v>
      </c>
      <c r="J106" s="27" t="e">
        <f>INDEX(UWS!$E$10:$E$41,MATCH(C106,UWS!$B$10:$B$41,0))</f>
        <v>#N/A</v>
      </c>
      <c r="L106" s="108" t="str" cm="1">
        <f t="array" ref="L106">IF(K106="","",INDEX(UWS!$B$10:$B$41,K106))</f>
        <v/>
      </c>
      <c r="N106" s="108" t="str" cm="1">
        <f t="array" ref="N106">IF(M106="","",INDEX(UWS!$B$10:$B$41,M106))</f>
        <v/>
      </c>
      <c r="P106">
        <f>IFERROR(INDEX(UWS!$G$10:$Z$41,MATCH($C106,UWS!$B$10:$B$41,0),MATCH(P$4,UWS!$G$3:$Z$3,0)),0)</f>
        <v>0</v>
      </c>
      <c r="Q106">
        <f>IFERROR(INDEX(UWS!$G$10:$Z$41,MATCH($C106,UWS!$B$10:$B$41,0),MATCH(Q$4,UWS!$G$3:$Z$3,0)),0)</f>
        <v>0</v>
      </c>
      <c r="R106">
        <f>IFERROR(INDEX(UWS!$G$10:$Z$41,MATCH($C106,UWS!$B$10:$B$41,0),MATCH(R$4,UWS!$G$3:$Z$3,0)),0)</f>
        <v>0</v>
      </c>
      <c r="S106">
        <f>IFERROR(INDEX(UWS!$G$10:$Z$41,MATCH($C106,UWS!$B$10:$B$41,0),MATCH(S$4,UWS!$G$3:$Z$3,0)),0)</f>
        <v>0</v>
      </c>
      <c r="T106">
        <f>IFERROR(INDEX(UWS!$G$10:$Z$41,MATCH($C106,UWS!$B$10:$B$41,0),MATCH(T$4,UWS!$G$3:$Z$3,0)),0)</f>
        <v>0</v>
      </c>
      <c r="U106">
        <f>IFERROR(INDEX(UWS!$G$10:$Z$41,MATCH($C106,UWS!$B$10:$B$41,0),MATCH(U$4,UWS!$G$3:$Z$3,0)),0)</f>
        <v>0</v>
      </c>
      <c r="V106">
        <f>IFERROR(INDEX(UWS!$G$10:$Z$41,MATCH($C106,UWS!$B$10:$B$41,0),MATCH(V$4,UWS!$G$3:$Z$3,0)),0)</f>
        <v>0</v>
      </c>
      <c r="W106">
        <f>IFERROR(INDEX(UWS!$G$10:$Z$41,MATCH($C106,UWS!$B$10:$B$41,0),MATCH(W$4,UWS!$G$3:$Z$3,0)),0)</f>
        <v>0</v>
      </c>
      <c r="X106">
        <f>IFERROR(INDEX(UWS!$G$10:$Z$41,MATCH($C106,UWS!$B$10:$B$41,0),MATCH(X$4,UWS!$G$3:$Z$3,0)),0)</f>
        <v>0</v>
      </c>
      <c r="Y106">
        <f>IFERROR(INDEX(UWS!$G$10:$Z$41,MATCH($C106,UWS!$B$10:$B$41,0),MATCH(Y$4,UWS!$G$3:$Z$3,0)),0)</f>
        <v>0</v>
      </c>
      <c r="Z106">
        <f>IFERROR(INDEX(UWS!$G$10:$Z$41,MATCH($C106,UWS!$B$10:$B$41,0),MATCH(Z$4,UWS!$G$3:$Z$3,0)),0)</f>
        <v>0</v>
      </c>
      <c r="AA106">
        <f>IFERROR(INDEX(UWS!$G$10:$Z$41,MATCH($C106,UWS!$B$10:$B$41,0),MATCH(AA$4,UWS!$G$3:$Z$3,0)),0)</f>
        <v>0</v>
      </c>
      <c r="AB106">
        <f>IFERROR(INDEX(UWS!$G$10:$Z$41,MATCH($C106,UWS!$B$10:$B$41,0),MATCH(AB$4,UWS!$G$3:$Z$3,0)),0)</f>
        <v>0</v>
      </c>
      <c r="AC106">
        <f>IFERROR(INDEX(UWS!$G$10:$Z$41,MATCH($C106,UWS!$B$10:$B$41,0),MATCH(AC$4,UWS!$G$3:$Z$3,0)),0)</f>
        <v>0</v>
      </c>
      <c r="AD106">
        <f>IFERROR(INDEX(UWS!$G$10:$Z$41,MATCH($C106,UWS!$B$10:$B$41,0),MATCH(AD$4,UWS!$G$3:$Z$3,0)),0)</f>
        <v>0</v>
      </c>
      <c r="AE106">
        <f>IFERROR(INDEX(UWS!$G$10:$Z$41,MATCH($C106,UWS!$B$10:$B$41,0),MATCH(AE$4,UWS!$G$3:$Z$3,0)),0)</f>
        <v>0</v>
      </c>
      <c r="AF106">
        <f>IFERROR(INDEX(UWS!$G$10:$Z$41,MATCH($C106,UWS!$B$10:$B$41,0),MATCH(AF$4,UWS!$G$3:$Z$3,0)),0)</f>
        <v>0</v>
      </c>
      <c r="AG106">
        <f>IFERROR(INDEX(UWS!$G$10:$Z$41,MATCH($C106,UWS!$B$10:$B$41,0),MATCH(AG$4,UWS!$G$3:$Z$3,0)),0)</f>
        <v>0</v>
      </c>
      <c r="AH106">
        <f>IFERROR(INDEX(UWS!$G$10:$Z$41,MATCH($C106,UWS!$B$10:$B$41,0),MATCH(AH$4,UWS!$G$3:$Z$3,0)),0)</f>
        <v>0</v>
      </c>
      <c r="AI106">
        <f>IFERROR(INDEX(UWS!$G$10:$Z$41,MATCH($C106,UWS!$B$10:$B$41,0),MATCH(AI$4,UWS!$G$3:$Z$3,0)),0)</f>
        <v>0</v>
      </c>
      <c r="AK106" t="e">
        <f>IF(OR($J106=0,COUNTIFS($A$4:$A105,"&gt;="&amp;$A106-1,$A$4:$A105,"&lt;="&amp;$A106,$B$4:$B105,$B106)&gt;0,MIN(AK$1,IF($A106=$A105,AK105,1))-P106&lt;0),-1,MIN(1,IF($A106=$A105,AK105,1)-P106+$D$3))</f>
        <v>#N/A</v>
      </c>
      <c r="AL106" t="e">
        <f>IF(OR($J106=0,COUNTIFS($A$4:$A105,"&gt;="&amp;$A106-1,$A$4:$A105,"&lt;="&amp;$A106,$B$4:$B105,$B106)&gt;0,MIN(AL$1,IF($A106=$A105,AL105,1))-Q106&lt;0),-1,MIN(1,IF($A106=$A105,AL105,1)-Q106+$D$3))</f>
        <v>#N/A</v>
      </c>
      <c r="AM106" t="e">
        <f>IF(OR($J106=0,COUNTIFS($A$4:$A105,"&gt;="&amp;$A106-1,$A$4:$A105,"&lt;="&amp;$A106,$B$4:$B105,$B106)&gt;0,MIN(AM$1,IF($A106=$A105,AM105,1))-R106&lt;0),-1,MIN(1,IF($A106=$A105,AM105,1)-R106+$D$3))</f>
        <v>#N/A</v>
      </c>
      <c r="AN106" t="e">
        <f>IF(OR($J106=0,COUNTIFS($A$4:$A105,"&gt;="&amp;$A106-1,$A$4:$A105,"&lt;="&amp;$A106,$B$4:$B105,$B106)&gt;0,MIN(AN$1,IF($A106=$A105,AN105,1))-S106&lt;0),-1,MIN(1,IF($A106=$A105,AN105,1)-S106+$D$3))</f>
        <v>#N/A</v>
      </c>
      <c r="AO106" t="e">
        <f>IF(OR($J106=0,COUNTIFS($A$4:$A105,"&gt;="&amp;$A106-1,$A$4:$A105,"&lt;="&amp;$A106,$B$4:$B105,$B106)&gt;0,MIN(AO$1,IF($A106=$A105,AO105,1))-T106&lt;0),-1,MIN(1,IF($A106=$A105,AO105,1)-T106+$D$3))</f>
        <v>#N/A</v>
      </c>
      <c r="AP106" t="e">
        <f>IF(OR($J106=0,COUNTIFS($A$4:$A105,"&gt;="&amp;$A106-1,$A$4:$A105,"&lt;="&amp;$A106,$B$4:$B105,$B106)&gt;0,MIN(AP$1,IF($A106=$A105,AP105,1))-U106&lt;0),-1,MIN(1,IF($A106=$A105,AP105,1)-U106+$D$3))</f>
        <v>#N/A</v>
      </c>
      <c r="AQ106" t="e">
        <f>IF(OR($J106=0,COUNTIFS($A$4:$A105,"&gt;="&amp;$A106-1,$A$4:$A105,"&lt;="&amp;$A106,$B$4:$B105,$B106)&gt;0,MIN(AQ$1,IF($A106=$A105,AQ105,1))-V106&lt;0),-1,MIN(1,IF($A106=$A105,AQ105,1)-V106+$D$3))</f>
        <v>#N/A</v>
      </c>
      <c r="AR106" t="e">
        <f>IF(OR($J106=0,COUNTIFS($A$4:$A105,"&gt;="&amp;$A106-1,$A$4:$A105,"&lt;="&amp;$A106,$B$4:$B105,$B106)&gt;0,MIN(AR$1,IF($A106=$A105,AR105,1))-W106&lt;0),-1,MIN(1,IF($A106=$A105,AR105,1)-W106+$D$3))</f>
        <v>#N/A</v>
      </c>
      <c r="AS106" t="e">
        <f>IF(OR($J106=0,COUNTIFS($A$4:$A105,"&gt;="&amp;$A106-1,$A$4:$A105,"&lt;="&amp;$A106,$B$4:$B105,$B106)&gt;0,MIN(AS$1,IF($A106=$A105,AS105,1))-X106&lt;0),-1,MIN(1,IF($A106=$A105,AS105,1)-X106+$D$3))</f>
        <v>#N/A</v>
      </c>
      <c r="AT106" t="e">
        <f>IF(OR($J106=0,COUNTIFS($A$4:$A105,"&gt;="&amp;$A106-1,$A$4:$A105,"&lt;="&amp;$A106,$B$4:$B105,$B106)&gt;0,MIN(AT$1,IF($A106=$A105,AT105,1))-Y106&lt;0),-1,MIN(1,IF($A106=$A105,AT105,1)-Y106+$D$3))</f>
        <v>#N/A</v>
      </c>
      <c r="AU106" t="e">
        <f>IF(OR($J106=0,COUNTIFS($A$4:$A105,"&gt;="&amp;$A106-1,$A$4:$A105,"&lt;="&amp;$A106,$B$4:$B105,$B106)&gt;0,MIN(AU$1,IF($A106=$A105,AU105,1))-Z106&lt;0),-1,MIN(1,IF($A106=$A105,AU105,1)-Z106+$D$3))</f>
        <v>#N/A</v>
      </c>
      <c r="AV106" t="e">
        <f>IF(OR($J106=0,COUNTIFS($A$4:$A105,"&gt;="&amp;$A106-1,$A$4:$A105,"&lt;="&amp;$A106,$B$4:$B105,$B106)&gt;0,MIN(AV$1,IF($A106=$A105,AV105,1))-AA106&lt;0),-1,MIN(1,IF($A106=$A105,AV105,1)-AA106+$D$3))</f>
        <v>#N/A</v>
      </c>
      <c r="AW106" t="e">
        <f>IF(OR($J106=0,COUNTIFS($A$4:$A105,"&gt;="&amp;$A106-1,$A$4:$A105,"&lt;="&amp;$A106,$B$4:$B105,$B106)&gt;0,MIN(AW$1,IF($A106=$A105,AW105,1))-AB106&lt;0),-1,MIN(1,IF($A106=$A105,AW105,1)-AB106+$D$3))</f>
        <v>#N/A</v>
      </c>
      <c r="AX106" t="e">
        <f>IF(OR($J106=0,COUNTIFS($A$4:$A105,"&gt;="&amp;$A106-1,$A$4:$A105,"&lt;="&amp;$A106,$B$4:$B105,$B106)&gt;0,MIN(AX$1,IF($A106=$A105,AX105,1))-AC106&lt;0),-1,MIN(1,IF($A106=$A105,AX105,1)-AC106+$D$3))</f>
        <v>#N/A</v>
      </c>
      <c r="AY106" t="e">
        <f>IF(OR($J106=0,COUNTIFS($A$4:$A105,"&gt;="&amp;$A106-1,$A$4:$A105,"&lt;="&amp;$A106,$B$4:$B105,$B106)&gt;0,MIN(AY$1,IF($A106=$A105,AY105,1))-AD106&lt;0),-1,MIN(1,IF($A106=$A105,AY105,1)-AD106+$D$3))</f>
        <v>#N/A</v>
      </c>
      <c r="AZ106" t="e">
        <f>IF(OR($J106=0,COUNTIFS($A$4:$A105,"&gt;="&amp;$A106-1,$A$4:$A105,"&lt;="&amp;$A106,$B$4:$B105,$B106)&gt;0,MIN(AZ$1,IF($A106=$A105,AZ105,1))-AE106&lt;0),-1,MIN(1,IF($A106=$A105,AZ105,1)-AE106+$D$3))</f>
        <v>#N/A</v>
      </c>
      <c r="BA106" t="e">
        <f>IF(OR($J106=0,COUNTIFS($A$4:$A105,"&gt;="&amp;$A106-1,$A$4:$A105,"&lt;="&amp;$A106,$B$4:$B105,$B106)&gt;0,MIN(BA$1,IF($A106=$A105,BA105,1))-AF106&lt;0),-1,MIN(1,IF($A106=$A105,BA105,1)-AF106+$D$3))</f>
        <v>#N/A</v>
      </c>
      <c r="BB106" t="e">
        <f>IF(OR($J106=0,COUNTIFS($A$4:$A105,"&gt;="&amp;$A106-1,$A$4:$A105,"&lt;="&amp;$A106,$B$4:$B105,$B106)&gt;0,MIN(BB$1,IF($A106=$A105,BB105,1))-AG106&lt;0),-1,MIN(1,IF($A106=$A105,BB105,1)-AG106+$D$3))</f>
        <v>#N/A</v>
      </c>
      <c r="BC106" t="e">
        <f>IF(OR($J106=0,COUNTIFS($A$4:$A105,"&gt;="&amp;$A106-1,$A$4:$A105,"&lt;="&amp;$A106,$B$4:$B105,$B106)&gt;0,MIN(BC$1,IF($A106=$A105,BC105,1))-AH106&lt;0),-1,MIN(1,IF($A106=$A105,BC105,1)-AH106+$D$3))</f>
        <v>#N/A</v>
      </c>
      <c r="BD106" t="e">
        <f>IF(OR($J106=0,COUNTIFS($A$4:$A105,"&gt;="&amp;$A106-1,$A$4:$A105,"&lt;="&amp;$A106,$B$4:$B105,$B106)&gt;0,MIN(BD$1,IF($A106=$A105,BD105,1))-AI106&lt;0),-1,MIN(1,IF($A106=$A105,BD105,1)-AI106+$D$3))</f>
        <v>#N/A</v>
      </c>
      <c r="BF106" s="44">
        <f t="shared" si="179"/>
        <v>1.1326966947399947E-2</v>
      </c>
      <c r="BG106" s="44">
        <f t="shared" si="180"/>
        <v>2.7856207981477456E-2</v>
      </c>
      <c r="BH106" s="44">
        <f t="shared" si="181"/>
        <v>2.8549682994904648E-2</v>
      </c>
      <c r="BI106" s="44">
        <f t="shared" si="182"/>
        <v>2.6371980602410538E-2</v>
      </c>
      <c r="BJ106" s="44">
        <f t="shared" si="183"/>
        <v>2.7257945601881533E-2</v>
      </c>
      <c r="BK106" s="44">
        <f t="shared" si="184"/>
        <v>1.1705578152303017E-2</v>
      </c>
      <c r="BL106" s="44">
        <f t="shared" si="185"/>
        <v>6.3235374746450062E-3</v>
      </c>
      <c r="BM106" s="44">
        <f t="shared" si="186"/>
        <v>1.6086340904182192E-2</v>
      </c>
      <c r="BN106" s="44">
        <f t="shared" si="187"/>
        <v>1.6731048235458758E-2</v>
      </c>
      <c r="BO106" s="44">
        <f t="shared" si="188"/>
        <v>7.8408040735482923E-3</v>
      </c>
      <c r="BP106" s="44">
        <f t="shared" si="189"/>
        <v>2.6364529002635605E-2</v>
      </c>
      <c r="BQ106" s="44">
        <f t="shared" si="190"/>
        <v>7.1146950099773452E-3</v>
      </c>
      <c r="BR106" s="44">
        <f t="shared" si="191"/>
        <v>2.101859005388812E-2</v>
      </c>
      <c r="BS106" s="44">
        <f t="shared" si="192"/>
        <v>1.1335604535144643E-2</v>
      </c>
      <c r="BT106" s="44">
        <f t="shared" si="193"/>
        <v>4.4858462374938915E-2</v>
      </c>
      <c r="BU106" s="44">
        <f t="shared" si="194"/>
        <v>4.2853329995304446E-2</v>
      </c>
      <c r="BV106" s="44">
        <f t="shared" si="195"/>
        <v>4.1154920356178785E-2</v>
      </c>
      <c r="BW106" s="44">
        <f t="shared" si="196"/>
        <v>2.6917582685378832E-2</v>
      </c>
      <c r="BX106" s="44">
        <f t="shared" si="197"/>
        <v>1.9886221284782474E-2</v>
      </c>
      <c r="BY106" s="44">
        <f t="shared" si="198"/>
        <v>1.7074606634591458E-2</v>
      </c>
      <c r="CA106" s="44" t="str">
        <f t="shared" si="199"/>
        <v/>
      </c>
      <c r="CB106" s="44" t="str">
        <f t="shared" si="200"/>
        <v/>
      </c>
      <c r="CC106" s="44" t="str">
        <f t="shared" si="201"/>
        <v/>
      </c>
      <c r="CD106" s="44" t="str">
        <f t="shared" si="202"/>
        <v/>
      </c>
      <c r="CE106" s="44" t="str">
        <f t="shared" si="203"/>
        <v/>
      </c>
      <c r="CF106" s="44" t="str">
        <f t="shared" si="204"/>
        <v/>
      </c>
      <c r="CG106" s="44" t="str">
        <f t="shared" si="205"/>
        <v/>
      </c>
      <c r="CH106" s="44" t="str">
        <f t="shared" si="206"/>
        <v/>
      </c>
      <c r="CI106" s="44" t="str">
        <f t="shared" si="207"/>
        <v/>
      </c>
      <c r="CJ106" s="44" t="str">
        <f t="shared" si="208"/>
        <v/>
      </c>
      <c r="CK106" s="44" t="str">
        <f t="shared" si="209"/>
        <v/>
      </c>
      <c r="CL106" s="44" t="str">
        <f t="shared" si="210"/>
        <v/>
      </c>
      <c r="CM106" s="44" t="str">
        <f t="shared" si="211"/>
        <v/>
      </c>
      <c r="CN106" s="44" t="str">
        <f t="shared" si="212"/>
        <v/>
      </c>
      <c r="CO106" s="44" t="str">
        <f t="shared" si="213"/>
        <v/>
      </c>
      <c r="CP106" s="44" t="str">
        <f t="shared" si="214"/>
        <v/>
      </c>
      <c r="CQ106" s="44" t="str">
        <f t="shared" si="215"/>
        <v/>
      </c>
      <c r="CR106" s="44" t="str">
        <f t="shared" si="216"/>
        <v/>
      </c>
      <c r="CS106" s="44" t="str">
        <f t="shared" si="217"/>
        <v/>
      </c>
      <c r="CT106" s="44" t="str">
        <f t="shared" si="218"/>
        <v/>
      </c>
      <c r="CV106" s="44">
        <f t="shared" si="219"/>
        <v>0</v>
      </c>
    </row>
    <row r="107" spans="1:100" x14ac:dyDescent="0.25">
      <c r="A107" s="41"/>
      <c r="B107" s="42"/>
      <c r="C107" s="43" t="str" cm="1">
        <f t="array" ref="C107">IF(B107="","",INDEX(UWS!$B$10:$B$41,B107))</f>
        <v/>
      </c>
      <c r="D107" s="40" t="str">
        <f t="shared" si="176"/>
        <v/>
      </c>
      <c r="E107" s="69" t="str">
        <f t="shared" si="177"/>
        <v/>
      </c>
      <c r="F107" s="48" cm="1">
        <f t="array" ref="F107">0.1+IFERROR(INDEX($F$5:$F106,SUMPRODUCT(MAX(ROW($C$5:$C106)*($C107=$C$5:$C106))-ROW($A$4)))*0.9^($A107-INDEX($A$5:A106,SUMPRODUCT(MAX(ROW($C$5:$C106)*($C107=$C$5:$C106))-ROW($A$4)))),0)</f>
        <v>4.2000000000000011</v>
      </c>
      <c r="G107" s="55" t="e">
        <f>INDEX(UWS!$AB$10:$AB$41,MATCH(C107,UWS!$B$10:$B$41,0))</f>
        <v>#N/A</v>
      </c>
      <c r="H107" s="48" t="e">
        <f>INDEX(UWS!$C$10:$C$41,MATCH(C107,UWS!$B$10:$B$41,0))</f>
        <v>#N/A</v>
      </c>
      <c r="I107" s="27">
        <f t="shared" si="178"/>
        <v>5</v>
      </c>
      <c r="J107" s="27" t="e">
        <f>INDEX(UWS!$E$10:$E$41,MATCH(C107,UWS!$B$10:$B$41,0))</f>
        <v>#N/A</v>
      </c>
      <c r="L107" s="108" t="str" cm="1">
        <f t="array" ref="L107">IF(K107="","",INDEX(UWS!$B$10:$B$41,K107))</f>
        <v/>
      </c>
      <c r="N107" s="108" t="str" cm="1">
        <f t="array" ref="N107">IF(M107="","",INDEX(UWS!$B$10:$B$41,M107))</f>
        <v/>
      </c>
      <c r="P107">
        <f>IFERROR(INDEX(UWS!$G$10:$Z$41,MATCH($C107,UWS!$B$10:$B$41,0),MATCH(P$4,UWS!$G$3:$Z$3,0)),0)</f>
        <v>0</v>
      </c>
      <c r="Q107">
        <f>IFERROR(INDEX(UWS!$G$10:$Z$41,MATCH($C107,UWS!$B$10:$B$41,0),MATCH(Q$4,UWS!$G$3:$Z$3,0)),0)</f>
        <v>0</v>
      </c>
      <c r="R107">
        <f>IFERROR(INDEX(UWS!$G$10:$Z$41,MATCH($C107,UWS!$B$10:$B$41,0),MATCH(R$4,UWS!$G$3:$Z$3,0)),0)</f>
        <v>0</v>
      </c>
      <c r="S107">
        <f>IFERROR(INDEX(UWS!$G$10:$Z$41,MATCH($C107,UWS!$B$10:$B$41,0),MATCH(S$4,UWS!$G$3:$Z$3,0)),0)</f>
        <v>0</v>
      </c>
      <c r="T107">
        <f>IFERROR(INDEX(UWS!$G$10:$Z$41,MATCH($C107,UWS!$B$10:$B$41,0),MATCH(T$4,UWS!$G$3:$Z$3,0)),0)</f>
        <v>0</v>
      </c>
      <c r="U107">
        <f>IFERROR(INDEX(UWS!$G$10:$Z$41,MATCH($C107,UWS!$B$10:$B$41,0),MATCH(U$4,UWS!$G$3:$Z$3,0)),0)</f>
        <v>0</v>
      </c>
      <c r="V107">
        <f>IFERROR(INDEX(UWS!$G$10:$Z$41,MATCH($C107,UWS!$B$10:$B$41,0),MATCH(V$4,UWS!$G$3:$Z$3,0)),0)</f>
        <v>0</v>
      </c>
      <c r="W107">
        <f>IFERROR(INDEX(UWS!$G$10:$Z$41,MATCH($C107,UWS!$B$10:$B$41,0),MATCH(W$4,UWS!$G$3:$Z$3,0)),0)</f>
        <v>0</v>
      </c>
      <c r="X107">
        <f>IFERROR(INDEX(UWS!$G$10:$Z$41,MATCH($C107,UWS!$B$10:$B$41,0),MATCH(X$4,UWS!$G$3:$Z$3,0)),0)</f>
        <v>0</v>
      </c>
      <c r="Y107">
        <f>IFERROR(INDEX(UWS!$G$10:$Z$41,MATCH($C107,UWS!$B$10:$B$41,0),MATCH(Y$4,UWS!$G$3:$Z$3,0)),0)</f>
        <v>0</v>
      </c>
      <c r="Z107">
        <f>IFERROR(INDEX(UWS!$G$10:$Z$41,MATCH($C107,UWS!$B$10:$B$41,0),MATCH(Z$4,UWS!$G$3:$Z$3,0)),0)</f>
        <v>0</v>
      </c>
      <c r="AA107">
        <f>IFERROR(INDEX(UWS!$G$10:$Z$41,MATCH($C107,UWS!$B$10:$B$41,0),MATCH(AA$4,UWS!$G$3:$Z$3,0)),0)</f>
        <v>0</v>
      </c>
      <c r="AB107">
        <f>IFERROR(INDEX(UWS!$G$10:$Z$41,MATCH($C107,UWS!$B$10:$B$41,0),MATCH(AB$4,UWS!$G$3:$Z$3,0)),0)</f>
        <v>0</v>
      </c>
      <c r="AC107">
        <f>IFERROR(INDEX(UWS!$G$10:$Z$41,MATCH($C107,UWS!$B$10:$B$41,0),MATCH(AC$4,UWS!$G$3:$Z$3,0)),0)</f>
        <v>0</v>
      </c>
      <c r="AD107">
        <f>IFERROR(INDEX(UWS!$G$10:$Z$41,MATCH($C107,UWS!$B$10:$B$41,0),MATCH(AD$4,UWS!$G$3:$Z$3,0)),0)</f>
        <v>0</v>
      </c>
      <c r="AE107">
        <f>IFERROR(INDEX(UWS!$G$10:$Z$41,MATCH($C107,UWS!$B$10:$B$41,0),MATCH(AE$4,UWS!$G$3:$Z$3,0)),0)</f>
        <v>0</v>
      </c>
      <c r="AF107">
        <f>IFERROR(INDEX(UWS!$G$10:$Z$41,MATCH($C107,UWS!$B$10:$B$41,0),MATCH(AF$4,UWS!$G$3:$Z$3,0)),0)</f>
        <v>0</v>
      </c>
      <c r="AG107">
        <f>IFERROR(INDEX(UWS!$G$10:$Z$41,MATCH($C107,UWS!$B$10:$B$41,0),MATCH(AG$4,UWS!$G$3:$Z$3,0)),0)</f>
        <v>0</v>
      </c>
      <c r="AH107">
        <f>IFERROR(INDEX(UWS!$G$10:$Z$41,MATCH($C107,UWS!$B$10:$B$41,0),MATCH(AH$4,UWS!$G$3:$Z$3,0)),0)</f>
        <v>0</v>
      </c>
      <c r="AI107">
        <f>IFERROR(INDEX(UWS!$G$10:$Z$41,MATCH($C107,UWS!$B$10:$B$41,0),MATCH(AI$4,UWS!$G$3:$Z$3,0)),0)</f>
        <v>0</v>
      </c>
      <c r="AK107" t="e">
        <f>IF(OR($J107=0,COUNTIFS($A$4:$A106,"&gt;="&amp;$A107-1,$A$4:$A106,"&lt;="&amp;$A107,$B$4:$B106,$B107)&gt;0,MIN(AK$1,IF($A107=$A106,AK106,1))-P107&lt;0),-1,MIN(1,IF($A107=$A106,AK106,1)-P107+$D$3))</f>
        <v>#N/A</v>
      </c>
      <c r="AL107" t="e">
        <f>IF(OR($J107=0,COUNTIFS($A$4:$A106,"&gt;="&amp;$A107-1,$A$4:$A106,"&lt;="&amp;$A107,$B$4:$B106,$B107)&gt;0,MIN(AL$1,IF($A107=$A106,AL106,1))-Q107&lt;0),-1,MIN(1,IF($A107=$A106,AL106,1)-Q107+$D$3))</f>
        <v>#N/A</v>
      </c>
      <c r="AM107" t="e">
        <f>IF(OR($J107=0,COUNTIFS($A$4:$A106,"&gt;="&amp;$A107-1,$A$4:$A106,"&lt;="&amp;$A107,$B$4:$B106,$B107)&gt;0,MIN(AM$1,IF($A107=$A106,AM106,1))-R107&lt;0),-1,MIN(1,IF($A107=$A106,AM106,1)-R107+$D$3))</f>
        <v>#N/A</v>
      </c>
      <c r="AN107" t="e">
        <f>IF(OR($J107=0,COUNTIFS($A$4:$A106,"&gt;="&amp;$A107-1,$A$4:$A106,"&lt;="&amp;$A107,$B$4:$B106,$B107)&gt;0,MIN(AN$1,IF($A107=$A106,AN106,1))-S107&lt;0),-1,MIN(1,IF($A107=$A106,AN106,1)-S107+$D$3))</f>
        <v>#N/A</v>
      </c>
      <c r="AO107" t="e">
        <f>IF(OR($J107=0,COUNTIFS($A$4:$A106,"&gt;="&amp;$A107-1,$A$4:$A106,"&lt;="&amp;$A107,$B$4:$B106,$B107)&gt;0,MIN(AO$1,IF($A107=$A106,AO106,1))-T107&lt;0),-1,MIN(1,IF($A107=$A106,AO106,1)-T107+$D$3))</f>
        <v>#N/A</v>
      </c>
      <c r="AP107" t="e">
        <f>IF(OR($J107=0,COUNTIFS($A$4:$A106,"&gt;="&amp;$A107-1,$A$4:$A106,"&lt;="&amp;$A107,$B$4:$B106,$B107)&gt;0,MIN(AP$1,IF($A107=$A106,AP106,1))-U107&lt;0),-1,MIN(1,IF($A107=$A106,AP106,1)-U107+$D$3))</f>
        <v>#N/A</v>
      </c>
      <c r="AQ107" t="e">
        <f>IF(OR($J107=0,COUNTIFS($A$4:$A106,"&gt;="&amp;$A107-1,$A$4:$A106,"&lt;="&amp;$A107,$B$4:$B106,$B107)&gt;0,MIN(AQ$1,IF($A107=$A106,AQ106,1))-V107&lt;0),-1,MIN(1,IF($A107=$A106,AQ106,1)-V107+$D$3))</f>
        <v>#N/A</v>
      </c>
      <c r="AR107" t="e">
        <f>IF(OR($J107=0,COUNTIFS($A$4:$A106,"&gt;="&amp;$A107-1,$A$4:$A106,"&lt;="&amp;$A107,$B$4:$B106,$B107)&gt;0,MIN(AR$1,IF($A107=$A106,AR106,1))-W107&lt;0),-1,MIN(1,IF($A107=$A106,AR106,1)-W107+$D$3))</f>
        <v>#N/A</v>
      </c>
      <c r="AS107" t="e">
        <f>IF(OR($J107=0,COUNTIFS($A$4:$A106,"&gt;="&amp;$A107-1,$A$4:$A106,"&lt;="&amp;$A107,$B$4:$B106,$B107)&gt;0,MIN(AS$1,IF($A107=$A106,AS106,1))-X107&lt;0),-1,MIN(1,IF($A107=$A106,AS106,1)-X107+$D$3))</f>
        <v>#N/A</v>
      </c>
      <c r="AT107" t="e">
        <f>IF(OR($J107=0,COUNTIFS($A$4:$A106,"&gt;="&amp;$A107-1,$A$4:$A106,"&lt;="&amp;$A107,$B$4:$B106,$B107)&gt;0,MIN(AT$1,IF($A107=$A106,AT106,1))-Y107&lt;0),-1,MIN(1,IF($A107=$A106,AT106,1)-Y107+$D$3))</f>
        <v>#N/A</v>
      </c>
      <c r="AU107" t="e">
        <f>IF(OR($J107=0,COUNTIFS($A$4:$A106,"&gt;="&amp;$A107-1,$A$4:$A106,"&lt;="&amp;$A107,$B$4:$B106,$B107)&gt;0,MIN(AU$1,IF($A107=$A106,AU106,1))-Z107&lt;0),-1,MIN(1,IF($A107=$A106,AU106,1)-Z107+$D$3))</f>
        <v>#N/A</v>
      </c>
      <c r="AV107" t="e">
        <f>IF(OR($J107=0,COUNTIFS($A$4:$A106,"&gt;="&amp;$A107-1,$A$4:$A106,"&lt;="&amp;$A107,$B$4:$B106,$B107)&gt;0,MIN(AV$1,IF($A107=$A106,AV106,1))-AA107&lt;0),-1,MIN(1,IF($A107=$A106,AV106,1)-AA107+$D$3))</f>
        <v>#N/A</v>
      </c>
      <c r="AW107" t="e">
        <f>IF(OR($J107=0,COUNTIFS($A$4:$A106,"&gt;="&amp;$A107-1,$A$4:$A106,"&lt;="&amp;$A107,$B$4:$B106,$B107)&gt;0,MIN(AW$1,IF($A107=$A106,AW106,1))-AB107&lt;0),-1,MIN(1,IF($A107=$A106,AW106,1)-AB107+$D$3))</f>
        <v>#N/A</v>
      </c>
      <c r="AX107" t="e">
        <f>IF(OR($J107=0,COUNTIFS($A$4:$A106,"&gt;="&amp;$A107-1,$A$4:$A106,"&lt;="&amp;$A107,$B$4:$B106,$B107)&gt;0,MIN(AX$1,IF($A107=$A106,AX106,1))-AC107&lt;0),-1,MIN(1,IF($A107=$A106,AX106,1)-AC107+$D$3))</f>
        <v>#N/A</v>
      </c>
      <c r="AY107" t="e">
        <f>IF(OR($J107=0,COUNTIFS($A$4:$A106,"&gt;="&amp;$A107-1,$A$4:$A106,"&lt;="&amp;$A107,$B$4:$B106,$B107)&gt;0,MIN(AY$1,IF($A107=$A106,AY106,1))-AD107&lt;0),-1,MIN(1,IF($A107=$A106,AY106,1)-AD107+$D$3))</f>
        <v>#N/A</v>
      </c>
      <c r="AZ107" t="e">
        <f>IF(OR($J107=0,COUNTIFS($A$4:$A106,"&gt;="&amp;$A107-1,$A$4:$A106,"&lt;="&amp;$A107,$B$4:$B106,$B107)&gt;0,MIN(AZ$1,IF($A107=$A106,AZ106,1))-AE107&lt;0),-1,MIN(1,IF($A107=$A106,AZ106,1)-AE107+$D$3))</f>
        <v>#N/A</v>
      </c>
      <c r="BA107" t="e">
        <f>IF(OR($J107=0,COUNTIFS($A$4:$A106,"&gt;="&amp;$A107-1,$A$4:$A106,"&lt;="&amp;$A107,$B$4:$B106,$B107)&gt;0,MIN(BA$1,IF($A107=$A106,BA106,1))-AF107&lt;0),-1,MIN(1,IF($A107=$A106,BA106,1)-AF107+$D$3))</f>
        <v>#N/A</v>
      </c>
      <c r="BB107" t="e">
        <f>IF(OR($J107=0,COUNTIFS($A$4:$A106,"&gt;="&amp;$A107-1,$A$4:$A106,"&lt;="&amp;$A107,$B$4:$B106,$B107)&gt;0,MIN(BB$1,IF($A107=$A106,BB106,1))-AG107&lt;0),-1,MIN(1,IF($A107=$A106,BB106,1)-AG107+$D$3))</f>
        <v>#N/A</v>
      </c>
      <c r="BC107" t="e">
        <f>IF(OR($J107=0,COUNTIFS($A$4:$A106,"&gt;="&amp;$A107-1,$A$4:$A106,"&lt;="&amp;$A107,$B$4:$B106,$B107)&gt;0,MIN(BC$1,IF($A107=$A106,BC106,1))-AH107&lt;0),-1,MIN(1,IF($A107=$A106,BC106,1)-AH107+$D$3))</f>
        <v>#N/A</v>
      </c>
      <c r="BD107" t="e">
        <f>IF(OR($J107=0,COUNTIFS($A$4:$A106,"&gt;="&amp;$A107-1,$A$4:$A106,"&lt;="&amp;$A107,$B$4:$B106,$B107)&gt;0,MIN(BD$1,IF($A107=$A106,BD106,1))-AI107&lt;0),-1,MIN(1,IF($A107=$A106,BD106,1)-AI107+$D$3))</f>
        <v>#N/A</v>
      </c>
      <c r="BF107" s="44">
        <f t="shared" si="179"/>
        <v>1.0760618600029949E-2</v>
      </c>
      <c r="BG107" s="44">
        <f t="shared" si="180"/>
        <v>2.6463397582403583E-2</v>
      </c>
      <c r="BH107" s="44">
        <f t="shared" si="181"/>
        <v>2.7122198845159415E-2</v>
      </c>
      <c r="BI107" s="44">
        <f t="shared" si="182"/>
        <v>2.505338157229001E-2</v>
      </c>
      <c r="BJ107" s="44">
        <f t="shared" si="183"/>
        <v>2.5895048321787455E-2</v>
      </c>
      <c r="BK107" s="44">
        <f t="shared" si="184"/>
        <v>1.1120299244687866E-2</v>
      </c>
      <c r="BL107" s="44">
        <f t="shared" si="185"/>
        <v>6.007360600912756E-3</v>
      </c>
      <c r="BM107" s="44">
        <f t="shared" si="186"/>
        <v>1.5282023858973082E-2</v>
      </c>
      <c r="BN107" s="44">
        <f t="shared" si="187"/>
        <v>1.5894495823685819E-2</v>
      </c>
      <c r="BO107" s="44">
        <f t="shared" si="188"/>
        <v>7.4487638698708773E-3</v>
      </c>
      <c r="BP107" s="44">
        <f t="shared" si="189"/>
        <v>2.5046302552503823E-2</v>
      </c>
      <c r="BQ107" s="44">
        <f t="shared" si="190"/>
        <v>6.7589602594784774E-3</v>
      </c>
      <c r="BR107" s="44">
        <f t="shared" si="191"/>
        <v>1.9967660551193714E-2</v>
      </c>
      <c r="BS107" s="44">
        <f t="shared" si="192"/>
        <v>1.0768824308387411E-2</v>
      </c>
      <c r="BT107" s="44">
        <f t="shared" si="193"/>
        <v>4.2615539256191964E-2</v>
      </c>
      <c r="BU107" s="44">
        <f t="shared" si="194"/>
        <v>4.0710663495539222E-2</v>
      </c>
      <c r="BV107" s="44">
        <f t="shared" si="195"/>
        <v>3.9097174338369844E-2</v>
      </c>
      <c r="BW107" s="44">
        <f t="shared" si="196"/>
        <v>2.5571703551109888E-2</v>
      </c>
      <c r="BX107" s="44">
        <f t="shared" si="197"/>
        <v>1.8891910220543349E-2</v>
      </c>
      <c r="BY107" s="44">
        <f t="shared" si="198"/>
        <v>1.6220876302861884E-2</v>
      </c>
      <c r="CA107" s="44" t="str">
        <f t="shared" si="199"/>
        <v/>
      </c>
      <c r="CB107" s="44" t="str">
        <f t="shared" si="200"/>
        <v/>
      </c>
      <c r="CC107" s="44" t="str">
        <f t="shared" si="201"/>
        <v/>
      </c>
      <c r="CD107" s="44" t="str">
        <f t="shared" si="202"/>
        <v/>
      </c>
      <c r="CE107" s="44" t="str">
        <f t="shared" si="203"/>
        <v/>
      </c>
      <c r="CF107" s="44" t="str">
        <f t="shared" si="204"/>
        <v/>
      </c>
      <c r="CG107" s="44" t="str">
        <f t="shared" si="205"/>
        <v/>
      </c>
      <c r="CH107" s="44" t="str">
        <f t="shared" si="206"/>
        <v/>
      </c>
      <c r="CI107" s="44" t="str">
        <f t="shared" si="207"/>
        <v/>
      </c>
      <c r="CJ107" s="44" t="str">
        <f t="shared" si="208"/>
        <v/>
      </c>
      <c r="CK107" s="44" t="str">
        <f t="shared" si="209"/>
        <v/>
      </c>
      <c r="CL107" s="44" t="str">
        <f t="shared" si="210"/>
        <v/>
      </c>
      <c r="CM107" s="44" t="str">
        <f t="shared" si="211"/>
        <v/>
      </c>
      <c r="CN107" s="44" t="str">
        <f t="shared" si="212"/>
        <v/>
      </c>
      <c r="CO107" s="44" t="str">
        <f t="shared" si="213"/>
        <v/>
      </c>
      <c r="CP107" s="44" t="str">
        <f t="shared" si="214"/>
        <v/>
      </c>
      <c r="CQ107" s="44" t="str">
        <f t="shared" si="215"/>
        <v/>
      </c>
      <c r="CR107" s="44" t="str">
        <f t="shared" si="216"/>
        <v/>
      </c>
      <c r="CS107" s="44" t="str">
        <f t="shared" si="217"/>
        <v/>
      </c>
      <c r="CT107" s="44" t="str">
        <f t="shared" si="218"/>
        <v/>
      </c>
      <c r="CV107" s="44">
        <f t="shared" si="219"/>
        <v>0</v>
      </c>
    </row>
    <row r="108" spans="1:100" x14ac:dyDescent="0.25">
      <c r="A108" s="41"/>
      <c r="B108" s="42"/>
      <c r="C108" s="43" t="str" cm="1">
        <f t="array" ref="C108">IF(B108="","",INDEX(UWS!$B$10:$B$41,B108))</f>
        <v/>
      </c>
      <c r="D108" s="40" t="str">
        <f t="shared" si="176"/>
        <v/>
      </c>
      <c r="E108" s="69" t="str">
        <f t="shared" si="177"/>
        <v/>
      </c>
      <c r="F108" s="48" cm="1">
        <f t="array" ref="F108">0.1+IFERROR(INDEX($F$5:$F107,SUMPRODUCT(MAX(ROW($C$5:$C107)*($C108=$C$5:$C107))-ROW($A$4)))*0.9^($A108-INDEX($A$5:A107,SUMPRODUCT(MAX(ROW($C$5:$C107)*($C108=$C$5:$C107))-ROW($A$4)))),0)</f>
        <v>4.3000000000000007</v>
      </c>
      <c r="G108" s="55" t="e">
        <f>INDEX(UWS!$AB$10:$AB$41,MATCH(C108,UWS!$B$10:$B$41,0))</f>
        <v>#N/A</v>
      </c>
      <c r="H108" s="48" t="e">
        <f>INDEX(UWS!$C$10:$C$41,MATCH(C108,UWS!$B$10:$B$41,0))</f>
        <v>#N/A</v>
      </c>
      <c r="I108" s="27">
        <f t="shared" si="178"/>
        <v>5</v>
      </c>
      <c r="J108" s="27" t="e">
        <f>INDEX(UWS!$E$10:$E$41,MATCH(C108,UWS!$B$10:$B$41,0))</f>
        <v>#N/A</v>
      </c>
      <c r="L108" s="108" t="str" cm="1">
        <f t="array" ref="L108">IF(K108="","",INDEX(UWS!$B$10:$B$41,K108))</f>
        <v/>
      </c>
      <c r="N108" s="108" t="str" cm="1">
        <f t="array" ref="N108">IF(M108="","",INDEX(UWS!$B$10:$B$41,M108))</f>
        <v/>
      </c>
      <c r="P108">
        <f>IFERROR(INDEX(UWS!$G$10:$Z$41,MATCH($C108,UWS!$B$10:$B$41,0),MATCH(P$4,UWS!$G$3:$Z$3,0)),0)</f>
        <v>0</v>
      </c>
      <c r="Q108">
        <f>IFERROR(INDEX(UWS!$G$10:$Z$41,MATCH($C108,UWS!$B$10:$B$41,0),MATCH(Q$4,UWS!$G$3:$Z$3,0)),0)</f>
        <v>0</v>
      </c>
      <c r="R108">
        <f>IFERROR(INDEX(UWS!$G$10:$Z$41,MATCH($C108,UWS!$B$10:$B$41,0),MATCH(R$4,UWS!$G$3:$Z$3,0)),0)</f>
        <v>0</v>
      </c>
      <c r="S108">
        <f>IFERROR(INDEX(UWS!$G$10:$Z$41,MATCH($C108,UWS!$B$10:$B$41,0),MATCH(S$4,UWS!$G$3:$Z$3,0)),0)</f>
        <v>0</v>
      </c>
      <c r="T108">
        <f>IFERROR(INDEX(UWS!$G$10:$Z$41,MATCH($C108,UWS!$B$10:$B$41,0),MATCH(T$4,UWS!$G$3:$Z$3,0)),0)</f>
        <v>0</v>
      </c>
      <c r="U108">
        <f>IFERROR(INDEX(UWS!$G$10:$Z$41,MATCH($C108,UWS!$B$10:$B$41,0),MATCH(U$4,UWS!$G$3:$Z$3,0)),0)</f>
        <v>0</v>
      </c>
      <c r="V108">
        <f>IFERROR(INDEX(UWS!$G$10:$Z$41,MATCH($C108,UWS!$B$10:$B$41,0),MATCH(V$4,UWS!$G$3:$Z$3,0)),0)</f>
        <v>0</v>
      </c>
      <c r="W108">
        <f>IFERROR(INDEX(UWS!$G$10:$Z$41,MATCH($C108,UWS!$B$10:$B$41,0),MATCH(W$4,UWS!$G$3:$Z$3,0)),0)</f>
        <v>0</v>
      </c>
      <c r="X108">
        <f>IFERROR(INDEX(UWS!$G$10:$Z$41,MATCH($C108,UWS!$B$10:$B$41,0),MATCH(X$4,UWS!$G$3:$Z$3,0)),0)</f>
        <v>0</v>
      </c>
      <c r="Y108">
        <f>IFERROR(INDEX(UWS!$G$10:$Z$41,MATCH($C108,UWS!$B$10:$B$41,0),MATCH(Y$4,UWS!$G$3:$Z$3,0)),0)</f>
        <v>0</v>
      </c>
      <c r="Z108">
        <f>IFERROR(INDEX(UWS!$G$10:$Z$41,MATCH($C108,UWS!$B$10:$B$41,0),MATCH(Z$4,UWS!$G$3:$Z$3,0)),0)</f>
        <v>0</v>
      </c>
      <c r="AA108">
        <f>IFERROR(INDEX(UWS!$G$10:$Z$41,MATCH($C108,UWS!$B$10:$B$41,0),MATCH(AA$4,UWS!$G$3:$Z$3,0)),0)</f>
        <v>0</v>
      </c>
      <c r="AB108">
        <f>IFERROR(INDEX(UWS!$G$10:$Z$41,MATCH($C108,UWS!$B$10:$B$41,0),MATCH(AB$4,UWS!$G$3:$Z$3,0)),0)</f>
        <v>0</v>
      </c>
      <c r="AC108">
        <f>IFERROR(INDEX(UWS!$G$10:$Z$41,MATCH($C108,UWS!$B$10:$B$41,0),MATCH(AC$4,UWS!$G$3:$Z$3,0)),0)</f>
        <v>0</v>
      </c>
      <c r="AD108">
        <f>IFERROR(INDEX(UWS!$G$10:$Z$41,MATCH($C108,UWS!$B$10:$B$41,0),MATCH(AD$4,UWS!$G$3:$Z$3,0)),0)</f>
        <v>0</v>
      </c>
      <c r="AE108">
        <f>IFERROR(INDEX(UWS!$G$10:$Z$41,MATCH($C108,UWS!$B$10:$B$41,0),MATCH(AE$4,UWS!$G$3:$Z$3,0)),0)</f>
        <v>0</v>
      </c>
      <c r="AF108">
        <f>IFERROR(INDEX(UWS!$G$10:$Z$41,MATCH($C108,UWS!$B$10:$B$41,0),MATCH(AF$4,UWS!$G$3:$Z$3,0)),0)</f>
        <v>0</v>
      </c>
      <c r="AG108">
        <f>IFERROR(INDEX(UWS!$G$10:$Z$41,MATCH($C108,UWS!$B$10:$B$41,0),MATCH(AG$4,UWS!$G$3:$Z$3,0)),0)</f>
        <v>0</v>
      </c>
      <c r="AH108">
        <f>IFERROR(INDEX(UWS!$G$10:$Z$41,MATCH($C108,UWS!$B$10:$B$41,0),MATCH(AH$4,UWS!$G$3:$Z$3,0)),0)</f>
        <v>0</v>
      </c>
      <c r="AI108">
        <f>IFERROR(INDEX(UWS!$G$10:$Z$41,MATCH($C108,UWS!$B$10:$B$41,0),MATCH(AI$4,UWS!$G$3:$Z$3,0)),0)</f>
        <v>0</v>
      </c>
      <c r="AK108" t="e">
        <f>IF(OR($J108=0,COUNTIFS($A$4:$A107,"&gt;="&amp;$A108-1,$A$4:$A107,"&lt;="&amp;$A108,$B$4:$B107,$B108)&gt;0,MIN(AK$1,IF($A108=$A107,AK107,1))-P108&lt;0),-1,MIN(1,IF($A108=$A107,AK107,1)-P108+$D$3))</f>
        <v>#N/A</v>
      </c>
      <c r="AL108" t="e">
        <f>IF(OR($J108=0,COUNTIFS($A$4:$A107,"&gt;="&amp;$A108-1,$A$4:$A107,"&lt;="&amp;$A108,$B$4:$B107,$B108)&gt;0,MIN(AL$1,IF($A108=$A107,AL107,1))-Q108&lt;0),-1,MIN(1,IF($A108=$A107,AL107,1)-Q108+$D$3))</f>
        <v>#N/A</v>
      </c>
      <c r="AM108" t="e">
        <f>IF(OR($J108=0,COUNTIFS($A$4:$A107,"&gt;="&amp;$A108-1,$A$4:$A107,"&lt;="&amp;$A108,$B$4:$B107,$B108)&gt;0,MIN(AM$1,IF($A108=$A107,AM107,1))-R108&lt;0),-1,MIN(1,IF($A108=$A107,AM107,1)-R108+$D$3))</f>
        <v>#N/A</v>
      </c>
      <c r="AN108" t="e">
        <f>IF(OR($J108=0,COUNTIFS($A$4:$A107,"&gt;="&amp;$A108-1,$A$4:$A107,"&lt;="&amp;$A108,$B$4:$B107,$B108)&gt;0,MIN(AN$1,IF($A108=$A107,AN107,1))-S108&lt;0),-1,MIN(1,IF($A108=$A107,AN107,1)-S108+$D$3))</f>
        <v>#N/A</v>
      </c>
      <c r="AO108" t="e">
        <f>IF(OR($J108=0,COUNTIFS($A$4:$A107,"&gt;="&amp;$A108-1,$A$4:$A107,"&lt;="&amp;$A108,$B$4:$B107,$B108)&gt;0,MIN(AO$1,IF($A108=$A107,AO107,1))-T108&lt;0),-1,MIN(1,IF($A108=$A107,AO107,1)-T108+$D$3))</f>
        <v>#N/A</v>
      </c>
      <c r="AP108" t="e">
        <f>IF(OR($J108=0,COUNTIFS($A$4:$A107,"&gt;="&amp;$A108-1,$A$4:$A107,"&lt;="&amp;$A108,$B$4:$B107,$B108)&gt;0,MIN(AP$1,IF($A108=$A107,AP107,1))-U108&lt;0),-1,MIN(1,IF($A108=$A107,AP107,1)-U108+$D$3))</f>
        <v>#N/A</v>
      </c>
      <c r="AQ108" t="e">
        <f>IF(OR($J108=0,COUNTIFS($A$4:$A107,"&gt;="&amp;$A108-1,$A$4:$A107,"&lt;="&amp;$A108,$B$4:$B107,$B108)&gt;0,MIN(AQ$1,IF($A108=$A107,AQ107,1))-V108&lt;0),-1,MIN(1,IF($A108=$A107,AQ107,1)-V108+$D$3))</f>
        <v>#N/A</v>
      </c>
      <c r="AR108" t="e">
        <f>IF(OR($J108=0,COUNTIFS($A$4:$A107,"&gt;="&amp;$A108-1,$A$4:$A107,"&lt;="&amp;$A108,$B$4:$B107,$B108)&gt;0,MIN(AR$1,IF($A108=$A107,AR107,1))-W108&lt;0),-1,MIN(1,IF($A108=$A107,AR107,1)-W108+$D$3))</f>
        <v>#N/A</v>
      </c>
      <c r="AS108" t="e">
        <f>IF(OR($J108=0,COUNTIFS($A$4:$A107,"&gt;="&amp;$A108-1,$A$4:$A107,"&lt;="&amp;$A108,$B$4:$B107,$B108)&gt;0,MIN(AS$1,IF($A108=$A107,AS107,1))-X108&lt;0),-1,MIN(1,IF($A108=$A107,AS107,1)-X108+$D$3))</f>
        <v>#N/A</v>
      </c>
      <c r="AT108" t="e">
        <f>IF(OR($J108=0,COUNTIFS($A$4:$A107,"&gt;="&amp;$A108-1,$A$4:$A107,"&lt;="&amp;$A108,$B$4:$B107,$B108)&gt;0,MIN(AT$1,IF($A108=$A107,AT107,1))-Y108&lt;0),-1,MIN(1,IF($A108=$A107,AT107,1)-Y108+$D$3))</f>
        <v>#N/A</v>
      </c>
      <c r="AU108" t="e">
        <f>IF(OR($J108=0,COUNTIFS($A$4:$A107,"&gt;="&amp;$A108-1,$A$4:$A107,"&lt;="&amp;$A108,$B$4:$B107,$B108)&gt;0,MIN(AU$1,IF($A108=$A107,AU107,1))-Z108&lt;0),-1,MIN(1,IF($A108=$A107,AU107,1)-Z108+$D$3))</f>
        <v>#N/A</v>
      </c>
      <c r="AV108" t="e">
        <f>IF(OR($J108=0,COUNTIFS($A$4:$A107,"&gt;="&amp;$A108-1,$A$4:$A107,"&lt;="&amp;$A108,$B$4:$B107,$B108)&gt;0,MIN(AV$1,IF($A108=$A107,AV107,1))-AA108&lt;0),-1,MIN(1,IF($A108=$A107,AV107,1)-AA108+$D$3))</f>
        <v>#N/A</v>
      </c>
      <c r="AW108" t="e">
        <f>IF(OR($J108=0,COUNTIFS($A$4:$A107,"&gt;="&amp;$A108-1,$A$4:$A107,"&lt;="&amp;$A108,$B$4:$B107,$B108)&gt;0,MIN(AW$1,IF($A108=$A107,AW107,1))-AB108&lt;0),-1,MIN(1,IF($A108=$A107,AW107,1)-AB108+$D$3))</f>
        <v>#N/A</v>
      </c>
      <c r="AX108" t="e">
        <f>IF(OR($J108=0,COUNTIFS($A$4:$A107,"&gt;="&amp;$A108-1,$A$4:$A107,"&lt;="&amp;$A108,$B$4:$B107,$B108)&gt;0,MIN(AX$1,IF($A108=$A107,AX107,1))-AC108&lt;0),-1,MIN(1,IF($A108=$A107,AX107,1)-AC108+$D$3))</f>
        <v>#N/A</v>
      </c>
      <c r="AY108" t="e">
        <f>IF(OR($J108=0,COUNTIFS($A$4:$A107,"&gt;="&amp;$A108-1,$A$4:$A107,"&lt;="&amp;$A108,$B$4:$B107,$B108)&gt;0,MIN(AY$1,IF($A108=$A107,AY107,1))-AD108&lt;0),-1,MIN(1,IF($A108=$A107,AY107,1)-AD108+$D$3))</f>
        <v>#N/A</v>
      </c>
      <c r="AZ108" t="e">
        <f>IF(OR($J108=0,COUNTIFS($A$4:$A107,"&gt;="&amp;$A108-1,$A$4:$A107,"&lt;="&amp;$A108,$B$4:$B107,$B108)&gt;0,MIN(AZ$1,IF($A108=$A107,AZ107,1))-AE108&lt;0),-1,MIN(1,IF($A108=$A107,AZ107,1)-AE108+$D$3))</f>
        <v>#N/A</v>
      </c>
      <c r="BA108" t="e">
        <f>IF(OR($J108=0,COUNTIFS($A$4:$A107,"&gt;="&amp;$A108-1,$A$4:$A107,"&lt;="&amp;$A108,$B$4:$B107,$B108)&gt;0,MIN(BA$1,IF($A108=$A107,BA107,1))-AF108&lt;0),-1,MIN(1,IF($A108=$A107,BA107,1)-AF108+$D$3))</f>
        <v>#N/A</v>
      </c>
      <c r="BB108" t="e">
        <f>IF(OR($J108=0,COUNTIFS($A$4:$A107,"&gt;="&amp;$A108-1,$A$4:$A107,"&lt;="&amp;$A108,$B$4:$B107,$B108)&gt;0,MIN(BB$1,IF($A108=$A107,BB107,1))-AG108&lt;0),-1,MIN(1,IF($A108=$A107,BB107,1)-AG108+$D$3))</f>
        <v>#N/A</v>
      </c>
      <c r="BC108" t="e">
        <f>IF(OR($J108=0,COUNTIFS($A$4:$A107,"&gt;="&amp;$A108-1,$A$4:$A107,"&lt;="&amp;$A108,$B$4:$B107,$B108)&gt;0,MIN(BC$1,IF($A108=$A107,BC107,1))-AH108&lt;0),-1,MIN(1,IF($A108=$A107,BC107,1)-AH108+$D$3))</f>
        <v>#N/A</v>
      </c>
      <c r="BD108" t="e">
        <f>IF(OR($J108=0,COUNTIFS($A$4:$A107,"&gt;="&amp;$A108-1,$A$4:$A107,"&lt;="&amp;$A108,$B$4:$B107,$B108)&gt;0,MIN(BD$1,IF($A108=$A107,BD107,1))-AI108&lt;0),-1,MIN(1,IF($A108=$A107,BD107,1)-AI108+$D$3))</f>
        <v>#N/A</v>
      </c>
      <c r="BF108" s="44">
        <f t="shared" si="179"/>
        <v>1.0222587670028451E-2</v>
      </c>
      <c r="BG108" s="44">
        <f t="shared" si="180"/>
        <v>2.5140227703283401E-2</v>
      </c>
      <c r="BH108" s="44">
        <f t="shared" si="181"/>
        <v>2.5766088902901444E-2</v>
      </c>
      <c r="BI108" s="44">
        <f t="shared" si="182"/>
        <v>2.3800712493675508E-2</v>
      </c>
      <c r="BJ108" s="44">
        <f t="shared" si="183"/>
        <v>2.460029590569808E-2</v>
      </c>
      <c r="BK108" s="44">
        <f t="shared" si="184"/>
        <v>1.0564284282453472E-2</v>
      </c>
      <c r="BL108" s="44">
        <f t="shared" si="185"/>
        <v>5.7069925708671176E-3</v>
      </c>
      <c r="BM108" s="44">
        <f t="shared" si="186"/>
        <v>1.4517922666024427E-2</v>
      </c>
      <c r="BN108" s="44">
        <f t="shared" si="187"/>
        <v>1.5099771032501527E-2</v>
      </c>
      <c r="BO108" s="44">
        <f t="shared" si="188"/>
        <v>7.0763256763773331E-3</v>
      </c>
      <c r="BP108" s="44">
        <f t="shared" si="189"/>
        <v>2.3793987424878631E-2</v>
      </c>
      <c r="BQ108" s="44">
        <f t="shared" si="190"/>
        <v>6.4210122465045531E-3</v>
      </c>
      <c r="BR108" s="44">
        <f t="shared" si="191"/>
        <v>1.8969277523634028E-2</v>
      </c>
      <c r="BS108" s="44">
        <f t="shared" si="192"/>
        <v>1.023038309296804E-2</v>
      </c>
      <c r="BT108" s="44">
        <f t="shared" si="193"/>
        <v>4.0484762293382368E-2</v>
      </c>
      <c r="BU108" s="44">
        <f t="shared" si="194"/>
        <v>3.8675130320762259E-2</v>
      </c>
      <c r="BV108" s="44">
        <f t="shared" si="195"/>
        <v>3.7142315621451351E-2</v>
      </c>
      <c r="BW108" s="44">
        <f t="shared" si="196"/>
        <v>2.4293118373554391E-2</v>
      </c>
      <c r="BX108" s="44">
        <f t="shared" si="197"/>
        <v>1.7947314709516181E-2</v>
      </c>
      <c r="BY108" s="44">
        <f t="shared" si="198"/>
        <v>1.5409832487718789E-2</v>
      </c>
      <c r="CA108" s="44" t="str">
        <f t="shared" si="199"/>
        <v/>
      </c>
      <c r="CB108" s="44" t="str">
        <f t="shared" si="200"/>
        <v/>
      </c>
      <c r="CC108" s="44" t="str">
        <f t="shared" si="201"/>
        <v/>
      </c>
      <c r="CD108" s="44" t="str">
        <f t="shared" si="202"/>
        <v/>
      </c>
      <c r="CE108" s="44" t="str">
        <f t="shared" si="203"/>
        <v/>
      </c>
      <c r="CF108" s="44" t="str">
        <f t="shared" si="204"/>
        <v/>
      </c>
      <c r="CG108" s="44" t="str">
        <f t="shared" si="205"/>
        <v/>
      </c>
      <c r="CH108" s="44" t="str">
        <f t="shared" si="206"/>
        <v/>
      </c>
      <c r="CI108" s="44" t="str">
        <f t="shared" si="207"/>
        <v/>
      </c>
      <c r="CJ108" s="44" t="str">
        <f t="shared" si="208"/>
        <v/>
      </c>
      <c r="CK108" s="44" t="str">
        <f t="shared" si="209"/>
        <v/>
      </c>
      <c r="CL108" s="44" t="str">
        <f t="shared" si="210"/>
        <v/>
      </c>
      <c r="CM108" s="44" t="str">
        <f t="shared" si="211"/>
        <v/>
      </c>
      <c r="CN108" s="44" t="str">
        <f t="shared" si="212"/>
        <v/>
      </c>
      <c r="CO108" s="44" t="str">
        <f t="shared" si="213"/>
        <v/>
      </c>
      <c r="CP108" s="44" t="str">
        <f t="shared" si="214"/>
        <v/>
      </c>
      <c r="CQ108" s="44" t="str">
        <f t="shared" si="215"/>
        <v/>
      </c>
      <c r="CR108" s="44" t="str">
        <f t="shared" si="216"/>
        <v/>
      </c>
      <c r="CS108" s="44" t="str">
        <f t="shared" si="217"/>
        <v/>
      </c>
      <c r="CT108" s="44" t="str">
        <f t="shared" si="218"/>
        <v/>
      </c>
      <c r="CV108" s="44">
        <f t="shared" si="219"/>
        <v>0</v>
      </c>
    </row>
    <row r="109" spans="1:100" x14ac:dyDescent="0.25">
      <c r="A109" s="41"/>
      <c r="B109" s="42"/>
      <c r="C109" s="43" t="str" cm="1">
        <f t="array" ref="C109">IF(B109="","",INDEX(UWS!$B$10:$B$41,B109))</f>
        <v/>
      </c>
      <c r="D109" s="40" t="str">
        <f t="shared" si="176"/>
        <v/>
      </c>
      <c r="E109" s="69" t="str">
        <f t="shared" si="177"/>
        <v/>
      </c>
      <c r="F109" s="48" cm="1">
        <f t="array" ref="F109">0.1+IFERROR(INDEX($F$5:$F108,SUMPRODUCT(MAX(ROW($C$5:$C108)*($C109=$C$5:$C108))-ROW($A$4)))*0.9^($A109-INDEX($A$5:A108,SUMPRODUCT(MAX(ROW($C$5:$C108)*($C109=$C$5:$C108))-ROW($A$4)))),0)</f>
        <v>4.4000000000000004</v>
      </c>
      <c r="G109" s="55" t="e">
        <f>INDEX(UWS!$AB$10:$AB$41,MATCH(C109,UWS!$B$10:$B$41,0))</f>
        <v>#N/A</v>
      </c>
      <c r="H109" s="48" t="e">
        <f>INDEX(UWS!$C$10:$C$41,MATCH(C109,UWS!$B$10:$B$41,0))</f>
        <v>#N/A</v>
      </c>
      <c r="I109" s="27">
        <f t="shared" si="178"/>
        <v>5</v>
      </c>
      <c r="J109" s="27" t="e">
        <f>INDEX(UWS!$E$10:$E$41,MATCH(C109,UWS!$B$10:$B$41,0))</f>
        <v>#N/A</v>
      </c>
      <c r="L109" s="108" t="str" cm="1">
        <f t="array" ref="L109">IF(K109="","",INDEX(UWS!$B$10:$B$41,K109))</f>
        <v/>
      </c>
      <c r="N109" s="108" t="str" cm="1">
        <f t="array" ref="N109">IF(M109="","",INDEX(UWS!$B$10:$B$41,M109))</f>
        <v/>
      </c>
      <c r="P109">
        <f>IFERROR(INDEX(UWS!$G$10:$Z$41,MATCH($C109,UWS!$B$10:$B$41,0),MATCH(P$4,UWS!$G$3:$Z$3,0)),0)</f>
        <v>0</v>
      </c>
      <c r="Q109">
        <f>IFERROR(INDEX(UWS!$G$10:$Z$41,MATCH($C109,UWS!$B$10:$B$41,0),MATCH(Q$4,UWS!$G$3:$Z$3,0)),0)</f>
        <v>0</v>
      </c>
      <c r="R109">
        <f>IFERROR(INDEX(UWS!$G$10:$Z$41,MATCH($C109,UWS!$B$10:$B$41,0),MATCH(R$4,UWS!$G$3:$Z$3,0)),0)</f>
        <v>0</v>
      </c>
      <c r="S109">
        <f>IFERROR(INDEX(UWS!$G$10:$Z$41,MATCH($C109,UWS!$B$10:$B$41,0),MATCH(S$4,UWS!$G$3:$Z$3,0)),0)</f>
        <v>0</v>
      </c>
      <c r="T109">
        <f>IFERROR(INDEX(UWS!$G$10:$Z$41,MATCH($C109,UWS!$B$10:$B$41,0),MATCH(T$4,UWS!$G$3:$Z$3,0)),0)</f>
        <v>0</v>
      </c>
      <c r="U109">
        <f>IFERROR(INDEX(UWS!$G$10:$Z$41,MATCH($C109,UWS!$B$10:$B$41,0),MATCH(U$4,UWS!$G$3:$Z$3,0)),0)</f>
        <v>0</v>
      </c>
      <c r="V109">
        <f>IFERROR(INDEX(UWS!$G$10:$Z$41,MATCH($C109,UWS!$B$10:$B$41,0),MATCH(V$4,UWS!$G$3:$Z$3,0)),0)</f>
        <v>0</v>
      </c>
      <c r="W109">
        <f>IFERROR(INDEX(UWS!$G$10:$Z$41,MATCH($C109,UWS!$B$10:$B$41,0),MATCH(W$4,UWS!$G$3:$Z$3,0)),0)</f>
        <v>0</v>
      </c>
      <c r="X109">
        <f>IFERROR(INDEX(UWS!$G$10:$Z$41,MATCH($C109,UWS!$B$10:$B$41,0),MATCH(X$4,UWS!$G$3:$Z$3,0)),0)</f>
        <v>0</v>
      </c>
      <c r="Y109">
        <f>IFERROR(INDEX(UWS!$G$10:$Z$41,MATCH($C109,UWS!$B$10:$B$41,0),MATCH(Y$4,UWS!$G$3:$Z$3,0)),0)</f>
        <v>0</v>
      </c>
      <c r="Z109">
        <f>IFERROR(INDEX(UWS!$G$10:$Z$41,MATCH($C109,UWS!$B$10:$B$41,0),MATCH(Z$4,UWS!$G$3:$Z$3,0)),0)</f>
        <v>0</v>
      </c>
      <c r="AA109">
        <f>IFERROR(INDEX(UWS!$G$10:$Z$41,MATCH($C109,UWS!$B$10:$B$41,0),MATCH(AA$4,UWS!$G$3:$Z$3,0)),0)</f>
        <v>0</v>
      </c>
      <c r="AB109">
        <f>IFERROR(INDEX(UWS!$G$10:$Z$41,MATCH($C109,UWS!$B$10:$B$41,0),MATCH(AB$4,UWS!$G$3:$Z$3,0)),0)</f>
        <v>0</v>
      </c>
      <c r="AC109">
        <f>IFERROR(INDEX(UWS!$G$10:$Z$41,MATCH($C109,UWS!$B$10:$B$41,0),MATCH(AC$4,UWS!$G$3:$Z$3,0)),0)</f>
        <v>0</v>
      </c>
      <c r="AD109">
        <f>IFERROR(INDEX(UWS!$G$10:$Z$41,MATCH($C109,UWS!$B$10:$B$41,0),MATCH(AD$4,UWS!$G$3:$Z$3,0)),0)</f>
        <v>0</v>
      </c>
      <c r="AE109">
        <f>IFERROR(INDEX(UWS!$G$10:$Z$41,MATCH($C109,UWS!$B$10:$B$41,0),MATCH(AE$4,UWS!$G$3:$Z$3,0)),0)</f>
        <v>0</v>
      </c>
      <c r="AF109">
        <f>IFERROR(INDEX(UWS!$G$10:$Z$41,MATCH($C109,UWS!$B$10:$B$41,0),MATCH(AF$4,UWS!$G$3:$Z$3,0)),0)</f>
        <v>0</v>
      </c>
      <c r="AG109">
        <f>IFERROR(INDEX(UWS!$G$10:$Z$41,MATCH($C109,UWS!$B$10:$B$41,0),MATCH(AG$4,UWS!$G$3:$Z$3,0)),0)</f>
        <v>0</v>
      </c>
      <c r="AH109">
        <f>IFERROR(INDEX(UWS!$G$10:$Z$41,MATCH($C109,UWS!$B$10:$B$41,0),MATCH(AH$4,UWS!$G$3:$Z$3,0)),0)</f>
        <v>0</v>
      </c>
      <c r="AI109">
        <f>IFERROR(INDEX(UWS!$G$10:$Z$41,MATCH($C109,UWS!$B$10:$B$41,0),MATCH(AI$4,UWS!$G$3:$Z$3,0)),0)</f>
        <v>0</v>
      </c>
      <c r="AK109" t="e">
        <f>IF(OR($J109=0,COUNTIFS($A$4:$A108,"&gt;="&amp;$A109-1,$A$4:$A108,"&lt;="&amp;$A109,$B$4:$B108,$B109)&gt;0,MIN(AK$1,IF($A109=$A108,AK108,1))-P109&lt;0),-1,MIN(1,IF($A109=$A108,AK108,1)-P109+$D$3))</f>
        <v>#N/A</v>
      </c>
      <c r="AL109" t="e">
        <f>IF(OR($J109=0,COUNTIFS($A$4:$A108,"&gt;="&amp;$A109-1,$A$4:$A108,"&lt;="&amp;$A109,$B$4:$B108,$B109)&gt;0,MIN(AL$1,IF($A109=$A108,AL108,1))-Q109&lt;0),-1,MIN(1,IF($A109=$A108,AL108,1)-Q109+$D$3))</f>
        <v>#N/A</v>
      </c>
      <c r="AM109" t="e">
        <f>IF(OR($J109=0,COUNTIFS($A$4:$A108,"&gt;="&amp;$A109-1,$A$4:$A108,"&lt;="&amp;$A109,$B$4:$B108,$B109)&gt;0,MIN(AM$1,IF($A109=$A108,AM108,1))-R109&lt;0),-1,MIN(1,IF($A109=$A108,AM108,1)-R109+$D$3))</f>
        <v>#N/A</v>
      </c>
      <c r="AN109" t="e">
        <f>IF(OR($J109=0,COUNTIFS($A$4:$A108,"&gt;="&amp;$A109-1,$A$4:$A108,"&lt;="&amp;$A109,$B$4:$B108,$B109)&gt;0,MIN(AN$1,IF($A109=$A108,AN108,1))-S109&lt;0),-1,MIN(1,IF($A109=$A108,AN108,1)-S109+$D$3))</f>
        <v>#N/A</v>
      </c>
      <c r="AO109" t="e">
        <f>IF(OR($J109=0,COUNTIFS($A$4:$A108,"&gt;="&amp;$A109-1,$A$4:$A108,"&lt;="&amp;$A109,$B$4:$B108,$B109)&gt;0,MIN(AO$1,IF($A109=$A108,AO108,1))-T109&lt;0),-1,MIN(1,IF($A109=$A108,AO108,1)-T109+$D$3))</f>
        <v>#N/A</v>
      </c>
      <c r="AP109" t="e">
        <f>IF(OR($J109=0,COUNTIFS($A$4:$A108,"&gt;="&amp;$A109-1,$A$4:$A108,"&lt;="&amp;$A109,$B$4:$B108,$B109)&gt;0,MIN(AP$1,IF($A109=$A108,AP108,1))-U109&lt;0),-1,MIN(1,IF($A109=$A108,AP108,1)-U109+$D$3))</f>
        <v>#N/A</v>
      </c>
      <c r="AQ109" t="e">
        <f>IF(OR($J109=0,COUNTIFS($A$4:$A108,"&gt;="&amp;$A109-1,$A$4:$A108,"&lt;="&amp;$A109,$B$4:$B108,$B109)&gt;0,MIN(AQ$1,IF($A109=$A108,AQ108,1))-V109&lt;0),-1,MIN(1,IF($A109=$A108,AQ108,1)-V109+$D$3))</f>
        <v>#N/A</v>
      </c>
      <c r="AR109" t="e">
        <f>IF(OR($J109=0,COUNTIFS($A$4:$A108,"&gt;="&amp;$A109-1,$A$4:$A108,"&lt;="&amp;$A109,$B$4:$B108,$B109)&gt;0,MIN(AR$1,IF($A109=$A108,AR108,1))-W109&lt;0),-1,MIN(1,IF($A109=$A108,AR108,1)-W109+$D$3))</f>
        <v>#N/A</v>
      </c>
      <c r="AS109" t="e">
        <f>IF(OR($J109=0,COUNTIFS($A$4:$A108,"&gt;="&amp;$A109-1,$A$4:$A108,"&lt;="&amp;$A109,$B$4:$B108,$B109)&gt;0,MIN(AS$1,IF($A109=$A108,AS108,1))-X109&lt;0),-1,MIN(1,IF($A109=$A108,AS108,1)-X109+$D$3))</f>
        <v>#N/A</v>
      </c>
      <c r="AT109" t="e">
        <f>IF(OR($J109=0,COUNTIFS($A$4:$A108,"&gt;="&amp;$A109-1,$A$4:$A108,"&lt;="&amp;$A109,$B$4:$B108,$B109)&gt;0,MIN(AT$1,IF($A109=$A108,AT108,1))-Y109&lt;0),-1,MIN(1,IF($A109=$A108,AT108,1)-Y109+$D$3))</f>
        <v>#N/A</v>
      </c>
      <c r="AU109" t="e">
        <f>IF(OR($J109=0,COUNTIFS($A$4:$A108,"&gt;="&amp;$A109-1,$A$4:$A108,"&lt;="&amp;$A109,$B$4:$B108,$B109)&gt;0,MIN(AU$1,IF($A109=$A108,AU108,1))-Z109&lt;0),-1,MIN(1,IF($A109=$A108,AU108,1)-Z109+$D$3))</f>
        <v>#N/A</v>
      </c>
      <c r="AV109" t="e">
        <f>IF(OR($J109=0,COUNTIFS($A$4:$A108,"&gt;="&amp;$A109-1,$A$4:$A108,"&lt;="&amp;$A109,$B$4:$B108,$B109)&gt;0,MIN(AV$1,IF($A109=$A108,AV108,1))-AA109&lt;0),-1,MIN(1,IF($A109=$A108,AV108,1)-AA109+$D$3))</f>
        <v>#N/A</v>
      </c>
      <c r="AW109" t="e">
        <f>IF(OR($J109=0,COUNTIFS($A$4:$A108,"&gt;="&amp;$A109-1,$A$4:$A108,"&lt;="&amp;$A109,$B$4:$B108,$B109)&gt;0,MIN(AW$1,IF($A109=$A108,AW108,1))-AB109&lt;0),-1,MIN(1,IF($A109=$A108,AW108,1)-AB109+$D$3))</f>
        <v>#N/A</v>
      </c>
      <c r="AX109" t="e">
        <f>IF(OR($J109=0,COUNTIFS($A$4:$A108,"&gt;="&amp;$A109-1,$A$4:$A108,"&lt;="&amp;$A109,$B$4:$B108,$B109)&gt;0,MIN(AX$1,IF($A109=$A108,AX108,1))-AC109&lt;0),-1,MIN(1,IF($A109=$A108,AX108,1)-AC109+$D$3))</f>
        <v>#N/A</v>
      </c>
      <c r="AY109" t="e">
        <f>IF(OR($J109=0,COUNTIFS($A$4:$A108,"&gt;="&amp;$A109-1,$A$4:$A108,"&lt;="&amp;$A109,$B$4:$B108,$B109)&gt;0,MIN(AY$1,IF($A109=$A108,AY108,1))-AD109&lt;0),-1,MIN(1,IF($A109=$A108,AY108,1)-AD109+$D$3))</f>
        <v>#N/A</v>
      </c>
      <c r="AZ109" t="e">
        <f>IF(OR($J109=0,COUNTIFS($A$4:$A108,"&gt;="&amp;$A109-1,$A$4:$A108,"&lt;="&amp;$A109,$B$4:$B108,$B109)&gt;0,MIN(AZ$1,IF($A109=$A108,AZ108,1))-AE109&lt;0),-1,MIN(1,IF($A109=$A108,AZ108,1)-AE109+$D$3))</f>
        <v>#N/A</v>
      </c>
      <c r="BA109" t="e">
        <f>IF(OR($J109=0,COUNTIFS($A$4:$A108,"&gt;="&amp;$A109-1,$A$4:$A108,"&lt;="&amp;$A109,$B$4:$B108,$B109)&gt;0,MIN(BA$1,IF($A109=$A108,BA108,1))-AF109&lt;0),-1,MIN(1,IF($A109=$A108,BA108,1)-AF109+$D$3))</f>
        <v>#N/A</v>
      </c>
      <c r="BB109" t="e">
        <f>IF(OR($J109=0,COUNTIFS($A$4:$A108,"&gt;="&amp;$A109-1,$A$4:$A108,"&lt;="&amp;$A109,$B$4:$B108,$B109)&gt;0,MIN(BB$1,IF($A109=$A108,BB108,1))-AG109&lt;0),-1,MIN(1,IF($A109=$A108,BB108,1)-AG109+$D$3))</f>
        <v>#N/A</v>
      </c>
      <c r="BC109" t="e">
        <f>IF(OR($J109=0,COUNTIFS($A$4:$A108,"&gt;="&amp;$A109-1,$A$4:$A108,"&lt;="&amp;$A109,$B$4:$B108,$B109)&gt;0,MIN(BC$1,IF($A109=$A108,BC108,1))-AH109&lt;0),-1,MIN(1,IF($A109=$A108,BC108,1)-AH109+$D$3))</f>
        <v>#N/A</v>
      </c>
      <c r="BD109" t="e">
        <f>IF(OR($J109=0,COUNTIFS($A$4:$A108,"&gt;="&amp;$A109-1,$A$4:$A108,"&lt;="&amp;$A109,$B$4:$B108,$B109)&gt;0,MIN(BD$1,IF($A109=$A108,BD108,1))-AI109&lt;0),-1,MIN(1,IF($A109=$A108,BD108,1)-AI109+$D$3))</f>
        <v>#N/A</v>
      </c>
      <c r="BF109" s="44">
        <f t="shared" si="179"/>
        <v>9.7114582865270287E-3</v>
      </c>
      <c r="BG109" s="44">
        <f t="shared" si="180"/>
        <v>2.3883216318119231E-2</v>
      </c>
      <c r="BH109" s="44">
        <f t="shared" si="181"/>
        <v>2.447778445775637E-2</v>
      </c>
      <c r="BI109" s="44">
        <f t="shared" si="182"/>
        <v>2.2610676868991732E-2</v>
      </c>
      <c r="BJ109" s="44">
        <f t="shared" si="183"/>
        <v>2.3370281110413175E-2</v>
      </c>
      <c r="BK109" s="44">
        <f t="shared" si="184"/>
        <v>1.0036070068330799E-2</v>
      </c>
      <c r="BL109" s="44">
        <f t="shared" si="185"/>
        <v>5.4216429423237615E-3</v>
      </c>
      <c r="BM109" s="44">
        <f t="shared" si="186"/>
        <v>1.3792026532723205E-2</v>
      </c>
      <c r="BN109" s="44">
        <f t="shared" si="187"/>
        <v>1.434478248087645E-2</v>
      </c>
      <c r="BO109" s="44">
        <f t="shared" si="188"/>
        <v>6.7225093925584664E-3</v>
      </c>
      <c r="BP109" s="44">
        <f t="shared" si="189"/>
        <v>2.2604288053634698E-2</v>
      </c>
      <c r="BQ109" s="44">
        <f t="shared" si="190"/>
        <v>6.0999616341793255E-3</v>
      </c>
      <c r="BR109" s="44">
        <f t="shared" si="191"/>
        <v>1.8020813647452325E-2</v>
      </c>
      <c r="BS109" s="44">
        <f t="shared" si="192"/>
        <v>9.7188639383196385E-3</v>
      </c>
      <c r="BT109" s="44">
        <f t="shared" si="193"/>
        <v>3.8460524178713248E-2</v>
      </c>
      <c r="BU109" s="44">
        <f t="shared" si="194"/>
        <v>3.6741373804724142E-2</v>
      </c>
      <c r="BV109" s="44">
        <f t="shared" si="195"/>
        <v>3.5285199840378784E-2</v>
      </c>
      <c r="BW109" s="44">
        <f t="shared" si="196"/>
        <v>2.3078462454876672E-2</v>
      </c>
      <c r="BX109" s="44">
        <f t="shared" si="197"/>
        <v>1.7049948974040371E-2</v>
      </c>
      <c r="BY109" s="44">
        <f t="shared" si="198"/>
        <v>1.4639340863332849E-2</v>
      </c>
      <c r="CA109" s="44" t="str">
        <f t="shared" si="199"/>
        <v/>
      </c>
      <c r="CB109" s="44" t="str">
        <f t="shared" si="200"/>
        <v/>
      </c>
      <c r="CC109" s="44" t="str">
        <f t="shared" si="201"/>
        <v/>
      </c>
      <c r="CD109" s="44" t="str">
        <f t="shared" si="202"/>
        <v/>
      </c>
      <c r="CE109" s="44" t="str">
        <f t="shared" si="203"/>
        <v/>
      </c>
      <c r="CF109" s="44" t="str">
        <f t="shared" si="204"/>
        <v/>
      </c>
      <c r="CG109" s="44" t="str">
        <f t="shared" si="205"/>
        <v/>
      </c>
      <c r="CH109" s="44" t="str">
        <f t="shared" si="206"/>
        <v/>
      </c>
      <c r="CI109" s="44" t="str">
        <f t="shared" si="207"/>
        <v/>
      </c>
      <c r="CJ109" s="44" t="str">
        <f t="shared" si="208"/>
        <v/>
      </c>
      <c r="CK109" s="44" t="str">
        <f t="shared" si="209"/>
        <v/>
      </c>
      <c r="CL109" s="44" t="str">
        <f t="shared" si="210"/>
        <v/>
      </c>
      <c r="CM109" s="44" t="str">
        <f t="shared" si="211"/>
        <v/>
      </c>
      <c r="CN109" s="44" t="str">
        <f t="shared" si="212"/>
        <v/>
      </c>
      <c r="CO109" s="44" t="str">
        <f t="shared" si="213"/>
        <v/>
      </c>
      <c r="CP109" s="44" t="str">
        <f t="shared" si="214"/>
        <v/>
      </c>
      <c r="CQ109" s="44" t="str">
        <f t="shared" si="215"/>
        <v/>
      </c>
      <c r="CR109" s="44" t="str">
        <f t="shared" si="216"/>
        <v/>
      </c>
      <c r="CS109" s="44" t="str">
        <f t="shared" si="217"/>
        <v/>
      </c>
      <c r="CT109" s="44" t="str">
        <f t="shared" si="218"/>
        <v/>
      </c>
      <c r="CV109" s="44">
        <f t="shared" si="219"/>
        <v>0</v>
      </c>
    </row>
    <row r="110" spans="1:100" x14ac:dyDescent="0.25">
      <c r="A110" s="49"/>
      <c r="B110" s="50"/>
      <c r="C110" s="51" t="str" cm="1">
        <f t="array" ref="C110">IF(B110="","",INDEX(UWS!$B$10:$B$41,B110))</f>
        <v/>
      </c>
      <c r="D110" s="45" t="str">
        <f t="shared" si="176"/>
        <v/>
      </c>
      <c r="E110" s="70" t="str">
        <f t="shared" si="177"/>
        <v/>
      </c>
      <c r="F110" s="52" cm="1">
        <f t="array" ref="F110">0.1+IFERROR(INDEX($F$5:$F109,SUMPRODUCT(MAX(ROW($C$5:$C109)*($C110=$C$5:$C109))-ROW($A$4)))*0.9^($A110-INDEX($A$5:A109,SUMPRODUCT(MAX(ROW($C$5:$C109)*($C110=$C$5:$C109))-ROW($A$4)))),0)</f>
        <v>4.5</v>
      </c>
      <c r="G110" s="56" t="e">
        <f>INDEX(UWS!$AB$10:$AB$41,MATCH(C110,UWS!$B$10:$B$41,0))</f>
        <v>#N/A</v>
      </c>
      <c r="H110" s="52" t="e">
        <f>INDEX(UWS!$C$10:$C$41,MATCH(C110,UWS!$B$10:$B$41,0))</f>
        <v>#N/A</v>
      </c>
      <c r="I110" s="46">
        <f t="shared" si="178"/>
        <v>5</v>
      </c>
      <c r="J110" s="46" t="e">
        <f>INDEX(UWS!$E$10:$E$41,MATCH(C110,UWS!$B$10:$B$41,0))</f>
        <v>#N/A</v>
      </c>
      <c r="K110" s="46"/>
      <c r="L110" s="109" t="str" cm="1">
        <f t="array" ref="L110">IF(K110="","",INDEX(UWS!$B$10:$B$41,K110))</f>
        <v/>
      </c>
      <c r="M110" s="46"/>
      <c r="N110" s="109" t="str" cm="1">
        <f t="array" ref="N110">IF(M110="","",INDEX(UWS!$B$10:$B$41,M110))</f>
        <v/>
      </c>
      <c r="O110" s="47"/>
      <c r="P110" s="47">
        <f>IFERROR(INDEX(UWS!$G$10:$Z$41,MATCH($C110,UWS!$B$10:$B$41,0),MATCH(P$4,UWS!$G$3:$Z$3,0)),0)</f>
        <v>0</v>
      </c>
      <c r="Q110" s="47">
        <f>IFERROR(INDEX(UWS!$G$10:$Z$41,MATCH($C110,UWS!$B$10:$B$41,0),MATCH(Q$4,UWS!$G$3:$Z$3,0)),0)</f>
        <v>0</v>
      </c>
      <c r="R110" s="47">
        <f>IFERROR(INDEX(UWS!$G$10:$Z$41,MATCH($C110,UWS!$B$10:$B$41,0),MATCH(R$4,UWS!$G$3:$Z$3,0)),0)</f>
        <v>0</v>
      </c>
      <c r="S110" s="47">
        <f>IFERROR(INDEX(UWS!$G$10:$Z$41,MATCH($C110,UWS!$B$10:$B$41,0),MATCH(S$4,UWS!$G$3:$Z$3,0)),0)</f>
        <v>0</v>
      </c>
      <c r="T110" s="47">
        <f>IFERROR(INDEX(UWS!$G$10:$Z$41,MATCH($C110,UWS!$B$10:$B$41,0),MATCH(T$4,UWS!$G$3:$Z$3,0)),0)</f>
        <v>0</v>
      </c>
      <c r="U110" s="47">
        <f>IFERROR(INDEX(UWS!$G$10:$Z$41,MATCH($C110,UWS!$B$10:$B$41,0),MATCH(U$4,UWS!$G$3:$Z$3,0)),0)</f>
        <v>0</v>
      </c>
      <c r="V110" s="47">
        <f>IFERROR(INDEX(UWS!$G$10:$Z$41,MATCH($C110,UWS!$B$10:$B$41,0),MATCH(V$4,UWS!$G$3:$Z$3,0)),0)</f>
        <v>0</v>
      </c>
      <c r="W110" s="47">
        <f>IFERROR(INDEX(UWS!$G$10:$Z$41,MATCH($C110,UWS!$B$10:$B$41,0),MATCH(W$4,UWS!$G$3:$Z$3,0)),0)</f>
        <v>0</v>
      </c>
      <c r="X110" s="47">
        <f>IFERROR(INDEX(UWS!$G$10:$Z$41,MATCH($C110,UWS!$B$10:$B$41,0),MATCH(X$4,UWS!$G$3:$Z$3,0)),0)</f>
        <v>0</v>
      </c>
      <c r="Y110" s="47">
        <f>IFERROR(INDEX(UWS!$G$10:$Z$41,MATCH($C110,UWS!$B$10:$B$41,0),MATCH(Y$4,UWS!$G$3:$Z$3,0)),0)</f>
        <v>0</v>
      </c>
      <c r="Z110" s="47">
        <f>IFERROR(INDEX(UWS!$G$10:$Z$41,MATCH($C110,UWS!$B$10:$B$41,0),MATCH(Z$4,UWS!$G$3:$Z$3,0)),0)</f>
        <v>0</v>
      </c>
      <c r="AA110" s="47">
        <f>IFERROR(INDEX(UWS!$G$10:$Z$41,MATCH($C110,UWS!$B$10:$B$41,0),MATCH(AA$4,UWS!$G$3:$Z$3,0)),0)</f>
        <v>0</v>
      </c>
      <c r="AB110" s="47">
        <f>IFERROR(INDEX(UWS!$G$10:$Z$41,MATCH($C110,UWS!$B$10:$B$41,0),MATCH(AB$4,UWS!$G$3:$Z$3,0)),0)</f>
        <v>0</v>
      </c>
      <c r="AC110" s="47">
        <f>IFERROR(INDEX(UWS!$G$10:$Z$41,MATCH($C110,UWS!$B$10:$B$41,0),MATCH(AC$4,UWS!$G$3:$Z$3,0)),0)</f>
        <v>0</v>
      </c>
      <c r="AD110" s="47">
        <f>IFERROR(INDEX(UWS!$G$10:$Z$41,MATCH($C110,UWS!$B$10:$B$41,0),MATCH(AD$4,UWS!$G$3:$Z$3,0)),0)</f>
        <v>0</v>
      </c>
      <c r="AE110" s="47">
        <f>IFERROR(INDEX(UWS!$G$10:$Z$41,MATCH($C110,UWS!$B$10:$B$41,0),MATCH(AE$4,UWS!$G$3:$Z$3,0)),0)</f>
        <v>0</v>
      </c>
      <c r="AF110" s="47">
        <f>IFERROR(INDEX(UWS!$G$10:$Z$41,MATCH($C110,UWS!$B$10:$B$41,0),MATCH(AF$4,UWS!$G$3:$Z$3,0)),0)</f>
        <v>0</v>
      </c>
      <c r="AG110" s="47">
        <f>IFERROR(INDEX(UWS!$G$10:$Z$41,MATCH($C110,UWS!$B$10:$B$41,0),MATCH(AG$4,UWS!$G$3:$Z$3,0)),0)</f>
        <v>0</v>
      </c>
      <c r="AH110" s="47">
        <f>IFERROR(INDEX(UWS!$G$10:$Z$41,MATCH($C110,UWS!$B$10:$B$41,0),MATCH(AH$4,UWS!$G$3:$Z$3,0)),0)</f>
        <v>0</v>
      </c>
      <c r="AI110" s="47">
        <f>IFERROR(INDEX(UWS!$G$10:$Z$41,MATCH($C110,UWS!$B$10:$B$41,0),MATCH(AI$4,UWS!$G$3:$Z$3,0)),0)</f>
        <v>0</v>
      </c>
      <c r="AJ110" s="47"/>
      <c r="AK110" s="47" t="e">
        <f>IF(OR($J110=0,COUNTIFS($A$4:$A109,"&gt;="&amp;$A110-1,$A$4:$A109,"&lt;="&amp;$A110,$B$4:$B109,$B110)&gt;0,MIN(AK$1,IF($A110=$A109,AK109,1))-P110&lt;0),-1,MIN(1,IF($A110=$A109,AK109,1)-P110+$D$3))</f>
        <v>#N/A</v>
      </c>
      <c r="AL110" s="47" t="e">
        <f>IF(OR($J110=0,COUNTIFS($A$4:$A109,"&gt;="&amp;$A110-1,$A$4:$A109,"&lt;="&amp;$A110,$B$4:$B109,$B110)&gt;0,MIN(AL$1,IF($A110=$A109,AL109,1))-Q110&lt;0),-1,MIN(1,IF($A110=$A109,AL109,1)-Q110+$D$3))</f>
        <v>#N/A</v>
      </c>
      <c r="AM110" s="47" t="e">
        <f>IF(OR($J110=0,COUNTIFS($A$4:$A109,"&gt;="&amp;$A110-1,$A$4:$A109,"&lt;="&amp;$A110,$B$4:$B109,$B110)&gt;0,MIN(AM$1,IF($A110=$A109,AM109,1))-R110&lt;0),-1,MIN(1,IF($A110=$A109,AM109,1)-R110+$D$3))</f>
        <v>#N/A</v>
      </c>
      <c r="AN110" s="47" t="e">
        <f>IF(OR($J110=0,COUNTIFS($A$4:$A109,"&gt;="&amp;$A110-1,$A$4:$A109,"&lt;="&amp;$A110,$B$4:$B109,$B110)&gt;0,MIN(AN$1,IF($A110=$A109,AN109,1))-S110&lt;0),-1,MIN(1,IF($A110=$A109,AN109,1)-S110+$D$3))</f>
        <v>#N/A</v>
      </c>
      <c r="AO110" s="47" t="e">
        <f>IF(OR($J110=0,COUNTIFS($A$4:$A109,"&gt;="&amp;$A110-1,$A$4:$A109,"&lt;="&amp;$A110,$B$4:$B109,$B110)&gt;0,MIN(AO$1,IF($A110=$A109,AO109,1))-T110&lt;0),-1,MIN(1,IF($A110=$A109,AO109,1)-T110+$D$3))</f>
        <v>#N/A</v>
      </c>
      <c r="AP110" s="47" t="e">
        <f>IF(OR($J110=0,COUNTIFS($A$4:$A109,"&gt;="&amp;$A110-1,$A$4:$A109,"&lt;="&amp;$A110,$B$4:$B109,$B110)&gt;0,MIN(AP$1,IF($A110=$A109,AP109,1))-U110&lt;0),-1,MIN(1,IF($A110=$A109,AP109,1)-U110+$D$3))</f>
        <v>#N/A</v>
      </c>
      <c r="AQ110" s="47" t="e">
        <f>IF(OR($J110=0,COUNTIFS($A$4:$A109,"&gt;="&amp;$A110-1,$A$4:$A109,"&lt;="&amp;$A110,$B$4:$B109,$B110)&gt;0,MIN(AQ$1,IF($A110=$A109,AQ109,1))-V110&lt;0),-1,MIN(1,IF($A110=$A109,AQ109,1)-V110+$D$3))</f>
        <v>#N/A</v>
      </c>
      <c r="AR110" s="47" t="e">
        <f>IF(OR($J110=0,COUNTIFS($A$4:$A109,"&gt;="&amp;$A110-1,$A$4:$A109,"&lt;="&amp;$A110,$B$4:$B109,$B110)&gt;0,MIN(AR$1,IF($A110=$A109,AR109,1))-W110&lt;0),-1,MIN(1,IF($A110=$A109,AR109,1)-W110+$D$3))</f>
        <v>#N/A</v>
      </c>
      <c r="AS110" s="47" t="e">
        <f>IF(OR($J110=0,COUNTIFS($A$4:$A109,"&gt;="&amp;$A110-1,$A$4:$A109,"&lt;="&amp;$A110,$B$4:$B109,$B110)&gt;0,MIN(AS$1,IF($A110=$A109,AS109,1))-X110&lt;0),-1,MIN(1,IF($A110=$A109,AS109,1)-X110+$D$3))</f>
        <v>#N/A</v>
      </c>
      <c r="AT110" s="47" t="e">
        <f>IF(OR($J110=0,COUNTIFS($A$4:$A109,"&gt;="&amp;$A110-1,$A$4:$A109,"&lt;="&amp;$A110,$B$4:$B109,$B110)&gt;0,MIN(AT$1,IF($A110=$A109,AT109,1))-Y110&lt;0),-1,MIN(1,IF($A110=$A109,AT109,1)-Y110+$D$3))</f>
        <v>#N/A</v>
      </c>
      <c r="AU110" s="47" t="e">
        <f>IF(OR($J110=0,COUNTIFS($A$4:$A109,"&gt;="&amp;$A110-1,$A$4:$A109,"&lt;="&amp;$A110,$B$4:$B109,$B110)&gt;0,MIN(AU$1,IF($A110=$A109,AU109,1))-Z110&lt;0),-1,MIN(1,IF($A110=$A109,AU109,1)-Z110+$D$3))</f>
        <v>#N/A</v>
      </c>
      <c r="AV110" s="47" t="e">
        <f>IF(OR($J110=0,COUNTIFS($A$4:$A109,"&gt;="&amp;$A110-1,$A$4:$A109,"&lt;="&amp;$A110,$B$4:$B109,$B110)&gt;0,MIN(AV$1,IF($A110=$A109,AV109,1))-AA110&lt;0),-1,MIN(1,IF($A110=$A109,AV109,1)-AA110+$D$3))</f>
        <v>#N/A</v>
      </c>
      <c r="AW110" s="47" t="e">
        <f>IF(OR($J110=0,COUNTIFS($A$4:$A109,"&gt;="&amp;$A110-1,$A$4:$A109,"&lt;="&amp;$A110,$B$4:$B109,$B110)&gt;0,MIN(AW$1,IF($A110=$A109,AW109,1))-AB110&lt;0),-1,MIN(1,IF($A110=$A109,AW109,1)-AB110+$D$3))</f>
        <v>#N/A</v>
      </c>
      <c r="AX110" s="47" t="e">
        <f>IF(OR($J110=0,COUNTIFS($A$4:$A109,"&gt;="&amp;$A110-1,$A$4:$A109,"&lt;="&amp;$A110,$B$4:$B109,$B110)&gt;0,MIN(AX$1,IF($A110=$A109,AX109,1))-AC110&lt;0),-1,MIN(1,IF($A110=$A109,AX109,1)-AC110+$D$3))</f>
        <v>#N/A</v>
      </c>
      <c r="AY110" s="47" t="e">
        <f>IF(OR($J110=0,COUNTIFS($A$4:$A109,"&gt;="&amp;$A110-1,$A$4:$A109,"&lt;="&amp;$A110,$B$4:$B109,$B110)&gt;0,MIN(AY$1,IF($A110=$A109,AY109,1))-AD110&lt;0),-1,MIN(1,IF($A110=$A109,AY109,1)-AD110+$D$3))</f>
        <v>#N/A</v>
      </c>
      <c r="AZ110" s="47" t="e">
        <f>IF(OR($J110=0,COUNTIFS($A$4:$A109,"&gt;="&amp;$A110-1,$A$4:$A109,"&lt;="&amp;$A110,$B$4:$B109,$B110)&gt;0,MIN(AZ$1,IF($A110=$A109,AZ109,1))-AE110&lt;0),-1,MIN(1,IF($A110=$A109,AZ109,1)-AE110+$D$3))</f>
        <v>#N/A</v>
      </c>
      <c r="BA110" s="47" t="e">
        <f>IF(OR($J110=0,COUNTIFS($A$4:$A109,"&gt;="&amp;$A110-1,$A$4:$A109,"&lt;="&amp;$A110,$B$4:$B109,$B110)&gt;0,MIN(BA$1,IF($A110=$A109,BA109,1))-AF110&lt;0),-1,MIN(1,IF($A110=$A109,BA109,1)-AF110+$D$3))</f>
        <v>#N/A</v>
      </c>
      <c r="BB110" s="47" t="e">
        <f>IF(OR($J110=0,COUNTIFS($A$4:$A109,"&gt;="&amp;$A110-1,$A$4:$A109,"&lt;="&amp;$A110,$B$4:$B109,$B110)&gt;0,MIN(BB$1,IF($A110=$A109,BB109,1))-AG110&lt;0),-1,MIN(1,IF($A110=$A109,BB109,1)-AG110+$D$3))</f>
        <v>#N/A</v>
      </c>
      <c r="BC110" s="47" t="e">
        <f>IF(OR($J110=0,COUNTIFS($A$4:$A109,"&gt;="&amp;$A110-1,$A$4:$A109,"&lt;="&amp;$A110,$B$4:$B109,$B110)&gt;0,MIN(BC$1,IF($A110=$A109,BC109,1))-AH110&lt;0),-1,MIN(1,IF($A110=$A109,BC109,1)-AH110+$D$3))</f>
        <v>#N/A</v>
      </c>
      <c r="BD110" s="47" t="e">
        <f>IF(OR($J110=0,COUNTIFS($A$4:$A109,"&gt;="&amp;$A110-1,$A$4:$A109,"&lt;="&amp;$A110,$B$4:$B109,$B110)&gt;0,MIN(BD$1,IF($A110=$A109,BD109,1))-AI110&lt;0),-1,MIN(1,IF($A110=$A109,BD109,1)-AI110+$D$3))</f>
        <v>#N/A</v>
      </c>
      <c r="BE110" s="47"/>
      <c r="BF110" s="53">
        <f t="shared" si="179"/>
        <v>9.2258853722006762E-3</v>
      </c>
      <c r="BG110" s="53">
        <f t="shared" si="180"/>
        <v>2.2689055502213267E-2</v>
      </c>
      <c r="BH110" s="53">
        <f t="shared" si="181"/>
        <v>2.3253895234868552E-2</v>
      </c>
      <c r="BI110" s="53">
        <f t="shared" si="182"/>
        <v>2.1480143025542145E-2</v>
      </c>
      <c r="BJ110" s="53">
        <f t="shared" si="183"/>
        <v>2.2201767054892515E-2</v>
      </c>
      <c r="BK110" s="53">
        <f t="shared" si="184"/>
        <v>9.534266564914259E-3</v>
      </c>
      <c r="BL110" s="53">
        <f t="shared" si="185"/>
        <v>5.1505607952075736E-3</v>
      </c>
      <c r="BM110" s="53">
        <f t="shared" si="186"/>
        <v>1.3102425206087044E-2</v>
      </c>
      <c r="BN110" s="53">
        <f t="shared" si="187"/>
        <v>1.3627543356832627E-2</v>
      </c>
      <c r="BO110" s="53">
        <f t="shared" si="188"/>
        <v>6.3863839229305426E-3</v>
      </c>
      <c r="BP110" s="53">
        <f t="shared" si="189"/>
        <v>2.1474073650952961E-2</v>
      </c>
      <c r="BQ110" s="53">
        <f t="shared" si="190"/>
        <v>5.7949635524703587E-3</v>
      </c>
      <c r="BR110" s="53">
        <f t="shared" si="191"/>
        <v>1.7119772965079709E-2</v>
      </c>
      <c r="BS110" s="53">
        <f t="shared" si="192"/>
        <v>9.2329207414036558E-3</v>
      </c>
      <c r="BT110" s="53">
        <f t="shared" si="193"/>
        <v>3.6537497969777587E-2</v>
      </c>
      <c r="BU110" s="53">
        <f t="shared" si="194"/>
        <v>3.4904305114487937E-2</v>
      </c>
      <c r="BV110" s="53">
        <f t="shared" si="195"/>
        <v>3.352093984835984E-2</v>
      </c>
      <c r="BW110" s="53">
        <f t="shared" si="196"/>
        <v>2.1924539332132838E-2</v>
      </c>
      <c r="BX110" s="53">
        <f t="shared" si="197"/>
        <v>1.6197451525338351E-2</v>
      </c>
      <c r="BY110" s="53">
        <f t="shared" si="198"/>
        <v>1.3907373820166205E-2</v>
      </c>
      <c r="BZ110" s="47"/>
      <c r="CA110" s="53" t="str">
        <f t="shared" si="199"/>
        <v/>
      </c>
      <c r="CB110" s="53" t="str">
        <f t="shared" si="200"/>
        <v/>
      </c>
      <c r="CC110" s="53" t="str">
        <f t="shared" si="201"/>
        <v/>
      </c>
      <c r="CD110" s="53" t="str">
        <f t="shared" si="202"/>
        <v/>
      </c>
      <c r="CE110" s="53" t="str">
        <f t="shared" si="203"/>
        <v/>
      </c>
      <c r="CF110" s="53" t="str">
        <f t="shared" si="204"/>
        <v/>
      </c>
      <c r="CG110" s="53" t="str">
        <f t="shared" si="205"/>
        <v/>
      </c>
      <c r="CH110" s="53" t="str">
        <f t="shared" si="206"/>
        <v/>
      </c>
      <c r="CI110" s="53" t="str">
        <f t="shared" si="207"/>
        <v/>
      </c>
      <c r="CJ110" s="53" t="str">
        <f t="shared" si="208"/>
        <v/>
      </c>
      <c r="CK110" s="53" t="str">
        <f t="shared" si="209"/>
        <v/>
      </c>
      <c r="CL110" s="53" t="str">
        <f t="shared" si="210"/>
        <v/>
      </c>
      <c r="CM110" s="53" t="str">
        <f t="shared" si="211"/>
        <v/>
      </c>
      <c r="CN110" s="53" t="str">
        <f t="shared" si="212"/>
        <v/>
      </c>
      <c r="CO110" s="53" t="str">
        <f t="shared" si="213"/>
        <v/>
      </c>
      <c r="CP110" s="53" t="str">
        <f t="shared" si="214"/>
        <v/>
      </c>
      <c r="CQ110" s="53" t="str">
        <f t="shared" si="215"/>
        <v/>
      </c>
      <c r="CR110" s="53" t="str">
        <f t="shared" si="216"/>
        <v/>
      </c>
      <c r="CS110" s="53" t="str">
        <f t="shared" si="217"/>
        <v/>
      </c>
      <c r="CT110" s="53" t="str">
        <f t="shared" si="218"/>
        <v/>
      </c>
      <c r="CU110" s="47"/>
      <c r="CV110" s="53">
        <f t="shared" si="219"/>
        <v>0</v>
      </c>
    </row>
    <row r="111" spans="1:100" x14ac:dyDescent="0.25">
      <c r="A111" s="41"/>
      <c r="B111" s="42"/>
      <c r="C111" s="43" t="str" cm="1">
        <f t="array" ref="C111">IF(B111="","",INDEX(UWS!$B$10:$B$41,B111))</f>
        <v/>
      </c>
      <c r="D111" s="40" t="str">
        <f t="shared" si="176"/>
        <v/>
      </c>
      <c r="E111" s="69" t="str">
        <f t="shared" si="177"/>
        <v/>
      </c>
      <c r="F111" s="48" cm="1">
        <f t="array" ref="F111">0.1+IFERROR(INDEX($F$5:$F110,SUMPRODUCT(MAX(ROW($C$5:$C110)*($C111=$C$5:$C110))-ROW($A$4)))*0.9^($A111-INDEX($A$5:A110,SUMPRODUCT(MAX(ROW($C$5:$C110)*($C111=$C$5:$C110))-ROW($A$4)))),0)</f>
        <v>4.5999999999999996</v>
      </c>
      <c r="G111" s="55" t="e">
        <f>INDEX(UWS!$AB$10:$AB$41,MATCH(C111,UWS!$B$10:$B$41,0))</f>
        <v>#N/A</v>
      </c>
      <c r="H111" s="48" t="e">
        <f>INDEX(UWS!$C$10:$C$41,MATCH(C111,UWS!$B$10:$B$41,0))</f>
        <v>#N/A</v>
      </c>
      <c r="I111" s="82">
        <f t="shared" si="178"/>
        <v>5</v>
      </c>
      <c r="J111" s="27" t="e">
        <f>INDEX(UWS!$E$10:$E$41,MATCH(C111,UWS!$B$10:$B$41,0))</f>
        <v>#N/A</v>
      </c>
      <c r="L111" s="108" t="str" cm="1">
        <f t="array" ref="L111">IF(K111="","",INDEX(UWS!$B$10:$B$41,K111))</f>
        <v/>
      </c>
      <c r="N111" s="108" t="str" cm="1">
        <f t="array" ref="N111">IF(M111="","",INDEX(UWS!$B$10:$B$41,M111))</f>
        <v/>
      </c>
      <c r="P111">
        <f>IFERROR(INDEX(UWS!$G$10:$Z$41,MATCH($C111,UWS!$B$10:$B$41,0),MATCH(P$4,UWS!$G$3:$Z$3,0)),0)</f>
        <v>0</v>
      </c>
      <c r="Q111">
        <f>IFERROR(INDEX(UWS!$G$10:$Z$41,MATCH($C111,UWS!$B$10:$B$41,0),MATCH(Q$4,UWS!$G$3:$Z$3,0)),0)</f>
        <v>0</v>
      </c>
      <c r="R111">
        <f>IFERROR(INDEX(UWS!$G$10:$Z$41,MATCH($C111,UWS!$B$10:$B$41,0),MATCH(R$4,UWS!$G$3:$Z$3,0)),0)</f>
        <v>0</v>
      </c>
      <c r="S111">
        <f>IFERROR(INDEX(UWS!$G$10:$Z$41,MATCH($C111,UWS!$B$10:$B$41,0),MATCH(S$4,UWS!$G$3:$Z$3,0)),0)</f>
        <v>0</v>
      </c>
      <c r="T111">
        <f>IFERROR(INDEX(UWS!$G$10:$Z$41,MATCH($C111,UWS!$B$10:$B$41,0),MATCH(T$4,UWS!$G$3:$Z$3,0)),0)</f>
        <v>0</v>
      </c>
      <c r="U111">
        <f>IFERROR(INDEX(UWS!$G$10:$Z$41,MATCH($C111,UWS!$B$10:$B$41,0),MATCH(U$4,UWS!$G$3:$Z$3,0)),0)</f>
        <v>0</v>
      </c>
      <c r="V111">
        <f>IFERROR(INDEX(UWS!$G$10:$Z$41,MATCH($C111,UWS!$B$10:$B$41,0),MATCH(V$4,UWS!$G$3:$Z$3,0)),0)</f>
        <v>0</v>
      </c>
      <c r="W111">
        <f>IFERROR(INDEX(UWS!$G$10:$Z$41,MATCH($C111,UWS!$B$10:$B$41,0),MATCH(W$4,UWS!$G$3:$Z$3,0)),0)</f>
        <v>0</v>
      </c>
      <c r="X111">
        <f>IFERROR(INDEX(UWS!$G$10:$Z$41,MATCH($C111,UWS!$B$10:$B$41,0),MATCH(X$4,UWS!$G$3:$Z$3,0)),0)</f>
        <v>0</v>
      </c>
      <c r="Y111">
        <f>IFERROR(INDEX(UWS!$G$10:$Z$41,MATCH($C111,UWS!$B$10:$B$41,0),MATCH(Y$4,UWS!$G$3:$Z$3,0)),0)</f>
        <v>0</v>
      </c>
      <c r="Z111">
        <f>IFERROR(INDEX(UWS!$G$10:$Z$41,MATCH($C111,UWS!$B$10:$B$41,0),MATCH(Z$4,UWS!$G$3:$Z$3,0)),0)</f>
        <v>0</v>
      </c>
      <c r="AA111">
        <f>IFERROR(INDEX(UWS!$G$10:$Z$41,MATCH($C111,UWS!$B$10:$B$41,0),MATCH(AA$4,UWS!$G$3:$Z$3,0)),0)</f>
        <v>0</v>
      </c>
      <c r="AB111">
        <f>IFERROR(INDEX(UWS!$G$10:$Z$41,MATCH($C111,UWS!$B$10:$B$41,0),MATCH(AB$4,UWS!$G$3:$Z$3,0)),0)</f>
        <v>0</v>
      </c>
      <c r="AC111">
        <f>IFERROR(INDEX(UWS!$G$10:$Z$41,MATCH($C111,UWS!$B$10:$B$41,0),MATCH(AC$4,UWS!$G$3:$Z$3,0)),0)</f>
        <v>0</v>
      </c>
      <c r="AD111">
        <f>IFERROR(INDEX(UWS!$G$10:$Z$41,MATCH($C111,UWS!$B$10:$B$41,0),MATCH(AD$4,UWS!$G$3:$Z$3,0)),0)</f>
        <v>0</v>
      </c>
      <c r="AE111">
        <f>IFERROR(INDEX(UWS!$G$10:$Z$41,MATCH($C111,UWS!$B$10:$B$41,0),MATCH(AE$4,UWS!$G$3:$Z$3,0)),0)</f>
        <v>0</v>
      </c>
      <c r="AF111">
        <f>IFERROR(INDEX(UWS!$G$10:$Z$41,MATCH($C111,UWS!$B$10:$B$41,0),MATCH(AF$4,UWS!$G$3:$Z$3,0)),0)</f>
        <v>0</v>
      </c>
      <c r="AG111">
        <f>IFERROR(INDEX(UWS!$G$10:$Z$41,MATCH($C111,UWS!$B$10:$B$41,0),MATCH(AG$4,UWS!$G$3:$Z$3,0)),0)</f>
        <v>0</v>
      </c>
      <c r="AH111">
        <f>IFERROR(INDEX(UWS!$G$10:$Z$41,MATCH($C111,UWS!$B$10:$B$41,0),MATCH(AH$4,UWS!$G$3:$Z$3,0)),0)</f>
        <v>0</v>
      </c>
      <c r="AI111">
        <f>IFERROR(INDEX(UWS!$G$10:$Z$41,MATCH($C111,UWS!$B$10:$B$41,0),MATCH(AI$4,UWS!$G$3:$Z$3,0)),0)</f>
        <v>0</v>
      </c>
      <c r="AK111" t="e">
        <f>IF(OR($J111=0,COUNTIFS($A$4:$A110,"&gt;="&amp;$A111-1,$A$4:$A110,"&lt;="&amp;$A111,$B$4:$B110,$B111)&gt;0,MIN(AK$1,IF($A111=$A110,AK110,1))-P111&lt;0),-1,MIN(1,IF($A111=$A110,AK110,1)-P111+$D$3))</f>
        <v>#N/A</v>
      </c>
      <c r="AL111" t="e">
        <f>IF(OR($J111=0,COUNTIFS($A$4:$A110,"&gt;="&amp;$A111-1,$A$4:$A110,"&lt;="&amp;$A111,$B$4:$B110,$B111)&gt;0,MIN(AL$1,IF($A111=$A110,AL110,1))-Q111&lt;0),-1,MIN(1,IF($A111=$A110,AL110,1)-Q111+$D$3))</f>
        <v>#N/A</v>
      </c>
      <c r="AM111" t="e">
        <f>IF(OR($J111=0,COUNTIFS($A$4:$A110,"&gt;="&amp;$A111-1,$A$4:$A110,"&lt;="&amp;$A111,$B$4:$B110,$B111)&gt;0,MIN(AM$1,IF($A111=$A110,AM110,1))-R111&lt;0),-1,MIN(1,IF($A111=$A110,AM110,1)-R111+$D$3))</f>
        <v>#N/A</v>
      </c>
      <c r="AN111" t="e">
        <f>IF(OR($J111=0,COUNTIFS($A$4:$A110,"&gt;="&amp;$A111-1,$A$4:$A110,"&lt;="&amp;$A111,$B$4:$B110,$B111)&gt;0,MIN(AN$1,IF($A111=$A110,AN110,1))-S111&lt;0),-1,MIN(1,IF($A111=$A110,AN110,1)-S111+$D$3))</f>
        <v>#N/A</v>
      </c>
      <c r="AO111" t="e">
        <f>IF(OR($J111=0,COUNTIFS($A$4:$A110,"&gt;="&amp;$A111-1,$A$4:$A110,"&lt;="&amp;$A111,$B$4:$B110,$B111)&gt;0,MIN(AO$1,IF($A111=$A110,AO110,1))-T111&lt;0),-1,MIN(1,IF($A111=$A110,AO110,1)-T111+$D$3))</f>
        <v>#N/A</v>
      </c>
      <c r="AP111" t="e">
        <f>IF(OR($J111=0,COUNTIFS($A$4:$A110,"&gt;="&amp;$A111-1,$A$4:$A110,"&lt;="&amp;$A111,$B$4:$B110,$B111)&gt;0,MIN(AP$1,IF($A111=$A110,AP110,1))-U111&lt;0),-1,MIN(1,IF($A111=$A110,AP110,1)-U111+$D$3))</f>
        <v>#N/A</v>
      </c>
      <c r="AQ111" t="e">
        <f>IF(OR($J111=0,COUNTIFS($A$4:$A110,"&gt;="&amp;$A111-1,$A$4:$A110,"&lt;="&amp;$A111,$B$4:$B110,$B111)&gt;0,MIN(AQ$1,IF($A111=$A110,AQ110,1))-V111&lt;0),-1,MIN(1,IF($A111=$A110,AQ110,1)-V111+$D$3))</f>
        <v>#N/A</v>
      </c>
      <c r="AR111" t="e">
        <f>IF(OR($J111=0,COUNTIFS($A$4:$A110,"&gt;="&amp;$A111-1,$A$4:$A110,"&lt;="&amp;$A111,$B$4:$B110,$B111)&gt;0,MIN(AR$1,IF($A111=$A110,AR110,1))-W111&lt;0),-1,MIN(1,IF($A111=$A110,AR110,1)-W111+$D$3))</f>
        <v>#N/A</v>
      </c>
      <c r="AS111" t="e">
        <f>IF(OR($J111=0,COUNTIFS($A$4:$A110,"&gt;="&amp;$A111-1,$A$4:$A110,"&lt;="&amp;$A111,$B$4:$B110,$B111)&gt;0,MIN(AS$1,IF($A111=$A110,AS110,1))-X111&lt;0),-1,MIN(1,IF($A111=$A110,AS110,1)-X111+$D$3))</f>
        <v>#N/A</v>
      </c>
      <c r="AT111" t="e">
        <f>IF(OR($J111=0,COUNTIFS($A$4:$A110,"&gt;="&amp;$A111-1,$A$4:$A110,"&lt;="&amp;$A111,$B$4:$B110,$B111)&gt;0,MIN(AT$1,IF($A111=$A110,AT110,1))-Y111&lt;0),-1,MIN(1,IF($A111=$A110,AT110,1)-Y111+$D$3))</f>
        <v>#N/A</v>
      </c>
      <c r="AU111" t="e">
        <f>IF(OR($J111=0,COUNTIFS($A$4:$A110,"&gt;="&amp;$A111-1,$A$4:$A110,"&lt;="&amp;$A111,$B$4:$B110,$B111)&gt;0,MIN(AU$1,IF($A111=$A110,AU110,1))-Z111&lt;0),-1,MIN(1,IF($A111=$A110,AU110,1)-Z111+$D$3))</f>
        <v>#N/A</v>
      </c>
      <c r="AV111" t="e">
        <f>IF(OR($J111=0,COUNTIFS($A$4:$A110,"&gt;="&amp;$A111-1,$A$4:$A110,"&lt;="&amp;$A111,$B$4:$B110,$B111)&gt;0,MIN(AV$1,IF($A111=$A110,AV110,1))-AA111&lt;0),-1,MIN(1,IF($A111=$A110,AV110,1)-AA111+$D$3))</f>
        <v>#N/A</v>
      </c>
      <c r="AW111" t="e">
        <f>IF(OR($J111=0,COUNTIFS($A$4:$A110,"&gt;="&amp;$A111-1,$A$4:$A110,"&lt;="&amp;$A111,$B$4:$B110,$B111)&gt;0,MIN(AW$1,IF($A111=$A110,AW110,1))-AB111&lt;0),-1,MIN(1,IF($A111=$A110,AW110,1)-AB111+$D$3))</f>
        <v>#N/A</v>
      </c>
      <c r="AX111" t="e">
        <f>IF(OR($J111=0,COUNTIFS($A$4:$A110,"&gt;="&amp;$A111-1,$A$4:$A110,"&lt;="&amp;$A111,$B$4:$B110,$B111)&gt;0,MIN(AX$1,IF($A111=$A110,AX110,1))-AC111&lt;0),-1,MIN(1,IF($A111=$A110,AX110,1)-AC111+$D$3))</f>
        <v>#N/A</v>
      </c>
      <c r="AY111" t="e">
        <f>IF(OR($J111=0,COUNTIFS($A$4:$A110,"&gt;="&amp;$A111-1,$A$4:$A110,"&lt;="&amp;$A111,$B$4:$B110,$B111)&gt;0,MIN(AY$1,IF($A111=$A110,AY110,1))-AD111&lt;0),-1,MIN(1,IF($A111=$A110,AY110,1)-AD111+$D$3))</f>
        <v>#N/A</v>
      </c>
      <c r="AZ111" t="e">
        <f>IF(OR($J111=0,COUNTIFS($A$4:$A110,"&gt;="&amp;$A111-1,$A$4:$A110,"&lt;="&amp;$A111,$B$4:$B110,$B111)&gt;0,MIN(AZ$1,IF($A111=$A110,AZ110,1))-AE111&lt;0),-1,MIN(1,IF($A111=$A110,AZ110,1)-AE111+$D$3))</f>
        <v>#N/A</v>
      </c>
      <c r="BA111" t="e">
        <f>IF(OR($J111=0,COUNTIFS($A$4:$A110,"&gt;="&amp;$A111-1,$A$4:$A110,"&lt;="&amp;$A111,$B$4:$B110,$B111)&gt;0,MIN(BA$1,IF($A111=$A110,BA110,1))-AF111&lt;0),-1,MIN(1,IF($A111=$A110,BA110,1)-AF111+$D$3))</f>
        <v>#N/A</v>
      </c>
      <c r="BB111" t="e">
        <f>IF(OR($J111=0,COUNTIFS($A$4:$A110,"&gt;="&amp;$A111-1,$A$4:$A110,"&lt;="&amp;$A111,$B$4:$B110,$B111)&gt;0,MIN(BB$1,IF($A111=$A110,BB110,1))-AG111&lt;0),-1,MIN(1,IF($A111=$A110,BB110,1)-AG111+$D$3))</f>
        <v>#N/A</v>
      </c>
      <c r="BC111" t="e">
        <f>IF(OR($J111=0,COUNTIFS($A$4:$A110,"&gt;="&amp;$A111-1,$A$4:$A110,"&lt;="&amp;$A111,$B$4:$B110,$B111)&gt;0,MIN(BC$1,IF($A111=$A110,BC110,1))-AH111&lt;0),-1,MIN(1,IF($A111=$A110,BC110,1)-AH111+$D$3))</f>
        <v>#N/A</v>
      </c>
      <c r="BD111" t="e">
        <f>IF(OR($J111=0,COUNTIFS($A$4:$A110,"&gt;="&amp;$A111-1,$A$4:$A110,"&lt;="&amp;$A111,$B$4:$B110,$B111)&gt;0,MIN(BD$1,IF($A111=$A110,BD110,1))-AI111&lt;0),-1,MIN(1,IF($A111=$A110,BD110,1)-AI111+$D$3))</f>
        <v>#N/A</v>
      </c>
      <c r="BF111" s="44">
        <f t="shared" si="179"/>
        <v>8.7645911035906417E-3</v>
      </c>
      <c r="BG111" s="44">
        <f t="shared" si="180"/>
        <v>2.1554602727102603E-2</v>
      </c>
      <c r="BH111" s="44">
        <f t="shared" si="181"/>
        <v>2.2091200473125124E-2</v>
      </c>
      <c r="BI111" s="44">
        <f t="shared" si="182"/>
        <v>2.0406135874265038E-2</v>
      </c>
      <c r="BJ111" s="44">
        <f t="shared" si="183"/>
        <v>2.1091678702147888E-2</v>
      </c>
      <c r="BK111" s="44">
        <f t="shared" si="184"/>
        <v>9.0575532366685453E-3</v>
      </c>
      <c r="BL111" s="44">
        <f t="shared" si="185"/>
        <v>4.8930327554471947E-3</v>
      </c>
      <c r="BM111" s="44">
        <f t="shared" si="186"/>
        <v>1.2447303945782692E-2</v>
      </c>
      <c r="BN111" s="44">
        <f t="shared" si="187"/>
        <v>1.2946166188990995E-2</v>
      </c>
      <c r="BO111" s="44">
        <f t="shared" si="188"/>
        <v>6.0670647267840154E-3</v>
      </c>
      <c r="BP111" s="44">
        <f t="shared" si="189"/>
        <v>2.0400369968405312E-2</v>
      </c>
      <c r="BQ111" s="44">
        <f t="shared" si="190"/>
        <v>5.5052153748468401E-3</v>
      </c>
      <c r="BR111" s="44">
        <f t="shared" si="191"/>
        <v>1.6263784316825722E-2</v>
      </c>
      <c r="BS111" s="44">
        <f t="shared" si="192"/>
        <v>8.7712747043334725E-3</v>
      </c>
      <c r="BT111" s="44">
        <f t="shared" si="193"/>
        <v>3.4710623071288707E-2</v>
      </c>
      <c r="BU111" s="44">
        <f t="shared" si="194"/>
        <v>3.3159089858763535E-2</v>
      </c>
      <c r="BV111" s="44">
        <f t="shared" si="195"/>
        <v>3.1844892855941845E-2</v>
      </c>
      <c r="BW111" s="44">
        <f t="shared" si="196"/>
        <v>2.0828312365526194E-2</v>
      </c>
      <c r="BX111" s="44">
        <f t="shared" si="197"/>
        <v>1.5387578949071433E-2</v>
      </c>
      <c r="BY111" s="44">
        <f t="shared" si="198"/>
        <v>1.3212005129157893E-2</v>
      </c>
      <c r="CA111" s="44" t="str">
        <f t="shared" si="199"/>
        <v/>
      </c>
      <c r="CB111" s="44" t="str">
        <f t="shared" si="200"/>
        <v/>
      </c>
      <c r="CC111" s="44" t="str">
        <f t="shared" si="201"/>
        <v/>
      </c>
      <c r="CD111" s="44" t="str">
        <f t="shared" si="202"/>
        <v/>
      </c>
      <c r="CE111" s="44" t="str">
        <f t="shared" si="203"/>
        <v/>
      </c>
      <c r="CF111" s="44" t="str">
        <f t="shared" si="204"/>
        <v/>
      </c>
      <c r="CG111" s="44" t="str">
        <f t="shared" si="205"/>
        <v/>
      </c>
      <c r="CH111" s="44" t="str">
        <f t="shared" si="206"/>
        <v/>
      </c>
      <c r="CI111" s="44" t="str">
        <f t="shared" si="207"/>
        <v/>
      </c>
      <c r="CJ111" s="44" t="str">
        <f t="shared" si="208"/>
        <v/>
      </c>
      <c r="CK111" s="44" t="str">
        <f t="shared" si="209"/>
        <v/>
      </c>
      <c r="CL111" s="44" t="str">
        <f t="shared" si="210"/>
        <v/>
      </c>
      <c r="CM111" s="44" t="str">
        <f t="shared" si="211"/>
        <v/>
      </c>
      <c r="CN111" s="44" t="str">
        <f t="shared" si="212"/>
        <v/>
      </c>
      <c r="CO111" s="44" t="str">
        <f t="shared" si="213"/>
        <v/>
      </c>
      <c r="CP111" s="44" t="str">
        <f t="shared" si="214"/>
        <v/>
      </c>
      <c r="CQ111" s="44" t="str">
        <f t="shared" si="215"/>
        <v/>
      </c>
      <c r="CR111" s="44" t="str">
        <f t="shared" si="216"/>
        <v/>
      </c>
      <c r="CS111" s="44" t="str">
        <f t="shared" si="217"/>
        <v/>
      </c>
      <c r="CT111" s="44" t="str">
        <f t="shared" si="218"/>
        <v/>
      </c>
      <c r="CV111" s="44">
        <f t="shared" si="219"/>
        <v>0</v>
      </c>
    </row>
    <row r="112" spans="1:100" x14ac:dyDescent="0.25">
      <c r="A112" s="41"/>
      <c r="B112" s="42"/>
      <c r="C112" s="43" t="str" cm="1">
        <f t="array" ref="C112">IF(B112="","",INDEX(UWS!$B$10:$B$41,B112))</f>
        <v/>
      </c>
      <c r="D112" s="40" t="str">
        <f t="shared" si="176"/>
        <v/>
      </c>
      <c r="E112" s="69" t="str">
        <f t="shared" si="177"/>
        <v/>
      </c>
      <c r="F112" s="48" cm="1">
        <f t="array" ref="F112">0.1+IFERROR(INDEX($F$5:$F111,SUMPRODUCT(MAX(ROW($C$5:$C111)*($C112=$C$5:$C111))-ROW($A$4)))*0.9^($A112-INDEX($A$5:A111,SUMPRODUCT(MAX(ROW($C$5:$C111)*($C112=$C$5:$C111))-ROW($A$4)))),0)</f>
        <v>4.6999999999999993</v>
      </c>
      <c r="G112" s="55" t="e">
        <f>INDEX(UWS!$AB$10:$AB$41,MATCH(C112,UWS!$B$10:$B$41,0))</f>
        <v>#N/A</v>
      </c>
      <c r="H112" s="48" t="e">
        <f>INDEX(UWS!$C$10:$C$41,MATCH(C112,UWS!$B$10:$B$41,0))</f>
        <v>#N/A</v>
      </c>
      <c r="I112" s="27">
        <f t="shared" si="178"/>
        <v>5</v>
      </c>
      <c r="J112" s="27" t="e">
        <f>INDEX(UWS!$E$10:$E$41,MATCH(C112,UWS!$B$10:$B$41,0))</f>
        <v>#N/A</v>
      </c>
      <c r="L112" s="108" t="str" cm="1">
        <f t="array" ref="L112">IF(K112="","",INDEX(UWS!$B$10:$B$41,K112))</f>
        <v/>
      </c>
      <c r="N112" s="108" t="str" cm="1">
        <f t="array" ref="N112">IF(M112="","",INDEX(UWS!$B$10:$B$41,M112))</f>
        <v/>
      </c>
      <c r="P112">
        <f>IFERROR(INDEX(UWS!$G$10:$Z$41,MATCH($C112,UWS!$B$10:$B$41,0),MATCH(P$4,UWS!$G$3:$Z$3,0)),0)</f>
        <v>0</v>
      </c>
      <c r="Q112">
        <f>IFERROR(INDEX(UWS!$G$10:$Z$41,MATCH($C112,UWS!$B$10:$B$41,0),MATCH(Q$4,UWS!$G$3:$Z$3,0)),0)</f>
        <v>0</v>
      </c>
      <c r="R112">
        <f>IFERROR(INDEX(UWS!$G$10:$Z$41,MATCH($C112,UWS!$B$10:$B$41,0),MATCH(R$4,UWS!$G$3:$Z$3,0)),0)</f>
        <v>0</v>
      </c>
      <c r="S112">
        <f>IFERROR(INDEX(UWS!$G$10:$Z$41,MATCH($C112,UWS!$B$10:$B$41,0),MATCH(S$4,UWS!$G$3:$Z$3,0)),0)</f>
        <v>0</v>
      </c>
      <c r="T112">
        <f>IFERROR(INDEX(UWS!$G$10:$Z$41,MATCH($C112,UWS!$B$10:$B$41,0),MATCH(T$4,UWS!$G$3:$Z$3,0)),0)</f>
        <v>0</v>
      </c>
      <c r="U112">
        <f>IFERROR(INDEX(UWS!$G$10:$Z$41,MATCH($C112,UWS!$B$10:$B$41,0),MATCH(U$4,UWS!$G$3:$Z$3,0)),0)</f>
        <v>0</v>
      </c>
      <c r="V112">
        <f>IFERROR(INDEX(UWS!$G$10:$Z$41,MATCH($C112,UWS!$B$10:$B$41,0),MATCH(V$4,UWS!$G$3:$Z$3,0)),0)</f>
        <v>0</v>
      </c>
      <c r="W112">
        <f>IFERROR(INDEX(UWS!$G$10:$Z$41,MATCH($C112,UWS!$B$10:$B$41,0),MATCH(W$4,UWS!$G$3:$Z$3,0)),0)</f>
        <v>0</v>
      </c>
      <c r="X112">
        <f>IFERROR(INDEX(UWS!$G$10:$Z$41,MATCH($C112,UWS!$B$10:$B$41,0),MATCH(X$4,UWS!$G$3:$Z$3,0)),0)</f>
        <v>0</v>
      </c>
      <c r="Y112">
        <f>IFERROR(INDEX(UWS!$G$10:$Z$41,MATCH($C112,UWS!$B$10:$B$41,0),MATCH(Y$4,UWS!$G$3:$Z$3,0)),0)</f>
        <v>0</v>
      </c>
      <c r="Z112">
        <f>IFERROR(INDEX(UWS!$G$10:$Z$41,MATCH($C112,UWS!$B$10:$B$41,0),MATCH(Z$4,UWS!$G$3:$Z$3,0)),0)</f>
        <v>0</v>
      </c>
      <c r="AA112">
        <f>IFERROR(INDEX(UWS!$G$10:$Z$41,MATCH($C112,UWS!$B$10:$B$41,0),MATCH(AA$4,UWS!$G$3:$Z$3,0)),0)</f>
        <v>0</v>
      </c>
      <c r="AB112">
        <f>IFERROR(INDEX(UWS!$G$10:$Z$41,MATCH($C112,UWS!$B$10:$B$41,0),MATCH(AB$4,UWS!$G$3:$Z$3,0)),0)</f>
        <v>0</v>
      </c>
      <c r="AC112">
        <f>IFERROR(INDEX(UWS!$G$10:$Z$41,MATCH($C112,UWS!$B$10:$B$41,0),MATCH(AC$4,UWS!$G$3:$Z$3,0)),0)</f>
        <v>0</v>
      </c>
      <c r="AD112">
        <f>IFERROR(INDEX(UWS!$G$10:$Z$41,MATCH($C112,UWS!$B$10:$B$41,0),MATCH(AD$4,UWS!$G$3:$Z$3,0)),0)</f>
        <v>0</v>
      </c>
      <c r="AE112">
        <f>IFERROR(INDEX(UWS!$G$10:$Z$41,MATCH($C112,UWS!$B$10:$B$41,0),MATCH(AE$4,UWS!$G$3:$Z$3,0)),0)</f>
        <v>0</v>
      </c>
      <c r="AF112">
        <f>IFERROR(INDEX(UWS!$G$10:$Z$41,MATCH($C112,UWS!$B$10:$B$41,0),MATCH(AF$4,UWS!$G$3:$Z$3,0)),0)</f>
        <v>0</v>
      </c>
      <c r="AG112">
        <f>IFERROR(INDEX(UWS!$G$10:$Z$41,MATCH($C112,UWS!$B$10:$B$41,0),MATCH(AG$4,UWS!$G$3:$Z$3,0)),0)</f>
        <v>0</v>
      </c>
      <c r="AH112">
        <f>IFERROR(INDEX(UWS!$G$10:$Z$41,MATCH($C112,UWS!$B$10:$B$41,0),MATCH(AH$4,UWS!$G$3:$Z$3,0)),0)</f>
        <v>0</v>
      </c>
      <c r="AI112">
        <f>IFERROR(INDEX(UWS!$G$10:$Z$41,MATCH($C112,UWS!$B$10:$B$41,0),MATCH(AI$4,UWS!$G$3:$Z$3,0)),0)</f>
        <v>0</v>
      </c>
      <c r="AK112" t="e">
        <f>IF(OR($J112=0,COUNTIFS($A$4:$A111,"&gt;="&amp;$A112-1,$A$4:$A111,"&lt;="&amp;$A112,$B$4:$B111,$B112)&gt;0,MIN(AK$1,IF($A112=$A111,AK111,1))-P112&lt;0),-1,MIN(1,IF($A112=$A111,AK111,1)-P112+$D$3))</f>
        <v>#N/A</v>
      </c>
      <c r="AL112" t="e">
        <f>IF(OR($J112=0,COUNTIFS($A$4:$A111,"&gt;="&amp;$A112-1,$A$4:$A111,"&lt;="&amp;$A112,$B$4:$B111,$B112)&gt;0,MIN(AL$1,IF($A112=$A111,AL111,1))-Q112&lt;0),-1,MIN(1,IF($A112=$A111,AL111,1)-Q112+$D$3))</f>
        <v>#N/A</v>
      </c>
      <c r="AM112" t="e">
        <f>IF(OR($J112=0,COUNTIFS($A$4:$A111,"&gt;="&amp;$A112-1,$A$4:$A111,"&lt;="&amp;$A112,$B$4:$B111,$B112)&gt;0,MIN(AM$1,IF($A112=$A111,AM111,1))-R112&lt;0),-1,MIN(1,IF($A112=$A111,AM111,1)-R112+$D$3))</f>
        <v>#N/A</v>
      </c>
      <c r="AN112" t="e">
        <f>IF(OR($J112=0,COUNTIFS($A$4:$A111,"&gt;="&amp;$A112-1,$A$4:$A111,"&lt;="&amp;$A112,$B$4:$B111,$B112)&gt;0,MIN(AN$1,IF($A112=$A111,AN111,1))-S112&lt;0),-1,MIN(1,IF($A112=$A111,AN111,1)-S112+$D$3))</f>
        <v>#N/A</v>
      </c>
      <c r="AO112" t="e">
        <f>IF(OR($J112=0,COUNTIFS($A$4:$A111,"&gt;="&amp;$A112-1,$A$4:$A111,"&lt;="&amp;$A112,$B$4:$B111,$B112)&gt;0,MIN(AO$1,IF($A112=$A111,AO111,1))-T112&lt;0),-1,MIN(1,IF($A112=$A111,AO111,1)-T112+$D$3))</f>
        <v>#N/A</v>
      </c>
      <c r="AP112" t="e">
        <f>IF(OR($J112=0,COUNTIFS($A$4:$A111,"&gt;="&amp;$A112-1,$A$4:$A111,"&lt;="&amp;$A112,$B$4:$B111,$B112)&gt;0,MIN(AP$1,IF($A112=$A111,AP111,1))-U112&lt;0),-1,MIN(1,IF($A112=$A111,AP111,1)-U112+$D$3))</f>
        <v>#N/A</v>
      </c>
      <c r="AQ112" t="e">
        <f>IF(OR($J112=0,COUNTIFS($A$4:$A111,"&gt;="&amp;$A112-1,$A$4:$A111,"&lt;="&amp;$A112,$B$4:$B111,$B112)&gt;0,MIN(AQ$1,IF($A112=$A111,AQ111,1))-V112&lt;0),-1,MIN(1,IF($A112=$A111,AQ111,1)-V112+$D$3))</f>
        <v>#N/A</v>
      </c>
      <c r="AR112" t="e">
        <f>IF(OR($J112=0,COUNTIFS($A$4:$A111,"&gt;="&amp;$A112-1,$A$4:$A111,"&lt;="&amp;$A112,$B$4:$B111,$B112)&gt;0,MIN(AR$1,IF($A112=$A111,AR111,1))-W112&lt;0),-1,MIN(1,IF($A112=$A111,AR111,1)-W112+$D$3))</f>
        <v>#N/A</v>
      </c>
      <c r="AS112" t="e">
        <f>IF(OR($J112=0,COUNTIFS($A$4:$A111,"&gt;="&amp;$A112-1,$A$4:$A111,"&lt;="&amp;$A112,$B$4:$B111,$B112)&gt;0,MIN(AS$1,IF($A112=$A111,AS111,1))-X112&lt;0),-1,MIN(1,IF($A112=$A111,AS111,1)-X112+$D$3))</f>
        <v>#N/A</v>
      </c>
      <c r="AT112" t="e">
        <f>IF(OR($J112=0,COUNTIFS($A$4:$A111,"&gt;="&amp;$A112-1,$A$4:$A111,"&lt;="&amp;$A112,$B$4:$B111,$B112)&gt;0,MIN(AT$1,IF($A112=$A111,AT111,1))-Y112&lt;0),-1,MIN(1,IF($A112=$A111,AT111,1)-Y112+$D$3))</f>
        <v>#N/A</v>
      </c>
      <c r="AU112" t="e">
        <f>IF(OR($J112=0,COUNTIFS($A$4:$A111,"&gt;="&amp;$A112-1,$A$4:$A111,"&lt;="&amp;$A112,$B$4:$B111,$B112)&gt;0,MIN(AU$1,IF($A112=$A111,AU111,1))-Z112&lt;0),-1,MIN(1,IF($A112=$A111,AU111,1)-Z112+$D$3))</f>
        <v>#N/A</v>
      </c>
      <c r="AV112" t="e">
        <f>IF(OR($J112=0,COUNTIFS($A$4:$A111,"&gt;="&amp;$A112-1,$A$4:$A111,"&lt;="&amp;$A112,$B$4:$B111,$B112)&gt;0,MIN(AV$1,IF($A112=$A111,AV111,1))-AA112&lt;0),-1,MIN(1,IF($A112=$A111,AV111,1)-AA112+$D$3))</f>
        <v>#N/A</v>
      </c>
      <c r="AW112" t="e">
        <f>IF(OR($J112=0,COUNTIFS($A$4:$A111,"&gt;="&amp;$A112-1,$A$4:$A111,"&lt;="&amp;$A112,$B$4:$B111,$B112)&gt;0,MIN(AW$1,IF($A112=$A111,AW111,1))-AB112&lt;0),-1,MIN(1,IF($A112=$A111,AW111,1)-AB112+$D$3))</f>
        <v>#N/A</v>
      </c>
      <c r="AX112" t="e">
        <f>IF(OR($J112=0,COUNTIFS($A$4:$A111,"&gt;="&amp;$A112-1,$A$4:$A111,"&lt;="&amp;$A112,$B$4:$B111,$B112)&gt;0,MIN(AX$1,IF($A112=$A111,AX111,1))-AC112&lt;0),-1,MIN(1,IF($A112=$A111,AX111,1)-AC112+$D$3))</f>
        <v>#N/A</v>
      </c>
      <c r="AY112" t="e">
        <f>IF(OR($J112=0,COUNTIFS($A$4:$A111,"&gt;="&amp;$A112-1,$A$4:$A111,"&lt;="&amp;$A112,$B$4:$B111,$B112)&gt;0,MIN(AY$1,IF($A112=$A111,AY111,1))-AD112&lt;0),-1,MIN(1,IF($A112=$A111,AY111,1)-AD112+$D$3))</f>
        <v>#N/A</v>
      </c>
      <c r="AZ112" t="e">
        <f>IF(OR($J112=0,COUNTIFS($A$4:$A111,"&gt;="&amp;$A112-1,$A$4:$A111,"&lt;="&amp;$A112,$B$4:$B111,$B112)&gt;0,MIN(AZ$1,IF($A112=$A111,AZ111,1))-AE112&lt;0),-1,MIN(1,IF($A112=$A111,AZ111,1)-AE112+$D$3))</f>
        <v>#N/A</v>
      </c>
      <c r="BA112" t="e">
        <f>IF(OR($J112=0,COUNTIFS($A$4:$A111,"&gt;="&amp;$A112-1,$A$4:$A111,"&lt;="&amp;$A112,$B$4:$B111,$B112)&gt;0,MIN(BA$1,IF($A112=$A111,BA111,1))-AF112&lt;0),-1,MIN(1,IF($A112=$A111,BA111,1)-AF112+$D$3))</f>
        <v>#N/A</v>
      </c>
      <c r="BB112" t="e">
        <f>IF(OR($J112=0,COUNTIFS($A$4:$A111,"&gt;="&amp;$A112-1,$A$4:$A111,"&lt;="&amp;$A112,$B$4:$B111,$B112)&gt;0,MIN(BB$1,IF($A112=$A111,BB111,1))-AG112&lt;0),-1,MIN(1,IF($A112=$A111,BB111,1)-AG112+$D$3))</f>
        <v>#N/A</v>
      </c>
      <c r="BC112" t="e">
        <f>IF(OR($J112=0,COUNTIFS($A$4:$A111,"&gt;="&amp;$A112-1,$A$4:$A111,"&lt;="&amp;$A112,$B$4:$B111,$B112)&gt;0,MIN(BC$1,IF($A112=$A111,BC111,1))-AH112&lt;0),-1,MIN(1,IF($A112=$A111,BC111,1)-AH112+$D$3))</f>
        <v>#N/A</v>
      </c>
      <c r="BD112" t="e">
        <f>IF(OR($J112=0,COUNTIFS($A$4:$A111,"&gt;="&amp;$A112-1,$A$4:$A111,"&lt;="&amp;$A112,$B$4:$B111,$B112)&gt;0,MIN(BD$1,IF($A112=$A111,BD111,1))-AI112&lt;0),-1,MIN(1,IF($A112=$A111,BD111,1)-AI112+$D$3))</f>
        <v>#N/A</v>
      </c>
      <c r="BF112" s="44">
        <f t="shared" si="179"/>
        <v>8.3263615484111091E-3</v>
      </c>
      <c r="BG112" s="44">
        <f t="shared" si="180"/>
        <v>2.0476872590747472E-2</v>
      </c>
      <c r="BH112" s="44">
        <f t="shared" si="181"/>
        <v>2.0986640449468866E-2</v>
      </c>
      <c r="BI112" s="44">
        <f t="shared" si="182"/>
        <v>1.9385829080551784E-2</v>
      </c>
      <c r="BJ112" s="44">
        <f t="shared" si="183"/>
        <v>2.0037094767040492E-2</v>
      </c>
      <c r="BK112" s="44">
        <f t="shared" si="184"/>
        <v>8.6046755748351179E-3</v>
      </c>
      <c r="BL112" s="44">
        <f t="shared" si="185"/>
        <v>4.6483811176748343E-3</v>
      </c>
      <c r="BM112" s="44">
        <f t="shared" si="186"/>
        <v>1.1824938748493557E-2</v>
      </c>
      <c r="BN112" s="44">
        <f t="shared" si="187"/>
        <v>1.2298857879541445E-2</v>
      </c>
      <c r="BO112" s="44">
        <f t="shared" si="188"/>
        <v>5.7637114904448145E-3</v>
      </c>
      <c r="BP112" s="44">
        <f t="shared" si="189"/>
        <v>1.9380351469985044E-2</v>
      </c>
      <c r="BQ112" s="44">
        <f t="shared" si="190"/>
        <v>5.2299546061044975E-3</v>
      </c>
      <c r="BR112" s="44">
        <f t="shared" si="191"/>
        <v>1.5450595100984435E-2</v>
      </c>
      <c r="BS112" s="44">
        <f t="shared" si="192"/>
        <v>8.3327109691167991E-3</v>
      </c>
      <c r="BT112" s="44">
        <f t="shared" si="193"/>
        <v>3.297509191772427E-2</v>
      </c>
      <c r="BU112" s="44">
        <f t="shared" si="194"/>
        <v>3.1501135365825356E-2</v>
      </c>
      <c r="BV112" s="44">
        <f t="shared" si="195"/>
        <v>3.0252648213144752E-2</v>
      </c>
      <c r="BW112" s="44">
        <f t="shared" si="196"/>
        <v>1.9786896747249885E-2</v>
      </c>
      <c r="BX112" s="44">
        <f t="shared" si="197"/>
        <v>1.4618200001617862E-2</v>
      </c>
      <c r="BY112" s="44">
        <f t="shared" si="198"/>
        <v>1.2551404872699998E-2</v>
      </c>
      <c r="CA112" s="44" t="str">
        <f t="shared" si="199"/>
        <v/>
      </c>
      <c r="CB112" s="44" t="str">
        <f t="shared" si="200"/>
        <v/>
      </c>
      <c r="CC112" s="44" t="str">
        <f t="shared" si="201"/>
        <v/>
      </c>
      <c r="CD112" s="44" t="str">
        <f t="shared" si="202"/>
        <v/>
      </c>
      <c r="CE112" s="44" t="str">
        <f t="shared" si="203"/>
        <v/>
      </c>
      <c r="CF112" s="44" t="str">
        <f t="shared" si="204"/>
        <v/>
      </c>
      <c r="CG112" s="44" t="str">
        <f t="shared" si="205"/>
        <v/>
      </c>
      <c r="CH112" s="44" t="str">
        <f t="shared" si="206"/>
        <v/>
      </c>
      <c r="CI112" s="44" t="str">
        <f t="shared" si="207"/>
        <v/>
      </c>
      <c r="CJ112" s="44" t="str">
        <f t="shared" si="208"/>
        <v/>
      </c>
      <c r="CK112" s="44" t="str">
        <f t="shared" si="209"/>
        <v/>
      </c>
      <c r="CL112" s="44" t="str">
        <f t="shared" si="210"/>
        <v/>
      </c>
      <c r="CM112" s="44" t="str">
        <f t="shared" si="211"/>
        <v/>
      </c>
      <c r="CN112" s="44" t="str">
        <f t="shared" si="212"/>
        <v/>
      </c>
      <c r="CO112" s="44" t="str">
        <f t="shared" si="213"/>
        <v/>
      </c>
      <c r="CP112" s="44" t="str">
        <f t="shared" si="214"/>
        <v/>
      </c>
      <c r="CQ112" s="44" t="str">
        <f t="shared" si="215"/>
        <v/>
      </c>
      <c r="CR112" s="44" t="str">
        <f t="shared" si="216"/>
        <v/>
      </c>
      <c r="CS112" s="44" t="str">
        <f t="shared" si="217"/>
        <v/>
      </c>
      <c r="CT112" s="44" t="str">
        <f t="shared" si="218"/>
        <v/>
      </c>
      <c r="CV112" s="44">
        <f t="shared" si="219"/>
        <v>0</v>
      </c>
    </row>
    <row r="113" spans="1:100" x14ac:dyDescent="0.25">
      <c r="A113" s="41"/>
      <c r="B113" s="42"/>
      <c r="C113" s="43" t="str" cm="1">
        <f t="array" ref="C113">IF(B113="","",INDEX(UWS!$B$10:$B$41,B113))</f>
        <v/>
      </c>
      <c r="D113" s="40" t="str">
        <f t="shared" si="176"/>
        <v/>
      </c>
      <c r="E113" s="69" t="str">
        <f t="shared" si="177"/>
        <v/>
      </c>
      <c r="F113" s="48" cm="1">
        <f t="array" ref="F113">0.1+IFERROR(INDEX($F$5:$F112,SUMPRODUCT(MAX(ROW($C$5:$C112)*($C113=$C$5:$C112))-ROW($A$4)))*0.9^($A113-INDEX($A$5:A112,SUMPRODUCT(MAX(ROW($C$5:$C112)*($C113=$C$5:$C112))-ROW($A$4)))),0)</f>
        <v>4.7999999999999989</v>
      </c>
      <c r="G113" s="55" t="e">
        <f>INDEX(UWS!$AB$10:$AB$41,MATCH(C113,UWS!$B$10:$B$41,0))</f>
        <v>#N/A</v>
      </c>
      <c r="H113" s="48" t="e">
        <f>INDEX(UWS!$C$10:$C$41,MATCH(C113,UWS!$B$10:$B$41,0))</f>
        <v>#N/A</v>
      </c>
      <c r="I113" s="27">
        <f t="shared" si="178"/>
        <v>5</v>
      </c>
      <c r="J113" s="27" t="e">
        <f>INDEX(UWS!$E$10:$E$41,MATCH(C113,UWS!$B$10:$B$41,0))</f>
        <v>#N/A</v>
      </c>
      <c r="L113" s="108" t="str" cm="1">
        <f t="array" ref="L113">IF(K113="","",INDEX(UWS!$B$10:$B$41,K113))</f>
        <v/>
      </c>
      <c r="N113" s="108" t="str" cm="1">
        <f t="array" ref="N113">IF(M113="","",INDEX(UWS!$B$10:$B$41,M113))</f>
        <v/>
      </c>
      <c r="P113">
        <f>IFERROR(INDEX(UWS!$G$10:$Z$41,MATCH($C113,UWS!$B$10:$B$41,0),MATCH(P$4,UWS!$G$3:$Z$3,0)),0)</f>
        <v>0</v>
      </c>
      <c r="Q113">
        <f>IFERROR(INDEX(UWS!$G$10:$Z$41,MATCH($C113,UWS!$B$10:$B$41,0),MATCH(Q$4,UWS!$G$3:$Z$3,0)),0)</f>
        <v>0</v>
      </c>
      <c r="R113">
        <f>IFERROR(INDEX(UWS!$G$10:$Z$41,MATCH($C113,UWS!$B$10:$B$41,0),MATCH(R$4,UWS!$G$3:$Z$3,0)),0)</f>
        <v>0</v>
      </c>
      <c r="S113">
        <f>IFERROR(INDEX(UWS!$G$10:$Z$41,MATCH($C113,UWS!$B$10:$B$41,0),MATCH(S$4,UWS!$G$3:$Z$3,0)),0)</f>
        <v>0</v>
      </c>
      <c r="T113">
        <f>IFERROR(INDEX(UWS!$G$10:$Z$41,MATCH($C113,UWS!$B$10:$B$41,0),MATCH(T$4,UWS!$G$3:$Z$3,0)),0)</f>
        <v>0</v>
      </c>
      <c r="U113">
        <f>IFERROR(INDEX(UWS!$G$10:$Z$41,MATCH($C113,UWS!$B$10:$B$41,0),MATCH(U$4,UWS!$G$3:$Z$3,0)),0)</f>
        <v>0</v>
      </c>
      <c r="V113">
        <f>IFERROR(INDEX(UWS!$G$10:$Z$41,MATCH($C113,UWS!$B$10:$B$41,0),MATCH(V$4,UWS!$G$3:$Z$3,0)),0)</f>
        <v>0</v>
      </c>
      <c r="W113">
        <f>IFERROR(INDEX(UWS!$G$10:$Z$41,MATCH($C113,UWS!$B$10:$B$41,0),MATCH(W$4,UWS!$G$3:$Z$3,0)),0)</f>
        <v>0</v>
      </c>
      <c r="X113">
        <f>IFERROR(INDEX(UWS!$G$10:$Z$41,MATCH($C113,UWS!$B$10:$B$41,0),MATCH(X$4,UWS!$G$3:$Z$3,0)),0)</f>
        <v>0</v>
      </c>
      <c r="Y113">
        <f>IFERROR(INDEX(UWS!$G$10:$Z$41,MATCH($C113,UWS!$B$10:$B$41,0),MATCH(Y$4,UWS!$G$3:$Z$3,0)),0)</f>
        <v>0</v>
      </c>
      <c r="Z113">
        <f>IFERROR(INDEX(UWS!$G$10:$Z$41,MATCH($C113,UWS!$B$10:$B$41,0),MATCH(Z$4,UWS!$G$3:$Z$3,0)),0)</f>
        <v>0</v>
      </c>
      <c r="AA113">
        <f>IFERROR(INDEX(UWS!$G$10:$Z$41,MATCH($C113,UWS!$B$10:$B$41,0),MATCH(AA$4,UWS!$G$3:$Z$3,0)),0)</f>
        <v>0</v>
      </c>
      <c r="AB113">
        <f>IFERROR(INDEX(UWS!$G$10:$Z$41,MATCH($C113,UWS!$B$10:$B$41,0),MATCH(AB$4,UWS!$G$3:$Z$3,0)),0)</f>
        <v>0</v>
      </c>
      <c r="AC113">
        <f>IFERROR(INDEX(UWS!$G$10:$Z$41,MATCH($C113,UWS!$B$10:$B$41,0),MATCH(AC$4,UWS!$G$3:$Z$3,0)),0)</f>
        <v>0</v>
      </c>
      <c r="AD113">
        <f>IFERROR(INDEX(UWS!$G$10:$Z$41,MATCH($C113,UWS!$B$10:$B$41,0),MATCH(AD$4,UWS!$G$3:$Z$3,0)),0)</f>
        <v>0</v>
      </c>
      <c r="AE113">
        <f>IFERROR(INDEX(UWS!$G$10:$Z$41,MATCH($C113,UWS!$B$10:$B$41,0),MATCH(AE$4,UWS!$G$3:$Z$3,0)),0)</f>
        <v>0</v>
      </c>
      <c r="AF113">
        <f>IFERROR(INDEX(UWS!$G$10:$Z$41,MATCH($C113,UWS!$B$10:$B$41,0),MATCH(AF$4,UWS!$G$3:$Z$3,0)),0)</f>
        <v>0</v>
      </c>
      <c r="AG113">
        <f>IFERROR(INDEX(UWS!$G$10:$Z$41,MATCH($C113,UWS!$B$10:$B$41,0),MATCH(AG$4,UWS!$G$3:$Z$3,0)),0)</f>
        <v>0</v>
      </c>
      <c r="AH113">
        <f>IFERROR(INDEX(UWS!$G$10:$Z$41,MATCH($C113,UWS!$B$10:$B$41,0),MATCH(AH$4,UWS!$G$3:$Z$3,0)),0)</f>
        <v>0</v>
      </c>
      <c r="AI113">
        <f>IFERROR(INDEX(UWS!$G$10:$Z$41,MATCH($C113,UWS!$B$10:$B$41,0),MATCH(AI$4,UWS!$G$3:$Z$3,0)),0)</f>
        <v>0</v>
      </c>
      <c r="AK113" t="e">
        <f>IF(OR($J113=0,COUNTIFS($A$4:$A112,"&gt;="&amp;$A113-1,$A$4:$A112,"&lt;="&amp;$A113,$B$4:$B112,$B113)&gt;0,MIN(AK$1,IF($A113=$A112,AK112,1))-P113&lt;0),-1,MIN(1,IF($A113=$A112,AK112,1)-P113+$D$3))</f>
        <v>#N/A</v>
      </c>
      <c r="AL113" t="e">
        <f>IF(OR($J113=0,COUNTIFS($A$4:$A112,"&gt;="&amp;$A113-1,$A$4:$A112,"&lt;="&amp;$A113,$B$4:$B112,$B113)&gt;0,MIN(AL$1,IF($A113=$A112,AL112,1))-Q113&lt;0),-1,MIN(1,IF($A113=$A112,AL112,1)-Q113+$D$3))</f>
        <v>#N/A</v>
      </c>
      <c r="AM113" t="e">
        <f>IF(OR($J113=0,COUNTIFS($A$4:$A112,"&gt;="&amp;$A113-1,$A$4:$A112,"&lt;="&amp;$A113,$B$4:$B112,$B113)&gt;0,MIN(AM$1,IF($A113=$A112,AM112,1))-R113&lt;0),-1,MIN(1,IF($A113=$A112,AM112,1)-R113+$D$3))</f>
        <v>#N/A</v>
      </c>
      <c r="AN113" t="e">
        <f>IF(OR($J113=0,COUNTIFS($A$4:$A112,"&gt;="&amp;$A113-1,$A$4:$A112,"&lt;="&amp;$A113,$B$4:$B112,$B113)&gt;0,MIN(AN$1,IF($A113=$A112,AN112,1))-S113&lt;0),-1,MIN(1,IF($A113=$A112,AN112,1)-S113+$D$3))</f>
        <v>#N/A</v>
      </c>
      <c r="AO113" t="e">
        <f>IF(OR($J113=0,COUNTIFS($A$4:$A112,"&gt;="&amp;$A113-1,$A$4:$A112,"&lt;="&amp;$A113,$B$4:$B112,$B113)&gt;0,MIN(AO$1,IF($A113=$A112,AO112,1))-T113&lt;0),-1,MIN(1,IF($A113=$A112,AO112,1)-T113+$D$3))</f>
        <v>#N/A</v>
      </c>
      <c r="AP113" t="e">
        <f>IF(OR($J113=0,COUNTIFS($A$4:$A112,"&gt;="&amp;$A113-1,$A$4:$A112,"&lt;="&amp;$A113,$B$4:$B112,$B113)&gt;0,MIN(AP$1,IF($A113=$A112,AP112,1))-U113&lt;0),-1,MIN(1,IF($A113=$A112,AP112,1)-U113+$D$3))</f>
        <v>#N/A</v>
      </c>
      <c r="AQ113" t="e">
        <f>IF(OR($J113=0,COUNTIFS($A$4:$A112,"&gt;="&amp;$A113-1,$A$4:$A112,"&lt;="&amp;$A113,$B$4:$B112,$B113)&gt;0,MIN(AQ$1,IF($A113=$A112,AQ112,1))-V113&lt;0),-1,MIN(1,IF($A113=$A112,AQ112,1)-V113+$D$3))</f>
        <v>#N/A</v>
      </c>
      <c r="AR113" t="e">
        <f>IF(OR($J113=0,COUNTIFS($A$4:$A112,"&gt;="&amp;$A113-1,$A$4:$A112,"&lt;="&amp;$A113,$B$4:$B112,$B113)&gt;0,MIN(AR$1,IF($A113=$A112,AR112,1))-W113&lt;0),-1,MIN(1,IF($A113=$A112,AR112,1)-W113+$D$3))</f>
        <v>#N/A</v>
      </c>
      <c r="AS113" t="e">
        <f>IF(OR($J113=0,COUNTIFS($A$4:$A112,"&gt;="&amp;$A113-1,$A$4:$A112,"&lt;="&amp;$A113,$B$4:$B112,$B113)&gt;0,MIN(AS$1,IF($A113=$A112,AS112,1))-X113&lt;0),-1,MIN(1,IF($A113=$A112,AS112,1)-X113+$D$3))</f>
        <v>#N/A</v>
      </c>
      <c r="AT113" t="e">
        <f>IF(OR($J113=0,COUNTIFS($A$4:$A112,"&gt;="&amp;$A113-1,$A$4:$A112,"&lt;="&amp;$A113,$B$4:$B112,$B113)&gt;0,MIN(AT$1,IF($A113=$A112,AT112,1))-Y113&lt;0),-1,MIN(1,IF($A113=$A112,AT112,1)-Y113+$D$3))</f>
        <v>#N/A</v>
      </c>
      <c r="AU113" t="e">
        <f>IF(OR($J113=0,COUNTIFS($A$4:$A112,"&gt;="&amp;$A113-1,$A$4:$A112,"&lt;="&amp;$A113,$B$4:$B112,$B113)&gt;0,MIN(AU$1,IF($A113=$A112,AU112,1))-Z113&lt;0),-1,MIN(1,IF($A113=$A112,AU112,1)-Z113+$D$3))</f>
        <v>#N/A</v>
      </c>
      <c r="AV113" t="e">
        <f>IF(OR($J113=0,COUNTIFS($A$4:$A112,"&gt;="&amp;$A113-1,$A$4:$A112,"&lt;="&amp;$A113,$B$4:$B112,$B113)&gt;0,MIN(AV$1,IF($A113=$A112,AV112,1))-AA113&lt;0),-1,MIN(1,IF($A113=$A112,AV112,1)-AA113+$D$3))</f>
        <v>#N/A</v>
      </c>
      <c r="AW113" t="e">
        <f>IF(OR($J113=0,COUNTIFS($A$4:$A112,"&gt;="&amp;$A113-1,$A$4:$A112,"&lt;="&amp;$A113,$B$4:$B112,$B113)&gt;0,MIN(AW$1,IF($A113=$A112,AW112,1))-AB113&lt;0),-1,MIN(1,IF($A113=$A112,AW112,1)-AB113+$D$3))</f>
        <v>#N/A</v>
      </c>
      <c r="AX113" t="e">
        <f>IF(OR($J113=0,COUNTIFS($A$4:$A112,"&gt;="&amp;$A113-1,$A$4:$A112,"&lt;="&amp;$A113,$B$4:$B112,$B113)&gt;0,MIN(AX$1,IF($A113=$A112,AX112,1))-AC113&lt;0),-1,MIN(1,IF($A113=$A112,AX112,1)-AC113+$D$3))</f>
        <v>#N/A</v>
      </c>
      <c r="AY113" t="e">
        <f>IF(OR($J113=0,COUNTIFS($A$4:$A112,"&gt;="&amp;$A113-1,$A$4:$A112,"&lt;="&amp;$A113,$B$4:$B112,$B113)&gt;0,MIN(AY$1,IF($A113=$A112,AY112,1))-AD113&lt;0),-1,MIN(1,IF($A113=$A112,AY112,1)-AD113+$D$3))</f>
        <v>#N/A</v>
      </c>
      <c r="AZ113" t="e">
        <f>IF(OR($J113=0,COUNTIFS($A$4:$A112,"&gt;="&amp;$A113-1,$A$4:$A112,"&lt;="&amp;$A113,$B$4:$B112,$B113)&gt;0,MIN(AZ$1,IF($A113=$A112,AZ112,1))-AE113&lt;0),-1,MIN(1,IF($A113=$A112,AZ112,1)-AE113+$D$3))</f>
        <v>#N/A</v>
      </c>
      <c r="BA113" t="e">
        <f>IF(OR($J113=0,COUNTIFS($A$4:$A112,"&gt;="&amp;$A113-1,$A$4:$A112,"&lt;="&amp;$A113,$B$4:$B112,$B113)&gt;0,MIN(BA$1,IF($A113=$A112,BA112,1))-AF113&lt;0),-1,MIN(1,IF($A113=$A112,BA112,1)-AF113+$D$3))</f>
        <v>#N/A</v>
      </c>
      <c r="BB113" t="e">
        <f>IF(OR($J113=0,COUNTIFS($A$4:$A112,"&gt;="&amp;$A113-1,$A$4:$A112,"&lt;="&amp;$A113,$B$4:$B112,$B113)&gt;0,MIN(BB$1,IF($A113=$A112,BB112,1))-AG113&lt;0),-1,MIN(1,IF($A113=$A112,BB112,1)-AG113+$D$3))</f>
        <v>#N/A</v>
      </c>
      <c r="BC113" t="e">
        <f>IF(OR($J113=0,COUNTIFS($A$4:$A112,"&gt;="&amp;$A113-1,$A$4:$A112,"&lt;="&amp;$A113,$B$4:$B112,$B113)&gt;0,MIN(BC$1,IF($A113=$A112,BC112,1))-AH113&lt;0),-1,MIN(1,IF($A113=$A112,BC112,1)-AH113+$D$3))</f>
        <v>#N/A</v>
      </c>
      <c r="BD113" t="e">
        <f>IF(OR($J113=0,COUNTIFS($A$4:$A112,"&gt;="&amp;$A113-1,$A$4:$A112,"&lt;="&amp;$A113,$B$4:$B112,$B113)&gt;0,MIN(BD$1,IF($A113=$A112,BD112,1))-AI113&lt;0),-1,MIN(1,IF($A113=$A112,BD112,1)-AI113+$D$3))</f>
        <v>#N/A</v>
      </c>
      <c r="BF113" s="44">
        <f t="shared" si="179"/>
        <v>7.9100434709905524E-3</v>
      </c>
      <c r="BG113" s="44">
        <f t="shared" si="180"/>
        <v>1.9453028961210098E-2</v>
      </c>
      <c r="BH113" s="44">
        <f t="shared" si="181"/>
        <v>1.9937308426995422E-2</v>
      </c>
      <c r="BI113" s="44">
        <f t="shared" si="182"/>
        <v>1.8416537626524194E-2</v>
      </c>
      <c r="BJ113" s="44">
        <f t="shared" si="183"/>
        <v>1.9035240028688467E-2</v>
      </c>
      <c r="BK113" s="44">
        <f t="shared" si="184"/>
        <v>8.1744417960933624E-3</v>
      </c>
      <c r="BL113" s="44">
        <f t="shared" si="185"/>
        <v>4.415962061791092E-3</v>
      </c>
      <c r="BM113" s="44">
        <f t="shared" si="186"/>
        <v>1.1233691811068879E-2</v>
      </c>
      <c r="BN113" s="44">
        <f t="shared" si="187"/>
        <v>1.1683914985564372E-2</v>
      </c>
      <c r="BO113" s="44">
        <f t="shared" si="188"/>
        <v>5.4755259159225732E-3</v>
      </c>
      <c r="BP113" s="44">
        <f t="shared" si="189"/>
        <v>1.841133389648579E-2</v>
      </c>
      <c r="BQ113" s="44">
        <f t="shared" si="190"/>
        <v>4.9684568757992721E-3</v>
      </c>
      <c r="BR113" s="44">
        <f t="shared" si="191"/>
        <v>1.4678065345935213E-2</v>
      </c>
      <c r="BS113" s="44">
        <f t="shared" si="192"/>
        <v>7.916075420660959E-3</v>
      </c>
      <c r="BT113" s="44">
        <f t="shared" si="193"/>
        <v>3.1326337321838052E-2</v>
      </c>
      <c r="BU113" s="44">
        <f t="shared" si="194"/>
        <v>2.9926078597534087E-2</v>
      </c>
      <c r="BV113" s="44">
        <f t="shared" si="195"/>
        <v>2.8740015802487515E-2</v>
      </c>
      <c r="BW113" s="44">
        <f t="shared" si="196"/>
        <v>1.879755190988739E-2</v>
      </c>
      <c r="BX113" s="44">
        <f t="shared" si="197"/>
        <v>1.3887290001536969E-2</v>
      </c>
      <c r="BY113" s="44">
        <f t="shared" si="198"/>
        <v>1.1923834629064997E-2</v>
      </c>
      <c r="CA113" s="44" t="str">
        <f t="shared" si="199"/>
        <v/>
      </c>
      <c r="CB113" s="44" t="str">
        <f t="shared" si="200"/>
        <v/>
      </c>
      <c r="CC113" s="44" t="str">
        <f t="shared" si="201"/>
        <v/>
      </c>
      <c r="CD113" s="44" t="str">
        <f t="shared" si="202"/>
        <v/>
      </c>
      <c r="CE113" s="44" t="str">
        <f t="shared" si="203"/>
        <v/>
      </c>
      <c r="CF113" s="44" t="str">
        <f t="shared" si="204"/>
        <v/>
      </c>
      <c r="CG113" s="44" t="str">
        <f t="shared" si="205"/>
        <v/>
      </c>
      <c r="CH113" s="44" t="str">
        <f t="shared" si="206"/>
        <v/>
      </c>
      <c r="CI113" s="44" t="str">
        <f t="shared" si="207"/>
        <v/>
      </c>
      <c r="CJ113" s="44" t="str">
        <f t="shared" si="208"/>
        <v/>
      </c>
      <c r="CK113" s="44" t="str">
        <f t="shared" si="209"/>
        <v/>
      </c>
      <c r="CL113" s="44" t="str">
        <f t="shared" si="210"/>
        <v/>
      </c>
      <c r="CM113" s="44" t="str">
        <f t="shared" si="211"/>
        <v/>
      </c>
      <c r="CN113" s="44" t="str">
        <f t="shared" si="212"/>
        <v/>
      </c>
      <c r="CO113" s="44" t="str">
        <f t="shared" si="213"/>
        <v/>
      </c>
      <c r="CP113" s="44" t="str">
        <f t="shared" si="214"/>
        <v/>
      </c>
      <c r="CQ113" s="44" t="str">
        <f t="shared" si="215"/>
        <v/>
      </c>
      <c r="CR113" s="44" t="str">
        <f t="shared" si="216"/>
        <v/>
      </c>
      <c r="CS113" s="44" t="str">
        <f t="shared" si="217"/>
        <v/>
      </c>
      <c r="CT113" s="44" t="str">
        <f t="shared" si="218"/>
        <v/>
      </c>
      <c r="CV113" s="44">
        <f t="shared" si="219"/>
        <v>0</v>
      </c>
    </row>
    <row r="114" spans="1:100" x14ac:dyDescent="0.25">
      <c r="A114" s="41"/>
      <c r="B114" s="42"/>
      <c r="C114" s="43" t="str" cm="1">
        <f t="array" ref="C114">IF(B114="","",INDEX(UWS!$B$10:$B$41,B114))</f>
        <v/>
      </c>
      <c r="D114" s="40" t="str">
        <f t="shared" si="176"/>
        <v/>
      </c>
      <c r="E114" s="69" t="str">
        <f t="shared" si="177"/>
        <v/>
      </c>
      <c r="F114" s="48" cm="1">
        <f t="array" ref="F114">0.1+IFERROR(INDEX($F$5:$F113,SUMPRODUCT(MAX(ROW($C$5:$C113)*($C114=$C$5:$C113))-ROW($A$4)))*0.9^($A114-INDEX($A$5:A113,SUMPRODUCT(MAX(ROW($C$5:$C113)*($C114=$C$5:$C113))-ROW($A$4)))),0)</f>
        <v>4.8999999999999986</v>
      </c>
      <c r="G114" s="55" t="e">
        <f>INDEX(UWS!$AB$10:$AB$41,MATCH(C114,UWS!$B$10:$B$41,0))</f>
        <v>#N/A</v>
      </c>
      <c r="H114" s="48" t="e">
        <f>INDEX(UWS!$C$10:$C$41,MATCH(C114,UWS!$B$10:$B$41,0))</f>
        <v>#N/A</v>
      </c>
      <c r="I114" s="27">
        <f t="shared" si="178"/>
        <v>5</v>
      </c>
      <c r="J114" s="27" t="e">
        <f>INDEX(UWS!$E$10:$E$41,MATCH(C114,UWS!$B$10:$B$41,0))</f>
        <v>#N/A</v>
      </c>
      <c r="L114" s="108" t="str" cm="1">
        <f t="array" ref="L114">IF(K114="","",INDEX(UWS!$B$10:$B$41,K114))</f>
        <v/>
      </c>
      <c r="N114" s="108" t="str" cm="1">
        <f t="array" ref="N114">IF(M114="","",INDEX(UWS!$B$10:$B$41,M114))</f>
        <v/>
      </c>
      <c r="P114">
        <f>IFERROR(INDEX(UWS!$G$10:$Z$41,MATCH($C114,UWS!$B$10:$B$41,0),MATCH(P$4,UWS!$G$3:$Z$3,0)),0)</f>
        <v>0</v>
      </c>
      <c r="Q114">
        <f>IFERROR(INDEX(UWS!$G$10:$Z$41,MATCH($C114,UWS!$B$10:$B$41,0),MATCH(Q$4,UWS!$G$3:$Z$3,0)),0)</f>
        <v>0</v>
      </c>
      <c r="R114">
        <f>IFERROR(INDEX(UWS!$G$10:$Z$41,MATCH($C114,UWS!$B$10:$B$41,0),MATCH(R$4,UWS!$G$3:$Z$3,0)),0)</f>
        <v>0</v>
      </c>
      <c r="S114">
        <f>IFERROR(INDEX(UWS!$G$10:$Z$41,MATCH($C114,UWS!$B$10:$B$41,0),MATCH(S$4,UWS!$G$3:$Z$3,0)),0)</f>
        <v>0</v>
      </c>
      <c r="T114">
        <f>IFERROR(INDEX(UWS!$G$10:$Z$41,MATCH($C114,UWS!$B$10:$B$41,0),MATCH(T$4,UWS!$G$3:$Z$3,0)),0)</f>
        <v>0</v>
      </c>
      <c r="U114">
        <f>IFERROR(INDEX(UWS!$G$10:$Z$41,MATCH($C114,UWS!$B$10:$B$41,0),MATCH(U$4,UWS!$G$3:$Z$3,0)),0)</f>
        <v>0</v>
      </c>
      <c r="V114">
        <f>IFERROR(INDEX(UWS!$G$10:$Z$41,MATCH($C114,UWS!$B$10:$B$41,0),MATCH(V$4,UWS!$G$3:$Z$3,0)),0)</f>
        <v>0</v>
      </c>
      <c r="W114">
        <f>IFERROR(INDEX(UWS!$G$10:$Z$41,MATCH($C114,UWS!$B$10:$B$41,0),MATCH(W$4,UWS!$G$3:$Z$3,0)),0)</f>
        <v>0</v>
      </c>
      <c r="X114">
        <f>IFERROR(INDEX(UWS!$G$10:$Z$41,MATCH($C114,UWS!$B$10:$B$41,0),MATCH(X$4,UWS!$G$3:$Z$3,0)),0)</f>
        <v>0</v>
      </c>
      <c r="Y114">
        <f>IFERROR(INDEX(UWS!$G$10:$Z$41,MATCH($C114,UWS!$B$10:$B$41,0),MATCH(Y$4,UWS!$G$3:$Z$3,0)),0)</f>
        <v>0</v>
      </c>
      <c r="Z114">
        <f>IFERROR(INDEX(UWS!$G$10:$Z$41,MATCH($C114,UWS!$B$10:$B$41,0),MATCH(Z$4,UWS!$G$3:$Z$3,0)),0)</f>
        <v>0</v>
      </c>
      <c r="AA114">
        <f>IFERROR(INDEX(UWS!$G$10:$Z$41,MATCH($C114,UWS!$B$10:$B$41,0),MATCH(AA$4,UWS!$G$3:$Z$3,0)),0)</f>
        <v>0</v>
      </c>
      <c r="AB114">
        <f>IFERROR(INDEX(UWS!$G$10:$Z$41,MATCH($C114,UWS!$B$10:$B$41,0),MATCH(AB$4,UWS!$G$3:$Z$3,0)),0)</f>
        <v>0</v>
      </c>
      <c r="AC114">
        <f>IFERROR(INDEX(UWS!$G$10:$Z$41,MATCH($C114,UWS!$B$10:$B$41,0),MATCH(AC$4,UWS!$G$3:$Z$3,0)),0)</f>
        <v>0</v>
      </c>
      <c r="AD114">
        <f>IFERROR(INDEX(UWS!$G$10:$Z$41,MATCH($C114,UWS!$B$10:$B$41,0),MATCH(AD$4,UWS!$G$3:$Z$3,0)),0)</f>
        <v>0</v>
      </c>
      <c r="AE114">
        <f>IFERROR(INDEX(UWS!$G$10:$Z$41,MATCH($C114,UWS!$B$10:$B$41,0),MATCH(AE$4,UWS!$G$3:$Z$3,0)),0)</f>
        <v>0</v>
      </c>
      <c r="AF114">
        <f>IFERROR(INDEX(UWS!$G$10:$Z$41,MATCH($C114,UWS!$B$10:$B$41,0),MATCH(AF$4,UWS!$G$3:$Z$3,0)),0)</f>
        <v>0</v>
      </c>
      <c r="AG114">
        <f>IFERROR(INDEX(UWS!$G$10:$Z$41,MATCH($C114,UWS!$B$10:$B$41,0),MATCH(AG$4,UWS!$G$3:$Z$3,0)),0)</f>
        <v>0</v>
      </c>
      <c r="AH114">
        <f>IFERROR(INDEX(UWS!$G$10:$Z$41,MATCH($C114,UWS!$B$10:$B$41,0),MATCH(AH$4,UWS!$G$3:$Z$3,0)),0)</f>
        <v>0</v>
      </c>
      <c r="AI114">
        <f>IFERROR(INDEX(UWS!$G$10:$Z$41,MATCH($C114,UWS!$B$10:$B$41,0),MATCH(AI$4,UWS!$G$3:$Z$3,0)),0)</f>
        <v>0</v>
      </c>
      <c r="AK114" t="e">
        <f>IF(OR($J114=0,COUNTIFS($A$4:$A113,"&gt;="&amp;$A114-1,$A$4:$A113,"&lt;="&amp;$A114,$B$4:$B113,$B114)&gt;0,MIN(AK$1,IF($A114=$A113,AK113,1))-P114&lt;0),-1,MIN(1,IF($A114=$A113,AK113,1)-P114+$D$3))</f>
        <v>#N/A</v>
      </c>
      <c r="AL114" t="e">
        <f>IF(OR($J114=0,COUNTIFS($A$4:$A113,"&gt;="&amp;$A114-1,$A$4:$A113,"&lt;="&amp;$A114,$B$4:$B113,$B114)&gt;0,MIN(AL$1,IF($A114=$A113,AL113,1))-Q114&lt;0),-1,MIN(1,IF($A114=$A113,AL113,1)-Q114+$D$3))</f>
        <v>#N/A</v>
      </c>
      <c r="AM114" t="e">
        <f>IF(OR($J114=0,COUNTIFS($A$4:$A113,"&gt;="&amp;$A114-1,$A$4:$A113,"&lt;="&amp;$A114,$B$4:$B113,$B114)&gt;0,MIN(AM$1,IF($A114=$A113,AM113,1))-R114&lt;0),-1,MIN(1,IF($A114=$A113,AM113,1)-R114+$D$3))</f>
        <v>#N/A</v>
      </c>
      <c r="AN114" t="e">
        <f>IF(OR($J114=0,COUNTIFS($A$4:$A113,"&gt;="&amp;$A114-1,$A$4:$A113,"&lt;="&amp;$A114,$B$4:$B113,$B114)&gt;0,MIN(AN$1,IF($A114=$A113,AN113,1))-S114&lt;0),-1,MIN(1,IF($A114=$A113,AN113,1)-S114+$D$3))</f>
        <v>#N/A</v>
      </c>
      <c r="AO114" t="e">
        <f>IF(OR($J114=0,COUNTIFS($A$4:$A113,"&gt;="&amp;$A114-1,$A$4:$A113,"&lt;="&amp;$A114,$B$4:$B113,$B114)&gt;0,MIN(AO$1,IF($A114=$A113,AO113,1))-T114&lt;0),-1,MIN(1,IF($A114=$A113,AO113,1)-T114+$D$3))</f>
        <v>#N/A</v>
      </c>
      <c r="AP114" t="e">
        <f>IF(OR($J114=0,COUNTIFS($A$4:$A113,"&gt;="&amp;$A114-1,$A$4:$A113,"&lt;="&amp;$A114,$B$4:$B113,$B114)&gt;0,MIN(AP$1,IF($A114=$A113,AP113,1))-U114&lt;0),-1,MIN(1,IF($A114=$A113,AP113,1)-U114+$D$3))</f>
        <v>#N/A</v>
      </c>
      <c r="AQ114" t="e">
        <f>IF(OR($J114=0,COUNTIFS($A$4:$A113,"&gt;="&amp;$A114-1,$A$4:$A113,"&lt;="&amp;$A114,$B$4:$B113,$B114)&gt;0,MIN(AQ$1,IF($A114=$A113,AQ113,1))-V114&lt;0),-1,MIN(1,IF($A114=$A113,AQ113,1)-V114+$D$3))</f>
        <v>#N/A</v>
      </c>
      <c r="AR114" t="e">
        <f>IF(OR($J114=0,COUNTIFS($A$4:$A113,"&gt;="&amp;$A114-1,$A$4:$A113,"&lt;="&amp;$A114,$B$4:$B113,$B114)&gt;0,MIN(AR$1,IF($A114=$A113,AR113,1))-W114&lt;0),-1,MIN(1,IF($A114=$A113,AR113,1)-W114+$D$3))</f>
        <v>#N/A</v>
      </c>
      <c r="AS114" t="e">
        <f>IF(OR($J114=0,COUNTIFS($A$4:$A113,"&gt;="&amp;$A114-1,$A$4:$A113,"&lt;="&amp;$A114,$B$4:$B113,$B114)&gt;0,MIN(AS$1,IF($A114=$A113,AS113,1))-X114&lt;0),-1,MIN(1,IF($A114=$A113,AS113,1)-X114+$D$3))</f>
        <v>#N/A</v>
      </c>
      <c r="AT114" t="e">
        <f>IF(OR($J114=0,COUNTIFS($A$4:$A113,"&gt;="&amp;$A114-1,$A$4:$A113,"&lt;="&amp;$A114,$B$4:$B113,$B114)&gt;0,MIN(AT$1,IF($A114=$A113,AT113,1))-Y114&lt;0),-1,MIN(1,IF($A114=$A113,AT113,1)-Y114+$D$3))</f>
        <v>#N/A</v>
      </c>
      <c r="AU114" t="e">
        <f>IF(OR($J114=0,COUNTIFS($A$4:$A113,"&gt;="&amp;$A114-1,$A$4:$A113,"&lt;="&amp;$A114,$B$4:$B113,$B114)&gt;0,MIN(AU$1,IF($A114=$A113,AU113,1))-Z114&lt;0),-1,MIN(1,IF($A114=$A113,AU113,1)-Z114+$D$3))</f>
        <v>#N/A</v>
      </c>
      <c r="AV114" t="e">
        <f>IF(OR($J114=0,COUNTIFS($A$4:$A113,"&gt;="&amp;$A114-1,$A$4:$A113,"&lt;="&amp;$A114,$B$4:$B113,$B114)&gt;0,MIN(AV$1,IF($A114=$A113,AV113,1))-AA114&lt;0),-1,MIN(1,IF($A114=$A113,AV113,1)-AA114+$D$3))</f>
        <v>#N/A</v>
      </c>
      <c r="AW114" t="e">
        <f>IF(OR($J114=0,COUNTIFS($A$4:$A113,"&gt;="&amp;$A114-1,$A$4:$A113,"&lt;="&amp;$A114,$B$4:$B113,$B114)&gt;0,MIN(AW$1,IF($A114=$A113,AW113,1))-AB114&lt;0),-1,MIN(1,IF($A114=$A113,AW113,1)-AB114+$D$3))</f>
        <v>#N/A</v>
      </c>
      <c r="AX114" t="e">
        <f>IF(OR($J114=0,COUNTIFS($A$4:$A113,"&gt;="&amp;$A114-1,$A$4:$A113,"&lt;="&amp;$A114,$B$4:$B113,$B114)&gt;0,MIN(AX$1,IF($A114=$A113,AX113,1))-AC114&lt;0),-1,MIN(1,IF($A114=$A113,AX113,1)-AC114+$D$3))</f>
        <v>#N/A</v>
      </c>
      <c r="AY114" t="e">
        <f>IF(OR($J114=0,COUNTIFS($A$4:$A113,"&gt;="&amp;$A114-1,$A$4:$A113,"&lt;="&amp;$A114,$B$4:$B113,$B114)&gt;0,MIN(AY$1,IF($A114=$A113,AY113,1))-AD114&lt;0),-1,MIN(1,IF($A114=$A113,AY113,1)-AD114+$D$3))</f>
        <v>#N/A</v>
      </c>
      <c r="AZ114" t="e">
        <f>IF(OR($J114=0,COUNTIFS($A$4:$A113,"&gt;="&amp;$A114-1,$A$4:$A113,"&lt;="&amp;$A114,$B$4:$B113,$B114)&gt;0,MIN(AZ$1,IF($A114=$A113,AZ113,1))-AE114&lt;0),-1,MIN(1,IF($A114=$A113,AZ113,1)-AE114+$D$3))</f>
        <v>#N/A</v>
      </c>
      <c r="BA114" t="e">
        <f>IF(OR($J114=0,COUNTIFS($A$4:$A113,"&gt;="&amp;$A114-1,$A$4:$A113,"&lt;="&amp;$A114,$B$4:$B113,$B114)&gt;0,MIN(BA$1,IF($A114=$A113,BA113,1))-AF114&lt;0),-1,MIN(1,IF($A114=$A113,BA113,1)-AF114+$D$3))</f>
        <v>#N/A</v>
      </c>
      <c r="BB114" t="e">
        <f>IF(OR($J114=0,COUNTIFS($A$4:$A113,"&gt;="&amp;$A114-1,$A$4:$A113,"&lt;="&amp;$A114,$B$4:$B113,$B114)&gt;0,MIN(BB$1,IF($A114=$A113,BB113,1))-AG114&lt;0),-1,MIN(1,IF($A114=$A113,BB113,1)-AG114+$D$3))</f>
        <v>#N/A</v>
      </c>
      <c r="BC114" t="e">
        <f>IF(OR($J114=0,COUNTIFS($A$4:$A113,"&gt;="&amp;$A114-1,$A$4:$A113,"&lt;="&amp;$A114,$B$4:$B113,$B114)&gt;0,MIN(BC$1,IF($A114=$A113,BC113,1))-AH114&lt;0),-1,MIN(1,IF($A114=$A113,BC113,1)-AH114+$D$3))</f>
        <v>#N/A</v>
      </c>
      <c r="BD114" t="e">
        <f>IF(OR($J114=0,COUNTIFS($A$4:$A113,"&gt;="&amp;$A114-1,$A$4:$A113,"&lt;="&amp;$A114,$B$4:$B113,$B114)&gt;0,MIN(BD$1,IF($A114=$A113,BD113,1))-AI114&lt;0),-1,MIN(1,IF($A114=$A113,BD113,1)-AI114+$D$3))</f>
        <v>#N/A</v>
      </c>
      <c r="BF114" s="44">
        <f t="shared" si="179"/>
        <v>7.5145412974410245E-3</v>
      </c>
      <c r="BG114" s="44">
        <f t="shared" si="180"/>
        <v>1.8480377513149591E-2</v>
      </c>
      <c r="BH114" s="44">
        <f t="shared" si="181"/>
        <v>1.8940443005645652E-2</v>
      </c>
      <c r="BI114" s="44">
        <f t="shared" si="182"/>
        <v>1.7495710745197984E-2</v>
      </c>
      <c r="BJ114" s="44">
        <f t="shared" si="183"/>
        <v>1.8083478027254043E-2</v>
      </c>
      <c r="BK114" s="44">
        <f t="shared" si="184"/>
        <v>7.7657197062886941E-3</v>
      </c>
      <c r="BL114" s="44">
        <f t="shared" si="185"/>
        <v>4.1951639587015374E-3</v>
      </c>
      <c r="BM114" s="44">
        <f t="shared" si="186"/>
        <v>1.0672007220515435E-2</v>
      </c>
      <c r="BN114" s="44">
        <f t="shared" si="187"/>
        <v>1.1099719236286153E-2</v>
      </c>
      <c r="BO114" s="44">
        <f t="shared" si="188"/>
        <v>5.2017496201264444E-3</v>
      </c>
      <c r="BP114" s="44">
        <f t="shared" si="189"/>
        <v>1.7490767201661501E-2</v>
      </c>
      <c r="BQ114" s="44">
        <f t="shared" si="190"/>
        <v>4.7200340320093081E-3</v>
      </c>
      <c r="BR114" s="44">
        <f t="shared" si="191"/>
        <v>1.3944162078638451E-2</v>
      </c>
      <c r="BS114" s="44">
        <f t="shared" si="192"/>
        <v>7.5202716496279107E-3</v>
      </c>
      <c r="BT114" s="44">
        <f t="shared" si="193"/>
        <v>2.9760020455746147E-2</v>
      </c>
      <c r="BU114" s="44">
        <f t="shared" si="194"/>
        <v>2.8429774667657382E-2</v>
      </c>
      <c r="BV114" s="44">
        <f t="shared" si="195"/>
        <v>2.7303015012363138E-2</v>
      </c>
      <c r="BW114" s="44">
        <f t="shared" si="196"/>
        <v>1.7857674314393019E-2</v>
      </c>
      <c r="BX114" s="44">
        <f t="shared" si="197"/>
        <v>1.3192925501460119E-2</v>
      </c>
      <c r="BY114" s="44">
        <f t="shared" si="198"/>
        <v>1.1327642897611748E-2</v>
      </c>
      <c r="CA114" s="44" t="str">
        <f t="shared" si="199"/>
        <v/>
      </c>
      <c r="CB114" s="44" t="str">
        <f t="shared" si="200"/>
        <v/>
      </c>
      <c r="CC114" s="44" t="str">
        <f t="shared" si="201"/>
        <v/>
      </c>
      <c r="CD114" s="44" t="str">
        <f t="shared" si="202"/>
        <v/>
      </c>
      <c r="CE114" s="44" t="str">
        <f t="shared" si="203"/>
        <v/>
      </c>
      <c r="CF114" s="44" t="str">
        <f t="shared" si="204"/>
        <v/>
      </c>
      <c r="CG114" s="44" t="str">
        <f t="shared" si="205"/>
        <v/>
      </c>
      <c r="CH114" s="44" t="str">
        <f t="shared" si="206"/>
        <v/>
      </c>
      <c r="CI114" s="44" t="str">
        <f t="shared" si="207"/>
        <v/>
      </c>
      <c r="CJ114" s="44" t="str">
        <f t="shared" si="208"/>
        <v/>
      </c>
      <c r="CK114" s="44" t="str">
        <f t="shared" si="209"/>
        <v/>
      </c>
      <c r="CL114" s="44" t="str">
        <f t="shared" si="210"/>
        <v/>
      </c>
      <c r="CM114" s="44" t="str">
        <f t="shared" si="211"/>
        <v/>
      </c>
      <c r="CN114" s="44" t="str">
        <f t="shared" si="212"/>
        <v/>
      </c>
      <c r="CO114" s="44" t="str">
        <f t="shared" si="213"/>
        <v/>
      </c>
      <c r="CP114" s="44" t="str">
        <f t="shared" si="214"/>
        <v/>
      </c>
      <c r="CQ114" s="44" t="str">
        <f t="shared" si="215"/>
        <v/>
      </c>
      <c r="CR114" s="44" t="str">
        <f t="shared" si="216"/>
        <v/>
      </c>
      <c r="CS114" s="44" t="str">
        <f t="shared" si="217"/>
        <v/>
      </c>
      <c r="CT114" s="44" t="str">
        <f t="shared" si="218"/>
        <v/>
      </c>
      <c r="CV114" s="44">
        <f t="shared" si="219"/>
        <v>0</v>
      </c>
    </row>
    <row r="115" spans="1:100" x14ac:dyDescent="0.25">
      <c r="A115" s="49"/>
      <c r="B115" s="50"/>
      <c r="C115" s="51" t="str" cm="1">
        <f t="array" ref="C115">IF(B115="","",INDEX(UWS!$B$10:$B$41,B115))</f>
        <v/>
      </c>
      <c r="D115" s="45" t="str">
        <f t="shared" ref="D115:D178" si="220">IF(C115="","",MIN(AK115:BD115))</f>
        <v/>
      </c>
      <c r="E115" s="70" t="str">
        <f t="shared" ref="E115:E178" si="221">IF(C115="","",IFERROR((H115/$H$2)^$H$1*(CV115/$CV114)^$CV$1*(F115/$F$2)^$F$1*(G115/$G$2)^IF(B115&lt;=5,0,($G$1-$G$3*(I115-1))),0))</f>
        <v/>
      </c>
      <c r="F115" s="52" cm="1">
        <f t="array" ref="F115">0.1+IFERROR(INDEX($F$5:$F114,SUMPRODUCT(MAX(ROW($C$5:$C114)*($C115=$C$5:$C114))-ROW($A$4)))*0.9^($A115-INDEX($A$5:A114,SUMPRODUCT(MAX(ROW($C$5:$C114)*($C115=$C$5:$C114))-ROW($A$4)))),0)</f>
        <v>4.9999999999999982</v>
      </c>
      <c r="G115" s="56" t="e">
        <f>INDEX(UWS!$AB$10:$AB$41,MATCH(C115,UWS!$B$10:$B$41,0))</f>
        <v>#N/A</v>
      </c>
      <c r="H115" s="52" t="e">
        <f>INDEX(UWS!$C$10:$C$41,MATCH(C115,UWS!$B$10:$B$41,0))</f>
        <v>#N/A</v>
      </c>
      <c r="I115" s="46">
        <f t="shared" ref="I115:I178" si="222">IF(A115&gt;A114,1,IF(A115&gt;A113,2,IF(A115&gt;A112,3,IF(A115&gt;A111,4,5))))</f>
        <v>5</v>
      </c>
      <c r="J115" s="46" t="e">
        <f>INDEX(UWS!$E$10:$E$41,MATCH(C115,UWS!$B$10:$B$41,0))</f>
        <v>#N/A</v>
      </c>
      <c r="K115" s="46"/>
      <c r="L115" s="109" t="str" cm="1">
        <f t="array" ref="L115">IF(K115="","",INDEX(UWS!$B$10:$B$41,K115))</f>
        <v/>
      </c>
      <c r="M115" s="46"/>
      <c r="N115" s="109" t="str" cm="1">
        <f t="array" ref="N115">IF(M115="","",INDEX(UWS!$B$10:$B$41,M115))</f>
        <v/>
      </c>
      <c r="O115" s="47"/>
      <c r="P115" s="47">
        <f>IFERROR(INDEX(UWS!$G$10:$Z$41,MATCH($C115,UWS!$B$10:$B$41,0),MATCH(P$4,UWS!$G$3:$Z$3,0)),0)</f>
        <v>0</v>
      </c>
      <c r="Q115" s="47">
        <f>IFERROR(INDEX(UWS!$G$10:$Z$41,MATCH($C115,UWS!$B$10:$B$41,0),MATCH(Q$4,UWS!$G$3:$Z$3,0)),0)</f>
        <v>0</v>
      </c>
      <c r="R115" s="47">
        <f>IFERROR(INDEX(UWS!$G$10:$Z$41,MATCH($C115,UWS!$B$10:$B$41,0),MATCH(R$4,UWS!$G$3:$Z$3,0)),0)</f>
        <v>0</v>
      </c>
      <c r="S115" s="47">
        <f>IFERROR(INDEX(UWS!$G$10:$Z$41,MATCH($C115,UWS!$B$10:$B$41,0),MATCH(S$4,UWS!$G$3:$Z$3,0)),0)</f>
        <v>0</v>
      </c>
      <c r="T115" s="47">
        <f>IFERROR(INDEX(UWS!$G$10:$Z$41,MATCH($C115,UWS!$B$10:$B$41,0),MATCH(T$4,UWS!$G$3:$Z$3,0)),0)</f>
        <v>0</v>
      </c>
      <c r="U115" s="47">
        <f>IFERROR(INDEX(UWS!$G$10:$Z$41,MATCH($C115,UWS!$B$10:$B$41,0),MATCH(U$4,UWS!$G$3:$Z$3,0)),0)</f>
        <v>0</v>
      </c>
      <c r="V115" s="47">
        <f>IFERROR(INDEX(UWS!$G$10:$Z$41,MATCH($C115,UWS!$B$10:$B$41,0),MATCH(V$4,UWS!$G$3:$Z$3,0)),0)</f>
        <v>0</v>
      </c>
      <c r="W115" s="47">
        <f>IFERROR(INDEX(UWS!$G$10:$Z$41,MATCH($C115,UWS!$B$10:$B$41,0),MATCH(W$4,UWS!$G$3:$Z$3,0)),0)</f>
        <v>0</v>
      </c>
      <c r="X115" s="47">
        <f>IFERROR(INDEX(UWS!$G$10:$Z$41,MATCH($C115,UWS!$B$10:$B$41,0),MATCH(X$4,UWS!$G$3:$Z$3,0)),0)</f>
        <v>0</v>
      </c>
      <c r="Y115" s="47">
        <f>IFERROR(INDEX(UWS!$G$10:$Z$41,MATCH($C115,UWS!$B$10:$B$41,0),MATCH(Y$4,UWS!$G$3:$Z$3,0)),0)</f>
        <v>0</v>
      </c>
      <c r="Z115" s="47">
        <f>IFERROR(INDEX(UWS!$G$10:$Z$41,MATCH($C115,UWS!$B$10:$B$41,0),MATCH(Z$4,UWS!$G$3:$Z$3,0)),0)</f>
        <v>0</v>
      </c>
      <c r="AA115" s="47">
        <f>IFERROR(INDEX(UWS!$G$10:$Z$41,MATCH($C115,UWS!$B$10:$B$41,0),MATCH(AA$4,UWS!$G$3:$Z$3,0)),0)</f>
        <v>0</v>
      </c>
      <c r="AB115" s="47">
        <f>IFERROR(INDEX(UWS!$G$10:$Z$41,MATCH($C115,UWS!$B$10:$B$41,0),MATCH(AB$4,UWS!$G$3:$Z$3,0)),0)</f>
        <v>0</v>
      </c>
      <c r="AC115" s="47">
        <f>IFERROR(INDEX(UWS!$G$10:$Z$41,MATCH($C115,UWS!$B$10:$B$41,0),MATCH(AC$4,UWS!$G$3:$Z$3,0)),0)</f>
        <v>0</v>
      </c>
      <c r="AD115" s="47">
        <f>IFERROR(INDEX(UWS!$G$10:$Z$41,MATCH($C115,UWS!$B$10:$B$41,0),MATCH(AD$4,UWS!$G$3:$Z$3,0)),0)</f>
        <v>0</v>
      </c>
      <c r="AE115" s="47">
        <f>IFERROR(INDEX(UWS!$G$10:$Z$41,MATCH($C115,UWS!$B$10:$B$41,0),MATCH(AE$4,UWS!$G$3:$Z$3,0)),0)</f>
        <v>0</v>
      </c>
      <c r="AF115" s="47">
        <f>IFERROR(INDEX(UWS!$G$10:$Z$41,MATCH($C115,UWS!$B$10:$B$41,0),MATCH(AF$4,UWS!$G$3:$Z$3,0)),0)</f>
        <v>0</v>
      </c>
      <c r="AG115" s="47">
        <f>IFERROR(INDEX(UWS!$G$10:$Z$41,MATCH($C115,UWS!$B$10:$B$41,0),MATCH(AG$4,UWS!$G$3:$Z$3,0)),0)</f>
        <v>0</v>
      </c>
      <c r="AH115" s="47">
        <f>IFERROR(INDEX(UWS!$G$10:$Z$41,MATCH($C115,UWS!$B$10:$B$41,0),MATCH(AH$4,UWS!$G$3:$Z$3,0)),0)</f>
        <v>0</v>
      </c>
      <c r="AI115" s="47">
        <f>IFERROR(INDEX(UWS!$G$10:$Z$41,MATCH($C115,UWS!$B$10:$B$41,0),MATCH(AI$4,UWS!$G$3:$Z$3,0)),0)</f>
        <v>0</v>
      </c>
      <c r="AJ115" s="47"/>
      <c r="AK115" s="47" t="e">
        <f>IF(OR($J115=0,COUNTIFS($A$4:$A114,"&gt;="&amp;$A115-1,$A$4:$A114,"&lt;="&amp;$A115,$B$4:$B114,$B115)&gt;0,MIN(AK$1,IF($A115=$A114,AK114,1))-P115&lt;0),-1,MIN(1,IF($A115=$A114,AK114,1)-P115+$D$3))</f>
        <v>#N/A</v>
      </c>
      <c r="AL115" s="47" t="e">
        <f>IF(OR($J115=0,COUNTIFS($A$4:$A114,"&gt;="&amp;$A115-1,$A$4:$A114,"&lt;="&amp;$A115,$B$4:$B114,$B115)&gt;0,MIN(AL$1,IF($A115=$A114,AL114,1))-Q115&lt;0),-1,MIN(1,IF($A115=$A114,AL114,1)-Q115+$D$3))</f>
        <v>#N/A</v>
      </c>
      <c r="AM115" s="47" t="e">
        <f>IF(OR($J115=0,COUNTIFS($A$4:$A114,"&gt;="&amp;$A115-1,$A$4:$A114,"&lt;="&amp;$A115,$B$4:$B114,$B115)&gt;0,MIN(AM$1,IF($A115=$A114,AM114,1))-R115&lt;0),-1,MIN(1,IF($A115=$A114,AM114,1)-R115+$D$3))</f>
        <v>#N/A</v>
      </c>
      <c r="AN115" s="47" t="e">
        <f>IF(OR($J115=0,COUNTIFS($A$4:$A114,"&gt;="&amp;$A115-1,$A$4:$A114,"&lt;="&amp;$A115,$B$4:$B114,$B115)&gt;0,MIN(AN$1,IF($A115=$A114,AN114,1))-S115&lt;0),-1,MIN(1,IF($A115=$A114,AN114,1)-S115+$D$3))</f>
        <v>#N/A</v>
      </c>
      <c r="AO115" s="47" t="e">
        <f>IF(OR($J115=0,COUNTIFS($A$4:$A114,"&gt;="&amp;$A115-1,$A$4:$A114,"&lt;="&amp;$A115,$B$4:$B114,$B115)&gt;0,MIN(AO$1,IF($A115=$A114,AO114,1))-T115&lt;0),-1,MIN(1,IF($A115=$A114,AO114,1)-T115+$D$3))</f>
        <v>#N/A</v>
      </c>
      <c r="AP115" s="47" t="e">
        <f>IF(OR($J115=0,COUNTIFS($A$4:$A114,"&gt;="&amp;$A115-1,$A$4:$A114,"&lt;="&amp;$A115,$B$4:$B114,$B115)&gt;0,MIN(AP$1,IF($A115=$A114,AP114,1))-U115&lt;0),-1,MIN(1,IF($A115=$A114,AP114,1)-U115+$D$3))</f>
        <v>#N/A</v>
      </c>
      <c r="AQ115" s="47" t="e">
        <f>IF(OR($J115=0,COUNTIFS($A$4:$A114,"&gt;="&amp;$A115-1,$A$4:$A114,"&lt;="&amp;$A115,$B$4:$B114,$B115)&gt;0,MIN(AQ$1,IF($A115=$A114,AQ114,1))-V115&lt;0),-1,MIN(1,IF($A115=$A114,AQ114,1)-V115+$D$3))</f>
        <v>#N/A</v>
      </c>
      <c r="AR115" s="47" t="e">
        <f>IF(OR($J115=0,COUNTIFS($A$4:$A114,"&gt;="&amp;$A115-1,$A$4:$A114,"&lt;="&amp;$A115,$B$4:$B114,$B115)&gt;0,MIN(AR$1,IF($A115=$A114,AR114,1))-W115&lt;0),-1,MIN(1,IF($A115=$A114,AR114,1)-W115+$D$3))</f>
        <v>#N/A</v>
      </c>
      <c r="AS115" s="47" t="e">
        <f>IF(OR($J115=0,COUNTIFS($A$4:$A114,"&gt;="&amp;$A115-1,$A$4:$A114,"&lt;="&amp;$A115,$B$4:$B114,$B115)&gt;0,MIN(AS$1,IF($A115=$A114,AS114,1))-X115&lt;0),-1,MIN(1,IF($A115=$A114,AS114,1)-X115+$D$3))</f>
        <v>#N/A</v>
      </c>
      <c r="AT115" s="47" t="e">
        <f>IF(OR($J115=0,COUNTIFS($A$4:$A114,"&gt;="&amp;$A115-1,$A$4:$A114,"&lt;="&amp;$A115,$B$4:$B114,$B115)&gt;0,MIN(AT$1,IF($A115=$A114,AT114,1))-Y115&lt;0),-1,MIN(1,IF($A115=$A114,AT114,1)-Y115+$D$3))</f>
        <v>#N/A</v>
      </c>
      <c r="AU115" s="47" t="e">
        <f>IF(OR($J115=0,COUNTIFS($A$4:$A114,"&gt;="&amp;$A115-1,$A$4:$A114,"&lt;="&amp;$A115,$B$4:$B114,$B115)&gt;0,MIN(AU$1,IF($A115=$A114,AU114,1))-Z115&lt;0),-1,MIN(1,IF($A115=$A114,AU114,1)-Z115+$D$3))</f>
        <v>#N/A</v>
      </c>
      <c r="AV115" s="47" t="e">
        <f>IF(OR($J115=0,COUNTIFS($A$4:$A114,"&gt;="&amp;$A115-1,$A$4:$A114,"&lt;="&amp;$A115,$B$4:$B114,$B115)&gt;0,MIN(AV$1,IF($A115=$A114,AV114,1))-AA115&lt;0),-1,MIN(1,IF($A115=$A114,AV114,1)-AA115+$D$3))</f>
        <v>#N/A</v>
      </c>
      <c r="AW115" s="47" t="e">
        <f>IF(OR($J115=0,COUNTIFS($A$4:$A114,"&gt;="&amp;$A115-1,$A$4:$A114,"&lt;="&amp;$A115,$B$4:$B114,$B115)&gt;0,MIN(AW$1,IF($A115=$A114,AW114,1))-AB115&lt;0),-1,MIN(1,IF($A115=$A114,AW114,1)-AB115+$D$3))</f>
        <v>#N/A</v>
      </c>
      <c r="AX115" s="47" t="e">
        <f>IF(OR($J115=0,COUNTIFS($A$4:$A114,"&gt;="&amp;$A115-1,$A$4:$A114,"&lt;="&amp;$A115,$B$4:$B114,$B115)&gt;0,MIN(AX$1,IF($A115=$A114,AX114,1))-AC115&lt;0),-1,MIN(1,IF($A115=$A114,AX114,1)-AC115+$D$3))</f>
        <v>#N/A</v>
      </c>
      <c r="AY115" s="47" t="e">
        <f>IF(OR($J115=0,COUNTIFS($A$4:$A114,"&gt;="&amp;$A115-1,$A$4:$A114,"&lt;="&amp;$A115,$B$4:$B114,$B115)&gt;0,MIN(AY$1,IF($A115=$A114,AY114,1))-AD115&lt;0),-1,MIN(1,IF($A115=$A114,AY114,1)-AD115+$D$3))</f>
        <v>#N/A</v>
      </c>
      <c r="AZ115" s="47" t="e">
        <f>IF(OR($J115=0,COUNTIFS($A$4:$A114,"&gt;="&amp;$A115-1,$A$4:$A114,"&lt;="&amp;$A115,$B$4:$B114,$B115)&gt;0,MIN(AZ$1,IF($A115=$A114,AZ114,1))-AE115&lt;0),-1,MIN(1,IF($A115=$A114,AZ114,1)-AE115+$D$3))</f>
        <v>#N/A</v>
      </c>
      <c r="BA115" s="47" t="e">
        <f>IF(OR($J115=0,COUNTIFS($A$4:$A114,"&gt;="&amp;$A115-1,$A$4:$A114,"&lt;="&amp;$A115,$B$4:$B114,$B115)&gt;0,MIN(BA$1,IF($A115=$A114,BA114,1))-AF115&lt;0),-1,MIN(1,IF($A115=$A114,BA114,1)-AF115+$D$3))</f>
        <v>#N/A</v>
      </c>
      <c r="BB115" s="47" t="e">
        <f>IF(OR($J115=0,COUNTIFS($A$4:$A114,"&gt;="&amp;$A115-1,$A$4:$A114,"&lt;="&amp;$A115,$B$4:$B114,$B115)&gt;0,MIN(BB$1,IF($A115=$A114,BB114,1))-AG115&lt;0),-1,MIN(1,IF($A115=$A114,BB114,1)-AG115+$D$3))</f>
        <v>#N/A</v>
      </c>
      <c r="BC115" s="47" t="e">
        <f>IF(OR($J115=0,COUNTIFS($A$4:$A114,"&gt;="&amp;$A115-1,$A$4:$A114,"&lt;="&amp;$A115,$B$4:$B114,$B115)&gt;0,MIN(BC$1,IF($A115=$A114,BC114,1))-AH115&lt;0),-1,MIN(1,IF($A115=$A114,BC114,1)-AH115+$D$3))</f>
        <v>#N/A</v>
      </c>
      <c r="BD115" s="47" t="e">
        <f>IF(OR($J115=0,COUNTIFS($A$4:$A114,"&gt;="&amp;$A115-1,$A$4:$A114,"&lt;="&amp;$A115,$B$4:$B114,$B115)&gt;0,MIN(BD$1,IF($A115=$A114,BD114,1))-AI115&lt;0),-1,MIN(1,IF($A115=$A114,BD114,1)-AI115+$D$3))</f>
        <v>#N/A</v>
      </c>
      <c r="BE115" s="47"/>
      <c r="BF115" s="53">
        <f t="shared" ref="BF115:BF178" si="223">$AN$2*P115+(1-$AN$2)*BF114</f>
        <v>7.138814232568973E-3</v>
      </c>
      <c r="BG115" s="53">
        <f t="shared" ref="BG115:BG178" si="224">$AN$2*Q115+(1-$AN$2)*BG114</f>
        <v>1.7556358637492112E-2</v>
      </c>
      <c r="BH115" s="53">
        <f t="shared" ref="BH115:BH178" si="225">$AN$2*R115+(1-$AN$2)*BH114</f>
        <v>1.799342085536337E-2</v>
      </c>
      <c r="BI115" s="53">
        <f t="shared" ref="BI115:BI178" si="226">$AN$2*S115+(1-$AN$2)*BI114</f>
        <v>1.6620925207938085E-2</v>
      </c>
      <c r="BJ115" s="53">
        <f t="shared" ref="BJ115:BJ178" si="227">$AN$2*T115+(1-$AN$2)*BJ114</f>
        <v>1.7179304125891338E-2</v>
      </c>
      <c r="BK115" s="53">
        <f t="shared" ref="BK115:BK178" si="228">$AN$2*U115+(1-$AN$2)*BK114</f>
        <v>7.3774337209742587E-3</v>
      </c>
      <c r="BL115" s="53">
        <f t="shared" ref="BL115:BL178" si="229">$AN$2*V115+(1-$AN$2)*BL114</f>
        <v>3.9854057607664603E-3</v>
      </c>
      <c r="BM115" s="53">
        <f t="shared" ref="BM115:BM178" si="230">$AN$2*W115+(1-$AN$2)*BM114</f>
        <v>1.0138406859489663E-2</v>
      </c>
      <c r="BN115" s="53">
        <f t="shared" ref="BN115:BN178" si="231">$AN$2*X115+(1-$AN$2)*BN114</f>
        <v>1.0544733274471845E-2</v>
      </c>
      <c r="BO115" s="53">
        <f t="shared" ref="BO115:BO178" si="232">$AN$2*Y115+(1-$AN$2)*BO114</f>
        <v>4.941662139120122E-3</v>
      </c>
      <c r="BP115" s="53">
        <f t="shared" ref="BP115:BP178" si="233">$AN$2*Z115+(1-$AN$2)*BP114</f>
        <v>1.6616228841578425E-2</v>
      </c>
      <c r="BQ115" s="53">
        <f t="shared" ref="BQ115:BQ178" si="234">$AN$2*AA115+(1-$AN$2)*BQ114</f>
        <v>4.4840323304088424E-3</v>
      </c>
      <c r="BR115" s="53">
        <f t="shared" ref="BR115:BR178" si="235">$AN$2*AB115+(1-$AN$2)*BR114</f>
        <v>1.3246953974706528E-2</v>
      </c>
      <c r="BS115" s="53">
        <f t="shared" ref="BS115:BS178" si="236">$AN$2*AC115+(1-$AN$2)*BS114</f>
        <v>7.1442580671465146E-3</v>
      </c>
      <c r="BT115" s="53">
        <f t="shared" ref="BT115:BT178" si="237">$AN$2*AD115+(1-$AN$2)*BT114</f>
        <v>2.8272019432958838E-2</v>
      </c>
      <c r="BU115" s="53">
        <f t="shared" ref="BU115:BU178" si="238">$AN$2*AE115+(1-$AN$2)*BU114</f>
        <v>2.7008285934274512E-2</v>
      </c>
      <c r="BV115" s="53">
        <f t="shared" ref="BV115:BV178" si="239">$AN$2*AF115+(1-$AN$2)*BV114</f>
        <v>2.5937864261744981E-2</v>
      </c>
      <c r="BW115" s="53">
        <f t="shared" ref="BW115:BW178" si="240">$AN$2*AG115+(1-$AN$2)*BW114</f>
        <v>1.6964790598673368E-2</v>
      </c>
      <c r="BX115" s="53">
        <f t="shared" ref="BX115:BX178" si="241">$AN$2*AH115+(1-$AN$2)*BX114</f>
        <v>1.2533279226387114E-2</v>
      </c>
      <c r="BY115" s="53">
        <f t="shared" ref="BY115:BY178" si="242">$AN$2*AI115+(1-$AN$2)*BY114</f>
        <v>1.076126075273116E-2</v>
      </c>
      <c r="BZ115" s="47"/>
      <c r="CA115" s="53" t="str">
        <f t="shared" ref="CA115:CA178" si="243">IF($A115="","",BF115/SUM($BF115:$BY115)/CA$2-1)</f>
        <v/>
      </c>
      <c r="CB115" s="53" t="str">
        <f t="shared" ref="CB115:CB178" si="244">IF($A115="","",BG115/SUM($BF115:$BY115)/CB$2-1)</f>
        <v/>
      </c>
      <c r="CC115" s="53" t="str">
        <f t="shared" ref="CC115:CC178" si="245">IF($A115="","",BH115/SUM($BF115:$BY115)/CC$2-1)</f>
        <v/>
      </c>
      <c r="CD115" s="53" t="str">
        <f t="shared" ref="CD115:CD178" si="246">IF($A115="","",BI115/SUM($BF115:$BY115)/CD$2-1)</f>
        <v/>
      </c>
      <c r="CE115" s="53" t="str">
        <f t="shared" ref="CE115:CE178" si="247">IF($A115="","",BJ115/SUM($BF115:$BY115)/CE$2-1)</f>
        <v/>
      </c>
      <c r="CF115" s="53" t="str">
        <f t="shared" ref="CF115:CF178" si="248">IF($A115="","",BK115/SUM($BF115:$BY115)/CF$2-1)</f>
        <v/>
      </c>
      <c r="CG115" s="53" t="str">
        <f t="shared" ref="CG115:CG178" si="249">IF($A115="","",BL115/SUM($BF115:$BY115)/CG$2-1)</f>
        <v/>
      </c>
      <c r="CH115" s="53" t="str">
        <f t="shared" ref="CH115:CH178" si="250">IF($A115="","",BM115/SUM($BF115:$BY115)/CH$2-1)</f>
        <v/>
      </c>
      <c r="CI115" s="53" t="str">
        <f t="shared" ref="CI115:CI178" si="251">IF($A115="","",BN115/SUM($BF115:$BY115)/CI$2-1)</f>
        <v/>
      </c>
      <c r="CJ115" s="53" t="str">
        <f t="shared" ref="CJ115:CJ178" si="252">IF($A115="","",BO115/SUM($BF115:$BY115)/CJ$2-1)</f>
        <v/>
      </c>
      <c r="CK115" s="53" t="str">
        <f t="shared" ref="CK115:CK178" si="253">IF($A115="","",BP115/SUM($BF115:$BY115)/CK$2-1)</f>
        <v/>
      </c>
      <c r="CL115" s="53" t="str">
        <f t="shared" ref="CL115:CL178" si="254">IF($A115="","",BQ115/SUM($BF115:$BY115)/CL$2-1)</f>
        <v/>
      </c>
      <c r="CM115" s="53" t="str">
        <f t="shared" ref="CM115:CM178" si="255">IF($A115="","",BR115/SUM($BF115:$BY115)/CM$2-1)</f>
        <v/>
      </c>
      <c r="CN115" s="53" t="str">
        <f t="shared" ref="CN115:CN178" si="256">IF($A115="","",BS115/SUM($BF115:$BY115)/CN$2-1)</f>
        <v/>
      </c>
      <c r="CO115" s="53" t="str">
        <f t="shared" ref="CO115:CO178" si="257">IF($A115="","",BT115/SUM($BF115:$BY115)/CO$2-1)</f>
        <v/>
      </c>
      <c r="CP115" s="53" t="str">
        <f t="shared" ref="CP115:CP178" si="258">IF($A115="","",BU115/SUM($BF115:$BY115)/CP$2-1)</f>
        <v/>
      </c>
      <c r="CQ115" s="53" t="str">
        <f t="shared" ref="CQ115:CQ178" si="259">IF($A115="","",BV115/SUM($BF115:$BY115)/CQ$2-1)</f>
        <v/>
      </c>
      <c r="CR115" s="53" t="str">
        <f t="shared" ref="CR115:CR178" si="260">IF($A115="","",BW115/SUM($BF115:$BY115)/CR$2-1)</f>
        <v/>
      </c>
      <c r="CS115" s="53" t="str">
        <f t="shared" ref="CS115:CS178" si="261">IF($A115="","",BX115/SUM($BF115:$BY115)/CS$2-1)</f>
        <v/>
      </c>
      <c r="CT115" s="53" t="str">
        <f t="shared" ref="CT115:CT178" si="262">IF($A115="","",BY115/SUM($BF115:$BY115)/CT$2-1)</f>
        <v/>
      </c>
      <c r="CU115" s="47"/>
      <c r="CV115" s="53">
        <f t="shared" ref="CV115:CV178" si="263">SQRT(SUMPRODUCT(CA115:CT115,CA115:CT115)/20)</f>
        <v>0</v>
      </c>
    </row>
    <row r="116" spans="1:100" x14ac:dyDescent="0.25">
      <c r="A116" s="41"/>
      <c r="B116" s="42"/>
      <c r="C116" s="43" t="str" cm="1">
        <f t="array" ref="C116">IF(B116="","",INDEX(UWS!$B$10:$B$41,B116))</f>
        <v/>
      </c>
      <c r="D116" s="40" t="str">
        <f t="shared" si="220"/>
        <v/>
      </c>
      <c r="E116" s="69" t="str">
        <f t="shared" si="221"/>
        <v/>
      </c>
      <c r="F116" s="48" cm="1">
        <f t="array" ref="F116">0.1+IFERROR(INDEX($F$5:$F115,SUMPRODUCT(MAX(ROW($C$5:$C115)*($C116=$C$5:$C115))-ROW($A$4)))*0.9^($A116-INDEX($A$5:A115,SUMPRODUCT(MAX(ROW($C$5:$C115)*($C116=$C$5:$C115))-ROW($A$4)))),0)</f>
        <v>5.0999999999999979</v>
      </c>
      <c r="G116" s="55" t="e">
        <f>INDEX(UWS!$AB$10:$AB$41,MATCH(C116,UWS!$B$10:$B$41,0))</f>
        <v>#N/A</v>
      </c>
      <c r="H116" s="48" t="e">
        <f>INDEX(UWS!$C$10:$C$41,MATCH(C116,UWS!$B$10:$B$41,0))</f>
        <v>#N/A</v>
      </c>
      <c r="I116" s="82">
        <f t="shared" si="222"/>
        <v>5</v>
      </c>
      <c r="J116" s="27" t="e">
        <f>INDEX(UWS!$E$10:$E$41,MATCH(C116,UWS!$B$10:$B$41,0))</f>
        <v>#N/A</v>
      </c>
      <c r="L116" s="108" t="str" cm="1">
        <f t="array" ref="L116">IF(K116="","",INDEX(UWS!$B$10:$B$41,K116))</f>
        <v/>
      </c>
      <c r="N116" s="108" t="str" cm="1">
        <f t="array" ref="N116">IF(M116="","",INDEX(UWS!$B$10:$B$41,M116))</f>
        <v/>
      </c>
      <c r="P116">
        <f>IFERROR(INDEX(UWS!$G$10:$Z$41,MATCH($C116,UWS!$B$10:$B$41,0),MATCH(P$4,UWS!$G$3:$Z$3,0)),0)</f>
        <v>0</v>
      </c>
      <c r="Q116">
        <f>IFERROR(INDEX(UWS!$G$10:$Z$41,MATCH($C116,UWS!$B$10:$B$41,0),MATCH(Q$4,UWS!$G$3:$Z$3,0)),0)</f>
        <v>0</v>
      </c>
      <c r="R116">
        <f>IFERROR(INDEX(UWS!$G$10:$Z$41,MATCH($C116,UWS!$B$10:$B$41,0),MATCH(R$4,UWS!$G$3:$Z$3,0)),0)</f>
        <v>0</v>
      </c>
      <c r="S116">
        <f>IFERROR(INDEX(UWS!$G$10:$Z$41,MATCH($C116,UWS!$B$10:$B$41,0),MATCH(S$4,UWS!$G$3:$Z$3,0)),0)</f>
        <v>0</v>
      </c>
      <c r="T116">
        <f>IFERROR(INDEX(UWS!$G$10:$Z$41,MATCH($C116,UWS!$B$10:$B$41,0),MATCH(T$4,UWS!$G$3:$Z$3,0)),0)</f>
        <v>0</v>
      </c>
      <c r="U116">
        <f>IFERROR(INDEX(UWS!$G$10:$Z$41,MATCH($C116,UWS!$B$10:$B$41,0),MATCH(U$4,UWS!$G$3:$Z$3,0)),0)</f>
        <v>0</v>
      </c>
      <c r="V116">
        <f>IFERROR(INDEX(UWS!$G$10:$Z$41,MATCH($C116,UWS!$B$10:$B$41,0),MATCH(V$4,UWS!$G$3:$Z$3,0)),0)</f>
        <v>0</v>
      </c>
      <c r="W116">
        <f>IFERROR(INDEX(UWS!$G$10:$Z$41,MATCH($C116,UWS!$B$10:$B$41,0),MATCH(W$4,UWS!$G$3:$Z$3,0)),0)</f>
        <v>0</v>
      </c>
      <c r="X116">
        <f>IFERROR(INDEX(UWS!$G$10:$Z$41,MATCH($C116,UWS!$B$10:$B$41,0),MATCH(X$4,UWS!$G$3:$Z$3,0)),0)</f>
        <v>0</v>
      </c>
      <c r="Y116">
        <f>IFERROR(INDEX(UWS!$G$10:$Z$41,MATCH($C116,UWS!$B$10:$B$41,0),MATCH(Y$4,UWS!$G$3:$Z$3,0)),0)</f>
        <v>0</v>
      </c>
      <c r="Z116">
        <f>IFERROR(INDEX(UWS!$G$10:$Z$41,MATCH($C116,UWS!$B$10:$B$41,0),MATCH(Z$4,UWS!$G$3:$Z$3,0)),0)</f>
        <v>0</v>
      </c>
      <c r="AA116">
        <f>IFERROR(INDEX(UWS!$G$10:$Z$41,MATCH($C116,UWS!$B$10:$B$41,0),MATCH(AA$4,UWS!$G$3:$Z$3,0)),0)</f>
        <v>0</v>
      </c>
      <c r="AB116">
        <f>IFERROR(INDEX(UWS!$G$10:$Z$41,MATCH($C116,UWS!$B$10:$B$41,0),MATCH(AB$4,UWS!$G$3:$Z$3,0)),0)</f>
        <v>0</v>
      </c>
      <c r="AC116">
        <f>IFERROR(INDEX(UWS!$G$10:$Z$41,MATCH($C116,UWS!$B$10:$B$41,0),MATCH(AC$4,UWS!$G$3:$Z$3,0)),0)</f>
        <v>0</v>
      </c>
      <c r="AD116">
        <f>IFERROR(INDEX(UWS!$G$10:$Z$41,MATCH($C116,UWS!$B$10:$B$41,0),MATCH(AD$4,UWS!$G$3:$Z$3,0)),0)</f>
        <v>0</v>
      </c>
      <c r="AE116">
        <f>IFERROR(INDEX(UWS!$G$10:$Z$41,MATCH($C116,UWS!$B$10:$B$41,0),MATCH(AE$4,UWS!$G$3:$Z$3,0)),0)</f>
        <v>0</v>
      </c>
      <c r="AF116">
        <f>IFERROR(INDEX(UWS!$G$10:$Z$41,MATCH($C116,UWS!$B$10:$B$41,0),MATCH(AF$4,UWS!$G$3:$Z$3,0)),0)</f>
        <v>0</v>
      </c>
      <c r="AG116">
        <f>IFERROR(INDEX(UWS!$G$10:$Z$41,MATCH($C116,UWS!$B$10:$B$41,0),MATCH(AG$4,UWS!$G$3:$Z$3,0)),0)</f>
        <v>0</v>
      </c>
      <c r="AH116">
        <f>IFERROR(INDEX(UWS!$G$10:$Z$41,MATCH($C116,UWS!$B$10:$B$41,0),MATCH(AH$4,UWS!$G$3:$Z$3,0)),0)</f>
        <v>0</v>
      </c>
      <c r="AI116">
        <f>IFERROR(INDEX(UWS!$G$10:$Z$41,MATCH($C116,UWS!$B$10:$B$41,0),MATCH(AI$4,UWS!$G$3:$Z$3,0)),0)</f>
        <v>0</v>
      </c>
      <c r="AK116" t="e">
        <f>IF(OR($J116=0,COUNTIFS($A$4:$A115,"&gt;="&amp;$A116-1,$A$4:$A115,"&lt;="&amp;$A116,$B$4:$B115,$B116)&gt;0,MIN(AK$1,IF($A116=$A115,AK115,1))-P116&lt;0),-1,MIN(1,IF($A116=$A115,AK115,1)-P116+$D$3))</f>
        <v>#N/A</v>
      </c>
      <c r="AL116" t="e">
        <f>IF(OR($J116=0,COUNTIFS($A$4:$A115,"&gt;="&amp;$A116-1,$A$4:$A115,"&lt;="&amp;$A116,$B$4:$B115,$B116)&gt;0,MIN(AL$1,IF($A116=$A115,AL115,1))-Q116&lt;0),-1,MIN(1,IF($A116=$A115,AL115,1)-Q116+$D$3))</f>
        <v>#N/A</v>
      </c>
      <c r="AM116" t="e">
        <f>IF(OR($J116=0,COUNTIFS($A$4:$A115,"&gt;="&amp;$A116-1,$A$4:$A115,"&lt;="&amp;$A116,$B$4:$B115,$B116)&gt;0,MIN(AM$1,IF($A116=$A115,AM115,1))-R116&lt;0),-1,MIN(1,IF($A116=$A115,AM115,1)-R116+$D$3))</f>
        <v>#N/A</v>
      </c>
      <c r="AN116" t="e">
        <f>IF(OR($J116=0,COUNTIFS($A$4:$A115,"&gt;="&amp;$A116-1,$A$4:$A115,"&lt;="&amp;$A116,$B$4:$B115,$B116)&gt;0,MIN(AN$1,IF($A116=$A115,AN115,1))-S116&lt;0),-1,MIN(1,IF($A116=$A115,AN115,1)-S116+$D$3))</f>
        <v>#N/A</v>
      </c>
      <c r="AO116" t="e">
        <f>IF(OR($J116=0,COUNTIFS($A$4:$A115,"&gt;="&amp;$A116-1,$A$4:$A115,"&lt;="&amp;$A116,$B$4:$B115,$B116)&gt;0,MIN(AO$1,IF($A116=$A115,AO115,1))-T116&lt;0),-1,MIN(1,IF($A116=$A115,AO115,1)-T116+$D$3))</f>
        <v>#N/A</v>
      </c>
      <c r="AP116" t="e">
        <f>IF(OR($J116=0,COUNTIFS($A$4:$A115,"&gt;="&amp;$A116-1,$A$4:$A115,"&lt;="&amp;$A116,$B$4:$B115,$B116)&gt;0,MIN(AP$1,IF($A116=$A115,AP115,1))-U116&lt;0),-1,MIN(1,IF($A116=$A115,AP115,1)-U116+$D$3))</f>
        <v>#N/A</v>
      </c>
      <c r="AQ116" t="e">
        <f>IF(OR($J116=0,COUNTIFS($A$4:$A115,"&gt;="&amp;$A116-1,$A$4:$A115,"&lt;="&amp;$A116,$B$4:$B115,$B116)&gt;0,MIN(AQ$1,IF($A116=$A115,AQ115,1))-V116&lt;0),-1,MIN(1,IF($A116=$A115,AQ115,1)-V116+$D$3))</f>
        <v>#N/A</v>
      </c>
      <c r="AR116" t="e">
        <f>IF(OR($J116=0,COUNTIFS($A$4:$A115,"&gt;="&amp;$A116-1,$A$4:$A115,"&lt;="&amp;$A116,$B$4:$B115,$B116)&gt;0,MIN(AR$1,IF($A116=$A115,AR115,1))-W116&lt;0),-1,MIN(1,IF($A116=$A115,AR115,1)-W116+$D$3))</f>
        <v>#N/A</v>
      </c>
      <c r="AS116" t="e">
        <f>IF(OR($J116=0,COUNTIFS($A$4:$A115,"&gt;="&amp;$A116-1,$A$4:$A115,"&lt;="&amp;$A116,$B$4:$B115,$B116)&gt;0,MIN(AS$1,IF($A116=$A115,AS115,1))-X116&lt;0),-1,MIN(1,IF($A116=$A115,AS115,1)-X116+$D$3))</f>
        <v>#N/A</v>
      </c>
      <c r="AT116" t="e">
        <f>IF(OR($J116=0,COUNTIFS($A$4:$A115,"&gt;="&amp;$A116-1,$A$4:$A115,"&lt;="&amp;$A116,$B$4:$B115,$B116)&gt;0,MIN(AT$1,IF($A116=$A115,AT115,1))-Y116&lt;0),-1,MIN(1,IF($A116=$A115,AT115,1)-Y116+$D$3))</f>
        <v>#N/A</v>
      </c>
      <c r="AU116" t="e">
        <f>IF(OR($J116=0,COUNTIFS($A$4:$A115,"&gt;="&amp;$A116-1,$A$4:$A115,"&lt;="&amp;$A116,$B$4:$B115,$B116)&gt;0,MIN(AU$1,IF($A116=$A115,AU115,1))-Z116&lt;0),-1,MIN(1,IF($A116=$A115,AU115,1)-Z116+$D$3))</f>
        <v>#N/A</v>
      </c>
      <c r="AV116" t="e">
        <f>IF(OR($J116=0,COUNTIFS($A$4:$A115,"&gt;="&amp;$A116-1,$A$4:$A115,"&lt;="&amp;$A116,$B$4:$B115,$B116)&gt;0,MIN(AV$1,IF($A116=$A115,AV115,1))-AA116&lt;0),-1,MIN(1,IF($A116=$A115,AV115,1)-AA116+$D$3))</f>
        <v>#N/A</v>
      </c>
      <c r="AW116" t="e">
        <f>IF(OR($J116=0,COUNTIFS($A$4:$A115,"&gt;="&amp;$A116-1,$A$4:$A115,"&lt;="&amp;$A116,$B$4:$B115,$B116)&gt;0,MIN(AW$1,IF($A116=$A115,AW115,1))-AB116&lt;0),-1,MIN(1,IF($A116=$A115,AW115,1)-AB116+$D$3))</f>
        <v>#N/A</v>
      </c>
      <c r="AX116" t="e">
        <f>IF(OR($J116=0,COUNTIFS($A$4:$A115,"&gt;="&amp;$A116-1,$A$4:$A115,"&lt;="&amp;$A116,$B$4:$B115,$B116)&gt;0,MIN(AX$1,IF($A116=$A115,AX115,1))-AC116&lt;0),-1,MIN(1,IF($A116=$A115,AX115,1)-AC116+$D$3))</f>
        <v>#N/A</v>
      </c>
      <c r="AY116" t="e">
        <f>IF(OR($J116=0,COUNTIFS($A$4:$A115,"&gt;="&amp;$A116-1,$A$4:$A115,"&lt;="&amp;$A116,$B$4:$B115,$B116)&gt;0,MIN(AY$1,IF($A116=$A115,AY115,1))-AD116&lt;0),-1,MIN(1,IF($A116=$A115,AY115,1)-AD116+$D$3))</f>
        <v>#N/A</v>
      </c>
      <c r="AZ116" t="e">
        <f>IF(OR($J116=0,COUNTIFS($A$4:$A115,"&gt;="&amp;$A116-1,$A$4:$A115,"&lt;="&amp;$A116,$B$4:$B115,$B116)&gt;0,MIN(AZ$1,IF($A116=$A115,AZ115,1))-AE116&lt;0),-1,MIN(1,IF($A116=$A115,AZ115,1)-AE116+$D$3))</f>
        <v>#N/A</v>
      </c>
      <c r="BA116" t="e">
        <f>IF(OR($J116=0,COUNTIFS($A$4:$A115,"&gt;="&amp;$A116-1,$A$4:$A115,"&lt;="&amp;$A116,$B$4:$B115,$B116)&gt;0,MIN(BA$1,IF($A116=$A115,BA115,1))-AF116&lt;0),-1,MIN(1,IF($A116=$A115,BA115,1)-AF116+$D$3))</f>
        <v>#N/A</v>
      </c>
      <c r="BB116" t="e">
        <f>IF(OR($J116=0,COUNTIFS($A$4:$A115,"&gt;="&amp;$A116-1,$A$4:$A115,"&lt;="&amp;$A116,$B$4:$B115,$B116)&gt;0,MIN(BB$1,IF($A116=$A115,BB115,1))-AG116&lt;0),-1,MIN(1,IF($A116=$A115,BB115,1)-AG116+$D$3))</f>
        <v>#N/A</v>
      </c>
      <c r="BC116" t="e">
        <f>IF(OR($J116=0,COUNTIFS($A$4:$A115,"&gt;="&amp;$A116-1,$A$4:$A115,"&lt;="&amp;$A116,$B$4:$B115,$B116)&gt;0,MIN(BC$1,IF($A116=$A115,BC115,1))-AH116&lt;0),-1,MIN(1,IF($A116=$A115,BC115,1)-AH116+$D$3))</f>
        <v>#N/A</v>
      </c>
      <c r="BD116" t="e">
        <f>IF(OR($J116=0,COUNTIFS($A$4:$A115,"&gt;="&amp;$A116-1,$A$4:$A115,"&lt;="&amp;$A116,$B$4:$B115,$B116)&gt;0,MIN(BD$1,IF($A116=$A115,BD115,1))-AI116&lt;0),-1,MIN(1,IF($A116=$A115,BD115,1)-AI116+$D$3))</f>
        <v>#N/A</v>
      </c>
      <c r="BF116" s="44">
        <f t="shared" si="223"/>
        <v>6.7818735209405241E-3</v>
      </c>
      <c r="BG116" s="44">
        <f t="shared" si="224"/>
        <v>1.6678540705617508E-2</v>
      </c>
      <c r="BH116" s="44">
        <f t="shared" si="225"/>
        <v>1.7093749812595201E-2</v>
      </c>
      <c r="BI116" s="44">
        <f t="shared" si="226"/>
        <v>1.5789878947541181E-2</v>
      </c>
      <c r="BJ116" s="44">
        <f t="shared" si="227"/>
        <v>1.632033891959677E-2</v>
      </c>
      <c r="BK116" s="44">
        <f t="shared" si="228"/>
        <v>7.0085620349255454E-3</v>
      </c>
      <c r="BL116" s="44">
        <f t="shared" si="229"/>
        <v>3.786135472728137E-3</v>
      </c>
      <c r="BM116" s="44">
        <f t="shared" si="230"/>
        <v>9.6314865165151795E-3</v>
      </c>
      <c r="BN116" s="44">
        <f t="shared" si="231"/>
        <v>1.0017496610748253E-2</v>
      </c>
      <c r="BO116" s="44">
        <f t="shared" si="232"/>
        <v>4.6945790321641159E-3</v>
      </c>
      <c r="BP116" s="44">
        <f t="shared" si="233"/>
        <v>1.5785417399499502E-2</v>
      </c>
      <c r="BQ116" s="44">
        <f t="shared" si="234"/>
        <v>4.2598307138883998E-3</v>
      </c>
      <c r="BR116" s="44">
        <f t="shared" si="235"/>
        <v>1.2584606275971201E-2</v>
      </c>
      <c r="BS116" s="44">
        <f t="shared" si="236"/>
        <v>6.7870451637891882E-3</v>
      </c>
      <c r="BT116" s="44">
        <f t="shared" si="237"/>
        <v>2.6858418461310894E-2</v>
      </c>
      <c r="BU116" s="44">
        <f t="shared" si="238"/>
        <v>2.5657871637560784E-2</v>
      </c>
      <c r="BV116" s="44">
        <f t="shared" si="239"/>
        <v>2.4640971048657732E-2</v>
      </c>
      <c r="BW116" s="44">
        <f t="shared" si="240"/>
        <v>1.6116551068739698E-2</v>
      </c>
      <c r="BX116" s="44">
        <f t="shared" si="241"/>
        <v>1.1906615265067757E-2</v>
      </c>
      <c r="BY116" s="44">
        <f t="shared" si="242"/>
        <v>1.0223197715094601E-2</v>
      </c>
      <c r="CA116" s="44" t="str">
        <f t="shared" si="243"/>
        <v/>
      </c>
      <c r="CB116" s="44" t="str">
        <f t="shared" si="244"/>
        <v/>
      </c>
      <c r="CC116" s="44" t="str">
        <f t="shared" si="245"/>
        <v/>
      </c>
      <c r="CD116" s="44" t="str">
        <f t="shared" si="246"/>
        <v/>
      </c>
      <c r="CE116" s="44" t="str">
        <f t="shared" si="247"/>
        <v/>
      </c>
      <c r="CF116" s="44" t="str">
        <f t="shared" si="248"/>
        <v/>
      </c>
      <c r="CG116" s="44" t="str">
        <f t="shared" si="249"/>
        <v/>
      </c>
      <c r="CH116" s="44" t="str">
        <f t="shared" si="250"/>
        <v/>
      </c>
      <c r="CI116" s="44" t="str">
        <f t="shared" si="251"/>
        <v/>
      </c>
      <c r="CJ116" s="44" t="str">
        <f t="shared" si="252"/>
        <v/>
      </c>
      <c r="CK116" s="44" t="str">
        <f t="shared" si="253"/>
        <v/>
      </c>
      <c r="CL116" s="44" t="str">
        <f t="shared" si="254"/>
        <v/>
      </c>
      <c r="CM116" s="44" t="str">
        <f t="shared" si="255"/>
        <v/>
      </c>
      <c r="CN116" s="44" t="str">
        <f t="shared" si="256"/>
        <v/>
      </c>
      <c r="CO116" s="44" t="str">
        <f t="shared" si="257"/>
        <v/>
      </c>
      <c r="CP116" s="44" t="str">
        <f t="shared" si="258"/>
        <v/>
      </c>
      <c r="CQ116" s="44" t="str">
        <f t="shared" si="259"/>
        <v/>
      </c>
      <c r="CR116" s="44" t="str">
        <f t="shared" si="260"/>
        <v/>
      </c>
      <c r="CS116" s="44" t="str">
        <f t="shared" si="261"/>
        <v/>
      </c>
      <c r="CT116" s="44" t="str">
        <f t="shared" si="262"/>
        <v/>
      </c>
      <c r="CV116" s="44">
        <f t="shared" si="263"/>
        <v>0</v>
      </c>
    </row>
    <row r="117" spans="1:100" x14ac:dyDescent="0.25">
      <c r="A117" s="41"/>
      <c r="B117" s="42"/>
      <c r="C117" s="43" t="str" cm="1">
        <f t="array" ref="C117">IF(B117="","",INDEX(UWS!$B$10:$B$41,B117))</f>
        <v/>
      </c>
      <c r="D117" s="40" t="str">
        <f t="shared" si="220"/>
        <v/>
      </c>
      <c r="E117" s="69" t="str">
        <f t="shared" si="221"/>
        <v/>
      </c>
      <c r="F117" s="48" cm="1">
        <f t="array" ref="F117">0.1+IFERROR(INDEX($F$5:$F116,SUMPRODUCT(MAX(ROW($C$5:$C116)*($C117=$C$5:$C116))-ROW($A$4)))*0.9^($A117-INDEX($A$5:A116,SUMPRODUCT(MAX(ROW($C$5:$C116)*($C117=$C$5:$C116))-ROW($A$4)))),0)</f>
        <v>5.1999999999999975</v>
      </c>
      <c r="G117" s="55" t="e">
        <f>INDEX(UWS!$AB$10:$AB$41,MATCH(C117,UWS!$B$10:$B$41,0))</f>
        <v>#N/A</v>
      </c>
      <c r="H117" s="48" t="e">
        <f>INDEX(UWS!$C$10:$C$41,MATCH(C117,UWS!$B$10:$B$41,0))</f>
        <v>#N/A</v>
      </c>
      <c r="I117" s="27">
        <f t="shared" si="222"/>
        <v>5</v>
      </c>
      <c r="J117" s="27" t="e">
        <f>INDEX(UWS!$E$10:$E$41,MATCH(C117,UWS!$B$10:$B$41,0))</f>
        <v>#N/A</v>
      </c>
      <c r="L117" s="108" t="str" cm="1">
        <f t="array" ref="L117">IF(K117="","",INDEX(UWS!$B$10:$B$41,K117))</f>
        <v/>
      </c>
      <c r="N117" s="108" t="str" cm="1">
        <f t="array" ref="N117">IF(M117="","",INDEX(UWS!$B$10:$B$41,M117))</f>
        <v/>
      </c>
      <c r="P117">
        <f>IFERROR(INDEX(UWS!$G$10:$Z$41,MATCH($C117,UWS!$B$10:$B$41,0),MATCH(P$4,UWS!$G$3:$Z$3,0)),0)</f>
        <v>0</v>
      </c>
      <c r="Q117">
        <f>IFERROR(INDEX(UWS!$G$10:$Z$41,MATCH($C117,UWS!$B$10:$B$41,0),MATCH(Q$4,UWS!$G$3:$Z$3,0)),0)</f>
        <v>0</v>
      </c>
      <c r="R117">
        <f>IFERROR(INDEX(UWS!$G$10:$Z$41,MATCH($C117,UWS!$B$10:$B$41,0),MATCH(R$4,UWS!$G$3:$Z$3,0)),0)</f>
        <v>0</v>
      </c>
      <c r="S117">
        <f>IFERROR(INDEX(UWS!$G$10:$Z$41,MATCH($C117,UWS!$B$10:$B$41,0),MATCH(S$4,UWS!$G$3:$Z$3,0)),0)</f>
        <v>0</v>
      </c>
      <c r="T117">
        <f>IFERROR(INDEX(UWS!$G$10:$Z$41,MATCH($C117,UWS!$B$10:$B$41,0),MATCH(T$4,UWS!$G$3:$Z$3,0)),0)</f>
        <v>0</v>
      </c>
      <c r="U117">
        <f>IFERROR(INDEX(UWS!$G$10:$Z$41,MATCH($C117,UWS!$B$10:$B$41,0),MATCH(U$4,UWS!$G$3:$Z$3,0)),0)</f>
        <v>0</v>
      </c>
      <c r="V117">
        <f>IFERROR(INDEX(UWS!$G$10:$Z$41,MATCH($C117,UWS!$B$10:$B$41,0),MATCH(V$4,UWS!$G$3:$Z$3,0)),0)</f>
        <v>0</v>
      </c>
      <c r="W117">
        <f>IFERROR(INDEX(UWS!$G$10:$Z$41,MATCH($C117,UWS!$B$10:$B$41,0),MATCH(W$4,UWS!$G$3:$Z$3,0)),0)</f>
        <v>0</v>
      </c>
      <c r="X117">
        <f>IFERROR(INDEX(UWS!$G$10:$Z$41,MATCH($C117,UWS!$B$10:$B$41,0),MATCH(X$4,UWS!$G$3:$Z$3,0)),0)</f>
        <v>0</v>
      </c>
      <c r="Y117">
        <f>IFERROR(INDEX(UWS!$G$10:$Z$41,MATCH($C117,UWS!$B$10:$B$41,0),MATCH(Y$4,UWS!$G$3:$Z$3,0)),0)</f>
        <v>0</v>
      </c>
      <c r="Z117">
        <f>IFERROR(INDEX(UWS!$G$10:$Z$41,MATCH($C117,UWS!$B$10:$B$41,0),MATCH(Z$4,UWS!$G$3:$Z$3,0)),0)</f>
        <v>0</v>
      </c>
      <c r="AA117">
        <f>IFERROR(INDEX(UWS!$G$10:$Z$41,MATCH($C117,UWS!$B$10:$B$41,0),MATCH(AA$4,UWS!$G$3:$Z$3,0)),0)</f>
        <v>0</v>
      </c>
      <c r="AB117">
        <f>IFERROR(INDEX(UWS!$G$10:$Z$41,MATCH($C117,UWS!$B$10:$B$41,0),MATCH(AB$4,UWS!$G$3:$Z$3,0)),0)</f>
        <v>0</v>
      </c>
      <c r="AC117">
        <f>IFERROR(INDEX(UWS!$G$10:$Z$41,MATCH($C117,UWS!$B$10:$B$41,0),MATCH(AC$4,UWS!$G$3:$Z$3,0)),0)</f>
        <v>0</v>
      </c>
      <c r="AD117">
        <f>IFERROR(INDEX(UWS!$G$10:$Z$41,MATCH($C117,UWS!$B$10:$B$41,0),MATCH(AD$4,UWS!$G$3:$Z$3,0)),0)</f>
        <v>0</v>
      </c>
      <c r="AE117">
        <f>IFERROR(INDEX(UWS!$G$10:$Z$41,MATCH($C117,UWS!$B$10:$B$41,0),MATCH(AE$4,UWS!$G$3:$Z$3,0)),0)</f>
        <v>0</v>
      </c>
      <c r="AF117">
        <f>IFERROR(INDEX(UWS!$G$10:$Z$41,MATCH($C117,UWS!$B$10:$B$41,0),MATCH(AF$4,UWS!$G$3:$Z$3,0)),0)</f>
        <v>0</v>
      </c>
      <c r="AG117">
        <f>IFERROR(INDEX(UWS!$G$10:$Z$41,MATCH($C117,UWS!$B$10:$B$41,0),MATCH(AG$4,UWS!$G$3:$Z$3,0)),0)</f>
        <v>0</v>
      </c>
      <c r="AH117">
        <f>IFERROR(INDEX(UWS!$G$10:$Z$41,MATCH($C117,UWS!$B$10:$B$41,0),MATCH(AH$4,UWS!$G$3:$Z$3,0)),0)</f>
        <v>0</v>
      </c>
      <c r="AI117">
        <f>IFERROR(INDEX(UWS!$G$10:$Z$41,MATCH($C117,UWS!$B$10:$B$41,0),MATCH(AI$4,UWS!$G$3:$Z$3,0)),0)</f>
        <v>0</v>
      </c>
      <c r="AK117" t="e">
        <f>IF(OR($J117=0,COUNTIFS($A$4:$A116,"&gt;="&amp;$A117-1,$A$4:$A116,"&lt;="&amp;$A117,$B$4:$B116,$B117)&gt;0,MIN(AK$1,IF($A117=$A116,AK116,1))-P117&lt;0),-1,MIN(1,IF($A117=$A116,AK116,1)-P117+$D$3))</f>
        <v>#N/A</v>
      </c>
      <c r="AL117" t="e">
        <f>IF(OR($J117=0,COUNTIFS($A$4:$A116,"&gt;="&amp;$A117-1,$A$4:$A116,"&lt;="&amp;$A117,$B$4:$B116,$B117)&gt;0,MIN(AL$1,IF($A117=$A116,AL116,1))-Q117&lt;0),-1,MIN(1,IF($A117=$A116,AL116,1)-Q117+$D$3))</f>
        <v>#N/A</v>
      </c>
      <c r="AM117" t="e">
        <f>IF(OR($J117=0,COUNTIFS($A$4:$A116,"&gt;="&amp;$A117-1,$A$4:$A116,"&lt;="&amp;$A117,$B$4:$B116,$B117)&gt;0,MIN(AM$1,IF($A117=$A116,AM116,1))-R117&lt;0),-1,MIN(1,IF($A117=$A116,AM116,1)-R117+$D$3))</f>
        <v>#N/A</v>
      </c>
      <c r="AN117" t="e">
        <f>IF(OR($J117=0,COUNTIFS($A$4:$A116,"&gt;="&amp;$A117-1,$A$4:$A116,"&lt;="&amp;$A117,$B$4:$B116,$B117)&gt;0,MIN(AN$1,IF($A117=$A116,AN116,1))-S117&lt;0),-1,MIN(1,IF($A117=$A116,AN116,1)-S117+$D$3))</f>
        <v>#N/A</v>
      </c>
      <c r="AO117" t="e">
        <f>IF(OR($J117=0,COUNTIFS($A$4:$A116,"&gt;="&amp;$A117-1,$A$4:$A116,"&lt;="&amp;$A117,$B$4:$B116,$B117)&gt;0,MIN(AO$1,IF($A117=$A116,AO116,1))-T117&lt;0),-1,MIN(1,IF($A117=$A116,AO116,1)-T117+$D$3))</f>
        <v>#N/A</v>
      </c>
      <c r="AP117" t="e">
        <f>IF(OR($J117=0,COUNTIFS($A$4:$A116,"&gt;="&amp;$A117-1,$A$4:$A116,"&lt;="&amp;$A117,$B$4:$B116,$B117)&gt;0,MIN(AP$1,IF($A117=$A116,AP116,1))-U117&lt;0),-1,MIN(1,IF($A117=$A116,AP116,1)-U117+$D$3))</f>
        <v>#N/A</v>
      </c>
      <c r="AQ117" t="e">
        <f>IF(OR($J117=0,COUNTIFS($A$4:$A116,"&gt;="&amp;$A117-1,$A$4:$A116,"&lt;="&amp;$A117,$B$4:$B116,$B117)&gt;0,MIN(AQ$1,IF($A117=$A116,AQ116,1))-V117&lt;0),-1,MIN(1,IF($A117=$A116,AQ116,1)-V117+$D$3))</f>
        <v>#N/A</v>
      </c>
      <c r="AR117" t="e">
        <f>IF(OR($J117=0,COUNTIFS($A$4:$A116,"&gt;="&amp;$A117-1,$A$4:$A116,"&lt;="&amp;$A117,$B$4:$B116,$B117)&gt;0,MIN(AR$1,IF($A117=$A116,AR116,1))-W117&lt;0),-1,MIN(1,IF($A117=$A116,AR116,1)-W117+$D$3))</f>
        <v>#N/A</v>
      </c>
      <c r="AS117" t="e">
        <f>IF(OR($J117=0,COUNTIFS($A$4:$A116,"&gt;="&amp;$A117-1,$A$4:$A116,"&lt;="&amp;$A117,$B$4:$B116,$B117)&gt;0,MIN(AS$1,IF($A117=$A116,AS116,1))-X117&lt;0),-1,MIN(1,IF($A117=$A116,AS116,1)-X117+$D$3))</f>
        <v>#N/A</v>
      </c>
      <c r="AT117" t="e">
        <f>IF(OR($J117=0,COUNTIFS($A$4:$A116,"&gt;="&amp;$A117-1,$A$4:$A116,"&lt;="&amp;$A117,$B$4:$B116,$B117)&gt;0,MIN(AT$1,IF($A117=$A116,AT116,1))-Y117&lt;0),-1,MIN(1,IF($A117=$A116,AT116,1)-Y117+$D$3))</f>
        <v>#N/A</v>
      </c>
      <c r="AU117" t="e">
        <f>IF(OR($J117=0,COUNTIFS($A$4:$A116,"&gt;="&amp;$A117-1,$A$4:$A116,"&lt;="&amp;$A117,$B$4:$B116,$B117)&gt;0,MIN(AU$1,IF($A117=$A116,AU116,1))-Z117&lt;0),-1,MIN(1,IF($A117=$A116,AU116,1)-Z117+$D$3))</f>
        <v>#N/A</v>
      </c>
      <c r="AV117" t="e">
        <f>IF(OR($J117=0,COUNTIFS($A$4:$A116,"&gt;="&amp;$A117-1,$A$4:$A116,"&lt;="&amp;$A117,$B$4:$B116,$B117)&gt;0,MIN(AV$1,IF($A117=$A116,AV116,1))-AA117&lt;0),-1,MIN(1,IF($A117=$A116,AV116,1)-AA117+$D$3))</f>
        <v>#N/A</v>
      </c>
      <c r="AW117" t="e">
        <f>IF(OR($J117=0,COUNTIFS($A$4:$A116,"&gt;="&amp;$A117-1,$A$4:$A116,"&lt;="&amp;$A117,$B$4:$B116,$B117)&gt;0,MIN(AW$1,IF($A117=$A116,AW116,1))-AB117&lt;0),-1,MIN(1,IF($A117=$A116,AW116,1)-AB117+$D$3))</f>
        <v>#N/A</v>
      </c>
      <c r="AX117" t="e">
        <f>IF(OR($J117=0,COUNTIFS($A$4:$A116,"&gt;="&amp;$A117-1,$A$4:$A116,"&lt;="&amp;$A117,$B$4:$B116,$B117)&gt;0,MIN(AX$1,IF($A117=$A116,AX116,1))-AC117&lt;0),-1,MIN(1,IF($A117=$A116,AX116,1)-AC117+$D$3))</f>
        <v>#N/A</v>
      </c>
      <c r="AY117" t="e">
        <f>IF(OR($J117=0,COUNTIFS($A$4:$A116,"&gt;="&amp;$A117-1,$A$4:$A116,"&lt;="&amp;$A117,$B$4:$B116,$B117)&gt;0,MIN(AY$1,IF($A117=$A116,AY116,1))-AD117&lt;0),-1,MIN(1,IF($A117=$A116,AY116,1)-AD117+$D$3))</f>
        <v>#N/A</v>
      </c>
      <c r="AZ117" t="e">
        <f>IF(OR($J117=0,COUNTIFS($A$4:$A116,"&gt;="&amp;$A117-1,$A$4:$A116,"&lt;="&amp;$A117,$B$4:$B116,$B117)&gt;0,MIN(AZ$1,IF($A117=$A116,AZ116,1))-AE117&lt;0),-1,MIN(1,IF($A117=$A116,AZ116,1)-AE117+$D$3))</f>
        <v>#N/A</v>
      </c>
      <c r="BA117" t="e">
        <f>IF(OR($J117=0,COUNTIFS($A$4:$A116,"&gt;="&amp;$A117-1,$A$4:$A116,"&lt;="&amp;$A117,$B$4:$B116,$B117)&gt;0,MIN(BA$1,IF($A117=$A116,BA116,1))-AF117&lt;0),-1,MIN(1,IF($A117=$A116,BA116,1)-AF117+$D$3))</f>
        <v>#N/A</v>
      </c>
      <c r="BB117" t="e">
        <f>IF(OR($J117=0,COUNTIFS($A$4:$A116,"&gt;="&amp;$A117-1,$A$4:$A116,"&lt;="&amp;$A117,$B$4:$B116,$B117)&gt;0,MIN(BB$1,IF($A117=$A116,BB116,1))-AG117&lt;0),-1,MIN(1,IF($A117=$A116,BB116,1)-AG117+$D$3))</f>
        <v>#N/A</v>
      </c>
      <c r="BC117" t="e">
        <f>IF(OR($J117=0,COUNTIFS($A$4:$A116,"&gt;="&amp;$A117-1,$A$4:$A116,"&lt;="&amp;$A117,$B$4:$B116,$B117)&gt;0,MIN(BC$1,IF($A117=$A116,BC116,1))-AH117&lt;0),-1,MIN(1,IF($A117=$A116,BC116,1)-AH117+$D$3))</f>
        <v>#N/A</v>
      </c>
      <c r="BD117" t="e">
        <f>IF(OR($J117=0,COUNTIFS($A$4:$A116,"&gt;="&amp;$A117-1,$A$4:$A116,"&lt;="&amp;$A117,$B$4:$B116,$B117)&gt;0,MIN(BD$1,IF($A117=$A116,BD116,1))-AI117&lt;0),-1,MIN(1,IF($A117=$A116,BD116,1)-AI117+$D$3))</f>
        <v>#N/A</v>
      </c>
      <c r="BF117" s="44">
        <f t="shared" si="223"/>
        <v>6.4427798448934972E-3</v>
      </c>
      <c r="BG117" s="44">
        <f t="shared" si="224"/>
        <v>1.584461367033663E-2</v>
      </c>
      <c r="BH117" s="44">
        <f t="shared" si="225"/>
        <v>1.6239062321965439E-2</v>
      </c>
      <c r="BI117" s="44">
        <f t="shared" si="226"/>
        <v>1.5000385000164122E-2</v>
      </c>
      <c r="BJ117" s="44">
        <f t="shared" si="227"/>
        <v>1.5504321973616932E-2</v>
      </c>
      <c r="BK117" s="44">
        <f t="shared" si="228"/>
        <v>6.6581339331792675E-3</v>
      </c>
      <c r="BL117" s="44">
        <f t="shared" si="229"/>
        <v>3.5968286990917301E-3</v>
      </c>
      <c r="BM117" s="44">
        <f t="shared" si="230"/>
        <v>9.1499121906894205E-3</v>
      </c>
      <c r="BN117" s="44">
        <f t="shared" si="231"/>
        <v>9.5166217802108398E-3</v>
      </c>
      <c r="BO117" s="44">
        <f t="shared" si="232"/>
        <v>4.4598500805559096E-3</v>
      </c>
      <c r="BP117" s="44">
        <f t="shared" si="233"/>
        <v>1.4996146529524527E-2</v>
      </c>
      <c r="BQ117" s="44">
        <f t="shared" si="234"/>
        <v>4.0468391781939795E-3</v>
      </c>
      <c r="BR117" s="44">
        <f t="shared" si="235"/>
        <v>1.1955375962172641E-2</v>
      </c>
      <c r="BS117" s="44">
        <f t="shared" si="236"/>
        <v>6.4476929055997285E-3</v>
      </c>
      <c r="BT117" s="44">
        <f t="shared" si="237"/>
        <v>2.5515497538245349E-2</v>
      </c>
      <c r="BU117" s="44">
        <f t="shared" si="238"/>
        <v>2.4374978055682745E-2</v>
      </c>
      <c r="BV117" s="44">
        <f t="shared" si="239"/>
        <v>2.3408922496224845E-2</v>
      </c>
      <c r="BW117" s="44">
        <f t="shared" si="240"/>
        <v>1.5310723515302712E-2</v>
      </c>
      <c r="BX117" s="44">
        <f t="shared" si="241"/>
        <v>1.1311284501814367E-2</v>
      </c>
      <c r="BY117" s="44">
        <f t="shared" si="242"/>
        <v>9.7120378293398708E-3</v>
      </c>
      <c r="CA117" s="44" t="str">
        <f t="shared" si="243"/>
        <v/>
      </c>
      <c r="CB117" s="44" t="str">
        <f t="shared" si="244"/>
        <v/>
      </c>
      <c r="CC117" s="44" t="str">
        <f t="shared" si="245"/>
        <v/>
      </c>
      <c r="CD117" s="44" t="str">
        <f t="shared" si="246"/>
        <v/>
      </c>
      <c r="CE117" s="44" t="str">
        <f t="shared" si="247"/>
        <v/>
      </c>
      <c r="CF117" s="44" t="str">
        <f t="shared" si="248"/>
        <v/>
      </c>
      <c r="CG117" s="44" t="str">
        <f t="shared" si="249"/>
        <v/>
      </c>
      <c r="CH117" s="44" t="str">
        <f t="shared" si="250"/>
        <v/>
      </c>
      <c r="CI117" s="44" t="str">
        <f t="shared" si="251"/>
        <v/>
      </c>
      <c r="CJ117" s="44" t="str">
        <f t="shared" si="252"/>
        <v/>
      </c>
      <c r="CK117" s="44" t="str">
        <f t="shared" si="253"/>
        <v/>
      </c>
      <c r="CL117" s="44" t="str">
        <f t="shared" si="254"/>
        <v/>
      </c>
      <c r="CM117" s="44" t="str">
        <f t="shared" si="255"/>
        <v/>
      </c>
      <c r="CN117" s="44" t="str">
        <f t="shared" si="256"/>
        <v/>
      </c>
      <c r="CO117" s="44" t="str">
        <f t="shared" si="257"/>
        <v/>
      </c>
      <c r="CP117" s="44" t="str">
        <f t="shared" si="258"/>
        <v/>
      </c>
      <c r="CQ117" s="44" t="str">
        <f t="shared" si="259"/>
        <v/>
      </c>
      <c r="CR117" s="44" t="str">
        <f t="shared" si="260"/>
        <v/>
      </c>
      <c r="CS117" s="44" t="str">
        <f t="shared" si="261"/>
        <v/>
      </c>
      <c r="CT117" s="44" t="str">
        <f t="shared" si="262"/>
        <v/>
      </c>
      <c r="CV117" s="44">
        <f t="shared" si="263"/>
        <v>0</v>
      </c>
    </row>
    <row r="118" spans="1:100" x14ac:dyDescent="0.25">
      <c r="A118" s="41"/>
      <c r="B118" s="42"/>
      <c r="C118" s="43" t="str" cm="1">
        <f t="array" ref="C118">IF(B118="","",INDEX(UWS!$B$10:$B$41,B118))</f>
        <v/>
      </c>
      <c r="D118" s="40" t="str">
        <f t="shared" si="220"/>
        <v/>
      </c>
      <c r="E118" s="69" t="str">
        <f t="shared" si="221"/>
        <v/>
      </c>
      <c r="F118" s="48" cm="1">
        <f t="array" ref="F118">0.1+IFERROR(INDEX($F$5:$F117,SUMPRODUCT(MAX(ROW($C$5:$C117)*($C118=$C$5:$C117))-ROW($A$4)))*0.9^($A118-INDEX($A$5:A117,SUMPRODUCT(MAX(ROW($C$5:$C117)*($C118=$C$5:$C117))-ROW($A$4)))),0)</f>
        <v>5.2999999999999972</v>
      </c>
      <c r="G118" s="55" t="e">
        <f>INDEX(UWS!$AB$10:$AB$41,MATCH(C118,UWS!$B$10:$B$41,0))</f>
        <v>#N/A</v>
      </c>
      <c r="H118" s="48" t="e">
        <f>INDEX(UWS!$C$10:$C$41,MATCH(C118,UWS!$B$10:$B$41,0))</f>
        <v>#N/A</v>
      </c>
      <c r="I118" s="27">
        <f t="shared" si="222"/>
        <v>5</v>
      </c>
      <c r="J118" s="27" t="e">
        <f>INDEX(UWS!$E$10:$E$41,MATCH(C118,UWS!$B$10:$B$41,0))</f>
        <v>#N/A</v>
      </c>
      <c r="L118" s="108" t="str" cm="1">
        <f t="array" ref="L118">IF(K118="","",INDEX(UWS!$B$10:$B$41,K118))</f>
        <v/>
      </c>
      <c r="N118" s="108" t="str" cm="1">
        <f t="array" ref="N118">IF(M118="","",INDEX(UWS!$B$10:$B$41,M118))</f>
        <v/>
      </c>
      <c r="P118">
        <f>IFERROR(INDEX(UWS!$G$10:$Z$41,MATCH($C118,UWS!$B$10:$B$41,0),MATCH(P$4,UWS!$G$3:$Z$3,0)),0)</f>
        <v>0</v>
      </c>
      <c r="Q118">
        <f>IFERROR(INDEX(UWS!$G$10:$Z$41,MATCH($C118,UWS!$B$10:$B$41,0),MATCH(Q$4,UWS!$G$3:$Z$3,0)),0)</f>
        <v>0</v>
      </c>
      <c r="R118">
        <f>IFERROR(INDEX(UWS!$G$10:$Z$41,MATCH($C118,UWS!$B$10:$B$41,0),MATCH(R$4,UWS!$G$3:$Z$3,0)),0)</f>
        <v>0</v>
      </c>
      <c r="S118">
        <f>IFERROR(INDEX(UWS!$G$10:$Z$41,MATCH($C118,UWS!$B$10:$B$41,0),MATCH(S$4,UWS!$G$3:$Z$3,0)),0)</f>
        <v>0</v>
      </c>
      <c r="T118">
        <f>IFERROR(INDEX(UWS!$G$10:$Z$41,MATCH($C118,UWS!$B$10:$B$41,0),MATCH(T$4,UWS!$G$3:$Z$3,0)),0)</f>
        <v>0</v>
      </c>
      <c r="U118">
        <f>IFERROR(INDEX(UWS!$G$10:$Z$41,MATCH($C118,UWS!$B$10:$B$41,0),MATCH(U$4,UWS!$G$3:$Z$3,0)),0)</f>
        <v>0</v>
      </c>
      <c r="V118">
        <f>IFERROR(INDEX(UWS!$G$10:$Z$41,MATCH($C118,UWS!$B$10:$B$41,0),MATCH(V$4,UWS!$G$3:$Z$3,0)),0)</f>
        <v>0</v>
      </c>
      <c r="W118">
        <f>IFERROR(INDEX(UWS!$G$10:$Z$41,MATCH($C118,UWS!$B$10:$B$41,0),MATCH(W$4,UWS!$G$3:$Z$3,0)),0)</f>
        <v>0</v>
      </c>
      <c r="X118">
        <f>IFERROR(INDEX(UWS!$G$10:$Z$41,MATCH($C118,UWS!$B$10:$B$41,0),MATCH(X$4,UWS!$G$3:$Z$3,0)),0)</f>
        <v>0</v>
      </c>
      <c r="Y118">
        <f>IFERROR(INDEX(UWS!$G$10:$Z$41,MATCH($C118,UWS!$B$10:$B$41,0),MATCH(Y$4,UWS!$G$3:$Z$3,0)),0)</f>
        <v>0</v>
      </c>
      <c r="Z118">
        <f>IFERROR(INDEX(UWS!$G$10:$Z$41,MATCH($C118,UWS!$B$10:$B$41,0),MATCH(Z$4,UWS!$G$3:$Z$3,0)),0)</f>
        <v>0</v>
      </c>
      <c r="AA118">
        <f>IFERROR(INDEX(UWS!$G$10:$Z$41,MATCH($C118,UWS!$B$10:$B$41,0),MATCH(AA$4,UWS!$G$3:$Z$3,0)),0)</f>
        <v>0</v>
      </c>
      <c r="AB118">
        <f>IFERROR(INDEX(UWS!$G$10:$Z$41,MATCH($C118,UWS!$B$10:$B$41,0),MATCH(AB$4,UWS!$G$3:$Z$3,0)),0)</f>
        <v>0</v>
      </c>
      <c r="AC118">
        <f>IFERROR(INDEX(UWS!$G$10:$Z$41,MATCH($C118,UWS!$B$10:$B$41,0),MATCH(AC$4,UWS!$G$3:$Z$3,0)),0)</f>
        <v>0</v>
      </c>
      <c r="AD118">
        <f>IFERROR(INDEX(UWS!$G$10:$Z$41,MATCH($C118,UWS!$B$10:$B$41,0),MATCH(AD$4,UWS!$G$3:$Z$3,0)),0)</f>
        <v>0</v>
      </c>
      <c r="AE118">
        <f>IFERROR(INDEX(UWS!$G$10:$Z$41,MATCH($C118,UWS!$B$10:$B$41,0),MATCH(AE$4,UWS!$G$3:$Z$3,0)),0)</f>
        <v>0</v>
      </c>
      <c r="AF118">
        <f>IFERROR(INDEX(UWS!$G$10:$Z$41,MATCH($C118,UWS!$B$10:$B$41,0),MATCH(AF$4,UWS!$G$3:$Z$3,0)),0)</f>
        <v>0</v>
      </c>
      <c r="AG118">
        <f>IFERROR(INDEX(UWS!$G$10:$Z$41,MATCH($C118,UWS!$B$10:$B$41,0),MATCH(AG$4,UWS!$G$3:$Z$3,0)),0)</f>
        <v>0</v>
      </c>
      <c r="AH118">
        <f>IFERROR(INDEX(UWS!$G$10:$Z$41,MATCH($C118,UWS!$B$10:$B$41,0),MATCH(AH$4,UWS!$G$3:$Z$3,0)),0)</f>
        <v>0</v>
      </c>
      <c r="AI118">
        <f>IFERROR(INDEX(UWS!$G$10:$Z$41,MATCH($C118,UWS!$B$10:$B$41,0),MATCH(AI$4,UWS!$G$3:$Z$3,0)),0)</f>
        <v>0</v>
      </c>
      <c r="AK118" t="e">
        <f>IF(OR($J118=0,COUNTIFS($A$4:$A117,"&gt;="&amp;$A118-1,$A$4:$A117,"&lt;="&amp;$A118,$B$4:$B117,$B118)&gt;0,MIN(AK$1,IF($A118=$A117,AK117,1))-P118&lt;0),-1,MIN(1,IF($A118=$A117,AK117,1)-P118+$D$3))</f>
        <v>#N/A</v>
      </c>
      <c r="AL118" t="e">
        <f>IF(OR($J118=0,COUNTIFS($A$4:$A117,"&gt;="&amp;$A118-1,$A$4:$A117,"&lt;="&amp;$A118,$B$4:$B117,$B118)&gt;0,MIN(AL$1,IF($A118=$A117,AL117,1))-Q118&lt;0),-1,MIN(1,IF($A118=$A117,AL117,1)-Q118+$D$3))</f>
        <v>#N/A</v>
      </c>
      <c r="AM118" t="e">
        <f>IF(OR($J118=0,COUNTIFS($A$4:$A117,"&gt;="&amp;$A118-1,$A$4:$A117,"&lt;="&amp;$A118,$B$4:$B117,$B118)&gt;0,MIN(AM$1,IF($A118=$A117,AM117,1))-R118&lt;0),-1,MIN(1,IF($A118=$A117,AM117,1)-R118+$D$3))</f>
        <v>#N/A</v>
      </c>
      <c r="AN118" t="e">
        <f>IF(OR($J118=0,COUNTIFS($A$4:$A117,"&gt;="&amp;$A118-1,$A$4:$A117,"&lt;="&amp;$A118,$B$4:$B117,$B118)&gt;0,MIN(AN$1,IF($A118=$A117,AN117,1))-S118&lt;0),-1,MIN(1,IF($A118=$A117,AN117,1)-S118+$D$3))</f>
        <v>#N/A</v>
      </c>
      <c r="AO118" t="e">
        <f>IF(OR($J118=0,COUNTIFS($A$4:$A117,"&gt;="&amp;$A118-1,$A$4:$A117,"&lt;="&amp;$A118,$B$4:$B117,$B118)&gt;0,MIN(AO$1,IF($A118=$A117,AO117,1))-T118&lt;0),-1,MIN(1,IF($A118=$A117,AO117,1)-T118+$D$3))</f>
        <v>#N/A</v>
      </c>
      <c r="AP118" t="e">
        <f>IF(OR($J118=0,COUNTIFS($A$4:$A117,"&gt;="&amp;$A118-1,$A$4:$A117,"&lt;="&amp;$A118,$B$4:$B117,$B118)&gt;0,MIN(AP$1,IF($A118=$A117,AP117,1))-U118&lt;0),-1,MIN(1,IF($A118=$A117,AP117,1)-U118+$D$3))</f>
        <v>#N/A</v>
      </c>
      <c r="AQ118" t="e">
        <f>IF(OR($J118=0,COUNTIFS($A$4:$A117,"&gt;="&amp;$A118-1,$A$4:$A117,"&lt;="&amp;$A118,$B$4:$B117,$B118)&gt;0,MIN(AQ$1,IF($A118=$A117,AQ117,1))-V118&lt;0),-1,MIN(1,IF($A118=$A117,AQ117,1)-V118+$D$3))</f>
        <v>#N/A</v>
      </c>
      <c r="AR118" t="e">
        <f>IF(OR($J118=0,COUNTIFS($A$4:$A117,"&gt;="&amp;$A118-1,$A$4:$A117,"&lt;="&amp;$A118,$B$4:$B117,$B118)&gt;0,MIN(AR$1,IF($A118=$A117,AR117,1))-W118&lt;0),-1,MIN(1,IF($A118=$A117,AR117,1)-W118+$D$3))</f>
        <v>#N/A</v>
      </c>
      <c r="AS118" t="e">
        <f>IF(OR($J118=0,COUNTIFS($A$4:$A117,"&gt;="&amp;$A118-1,$A$4:$A117,"&lt;="&amp;$A118,$B$4:$B117,$B118)&gt;0,MIN(AS$1,IF($A118=$A117,AS117,1))-X118&lt;0),-1,MIN(1,IF($A118=$A117,AS117,1)-X118+$D$3))</f>
        <v>#N/A</v>
      </c>
      <c r="AT118" t="e">
        <f>IF(OR($J118=0,COUNTIFS($A$4:$A117,"&gt;="&amp;$A118-1,$A$4:$A117,"&lt;="&amp;$A118,$B$4:$B117,$B118)&gt;0,MIN(AT$1,IF($A118=$A117,AT117,1))-Y118&lt;0),-1,MIN(1,IF($A118=$A117,AT117,1)-Y118+$D$3))</f>
        <v>#N/A</v>
      </c>
      <c r="AU118" t="e">
        <f>IF(OR($J118=0,COUNTIFS($A$4:$A117,"&gt;="&amp;$A118-1,$A$4:$A117,"&lt;="&amp;$A118,$B$4:$B117,$B118)&gt;0,MIN(AU$1,IF($A118=$A117,AU117,1))-Z118&lt;0),-1,MIN(1,IF($A118=$A117,AU117,1)-Z118+$D$3))</f>
        <v>#N/A</v>
      </c>
      <c r="AV118" t="e">
        <f>IF(OR($J118=0,COUNTIFS($A$4:$A117,"&gt;="&amp;$A118-1,$A$4:$A117,"&lt;="&amp;$A118,$B$4:$B117,$B118)&gt;0,MIN(AV$1,IF($A118=$A117,AV117,1))-AA118&lt;0),-1,MIN(1,IF($A118=$A117,AV117,1)-AA118+$D$3))</f>
        <v>#N/A</v>
      </c>
      <c r="AW118" t="e">
        <f>IF(OR($J118=0,COUNTIFS($A$4:$A117,"&gt;="&amp;$A118-1,$A$4:$A117,"&lt;="&amp;$A118,$B$4:$B117,$B118)&gt;0,MIN(AW$1,IF($A118=$A117,AW117,1))-AB118&lt;0),-1,MIN(1,IF($A118=$A117,AW117,1)-AB118+$D$3))</f>
        <v>#N/A</v>
      </c>
      <c r="AX118" t="e">
        <f>IF(OR($J118=0,COUNTIFS($A$4:$A117,"&gt;="&amp;$A118-1,$A$4:$A117,"&lt;="&amp;$A118,$B$4:$B117,$B118)&gt;0,MIN(AX$1,IF($A118=$A117,AX117,1))-AC118&lt;0),-1,MIN(1,IF($A118=$A117,AX117,1)-AC118+$D$3))</f>
        <v>#N/A</v>
      </c>
      <c r="AY118" t="e">
        <f>IF(OR($J118=0,COUNTIFS($A$4:$A117,"&gt;="&amp;$A118-1,$A$4:$A117,"&lt;="&amp;$A118,$B$4:$B117,$B118)&gt;0,MIN(AY$1,IF($A118=$A117,AY117,1))-AD118&lt;0),-1,MIN(1,IF($A118=$A117,AY117,1)-AD118+$D$3))</f>
        <v>#N/A</v>
      </c>
      <c r="AZ118" t="e">
        <f>IF(OR($J118=0,COUNTIFS($A$4:$A117,"&gt;="&amp;$A118-1,$A$4:$A117,"&lt;="&amp;$A118,$B$4:$B117,$B118)&gt;0,MIN(AZ$1,IF($A118=$A117,AZ117,1))-AE118&lt;0),-1,MIN(1,IF($A118=$A117,AZ117,1)-AE118+$D$3))</f>
        <v>#N/A</v>
      </c>
      <c r="BA118" t="e">
        <f>IF(OR($J118=0,COUNTIFS($A$4:$A117,"&gt;="&amp;$A118-1,$A$4:$A117,"&lt;="&amp;$A118,$B$4:$B117,$B118)&gt;0,MIN(BA$1,IF($A118=$A117,BA117,1))-AF118&lt;0),-1,MIN(1,IF($A118=$A117,BA117,1)-AF118+$D$3))</f>
        <v>#N/A</v>
      </c>
      <c r="BB118" t="e">
        <f>IF(OR($J118=0,COUNTIFS($A$4:$A117,"&gt;="&amp;$A118-1,$A$4:$A117,"&lt;="&amp;$A118,$B$4:$B117,$B118)&gt;0,MIN(BB$1,IF($A118=$A117,BB117,1))-AG118&lt;0),-1,MIN(1,IF($A118=$A117,BB117,1)-AG118+$D$3))</f>
        <v>#N/A</v>
      </c>
      <c r="BC118" t="e">
        <f>IF(OR($J118=0,COUNTIFS($A$4:$A117,"&gt;="&amp;$A118-1,$A$4:$A117,"&lt;="&amp;$A118,$B$4:$B117,$B118)&gt;0,MIN(BC$1,IF($A118=$A117,BC117,1))-AH118&lt;0),-1,MIN(1,IF($A118=$A117,BC117,1)-AH118+$D$3))</f>
        <v>#N/A</v>
      </c>
      <c r="BD118" t="e">
        <f>IF(OR($J118=0,COUNTIFS($A$4:$A117,"&gt;="&amp;$A118-1,$A$4:$A117,"&lt;="&amp;$A118,$B$4:$B117,$B118)&gt;0,MIN(BD$1,IF($A118=$A117,BD117,1))-AI118&lt;0),-1,MIN(1,IF($A118=$A117,BD117,1)-AI118+$D$3))</f>
        <v>#N/A</v>
      </c>
      <c r="BF118" s="44">
        <f t="shared" si="223"/>
        <v>6.1206408526488223E-3</v>
      </c>
      <c r="BG118" s="44">
        <f t="shared" si="224"/>
        <v>1.5052382986819797E-2</v>
      </c>
      <c r="BH118" s="44">
        <f t="shared" si="225"/>
        <v>1.5427109205867167E-2</v>
      </c>
      <c r="BI118" s="44">
        <f t="shared" si="226"/>
        <v>1.4250365750155916E-2</v>
      </c>
      <c r="BJ118" s="44">
        <f t="shared" si="227"/>
        <v>1.4729105874936085E-2</v>
      </c>
      <c r="BK118" s="44">
        <f t="shared" si="228"/>
        <v>6.3252272365203034E-3</v>
      </c>
      <c r="BL118" s="44">
        <f t="shared" si="229"/>
        <v>3.4169872641371434E-3</v>
      </c>
      <c r="BM118" s="44">
        <f t="shared" si="230"/>
        <v>8.6924165811549485E-3</v>
      </c>
      <c r="BN118" s="44">
        <f t="shared" si="231"/>
        <v>9.0407906912002966E-3</v>
      </c>
      <c r="BO118" s="44">
        <f t="shared" si="232"/>
        <v>4.2368575765281136E-3</v>
      </c>
      <c r="BP118" s="44">
        <f t="shared" si="233"/>
        <v>1.4246339203048301E-2</v>
      </c>
      <c r="BQ118" s="44">
        <f t="shared" si="234"/>
        <v>3.8444972192842805E-3</v>
      </c>
      <c r="BR118" s="44">
        <f t="shared" si="235"/>
        <v>1.1357607164064008E-2</v>
      </c>
      <c r="BS118" s="44">
        <f t="shared" si="236"/>
        <v>6.1253082603197418E-3</v>
      </c>
      <c r="BT118" s="44">
        <f t="shared" si="237"/>
        <v>2.423972266133308E-2</v>
      </c>
      <c r="BU118" s="44">
        <f t="shared" si="238"/>
        <v>2.3156229152898607E-2</v>
      </c>
      <c r="BV118" s="44">
        <f t="shared" si="239"/>
        <v>2.2238476371413601E-2</v>
      </c>
      <c r="BW118" s="44">
        <f t="shared" si="240"/>
        <v>1.4545187339537576E-2</v>
      </c>
      <c r="BX118" s="44">
        <f t="shared" si="241"/>
        <v>1.0745720276723648E-2</v>
      </c>
      <c r="BY118" s="44">
        <f t="shared" si="242"/>
        <v>9.2264359378728764E-3</v>
      </c>
      <c r="CA118" s="44" t="str">
        <f t="shared" si="243"/>
        <v/>
      </c>
      <c r="CB118" s="44" t="str">
        <f t="shared" si="244"/>
        <v/>
      </c>
      <c r="CC118" s="44" t="str">
        <f t="shared" si="245"/>
        <v/>
      </c>
      <c r="CD118" s="44" t="str">
        <f t="shared" si="246"/>
        <v/>
      </c>
      <c r="CE118" s="44" t="str">
        <f t="shared" si="247"/>
        <v/>
      </c>
      <c r="CF118" s="44" t="str">
        <f t="shared" si="248"/>
        <v/>
      </c>
      <c r="CG118" s="44" t="str">
        <f t="shared" si="249"/>
        <v/>
      </c>
      <c r="CH118" s="44" t="str">
        <f t="shared" si="250"/>
        <v/>
      </c>
      <c r="CI118" s="44" t="str">
        <f t="shared" si="251"/>
        <v/>
      </c>
      <c r="CJ118" s="44" t="str">
        <f t="shared" si="252"/>
        <v/>
      </c>
      <c r="CK118" s="44" t="str">
        <f t="shared" si="253"/>
        <v/>
      </c>
      <c r="CL118" s="44" t="str">
        <f t="shared" si="254"/>
        <v/>
      </c>
      <c r="CM118" s="44" t="str">
        <f t="shared" si="255"/>
        <v/>
      </c>
      <c r="CN118" s="44" t="str">
        <f t="shared" si="256"/>
        <v/>
      </c>
      <c r="CO118" s="44" t="str">
        <f t="shared" si="257"/>
        <v/>
      </c>
      <c r="CP118" s="44" t="str">
        <f t="shared" si="258"/>
        <v/>
      </c>
      <c r="CQ118" s="44" t="str">
        <f t="shared" si="259"/>
        <v/>
      </c>
      <c r="CR118" s="44" t="str">
        <f t="shared" si="260"/>
        <v/>
      </c>
      <c r="CS118" s="44" t="str">
        <f t="shared" si="261"/>
        <v/>
      </c>
      <c r="CT118" s="44" t="str">
        <f t="shared" si="262"/>
        <v/>
      </c>
      <c r="CV118" s="44">
        <f t="shared" si="263"/>
        <v>0</v>
      </c>
    </row>
    <row r="119" spans="1:100" x14ac:dyDescent="0.25">
      <c r="A119" s="41"/>
      <c r="B119" s="42"/>
      <c r="C119" s="43" t="str" cm="1">
        <f t="array" ref="C119">IF(B119="","",INDEX(UWS!$B$10:$B$41,B119))</f>
        <v/>
      </c>
      <c r="D119" s="40" t="str">
        <f t="shared" si="220"/>
        <v/>
      </c>
      <c r="E119" s="69" t="str">
        <f t="shared" si="221"/>
        <v/>
      </c>
      <c r="F119" s="48" cm="1">
        <f t="array" ref="F119">0.1+IFERROR(INDEX($F$5:$F118,SUMPRODUCT(MAX(ROW($C$5:$C118)*($C119=$C$5:$C118))-ROW($A$4)))*0.9^($A119-INDEX($A$5:A118,SUMPRODUCT(MAX(ROW($C$5:$C118)*($C119=$C$5:$C118))-ROW($A$4)))),0)</f>
        <v>5.3999999999999968</v>
      </c>
      <c r="G119" s="55" t="e">
        <f>INDEX(UWS!$AB$10:$AB$41,MATCH(C119,UWS!$B$10:$B$41,0))</f>
        <v>#N/A</v>
      </c>
      <c r="H119" s="48" t="e">
        <f>INDEX(UWS!$C$10:$C$41,MATCH(C119,UWS!$B$10:$B$41,0))</f>
        <v>#N/A</v>
      </c>
      <c r="I119" s="27">
        <f t="shared" si="222"/>
        <v>5</v>
      </c>
      <c r="J119" s="27" t="e">
        <f>INDEX(UWS!$E$10:$E$41,MATCH(C119,UWS!$B$10:$B$41,0))</f>
        <v>#N/A</v>
      </c>
      <c r="L119" s="108" t="str" cm="1">
        <f t="array" ref="L119">IF(K119="","",INDEX(UWS!$B$10:$B$41,K119))</f>
        <v/>
      </c>
      <c r="N119" s="108" t="str" cm="1">
        <f t="array" ref="N119">IF(M119="","",INDEX(UWS!$B$10:$B$41,M119))</f>
        <v/>
      </c>
      <c r="P119">
        <f>IFERROR(INDEX(UWS!$G$10:$Z$41,MATCH($C119,UWS!$B$10:$B$41,0),MATCH(P$4,UWS!$G$3:$Z$3,0)),0)</f>
        <v>0</v>
      </c>
      <c r="Q119">
        <f>IFERROR(INDEX(UWS!$G$10:$Z$41,MATCH($C119,UWS!$B$10:$B$41,0),MATCH(Q$4,UWS!$G$3:$Z$3,0)),0)</f>
        <v>0</v>
      </c>
      <c r="R119">
        <f>IFERROR(INDEX(UWS!$G$10:$Z$41,MATCH($C119,UWS!$B$10:$B$41,0),MATCH(R$4,UWS!$G$3:$Z$3,0)),0)</f>
        <v>0</v>
      </c>
      <c r="S119">
        <f>IFERROR(INDEX(UWS!$G$10:$Z$41,MATCH($C119,UWS!$B$10:$B$41,0),MATCH(S$4,UWS!$G$3:$Z$3,0)),0)</f>
        <v>0</v>
      </c>
      <c r="T119">
        <f>IFERROR(INDEX(UWS!$G$10:$Z$41,MATCH($C119,UWS!$B$10:$B$41,0),MATCH(T$4,UWS!$G$3:$Z$3,0)),0)</f>
        <v>0</v>
      </c>
      <c r="U119">
        <f>IFERROR(INDEX(UWS!$G$10:$Z$41,MATCH($C119,UWS!$B$10:$B$41,0),MATCH(U$4,UWS!$G$3:$Z$3,0)),0)</f>
        <v>0</v>
      </c>
      <c r="V119">
        <f>IFERROR(INDEX(UWS!$G$10:$Z$41,MATCH($C119,UWS!$B$10:$B$41,0),MATCH(V$4,UWS!$G$3:$Z$3,0)),0)</f>
        <v>0</v>
      </c>
      <c r="W119">
        <f>IFERROR(INDEX(UWS!$G$10:$Z$41,MATCH($C119,UWS!$B$10:$B$41,0),MATCH(W$4,UWS!$G$3:$Z$3,0)),0)</f>
        <v>0</v>
      </c>
      <c r="X119">
        <f>IFERROR(INDEX(UWS!$G$10:$Z$41,MATCH($C119,UWS!$B$10:$B$41,0),MATCH(X$4,UWS!$G$3:$Z$3,0)),0)</f>
        <v>0</v>
      </c>
      <c r="Y119">
        <f>IFERROR(INDEX(UWS!$G$10:$Z$41,MATCH($C119,UWS!$B$10:$B$41,0),MATCH(Y$4,UWS!$G$3:$Z$3,0)),0)</f>
        <v>0</v>
      </c>
      <c r="Z119">
        <f>IFERROR(INDEX(UWS!$G$10:$Z$41,MATCH($C119,UWS!$B$10:$B$41,0),MATCH(Z$4,UWS!$G$3:$Z$3,0)),0)</f>
        <v>0</v>
      </c>
      <c r="AA119">
        <f>IFERROR(INDEX(UWS!$G$10:$Z$41,MATCH($C119,UWS!$B$10:$B$41,0),MATCH(AA$4,UWS!$G$3:$Z$3,0)),0)</f>
        <v>0</v>
      </c>
      <c r="AB119">
        <f>IFERROR(INDEX(UWS!$G$10:$Z$41,MATCH($C119,UWS!$B$10:$B$41,0),MATCH(AB$4,UWS!$G$3:$Z$3,0)),0)</f>
        <v>0</v>
      </c>
      <c r="AC119">
        <f>IFERROR(INDEX(UWS!$G$10:$Z$41,MATCH($C119,UWS!$B$10:$B$41,0),MATCH(AC$4,UWS!$G$3:$Z$3,0)),0)</f>
        <v>0</v>
      </c>
      <c r="AD119">
        <f>IFERROR(INDEX(UWS!$G$10:$Z$41,MATCH($C119,UWS!$B$10:$B$41,0),MATCH(AD$4,UWS!$G$3:$Z$3,0)),0)</f>
        <v>0</v>
      </c>
      <c r="AE119">
        <f>IFERROR(INDEX(UWS!$G$10:$Z$41,MATCH($C119,UWS!$B$10:$B$41,0),MATCH(AE$4,UWS!$G$3:$Z$3,0)),0)</f>
        <v>0</v>
      </c>
      <c r="AF119">
        <f>IFERROR(INDEX(UWS!$G$10:$Z$41,MATCH($C119,UWS!$B$10:$B$41,0),MATCH(AF$4,UWS!$G$3:$Z$3,0)),0)</f>
        <v>0</v>
      </c>
      <c r="AG119">
        <f>IFERROR(INDEX(UWS!$G$10:$Z$41,MATCH($C119,UWS!$B$10:$B$41,0),MATCH(AG$4,UWS!$G$3:$Z$3,0)),0)</f>
        <v>0</v>
      </c>
      <c r="AH119">
        <f>IFERROR(INDEX(UWS!$G$10:$Z$41,MATCH($C119,UWS!$B$10:$B$41,0),MATCH(AH$4,UWS!$G$3:$Z$3,0)),0)</f>
        <v>0</v>
      </c>
      <c r="AI119">
        <f>IFERROR(INDEX(UWS!$G$10:$Z$41,MATCH($C119,UWS!$B$10:$B$41,0),MATCH(AI$4,UWS!$G$3:$Z$3,0)),0)</f>
        <v>0</v>
      </c>
      <c r="AK119" t="e">
        <f>IF(OR($J119=0,COUNTIFS($A$4:$A118,"&gt;="&amp;$A119-1,$A$4:$A118,"&lt;="&amp;$A119,$B$4:$B118,$B119)&gt;0,MIN(AK$1,IF($A119=$A118,AK118,1))-P119&lt;0),-1,MIN(1,IF($A119=$A118,AK118,1)-P119+$D$3))</f>
        <v>#N/A</v>
      </c>
      <c r="AL119" t="e">
        <f>IF(OR($J119=0,COUNTIFS($A$4:$A118,"&gt;="&amp;$A119-1,$A$4:$A118,"&lt;="&amp;$A119,$B$4:$B118,$B119)&gt;0,MIN(AL$1,IF($A119=$A118,AL118,1))-Q119&lt;0),-1,MIN(1,IF($A119=$A118,AL118,1)-Q119+$D$3))</f>
        <v>#N/A</v>
      </c>
      <c r="AM119" t="e">
        <f>IF(OR($J119=0,COUNTIFS($A$4:$A118,"&gt;="&amp;$A119-1,$A$4:$A118,"&lt;="&amp;$A119,$B$4:$B118,$B119)&gt;0,MIN(AM$1,IF($A119=$A118,AM118,1))-R119&lt;0),-1,MIN(1,IF($A119=$A118,AM118,1)-R119+$D$3))</f>
        <v>#N/A</v>
      </c>
      <c r="AN119" t="e">
        <f>IF(OR($J119=0,COUNTIFS($A$4:$A118,"&gt;="&amp;$A119-1,$A$4:$A118,"&lt;="&amp;$A119,$B$4:$B118,$B119)&gt;0,MIN(AN$1,IF($A119=$A118,AN118,1))-S119&lt;0),-1,MIN(1,IF($A119=$A118,AN118,1)-S119+$D$3))</f>
        <v>#N/A</v>
      </c>
      <c r="AO119" t="e">
        <f>IF(OR($J119=0,COUNTIFS($A$4:$A118,"&gt;="&amp;$A119-1,$A$4:$A118,"&lt;="&amp;$A119,$B$4:$B118,$B119)&gt;0,MIN(AO$1,IF($A119=$A118,AO118,1))-T119&lt;0),-1,MIN(1,IF($A119=$A118,AO118,1)-T119+$D$3))</f>
        <v>#N/A</v>
      </c>
      <c r="AP119" t="e">
        <f>IF(OR($J119=0,COUNTIFS($A$4:$A118,"&gt;="&amp;$A119-1,$A$4:$A118,"&lt;="&amp;$A119,$B$4:$B118,$B119)&gt;0,MIN(AP$1,IF($A119=$A118,AP118,1))-U119&lt;0),-1,MIN(1,IF($A119=$A118,AP118,1)-U119+$D$3))</f>
        <v>#N/A</v>
      </c>
      <c r="AQ119" t="e">
        <f>IF(OR($J119=0,COUNTIFS($A$4:$A118,"&gt;="&amp;$A119-1,$A$4:$A118,"&lt;="&amp;$A119,$B$4:$B118,$B119)&gt;0,MIN(AQ$1,IF($A119=$A118,AQ118,1))-V119&lt;0),-1,MIN(1,IF($A119=$A118,AQ118,1)-V119+$D$3))</f>
        <v>#N/A</v>
      </c>
      <c r="AR119" t="e">
        <f>IF(OR($J119=0,COUNTIFS($A$4:$A118,"&gt;="&amp;$A119-1,$A$4:$A118,"&lt;="&amp;$A119,$B$4:$B118,$B119)&gt;0,MIN(AR$1,IF($A119=$A118,AR118,1))-W119&lt;0),-1,MIN(1,IF($A119=$A118,AR118,1)-W119+$D$3))</f>
        <v>#N/A</v>
      </c>
      <c r="AS119" t="e">
        <f>IF(OR($J119=0,COUNTIFS($A$4:$A118,"&gt;="&amp;$A119-1,$A$4:$A118,"&lt;="&amp;$A119,$B$4:$B118,$B119)&gt;0,MIN(AS$1,IF($A119=$A118,AS118,1))-X119&lt;0),-1,MIN(1,IF($A119=$A118,AS118,1)-X119+$D$3))</f>
        <v>#N/A</v>
      </c>
      <c r="AT119" t="e">
        <f>IF(OR($J119=0,COUNTIFS($A$4:$A118,"&gt;="&amp;$A119-1,$A$4:$A118,"&lt;="&amp;$A119,$B$4:$B118,$B119)&gt;0,MIN(AT$1,IF($A119=$A118,AT118,1))-Y119&lt;0),-1,MIN(1,IF($A119=$A118,AT118,1)-Y119+$D$3))</f>
        <v>#N/A</v>
      </c>
      <c r="AU119" t="e">
        <f>IF(OR($J119=0,COUNTIFS($A$4:$A118,"&gt;="&amp;$A119-1,$A$4:$A118,"&lt;="&amp;$A119,$B$4:$B118,$B119)&gt;0,MIN(AU$1,IF($A119=$A118,AU118,1))-Z119&lt;0),-1,MIN(1,IF($A119=$A118,AU118,1)-Z119+$D$3))</f>
        <v>#N/A</v>
      </c>
      <c r="AV119" t="e">
        <f>IF(OR($J119=0,COUNTIFS($A$4:$A118,"&gt;="&amp;$A119-1,$A$4:$A118,"&lt;="&amp;$A119,$B$4:$B118,$B119)&gt;0,MIN(AV$1,IF($A119=$A118,AV118,1))-AA119&lt;0),-1,MIN(1,IF($A119=$A118,AV118,1)-AA119+$D$3))</f>
        <v>#N/A</v>
      </c>
      <c r="AW119" t="e">
        <f>IF(OR($J119=0,COUNTIFS($A$4:$A118,"&gt;="&amp;$A119-1,$A$4:$A118,"&lt;="&amp;$A119,$B$4:$B118,$B119)&gt;0,MIN(AW$1,IF($A119=$A118,AW118,1))-AB119&lt;0),-1,MIN(1,IF($A119=$A118,AW118,1)-AB119+$D$3))</f>
        <v>#N/A</v>
      </c>
      <c r="AX119" t="e">
        <f>IF(OR($J119=0,COUNTIFS($A$4:$A118,"&gt;="&amp;$A119-1,$A$4:$A118,"&lt;="&amp;$A119,$B$4:$B118,$B119)&gt;0,MIN(AX$1,IF($A119=$A118,AX118,1))-AC119&lt;0),-1,MIN(1,IF($A119=$A118,AX118,1)-AC119+$D$3))</f>
        <v>#N/A</v>
      </c>
      <c r="AY119" t="e">
        <f>IF(OR($J119=0,COUNTIFS($A$4:$A118,"&gt;="&amp;$A119-1,$A$4:$A118,"&lt;="&amp;$A119,$B$4:$B118,$B119)&gt;0,MIN(AY$1,IF($A119=$A118,AY118,1))-AD119&lt;0),-1,MIN(1,IF($A119=$A118,AY118,1)-AD119+$D$3))</f>
        <v>#N/A</v>
      </c>
      <c r="AZ119" t="e">
        <f>IF(OR($J119=0,COUNTIFS($A$4:$A118,"&gt;="&amp;$A119-1,$A$4:$A118,"&lt;="&amp;$A119,$B$4:$B118,$B119)&gt;0,MIN(AZ$1,IF($A119=$A118,AZ118,1))-AE119&lt;0),-1,MIN(1,IF($A119=$A118,AZ118,1)-AE119+$D$3))</f>
        <v>#N/A</v>
      </c>
      <c r="BA119" t="e">
        <f>IF(OR($J119=0,COUNTIFS($A$4:$A118,"&gt;="&amp;$A119-1,$A$4:$A118,"&lt;="&amp;$A119,$B$4:$B118,$B119)&gt;0,MIN(BA$1,IF($A119=$A118,BA118,1))-AF119&lt;0),-1,MIN(1,IF($A119=$A118,BA118,1)-AF119+$D$3))</f>
        <v>#N/A</v>
      </c>
      <c r="BB119" t="e">
        <f>IF(OR($J119=0,COUNTIFS($A$4:$A118,"&gt;="&amp;$A119-1,$A$4:$A118,"&lt;="&amp;$A119,$B$4:$B118,$B119)&gt;0,MIN(BB$1,IF($A119=$A118,BB118,1))-AG119&lt;0),-1,MIN(1,IF($A119=$A118,BB118,1)-AG119+$D$3))</f>
        <v>#N/A</v>
      </c>
      <c r="BC119" t="e">
        <f>IF(OR($J119=0,COUNTIFS($A$4:$A118,"&gt;="&amp;$A119-1,$A$4:$A118,"&lt;="&amp;$A119,$B$4:$B118,$B119)&gt;0,MIN(BC$1,IF($A119=$A118,BC118,1))-AH119&lt;0),-1,MIN(1,IF($A119=$A118,BC118,1)-AH119+$D$3))</f>
        <v>#N/A</v>
      </c>
      <c r="BD119" t="e">
        <f>IF(OR($J119=0,COUNTIFS($A$4:$A118,"&gt;="&amp;$A119-1,$A$4:$A118,"&lt;="&amp;$A119,$B$4:$B118,$B119)&gt;0,MIN(BD$1,IF($A119=$A118,BD118,1))-AI119&lt;0),-1,MIN(1,IF($A119=$A118,BD118,1)-AI119+$D$3))</f>
        <v>#N/A</v>
      </c>
      <c r="BF119" s="44">
        <f t="shared" si="223"/>
        <v>5.814608810016381E-3</v>
      </c>
      <c r="BG119" s="44">
        <f t="shared" si="224"/>
        <v>1.4299763837478807E-2</v>
      </c>
      <c r="BH119" s="44">
        <f t="shared" si="225"/>
        <v>1.4655753745573808E-2</v>
      </c>
      <c r="BI119" s="44">
        <f t="shared" si="226"/>
        <v>1.353784746264812E-2</v>
      </c>
      <c r="BJ119" s="44">
        <f t="shared" si="227"/>
        <v>1.399265058118928E-2</v>
      </c>
      <c r="BK119" s="44">
        <f t="shared" si="228"/>
        <v>6.0089658746942881E-3</v>
      </c>
      <c r="BL119" s="44">
        <f t="shared" si="229"/>
        <v>3.2461379009302862E-3</v>
      </c>
      <c r="BM119" s="44">
        <f t="shared" si="230"/>
        <v>8.2577957520972006E-3</v>
      </c>
      <c r="BN119" s="44">
        <f t="shared" si="231"/>
        <v>8.588751156640281E-3</v>
      </c>
      <c r="BO119" s="44">
        <f t="shared" si="232"/>
        <v>4.0250146977017075E-3</v>
      </c>
      <c r="BP119" s="44">
        <f t="shared" si="233"/>
        <v>1.3534022242895885E-2</v>
      </c>
      <c r="BQ119" s="44">
        <f t="shared" si="234"/>
        <v>3.6522723583200661E-3</v>
      </c>
      <c r="BR119" s="44">
        <f t="shared" si="235"/>
        <v>1.0789726805860806E-2</v>
      </c>
      <c r="BS119" s="44">
        <f t="shared" si="236"/>
        <v>5.819042847303754E-3</v>
      </c>
      <c r="BT119" s="44">
        <f t="shared" si="237"/>
        <v>2.3027736528266424E-2</v>
      </c>
      <c r="BU119" s="44">
        <f t="shared" si="238"/>
        <v>2.1998417695253677E-2</v>
      </c>
      <c r="BV119" s="44">
        <f t="shared" si="239"/>
        <v>2.1126552552842921E-2</v>
      </c>
      <c r="BW119" s="44">
        <f t="shared" si="240"/>
        <v>1.3817927972560698E-2</v>
      </c>
      <c r="BX119" s="44">
        <f t="shared" si="241"/>
        <v>1.0208434262887464E-2</v>
      </c>
      <c r="BY119" s="44">
        <f t="shared" si="242"/>
        <v>8.7651141409792327E-3</v>
      </c>
      <c r="CA119" s="44" t="str">
        <f t="shared" si="243"/>
        <v/>
      </c>
      <c r="CB119" s="44" t="str">
        <f t="shared" si="244"/>
        <v/>
      </c>
      <c r="CC119" s="44" t="str">
        <f t="shared" si="245"/>
        <v/>
      </c>
      <c r="CD119" s="44" t="str">
        <f t="shared" si="246"/>
        <v/>
      </c>
      <c r="CE119" s="44" t="str">
        <f t="shared" si="247"/>
        <v/>
      </c>
      <c r="CF119" s="44" t="str">
        <f t="shared" si="248"/>
        <v/>
      </c>
      <c r="CG119" s="44" t="str">
        <f t="shared" si="249"/>
        <v/>
      </c>
      <c r="CH119" s="44" t="str">
        <f t="shared" si="250"/>
        <v/>
      </c>
      <c r="CI119" s="44" t="str">
        <f t="shared" si="251"/>
        <v/>
      </c>
      <c r="CJ119" s="44" t="str">
        <f t="shared" si="252"/>
        <v/>
      </c>
      <c r="CK119" s="44" t="str">
        <f t="shared" si="253"/>
        <v/>
      </c>
      <c r="CL119" s="44" t="str">
        <f t="shared" si="254"/>
        <v/>
      </c>
      <c r="CM119" s="44" t="str">
        <f t="shared" si="255"/>
        <v/>
      </c>
      <c r="CN119" s="44" t="str">
        <f t="shared" si="256"/>
        <v/>
      </c>
      <c r="CO119" s="44" t="str">
        <f t="shared" si="257"/>
        <v/>
      </c>
      <c r="CP119" s="44" t="str">
        <f t="shared" si="258"/>
        <v/>
      </c>
      <c r="CQ119" s="44" t="str">
        <f t="shared" si="259"/>
        <v/>
      </c>
      <c r="CR119" s="44" t="str">
        <f t="shared" si="260"/>
        <v/>
      </c>
      <c r="CS119" s="44" t="str">
        <f t="shared" si="261"/>
        <v/>
      </c>
      <c r="CT119" s="44" t="str">
        <f t="shared" si="262"/>
        <v/>
      </c>
      <c r="CV119" s="44">
        <f t="shared" si="263"/>
        <v>0</v>
      </c>
    </row>
    <row r="120" spans="1:100" x14ac:dyDescent="0.25">
      <c r="A120" s="49"/>
      <c r="B120" s="50"/>
      <c r="C120" s="51" t="str" cm="1">
        <f t="array" ref="C120">IF(B120="","",INDEX(UWS!$B$10:$B$41,B120))</f>
        <v/>
      </c>
      <c r="D120" s="45" t="str">
        <f t="shared" si="220"/>
        <v/>
      </c>
      <c r="E120" s="70" t="str">
        <f t="shared" si="221"/>
        <v/>
      </c>
      <c r="F120" s="52" cm="1">
        <f t="array" ref="F120">0.1+IFERROR(INDEX($F$5:$F119,SUMPRODUCT(MAX(ROW($C$5:$C119)*($C120=$C$5:$C119))-ROW($A$4)))*0.9^($A120-INDEX($A$5:A119,SUMPRODUCT(MAX(ROW($C$5:$C119)*($C120=$C$5:$C119))-ROW($A$4)))),0)</f>
        <v>5.4999999999999964</v>
      </c>
      <c r="G120" s="56" t="e">
        <f>INDEX(UWS!$AB$10:$AB$41,MATCH(C120,UWS!$B$10:$B$41,0))</f>
        <v>#N/A</v>
      </c>
      <c r="H120" s="52" t="e">
        <f>INDEX(UWS!$C$10:$C$41,MATCH(C120,UWS!$B$10:$B$41,0))</f>
        <v>#N/A</v>
      </c>
      <c r="I120" s="46">
        <f t="shared" si="222"/>
        <v>5</v>
      </c>
      <c r="J120" s="46" t="e">
        <f>INDEX(UWS!$E$10:$E$41,MATCH(C120,UWS!$B$10:$B$41,0))</f>
        <v>#N/A</v>
      </c>
      <c r="K120" s="46"/>
      <c r="L120" s="109" t="str" cm="1">
        <f t="array" ref="L120">IF(K120="","",INDEX(UWS!$B$10:$B$41,K120))</f>
        <v/>
      </c>
      <c r="M120" s="46"/>
      <c r="N120" s="109" t="str" cm="1">
        <f t="array" ref="N120">IF(M120="","",INDEX(UWS!$B$10:$B$41,M120))</f>
        <v/>
      </c>
      <c r="O120" s="47"/>
      <c r="P120" s="47">
        <f>IFERROR(INDEX(UWS!$G$10:$Z$41,MATCH($C120,UWS!$B$10:$B$41,0),MATCH(P$4,UWS!$G$3:$Z$3,0)),0)</f>
        <v>0</v>
      </c>
      <c r="Q120" s="47">
        <f>IFERROR(INDEX(UWS!$G$10:$Z$41,MATCH($C120,UWS!$B$10:$B$41,0),MATCH(Q$4,UWS!$G$3:$Z$3,0)),0)</f>
        <v>0</v>
      </c>
      <c r="R120" s="47">
        <f>IFERROR(INDEX(UWS!$G$10:$Z$41,MATCH($C120,UWS!$B$10:$B$41,0),MATCH(R$4,UWS!$G$3:$Z$3,0)),0)</f>
        <v>0</v>
      </c>
      <c r="S120" s="47">
        <f>IFERROR(INDEX(UWS!$G$10:$Z$41,MATCH($C120,UWS!$B$10:$B$41,0),MATCH(S$4,UWS!$G$3:$Z$3,0)),0)</f>
        <v>0</v>
      </c>
      <c r="T120" s="47">
        <f>IFERROR(INDEX(UWS!$G$10:$Z$41,MATCH($C120,UWS!$B$10:$B$41,0),MATCH(T$4,UWS!$G$3:$Z$3,0)),0)</f>
        <v>0</v>
      </c>
      <c r="U120" s="47">
        <f>IFERROR(INDEX(UWS!$G$10:$Z$41,MATCH($C120,UWS!$B$10:$B$41,0),MATCH(U$4,UWS!$G$3:$Z$3,0)),0)</f>
        <v>0</v>
      </c>
      <c r="V120" s="47">
        <f>IFERROR(INDEX(UWS!$G$10:$Z$41,MATCH($C120,UWS!$B$10:$B$41,0),MATCH(V$4,UWS!$G$3:$Z$3,0)),0)</f>
        <v>0</v>
      </c>
      <c r="W120" s="47">
        <f>IFERROR(INDEX(UWS!$G$10:$Z$41,MATCH($C120,UWS!$B$10:$B$41,0),MATCH(W$4,UWS!$G$3:$Z$3,0)),0)</f>
        <v>0</v>
      </c>
      <c r="X120" s="47">
        <f>IFERROR(INDEX(UWS!$G$10:$Z$41,MATCH($C120,UWS!$B$10:$B$41,0),MATCH(X$4,UWS!$G$3:$Z$3,0)),0)</f>
        <v>0</v>
      </c>
      <c r="Y120" s="47">
        <f>IFERROR(INDEX(UWS!$G$10:$Z$41,MATCH($C120,UWS!$B$10:$B$41,0),MATCH(Y$4,UWS!$G$3:$Z$3,0)),0)</f>
        <v>0</v>
      </c>
      <c r="Z120" s="47">
        <f>IFERROR(INDEX(UWS!$G$10:$Z$41,MATCH($C120,UWS!$B$10:$B$41,0),MATCH(Z$4,UWS!$G$3:$Z$3,0)),0)</f>
        <v>0</v>
      </c>
      <c r="AA120" s="47">
        <f>IFERROR(INDEX(UWS!$G$10:$Z$41,MATCH($C120,UWS!$B$10:$B$41,0),MATCH(AA$4,UWS!$G$3:$Z$3,0)),0)</f>
        <v>0</v>
      </c>
      <c r="AB120" s="47">
        <f>IFERROR(INDEX(UWS!$G$10:$Z$41,MATCH($C120,UWS!$B$10:$B$41,0),MATCH(AB$4,UWS!$G$3:$Z$3,0)),0)</f>
        <v>0</v>
      </c>
      <c r="AC120" s="47">
        <f>IFERROR(INDEX(UWS!$G$10:$Z$41,MATCH($C120,UWS!$B$10:$B$41,0),MATCH(AC$4,UWS!$G$3:$Z$3,0)),0)</f>
        <v>0</v>
      </c>
      <c r="AD120" s="47">
        <f>IFERROR(INDEX(UWS!$G$10:$Z$41,MATCH($C120,UWS!$B$10:$B$41,0),MATCH(AD$4,UWS!$G$3:$Z$3,0)),0)</f>
        <v>0</v>
      </c>
      <c r="AE120" s="47">
        <f>IFERROR(INDEX(UWS!$G$10:$Z$41,MATCH($C120,UWS!$B$10:$B$41,0),MATCH(AE$4,UWS!$G$3:$Z$3,0)),0)</f>
        <v>0</v>
      </c>
      <c r="AF120" s="47">
        <f>IFERROR(INDEX(UWS!$G$10:$Z$41,MATCH($C120,UWS!$B$10:$B$41,0),MATCH(AF$4,UWS!$G$3:$Z$3,0)),0)</f>
        <v>0</v>
      </c>
      <c r="AG120" s="47">
        <f>IFERROR(INDEX(UWS!$G$10:$Z$41,MATCH($C120,UWS!$B$10:$B$41,0),MATCH(AG$4,UWS!$G$3:$Z$3,0)),0)</f>
        <v>0</v>
      </c>
      <c r="AH120" s="47">
        <f>IFERROR(INDEX(UWS!$G$10:$Z$41,MATCH($C120,UWS!$B$10:$B$41,0),MATCH(AH$4,UWS!$G$3:$Z$3,0)),0)</f>
        <v>0</v>
      </c>
      <c r="AI120" s="47">
        <f>IFERROR(INDEX(UWS!$G$10:$Z$41,MATCH($C120,UWS!$B$10:$B$41,0),MATCH(AI$4,UWS!$G$3:$Z$3,0)),0)</f>
        <v>0</v>
      </c>
      <c r="AJ120" s="47"/>
      <c r="AK120" s="47" t="e">
        <f>IF(OR($J120=0,COUNTIFS($A$4:$A119,"&gt;="&amp;$A120-1,$A$4:$A119,"&lt;="&amp;$A120,$B$4:$B119,$B120)&gt;0,MIN(AK$1,IF($A120=$A119,AK119,1))-P120&lt;0),-1,MIN(1,IF($A120=$A119,AK119,1)-P120+$D$3))</f>
        <v>#N/A</v>
      </c>
      <c r="AL120" s="47" t="e">
        <f>IF(OR($J120=0,COUNTIFS($A$4:$A119,"&gt;="&amp;$A120-1,$A$4:$A119,"&lt;="&amp;$A120,$B$4:$B119,$B120)&gt;0,MIN(AL$1,IF($A120=$A119,AL119,1))-Q120&lt;0),-1,MIN(1,IF($A120=$A119,AL119,1)-Q120+$D$3))</f>
        <v>#N/A</v>
      </c>
      <c r="AM120" s="47" t="e">
        <f>IF(OR($J120=0,COUNTIFS($A$4:$A119,"&gt;="&amp;$A120-1,$A$4:$A119,"&lt;="&amp;$A120,$B$4:$B119,$B120)&gt;0,MIN(AM$1,IF($A120=$A119,AM119,1))-R120&lt;0),-1,MIN(1,IF($A120=$A119,AM119,1)-R120+$D$3))</f>
        <v>#N/A</v>
      </c>
      <c r="AN120" s="47" t="e">
        <f>IF(OR($J120=0,COUNTIFS($A$4:$A119,"&gt;="&amp;$A120-1,$A$4:$A119,"&lt;="&amp;$A120,$B$4:$B119,$B120)&gt;0,MIN(AN$1,IF($A120=$A119,AN119,1))-S120&lt;0),-1,MIN(1,IF($A120=$A119,AN119,1)-S120+$D$3))</f>
        <v>#N/A</v>
      </c>
      <c r="AO120" s="47" t="e">
        <f>IF(OR($J120=0,COUNTIFS($A$4:$A119,"&gt;="&amp;$A120-1,$A$4:$A119,"&lt;="&amp;$A120,$B$4:$B119,$B120)&gt;0,MIN(AO$1,IF($A120=$A119,AO119,1))-T120&lt;0),-1,MIN(1,IF($A120=$A119,AO119,1)-T120+$D$3))</f>
        <v>#N/A</v>
      </c>
      <c r="AP120" s="47" t="e">
        <f>IF(OR($J120=0,COUNTIFS($A$4:$A119,"&gt;="&amp;$A120-1,$A$4:$A119,"&lt;="&amp;$A120,$B$4:$B119,$B120)&gt;0,MIN(AP$1,IF($A120=$A119,AP119,1))-U120&lt;0),-1,MIN(1,IF($A120=$A119,AP119,1)-U120+$D$3))</f>
        <v>#N/A</v>
      </c>
      <c r="AQ120" s="47" t="e">
        <f>IF(OR($J120=0,COUNTIFS($A$4:$A119,"&gt;="&amp;$A120-1,$A$4:$A119,"&lt;="&amp;$A120,$B$4:$B119,$B120)&gt;0,MIN(AQ$1,IF($A120=$A119,AQ119,1))-V120&lt;0),-1,MIN(1,IF($A120=$A119,AQ119,1)-V120+$D$3))</f>
        <v>#N/A</v>
      </c>
      <c r="AR120" s="47" t="e">
        <f>IF(OR($J120=0,COUNTIFS($A$4:$A119,"&gt;="&amp;$A120-1,$A$4:$A119,"&lt;="&amp;$A120,$B$4:$B119,$B120)&gt;0,MIN(AR$1,IF($A120=$A119,AR119,1))-W120&lt;0),-1,MIN(1,IF($A120=$A119,AR119,1)-W120+$D$3))</f>
        <v>#N/A</v>
      </c>
      <c r="AS120" s="47" t="e">
        <f>IF(OR($J120=0,COUNTIFS($A$4:$A119,"&gt;="&amp;$A120-1,$A$4:$A119,"&lt;="&amp;$A120,$B$4:$B119,$B120)&gt;0,MIN(AS$1,IF($A120=$A119,AS119,1))-X120&lt;0),-1,MIN(1,IF($A120=$A119,AS119,1)-X120+$D$3))</f>
        <v>#N/A</v>
      </c>
      <c r="AT120" s="47" t="e">
        <f>IF(OR($J120=0,COUNTIFS($A$4:$A119,"&gt;="&amp;$A120-1,$A$4:$A119,"&lt;="&amp;$A120,$B$4:$B119,$B120)&gt;0,MIN(AT$1,IF($A120=$A119,AT119,1))-Y120&lt;0),-1,MIN(1,IF($A120=$A119,AT119,1)-Y120+$D$3))</f>
        <v>#N/A</v>
      </c>
      <c r="AU120" s="47" t="e">
        <f>IF(OR($J120=0,COUNTIFS($A$4:$A119,"&gt;="&amp;$A120-1,$A$4:$A119,"&lt;="&amp;$A120,$B$4:$B119,$B120)&gt;0,MIN(AU$1,IF($A120=$A119,AU119,1))-Z120&lt;0),-1,MIN(1,IF($A120=$A119,AU119,1)-Z120+$D$3))</f>
        <v>#N/A</v>
      </c>
      <c r="AV120" s="47" t="e">
        <f>IF(OR($J120=0,COUNTIFS($A$4:$A119,"&gt;="&amp;$A120-1,$A$4:$A119,"&lt;="&amp;$A120,$B$4:$B119,$B120)&gt;0,MIN(AV$1,IF($A120=$A119,AV119,1))-AA120&lt;0),-1,MIN(1,IF($A120=$A119,AV119,1)-AA120+$D$3))</f>
        <v>#N/A</v>
      </c>
      <c r="AW120" s="47" t="e">
        <f>IF(OR($J120=0,COUNTIFS($A$4:$A119,"&gt;="&amp;$A120-1,$A$4:$A119,"&lt;="&amp;$A120,$B$4:$B119,$B120)&gt;0,MIN(AW$1,IF($A120=$A119,AW119,1))-AB120&lt;0),-1,MIN(1,IF($A120=$A119,AW119,1)-AB120+$D$3))</f>
        <v>#N/A</v>
      </c>
      <c r="AX120" s="47" t="e">
        <f>IF(OR($J120=0,COUNTIFS($A$4:$A119,"&gt;="&amp;$A120-1,$A$4:$A119,"&lt;="&amp;$A120,$B$4:$B119,$B120)&gt;0,MIN(AX$1,IF($A120=$A119,AX119,1))-AC120&lt;0),-1,MIN(1,IF($A120=$A119,AX119,1)-AC120+$D$3))</f>
        <v>#N/A</v>
      </c>
      <c r="AY120" s="47" t="e">
        <f>IF(OR($J120=0,COUNTIFS($A$4:$A119,"&gt;="&amp;$A120-1,$A$4:$A119,"&lt;="&amp;$A120,$B$4:$B119,$B120)&gt;0,MIN(AY$1,IF($A120=$A119,AY119,1))-AD120&lt;0),-1,MIN(1,IF($A120=$A119,AY119,1)-AD120+$D$3))</f>
        <v>#N/A</v>
      </c>
      <c r="AZ120" s="47" t="e">
        <f>IF(OR($J120=0,COUNTIFS($A$4:$A119,"&gt;="&amp;$A120-1,$A$4:$A119,"&lt;="&amp;$A120,$B$4:$B119,$B120)&gt;0,MIN(AZ$1,IF($A120=$A119,AZ119,1))-AE120&lt;0),-1,MIN(1,IF($A120=$A119,AZ119,1)-AE120+$D$3))</f>
        <v>#N/A</v>
      </c>
      <c r="BA120" s="47" t="e">
        <f>IF(OR($J120=0,COUNTIFS($A$4:$A119,"&gt;="&amp;$A120-1,$A$4:$A119,"&lt;="&amp;$A120,$B$4:$B119,$B120)&gt;0,MIN(BA$1,IF($A120=$A119,BA119,1))-AF120&lt;0),-1,MIN(1,IF($A120=$A119,BA119,1)-AF120+$D$3))</f>
        <v>#N/A</v>
      </c>
      <c r="BB120" s="47" t="e">
        <f>IF(OR($J120=0,COUNTIFS($A$4:$A119,"&gt;="&amp;$A120-1,$A$4:$A119,"&lt;="&amp;$A120,$B$4:$B119,$B120)&gt;0,MIN(BB$1,IF($A120=$A119,BB119,1))-AG120&lt;0),-1,MIN(1,IF($A120=$A119,BB119,1)-AG120+$D$3))</f>
        <v>#N/A</v>
      </c>
      <c r="BC120" s="47" t="e">
        <f>IF(OR($J120=0,COUNTIFS($A$4:$A119,"&gt;="&amp;$A120-1,$A$4:$A119,"&lt;="&amp;$A120,$B$4:$B119,$B120)&gt;0,MIN(BC$1,IF($A120=$A119,BC119,1))-AH120&lt;0),-1,MIN(1,IF($A120=$A119,BC119,1)-AH120+$D$3))</f>
        <v>#N/A</v>
      </c>
      <c r="BD120" s="47" t="e">
        <f>IF(OR($J120=0,COUNTIFS($A$4:$A119,"&gt;="&amp;$A120-1,$A$4:$A119,"&lt;="&amp;$A120,$B$4:$B119,$B120)&gt;0,MIN(BD$1,IF($A120=$A119,BD119,1))-AI120&lt;0),-1,MIN(1,IF($A120=$A119,BD119,1)-AI120+$D$3))</f>
        <v>#N/A</v>
      </c>
      <c r="BE120" s="47"/>
      <c r="BF120" s="53">
        <f t="shared" si="223"/>
        <v>5.5238783695155617E-3</v>
      </c>
      <c r="BG120" s="53">
        <f t="shared" si="224"/>
        <v>1.3584775645604865E-2</v>
      </c>
      <c r="BH120" s="53">
        <f t="shared" si="225"/>
        <v>1.3922966058295117E-2</v>
      </c>
      <c r="BI120" s="53">
        <f t="shared" si="226"/>
        <v>1.2860955089515713E-2</v>
      </c>
      <c r="BJ120" s="53">
        <f t="shared" si="227"/>
        <v>1.3293018052129815E-2</v>
      </c>
      <c r="BK120" s="53">
        <f t="shared" si="228"/>
        <v>5.7085175809595736E-3</v>
      </c>
      <c r="BL120" s="53">
        <f t="shared" si="229"/>
        <v>3.0838310058837718E-3</v>
      </c>
      <c r="BM120" s="53">
        <f t="shared" si="230"/>
        <v>7.8449059644923394E-3</v>
      </c>
      <c r="BN120" s="53">
        <f t="shared" si="231"/>
        <v>8.1593135988082665E-3</v>
      </c>
      <c r="BO120" s="53">
        <f t="shared" si="232"/>
        <v>3.823763962816622E-3</v>
      </c>
      <c r="BP120" s="53">
        <f t="shared" si="233"/>
        <v>1.285732113075109E-2</v>
      </c>
      <c r="BQ120" s="53">
        <f t="shared" si="234"/>
        <v>3.4696587404040627E-3</v>
      </c>
      <c r="BR120" s="53">
        <f t="shared" si="235"/>
        <v>1.0250240465567766E-2</v>
      </c>
      <c r="BS120" s="53">
        <f t="shared" si="236"/>
        <v>5.5280907049385661E-3</v>
      </c>
      <c r="BT120" s="53">
        <f t="shared" si="237"/>
        <v>2.1876349701853103E-2</v>
      </c>
      <c r="BU120" s="53">
        <f t="shared" si="238"/>
        <v>2.0898496810490993E-2</v>
      </c>
      <c r="BV120" s="53">
        <f t="shared" si="239"/>
        <v>2.0070224925200775E-2</v>
      </c>
      <c r="BW120" s="53">
        <f t="shared" si="240"/>
        <v>1.3127031573932663E-2</v>
      </c>
      <c r="BX120" s="53">
        <f t="shared" si="241"/>
        <v>9.6980125497430902E-3</v>
      </c>
      <c r="BY120" s="53">
        <f t="shared" si="242"/>
        <v>8.3268584339302714E-3</v>
      </c>
      <c r="BZ120" s="47"/>
      <c r="CA120" s="53" t="str">
        <f t="shared" si="243"/>
        <v/>
      </c>
      <c r="CB120" s="53" t="str">
        <f t="shared" si="244"/>
        <v/>
      </c>
      <c r="CC120" s="53" t="str">
        <f t="shared" si="245"/>
        <v/>
      </c>
      <c r="CD120" s="53" t="str">
        <f t="shared" si="246"/>
        <v/>
      </c>
      <c r="CE120" s="53" t="str">
        <f t="shared" si="247"/>
        <v/>
      </c>
      <c r="CF120" s="53" t="str">
        <f t="shared" si="248"/>
        <v/>
      </c>
      <c r="CG120" s="53" t="str">
        <f t="shared" si="249"/>
        <v/>
      </c>
      <c r="CH120" s="53" t="str">
        <f t="shared" si="250"/>
        <v/>
      </c>
      <c r="CI120" s="53" t="str">
        <f t="shared" si="251"/>
        <v/>
      </c>
      <c r="CJ120" s="53" t="str">
        <f t="shared" si="252"/>
        <v/>
      </c>
      <c r="CK120" s="53" t="str">
        <f t="shared" si="253"/>
        <v/>
      </c>
      <c r="CL120" s="53" t="str">
        <f t="shared" si="254"/>
        <v/>
      </c>
      <c r="CM120" s="53" t="str">
        <f t="shared" si="255"/>
        <v/>
      </c>
      <c r="CN120" s="53" t="str">
        <f t="shared" si="256"/>
        <v/>
      </c>
      <c r="CO120" s="53" t="str">
        <f t="shared" si="257"/>
        <v/>
      </c>
      <c r="CP120" s="53" t="str">
        <f t="shared" si="258"/>
        <v/>
      </c>
      <c r="CQ120" s="53" t="str">
        <f t="shared" si="259"/>
        <v/>
      </c>
      <c r="CR120" s="53" t="str">
        <f t="shared" si="260"/>
        <v/>
      </c>
      <c r="CS120" s="53" t="str">
        <f t="shared" si="261"/>
        <v/>
      </c>
      <c r="CT120" s="53" t="str">
        <f t="shared" si="262"/>
        <v/>
      </c>
      <c r="CU120" s="47"/>
      <c r="CV120" s="53">
        <f t="shared" si="263"/>
        <v>0</v>
      </c>
    </row>
    <row r="121" spans="1:100" x14ac:dyDescent="0.25">
      <c r="A121" s="41"/>
      <c r="B121" s="42"/>
      <c r="C121" s="43" t="str" cm="1">
        <f t="array" ref="C121">IF(B121="","",INDEX(UWS!$B$10:$B$41,B121))</f>
        <v/>
      </c>
      <c r="D121" s="40" t="str">
        <f t="shared" si="220"/>
        <v/>
      </c>
      <c r="E121" s="69" t="str">
        <f t="shared" si="221"/>
        <v/>
      </c>
      <c r="F121" s="48" cm="1">
        <f t="array" ref="F121">0.1+IFERROR(INDEX($F$5:$F120,SUMPRODUCT(MAX(ROW($C$5:$C120)*($C121=$C$5:$C120))-ROW($A$4)))*0.9^($A121-INDEX($A$5:A120,SUMPRODUCT(MAX(ROW($C$5:$C120)*($C121=$C$5:$C120))-ROW($A$4)))),0)</f>
        <v>5.5999999999999961</v>
      </c>
      <c r="G121" s="55" t="e">
        <f>INDEX(UWS!$AB$10:$AB$41,MATCH(C121,UWS!$B$10:$B$41,0))</f>
        <v>#N/A</v>
      </c>
      <c r="H121" s="48" t="e">
        <f>INDEX(UWS!$C$10:$C$41,MATCH(C121,UWS!$B$10:$B$41,0))</f>
        <v>#N/A</v>
      </c>
      <c r="I121" s="82">
        <f t="shared" si="222"/>
        <v>5</v>
      </c>
      <c r="J121" s="27" t="e">
        <f>INDEX(UWS!$E$10:$E$41,MATCH(C121,UWS!$B$10:$B$41,0))</f>
        <v>#N/A</v>
      </c>
      <c r="L121" s="108" t="str" cm="1">
        <f t="array" ref="L121">IF(K121="","",INDEX(UWS!$B$10:$B$41,K121))</f>
        <v/>
      </c>
      <c r="N121" s="108" t="str" cm="1">
        <f t="array" ref="N121">IF(M121="","",INDEX(UWS!$B$10:$B$41,M121))</f>
        <v/>
      </c>
      <c r="P121">
        <f>IFERROR(INDEX(UWS!$G$10:$Z$41,MATCH($C121,UWS!$B$10:$B$41,0),MATCH(P$4,UWS!$G$3:$Z$3,0)),0)</f>
        <v>0</v>
      </c>
      <c r="Q121">
        <f>IFERROR(INDEX(UWS!$G$10:$Z$41,MATCH($C121,UWS!$B$10:$B$41,0),MATCH(Q$4,UWS!$G$3:$Z$3,0)),0)</f>
        <v>0</v>
      </c>
      <c r="R121">
        <f>IFERROR(INDEX(UWS!$G$10:$Z$41,MATCH($C121,UWS!$B$10:$B$41,0),MATCH(R$4,UWS!$G$3:$Z$3,0)),0)</f>
        <v>0</v>
      </c>
      <c r="S121">
        <f>IFERROR(INDEX(UWS!$G$10:$Z$41,MATCH($C121,UWS!$B$10:$B$41,0),MATCH(S$4,UWS!$G$3:$Z$3,0)),0)</f>
        <v>0</v>
      </c>
      <c r="T121">
        <f>IFERROR(INDEX(UWS!$G$10:$Z$41,MATCH($C121,UWS!$B$10:$B$41,0),MATCH(T$4,UWS!$G$3:$Z$3,0)),0)</f>
        <v>0</v>
      </c>
      <c r="U121">
        <f>IFERROR(INDEX(UWS!$G$10:$Z$41,MATCH($C121,UWS!$B$10:$B$41,0),MATCH(U$4,UWS!$G$3:$Z$3,0)),0)</f>
        <v>0</v>
      </c>
      <c r="V121">
        <f>IFERROR(INDEX(UWS!$G$10:$Z$41,MATCH($C121,UWS!$B$10:$B$41,0),MATCH(V$4,UWS!$G$3:$Z$3,0)),0)</f>
        <v>0</v>
      </c>
      <c r="W121">
        <f>IFERROR(INDEX(UWS!$G$10:$Z$41,MATCH($C121,UWS!$B$10:$B$41,0),MATCH(W$4,UWS!$G$3:$Z$3,0)),0)</f>
        <v>0</v>
      </c>
      <c r="X121">
        <f>IFERROR(INDEX(UWS!$G$10:$Z$41,MATCH($C121,UWS!$B$10:$B$41,0),MATCH(X$4,UWS!$G$3:$Z$3,0)),0)</f>
        <v>0</v>
      </c>
      <c r="Y121">
        <f>IFERROR(INDEX(UWS!$G$10:$Z$41,MATCH($C121,UWS!$B$10:$B$41,0),MATCH(Y$4,UWS!$G$3:$Z$3,0)),0)</f>
        <v>0</v>
      </c>
      <c r="Z121">
        <f>IFERROR(INDEX(UWS!$G$10:$Z$41,MATCH($C121,UWS!$B$10:$B$41,0),MATCH(Z$4,UWS!$G$3:$Z$3,0)),0)</f>
        <v>0</v>
      </c>
      <c r="AA121">
        <f>IFERROR(INDEX(UWS!$G$10:$Z$41,MATCH($C121,UWS!$B$10:$B$41,0),MATCH(AA$4,UWS!$G$3:$Z$3,0)),0)</f>
        <v>0</v>
      </c>
      <c r="AB121">
        <f>IFERROR(INDEX(UWS!$G$10:$Z$41,MATCH($C121,UWS!$B$10:$B$41,0),MATCH(AB$4,UWS!$G$3:$Z$3,0)),0)</f>
        <v>0</v>
      </c>
      <c r="AC121">
        <f>IFERROR(INDEX(UWS!$G$10:$Z$41,MATCH($C121,UWS!$B$10:$B$41,0),MATCH(AC$4,UWS!$G$3:$Z$3,0)),0)</f>
        <v>0</v>
      </c>
      <c r="AD121">
        <f>IFERROR(INDEX(UWS!$G$10:$Z$41,MATCH($C121,UWS!$B$10:$B$41,0),MATCH(AD$4,UWS!$G$3:$Z$3,0)),0)</f>
        <v>0</v>
      </c>
      <c r="AE121">
        <f>IFERROR(INDEX(UWS!$G$10:$Z$41,MATCH($C121,UWS!$B$10:$B$41,0),MATCH(AE$4,UWS!$G$3:$Z$3,0)),0)</f>
        <v>0</v>
      </c>
      <c r="AF121">
        <f>IFERROR(INDEX(UWS!$G$10:$Z$41,MATCH($C121,UWS!$B$10:$B$41,0),MATCH(AF$4,UWS!$G$3:$Z$3,0)),0)</f>
        <v>0</v>
      </c>
      <c r="AG121">
        <f>IFERROR(INDEX(UWS!$G$10:$Z$41,MATCH($C121,UWS!$B$10:$B$41,0),MATCH(AG$4,UWS!$G$3:$Z$3,0)),0)</f>
        <v>0</v>
      </c>
      <c r="AH121">
        <f>IFERROR(INDEX(UWS!$G$10:$Z$41,MATCH($C121,UWS!$B$10:$B$41,0),MATCH(AH$4,UWS!$G$3:$Z$3,0)),0)</f>
        <v>0</v>
      </c>
      <c r="AI121">
        <f>IFERROR(INDEX(UWS!$G$10:$Z$41,MATCH($C121,UWS!$B$10:$B$41,0),MATCH(AI$4,UWS!$G$3:$Z$3,0)),0)</f>
        <v>0</v>
      </c>
      <c r="AK121" t="e">
        <f>IF(OR($J121=0,COUNTIFS($A$4:$A120,"&gt;="&amp;$A121-1,$A$4:$A120,"&lt;="&amp;$A121,$B$4:$B120,$B121)&gt;0,MIN(AK$1,IF($A121=$A120,AK120,1))-P121&lt;0),-1,MIN(1,IF($A121=$A120,AK120,1)-P121+$D$3))</f>
        <v>#N/A</v>
      </c>
      <c r="AL121" t="e">
        <f>IF(OR($J121=0,COUNTIFS($A$4:$A120,"&gt;="&amp;$A121-1,$A$4:$A120,"&lt;="&amp;$A121,$B$4:$B120,$B121)&gt;0,MIN(AL$1,IF($A121=$A120,AL120,1))-Q121&lt;0),-1,MIN(1,IF($A121=$A120,AL120,1)-Q121+$D$3))</f>
        <v>#N/A</v>
      </c>
      <c r="AM121" t="e">
        <f>IF(OR($J121=0,COUNTIFS($A$4:$A120,"&gt;="&amp;$A121-1,$A$4:$A120,"&lt;="&amp;$A121,$B$4:$B120,$B121)&gt;0,MIN(AM$1,IF($A121=$A120,AM120,1))-R121&lt;0),-1,MIN(1,IF($A121=$A120,AM120,1)-R121+$D$3))</f>
        <v>#N/A</v>
      </c>
      <c r="AN121" t="e">
        <f>IF(OR($J121=0,COUNTIFS($A$4:$A120,"&gt;="&amp;$A121-1,$A$4:$A120,"&lt;="&amp;$A121,$B$4:$B120,$B121)&gt;0,MIN(AN$1,IF($A121=$A120,AN120,1))-S121&lt;0),-1,MIN(1,IF($A121=$A120,AN120,1)-S121+$D$3))</f>
        <v>#N/A</v>
      </c>
      <c r="AO121" t="e">
        <f>IF(OR($J121=0,COUNTIFS($A$4:$A120,"&gt;="&amp;$A121-1,$A$4:$A120,"&lt;="&amp;$A121,$B$4:$B120,$B121)&gt;0,MIN(AO$1,IF($A121=$A120,AO120,1))-T121&lt;0),-1,MIN(1,IF($A121=$A120,AO120,1)-T121+$D$3))</f>
        <v>#N/A</v>
      </c>
      <c r="AP121" t="e">
        <f>IF(OR($J121=0,COUNTIFS($A$4:$A120,"&gt;="&amp;$A121-1,$A$4:$A120,"&lt;="&amp;$A121,$B$4:$B120,$B121)&gt;0,MIN(AP$1,IF($A121=$A120,AP120,1))-U121&lt;0),-1,MIN(1,IF($A121=$A120,AP120,1)-U121+$D$3))</f>
        <v>#N/A</v>
      </c>
      <c r="AQ121" t="e">
        <f>IF(OR($J121=0,COUNTIFS($A$4:$A120,"&gt;="&amp;$A121-1,$A$4:$A120,"&lt;="&amp;$A121,$B$4:$B120,$B121)&gt;0,MIN(AQ$1,IF($A121=$A120,AQ120,1))-V121&lt;0),-1,MIN(1,IF($A121=$A120,AQ120,1)-V121+$D$3))</f>
        <v>#N/A</v>
      </c>
      <c r="AR121" t="e">
        <f>IF(OR($J121=0,COUNTIFS($A$4:$A120,"&gt;="&amp;$A121-1,$A$4:$A120,"&lt;="&amp;$A121,$B$4:$B120,$B121)&gt;0,MIN(AR$1,IF($A121=$A120,AR120,1))-W121&lt;0),-1,MIN(1,IF($A121=$A120,AR120,1)-W121+$D$3))</f>
        <v>#N/A</v>
      </c>
      <c r="AS121" t="e">
        <f>IF(OR($J121=0,COUNTIFS($A$4:$A120,"&gt;="&amp;$A121-1,$A$4:$A120,"&lt;="&amp;$A121,$B$4:$B120,$B121)&gt;0,MIN(AS$1,IF($A121=$A120,AS120,1))-X121&lt;0),-1,MIN(1,IF($A121=$A120,AS120,1)-X121+$D$3))</f>
        <v>#N/A</v>
      </c>
      <c r="AT121" t="e">
        <f>IF(OR($J121=0,COUNTIFS($A$4:$A120,"&gt;="&amp;$A121-1,$A$4:$A120,"&lt;="&amp;$A121,$B$4:$B120,$B121)&gt;0,MIN(AT$1,IF($A121=$A120,AT120,1))-Y121&lt;0),-1,MIN(1,IF($A121=$A120,AT120,1)-Y121+$D$3))</f>
        <v>#N/A</v>
      </c>
      <c r="AU121" t="e">
        <f>IF(OR($J121=0,COUNTIFS($A$4:$A120,"&gt;="&amp;$A121-1,$A$4:$A120,"&lt;="&amp;$A121,$B$4:$B120,$B121)&gt;0,MIN(AU$1,IF($A121=$A120,AU120,1))-Z121&lt;0),-1,MIN(1,IF($A121=$A120,AU120,1)-Z121+$D$3))</f>
        <v>#N/A</v>
      </c>
      <c r="AV121" t="e">
        <f>IF(OR($J121=0,COUNTIFS($A$4:$A120,"&gt;="&amp;$A121-1,$A$4:$A120,"&lt;="&amp;$A121,$B$4:$B120,$B121)&gt;0,MIN(AV$1,IF($A121=$A120,AV120,1))-AA121&lt;0),-1,MIN(1,IF($A121=$A120,AV120,1)-AA121+$D$3))</f>
        <v>#N/A</v>
      </c>
      <c r="AW121" t="e">
        <f>IF(OR($J121=0,COUNTIFS($A$4:$A120,"&gt;="&amp;$A121-1,$A$4:$A120,"&lt;="&amp;$A121,$B$4:$B120,$B121)&gt;0,MIN(AW$1,IF($A121=$A120,AW120,1))-AB121&lt;0),-1,MIN(1,IF($A121=$A120,AW120,1)-AB121+$D$3))</f>
        <v>#N/A</v>
      </c>
      <c r="AX121" t="e">
        <f>IF(OR($J121=0,COUNTIFS($A$4:$A120,"&gt;="&amp;$A121-1,$A$4:$A120,"&lt;="&amp;$A121,$B$4:$B120,$B121)&gt;0,MIN(AX$1,IF($A121=$A120,AX120,1))-AC121&lt;0),-1,MIN(1,IF($A121=$A120,AX120,1)-AC121+$D$3))</f>
        <v>#N/A</v>
      </c>
      <c r="AY121" t="e">
        <f>IF(OR($J121=0,COUNTIFS($A$4:$A120,"&gt;="&amp;$A121-1,$A$4:$A120,"&lt;="&amp;$A121,$B$4:$B120,$B121)&gt;0,MIN(AY$1,IF($A121=$A120,AY120,1))-AD121&lt;0),-1,MIN(1,IF($A121=$A120,AY120,1)-AD121+$D$3))</f>
        <v>#N/A</v>
      </c>
      <c r="AZ121" t="e">
        <f>IF(OR($J121=0,COUNTIFS($A$4:$A120,"&gt;="&amp;$A121-1,$A$4:$A120,"&lt;="&amp;$A121,$B$4:$B120,$B121)&gt;0,MIN(AZ$1,IF($A121=$A120,AZ120,1))-AE121&lt;0),-1,MIN(1,IF($A121=$A120,AZ120,1)-AE121+$D$3))</f>
        <v>#N/A</v>
      </c>
      <c r="BA121" t="e">
        <f>IF(OR($J121=0,COUNTIFS($A$4:$A120,"&gt;="&amp;$A121-1,$A$4:$A120,"&lt;="&amp;$A121,$B$4:$B120,$B121)&gt;0,MIN(BA$1,IF($A121=$A120,BA120,1))-AF121&lt;0),-1,MIN(1,IF($A121=$A120,BA120,1)-AF121+$D$3))</f>
        <v>#N/A</v>
      </c>
      <c r="BB121" t="e">
        <f>IF(OR($J121=0,COUNTIFS($A$4:$A120,"&gt;="&amp;$A121-1,$A$4:$A120,"&lt;="&amp;$A121,$B$4:$B120,$B121)&gt;0,MIN(BB$1,IF($A121=$A120,BB120,1))-AG121&lt;0),-1,MIN(1,IF($A121=$A120,BB120,1)-AG121+$D$3))</f>
        <v>#N/A</v>
      </c>
      <c r="BC121" t="e">
        <f>IF(OR($J121=0,COUNTIFS($A$4:$A120,"&gt;="&amp;$A121-1,$A$4:$A120,"&lt;="&amp;$A121,$B$4:$B120,$B121)&gt;0,MIN(BC$1,IF($A121=$A120,BC120,1))-AH121&lt;0),-1,MIN(1,IF($A121=$A120,BC120,1)-AH121+$D$3))</f>
        <v>#N/A</v>
      </c>
      <c r="BD121" t="e">
        <f>IF(OR($J121=0,COUNTIFS($A$4:$A120,"&gt;="&amp;$A121-1,$A$4:$A120,"&lt;="&amp;$A121,$B$4:$B120,$B121)&gt;0,MIN(BD$1,IF($A121=$A120,BD120,1))-AI121&lt;0),-1,MIN(1,IF($A121=$A120,BD120,1)-AI121+$D$3))</f>
        <v>#N/A</v>
      </c>
      <c r="BF121" s="44">
        <f t="shared" si="223"/>
        <v>5.2476844510397835E-3</v>
      </c>
      <c r="BG121" s="44">
        <f t="shared" si="224"/>
        <v>1.2905536863324621E-2</v>
      </c>
      <c r="BH121" s="44">
        <f t="shared" si="225"/>
        <v>1.3226817755380361E-2</v>
      </c>
      <c r="BI121" s="44">
        <f t="shared" si="226"/>
        <v>1.2217907335039926E-2</v>
      </c>
      <c r="BJ121" s="44">
        <f t="shared" si="227"/>
        <v>1.2628367149523324E-2</v>
      </c>
      <c r="BK121" s="44">
        <f t="shared" si="228"/>
        <v>5.4230917019115945E-3</v>
      </c>
      <c r="BL121" s="44">
        <f t="shared" si="229"/>
        <v>2.9296394555895829E-3</v>
      </c>
      <c r="BM121" s="44">
        <f t="shared" si="230"/>
        <v>7.4526606662677223E-3</v>
      </c>
      <c r="BN121" s="44">
        <f t="shared" si="231"/>
        <v>7.7513479188678529E-3</v>
      </c>
      <c r="BO121" s="44">
        <f t="shared" si="232"/>
        <v>3.6325757646757909E-3</v>
      </c>
      <c r="BP121" s="44">
        <f t="shared" si="233"/>
        <v>1.2214455074213535E-2</v>
      </c>
      <c r="BQ121" s="44">
        <f t="shared" si="234"/>
        <v>3.2961758033838596E-3</v>
      </c>
      <c r="BR121" s="44">
        <f t="shared" si="235"/>
        <v>9.7377284422893763E-3</v>
      </c>
      <c r="BS121" s="44">
        <f t="shared" si="236"/>
        <v>5.2516861696916377E-3</v>
      </c>
      <c r="BT121" s="44">
        <f t="shared" si="237"/>
        <v>2.0782532216760446E-2</v>
      </c>
      <c r="BU121" s="44">
        <f t="shared" si="238"/>
        <v>1.9853571969966441E-2</v>
      </c>
      <c r="BV121" s="44">
        <f t="shared" si="239"/>
        <v>1.9066713678940736E-2</v>
      </c>
      <c r="BW121" s="44">
        <f t="shared" si="240"/>
        <v>1.2470679995236029E-2</v>
      </c>
      <c r="BX121" s="44">
        <f t="shared" si="241"/>
        <v>9.2131119222559361E-3</v>
      </c>
      <c r="BY121" s="44">
        <f t="shared" si="242"/>
        <v>7.9105155122337571E-3</v>
      </c>
      <c r="CA121" s="44" t="str">
        <f t="shared" si="243"/>
        <v/>
      </c>
      <c r="CB121" s="44" t="str">
        <f t="shared" si="244"/>
        <v/>
      </c>
      <c r="CC121" s="44" t="str">
        <f t="shared" si="245"/>
        <v/>
      </c>
      <c r="CD121" s="44" t="str">
        <f t="shared" si="246"/>
        <v/>
      </c>
      <c r="CE121" s="44" t="str">
        <f t="shared" si="247"/>
        <v/>
      </c>
      <c r="CF121" s="44" t="str">
        <f t="shared" si="248"/>
        <v/>
      </c>
      <c r="CG121" s="44" t="str">
        <f t="shared" si="249"/>
        <v/>
      </c>
      <c r="CH121" s="44" t="str">
        <f t="shared" si="250"/>
        <v/>
      </c>
      <c r="CI121" s="44" t="str">
        <f t="shared" si="251"/>
        <v/>
      </c>
      <c r="CJ121" s="44" t="str">
        <f t="shared" si="252"/>
        <v/>
      </c>
      <c r="CK121" s="44" t="str">
        <f t="shared" si="253"/>
        <v/>
      </c>
      <c r="CL121" s="44" t="str">
        <f t="shared" si="254"/>
        <v/>
      </c>
      <c r="CM121" s="44" t="str">
        <f t="shared" si="255"/>
        <v/>
      </c>
      <c r="CN121" s="44" t="str">
        <f t="shared" si="256"/>
        <v/>
      </c>
      <c r="CO121" s="44" t="str">
        <f t="shared" si="257"/>
        <v/>
      </c>
      <c r="CP121" s="44" t="str">
        <f t="shared" si="258"/>
        <v/>
      </c>
      <c r="CQ121" s="44" t="str">
        <f t="shared" si="259"/>
        <v/>
      </c>
      <c r="CR121" s="44" t="str">
        <f t="shared" si="260"/>
        <v/>
      </c>
      <c r="CS121" s="44" t="str">
        <f t="shared" si="261"/>
        <v/>
      </c>
      <c r="CT121" s="44" t="str">
        <f t="shared" si="262"/>
        <v/>
      </c>
      <c r="CV121" s="44">
        <f t="shared" si="263"/>
        <v>0</v>
      </c>
    </row>
    <row r="122" spans="1:100" x14ac:dyDescent="0.25">
      <c r="A122" s="41"/>
      <c r="B122" s="42"/>
      <c r="C122" s="43" t="str" cm="1">
        <f t="array" ref="C122">IF(B122="","",INDEX(UWS!$B$10:$B$41,B122))</f>
        <v/>
      </c>
      <c r="D122" s="40" t="str">
        <f t="shared" si="220"/>
        <v/>
      </c>
      <c r="E122" s="69" t="str">
        <f t="shared" si="221"/>
        <v/>
      </c>
      <c r="F122" s="48" cm="1">
        <f t="array" ref="F122">0.1+IFERROR(INDEX($F$5:$F121,SUMPRODUCT(MAX(ROW($C$5:$C121)*($C122=$C$5:$C121))-ROW($A$4)))*0.9^($A122-INDEX($A$5:A121,SUMPRODUCT(MAX(ROW($C$5:$C121)*($C122=$C$5:$C121))-ROW($A$4)))),0)</f>
        <v>5.6999999999999957</v>
      </c>
      <c r="G122" s="55" t="e">
        <f>INDEX(UWS!$AB$10:$AB$41,MATCH(C122,UWS!$B$10:$B$41,0))</f>
        <v>#N/A</v>
      </c>
      <c r="H122" s="48" t="e">
        <f>INDEX(UWS!$C$10:$C$41,MATCH(C122,UWS!$B$10:$B$41,0))</f>
        <v>#N/A</v>
      </c>
      <c r="I122" s="27">
        <f t="shared" si="222"/>
        <v>5</v>
      </c>
      <c r="J122" s="27" t="e">
        <f>INDEX(UWS!$E$10:$E$41,MATCH(C122,UWS!$B$10:$B$41,0))</f>
        <v>#N/A</v>
      </c>
      <c r="L122" s="108" t="str" cm="1">
        <f t="array" ref="L122">IF(K122="","",INDEX(UWS!$B$10:$B$41,K122))</f>
        <v/>
      </c>
      <c r="N122" s="108" t="str" cm="1">
        <f t="array" ref="N122">IF(M122="","",INDEX(UWS!$B$10:$B$41,M122))</f>
        <v/>
      </c>
      <c r="P122">
        <f>IFERROR(INDEX(UWS!$G$10:$Z$41,MATCH($C122,UWS!$B$10:$B$41,0),MATCH(P$4,UWS!$G$3:$Z$3,0)),0)</f>
        <v>0</v>
      </c>
      <c r="Q122">
        <f>IFERROR(INDEX(UWS!$G$10:$Z$41,MATCH($C122,UWS!$B$10:$B$41,0),MATCH(Q$4,UWS!$G$3:$Z$3,0)),0)</f>
        <v>0</v>
      </c>
      <c r="R122">
        <f>IFERROR(INDEX(UWS!$G$10:$Z$41,MATCH($C122,UWS!$B$10:$B$41,0),MATCH(R$4,UWS!$G$3:$Z$3,0)),0)</f>
        <v>0</v>
      </c>
      <c r="S122">
        <f>IFERROR(INDEX(UWS!$G$10:$Z$41,MATCH($C122,UWS!$B$10:$B$41,0),MATCH(S$4,UWS!$G$3:$Z$3,0)),0)</f>
        <v>0</v>
      </c>
      <c r="T122">
        <f>IFERROR(INDEX(UWS!$G$10:$Z$41,MATCH($C122,UWS!$B$10:$B$41,0),MATCH(T$4,UWS!$G$3:$Z$3,0)),0)</f>
        <v>0</v>
      </c>
      <c r="U122">
        <f>IFERROR(INDEX(UWS!$G$10:$Z$41,MATCH($C122,UWS!$B$10:$B$41,0),MATCH(U$4,UWS!$G$3:$Z$3,0)),0)</f>
        <v>0</v>
      </c>
      <c r="V122">
        <f>IFERROR(INDEX(UWS!$G$10:$Z$41,MATCH($C122,UWS!$B$10:$B$41,0),MATCH(V$4,UWS!$G$3:$Z$3,0)),0)</f>
        <v>0</v>
      </c>
      <c r="W122">
        <f>IFERROR(INDEX(UWS!$G$10:$Z$41,MATCH($C122,UWS!$B$10:$B$41,0),MATCH(W$4,UWS!$G$3:$Z$3,0)),0)</f>
        <v>0</v>
      </c>
      <c r="X122">
        <f>IFERROR(INDEX(UWS!$G$10:$Z$41,MATCH($C122,UWS!$B$10:$B$41,0),MATCH(X$4,UWS!$G$3:$Z$3,0)),0)</f>
        <v>0</v>
      </c>
      <c r="Y122">
        <f>IFERROR(INDEX(UWS!$G$10:$Z$41,MATCH($C122,UWS!$B$10:$B$41,0),MATCH(Y$4,UWS!$G$3:$Z$3,0)),0)</f>
        <v>0</v>
      </c>
      <c r="Z122">
        <f>IFERROR(INDEX(UWS!$G$10:$Z$41,MATCH($C122,UWS!$B$10:$B$41,0),MATCH(Z$4,UWS!$G$3:$Z$3,0)),0)</f>
        <v>0</v>
      </c>
      <c r="AA122">
        <f>IFERROR(INDEX(UWS!$G$10:$Z$41,MATCH($C122,UWS!$B$10:$B$41,0),MATCH(AA$4,UWS!$G$3:$Z$3,0)),0)</f>
        <v>0</v>
      </c>
      <c r="AB122">
        <f>IFERROR(INDEX(UWS!$G$10:$Z$41,MATCH($C122,UWS!$B$10:$B$41,0),MATCH(AB$4,UWS!$G$3:$Z$3,0)),0)</f>
        <v>0</v>
      </c>
      <c r="AC122">
        <f>IFERROR(INDEX(UWS!$G$10:$Z$41,MATCH($C122,UWS!$B$10:$B$41,0),MATCH(AC$4,UWS!$G$3:$Z$3,0)),0)</f>
        <v>0</v>
      </c>
      <c r="AD122">
        <f>IFERROR(INDEX(UWS!$G$10:$Z$41,MATCH($C122,UWS!$B$10:$B$41,0),MATCH(AD$4,UWS!$G$3:$Z$3,0)),0)</f>
        <v>0</v>
      </c>
      <c r="AE122">
        <f>IFERROR(INDEX(UWS!$G$10:$Z$41,MATCH($C122,UWS!$B$10:$B$41,0),MATCH(AE$4,UWS!$G$3:$Z$3,0)),0)</f>
        <v>0</v>
      </c>
      <c r="AF122">
        <f>IFERROR(INDEX(UWS!$G$10:$Z$41,MATCH($C122,UWS!$B$10:$B$41,0),MATCH(AF$4,UWS!$G$3:$Z$3,0)),0)</f>
        <v>0</v>
      </c>
      <c r="AG122">
        <f>IFERROR(INDEX(UWS!$G$10:$Z$41,MATCH($C122,UWS!$B$10:$B$41,0),MATCH(AG$4,UWS!$G$3:$Z$3,0)),0)</f>
        <v>0</v>
      </c>
      <c r="AH122">
        <f>IFERROR(INDEX(UWS!$G$10:$Z$41,MATCH($C122,UWS!$B$10:$B$41,0),MATCH(AH$4,UWS!$G$3:$Z$3,0)),0)</f>
        <v>0</v>
      </c>
      <c r="AI122">
        <f>IFERROR(INDEX(UWS!$G$10:$Z$41,MATCH($C122,UWS!$B$10:$B$41,0),MATCH(AI$4,UWS!$G$3:$Z$3,0)),0)</f>
        <v>0</v>
      </c>
      <c r="AK122" t="e">
        <f>IF(OR($J122=0,COUNTIFS($A$4:$A121,"&gt;="&amp;$A122-1,$A$4:$A121,"&lt;="&amp;$A122,$B$4:$B121,$B122)&gt;0,MIN(AK$1,IF($A122=$A121,AK121,1))-P122&lt;0),-1,MIN(1,IF($A122=$A121,AK121,1)-P122+$D$3))</f>
        <v>#N/A</v>
      </c>
      <c r="AL122" t="e">
        <f>IF(OR($J122=0,COUNTIFS($A$4:$A121,"&gt;="&amp;$A122-1,$A$4:$A121,"&lt;="&amp;$A122,$B$4:$B121,$B122)&gt;0,MIN(AL$1,IF($A122=$A121,AL121,1))-Q122&lt;0),-1,MIN(1,IF($A122=$A121,AL121,1)-Q122+$D$3))</f>
        <v>#N/A</v>
      </c>
      <c r="AM122" t="e">
        <f>IF(OR($J122=0,COUNTIFS($A$4:$A121,"&gt;="&amp;$A122-1,$A$4:$A121,"&lt;="&amp;$A122,$B$4:$B121,$B122)&gt;0,MIN(AM$1,IF($A122=$A121,AM121,1))-R122&lt;0),-1,MIN(1,IF($A122=$A121,AM121,1)-R122+$D$3))</f>
        <v>#N/A</v>
      </c>
      <c r="AN122" t="e">
        <f>IF(OR($J122=0,COUNTIFS($A$4:$A121,"&gt;="&amp;$A122-1,$A$4:$A121,"&lt;="&amp;$A122,$B$4:$B121,$B122)&gt;0,MIN(AN$1,IF($A122=$A121,AN121,1))-S122&lt;0),-1,MIN(1,IF($A122=$A121,AN121,1)-S122+$D$3))</f>
        <v>#N/A</v>
      </c>
      <c r="AO122" t="e">
        <f>IF(OR($J122=0,COUNTIFS($A$4:$A121,"&gt;="&amp;$A122-1,$A$4:$A121,"&lt;="&amp;$A122,$B$4:$B121,$B122)&gt;0,MIN(AO$1,IF($A122=$A121,AO121,1))-T122&lt;0),-1,MIN(1,IF($A122=$A121,AO121,1)-T122+$D$3))</f>
        <v>#N/A</v>
      </c>
      <c r="AP122" t="e">
        <f>IF(OR($J122=0,COUNTIFS($A$4:$A121,"&gt;="&amp;$A122-1,$A$4:$A121,"&lt;="&amp;$A122,$B$4:$B121,$B122)&gt;0,MIN(AP$1,IF($A122=$A121,AP121,1))-U122&lt;0),-1,MIN(1,IF($A122=$A121,AP121,1)-U122+$D$3))</f>
        <v>#N/A</v>
      </c>
      <c r="AQ122" t="e">
        <f>IF(OR($J122=0,COUNTIFS($A$4:$A121,"&gt;="&amp;$A122-1,$A$4:$A121,"&lt;="&amp;$A122,$B$4:$B121,$B122)&gt;0,MIN(AQ$1,IF($A122=$A121,AQ121,1))-V122&lt;0),-1,MIN(1,IF($A122=$A121,AQ121,1)-V122+$D$3))</f>
        <v>#N/A</v>
      </c>
      <c r="AR122" t="e">
        <f>IF(OR($J122=0,COUNTIFS($A$4:$A121,"&gt;="&amp;$A122-1,$A$4:$A121,"&lt;="&amp;$A122,$B$4:$B121,$B122)&gt;0,MIN(AR$1,IF($A122=$A121,AR121,1))-W122&lt;0),-1,MIN(1,IF($A122=$A121,AR121,1)-W122+$D$3))</f>
        <v>#N/A</v>
      </c>
      <c r="AS122" t="e">
        <f>IF(OR($J122=0,COUNTIFS($A$4:$A121,"&gt;="&amp;$A122-1,$A$4:$A121,"&lt;="&amp;$A122,$B$4:$B121,$B122)&gt;0,MIN(AS$1,IF($A122=$A121,AS121,1))-X122&lt;0),-1,MIN(1,IF($A122=$A121,AS121,1)-X122+$D$3))</f>
        <v>#N/A</v>
      </c>
      <c r="AT122" t="e">
        <f>IF(OR($J122=0,COUNTIFS($A$4:$A121,"&gt;="&amp;$A122-1,$A$4:$A121,"&lt;="&amp;$A122,$B$4:$B121,$B122)&gt;0,MIN(AT$1,IF($A122=$A121,AT121,1))-Y122&lt;0),-1,MIN(1,IF($A122=$A121,AT121,1)-Y122+$D$3))</f>
        <v>#N/A</v>
      </c>
      <c r="AU122" t="e">
        <f>IF(OR($J122=0,COUNTIFS($A$4:$A121,"&gt;="&amp;$A122-1,$A$4:$A121,"&lt;="&amp;$A122,$B$4:$B121,$B122)&gt;0,MIN(AU$1,IF($A122=$A121,AU121,1))-Z122&lt;0),-1,MIN(1,IF($A122=$A121,AU121,1)-Z122+$D$3))</f>
        <v>#N/A</v>
      </c>
      <c r="AV122" t="e">
        <f>IF(OR($J122=0,COUNTIFS($A$4:$A121,"&gt;="&amp;$A122-1,$A$4:$A121,"&lt;="&amp;$A122,$B$4:$B121,$B122)&gt;0,MIN(AV$1,IF($A122=$A121,AV121,1))-AA122&lt;0),-1,MIN(1,IF($A122=$A121,AV121,1)-AA122+$D$3))</f>
        <v>#N/A</v>
      </c>
      <c r="AW122" t="e">
        <f>IF(OR($J122=0,COUNTIFS($A$4:$A121,"&gt;="&amp;$A122-1,$A$4:$A121,"&lt;="&amp;$A122,$B$4:$B121,$B122)&gt;0,MIN(AW$1,IF($A122=$A121,AW121,1))-AB122&lt;0),-1,MIN(1,IF($A122=$A121,AW121,1)-AB122+$D$3))</f>
        <v>#N/A</v>
      </c>
      <c r="AX122" t="e">
        <f>IF(OR($J122=0,COUNTIFS($A$4:$A121,"&gt;="&amp;$A122-1,$A$4:$A121,"&lt;="&amp;$A122,$B$4:$B121,$B122)&gt;0,MIN(AX$1,IF($A122=$A121,AX121,1))-AC122&lt;0),-1,MIN(1,IF($A122=$A121,AX121,1)-AC122+$D$3))</f>
        <v>#N/A</v>
      </c>
      <c r="AY122" t="e">
        <f>IF(OR($J122=0,COUNTIFS($A$4:$A121,"&gt;="&amp;$A122-1,$A$4:$A121,"&lt;="&amp;$A122,$B$4:$B121,$B122)&gt;0,MIN(AY$1,IF($A122=$A121,AY121,1))-AD122&lt;0),-1,MIN(1,IF($A122=$A121,AY121,1)-AD122+$D$3))</f>
        <v>#N/A</v>
      </c>
      <c r="AZ122" t="e">
        <f>IF(OR($J122=0,COUNTIFS($A$4:$A121,"&gt;="&amp;$A122-1,$A$4:$A121,"&lt;="&amp;$A122,$B$4:$B121,$B122)&gt;0,MIN(AZ$1,IF($A122=$A121,AZ121,1))-AE122&lt;0),-1,MIN(1,IF($A122=$A121,AZ121,1)-AE122+$D$3))</f>
        <v>#N/A</v>
      </c>
      <c r="BA122" t="e">
        <f>IF(OR($J122=0,COUNTIFS($A$4:$A121,"&gt;="&amp;$A122-1,$A$4:$A121,"&lt;="&amp;$A122,$B$4:$B121,$B122)&gt;0,MIN(BA$1,IF($A122=$A121,BA121,1))-AF122&lt;0),-1,MIN(1,IF($A122=$A121,BA121,1)-AF122+$D$3))</f>
        <v>#N/A</v>
      </c>
      <c r="BB122" t="e">
        <f>IF(OR($J122=0,COUNTIFS($A$4:$A121,"&gt;="&amp;$A122-1,$A$4:$A121,"&lt;="&amp;$A122,$B$4:$B121,$B122)&gt;0,MIN(BB$1,IF($A122=$A121,BB121,1))-AG122&lt;0),-1,MIN(1,IF($A122=$A121,BB121,1)-AG122+$D$3))</f>
        <v>#N/A</v>
      </c>
      <c r="BC122" t="e">
        <f>IF(OR($J122=0,COUNTIFS($A$4:$A121,"&gt;="&amp;$A122-1,$A$4:$A121,"&lt;="&amp;$A122,$B$4:$B121,$B122)&gt;0,MIN(BC$1,IF($A122=$A121,BC121,1))-AH122&lt;0),-1,MIN(1,IF($A122=$A121,BC121,1)-AH122+$D$3))</f>
        <v>#N/A</v>
      </c>
      <c r="BD122" t="e">
        <f>IF(OR($J122=0,COUNTIFS($A$4:$A121,"&gt;="&amp;$A122-1,$A$4:$A121,"&lt;="&amp;$A122,$B$4:$B121,$B122)&gt;0,MIN(BD$1,IF($A122=$A121,BD121,1))-AI122&lt;0),-1,MIN(1,IF($A122=$A121,BD121,1)-AI122+$D$3))</f>
        <v>#N/A</v>
      </c>
      <c r="BF122" s="44">
        <f t="shared" si="223"/>
        <v>4.9853002284877945E-3</v>
      </c>
      <c r="BG122" s="44">
        <f t="shared" si="224"/>
        <v>1.2260260020158389E-2</v>
      </c>
      <c r="BH122" s="44">
        <f t="shared" si="225"/>
        <v>1.2565476867611343E-2</v>
      </c>
      <c r="BI122" s="44">
        <f t="shared" si="226"/>
        <v>1.1607011968287929E-2</v>
      </c>
      <c r="BJ122" s="44">
        <f t="shared" si="227"/>
        <v>1.1996948792047157E-2</v>
      </c>
      <c r="BK122" s="44">
        <f t="shared" si="228"/>
        <v>5.1519371168160149E-3</v>
      </c>
      <c r="BL122" s="44">
        <f t="shared" si="229"/>
        <v>2.7831574828101036E-3</v>
      </c>
      <c r="BM122" s="44">
        <f t="shared" si="230"/>
        <v>7.0800276329543357E-3</v>
      </c>
      <c r="BN122" s="44">
        <f t="shared" si="231"/>
        <v>7.3637805229244601E-3</v>
      </c>
      <c r="BO122" s="44">
        <f t="shared" si="232"/>
        <v>3.4509469764420013E-3</v>
      </c>
      <c r="BP122" s="44">
        <f t="shared" si="233"/>
        <v>1.1603732320502859E-2</v>
      </c>
      <c r="BQ122" s="44">
        <f t="shared" si="234"/>
        <v>3.1313670132146663E-3</v>
      </c>
      <c r="BR122" s="44">
        <f t="shared" si="235"/>
        <v>9.2508420201749073E-3</v>
      </c>
      <c r="BS122" s="44">
        <f t="shared" si="236"/>
        <v>4.9891018612070554E-3</v>
      </c>
      <c r="BT122" s="44">
        <f t="shared" si="237"/>
        <v>1.9743405605922422E-2</v>
      </c>
      <c r="BU122" s="44">
        <f t="shared" si="238"/>
        <v>1.8860893371468117E-2</v>
      </c>
      <c r="BV122" s="44">
        <f t="shared" si="239"/>
        <v>1.8113377994993698E-2</v>
      </c>
      <c r="BW122" s="44">
        <f t="shared" si="240"/>
        <v>1.1847145995474227E-2</v>
      </c>
      <c r="BX122" s="44">
        <f t="shared" si="241"/>
        <v>8.752456326143139E-3</v>
      </c>
      <c r="BY122" s="44">
        <f t="shared" si="242"/>
        <v>7.5149897366220686E-3</v>
      </c>
      <c r="CA122" s="44" t="str">
        <f t="shared" si="243"/>
        <v/>
      </c>
      <c r="CB122" s="44" t="str">
        <f t="shared" si="244"/>
        <v/>
      </c>
      <c r="CC122" s="44" t="str">
        <f t="shared" si="245"/>
        <v/>
      </c>
      <c r="CD122" s="44" t="str">
        <f t="shared" si="246"/>
        <v/>
      </c>
      <c r="CE122" s="44" t="str">
        <f t="shared" si="247"/>
        <v/>
      </c>
      <c r="CF122" s="44" t="str">
        <f t="shared" si="248"/>
        <v/>
      </c>
      <c r="CG122" s="44" t="str">
        <f t="shared" si="249"/>
        <v/>
      </c>
      <c r="CH122" s="44" t="str">
        <f t="shared" si="250"/>
        <v/>
      </c>
      <c r="CI122" s="44" t="str">
        <f t="shared" si="251"/>
        <v/>
      </c>
      <c r="CJ122" s="44" t="str">
        <f t="shared" si="252"/>
        <v/>
      </c>
      <c r="CK122" s="44" t="str">
        <f t="shared" si="253"/>
        <v/>
      </c>
      <c r="CL122" s="44" t="str">
        <f t="shared" si="254"/>
        <v/>
      </c>
      <c r="CM122" s="44" t="str">
        <f t="shared" si="255"/>
        <v/>
      </c>
      <c r="CN122" s="44" t="str">
        <f t="shared" si="256"/>
        <v/>
      </c>
      <c r="CO122" s="44" t="str">
        <f t="shared" si="257"/>
        <v/>
      </c>
      <c r="CP122" s="44" t="str">
        <f t="shared" si="258"/>
        <v/>
      </c>
      <c r="CQ122" s="44" t="str">
        <f t="shared" si="259"/>
        <v/>
      </c>
      <c r="CR122" s="44" t="str">
        <f t="shared" si="260"/>
        <v/>
      </c>
      <c r="CS122" s="44" t="str">
        <f t="shared" si="261"/>
        <v/>
      </c>
      <c r="CT122" s="44" t="str">
        <f t="shared" si="262"/>
        <v/>
      </c>
      <c r="CV122" s="44">
        <f t="shared" si="263"/>
        <v>0</v>
      </c>
    </row>
    <row r="123" spans="1:100" x14ac:dyDescent="0.25">
      <c r="A123" s="41"/>
      <c r="B123" s="42"/>
      <c r="C123" s="43" t="str" cm="1">
        <f t="array" ref="C123">IF(B123="","",INDEX(UWS!$B$10:$B$41,B123))</f>
        <v/>
      </c>
      <c r="D123" s="40" t="str">
        <f t="shared" si="220"/>
        <v/>
      </c>
      <c r="E123" s="69" t="str">
        <f t="shared" si="221"/>
        <v/>
      </c>
      <c r="F123" s="48" cm="1">
        <f t="array" ref="F123">0.1+IFERROR(INDEX($F$5:$F122,SUMPRODUCT(MAX(ROW($C$5:$C122)*($C123=$C$5:$C122))-ROW($A$4)))*0.9^($A123-INDEX($A$5:A122,SUMPRODUCT(MAX(ROW($C$5:$C122)*($C123=$C$5:$C122))-ROW($A$4)))),0)</f>
        <v>5.7999999999999954</v>
      </c>
      <c r="G123" s="55" t="e">
        <f>INDEX(UWS!$AB$10:$AB$41,MATCH(C123,UWS!$B$10:$B$41,0))</f>
        <v>#N/A</v>
      </c>
      <c r="H123" s="48" t="e">
        <f>INDEX(UWS!$C$10:$C$41,MATCH(C123,UWS!$B$10:$B$41,0))</f>
        <v>#N/A</v>
      </c>
      <c r="I123" s="27">
        <f t="shared" si="222"/>
        <v>5</v>
      </c>
      <c r="J123" s="27" t="e">
        <f>INDEX(UWS!$E$10:$E$41,MATCH(C123,UWS!$B$10:$B$41,0))</f>
        <v>#N/A</v>
      </c>
      <c r="L123" s="108" t="str" cm="1">
        <f t="array" ref="L123">IF(K123="","",INDEX(UWS!$B$10:$B$41,K123))</f>
        <v/>
      </c>
      <c r="N123" s="108" t="str" cm="1">
        <f t="array" ref="N123">IF(M123="","",INDEX(UWS!$B$10:$B$41,M123))</f>
        <v/>
      </c>
      <c r="P123">
        <f>IFERROR(INDEX(UWS!$G$10:$Z$41,MATCH($C123,UWS!$B$10:$B$41,0),MATCH(P$4,UWS!$G$3:$Z$3,0)),0)</f>
        <v>0</v>
      </c>
      <c r="Q123">
        <f>IFERROR(INDEX(UWS!$G$10:$Z$41,MATCH($C123,UWS!$B$10:$B$41,0),MATCH(Q$4,UWS!$G$3:$Z$3,0)),0)</f>
        <v>0</v>
      </c>
      <c r="R123">
        <f>IFERROR(INDEX(UWS!$G$10:$Z$41,MATCH($C123,UWS!$B$10:$B$41,0),MATCH(R$4,UWS!$G$3:$Z$3,0)),0)</f>
        <v>0</v>
      </c>
      <c r="S123">
        <f>IFERROR(INDEX(UWS!$G$10:$Z$41,MATCH($C123,UWS!$B$10:$B$41,0),MATCH(S$4,UWS!$G$3:$Z$3,0)),0)</f>
        <v>0</v>
      </c>
      <c r="T123">
        <f>IFERROR(INDEX(UWS!$G$10:$Z$41,MATCH($C123,UWS!$B$10:$B$41,0),MATCH(T$4,UWS!$G$3:$Z$3,0)),0)</f>
        <v>0</v>
      </c>
      <c r="U123">
        <f>IFERROR(INDEX(UWS!$G$10:$Z$41,MATCH($C123,UWS!$B$10:$B$41,0),MATCH(U$4,UWS!$G$3:$Z$3,0)),0)</f>
        <v>0</v>
      </c>
      <c r="V123">
        <f>IFERROR(INDEX(UWS!$G$10:$Z$41,MATCH($C123,UWS!$B$10:$B$41,0),MATCH(V$4,UWS!$G$3:$Z$3,0)),0)</f>
        <v>0</v>
      </c>
      <c r="W123">
        <f>IFERROR(INDEX(UWS!$G$10:$Z$41,MATCH($C123,UWS!$B$10:$B$41,0),MATCH(W$4,UWS!$G$3:$Z$3,0)),0)</f>
        <v>0</v>
      </c>
      <c r="X123">
        <f>IFERROR(INDEX(UWS!$G$10:$Z$41,MATCH($C123,UWS!$B$10:$B$41,0),MATCH(X$4,UWS!$G$3:$Z$3,0)),0)</f>
        <v>0</v>
      </c>
      <c r="Y123">
        <f>IFERROR(INDEX(UWS!$G$10:$Z$41,MATCH($C123,UWS!$B$10:$B$41,0),MATCH(Y$4,UWS!$G$3:$Z$3,0)),0)</f>
        <v>0</v>
      </c>
      <c r="Z123">
        <f>IFERROR(INDEX(UWS!$G$10:$Z$41,MATCH($C123,UWS!$B$10:$B$41,0),MATCH(Z$4,UWS!$G$3:$Z$3,0)),0)</f>
        <v>0</v>
      </c>
      <c r="AA123">
        <f>IFERROR(INDEX(UWS!$G$10:$Z$41,MATCH($C123,UWS!$B$10:$B$41,0),MATCH(AA$4,UWS!$G$3:$Z$3,0)),0)</f>
        <v>0</v>
      </c>
      <c r="AB123">
        <f>IFERROR(INDEX(UWS!$G$10:$Z$41,MATCH($C123,UWS!$B$10:$B$41,0),MATCH(AB$4,UWS!$G$3:$Z$3,0)),0)</f>
        <v>0</v>
      </c>
      <c r="AC123">
        <f>IFERROR(INDEX(UWS!$G$10:$Z$41,MATCH($C123,UWS!$B$10:$B$41,0),MATCH(AC$4,UWS!$G$3:$Z$3,0)),0)</f>
        <v>0</v>
      </c>
      <c r="AD123">
        <f>IFERROR(INDEX(UWS!$G$10:$Z$41,MATCH($C123,UWS!$B$10:$B$41,0),MATCH(AD$4,UWS!$G$3:$Z$3,0)),0)</f>
        <v>0</v>
      </c>
      <c r="AE123">
        <f>IFERROR(INDEX(UWS!$G$10:$Z$41,MATCH($C123,UWS!$B$10:$B$41,0),MATCH(AE$4,UWS!$G$3:$Z$3,0)),0)</f>
        <v>0</v>
      </c>
      <c r="AF123">
        <f>IFERROR(INDEX(UWS!$G$10:$Z$41,MATCH($C123,UWS!$B$10:$B$41,0),MATCH(AF$4,UWS!$G$3:$Z$3,0)),0)</f>
        <v>0</v>
      </c>
      <c r="AG123">
        <f>IFERROR(INDEX(UWS!$G$10:$Z$41,MATCH($C123,UWS!$B$10:$B$41,0),MATCH(AG$4,UWS!$G$3:$Z$3,0)),0)</f>
        <v>0</v>
      </c>
      <c r="AH123">
        <f>IFERROR(INDEX(UWS!$G$10:$Z$41,MATCH($C123,UWS!$B$10:$B$41,0),MATCH(AH$4,UWS!$G$3:$Z$3,0)),0)</f>
        <v>0</v>
      </c>
      <c r="AI123">
        <f>IFERROR(INDEX(UWS!$G$10:$Z$41,MATCH($C123,UWS!$B$10:$B$41,0),MATCH(AI$4,UWS!$G$3:$Z$3,0)),0)</f>
        <v>0</v>
      </c>
      <c r="AK123" t="e">
        <f>IF(OR($J123=0,COUNTIFS($A$4:$A122,"&gt;="&amp;$A123-1,$A$4:$A122,"&lt;="&amp;$A123,$B$4:$B122,$B123)&gt;0,MIN(AK$1,IF($A123=$A122,AK122,1))-P123&lt;0),-1,MIN(1,IF($A123=$A122,AK122,1)-P123+$D$3))</f>
        <v>#N/A</v>
      </c>
      <c r="AL123" t="e">
        <f>IF(OR($J123=0,COUNTIFS($A$4:$A122,"&gt;="&amp;$A123-1,$A$4:$A122,"&lt;="&amp;$A123,$B$4:$B122,$B123)&gt;0,MIN(AL$1,IF($A123=$A122,AL122,1))-Q123&lt;0),-1,MIN(1,IF($A123=$A122,AL122,1)-Q123+$D$3))</f>
        <v>#N/A</v>
      </c>
      <c r="AM123" t="e">
        <f>IF(OR($J123=0,COUNTIFS($A$4:$A122,"&gt;="&amp;$A123-1,$A$4:$A122,"&lt;="&amp;$A123,$B$4:$B122,$B123)&gt;0,MIN(AM$1,IF($A123=$A122,AM122,1))-R123&lt;0),-1,MIN(1,IF($A123=$A122,AM122,1)-R123+$D$3))</f>
        <v>#N/A</v>
      </c>
      <c r="AN123" t="e">
        <f>IF(OR($J123=0,COUNTIFS($A$4:$A122,"&gt;="&amp;$A123-1,$A$4:$A122,"&lt;="&amp;$A123,$B$4:$B122,$B123)&gt;0,MIN(AN$1,IF($A123=$A122,AN122,1))-S123&lt;0),-1,MIN(1,IF($A123=$A122,AN122,1)-S123+$D$3))</f>
        <v>#N/A</v>
      </c>
      <c r="AO123" t="e">
        <f>IF(OR($J123=0,COUNTIFS($A$4:$A122,"&gt;="&amp;$A123-1,$A$4:$A122,"&lt;="&amp;$A123,$B$4:$B122,$B123)&gt;0,MIN(AO$1,IF($A123=$A122,AO122,1))-T123&lt;0),-1,MIN(1,IF($A123=$A122,AO122,1)-T123+$D$3))</f>
        <v>#N/A</v>
      </c>
      <c r="AP123" t="e">
        <f>IF(OR($J123=0,COUNTIFS($A$4:$A122,"&gt;="&amp;$A123-1,$A$4:$A122,"&lt;="&amp;$A123,$B$4:$B122,$B123)&gt;0,MIN(AP$1,IF($A123=$A122,AP122,1))-U123&lt;0),-1,MIN(1,IF($A123=$A122,AP122,1)-U123+$D$3))</f>
        <v>#N/A</v>
      </c>
      <c r="AQ123" t="e">
        <f>IF(OR($J123=0,COUNTIFS($A$4:$A122,"&gt;="&amp;$A123-1,$A$4:$A122,"&lt;="&amp;$A123,$B$4:$B122,$B123)&gt;0,MIN(AQ$1,IF($A123=$A122,AQ122,1))-V123&lt;0),-1,MIN(1,IF($A123=$A122,AQ122,1)-V123+$D$3))</f>
        <v>#N/A</v>
      </c>
      <c r="AR123" t="e">
        <f>IF(OR($J123=0,COUNTIFS($A$4:$A122,"&gt;="&amp;$A123-1,$A$4:$A122,"&lt;="&amp;$A123,$B$4:$B122,$B123)&gt;0,MIN(AR$1,IF($A123=$A122,AR122,1))-W123&lt;0),-1,MIN(1,IF($A123=$A122,AR122,1)-W123+$D$3))</f>
        <v>#N/A</v>
      </c>
      <c r="AS123" t="e">
        <f>IF(OR($J123=0,COUNTIFS($A$4:$A122,"&gt;="&amp;$A123-1,$A$4:$A122,"&lt;="&amp;$A123,$B$4:$B122,$B123)&gt;0,MIN(AS$1,IF($A123=$A122,AS122,1))-X123&lt;0),-1,MIN(1,IF($A123=$A122,AS122,1)-X123+$D$3))</f>
        <v>#N/A</v>
      </c>
      <c r="AT123" t="e">
        <f>IF(OR($J123=0,COUNTIFS($A$4:$A122,"&gt;="&amp;$A123-1,$A$4:$A122,"&lt;="&amp;$A123,$B$4:$B122,$B123)&gt;0,MIN(AT$1,IF($A123=$A122,AT122,1))-Y123&lt;0),-1,MIN(1,IF($A123=$A122,AT122,1)-Y123+$D$3))</f>
        <v>#N/A</v>
      </c>
      <c r="AU123" t="e">
        <f>IF(OR($J123=0,COUNTIFS($A$4:$A122,"&gt;="&amp;$A123-1,$A$4:$A122,"&lt;="&amp;$A123,$B$4:$B122,$B123)&gt;0,MIN(AU$1,IF($A123=$A122,AU122,1))-Z123&lt;0),-1,MIN(1,IF($A123=$A122,AU122,1)-Z123+$D$3))</f>
        <v>#N/A</v>
      </c>
      <c r="AV123" t="e">
        <f>IF(OR($J123=0,COUNTIFS($A$4:$A122,"&gt;="&amp;$A123-1,$A$4:$A122,"&lt;="&amp;$A123,$B$4:$B122,$B123)&gt;0,MIN(AV$1,IF($A123=$A122,AV122,1))-AA123&lt;0),-1,MIN(1,IF($A123=$A122,AV122,1)-AA123+$D$3))</f>
        <v>#N/A</v>
      </c>
      <c r="AW123" t="e">
        <f>IF(OR($J123=0,COUNTIFS($A$4:$A122,"&gt;="&amp;$A123-1,$A$4:$A122,"&lt;="&amp;$A123,$B$4:$B122,$B123)&gt;0,MIN(AW$1,IF($A123=$A122,AW122,1))-AB123&lt;0),-1,MIN(1,IF($A123=$A122,AW122,1)-AB123+$D$3))</f>
        <v>#N/A</v>
      </c>
      <c r="AX123" t="e">
        <f>IF(OR($J123=0,COUNTIFS($A$4:$A122,"&gt;="&amp;$A123-1,$A$4:$A122,"&lt;="&amp;$A123,$B$4:$B122,$B123)&gt;0,MIN(AX$1,IF($A123=$A122,AX122,1))-AC123&lt;0),-1,MIN(1,IF($A123=$A122,AX122,1)-AC123+$D$3))</f>
        <v>#N/A</v>
      </c>
      <c r="AY123" t="e">
        <f>IF(OR($J123=0,COUNTIFS($A$4:$A122,"&gt;="&amp;$A123-1,$A$4:$A122,"&lt;="&amp;$A123,$B$4:$B122,$B123)&gt;0,MIN(AY$1,IF($A123=$A122,AY122,1))-AD123&lt;0),-1,MIN(1,IF($A123=$A122,AY122,1)-AD123+$D$3))</f>
        <v>#N/A</v>
      </c>
      <c r="AZ123" t="e">
        <f>IF(OR($J123=0,COUNTIFS($A$4:$A122,"&gt;="&amp;$A123-1,$A$4:$A122,"&lt;="&amp;$A123,$B$4:$B122,$B123)&gt;0,MIN(AZ$1,IF($A123=$A122,AZ122,1))-AE123&lt;0),-1,MIN(1,IF($A123=$A122,AZ122,1)-AE123+$D$3))</f>
        <v>#N/A</v>
      </c>
      <c r="BA123" t="e">
        <f>IF(OR($J123=0,COUNTIFS($A$4:$A122,"&gt;="&amp;$A123-1,$A$4:$A122,"&lt;="&amp;$A123,$B$4:$B122,$B123)&gt;0,MIN(BA$1,IF($A123=$A122,BA122,1))-AF123&lt;0),-1,MIN(1,IF($A123=$A122,BA122,1)-AF123+$D$3))</f>
        <v>#N/A</v>
      </c>
      <c r="BB123" t="e">
        <f>IF(OR($J123=0,COUNTIFS($A$4:$A122,"&gt;="&amp;$A123-1,$A$4:$A122,"&lt;="&amp;$A123,$B$4:$B122,$B123)&gt;0,MIN(BB$1,IF($A123=$A122,BB122,1))-AG123&lt;0),-1,MIN(1,IF($A123=$A122,BB122,1)-AG123+$D$3))</f>
        <v>#N/A</v>
      </c>
      <c r="BC123" t="e">
        <f>IF(OR($J123=0,COUNTIFS($A$4:$A122,"&gt;="&amp;$A123-1,$A$4:$A122,"&lt;="&amp;$A123,$B$4:$B122,$B123)&gt;0,MIN(BC$1,IF($A123=$A122,BC122,1))-AH123&lt;0),-1,MIN(1,IF($A123=$A122,BC122,1)-AH123+$D$3))</f>
        <v>#N/A</v>
      </c>
      <c r="BD123" t="e">
        <f>IF(OR($J123=0,COUNTIFS($A$4:$A122,"&gt;="&amp;$A123-1,$A$4:$A122,"&lt;="&amp;$A123,$B$4:$B122,$B123)&gt;0,MIN(BD$1,IF($A123=$A122,BD122,1))-AI123&lt;0),-1,MIN(1,IF($A123=$A122,BD122,1)-AI123+$D$3))</f>
        <v>#N/A</v>
      </c>
      <c r="BF123" s="44">
        <f t="shared" si="223"/>
        <v>4.7360352170634041E-3</v>
      </c>
      <c r="BG123" s="44">
        <f t="shared" si="224"/>
        <v>1.1647247019150469E-2</v>
      </c>
      <c r="BH123" s="44">
        <f t="shared" si="225"/>
        <v>1.1937203024230776E-2</v>
      </c>
      <c r="BI123" s="44">
        <f t="shared" si="226"/>
        <v>1.1026661369873533E-2</v>
      </c>
      <c r="BJ123" s="44">
        <f t="shared" si="227"/>
        <v>1.1397101352444799E-2</v>
      </c>
      <c r="BK123" s="44">
        <f t="shared" si="228"/>
        <v>4.8943402609752142E-3</v>
      </c>
      <c r="BL123" s="44">
        <f t="shared" si="229"/>
        <v>2.6439996086695984E-3</v>
      </c>
      <c r="BM123" s="44">
        <f t="shared" si="230"/>
        <v>6.7260262513066183E-3</v>
      </c>
      <c r="BN123" s="44">
        <f t="shared" si="231"/>
        <v>6.9955914967782364E-3</v>
      </c>
      <c r="BO123" s="44">
        <f t="shared" si="232"/>
        <v>3.2783996276199009E-3</v>
      </c>
      <c r="BP123" s="44">
        <f t="shared" si="233"/>
        <v>1.1023545704477715E-2</v>
      </c>
      <c r="BQ123" s="44">
        <f t="shared" si="234"/>
        <v>2.974798662553933E-3</v>
      </c>
      <c r="BR123" s="44">
        <f t="shared" si="235"/>
        <v>8.788299919166161E-3</v>
      </c>
      <c r="BS123" s="44">
        <f t="shared" si="236"/>
        <v>4.7396467681467026E-3</v>
      </c>
      <c r="BT123" s="44">
        <f t="shared" si="237"/>
        <v>1.87562353256263E-2</v>
      </c>
      <c r="BU123" s="44">
        <f t="shared" si="238"/>
        <v>1.7917848702894711E-2</v>
      </c>
      <c r="BV123" s="44">
        <f t="shared" si="239"/>
        <v>1.7207709095244012E-2</v>
      </c>
      <c r="BW123" s="44">
        <f t="shared" si="240"/>
        <v>1.1254788695700515E-2</v>
      </c>
      <c r="BX123" s="44">
        <f t="shared" si="241"/>
        <v>8.3148335098359814E-3</v>
      </c>
      <c r="BY123" s="44">
        <f t="shared" si="242"/>
        <v>7.1392402497909646E-3</v>
      </c>
      <c r="CA123" s="44" t="str">
        <f t="shared" si="243"/>
        <v/>
      </c>
      <c r="CB123" s="44" t="str">
        <f t="shared" si="244"/>
        <v/>
      </c>
      <c r="CC123" s="44" t="str">
        <f t="shared" si="245"/>
        <v/>
      </c>
      <c r="CD123" s="44" t="str">
        <f t="shared" si="246"/>
        <v/>
      </c>
      <c r="CE123" s="44" t="str">
        <f t="shared" si="247"/>
        <v/>
      </c>
      <c r="CF123" s="44" t="str">
        <f t="shared" si="248"/>
        <v/>
      </c>
      <c r="CG123" s="44" t="str">
        <f t="shared" si="249"/>
        <v/>
      </c>
      <c r="CH123" s="44" t="str">
        <f t="shared" si="250"/>
        <v/>
      </c>
      <c r="CI123" s="44" t="str">
        <f t="shared" si="251"/>
        <v/>
      </c>
      <c r="CJ123" s="44" t="str">
        <f t="shared" si="252"/>
        <v/>
      </c>
      <c r="CK123" s="44" t="str">
        <f t="shared" si="253"/>
        <v/>
      </c>
      <c r="CL123" s="44" t="str">
        <f t="shared" si="254"/>
        <v/>
      </c>
      <c r="CM123" s="44" t="str">
        <f t="shared" si="255"/>
        <v/>
      </c>
      <c r="CN123" s="44" t="str">
        <f t="shared" si="256"/>
        <v/>
      </c>
      <c r="CO123" s="44" t="str">
        <f t="shared" si="257"/>
        <v/>
      </c>
      <c r="CP123" s="44" t="str">
        <f t="shared" si="258"/>
        <v/>
      </c>
      <c r="CQ123" s="44" t="str">
        <f t="shared" si="259"/>
        <v/>
      </c>
      <c r="CR123" s="44" t="str">
        <f t="shared" si="260"/>
        <v/>
      </c>
      <c r="CS123" s="44" t="str">
        <f t="shared" si="261"/>
        <v/>
      </c>
      <c r="CT123" s="44" t="str">
        <f t="shared" si="262"/>
        <v/>
      </c>
      <c r="CV123" s="44">
        <f t="shared" si="263"/>
        <v>0</v>
      </c>
    </row>
    <row r="124" spans="1:100" x14ac:dyDescent="0.25">
      <c r="A124" s="41"/>
      <c r="B124" s="42"/>
      <c r="C124" s="43" t="str" cm="1">
        <f t="array" ref="C124">IF(B124="","",INDEX(UWS!$B$10:$B$41,B124))</f>
        <v/>
      </c>
      <c r="D124" s="40" t="str">
        <f t="shared" si="220"/>
        <v/>
      </c>
      <c r="E124" s="69" t="str">
        <f t="shared" si="221"/>
        <v/>
      </c>
      <c r="F124" s="48" cm="1">
        <f t="array" ref="F124">0.1+IFERROR(INDEX($F$5:$F123,SUMPRODUCT(MAX(ROW($C$5:$C123)*($C124=$C$5:$C123))-ROW($A$4)))*0.9^($A124-INDEX($A$5:A123,SUMPRODUCT(MAX(ROW($C$5:$C123)*($C124=$C$5:$C123))-ROW($A$4)))),0)</f>
        <v>5.899999999999995</v>
      </c>
      <c r="G124" s="55" t="e">
        <f>INDEX(UWS!$AB$10:$AB$41,MATCH(C124,UWS!$B$10:$B$41,0))</f>
        <v>#N/A</v>
      </c>
      <c r="H124" s="48" t="e">
        <f>INDEX(UWS!$C$10:$C$41,MATCH(C124,UWS!$B$10:$B$41,0))</f>
        <v>#N/A</v>
      </c>
      <c r="I124" s="27">
        <f t="shared" si="222"/>
        <v>5</v>
      </c>
      <c r="J124" s="27" t="e">
        <f>INDEX(UWS!$E$10:$E$41,MATCH(C124,UWS!$B$10:$B$41,0))</f>
        <v>#N/A</v>
      </c>
      <c r="L124" s="108" t="str" cm="1">
        <f t="array" ref="L124">IF(K124="","",INDEX(UWS!$B$10:$B$41,K124))</f>
        <v/>
      </c>
      <c r="N124" s="108" t="str" cm="1">
        <f t="array" ref="N124">IF(M124="","",INDEX(UWS!$B$10:$B$41,M124))</f>
        <v/>
      </c>
      <c r="P124">
        <f>IFERROR(INDEX(UWS!$G$10:$Z$41,MATCH($C124,UWS!$B$10:$B$41,0),MATCH(P$4,UWS!$G$3:$Z$3,0)),0)</f>
        <v>0</v>
      </c>
      <c r="Q124">
        <f>IFERROR(INDEX(UWS!$G$10:$Z$41,MATCH($C124,UWS!$B$10:$B$41,0),MATCH(Q$4,UWS!$G$3:$Z$3,0)),0)</f>
        <v>0</v>
      </c>
      <c r="R124">
        <f>IFERROR(INDEX(UWS!$G$10:$Z$41,MATCH($C124,UWS!$B$10:$B$41,0),MATCH(R$4,UWS!$G$3:$Z$3,0)),0)</f>
        <v>0</v>
      </c>
      <c r="S124">
        <f>IFERROR(INDEX(UWS!$G$10:$Z$41,MATCH($C124,UWS!$B$10:$B$41,0),MATCH(S$4,UWS!$G$3:$Z$3,0)),0)</f>
        <v>0</v>
      </c>
      <c r="T124">
        <f>IFERROR(INDEX(UWS!$G$10:$Z$41,MATCH($C124,UWS!$B$10:$B$41,0),MATCH(T$4,UWS!$G$3:$Z$3,0)),0)</f>
        <v>0</v>
      </c>
      <c r="U124">
        <f>IFERROR(INDEX(UWS!$G$10:$Z$41,MATCH($C124,UWS!$B$10:$B$41,0),MATCH(U$4,UWS!$G$3:$Z$3,0)),0)</f>
        <v>0</v>
      </c>
      <c r="V124">
        <f>IFERROR(INDEX(UWS!$G$10:$Z$41,MATCH($C124,UWS!$B$10:$B$41,0),MATCH(V$4,UWS!$G$3:$Z$3,0)),0)</f>
        <v>0</v>
      </c>
      <c r="W124">
        <f>IFERROR(INDEX(UWS!$G$10:$Z$41,MATCH($C124,UWS!$B$10:$B$41,0),MATCH(W$4,UWS!$G$3:$Z$3,0)),0)</f>
        <v>0</v>
      </c>
      <c r="X124">
        <f>IFERROR(INDEX(UWS!$G$10:$Z$41,MATCH($C124,UWS!$B$10:$B$41,0),MATCH(X$4,UWS!$G$3:$Z$3,0)),0)</f>
        <v>0</v>
      </c>
      <c r="Y124">
        <f>IFERROR(INDEX(UWS!$G$10:$Z$41,MATCH($C124,UWS!$B$10:$B$41,0),MATCH(Y$4,UWS!$G$3:$Z$3,0)),0)</f>
        <v>0</v>
      </c>
      <c r="Z124">
        <f>IFERROR(INDEX(UWS!$G$10:$Z$41,MATCH($C124,UWS!$B$10:$B$41,0),MATCH(Z$4,UWS!$G$3:$Z$3,0)),0)</f>
        <v>0</v>
      </c>
      <c r="AA124">
        <f>IFERROR(INDEX(UWS!$G$10:$Z$41,MATCH($C124,UWS!$B$10:$B$41,0),MATCH(AA$4,UWS!$G$3:$Z$3,0)),0)</f>
        <v>0</v>
      </c>
      <c r="AB124">
        <f>IFERROR(INDEX(UWS!$G$10:$Z$41,MATCH($C124,UWS!$B$10:$B$41,0),MATCH(AB$4,UWS!$G$3:$Z$3,0)),0)</f>
        <v>0</v>
      </c>
      <c r="AC124">
        <f>IFERROR(INDEX(UWS!$G$10:$Z$41,MATCH($C124,UWS!$B$10:$B$41,0),MATCH(AC$4,UWS!$G$3:$Z$3,0)),0)</f>
        <v>0</v>
      </c>
      <c r="AD124">
        <f>IFERROR(INDEX(UWS!$G$10:$Z$41,MATCH($C124,UWS!$B$10:$B$41,0),MATCH(AD$4,UWS!$G$3:$Z$3,0)),0)</f>
        <v>0</v>
      </c>
      <c r="AE124">
        <f>IFERROR(INDEX(UWS!$G$10:$Z$41,MATCH($C124,UWS!$B$10:$B$41,0),MATCH(AE$4,UWS!$G$3:$Z$3,0)),0)</f>
        <v>0</v>
      </c>
      <c r="AF124">
        <f>IFERROR(INDEX(UWS!$G$10:$Z$41,MATCH($C124,UWS!$B$10:$B$41,0),MATCH(AF$4,UWS!$G$3:$Z$3,0)),0)</f>
        <v>0</v>
      </c>
      <c r="AG124">
        <f>IFERROR(INDEX(UWS!$G$10:$Z$41,MATCH($C124,UWS!$B$10:$B$41,0),MATCH(AG$4,UWS!$G$3:$Z$3,0)),0)</f>
        <v>0</v>
      </c>
      <c r="AH124">
        <f>IFERROR(INDEX(UWS!$G$10:$Z$41,MATCH($C124,UWS!$B$10:$B$41,0),MATCH(AH$4,UWS!$G$3:$Z$3,0)),0)</f>
        <v>0</v>
      </c>
      <c r="AI124">
        <f>IFERROR(INDEX(UWS!$G$10:$Z$41,MATCH($C124,UWS!$B$10:$B$41,0),MATCH(AI$4,UWS!$G$3:$Z$3,0)),0)</f>
        <v>0</v>
      </c>
      <c r="AK124" t="e">
        <f>IF(OR($J124=0,COUNTIFS($A$4:$A123,"&gt;="&amp;$A124-1,$A$4:$A123,"&lt;="&amp;$A124,$B$4:$B123,$B124)&gt;0,MIN(AK$1,IF($A124=$A123,AK123,1))-P124&lt;0),-1,MIN(1,IF($A124=$A123,AK123,1)-P124+$D$3))</f>
        <v>#N/A</v>
      </c>
      <c r="AL124" t="e">
        <f>IF(OR($J124=0,COUNTIFS($A$4:$A123,"&gt;="&amp;$A124-1,$A$4:$A123,"&lt;="&amp;$A124,$B$4:$B123,$B124)&gt;0,MIN(AL$1,IF($A124=$A123,AL123,1))-Q124&lt;0),-1,MIN(1,IF($A124=$A123,AL123,1)-Q124+$D$3))</f>
        <v>#N/A</v>
      </c>
      <c r="AM124" t="e">
        <f>IF(OR($J124=0,COUNTIFS($A$4:$A123,"&gt;="&amp;$A124-1,$A$4:$A123,"&lt;="&amp;$A124,$B$4:$B123,$B124)&gt;0,MIN(AM$1,IF($A124=$A123,AM123,1))-R124&lt;0),-1,MIN(1,IF($A124=$A123,AM123,1)-R124+$D$3))</f>
        <v>#N/A</v>
      </c>
      <c r="AN124" t="e">
        <f>IF(OR($J124=0,COUNTIFS($A$4:$A123,"&gt;="&amp;$A124-1,$A$4:$A123,"&lt;="&amp;$A124,$B$4:$B123,$B124)&gt;0,MIN(AN$1,IF($A124=$A123,AN123,1))-S124&lt;0),-1,MIN(1,IF($A124=$A123,AN123,1)-S124+$D$3))</f>
        <v>#N/A</v>
      </c>
      <c r="AO124" t="e">
        <f>IF(OR($J124=0,COUNTIFS($A$4:$A123,"&gt;="&amp;$A124-1,$A$4:$A123,"&lt;="&amp;$A124,$B$4:$B123,$B124)&gt;0,MIN(AO$1,IF($A124=$A123,AO123,1))-T124&lt;0),-1,MIN(1,IF($A124=$A123,AO123,1)-T124+$D$3))</f>
        <v>#N/A</v>
      </c>
      <c r="AP124" t="e">
        <f>IF(OR($J124=0,COUNTIFS($A$4:$A123,"&gt;="&amp;$A124-1,$A$4:$A123,"&lt;="&amp;$A124,$B$4:$B123,$B124)&gt;0,MIN(AP$1,IF($A124=$A123,AP123,1))-U124&lt;0),-1,MIN(1,IF($A124=$A123,AP123,1)-U124+$D$3))</f>
        <v>#N/A</v>
      </c>
      <c r="AQ124" t="e">
        <f>IF(OR($J124=0,COUNTIFS($A$4:$A123,"&gt;="&amp;$A124-1,$A$4:$A123,"&lt;="&amp;$A124,$B$4:$B123,$B124)&gt;0,MIN(AQ$1,IF($A124=$A123,AQ123,1))-V124&lt;0),-1,MIN(1,IF($A124=$A123,AQ123,1)-V124+$D$3))</f>
        <v>#N/A</v>
      </c>
      <c r="AR124" t="e">
        <f>IF(OR($J124=0,COUNTIFS($A$4:$A123,"&gt;="&amp;$A124-1,$A$4:$A123,"&lt;="&amp;$A124,$B$4:$B123,$B124)&gt;0,MIN(AR$1,IF($A124=$A123,AR123,1))-W124&lt;0),-1,MIN(1,IF($A124=$A123,AR123,1)-W124+$D$3))</f>
        <v>#N/A</v>
      </c>
      <c r="AS124" t="e">
        <f>IF(OR($J124=0,COUNTIFS($A$4:$A123,"&gt;="&amp;$A124-1,$A$4:$A123,"&lt;="&amp;$A124,$B$4:$B123,$B124)&gt;0,MIN(AS$1,IF($A124=$A123,AS123,1))-X124&lt;0),-1,MIN(1,IF($A124=$A123,AS123,1)-X124+$D$3))</f>
        <v>#N/A</v>
      </c>
      <c r="AT124" t="e">
        <f>IF(OR($J124=0,COUNTIFS($A$4:$A123,"&gt;="&amp;$A124-1,$A$4:$A123,"&lt;="&amp;$A124,$B$4:$B123,$B124)&gt;0,MIN(AT$1,IF($A124=$A123,AT123,1))-Y124&lt;0),-1,MIN(1,IF($A124=$A123,AT123,1)-Y124+$D$3))</f>
        <v>#N/A</v>
      </c>
      <c r="AU124" t="e">
        <f>IF(OR($J124=0,COUNTIFS($A$4:$A123,"&gt;="&amp;$A124-1,$A$4:$A123,"&lt;="&amp;$A124,$B$4:$B123,$B124)&gt;0,MIN(AU$1,IF($A124=$A123,AU123,1))-Z124&lt;0),-1,MIN(1,IF($A124=$A123,AU123,1)-Z124+$D$3))</f>
        <v>#N/A</v>
      </c>
      <c r="AV124" t="e">
        <f>IF(OR($J124=0,COUNTIFS($A$4:$A123,"&gt;="&amp;$A124-1,$A$4:$A123,"&lt;="&amp;$A124,$B$4:$B123,$B124)&gt;0,MIN(AV$1,IF($A124=$A123,AV123,1))-AA124&lt;0),-1,MIN(1,IF($A124=$A123,AV123,1)-AA124+$D$3))</f>
        <v>#N/A</v>
      </c>
      <c r="AW124" t="e">
        <f>IF(OR($J124=0,COUNTIFS($A$4:$A123,"&gt;="&amp;$A124-1,$A$4:$A123,"&lt;="&amp;$A124,$B$4:$B123,$B124)&gt;0,MIN(AW$1,IF($A124=$A123,AW123,1))-AB124&lt;0),-1,MIN(1,IF($A124=$A123,AW123,1)-AB124+$D$3))</f>
        <v>#N/A</v>
      </c>
      <c r="AX124" t="e">
        <f>IF(OR($J124=0,COUNTIFS($A$4:$A123,"&gt;="&amp;$A124-1,$A$4:$A123,"&lt;="&amp;$A124,$B$4:$B123,$B124)&gt;0,MIN(AX$1,IF($A124=$A123,AX123,1))-AC124&lt;0),-1,MIN(1,IF($A124=$A123,AX123,1)-AC124+$D$3))</f>
        <v>#N/A</v>
      </c>
      <c r="AY124" t="e">
        <f>IF(OR($J124=0,COUNTIFS($A$4:$A123,"&gt;="&amp;$A124-1,$A$4:$A123,"&lt;="&amp;$A124,$B$4:$B123,$B124)&gt;0,MIN(AY$1,IF($A124=$A123,AY123,1))-AD124&lt;0),-1,MIN(1,IF($A124=$A123,AY123,1)-AD124+$D$3))</f>
        <v>#N/A</v>
      </c>
      <c r="AZ124" t="e">
        <f>IF(OR($J124=0,COUNTIFS($A$4:$A123,"&gt;="&amp;$A124-1,$A$4:$A123,"&lt;="&amp;$A124,$B$4:$B123,$B124)&gt;0,MIN(AZ$1,IF($A124=$A123,AZ123,1))-AE124&lt;0),-1,MIN(1,IF($A124=$A123,AZ123,1)-AE124+$D$3))</f>
        <v>#N/A</v>
      </c>
      <c r="BA124" t="e">
        <f>IF(OR($J124=0,COUNTIFS($A$4:$A123,"&gt;="&amp;$A124-1,$A$4:$A123,"&lt;="&amp;$A124,$B$4:$B123,$B124)&gt;0,MIN(BA$1,IF($A124=$A123,BA123,1))-AF124&lt;0),-1,MIN(1,IF($A124=$A123,BA123,1)-AF124+$D$3))</f>
        <v>#N/A</v>
      </c>
      <c r="BB124" t="e">
        <f>IF(OR($J124=0,COUNTIFS($A$4:$A123,"&gt;="&amp;$A124-1,$A$4:$A123,"&lt;="&amp;$A124,$B$4:$B123,$B124)&gt;0,MIN(BB$1,IF($A124=$A123,BB123,1))-AG124&lt;0),-1,MIN(1,IF($A124=$A123,BB123,1)-AG124+$D$3))</f>
        <v>#N/A</v>
      </c>
      <c r="BC124" t="e">
        <f>IF(OR($J124=0,COUNTIFS($A$4:$A123,"&gt;="&amp;$A124-1,$A$4:$A123,"&lt;="&amp;$A124,$B$4:$B123,$B124)&gt;0,MIN(BC$1,IF($A124=$A123,BC123,1))-AH124&lt;0),-1,MIN(1,IF($A124=$A123,BC123,1)-AH124+$D$3))</f>
        <v>#N/A</v>
      </c>
      <c r="BD124" t="e">
        <f>IF(OR($J124=0,COUNTIFS($A$4:$A123,"&gt;="&amp;$A124-1,$A$4:$A123,"&lt;="&amp;$A124,$B$4:$B123,$B124)&gt;0,MIN(BD$1,IF($A124=$A123,BD123,1))-AI124&lt;0),-1,MIN(1,IF($A124=$A123,BD123,1)-AI124+$D$3))</f>
        <v>#N/A</v>
      </c>
      <c r="BF124" s="44">
        <f t="shared" si="223"/>
        <v>4.4992334562102337E-3</v>
      </c>
      <c r="BG124" s="44">
        <f t="shared" si="224"/>
        <v>1.1064884668192944E-2</v>
      </c>
      <c r="BH124" s="44">
        <f t="shared" si="225"/>
        <v>1.1340342873019237E-2</v>
      </c>
      <c r="BI124" s="44">
        <f t="shared" si="226"/>
        <v>1.0475328301379856E-2</v>
      </c>
      <c r="BJ124" s="44">
        <f t="shared" si="227"/>
        <v>1.0827246284822558E-2</v>
      </c>
      <c r="BK124" s="44">
        <f t="shared" si="228"/>
        <v>4.6496232479264531E-3</v>
      </c>
      <c r="BL124" s="44">
        <f t="shared" si="229"/>
        <v>2.5117996282361184E-3</v>
      </c>
      <c r="BM124" s="44">
        <f t="shared" si="230"/>
        <v>6.3897249387412872E-3</v>
      </c>
      <c r="BN124" s="44">
        <f t="shared" si="231"/>
        <v>6.6458119219393241E-3</v>
      </c>
      <c r="BO124" s="44">
        <f t="shared" si="232"/>
        <v>3.1144796462389056E-3</v>
      </c>
      <c r="BP124" s="44">
        <f t="shared" si="233"/>
        <v>1.0472368419253829E-2</v>
      </c>
      <c r="BQ124" s="44">
        <f t="shared" si="234"/>
        <v>2.8260587294262362E-3</v>
      </c>
      <c r="BR124" s="44">
        <f t="shared" si="235"/>
        <v>8.348884923207853E-3</v>
      </c>
      <c r="BS124" s="44">
        <f t="shared" si="236"/>
        <v>4.5026644297393673E-3</v>
      </c>
      <c r="BT124" s="44">
        <f t="shared" si="237"/>
        <v>1.7818423559344983E-2</v>
      </c>
      <c r="BU124" s="44">
        <f t="shared" si="238"/>
        <v>1.7021956267749976E-2</v>
      </c>
      <c r="BV124" s="44">
        <f t="shared" si="239"/>
        <v>1.634732364048181E-2</v>
      </c>
      <c r="BW124" s="44">
        <f t="shared" si="240"/>
        <v>1.0692049260915487E-2</v>
      </c>
      <c r="BX124" s="44">
        <f t="shared" si="241"/>
        <v>7.8990918343441827E-3</v>
      </c>
      <c r="BY124" s="44">
        <f t="shared" si="242"/>
        <v>6.7822782373014165E-3</v>
      </c>
      <c r="CA124" s="44" t="str">
        <f t="shared" si="243"/>
        <v/>
      </c>
      <c r="CB124" s="44" t="str">
        <f t="shared" si="244"/>
        <v/>
      </c>
      <c r="CC124" s="44" t="str">
        <f t="shared" si="245"/>
        <v/>
      </c>
      <c r="CD124" s="44" t="str">
        <f t="shared" si="246"/>
        <v/>
      </c>
      <c r="CE124" s="44" t="str">
        <f t="shared" si="247"/>
        <v/>
      </c>
      <c r="CF124" s="44" t="str">
        <f t="shared" si="248"/>
        <v/>
      </c>
      <c r="CG124" s="44" t="str">
        <f t="shared" si="249"/>
        <v/>
      </c>
      <c r="CH124" s="44" t="str">
        <f t="shared" si="250"/>
        <v/>
      </c>
      <c r="CI124" s="44" t="str">
        <f t="shared" si="251"/>
        <v/>
      </c>
      <c r="CJ124" s="44" t="str">
        <f t="shared" si="252"/>
        <v/>
      </c>
      <c r="CK124" s="44" t="str">
        <f t="shared" si="253"/>
        <v/>
      </c>
      <c r="CL124" s="44" t="str">
        <f t="shared" si="254"/>
        <v/>
      </c>
      <c r="CM124" s="44" t="str">
        <f t="shared" si="255"/>
        <v/>
      </c>
      <c r="CN124" s="44" t="str">
        <f t="shared" si="256"/>
        <v/>
      </c>
      <c r="CO124" s="44" t="str">
        <f t="shared" si="257"/>
        <v/>
      </c>
      <c r="CP124" s="44" t="str">
        <f t="shared" si="258"/>
        <v/>
      </c>
      <c r="CQ124" s="44" t="str">
        <f t="shared" si="259"/>
        <v/>
      </c>
      <c r="CR124" s="44" t="str">
        <f t="shared" si="260"/>
        <v/>
      </c>
      <c r="CS124" s="44" t="str">
        <f t="shared" si="261"/>
        <v/>
      </c>
      <c r="CT124" s="44" t="str">
        <f t="shared" si="262"/>
        <v/>
      </c>
      <c r="CV124" s="44">
        <f t="shared" si="263"/>
        <v>0</v>
      </c>
    </row>
    <row r="125" spans="1:100" x14ac:dyDescent="0.25">
      <c r="A125" s="49"/>
      <c r="B125" s="50"/>
      <c r="C125" s="51" t="str" cm="1">
        <f t="array" ref="C125">IF(B125="","",INDEX(UWS!$B$10:$B$41,B125))</f>
        <v/>
      </c>
      <c r="D125" s="45" t="str">
        <f t="shared" si="220"/>
        <v/>
      </c>
      <c r="E125" s="70" t="str">
        <f t="shared" si="221"/>
        <v/>
      </c>
      <c r="F125" s="52" cm="1">
        <f t="array" ref="F125">0.1+IFERROR(INDEX($F$5:$F124,SUMPRODUCT(MAX(ROW($C$5:$C124)*($C125=$C$5:$C124))-ROW($A$4)))*0.9^($A125-INDEX($A$5:A124,SUMPRODUCT(MAX(ROW($C$5:$C124)*($C125=$C$5:$C124))-ROW($A$4)))),0)</f>
        <v>5.9999999999999947</v>
      </c>
      <c r="G125" s="56" t="e">
        <f>INDEX(UWS!$AB$10:$AB$41,MATCH(C125,UWS!$B$10:$B$41,0))</f>
        <v>#N/A</v>
      </c>
      <c r="H125" s="52" t="e">
        <f>INDEX(UWS!$C$10:$C$41,MATCH(C125,UWS!$B$10:$B$41,0))</f>
        <v>#N/A</v>
      </c>
      <c r="I125" s="46">
        <f t="shared" si="222"/>
        <v>5</v>
      </c>
      <c r="J125" s="46" t="e">
        <f>INDEX(UWS!$E$10:$E$41,MATCH(C125,UWS!$B$10:$B$41,0))</f>
        <v>#N/A</v>
      </c>
      <c r="K125" s="46"/>
      <c r="L125" s="109" t="str" cm="1">
        <f t="array" ref="L125">IF(K125="","",INDEX(UWS!$B$10:$B$41,K125))</f>
        <v/>
      </c>
      <c r="M125" s="46"/>
      <c r="N125" s="109" t="str" cm="1">
        <f t="array" ref="N125">IF(M125="","",INDEX(UWS!$B$10:$B$41,M125))</f>
        <v/>
      </c>
      <c r="O125" s="47"/>
      <c r="P125" s="47">
        <f>IFERROR(INDEX(UWS!$G$10:$Z$41,MATCH($C125,UWS!$B$10:$B$41,0),MATCH(P$4,UWS!$G$3:$Z$3,0)),0)</f>
        <v>0</v>
      </c>
      <c r="Q125" s="47">
        <f>IFERROR(INDEX(UWS!$G$10:$Z$41,MATCH($C125,UWS!$B$10:$B$41,0),MATCH(Q$4,UWS!$G$3:$Z$3,0)),0)</f>
        <v>0</v>
      </c>
      <c r="R125" s="47">
        <f>IFERROR(INDEX(UWS!$G$10:$Z$41,MATCH($C125,UWS!$B$10:$B$41,0),MATCH(R$4,UWS!$G$3:$Z$3,0)),0)</f>
        <v>0</v>
      </c>
      <c r="S125" s="47">
        <f>IFERROR(INDEX(UWS!$G$10:$Z$41,MATCH($C125,UWS!$B$10:$B$41,0),MATCH(S$4,UWS!$G$3:$Z$3,0)),0)</f>
        <v>0</v>
      </c>
      <c r="T125" s="47">
        <f>IFERROR(INDEX(UWS!$G$10:$Z$41,MATCH($C125,UWS!$B$10:$B$41,0),MATCH(T$4,UWS!$G$3:$Z$3,0)),0)</f>
        <v>0</v>
      </c>
      <c r="U125" s="47">
        <f>IFERROR(INDEX(UWS!$G$10:$Z$41,MATCH($C125,UWS!$B$10:$B$41,0),MATCH(U$4,UWS!$G$3:$Z$3,0)),0)</f>
        <v>0</v>
      </c>
      <c r="V125" s="47">
        <f>IFERROR(INDEX(UWS!$G$10:$Z$41,MATCH($C125,UWS!$B$10:$B$41,0),MATCH(V$4,UWS!$G$3:$Z$3,0)),0)</f>
        <v>0</v>
      </c>
      <c r="W125" s="47">
        <f>IFERROR(INDEX(UWS!$G$10:$Z$41,MATCH($C125,UWS!$B$10:$B$41,0),MATCH(W$4,UWS!$G$3:$Z$3,0)),0)</f>
        <v>0</v>
      </c>
      <c r="X125" s="47">
        <f>IFERROR(INDEX(UWS!$G$10:$Z$41,MATCH($C125,UWS!$B$10:$B$41,0),MATCH(X$4,UWS!$G$3:$Z$3,0)),0)</f>
        <v>0</v>
      </c>
      <c r="Y125" s="47">
        <f>IFERROR(INDEX(UWS!$G$10:$Z$41,MATCH($C125,UWS!$B$10:$B$41,0),MATCH(Y$4,UWS!$G$3:$Z$3,0)),0)</f>
        <v>0</v>
      </c>
      <c r="Z125" s="47">
        <f>IFERROR(INDEX(UWS!$G$10:$Z$41,MATCH($C125,UWS!$B$10:$B$41,0),MATCH(Z$4,UWS!$G$3:$Z$3,0)),0)</f>
        <v>0</v>
      </c>
      <c r="AA125" s="47">
        <f>IFERROR(INDEX(UWS!$G$10:$Z$41,MATCH($C125,UWS!$B$10:$B$41,0),MATCH(AA$4,UWS!$G$3:$Z$3,0)),0)</f>
        <v>0</v>
      </c>
      <c r="AB125" s="47">
        <f>IFERROR(INDEX(UWS!$G$10:$Z$41,MATCH($C125,UWS!$B$10:$B$41,0),MATCH(AB$4,UWS!$G$3:$Z$3,0)),0)</f>
        <v>0</v>
      </c>
      <c r="AC125" s="47">
        <f>IFERROR(INDEX(UWS!$G$10:$Z$41,MATCH($C125,UWS!$B$10:$B$41,0),MATCH(AC$4,UWS!$G$3:$Z$3,0)),0)</f>
        <v>0</v>
      </c>
      <c r="AD125" s="47">
        <f>IFERROR(INDEX(UWS!$G$10:$Z$41,MATCH($C125,UWS!$B$10:$B$41,0),MATCH(AD$4,UWS!$G$3:$Z$3,0)),0)</f>
        <v>0</v>
      </c>
      <c r="AE125" s="47">
        <f>IFERROR(INDEX(UWS!$G$10:$Z$41,MATCH($C125,UWS!$B$10:$B$41,0),MATCH(AE$4,UWS!$G$3:$Z$3,0)),0)</f>
        <v>0</v>
      </c>
      <c r="AF125" s="47">
        <f>IFERROR(INDEX(UWS!$G$10:$Z$41,MATCH($C125,UWS!$B$10:$B$41,0),MATCH(AF$4,UWS!$G$3:$Z$3,0)),0)</f>
        <v>0</v>
      </c>
      <c r="AG125" s="47">
        <f>IFERROR(INDEX(UWS!$G$10:$Z$41,MATCH($C125,UWS!$B$10:$B$41,0),MATCH(AG$4,UWS!$G$3:$Z$3,0)),0)</f>
        <v>0</v>
      </c>
      <c r="AH125" s="47">
        <f>IFERROR(INDEX(UWS!$G$10:$Z$41,MATCH($C125,UWS!$B$10:$B$41,0),MATCH(AH$4,UWS!$G$3:$Z$3,0)),0)</f>
        <v>0</v>
      </c>
      <c r="AI125" s="47">
        <f>IFERROR(INDEX(UWS!$G$10:$Z$41,MATCH($C125,UWS!$B$10:$B$41,0),MATCH(AI$4,UWS!$G$3:$Z$3,0)),0)</f>
        <v>0</v>
      </c>
      <c r="AJ125" s="47"/>
      <c r="AK125" s="47" t="e">
        <f>IF(OR($J125=0,COUNTIFS($A$4:$A124,"&gt;="&amp;$A125-1,$A$4:$A124,"&lt;="&amp;$A125,$B$4:$B124,$B125)&gt;0,MIN(AK$1,IF($A125=$A124,AK124,1))-P125&lt;0),-1,MIN(1,IF($A125=$A124,AK124,1)-P125+$D$3))</f>
        <v>#N/A</v>
      </c>
      <c r="AL125" s="47" t="e">
        <f>IF(OR($J125=0,COUNTIFS($A$4:$A124,"&gt;="&amp;$A125-1,$A$4:$A124,"&lt;="&amp;$A125,$B$4:$B124,$B125)&gt;0,MIN(AL$1,IF($A125=$A124,AL124,1))-Q125&lt;0),-1,MIN(1,IF($A125=$A124,AL124,1)-Q125+$D$3))</f>
        <v>#N/A</v>
      </c>
      <c r="AM125" s="47" t="e">
        <f>IF(OR($J125=0,COUNTIFS($A$4:$A124,"&gt;="&amp;$A125-1,$A$4:$A124,"&lt;="&amp;$A125,$B$4:$B124,$B125)&gt;0,MIN(AM$1,IF($A125=$A124,AM124,1))-R125&lt;0),-1,MIN(1,IF($A125=$A124,AM124,1)-R125+$D$3))</f>
        <v>#N/A</v>
      </c>
      <c r="AN125" s="47" t="e">
        <f>IF(OR($J125=0,COUNTIFS($A$4:$A124,"&gt;="&amp;$A125-1,$A$4:$A124,"&lt;="&amp;$A125,$B$4:$B124,$B125)&gt;0,MIN(AN$1,IF($A125=$A124,AN124,1))-S125&lt;0),-1,MIN(1,IF($A125=$A124,AN124,1)-S125+$D$3))</f>
        <v>#N/A</v>
      </c>
      <c r="AO125" s="47" t="e">
        <f>IF(OR($J125=0,COUNTIFS($A$4:$A124,"&gt;="&amp;$A125-1,$A$4:$A124,"&lt;="&amp;$A125,$B$4:$B124,$B125)&gt;0,MIN(AO$1,IF($A125=$A124,AO124,1))-T125&lt;0),-1,MIN(1,IF($A125=$A124,AO124,1)-T125+$D$3))</f>
        <v>#N/A</v>
      </c>
      <c r="AP125" s="47" t="e">
        <f>IF(OR($J125=0,COUNTIFS($A$4:$A124,"&gt;="&amp;$A125-1,$A$4:$A124,"&lt;="&amp;$A125,$B$4:$B124,$B125)&gt;0,MIN(AP$1,IF($A125=$A124,AP124,1))-U125&lt;0),-1,MIN(1,IF($A125=$A124,AP124,1)-U125+$D$3))</f>
        <v>#N/A</v>
      </c>
      <c r="AQ125" s="47" t="e">
        <f>IF(OR($J125=0,COUNTIFS($A$4:$A124,"&gt;="&amp;$A125-1,$A$4:$A124,"&lt;="&amp;$A125,$B$4:$B124,$B125)&gt;0,MIN(AQ$1,IF($A125=$A124,AQ124,1))-V125&lt;0),-1,MIN(1,IF($A125=$A124,AQ124,1)-V125+$D$3))</f>
        <v>#N/A</v>
      </c>
      <c r="AR125" s="47" t="e">
        <f>IF(OR($J125=0,COUNTIFS($A$4:$A124,"&gt;="&amp;$A125-1,$A$4:$A124,"&lt;="&amp;$A125,$B$4:$B124,$B125)&gt;0,MIN(AR$1,IF($A125=$A124,AR124,1))-W125&lt;0),-1,MIN(1,IF($A125=$A124,AR124,1)-W125+$D$3))</f>
        <v>#N/A</v>
      </c>
      <c r="AS125" s="47" t="e">
        <f>IF(OR($J125=0,COUNTIFS($A$4:$A124,"&gt;="&amp;$A125-1,$A$4:$A124,"&lt;="&amp;$A125,$B$4:$B124,$B125)&gt;0,MIN(AS$1,IF($A125=$A124,AS124,1))-X125&lt;0),-1,MIN(1,IF($A125=$A124,AS124,1)-X125+$D$3))</f>
        <v>#N/A</v>
      </c>
      <c r="AT125" s="47" t="e">
        <f>IF(OR($J125=0,COUNTIFS($A$4:$A124,"&gt;="&amp;$A125-1,$A$4:$A124,"&lt;="&amp;$A125,$B$4:$B124,$B125)&gt;0,MIN(AT$1,IF($A125=$A124,AT124,1))-Y125&lt;0),-1,MIN(1,IF($A125=$A124,AT124,1)-Y125+$D$3))</f>
        <v>#N/A</v>
      </c>
      <c r="AU125" s="47" t="e">
        <f>IF(OR($J125=0,COUNTIFS($A$4:$A124,"&gt;="&amp;$A125-1,$A$4:$A124,"&lt;="&amp;$A125,$B$4:$B124,$B125)&gt;0,MIN(AU$1,IF($A125=$A124,AU124,1))-Z125&lt;0),-1,MIN(1,IF($A125=$A124,AU124,1)-Z125+$D$3))</f>
        <v>#N/A</v>
      </c>
      <c r="AV125" s="47" t="e">
        <f>IF(OR($J125=0,COUNTIFS($A$4:$A124,"&gt;="&amp;$A125-1,$A$4:$A124,"&lt;="&amp;$A125,$B$4:$B124,$B125)&gt;0,MIN(AV$1,IF($A125=$A124,AV124,1))-AA125&lt;0),-1,MIN(1,IF($A125=$A124,AV124,1)-AA125+$D$3))</f>
        <v>#N/A</v>
      </c>
      <c r="AW125" s="47" t="e">
        <f>IF(OR($J125=0,COUNTIFS($A$4:$A124,"&gt;="&amp;$A125-1,$A$4:$A124,"&lt;="&amp;$A125,$B$4:$B124,$B125)&gt;0,MIN(AW$1,IF($A125=$A124,AW124,1))-AB125&lt;0),-1,MIN(1,IF($A125=$A124,AW124,1)-AB125+$D$3))</f>
        <v>#N/A</v>
      </c>
      <c r="AX125" s="47" t="e">
        <f>IF(OR($J125=0,COUNTIFS($A$4:$A124,"&gt;="&amp;$A125-1,$A$4:$A124,"&lt;="&amp;$A125,$B$4:$B124,$B125)&gt;0,MIN(AX$1,IF($A125=$A124,AX124,1))-AC125&lt;0),-1,MIN(1,IF($A125=$A124,AX124,1)-AC125+$D$3))</f>
        <v>#N/A</v>
      </c>
      <c r="AY125" s="47" t="e">
        <f>IF(OR($J125=0,COUNTIFS($A$4:$A124,"&gt;="&amp;$A125-1,$A$4:$A124,"&lt;="&amp;$A125,$B$4:$B124,$B125)&gt;0,MIN(AY$1,IF($A125=$A124,AY124,1))-AD125&lt;0),-1,MIN(1,IF($A125=$A124,AY124,1)-AD125+$D$3))</f>
        <v>#N/A</v>
      </c>
      <c r="AZ125" s="47" t="e">
        <f>IF(OR($J125=0,COUNTIFS($A$4:$A124,"&gt;="&amp;$A125-1,$A$4:$A124,"&lt;="&amp;$A125,$B$4:$B124,$B125)&gt;0,MIN(AZ$1,IF($A125=$A124,AZ124,1))-AE125&lt;0),-1,MIN(1,IF($A125=$A124,AZ124,1)-AE125+$D$3))</f>
        <v>#N/A</v>
      </c>
      <c r="BA125" s="47" t="e">
        <f>IF(OR($J125=0,COUNTIFS($A$4:$A124,"&gt;="&amp;$A125-1,$A$4:$A124,"&lt;="&amp;$A125,$B$4:$B124,$B125)&gt;0,MIN(BA$1,IF($A125=$A124,BA124,1))-AF125&lt;0),-1,MIN(1,IF($A125=$A124,BA124,1)-AF125+$D$3))</f>
        <v>#N/A</v>
      </c>
      <c r="BB125" s="47" t="e">
        <f>IF(OR($J125=0,COUNTIFS($A$4:$A124,"&gt;="&amp;$A125-1,$A$4:$A124,"&lt;="&amp;$A125,$B$4:$B124,$B125)&gt;0,MIN(BB$1,IF($A125=$A124,BB124,1))-AG125&lt;0),-1,MIN(1,IF($A125=$A124,BB124,1)-AG125+$D$3))</f>
        <v>#N/A</v>
      </c>
      <c r="BC125" s="47" t="e">
        <f>IF(OR($J125=0,COUNTIFS($A$4:$A124,"&gt;="&amp;$A125-1,$A$4:$A124,"&lt;="&amp;$A125,$B$4:$B124,$B125)&gt;0,MIN(BC$1,IF($A125=$A124,BC124,1))-AH125&lt;0),-1,MIN(1,IF($A125=$A124,BC124,1)-AH125+$D$3))</f>
        <v>#N/A</v>
      </c>
      <c r="BD125" s="47" t="e">
        <f>IF(OR($J125=0,COUNTIFS($A$4:$A124,"&gt;="&amp;$A125-1,$A$4:$A124,"&lt;="&amp;$A125,$B$4:$B124,$B125)&gt;0,MIN(BD$1,IF($A125=$A124,BD124,1))-AI125&lt;0),-1,MIN(1,IF($A125=$A124,BD124,1)-AI125+$D$3))</f>
        <v>#N/A</v>
      </c>
      <c r="BE125" s="47"/>
      <c r="BF125" s="53">
        <f t="shared" si="223"/>
        <v>4.2742717833997215E-3</v>
      </c>
      <c r="BG125" s="53">
        <f t="shared" si="224"/>
        <v>1.0511640434783297E-2</v>
      </c>
      <c r="BH125" s="53">
        <f t="shared" si="225"/>
        <v>1.0773325729368274E-2</v>
      </c>
      <c r="BI125" s="53">
        <f t="shared" si="226"/>
        <v>9.9515618863108626E-3</v>
      </c>
      <c r="BJ125" s="53">
        <f t="shared" si="227"/>
        <v>1.028588397058143E-2</v>
      </c>
      <c r="BK125" s="53">
        <f t="shared" si="228"/>
        <v>4.4171420855301305E-3</v>
      </c>
      <c r="BL125" s="53">
        <f t="shared" si="229"/>
        <v>2.3862096468243122E-3</v>
      </c>
      <c r="BM125" s="53">
        <f t="shared" si="230"/>
        <v>6.0702386918042228E-3</v>
      </c>
      <c r="BN125" s="53">
        <f t="shared" si="231"/>
        <v>6.3135213258423573E-3</v>
      </c>
      <c r="BO125" s="53">
        <f t="shared" si="232"/>
        <v>2.9587556639269603E-3</v>
      </c>
      <c r="BP125" s="53">
        <f t="shared" si="233"/>
        <v>9.948749998291137E-3</v>
      </c>
      <c r="BQ125" s="53">
        <f t="shared" si="234"/>
        <v>2.6847557929549244E-3</v>
      </c>
      <c r="BR125" s="53">
        <f t="shared" si="235"/>
        <v>7.9314406770474594E-3</v>
      </c>
      <c r="BS125" s="53">
        <f t="shared" si="236"/>
        <v>4.277531208252399E-3</v>
      </c>
      <c r="BT125" s="53">
        <f t="shared" si="237"/>
        <v>1.6927502381377732E-2</v>
      </c>
      <c r="BU125" s="53">
        <f t="shared" si="238"/>
        <v>1.6170858454362478E-2</v>
      </c>
      <c r="BV125" s="53">
        <f t="shared" si="239"/>
        <v>1.5529957458457718E-2</v>
      </c>
      <c r="BW125" s="53">
        <f t="shared" si="240"/>
        <v>1.0157446797869712E-2</v>
      </c>
      <c r="BX125" s="53">
        <f t="shared" si="241"/>
        <v>7.5041372426269733E-3</v>
      </c>
      <c r="BY125" s="53">
        <f t="shared" si="242"/>
        <v>6.4431643254363458E-3</v>
      </c>
      <c r="BZ125" s="47"/>
      <c r="CA125" s="53" t="str">
        <f t="shared" si="243"/>
        <v/>
      </c>
      <c r="CB125" s="53" t="str">
        <f t="shared" si="244"/>
        <v/>
      </c>
      <c r="CC125" s="53" t="str">
        <f t="shared" si="245"/>
        <v/>
      </c>
      <c r="CD125" s="53" t="str">
        <f t="shared" si="246"/>
        <v/>
      </c>
      <c r="CE125" s="53" t="str">
        <f t="shared" si="247"/>
        <v/>
      </c>
      <c r="CF125" s="53" t="str">
        <f t="shared" si="248"/>
        <v/>
      </c>
      <c r="CG125" s="53" t="str">
        <f t="shared" si="249"/>
        <v/>
      </c>
      <c r="CH125" s="53" t="str">
        <f t="shared" si="250"/>
        <v/>
      </c>
      <c r="CI125" s="53" t="str">
        <f t="shared" si="251"/>
        <v/>
      </c>
      <c r="CJ125" s="53" t="str">
        <f t="shared" si="252"/>
        <v/>
      </c>
      <c r="CK125" s="53" t="str">
        <f t="shared" si="253"/>
        <v/>
      </c>
      <c r="CL125" s="53" t="str">
        <f t="shared" si="254"/>
        <v/>
      </c>
      <c r="CM125" s="53" t="str">
        <f t="shared" si="255"/>
        <v/>
      </c>
      <c r="CN125" s="53" t="str">
        <f t="shared" si="256"/>
        <v/>
      </c>
      <c r="CO125" s="53" t="str">
        <f t="shared" si="257"/>
        <v/>
      </c>
      <c r="CP125" s="53" t="str">
        <f t="shared" si="258"/>
        <v/>
      </c>
      <c r="CQ125" s="53" t="str">
        <f t="shared" si="259"/>
        <v/>
      </c>
      <c r="CR125" s="53" t="str">
        <f t="shared" si="260"/>
        <v/>
      </c>
      <c r="CS125" s="53" t="str">
        <f t="shared" si="261"/>
        <v/>
      </c>
      <c r="CT125" s="53" t="str">
        <f t="shared" si="262"/>
        <v/>
      </c>
      <c r="CU125" s="47"/>
      <c r="CV125" s="53">
        <f t="shared" si="263"/>
        <v>0</v>
      </c>
    </row>
    <row r="126" spans="1:100" x14ac:dyDescent="0.25">
      <c r="A126" s="41"/>
      <c r="B126" s="42"/>
      <c r="C126" s="43" t="str" cm="1">
        <f t="array" ref="C126">IF(B126="","",INDEX(UWS!$B$10:$B$41,B126))</f>
        <v/>
      </c>
      <c r="D126" s="40" t="str">
        <f t="shared" si="220"/>
        <v/>
      </c>
      <c r="E126" s="69" t="str">
        <f t="shared" si="221"/>
        <v/>
      </c>
      <c r="F126" s="48" cm="1">
        <f t="array" ref="F126">0.1+IFERROR(INDEX($F$5:$F125,SUMPRODUCT(MAX(ROW($C$5:$C125)*($C126=$C$5:$C125))-ROW($A$4)))*0.9^($A126-INDEX($A$5:A125,SUMPRODUCT(MAX(ROW($C$5:$C125)*($C126=$C$5:$C125))-ROW($A$4)))),0)</f>
        <v>6.0999999999999943</v>
      </c>
      <c r="G126" s="55" t="e">
        <f>INDEX(UWS!$AB$10:$AB$41,MATCH(C126,UWS!$B$10:$B$41,0))</f>
        <v>#N/A</v>
      </c>
      <c r="H126" s="48" t="e">
        <f>INDEX(UWS!$C$10:$C$41,MATCH(C126,UWS!$B$10:$B$41,0))</f>
        <v>#N/A</v>
      </c>
      <c r="I126" s="82">
        <f t="shared" si="222"/>
        <v>5</v>
      </c>
      <c r="J126" s="27" t="e">
        <f>INDEX(UWS!$E$10:$E$41,MATCH(C126,UWS!$B$10:$B$41,0))</f>
        <v>#N/A</v>
      </c>
      <c r="L126" s="108" t="str" cm="1">
        <f t="array" ref="L126">IF(K126="","",INDEX(UWS!$B$10:$B$41,K126))</f>
        <v/>
      </c>
      <c r="N126" s="108" t="str" cm="1">
        <f t="array" ref="N126">IF(M126="","",INDEX(UWS!$B$10:$B$41,M126))</f>
        <v/>
      </c>
      <c r="P126">
        <f>IFERROR(INDEX(UWS!$G$10:$Z$41,MATCH($C126,UWS!$B$10:$B$41,0),MATCH(P$4,UWS!$G$3:$Z$3,0)),0)</f>
        <v>0</v>
      </c>
      <c r="Q126">
        <f>IFERROR(INDEX(UWS!$G$10:$Z$41,MATCH($C126,UWS!$B$10:$B$41,0),MATCH(Q$4,UWS!$G$3:$Z$3,0)),0)</f>
        <v>0</v>
      </c>
      <c r="R126">
        <f>IFERROR(INDEX(UWS!$G$10:$Z$41,MATCH($C126,UWS!$B$10:$B$41,0),MATCH(R$4,UWS!$G$3:$Z$3,0)),0)</f>
        <v>0</v>
      </c>
      <c r="S126">
        <f>IFERROR(INDEX(UWS!$G$10:$Z$41,MATCH($C126,UWS!$B$10:$B$41,0),MATCH(S$4,UWS!$G$3:$Z$3,0)),0)</f>
        <v>0</v>
      </c>
      <c r="T126">
        <f>IFERROR(INDEX(UWS!$G$10:$Z$41,MATCH($C126,UWS!$B$10:$B$41,0),MATCH(T$4,UWS!$G$3:$Z$3,0)),0)</f>
        <v>0</v>
      </c>
      <c r="U126">
        <f>IFERROR(INDEX(UWS!$G$10:$Z$41,MATCH($C126,UWS!$B$10:$B$41,0),MATCH(U$4,UWS!$G$3:$Z$3,0)),0)</f>
        <v>0</v>
      </c>
      <c r="V126">
        <f>IFERROR(INDEX(UWS!$G$10:$Z$41,MATCH($C126,UWS!$B$10:$B$41,0),MATCH(V$4,UWS!$G$3:$Z$3,0)),0)</f>
        <v>0</v>
      </c>
      <c r="W126">
        <f>IFERROR(INDEX(UWS!$G$10:$Z$41,MATCH($C126,UWS!$B$10:$B$41,0),MATCH(W$4,UWS!$G$3:$Z$3,0)),0)</f>
        <v>0</v>
      </c>
      <c r="X126">
        <f>IFERROR(INDEX(UWS!$G$10:$Z$41,MATCH($C126,UWS!$B$10:$B$41,0),MATCH(X$4,UWS!$G$3:$Z$3,0)),0)</f>
        <v>0</v>
      </c>
      <c r="Y126">
        <f>IFERROR(INDEX(UWS!$G$10:$Z$41,MATCH($C126,UWS!$B$10:$B$41,0),MATCH(Y$4,UWS!$G$3:$Z$3,0)),0)</f>
        <v>0</v>
      </c>
      <c r="Z126">
        <f>IFERROR(INDEX(UWS!$G$10:$Z$41,MATCH($C126,UWS!$B$10:$B$41,0),MATCH(Z$4,UWS!$G$3:$Z$3,0)),0)</f>
        <v>0</v>
      </c>
      <c r="AA126">
        <f>IFERROR(INDEX(UWS!$G$10:$Z$41,MATCH($C126,UWS!$B$10:$B$41,0),MATCH(AA$4,UWS!$G$3:$Z$3,0)),0)</f>
        <v>0</v>
      </c>
      <c r="AB126">
        <f>IFERROR(INDEX(UWS!$G$10:$Z$41,MATCH($C126,UWS!$B$10:$B$41,0),MATCH(AB$4,UWS!$G$3:$Z$3,0)),0)</f>
        <v>0</v>
      </c>
      <c r="AC126">
        <f>IFERROR(INDEX(UWS!$G$10:$Z$41,MATCH($C126,UWS!$B$10:$B$41,0),MATCH(AC$4,UWS!$G$3:$Z$3,0)),0)</f>
        <v>0</v>
      </c>
      <c r="AD126">
        <f>IFERROR(INDEX(UWS!$G$10:$Z$41,MATCH($C126,UWS!$B$10:$B$41,0),MATCH(AD$4,UWS!$G$3:$Z$3,0)),0)</f>
        <v>0</v>
      </c>
      <c r="AE126">
        <f>IFERROR(INDEX(UWS!$G$10:$Z$41,MATCH($C126,UWS!$B$10:$B$41,0),MATCH(AE$4,UWS!$G$3:$Z$3,0)),0)</f>
        <v>0</v>
      </c>
      <c r="AF126">
        <f>IFERROR(INDEX(UWS!$G$10:$Z$41,MATCH($C126,UWS!$B$10:$B$41,0),MATCH(AF$4,UWS!$G$3:$Z$3,0)),0)</f>
        <v>0</v>
      </c>
      <c r="AG126">
        <f>IFERROR(INDEX(UWS!$G$10:$Z$41,MATCH($C126,UWS!$B$10:$B$41,0),MATCH(AG$4,UWS!$G$3:$Z$3,0)),0)</f>
        <v>0</v>
      </c>
      <c r="AH126">
        <f>IFERROR(INDEX(UWS!$G$10:$Z$41,MATCH($C126,UWS!$B$10:$B$41,0),MATCH(AH$4,UWS!$G$3:$Z$3,0)),0)</f>
        <v>0</v>
      </c>
      <c r="AI126">
        <f>IFERROR(INDEX(UWS!$G$10:$Z$41,MATCH($C126,UWS!$B$10:$B$41,0),MATCH(AI$4,UWS!$G$3:$Z$3,0)),0)</f>
        <v>0</v>
      </c>
      <c r="AK126" t="e">
        <f>IF(OR($J126=0,COUNTIFS($A$4:$A125,"&gt;="&amp;$A126-1,$A$4:$A125,"&lt;="&amp;$A126,$B$4:$B125,$B126)&gt;0,MIN(AK$1,IF($A126=$A125,AK125,1))-P126&lt;0),-1,MIN(1,IF($A126=$A125,AK125,1)-P126+$D$3))</f>
        <v>#N/A</v>
      </c>
      <c r="AL126" t="e">
        <f>IF(OR($J126=0,COUNTIFS($A$4:$A125,"&gt;="&amp;$A126-1,$A$4:$A125,"&lt;="&amp;$A126,$B$4:$B125,$B126)&gt;0,MIN(AL$1,IF($A126=$A125,AL125,1))-Q126&lt;0),-1,MIN(1,IF($A126=$A125,AL125,1)-Q126+$D$3))</f>
        <v>#N/A</v>
      </c>
      <c r="AM126" t="e">
        <f>IF(OR($J126=0,COUNTIFS($A$4:$A125,"&gt;="&amp;$A126-1,$A$4:$A125,"&lt;="&amp;$A126,$B$4:$B125,$B126)&gt;0,MIN(AM$1,IF($A126=$A125,AM125,1))-R126&lt;0),-1,MIN(1,IF($A126=$A125,AM125,1)-R126+$D$3))</f>
        <v>#N/A</v>
      </c>
      <c r="AN126" t="e">
        <f>IF(OR($J126=0,COUNTIFS($A$4:$A125,"&gt;="&amp;$A126-1,$A$4:$A125,"&lt;="&amp;$A126,$B$4:$B125,$B126)&gt;0,MIN(AN$1,IF($A126=$A125,AN125,1))-S126&lt;0),-1,MIN(1,IF($A126=$A125,AN125,1)-S126+$D$3))</f>
        <v>#N/A</v>
      </c>
      <c r="AO126" t="e">
        <f>IF(OR($J126=0,COUNTIFS($A$4:$A125,"&gt;="&amp;$A126-1,$A$4:$A125,"&lt;="&amp;$A126,$B$4:$B125,$B126)&gt;0,MIN(AO$1,IF($A126=$A125,AO125,1))-T126&lt;0),-1,MIN(1,IF($A126=$A125,AO125,1)-T126+$D$3))</f>
        <v>#N/A</v>
      </c>
      <c r="AP126" t="e">
        <f>IF(OR($J126=0,COUNTIFS($A$4:$A125,"&gt;="&amp;$A126-1,$A$4:$A125,"&lt;="&amp;$A126,$B$4:$B125,$B126)&gt;0,MIN(AP$1,IF($A126=$A125,AP125,1))-U126&lt;0),-1,MIN(1,IF($A126=$A125,AP125,1)-U126+$D$3))</f>
        <v>#N/A</v>
      </c>
      <c r="AQ126" t="e">
        <f>IF(OR($J126=0,COUNTIFS($A$4:$A125,"&gt;="&amp;$A126-1,$A$4:$A125,"&lt;="&amp;$A126,$B$4:$B125,$B126)&gt;0,MIN(AQ$1,IF($A126=$A125,AQ125,1))-V126&lt;0),-1,MIN(1,IF($A126=$A125,AQ125,1)-V126+$D$3))</f>
        <v>#N/A</v>
      </c>
      <c r="AR126" t="e">
        <f>IF(OR($J126=0,COUNTIFS($A$4:$A125,"&gt;="&amp;$A126-1,$A$4:$A125,"&lt;="&amp;$A126,$B$4:$B125,$B126)&gt;0,MIN(AR$1,IF($A126=$A125,AR125,1))-W126&lt;0),-1,MIN(1,IF($A126=$A125,AR125,1)-W126+$D$3))</f>
        <v>#N/A</v>
      </c>
      <c r="AS126" t="e">
        <f>IF(OR($J126=0,COUNTIFS($A$4:$A125,"&gt;="&amp;$A126-1,$A$4:$A125,"&lt;="&amp;$A126,$B$4:$B125,$B126)&gt;0,MIN(AS$1,IF($A126=$A125,AS125,1))-X126&lt;0),-1,MIN(1,IF($A126=$A125,AS125,1)-X126+$D$3))</f>
        <v>#N/A</v>
      </c>
      <c r="AT126" t="e">
        <f>IF(OR($J126=0,COUNTIFS($A$4:$A125,"&gt;="&amp;$A126-1,$A$4:$A125,"&lt;="&amp;$A126,$B$4:$B125,$B126)&gt;0,MIN(AT$1,IF($A126=$A125,AT125,1))-Y126&lt;0),-1,MIN(1,IF($A126=$A125,AT125,1)-Y126+$D$3))</f>
        <v>#N/A</v>
      </c>
      <c r="AU126" t="e">
        <f>IF(OR($J126=0,COUNTIFS($A$4:$A125,"&gt;="&amp;$A126-1,$A$4:$A125,"&lt;="&amp;$A126,$B$4:$B125,$B126)&gt;0,MIN(AU$1,IF($A126=$A125,AU125,1))-Z126&lt;0),-1,MIN(1,IF($A126=$A125,AU125,1)-Z126+$D$3))</f>
        <v>#N/A</v>
      </c>
      <c r="AV126" t="e">
        <f>IF(OR($J126=0,COUNTIFS($A$4:$A125,"&gt;="&amp;$A126-1,$A$4:$A125,"&lt;="&amp;$A126,$B$4:$B125,$B126)&gt;0,MIN(AV$1,IF($A126=$A125,AV125,1))-AA126&lt;0),-1,MIN(1,IF($A126=$A125,AV125,1)-AA126+$D$3))</f>
        <v>#N/A</v>
      </c>
      <c r="AW126" t="e">
        <f>IF(OR($J126=0,COUNTIFS($A$4:$A125,"&gt;="&amp;$A126-1,$A$4:$A125,"&lt;="&amp;$A126,$B$4:$B125,$B126)&gt;0,MIN(AW$1,IF($A126=$A125,AW125,1))-AB126&lt;0),-1,MIN(1,IF($A126=$A125,AW125,1)-AB126+$D$3))</f>
        <v>#N/A</v>
      </c>
      <c r="AX126" t="e">
        <f>IF(OR($J126=0,COUNTIFS($A$4:$A125,"&gt;="&amp;$A126-1,$A$4:$A125,"&lt;="&amp;$A126,$B$4:$B125,$B126)&gt;0,MIN(AX$1,IF($A126=$A125,AX125,1))-AC126&lt;0),-1,MIN(1,IF($A126=$A125,AX125,1)-AC126+$D$3))</f>
        <v>#N/A</v>
      </c>
      <c r="AY126" t="e">
        <f>IF(OR($J126=0,COUNTIFS($A$4:$A125,"&gt;="&amp;$A126-1,$A$4:$A125,"&lt;="&amp;$A126,$B$4:$B125,$B126)&gt;0,MIN(AY$1,IF($A126=$A125,AY125,1))-AD126&lt;0),-1,MIN(1,IF($A126=$A125,AY125,1)-AD126+$D$3))</f>
        <v>#N/A</v>
      </c>
      <c r="AZ126" t="e">
        <f>IF(OR($J126=0,COUNTIFS($A$4:$A125,"&gt;="&amp;$A126-1,$A$4:$A125,"&lt;="&amp;$A126,$B$4:$B125,$B126)&gt;0,MIN(AZ$1,IF($A126=$A125,AZ125,1))-AE126&lt;0),-1,MIN(1,IF($A126=$A125,AZ125,1)-AE126+$D$3))</f>
        <v>#N/A</v>
      </c>
      <c r="BA126" t="e">
        <f>IF(OR($J126=0,COUNTIFS($A$4:$A125,"&gt;="&amp;$A126-1,$A$4:$A125,"&lt;="&amp;$A126,$B$4:$B125,$B126)&gt;0,MIN(BA$1,IF($A126=$A125,BA125,1))-AF126&lt;0),-1,MIN(1,IF($A126=$A125,BA125,1)-AF126+$D$3))</f>
        <v>#N/A</v>
      </c>
      <c r="BB126" t="e">
        <f>IF(OR($J126=0,COUNTIFS($A$4:$A125,"&gt;="&amp;$A126-1,$A$4:$A125,"&lt;="&amp;$A126,$B$4:$B125,$B126)&gt;0,MIN(BB$1,IF($A126=$A125,BB125,1))-AG126&lt;0),-1,MIN(1,IF($A126=$A125,BB125,1)-AG126+$D$3))</f>
        <v>#N/A</v>
      </c>
      <c r="BC126" t="e">
        <f>IF(OR($J126=0,COUNTIFS($A$4:$A125,"&gt;="&amp;$A126-1,$A$4:$A125,"&lt;="&amp;$A126,$B$4:$B125,$B126)&gt;0,MIN(BC$1,IF($A126=$A125,BC125,1))-AH126&lt;0),-1,MIN(1,IF($A126=$A125,BC125,1)-AH126+$D$3))</f>
        <v>#N/A</v>
      </c>
      <c r="BD126" t="e">
        <f>IF(OR($J126=0,COUNTIFS($A$4:$A125,"&gt;="&amp;$A126-1,$A$4:$A125,"&lt;="&amp;$A126,$B$4:$B125,$B126)&gt;0,MIN(BD$1,IF($A126=$A125,BD125,1))-AI126&lt;0),-1,MIN(1,IF($A126=$A125,BD125,1)-AI126+$D$3))</f>
        <v>#N/A</v>
      </c>
      <c r="BF126" s="44">
        <f t="shared" si="223"/>
        <v>4.0605581942297353E-3</v>
      </c>
      <c r="BG126" s="44">
        <f t="shared" si="224"/>
        <v>9.9860584130441309E-3</v>
      </c>
      <c r="BH126" s="44">
        <f t="shared" si="225"/>
        <v>1.0234659442899861E-2</v>
      </c>
      <c r="BI126" s="44">
        <f t="shared" si="226"/>
        <v>9.4539837919953192E-3</v>
      </c>
      <c r="BJ126" s="44">
        <f t="shared" si="227"/>
        <v>9.7715897720523585E-3</v>
      </c>
      <c r="BK126" s="44">
        <f t="shared" si="228"/>
        <v>4.1962849812536241E-3</v>
      </c>
      <c r="BL126" s="44">
        <f t="shared" si="229"/>
        <v>2.2668991644830966E-3</v>
      </c>
      <c r="BM126" s="44">
        <f t="shared" si="230"/>
        <v>5.7667267572140118E-3</v>
      </c>
      <c r="BN126" s="44">
        <f t="shared" si="231"/>
        <v>5.9978452595502389E-3</v>
      </c>
      <c r="BO126" s="44">
        <f t="shared" si="232"/>
        <v>2.8108178807306123E-3</v>
      </c>
      <c r="BP126" s="44">
        <f t="shared" si="233"/>
        <v>9.4513124983765795E-3</v>
      </c>
      <c r="BQ126" s="44">
        <f t="shared" si="234"/>
        <v>2.5505180033071782E-3</v>
      </c>
      <c r="BR126" s="44">
        <f t="shared" si="235"/>
        <v>7.5348686431950859E-3</v>
      </c>
      <c r="BS126" s="44">
        <f t="shared" si="236"/>
        <v>4.0636546478397791E-3</v>
      </c>
      <c r="BT126" s="44">
        <f t="shared" si="237"/>
        <v>1.6081127262308845E-2</v>
      </c>
      <c r="BU126" s="44">
        <f t="shared" si="238"/>
        <v>1.5362315531644353E-2</v>
      </c>
      <c r="BV126" s="44">
        <f t="shared" si="239"/>
        <v>1.4753459585534832E-2</v>
      </c>
      <c r="BW126" s="44">
        <f t="shared" si="240"/>
        <v>9.6495744579762257E-3</v>
      </c>
      <c r="BX126" s="44">
        <f t="shared" si="241"/>
        <v>7.1289303804956241E-3</v>
      </c>
      <c r="BY126" s="44">
        <f t="shared" si="242"/>
        <v>6.1210061091645281E-3</v>
      </c>
      <c r="CA126" s="44" t="str">
        <f t="shared" si="243"/>
        <v/>
      </c>
      <c r="CB126" s="44" t="str">
        <f t="shared" si="244"/>
        <v/>
      </c>
      <c r="CC126" s="44" t="str">
        <f t="shared" si="245"/>
        <v/>
      </c>
      <c r="CD126" s="44" t="str">
        <f t="shared" si="246"/>
        <v/>
      </c>
      <c r="CE126" s="44" t="str">
        <f t="shared" si="247"/>
        <v/>
      </c>
      <c r="CF126" s="44" t="str">
        <f t="shared" si="248"/>
        <v/>
      </c>
      <c r="CG126" s="44" t="str">
        <f t="shared" si="249"/>
        <v/>
      </c>
      <c r="CH126" s="44" t="str">
        <f t="shared" si="250"/>
        <v/>
      </c>
      <c r="CI126" s="44" t="str">
        <f t="shared" si="251"/>
        <v/>
      </c>
      <c r="CJ126" s="44" t="str">
        <f t="shared" si="252"/>
        <v/>
      </c>
      <c r="CK126" s="44" t="str">
        <f t="shared" si="253"/>
        <v/>
      </c>
      <c r="CL126" s="44" t="str">
        <f t="shared" si="254"/>
        <v/>
      </c>
      <c r="CM126" s="44" t="str">
        <f t="shared" si="255"/>
        <v/>
      </c>
      <c r="CN126" s="44" t="str">
        <f t="shared" si="256"/>
        <v/>
      </c>
      <c r="CO126" s="44" t="str">
        <f t="shared" si="257"/>
        <v/>
      </c>
      <c r="CP126" s="44" t="str">
        <f t="shared" si="258"/>
        <v/>
      </c>
      <c r="CQ126" s="44" t="str">
        <f t="shared" si="259"/>
        <v/>
      </c>
      <c r="CR126" s="44" t="str">
        <f t="shared" si="260"/>
        <v/>
      </c>
      <c r="CS126" s="44" t="str">
        <f t="shared" si="261"/>
        <v/>
      </c>
      <c r="CT126" s="44" t="str">
        <f t="shared" si="262"/>
        <v/>
      </c>
      <c r="CV126" s="44">
        <f t="shared" si="263"/>
        <v>0</v>
      </c>
    </row>
    <row r="127" spans="1:100" x14ac:dyDescent="0.25">
      <c r="A127" s="41"/>
      <c r="B127" s="42"/>
      <c r="C127" s="43" t="str" cm="1">
        <f t="array" ref="C127">IF(B127="","",INDEX(UWS!$B$10:$B$41,B127))</f>
        <v/>
      </c>
      <c r="D127" s="40" t="str">
        <f t="shared" si="220"/>
        <v/>
      </c>
      <c r="E127" s="69" t="str">
        <f t="shared" si="221"/>
        <v/>
      </c>
      <c r="F127" s="48" cm="1">
        <f t="array" ref="F127">0.1+IFERROR(INDEX($F$5:$F126,SUMPRODUCT(MAX(ROW($C$5:$C126)*($C127=$C$5:$C126))-ROW($A$4)))*0.9^($A127-INDEX($A$5:A126,SUMPRODUCT(MAX(ROW($C$5:$C126)*($C127=$C$5:$C126))-ROW($A$4)))),0)</f>
        <v>6.199999999999994</v>
      </c>
      <c r="G127" s="55" t="e">
        <f>INDEX(UWS!$AB$10:$AB$41,MATCH(C127,UWS!$B$10:$B$41,0))</f>
        <v>#N/A</v>
      </c>
      <c r="H127" s="48" t="e">
        <f>INDEX(UWS!$C$10:$C$41,MATCH(C127,UWS!$B$10:$B$41,0))</f>
        <v>#N/A</v>
      </c>
      <c r="I127" s="27">
        <f t="shared" si="222"/>
        <v>5</v>
      </c>
      <c r="J127" s="27" t="e">
        <f>INDEX(UWS!$E$10:$E$41,MATCH(C127,UWS!$B$10:$B$41,0))</f>
        <v>#N/A</v>
      </c>
      <c r="L127" s="108" t="str" cm="1">
        <f t="array" ref="L127">IF(K127="","",INDEX(UWS!$B$10:$B$41,K127))</f>
        <v/>
      </c>
      <c r="N127" s="108" t="str" cm="1">
        <f t="array" ref="N127">IF(M127="","",INDEX(UWS!$B$10:$B$41,M127))</f>
        <v/>
      </c>
      <c r="P127">
        <f>IFERROR(INDEX(UWS!$G$10:$Z$41,MATCH($C127,UWS!$B$10:$B$41,0),MATCH(P$4,UWS!$G$3:$Z$3,0)),0)</f>
        <v>0</v>
      </c>
      <c r="Q127">
        <f>IFERROR(INDEX(UWS!$G$10:$Z$41,MATCH($C127,UWS!$B$10:$B$41,0),MATCH(Q$4,UWS!$G$3:$Z$3,0)),0)</f>
        <v>0</v>
      </c>
      <c r="R127">
        <f>IFERROR(INDEX(UWS!$G$10:$Z$41,MATCH($C127,UWS!$B$10:$B$41,0),MATCH(R$4,UWS!$G$3:$Z$3,0)),0)</f>
        <v>0</v>
      </c>
      <c r="S127">
        <f>IFERROR(INDEX(UWS!$G$10:$Z$41,MATCH($C127,UWS!$B$10:$B$41,0),MATCH(S$4,UWS!$G$3:$Z$3,0)),0)</f>
        <v>0</v>
      </c>
      <c r="T127">
        <f>IFERROR(INDEX(UWS!$G$10:$Z$41,MATCH($C127,UWS!$B$10:$B$41,0),MATCH(T$4,UWS!$G$3:$Z$3,0)),0)</f>
        <v>0</v>
      </c>
      <c r="U127">
        <f>IFERROR(INDEX(UWS!$G$10:$Z$41,MATCH($C127,UWS!$B$10:$B$41,0),MATCH(U$4,UWS!$G$3:$Z$3,0)),0)</f>
        <v>0</v>
      </c>
      <c r="V127">
        <f>IFERROR(INDEX(UWS!$G$10:$Z$41,MATCH($C127,UWS!$B$10:$B$41,0),MATCH(V$4,UWS!$G$3:$Z$3,0)),0)</f>
        <v>0</v>
      </c>
      <c r="W127">
        <f>IFERROR(INDEX(UWS!$G$10:$Z$41,MATCH($C127,UWS!$B$10:$B$41,0),MATCH(W$4,UWS!$G$3:$Z$3,0)),0)</f>
        <v>0</v>
      </c>
      <c r="X127">
        <f>IFERROR(INDEX(UWS!$G$10:$Z$41,MATCH($C127,UWS!$B$10:$B$41,0),MATCH(X$4,UWS!$G$3:$Z$3,0)),0)</f>
        <v>0</v>
      </c>
      <c r="Y127">
        <f>IFERROR(INDEX(UWS!$G$10:$Z$41,MATCH($C127,UWS!$B$10:$B$41,0),MATCH(Y$4,UWS!$G$3:$Z$3,0)),0)</f>
        <v>0</v>
      </c>
      <c r="Z127">
        <f>IFERROR(INDEX(UWS!$G$10:$Z$41,MATCH($C127,UWS!$B$10:$B$41,0),MATCH(Z$4,UWS!$G$3:$Z$3,0)),0)</f>
        <v>0</v>
      </c>
      <c r="AA127">
        <f>IFERROR(INDEX(UWS!$G$10:$Z$41,MATCH($C127,UWS!$B$10:$B$41,0),MATCH(AA$4,UWS!$G$3:$Z$3,0)),0)</f>
        <v>0</v>
      </c>
      <c r="AB127">
        <f>IFERROR(INDEX(UWS!$G$10:$Z$41,MATCH($C127,UWS!$B$10:$B$41,0),MATCH(AB$4,UWS!$G$3:$Z$3,0)),0)</f>
        <v>0</v>
      </c>
      <c r="AC127">
        <f>IFERROR(INDEX(UWS!$G$10:$Z$41,MATCH($C127,UWS!$B$10:$B$41,0),MATCH(AC$4,UWS!$G$3:$Z$3,0)),0)</f>
        <v>0</v>
      </c>
      <c r="AD127">
        <f>IFERROR(INDEX(UWS!$G$10:$Z$41,MATCH($C127,UWS!$B$10:$B$41,0),MATCH(AD$4,UWS!$G$3:$Z$3,0)),0)</f>
        <v>0</v>
      </c>
      <c r="AE127">
        <f>IFERROR(INDEX(UWS!$G$10:$Z$41,MATCH($C127,UWS!$B$10:$B$41,0),MATCH(AE$4,UWS!$G$3:$Z$3,0)),0)</f>
        <v>0</v>
      </c>
      <c r="AF127">
        <f>IFERROR(INDEX(UWS!$G$10:$Z$41,MATCH($C127,UWS!$B$10:$B$41,0),MATCH(AF$4,UWS!$G$3:$Z$3,0)),0)</f>
        <v>0</v>
      </c>
      <c r="AG127">
        <f>IFERROR(INDEX(UWS!$G$10:$Z$41,MATCH($C127,UWS!$B$10:$B$41,0),MATCH(AG$4,UWS!$G$3:$Z$3,0)),0)</f>
        <v>0</v>
      </c>
      <c r="AH127">
        <f>IFERROR(INDEX(UWS!$G$10:$Z$41,MATCH($C127,UWS!$B$10:$B$41,0),MATCH(AH$4,UWS!$G$3:$Z$3,0)),0)</f>
        <v>0</v>
      </c>
      <c r="AI127">
        <f>IFERROR(INDEX(UWS!$G$10:$Z$41,MATCH($C127,UWS!$B$10:$B$41,0),MATCH(AI$4,UWS!$G$3:$Z$3,0)),0)</f>
        <v>0</v>
      </c>
      <c r="AK127" t="e">
        <f>IF(OR($J127=0,COUNTIFS($A$4:$A126,"&gt;="&amp;$A127-1,$A$4:$A126,"&lt;="&amp;$A127,$B$4:$B126,$B127)&gt;0,MIN(AK$1,IF($A127=$A126,AK126,1))-P127&lt;0),-1,MIN(1,IF($A127=$A126,AK126,1)-P127+$D$3))</f>
        <v>#N/A</v>
      </c>
      <c r="AL127" t="e">
        <f>IF(OR($J127=0,COUNTIFS($A$4:$A126,"&gt;="&amp;$A127-1,$A$4:$A126,"&lt;="&amp;$A127,$B$4:$B126,$B127)&gt;0,MIN(AL$1,IF($A127=$A126,AL126,1))-Q127&lt;0),-1,MIN(1,IF($A127=$A126,AL126,1)-Q127+$D$3))</f>
        <v>#N/A</v>
      </c>
      <c r="AM127" t="e">
        <f>IF(OR($J127=0,COUNTIFS($A$4:$A126,"&gt;="&amp;$A127-1,$A$4:$A126,"&lt;="&amp;$A127,$B$4:$B126,$B127)&gt;0,MIN(AM$1,IF($A127=$A126,AM126,1))-R127&lt;0),-1,MIN(1,IF($A127=$A126,AM126,1)-R127+$D$3))</f>
        <v>#N/A</v>
      </c>
      <c r="AN127" t="e">
        <f>IF(OR($J127=0,COUNTIFS($A$4:$A126,"&gt;="&amp;$A127-1,$A$4:$A126,"&lt;="&amp;$A127,$B$4:$B126,$B127)&gt;0,MIN(AN$1,IF($A127=$A126,AN126,1))-S127&lt;0),-1,MIN(1,IF($A127=$A126,AN126,1)-S127+$D$3))</f>
        <v>#N/A</v>
      </c>
      <c r="AO127" t="e">
        <f>IF(OR($J127=0,COUNTIFS($A$4:$A126,"&gt;="&amp;$A127-1,$A$4:$A126,"&lt;="&amp;$A127,$B$4:$B126,$B127)&gt;0,MIN(AO$1,IF($A127=$A126,AO126,1))-T127&lt;0),-1,MIN(1,IF($A127=$A126,AO126,1)-T127+$D$3))</f>
        <v>#N/A</v>
      </c>
      <c r="AP127" t="e">
        <f>IF(OR($J127=0,COUNTIFS($A$4:$A126,"&gt;="&amp;$A127-1,$A$4:$A126,"&lt;="&amp;$A127,$B$4:$B126,$B127)&gt;0,MIN(AP$1,IF($A127=$A126,AP126,1))-U127&lt;0),-1,MIN(1,IF($A127=$A126,AP126,1)-U127+$D$3))</f>
        <v>#N/A</v>
      </c>
      <c r="AQ127" t="e">
        <f>IF(OR($J127=0,COUNTIFS($A$4:$A126,"&gt;="&amp;$A127-1,$A$4:$A126,"&lt;="&amp;$A127,$B$4:$B126,$B127)&gt;0,MIN(AQ$1,IF($A127=$A126,AQ126,1))-V127&lt;0),-1,MIN(1,IF($A127=$A126,AQ126,1)-V127+$D$3))</f>
        <v>#N/A</v>
      </c>
      <c r="AR127" t="e">
        <f>IF(OR($J127=0,COUNTIFS($A$4:$A126,"&gt;="&amp;$A127-1,$A$4:$A126,"&lt;="&amp;$A127,$B$4:$B126,$B127)&gt;0,MIN(AR$1,IF($A127=$A126,AR126,1))-W127&lt;0),-1,MIN(1,IF($A127=$A126,AR126,1)-W127+$D$3))</f>
        <v>#N/A</v>
      </c>
      <c r="AS127" t="e">
        <f>IF(OR($J127=0,COUNTIFS($A$4:$A126,"&gt;="&amp;$A127-1,$A$4:$A126,"&lt;="&amp;$A127,$B$4:$B126,$B127)&gt;0,MIN(AS$1,IF($A127=$A126,AS126,1))-X127&lt;0),-1,MIN(1,IF($A127=$A126,AS126,1)-X127+$D$3))</f>
        <v>#N/A</v>
      </c>
      <c r="AT127" t="e">
        <f>IF(OR($J127=0,COUNTIFS($A$4:$A126,"&gt;="&amp;$A127-1,$A$4:$A126,"&lt;="&amp;$A127,$B$4:$B126,$B127)&gt;0,MIN(AT$1,IF($A127=$A126,AT126,1))-Y127&lt;0),-1,MIN(1,IF($A127=$A126,AT126,1)-Y127+$D$3))</f>
        <v>#N/A</v>
      </c>
      <c r="AU127" t="e">
        <f>IF(OR($J127=0,COUNTIFS($A$4:$A126,"&gt;="&amp;$A127-1,$A$4:$A126,"&lt;="&amp;$A127,$B$4:$B126,$B127)&gt;0,MIN(AU$1,IF($A127=$A126,AU126,1))-Z127&lt;0),-1,MIN(1,IF($A127=$A126,AU126,1)-Z127+$D$3))</f>
        <v>#N/A</v>
      </c>
      <c r="AV127" t="e">
        <f>IF(OR($J127=0,COUNTIFS($A$4:$A126,"&gt;="&amp;$A127-1,$A$4:$A126,"&lt;="&amp;$A127,$B$4:$B126,$B127)&gt;0,MIN(AV$1,IF($A127=$A126,AV126,1))-AA127&lt;0),-1,MIN(1,IF($A127=$A126,AV126,1)-AA127+$D$3))</f>
        <v>#N/A</v>
      </c>
      <c r="AW127" t="e">
        <f>IF(OR($J127=0,COUNTIFS($A$4:$A126,"&gt;="&amp;$A127-1,$A$4:$A126,"&lt;="&amp;$A127,$B$4:$B126,$B127)&gt;0,MIN(AW$1,IF($A127=$A126,AW126,1))-AB127&lt;0),-1,MIN(1,IF($A127=$A126,AW126,1)-AB127+$D$3))</f>
        <v>#N/A</v>
      </c>
      <c r="AX127" t="e">
        <f>IF(OR($J127=0,COUNTIFS($A$4:$A126,"&gt;="&amp;$A127-1,$A$4:$A126,"&lt;="&amp;$A127,$B$4:$B126,$B127)&gt;0,MIN(AX$1,IF($A127=$A126,AX126,1))-AC127&lt;0),-1,MIN(1,IF($A127=$A126,AX126,1)-AC127+$D$3))</f>
        <v>#N/A</v>
      </c>
      <c r="AY127" t="e">
        <f>IF(OR($J127=0,COUNTIFS($A$4:$A126,"&gt;="&amp;$A127-1,$A$4:$A126,"&lt;="&amp;$A127,$B$4:$B126,$B127)&gt;0,MIN(AY$1,IF($A127=$A126,AY126,1))-AD127&lt;0),-1,MIN(1,IF($A127=$A126,AY126,1)-AD127+$D$3))</f>
        <v>#N/A</v>
      </c>
      <c r="AZ127" t="e">
        <f>IF(OR($J127=0,COUNTIFS($A$4:$A126,"&gt;="&amp;$A127-1,$A$4:$A126,"&lt;="&amp;$A127,$B$4:$B126,$B127)&gt;0,MIN(AZ$1,IF($A127=$A126,AZ126,1))-AE127&lt;0),-1,MIN(1,IF($A127=$A126,AZ126,1)-AE127+$D$3))</f>
        <v>#N/A</v>
      </c>
      <c r="BA127" t="e">
        <f>IF(OR($J127=0,COUNTIFS($A$4:$A126,"&gt;="&amp;$A127-1,$A$4:$A126,"&lt;="&amp;$A127,$B$4:$B126,$B127)&gt;0,MIN(BA$1,IF($A127=$A126,BA126,1))-AF127&lt;0),-1,MIN(1,IF($A127=$A126,BA126,1)-AF127+$D$3))</f>
        <v>#N/A</v>
      </c>
      <c r="BB127" t="e">
        <f>IF(OR($J127=0,COUNTIFS($A$4:$A126,"&gt;="&amp;$A127-1,$A$4:$A126,"&lt;="&amp;$A127,$B$4:$B126,$B127)&gt;0,MIN(BB$1,IF($A127=$A126,BB126,1))-AG127&lt;0),-1,MIN(1,IF($A127=$A126,BB126,1)-AG127+$D$3))</f>
        <v>#N/A</v>
      </c>
      <c r="BC127" t="e">
        <f>IF(OR($J127=0,COUNTIFS($A$4:$A126,"&gt;="&amp;$A127-1,$A$4:$A126,"&lt;="&amp;$A127,$B$4:$B126,$B127)&gt;0,MIN(BC$1,IF($A127=$A126,BC126,1))-AH127&lt;0),-1,MIN(1,IF($A127=$A126,BC126,1)-AH127+$D$3))</f>
        <v>#N/A</v>
      </c>
      <c r="BD127" t="e">
        <f>IF(OR($J127=0,COUNTIFS($A$4:$A126,"&gt;="&amp;$A127-1,$A$4:$A126,"&lt;="&amp;$A127,$B$4:$B126,$B127)&gt;0,MIN(BD$1,IF($A127=$A126,BD126,1))-AI127&lt;0),-1,MIN(1,IF($A127=$A126,BD126,1)-AI127+$D$3))</f>
        <v>#N/A</v>
      </c>
      <c r="BF127" s="44">
        <f t="shared" si="223"/>
        <v>3.8575302845182484E-3</v>
      </c>
      <c r="BG127" s="44">
        <f t="shared" si="224"/>
        <v>9.4867554923919236E-3</v>
      </c>
      <c r="BH127" s="44">
        <f t="shared" si="225"/>
        <v>9.7229264707548672E-3</v>
      </c>
      <c r="BI127" s="44">
        <f t="shared" si="226"/>
        <v>8.9812846023955527E-3</v>
      </c>
      <c r="BJ127" s="44">
        <f t="shared" si="227"/>
        <v>9.2830102834497406E-3</v>
      </c>
      <c r="BK127" s="44">
        <f t="shared" si="228"/>
        <v>3.9864707321909431E-3</v>
      </c>
      <c r="BL127" s="44">
        <f t="shared" si="229"/>
        <v>2.1535542062589416E-3</v>
      </c>
      <c r="BM127" s="44">
        <f t="shared" si="230"/>
        <v>5.4783904193533113E-3</v>
      </c>
      <c r="BN127" s="44">
        <f t="shared" si="231"/>
        <v>5.6979529965727263E-3</v>
      </c>
      <c r="BO127" s="44">
        <f t="shared" si="232"/>
        <v>2.6702769866940815E-3</v>
      </c>
      <c r="BP127" s="44">
        <f t="shared" si="233"/>
        <v>8.9787468734577498E-3</v>
      </c>
      <c r="BQ127" s="44">
        <f t="shared" si="234"/>
        <v>2.422992103141819E-3</v>
      </c>
      <c r="BR127" s="44">
        <f t="shared" si="235"/>
        <v>7.1581252110353311E-3</v>
      </c>
      <c r="BS127" s="44">
        <f t="shared" si="236"/>
        <v>3.8604719154477899E-3</v>
      </c>
      <c r="BT127" s="44">
        <f t="shared" si="237"/>
        <v>1.5277070899193402E-2</v>
      </c>
      <c r="BU127" s="44">
        <f t="shared" si="238"/>
        <v>1.4594199755062135E-2</v>
      </c>
      <c r="BV127" s="44">
        <f t="shared" si="239"/>
        <v>1.4015786606258089E-2</v>
      </c>
      <c r="BW127" s="44">
        <f t="shared" si="240"/>
        <v>9.167095735077414E-3</v>
      </c>
      <c r="BX127" s="44">
        <f t="shared" si="241"/>
        <v>6.7724838614708427E-3</v>
      </c>
      <c r="BY127" s="44">
        <f t="shared" si="242"/>
        <v>5.8149558037063013E-3</v>
      </c>
      <c r="CA127" s="44" t="str">
        <f t="shared" si="243"/>
        <v/>
      </c>
      <c r="CB127" s="44" t="str">
        <f t="shared" si="244"/>
        <v/>
      </c>
      <c r="CC127" s="44" t="str">
        <f t="shared" si="245"/>
        <v/>
      </c>
      <c r="CD127" s="44" t="str">
        <f t="shared" si="246"/>
        <v/>
      </c>
      <c r="CE127" s="44" t="str">
        <f t="shared" si="247"/>
        <v/>
      </c>
      <c r="CF127" s="44" t="str">
        <f t="shared" si="248"/>
        <v/>
      </c>
      <c r="CG127" s="44" t="str">
        <f t="shared" si="249"/>
        <v/>
      </c>
      <c r="CH127" s="44" t="str">
        <f t="shared" si="250"/>
        <v/>
      </c>
      <c r="CI127" s="44" t="str">
        <f t="shared" si="251"/>
        <v/>
      </c>
      <c r="CJ127" s="44" t="str">
        <f t="shared" si="252"/>
        <v/>
      </c>
      <c r="CK127" s="44" t="str">
        <f t="shared" si="253"/>
        <v/>
      </c>
      <c r="CL127" s="44" t="str">
        <f t="shared" si="254"/>
        <v/>
      </c>
      <c r="CM127" s="44" t="str">
        <f t="shared" si="255"/>
        <v/>
      </c>
      <c r="CN127" s="44" t="str">
        <f t="shared" si="256"/>
        <v/>
      </c>
      <c r="CO127" s="44" t="str">
        <f t="shared" si="257"/>
        <v/>
      </c>
      <c r="CP127" s="44" t="str">
        <f t="shared" si="258"/>
        <v/>
      </c>
      <c r="CQ127" s="44" t="str">
        <f t="shared" si="259"/>
        <v/>
      </c>
      <c r="CR127" s="44" t="str">
        <f t="shared" si="260"/>
        <v/>
      </c>
      <c r="CS127" s="44" t="str">
        <f t="shared" si="261"/>
        <v/>
      </c>
      <c r="CT127" s="44" t="str">
        <f t="shared" si="262"/>
        <v/>
      </c>
      <c r="CV127" s="44">
        <f t="shared" si="263"/>
        <v>0</v>
      </c>
    </row>
    <row r="128" spans="1:100" x14ac:dyDescent="0.25">
      <c r="A128" s="41"/>
      <c r="B128" s="42"/>
      <c r="C128" s="43" t="str" cm="1">
        <f t="array" ref="C128">IF(B128="","",INDEX(UWS!$B$10:$B$41,B128))</f>
        <v/>
      </c>
      <c r="D128" s="40" t="str">
        <f t="shared" si="220"/>
        <v/>
      </c>
      <c r="E128" s="69" t="str">
        <f t="shared" si="221"/>
        <v/>
      </c>
      <c r="F128" s="48" cm="1">
        <f t="array" ref="F128">0.1+IFERROR(INDEX($F$5:$F127,SUMPRODUCT(MAX(ROW($C$5:$C127)*($C128=$C$5:$C127))-ROW($A$4)))*0.9^($A128-INDEX($A$5:A127,SUMPRODUCT(MAX(ROW($C$5:$C127)*($C128=$C$5:$C127))-ROW($A$4)))),0)</f>
        <v>6.2999999999999936</v>
      </c>
      <c r="G128" s="55" t="e">
        <f>INDEX(UWS!$AB$10:$AB$41,MATCH(C128,UWS!$B$10:$B$41,0))</f>
        <v>#N/A</v>
      </c>
      <c r="H128" s="48" t="e">
        <f>INDEX(UWS!$C$10:$C$41,MATCH(C128,UWS!$B$10:$B$41,0))</f>
        <v>#N/A</v>
      </c>
      <c r="I128" s="27">
        <f t="shared" si="222"/>
        <v>5</v>
      </c>
      <c r="J128" s="27" t="e">
        <f>INDEX(UWS!$E$10:$E$41,MATCH(C128,UWS!$B$10:$B$41,0))</f>
        <v>#N/A</v>
      </c>
      <c r="L128" s="108" t="str" cm="1">
        <f t="array" ref="L128">IF(K128="","",INDEX(UWS!$B$10:$B$41,K128))</f>
        <v/>
      </c>
      <c r="N128" s="108" t="str" cm="1">
        <f t="array" ref="N128">IF(M128="","",INDEX(UWS!$B$10:$B$41,M128))</f>
        <v/>
      </c>
      <c r="P128">
        <f>IFERROR(INDEX(UWS!$G$10:$Z$41,MATCH($C128,UWS!$B$10:$B$41,0),MATCH(P$4,UWS!$G$3:$Z$3,0)),0)</f>
        <v>0</v>
      </c>
      <c r="Q128">
        <f>IFERROR(INDEX(UWS!$G$10:$Z$41,MATCH($C128,UWS!$B$10:$B$41,0),MATCH(Q$4,UWS!$G$3:$Z$3,0)),0)</f>
        <v>0</v>
      </c>
      <c r="R128">
        <f>IFERROR(INDEX(UWS!$G$10:$Z$41,MATCH($C128,UWS!$B$10:$B$41,0),MATCH(R$4,UWS!$G$3:$Z$3,0)),0)</f>
        <v>0</v>
      </c>
      <c r="S128">
        <f>IFERROR(INDEX(UWS!$G$10:$Z$41,MATCH($C128,UWS!$B$10:$B$41,0),MATCH(S$4,UWS!$G$3:$Z$3,0)),0)</f>
        <v>0</v>
      </c>
      <c r="T128">
        <f>IFERROR(INDEX(UWS!$G$10:$Z$41,MATCH($C128,UWS!$B$10:$B$41,0),MATCH(T$4,UWS!$G$3:$Z$3,0)),0)</f>
        <v>0</v>
      </c>
      <c r="U128">
        <f>IFERROR(INDEX(UWS!$G$10:$Z$41,MATCH($C128,UWS!$B$10:$B$41,0),MATCH(U$4,UWS!$G$3:$Z$3,0)),0)</f>
        <v>0</v>
      </c>
      <c r="V128">
        <f>IFERROR(INDEX(UWS!$G$10:$Z$41,MATCH($C128,UWS!$B$10:$B$41,0),MATCH(V$4,UWS!$G$3:$Z$3,0)),0)</f>
        <v>0</v>
      </c>
      <c r="W128">
        <f>IFERROR(INDEX(UWS!$G$10:$Z$41,MATCH($C128,UWS!$B$10:$B$41,0),MATCH(W$4,UWS!$G$3:$Z$3,0)),0)</f>
        <v>0</v>
      </c>
      <c r="X128">
        <f>IFERROR(INDEX(UWS!$G$10:$Z$41,MATCH($C128,UWS!$B$10:$B$41,0),MATCH(X$4,UWS!$G$3:$Z$3,0)),0)</f>
        <v>0</v>
      </c>
      <c r="Y128">
        <f>IFERROR(INDEX(UWS!$G$10:$Z$41,MATCH($C128,UWS!$B$10:$B$41,0),MATCH(Y$4,UWS!$G$3:$Z$3,0)),0)</f>
        <v>0</v>
      </c>
      <c r="Z128">
        <f>IFERROR(INDEX(UWS!$G$10:$Z$41,MATCH($C128,UWS!$B$10:$B$41,0),MATCH(Z$4,UWS!$G$3:$Z$3,0)),0)</f>
        <v>0</v>
      </c>
      <c r="AA128">
        <f>IFERROR(INDEX(UWS!$G$10:$Z$41,MATCH($C128,UWS!$B$10:$B$41,0),MATCH(AA$4,UWS!$G$3:$Z$3,0)),0)</f>
        <v>0</v>
      </c>
      <c r="AB128">
        <f>IFERROR(INDEX(UWS!$G$10:$Z$41,MATCH($C128,UWS!$B$10:$B$41,0),MATCH(AB$4,UWS!$G$3:$Z$3,0)),0)</f>
        <v>0</v>
      </c>
      <c r="AC128">
        <f>IFERROR(INDEX(UWS!$G$10:$Z$41,MATCH($C128,UWS!$B$10:$B$41,0),MATCH(AC$4,UWS!$G$3:$Z$3,0)),0)</f>
        <v>0</v>
      </c>
      <c r="AD128">
        <f>IFERROR(INDEX(UWS!$G$10:$Z$41,MATCH($C128,UWS!$B$10:$B$41,0),MATCH(AD$4,UWS!$G$3:$Z$3,0)),0)</f>
        <v>0</v>
      </c>
      <c r="AE128">
        <f>IFERROR(INDEX(UWS!$G$10:$Z$41,MATCH($C128,UWS!$B$10:$B$41,0),MATCH(AE$4,UWS!$G$3:$Z$3,0)),0)</f>
        <v>0</v>
      </c>
      <c r="AF128">
        <f>IFERROR(INDEX(UWS!$G$10:$Z$41,MATCH($C128,UWS!$B$10:$B$41,0),MATCH(AF$4,UWS!$G$3:$Z$3,0)),0)</f>
        <v>0</v>
      </c>
      <c r="AG128">
        <f>IFERROR(INDEX(UWS!$G$10:$Z$41,MATCH($C128,UWS!$B$10:$B$41,0),MATCH(AG$4,UWS!$G$3:$Z$3,0)),0)</f>
        <v>0</v>
      </c>
      <c r="AH128">
        <f>IFERROR(INDEX(UWS!$G$10:$Z$41,MATCH($C128,UWS!$B$10:$B$41,0),MATCH(AH$4,UWS!$G$3:$Z$3,0)),0)</f>
        <v>0</v>
      </c>
      <c r="AI128">
        <f>IFERROR(INDEX(UWS!$G$10:$Z$41,MATCH($C128,UWS!$B$10:$B$41,0),MATCH(AI$4,UWS!$G$3:$Z$3,0)),0)</f>
        <v>0</v>
      </c>
      <c r="AK128" t="e">
        <f>IF(OR($J128=0,COUNTIFS($A$4:$A127,"&gt;="&amp;$A128-1,$A$4:$A127,"&lt;="&amp;$A128,$B$4:$B127,$B128)&gt;0,MIN(AK$1,IF($A128=$A127,AK127,1))-P128&lt;0),-1,MIN(1,IF($A128=$A127,AK127,1)-P128+$D$3))</f>
        <v>#N/A</v>
      </c>
      <c r="AL128" t="e">
        <f>IF(OR($J128=0,COUNTIFS($A$4:$A127,"&gt;="&amp;$A128-1,$A$4:$A127,"&lt;="&amp;$A128,$B$4:$B127,$B128)&gt;0,MIN(AL$1,IF($A128=$A127,AL127,1))-Q128&lt;0),-1,MIN(1,IF($A128=$A127,AL127,1)-Q128+$D$3))</f>
        <v>#N/A</v>
      </c>
      <c r="AM128" t="e">
        <f>IF(OR($J128=0,COUNTIFS($A$4:$A127,"&gt;="&amp;$A128-1,$A$4:$A127,"&lt;="&amp;$A128,$B$4:$B127,$B128)&gt;0,MIN(AM$1,IF($A128=$A127,AM127,1))-R128&lt;0),-1,MIN(1,IF($A128=$A127,AM127,1)-R128+$D$3))</f>
        <v>#N/A</v>
      </c>
      <c r="AN128" t="e">
        <f>IF(OR($J128=0,COUNTIFS($A$4:$A127,"&gt;="&amp;$A128-1,$A$4:$A127,"&lt;="&amp;$A128,$B$4:$B127,$B128)&gt;0,MIN(AN$1,IF($A128=$A127,AN127,1))-S128&lt;0),-1,MIN(1,IF($A128=$A127,AN127,1)-S128+$D$3))</f>
        <v>#N/A</v>
      </c>
      <c r="AO128" t="e">
        <f>IF(OR($J128=0,COUNTIFS($A$4:$A127,"&gt;="&amp;$A128-1,$A$4:$A127,"&lt;="&amp;$A128,$B$4:$B127,$B128)&gt;0,MIN(AO$1,IF($A128=$A127,AO127,1))-T128&lt;0),-1,MIN(1,IF($A128=$A127,AO127,1)-T128+$D$3))</f>
        <v>#N/A</v>
      </c>
      <c r="AP128" t="e">
        <f>IF(OR($J128=0,COUNTIFS($A$4:$A127,"&gt;="&amp;$A128-1,$A$4:$A127,"&lt;="&amp;$A128,$B$4:$B127,$B128)&gt;0,MIN(AP$1,IF($A128=$A127,AP127,1))-U128&lt;0),-1,MIN(1,IF($A128=$A127,AP127,1)-U128+$D$3))</f>
        <v>#N/A</v>
      </c>
      <c r="AQ128" t="e">
        <f>IF(OR($J128=0,COUNTIFS($A$4:$A127,"&gt;="&amp;$A128-1,$A$4:$A127,"&lt;="&amp;$A128,$B$4:$B127,$B128)&gt;0,MIN(AQ$1,IF($A128=$A127,AQ127,1))-V128&lt;0),-1,MIN(1,IF($A128=$A127,AQ127,1)-V128+$D$3))</f>
        <v>#N/A</v>
      </c>
      <c r="AR128" t="e">
        <f>IF(OR($J128=0,COUNTIFS($A$4:$A127,"&gt;="&amp;$A128-1,$A$4:$A127,"&lt;="&amp;$A128,$B$4:$B127,$B128)&gt;0,MIN(AR$1,IF($A128=$A127,AR127,1))-W128&lt;0),-1,MIN(1,IF($A128=$A127,AR127,1)-W128+$D$3))</f>
        <v>#N/A</v>
      </c>
      <c r="AS128" t="e">
        <f>IF(OR($J128=0,COUNTIFS($A$4:$A127,"&gt;="&amp;$A128-1,$A$4:$A127,"&lt;="&amp;$A128,$B$4:$B127,$B128)&gt;0,MIN(AS$1,IF($A128=$A127,AS127,1))-X128&lt;0),-1,MIN(1,IF($A128=$A127,AS127,1)-X128+$D$3))</f>
        <v>#N/A</v>
      </c>
      <c r="AT128" t="e">
        <f>IF(OR($J128=0,COUNTIFS($A$4:$A127,"&gt;="&amp;$A128-1,$A$4:$A127,"&lt;="&amp;$A128,$B$4:$B127,$B128)&gt;0,MIN(AT$1,IF($A128=$A127,AT127,1))-Y128&lt;0),-1,MIN(1,IF($A128=$A127,AT127,1)-Y128+$D$3))</f>
        <v>#N/A</v>
      </c>
      <c r="AU128" t="e">
        <f>IF(OR($J128=0,COUNTIFS($A$4:$A127,"&gt;="&amp;$A128-1,$A$4:$A127,"&lt;="&amp;$A128,$B$4:$B127,$B128)&gt;0,MIN(AU$1,IF($A128=$A127,AU127,1))-Z128&lt;0),-1,MIN(1,IF($A128=$A127,AU127,1)-Z128+$D$3))</f>
        <v>#N/A</v>
      </c>
      <c r="AV128" t="e">
        <f>IF(OR($J128=0,COUNTIFS($A$4:$A127,"&gt;="&amp;$A128-1,$A$4:$A127,"&lt;="&amp;$A128,$B$4:$B127,$B128)&gt;0,MIN(AV$1,IF($A128=$A127,AV127,1))-AA128&lt;0),-1,MIN(1,IF($A128=$A127,AV127,1)-AA128+$D$3))</f>
        <v>#N/A</v>
      </c>
      <c r="AW128" t="e">
        <f>IF(OR($J128=0,COUNTIFS($A$4:$A127,"&gt;="&amp;$A128-1,$A$4:$A127,"&lt;="&amp;$A128,$B$4:$B127,$B128)&gt;0,MIN(AW$1,IF($A128=$A127,AW127,1))-AB128&lt;0),-1,MIN(1,IF($A128=$A127,AW127,1)-AB128+$D$3))</f>
        <v>#N/A</v>
      </c>
      <c r="AX128" t="e">
        <f>IF(OR($J128=0,COUNTIFS($A$4:$A127,"&gt;="&amp;$A128-1,$A$4:$A127,"&lt;="&amp;$A128,$B$4:$B127,$B128)&gt;0,MIN(AX$1,IF($A128=$A127,AX127,1))-AC128&lt;0),-1,MIN(1,IF($A128=$A127,AX127,1)-AC128+$D$3))</f>
        <v>#N/A</v>
      </c>
      <c r="AY128" t="e">
        <f>IF(OR($J128=0,COUNTIFS($A$4:$A127,"&gt;="&amp;$A128-1,$A$4:$A127,"&lt;="&amp;$A128,$B$4:$B127,$B128)&gt;0,MIN(AY$1,IF($A128=$A127,AY127,1))-AD128&lt;0),-1,MIN(1,IF($A128=$A127,AY127,1)-AD128+$D$3))</f>
        <v>#N/A</v>
      </c>
      <c r="AZ128" t="e">
        <f>IF(OR($J128=0,COUNTIFS($A$4:$A127,"&gt;="&amp;$A128-1,$A$4:$A127,"&lt;="&amp;$A128,$B$4:$B127,$B128)&gt;0,MIN(AZ$1,IF($A128=$A127,AZ127,1))-AE128&lt;0),-1,MIN(1,IF($A128=$A127,AZ127,1)-AE128+$D$3))</f>
        <v>#N/A</v>
      </c>
      <c r="BA128" t="e">
        <f>IF(OR($J128=0,COUNTIFS($A$4:$A127,"&gt;="&amp;$A128-1,$A$4:$A127,"&lt;="&amp;$A128,$B$4:$B127,$B128)&gt;0,MIN(BA$1,IF($A128=$A127,BA127,1))-AF128&lt;0),-1,MIN(1,IF($A128=$A127,BA127,1)-AF128+$D$3))</f>
        <v>#N/A</v>
      </c>
      <c r="BB128" t="e">
        <f>IF(OR($J128=0,COUNTIFS($A$4:$A127,"&gt;="&amp;$A128-1,$A$4:$A127,"&lt;="&amp;$A128,$B$4:$B127,$B128)&gt;0,MIN(BB$1,IF($A128=$A127,BB127,1))-AG128&lt;0),-1,MIN(1,IF($A128=$A127,BB127,1)-AG128+$D$3))</f>
        <v>#N/A</v>
      </c>
      <c r="BC128" t="e">
        <f>IF(OR($J128=0,COUNTIFS($A$4:$A127,"&gt;="&amp;$A128-1,$A$4:$A127,"&lt;="&amp;$A128,$B$4:$B127,$B128)&gt;0,MIN(BC$1,IF($A128=$A127,BC127,1))-AH128&lt;0),-1,MIN(1,IF($A128=$A127,BC127,1)-AH128+$D$3))</f>
        <v>#N/A</v>
      </c>
      <c r="BD128" t="e">
        <f>IF(OR($J128=0,COUNTIFS($A$4:$A127,"&gt;="&amp;$A128-1,$A$4:$A127,"&lt;="&amp;$A128,$B$4:$B127,$B128)&gt;0,MIN(BD$1,IF($A128=$A127,BD127,1))-AI128&lt;0),-1,MIN(1,IF($A128=$A127,BD127,1)-AI128+$D$3))</f>
        <v>#N/A</v>
      </c>
      <c r="BF128" s="44">
        <f t="shared" si="223"/>
        <v>3.6646537702923359E-3</v>
      </c>
      <c r="BG128" s="44">
        <f t="shared" si="224"/>
        <v>9.0124177177723277E-3</v>
      </c>
      <c r="BH128" s="44">
        <f t="shared" si="225"/>
        <v>9.2367801472171239E-3</v>
      </c>
      <c r="BI128" s="44">
        <f t="shared" si="226"/>
        <v>8.5322203722757745E-3</v>
      </c>
      <c r="BJ128" s="44">
        <f t="shared" si="227"/>
        <v>8.8188597692772531E-3</v>
      </c>
      <c r="BK128" s="44">
        <f t="shared" si="228"/>
        <v>3.7871471955813955E-3</v>
      </c>
      <c r="BL128" s="44">
        <f t="shared" si="229"/>
        <v>2.0458764959459942E-3</v>
      </c>
      <c r="BM128" s="44">
        <f t="shared" si="230"/>
        <v>5.2044708983856455E-3</v>
      </c>
      <c r="BN128" s="44">
        <f t="shared" si="231"/>
        <v>5.41305534674409E-3</v>
      </c>
      <c r="BO128" s="44">
        <f t="shared" si="232"/>
        <v>2.5367631373593774E-3</v>
      </c>
      <c r="BP128" s="44">
        <f t="shared" si="233"/>
        <v>8.5298095297848611E-3</v>
      </c>
      <c r="BQ128" s="44">
        <f t="shared" si="234"/>
        <v>2.3018424979847278E-3</v>
      </c>
      <c r="BR128" s="44">
        <f t="shared" si="235"/>
        <v>6.8002189504835645E-3</v>
      </c>
      <c r="BS128" s="44">
        <f t="shared" si="236"/>
        <v>3.6674483196754001E-3</v>
      </c>
      <c r="BT128" s="44">
        <f t="shared" si="237"/>
        <v>1.4513217354233731E-2</v>
      </c>
      <c r="BU128" s="44">
        <f t="shared" si="238"/>
        <v>1.3864489767309028E-2</v>
      </c>
      <c r="BV128" s="44">
        <f t="shared" si="239"/>
        <v>1.3314997275945184E-2</v>
      </c>
      <c r="BW128" s="44">
        <f t="shared" si="240"/>
        <v>8.7087409483235425E-3</v>
      </c>
      <c r="BX128" s="44">
        <f t="shared" si="241"/>
        <v>6.4338596683973003E-3</v>
      </c>
      <c r="BY128" s="44">
        <f t="shared" si="242"/>
        <v>5.5242080135209856E-3</v>
      </c>
      <c r="CA128" s="44" t="str">
        <f t="shared" si="243"/>
        <v/>
      </c>
      <c r="CB128" s="44" t="str">
        <f t="shared" si="244"/>
        <v/>
      </c>
      <c r="CC128" s="44" t="str">
        <f t="shared" si="245"/>
        <v/>
      </c>
      <c r="CD128" s="44" t="str">
        <f t="shared" si="246"/>
        <v/>
      </c>
      <c r="CE128" s="44" t="str">
        <f t="shared" si="247"/>
        <v/>
      </c>
      <c r="CF128" s="44" t="str">
        <f t="shared" si="248"/>
        <v/>
      </c>
      <c r="CG128" s="44" t="str">
        <f t="shared" si="249"/>
        <v/>
      </c>
      <c r="CH128" s="44" t="str">
        <f t="shared" si="250"/>
        <v/>
      </c>
      <c r="CI128" s="44" t="str">
        <f t="shared" si="251"/>
        <v/>
      </c>
      <c r="CJ128" s="44" t="str">
        <f t="shared" si="252"/>
        <v/>
      </c>
      <c r="CK128" s="44" t="str">
        <f t="shared" si="253"/>
        <v/>
      </c>
      <c r="CL128" s="44" t="str">
        <f t="shared" si="254"/>
        <v/>
      </c>
      <c r="CM128" s="44" t="str">
        <f t="shared" si="255"/>
        <v/>
      </c>
      <c r="CN128" s="44" t="str">
        <f t="shared" si="256"/>
        <v/>
      </c>
      <c r="CO128" s="44" t="str">
        <f t="shared" si="257"/>
        <v/>
      </c>
      <c r="CP128" s="44" t="str">
        <f t="shared" si="258"/>
        <v/>
      </c>
      <c r="CQ128" s="44" t="str">
        <f t="shared" si="259"/>
        <v/>
      </c>
      <c r="CR128" s="44" t="str">
        <f t="shared" si="260"/>
        <v/>
      </c>
      <c r="CS128" s="44" t="str">
        <f t="shared" si="261"/>
        <v/>
      </c>
      <c r="CT128" s="44" t="str">
        <f t="shared" si="262"/>
        <v/>
      </c>
      <c r="CV128" s="44">
        <f t="shared" si="263"/>
        <v>0</v>
      </c>
    </row>
    <row r="129" spans="1:100" x14ac:dyDescent="0.25">
      <c r="A129" s="41"/>
      <c r="B129" s="42"/>
      <c r="C129" s="43" t="str" cm="1">
        <f t="array" ref="C129">IF(B129="","",INDEX(UWS!$B$10:$B$41,B129))</f>
        <v/>
      </c>
      <c r="D129" s="40" t="str">
        <f t="shared" si="220"/>
        <v/>
      </c>
      <c r="E129" s="69" t="str">
        <f t="shared" si="221"/>
        <v/>
      </c>
      <c r="F129" s="48" cm="1">
        <f t="array" ref="F129">0.1+IFERROR(INDEX($F$5:$F128,SUMPRODUCT(MAX(ROW($C$5:$C128)*($C129=$C$5:$C128))-ROW($A$4)))*0.9^($A129-INDEX($A$5:A128,SUMPRODUCT(MAX(ROW($C$5:$C128)*($C129=$C$5:$C128))-ROW($A$4)))),0)</f>
        <v>6.3999999999999932</v>
      </c>
      <c r="G129" s="55" t="e">
        <f>INDEX(UWS!$AB$10:$AB$41,MATCH(C129,UWS!$B$10:$B$41,0))</f>
        <v>#N/A</v>
      </c>
      <c r="H129" s="48" t="e">
        <f>INDEX(UWS!$C$10:$C$41,MATCH(C129,UWS!$B$10:$B$41,0))</f>
        <v>#N/A</v>
      </c>
      <c r="I129" s="27">
        <f t="shared" si="222"/>
        <v>5</v>
      </c>
      <c r="J129" s="27" t="e">
        <f>INDEX(UWS!$E$10:$E$41,MATCH(C129,UWS!$B$10:$B$41,0))</f>
        <v>#N/A</v>
      </c>
      <c r="L129" s="108" t="str" cm="1">
        <f t="array" ref="L129">IF(K129="","",INDEX(UWS!$B$10:$B$41,K129))</f>
        <v/>
      </c>
      <c r="N129" s="108" t="str" cm="1">
        <f t="array" ref="N129">IF(M129="","",INDEX(UWS!$B$10:$B$41,M129))</f>
        <v/>
      </c>
      <c r="P129">
        <f>IFERROR(INDEX(UWS!$G$10:$Z$41,MATCH($C129,UWS!$B$10:$B$41,0),MATCH(P$4,UWS!$G$3:$Z$3,0)),0)</f>
        <v>0</v>
      </c>
      <c r="Q129">
        <f>IFERROR(INDEX(UWS!$G$10:$Z$41,MATCH($C129,UWS!$B$10:$B$41,0),MATCH(Q$4,UWS!$G$3:$Z$3,0)),0)</f>
        <v>0</v>
      </c>
      <c r="R129">
        <f>IFERROR(INDEX(UWS!$G$10:$Z$41,MATCH($C129,UWS!$B$10:$B$41,0),MATCH(R$4,UWS!$G$3:$Z$3,0)),0)</f>
        <v>0</v>
      </c>
      <c r="S129">
        <f>IFERROR(INDEX(UWS!$G$10:$Z$41,MATCH($C129,UWS!$B$10:$B$41,0),MATCH(S$4,UWS!$G$3:$Z$3,0)),0)</f>
        <v>0</v>
      </c>
      <c r="T129">
        <f>IFERROR(INDEX(UWS!$G$10:$Z$41,MATCH($C129,UWS!$B$10:$B$41,0),MATCH(T$4,UWS!$G$3:$Z$3,0)),0)</f>
        <v>0</v>
      </c>
      <c r="U129">
        <f>IFERROR(INDEX(UWS!$G$10:$Z$41,MATCH($C129,UWS!$B$10:$B$41,0),MATCH(U$4,UWS!$G$3:$Z$3,0)),0)</f>
        <v>0</v>
      </c>
      <c r="V129">
        <f>IFERROR(INDEX(UWS!$G$10:$Z$41,MATCH($C129,UWS!$B$10:$B$41,0),MATCH(V$4,UWS!$G$3:$Z$3,0)),0)</f>
        <v>0</v>
      </c>
      <c r="W129">
        <f>IFERROR(INDEX(UWS!$G$10:$Z$41,MATCH($C129,UWS!$B$10:$B$41,0),MATCH(W$4,UWS!$G$3:$Z$3,0)),0)</f>
        <v>0</v>
      </c>
      <c r="X129">
        <f>IFERROR(INDEX(UWS!$G$10:$Z$41,MATCH($C129,UWS!$B$10:$B$41,0),MATCH(X$4,UWS!$G$3:$Z$3,0)),0)</f>
        <v>0</v>
      </c>
      <c r="Y129">
        <f>IFERROR(INDEX(UWS!$G$10:$Z$41,MATCH($C129,UWS!$B$10:$B$41,0),MATCH(Y$4,UWS!$G$3:$Z$3,0)),0)</f>
        <v>0</v>
      </c>
      <c r="Z129">
        <f>IFERROR(INDEX(UWS!$G$10:$Z$41,MATCH($C129,UWS!$B$10:$B$41,0),MATCH(Z$4,UWS!$G$3:$Z$3,0)),0)</f>
        <v>0</v>
      </c>
      <c r="AA129">
        <f>IFERROR(INDEX(UWS!$G$10:$Z$41,MATCH($C129,UWS!$B$10:$B$41,0),MATCH(AA$4,UWS!$G$3:$Z$3,0)),0)</f>
        <v>0</v>
      </c>
      <c r="AB129">
        <f>IFERROR(INDEX(UWS!$G$10:$Z$41,MATCH($C129,UWS!$B$10:$B$41,0),MATCH(AB$4,UWS!$G$3:$Z$3,0)),0)</f>
        <v>0</v>
      </c>
      <c r="AC129">
        <f>IFERROR(INDEX(UWS!$G$10:$Z$41,MATCH($C129,UWS!$B$10:$B$41,0),MATCH(AC$4,UWS!$G$3:$Z$3,0)),0)</f>
        <v>0</v>
      </c>
      <c r="AD129">
        <f>IFERROR(INDEX(UWS!$G$10:$Z$41,MATCH($C129,UWS!$B$10:$B$41,0),MATCH(AD$4,UWS!$G$3:$Z$3,0)),0)</f>
        <v>0</v>
      </c>
      <c r="AE129">
        <f>IFERROR(INDEX(UWS!$G$10:$Z$41,MATCH($C129,UWS!$B$10:$B$41,0),MATCH(AE$4,UWS!$G$3:$Z$3,0)),0)</f>
        <v>0</v>
      </c>
      <c r="AF129">
        <f>IFERROR(INDEX(UWS!$G$10:$Z$41,MATCH($C129,UWS!$B$10:$B$41,0),MATCH(AF$4,UWS!$G$3:$Z$3,0)),0)</f>
        <v>0</v>
      </c>
      <c r="AG129">
        <f>IFERROR(INDEX(UWS!$G$10:$Z$41,MATCH($C129,UWS!$B$10:$B$41,0),MATCH(AG$4,UWS!$G$3:$Z$3,0)),0)</f>
        <v>0</v>
      </c>
      <c r="AH129">
        <f>IFERROR(INDEX(UWS!$G$10:$Z$41,MATCH($C129,UWS!$B$10:$B$41,0),MATCH(AH$4,UWS!$G$3:$Z$3,0)),0)</f>
        <v>0</v>
      </c>
      <c r="AI129">
        <f>IFERROR(INDEX(UWS!$G$10:$Z$41,MATCH($C129,UWS!$B$10:$B$41,0),MATCH(AI$4,UWS!$G$3:$Z$3,0)),0)</f>
        <v>0</v>
      </c>
      <c r="AK129" t="e">
        <f>IF(OR($J129=0,COUNTIFS($A$4:$A128,"&gt;="&amp;$A129-1,$A$4:$A128,"&lt;="&amp;$A129,$B$4:$B128,$B129)&gt;0,MIN(AK$1,IF($A129=$A128,AK128,1))-P129&lt;0),-1,MIN(1,IF($A129=$A128,AK128,1)-P129+$D$3))</f>
        <v>#N/A</v>
      </c>
      <c r="AL129" t="e">
        <f>IF(OR($J129=0,COUNTIFS($A$4:$A128,"&gt;="&amp;$A129-1,$A$4:$A128,"&lt;="&amp;$A129,$B$4:$B128,$B129)&gt;0,MIN(AL$1,IF($A129=$A128,AL128,1))-Q129&lt;0),-1,MIN(1,IF($A129=$A128,AL128,1)-Q129+$D$3))</f>
        <v>#N/A</v>
      </c>
      <c r="AM129" t="e">
        <f>IF(OR($J129=0,COUNTIFS($A$4:$A128,"&gt;="&amp;$A129-1,$A$4:$A128,"&lt;="&amp;$A129,$B$4:$B128,$B129)&gt;0,MIN(AM$1,IF($A129=$A128,AM128,1))-R129&lt;0),-1,MIN(1,IF($A129=$A128,AM128,1)-R129+$D$3))</f>
        <v>#N/A</v>
      </c>
      <c r="AN129" t="e">
        <f>IF(OR($J129=0,COUNTIFS($A$4:$A128,"&gt;="&amp;$A129-1,$A$4:$A128,"&lt;="&amp;$A129,$B$4:$B128,$B129)&gt;0,MIN(AN$1,IF($A129=$A128,AN128,1))-S129&lt;0),-1,MIN(1,IF($A129=$A128,AN128,1)-S129+$D$3))</f>
        <v>#N/A</v>
      </c>
      <c r="AO129" t="e">
        <f>IF(OR($J129=0,COUNTIFS($A$4:$A128,"&gt;="&amp;$A129-1,$A$4:$A128,"&lt;="&amp;$A129,$B$4:$B128,$B129)&gt;0,MIN(AO$1,IF($A129=$A128,AO128,1))-T129&lt;0),-1,MIN(1,IF($A129=$A128,AO128,1)-T129+$D$3))</f>
        <v>#N/A</v>
      </c>
      <c r="AP129" t="e">
        <f>IF(OR($J129=0,COUNTIFS($A$4:$A128,"&gt;="&amp;$A129-1,$A$4:$A128,"&lt;="&amp;$A129,$B$4:$B128,$B129)&gt;0,MIN(AP$1,IF($A129=$A128,AP128,1))-U129&lt;0),-1,MIN(1,IF($A129=$A128,AP128,1)-U129+$D$3))</f>
        <v>#N/A</v>
      </c>
      <c r="AQ129" t="e">
        <f>IF(OR($J129=0,COUNTIFS($A$4:$A128,"&gt;="&amp;$A129-1,$A$4:$A128,"&lt;="&amp;$A129,$B$4:$B128,$B129)&gt;0,MIN(AQ$1,IF($A129=$A128,AQ128,1))-V129&lt;0),-1,MIN(1,IF($A129=$A128,AQ128,1)-V129+$D$3))</f>
        <v>#N/A</v>
      </c>
      <c r="AR129" t="e">
        <f>IF(OR($J129=0,COUNTIFS($A$4:$A128,"&gt;="&amp;$A129-1,$A$4:$A128,"&lt;="&amp;$A129,$B$4:$B128,$B129)&gt;0,MIN(AR$1,IF($A129=$A128,AR128,1))-W129&lt;0),-1,MIN(1,IF($A129=$A128,AR128,1)-W129+$D$3))</f>
        <v>#N/A</v>
      </c>
      <c r="AS129" t="e">
        <f>IF(OR($J129=0,COUNTIFS($A$4:$A128,"&gt;="&amp;$A129-1,$A$4:$A128,"&lt;="&amp;$A129,$B$4:$B128,$B129)&gt;0,MIN(AS$1,IF($A129=$A128,AS128,1))-X129&lt;0),-1,MIN(1,IF($A129=$A128,AS128,1)-X129+$D$3))</f>
        <v>#N/A</v>
      </c>
      <c r="AT129" t="e">
        <f>IF(OR($J129=0,COUNTIFS($A$4:$A128,"&gt;="&amp;$A129-1,$A$4:$A128,"&lt;="&amp;$A129,$B$4:$B128,$B129)&gt;0,MIN(AT$1,IF($A129=$A128,AT128,1))-Y129&lt;0),-1,MIN(1,IF($A129=$A128,AT128,1)-Y129+$D$3))</f>
        <v>#N/A</v>
      </c>
      <c r="AU129" t="e">
        <f>IF(OR($J129=0,COUNTIFS($A$4:$A128,"&gt;="&amp;$A129-1,$A$4:$A128,"&lt;="&amp;$A129,$B$4:$B128,$B129)&gt;0,MIN(AU$1,IF($A129=$A128,AU128,1))-Z129&lt;0),-1,MIN(1,IF($A129=$A128,AU128,1)-Z129+$D$3))</f>
        <v>#N/A</v>
      </c>
      <c r="AV129" t="e">
        <f>IF(OR($J129=0,COUNTIFS($A$4:$A128,"&gt;="&amp;$A129-1,$A$4:$A128,"&lt;="&amp;$A129,$B$4:$B128,$B129)&gt;0,MIN(AV$1,IF($A129=$A128,AV128,1))-AA129&lt;0),-1,MIN(1,IF($A129=$A128,AV128,1)-AA129+$D$3))</f>
        <v>#N/A</v>
      </c>
      <c r="AW129" t="e">
        <f>IF(OR($J129=0,COUNTIFS($A$4:$A128,"&gt;="&amp;$A129-1,$A$4:$A128,"&lt;="&amp;$A129,$B$4:$B128,$B129)&gt;0,MIN(AW$1,IF($A129=$A128,AW128,1))-AB129&lt;0),-1,MIN(1,IF($A129=$A128,AW128,1)-AB129+$D$3))</f>
        <v>#N/A</v>
      </c>
      <c r="AX129" t="e">
        <f>IF(OR($J129=0,COUNTIFS($A$4:$A128,"&gt;="&amp;$A129-1,$A$4:$A128,"&lt;="&amp;$A129,$B$4:$B128,$B129)&gt;0,MIN(AX$1,IF($A129=$A128,AX128,1))-AC129&lt;0),-1,MIN(1,IF($A129=$A128,AX128,1)-AC129+$D$3))</f>
        <v>#N/A</v>
      </c>
      <c r="AY129" t="e">
        <f>IF(OR($J129=0,COUNTIFS($A$4:$A128,"&gt;="&amp;$A129-1,$A$4:$A128,"&lt;="&amp;$A129,$B$4:$B128,$B129)&gt;0,MIN(AY$1,IF($A129=$A128,AY128,1))-AD129&lt;0),-1,MIN(1,IF($A129=$A128,AY128,1)-AD129+$D$3))</f>
        <v>#N/A</v>
      </c>
      <c r="AZ129" t="e">
        <f>IF(OR($J129=0,COUNTIFS($A$4:$A128,"&gt;="&amp;$A129-1,$A$4:$A128,"&lt;="&amp;$A129,$B$4:$B128,$B129)&gt;0,MIN(AZ$1,IF($A129=$A128,AZ128,1))-AE129&lt;0),-1,MIN(1,IF($A129=$A128,AZ128,1)-AE129+$D$3))</f>
        <v>#N/A</v>
      </c>
      <c r="BA129" t="e">
        <f>IF(OR($J129=0,COUNTIFS($A$4:$A128,"&gt;="&amp;$A129-1,$A$4:$A128,"&lt;="&amp;$A129,$B$4:$B128,$B129)&gt;0,MIN(BA$1,IF($A129=$A128,BA128,1))-AF129&lt;0),-1,MIN(1,IF($A129=$A128,BA128,1)-AF129+$D$3))</f>
        <v>#N/A</v>
      </c>
      <c r="BB129" t="e">
        <f>IF(OR($J129=0,COUNTIFS($A$4:$A128,"&gt;="&amp;$A129-1,$A$4:$A128,"&lt;="&amp;$A129,$B$4:$B128,$B129)&gt;0,MIN(BB$1,IF($A129=$A128,BB128,1))-AG129&lt;0),-1,MIN(1,IF($A129=$A128,BB128,1)-AG129+$D$3))</f>
        <v>#N/A</v>
      </c>
      <c r="BC129" t="e">
        <f>IF(OR($J129=0,COUNTIFS($A$4:$A128,"&gt;="&amp;$A129-1,$A$4:$A128,"&lt;="&amp;$A129,$B$4:$B128,$B129)&gt;0,MIN(BC$1,IF($A129=$A128,BC128,1))-AH129&lt;0),-1,MIN(1,IF($A129=$A128,BC128,1)-AH129+$D$3))</f>
        <v>#N/A</v>
      </c>
      <c r="BD129" t="e">
        <f>IF(OR($J129=0,COUNTIFS($A$4:$A128,"&gt;="&amp;$A129-1,$A$4:$A128,"&lt;="&amp;$A129,$B$4:$B128,$B129)&gt;0,MIN(BD$1,IF($A129=$A128,BD128,1))-AI129&lt;0),-1,MIN(1,IF($A129=$A128,BD128,1)-AI129+$D$3))</f>
        <v>#N/A</v>
      </c>
      <c r="BF129" s="44">
        <f t="shared" si="223"/>
        <v>3.4814210817777189E-3</v>
      </c>
      <c r="BG129" s="44">
        <f t="shared" si="224"/>
        <v>8.5617968318837112E-3</v>
      </c>
      <c r="BH129" s="44">
        <f t="shared" si="225"/>
        <v>8.7749411398562668E-3</v>
      </c>
      <c r="BI129" s="44">
        <f t="shared" si="226"/>
        <v>8.1056093536619848E-3</v>
      </c>
      <c r="BJ129" s="44">
        <f t="shared" si="227"/>
        <v>8.3779167808133905E-3</v>
      </c>
      <c r="BK129" s="44">
        <f t="shared" si="228"/>
        <v>3.5977898358023255E-3</v>
      </c>
      <c r="BL129" s="44">
        <f t="shared" si="229"/>
        <v>1.9435826711486945E-3</v>
      </c>
      <c r="BM129" s="44">
        <f t="shared" si="230"/>
        <v>4.9442473534663627E-3</v>
      </c>
      <c r="BN129" s="44">
        <f t="shared" si="231"/>
        <v>5.1424025794068852E-3</v>
      </c>
      <c r="BO129" s="44">
        <f t="shared" si="232"/>
        <v>2.4099249804914085E-3</v>
      </c>
      <c r="BP129" s="44">
        <f t="shared" si="233"/>
        <v>8.1033190532956174E-3</v>
      </c>
      <c r="BQ129" s="44">
        <f t="shared" si="234"/>
        <v>2.1867503730854912E-3</v>
      </c>
      <c r="BR129" s="44">
        <f t="shared" si="235"/>
        <v>6.4602080029593856E-3</v>
      </c>
      <c r="BS129" s="44">
        <f t="shared" si="236"/>
        <v>3.4840759036916299E-3</v>
      </c>
      <c r="BT129" s="44">
        <f t="shared" si="237"/>
        <v>1.3787556486522044E-2</v>
      </c>
      <c r="BU129" s="44">
        <f t="shared" si="238"/>
        <v>1.3171265278943576E-2</v>
      </c>
      <c r="BV129" s="44">
        <f t="shared" si="239"/>
        <v>1.2649247412147924E-2</v>
      </c>
      <c r="BW129" s="44">
        <f t="shared" si="240"/>
        <v>8.2733039009073653E-3</v>
      </c>
      <c r="BX129" s="44">
        <f t="shared" si="241"/>
        <v>6.1121666849774346E-3</v>
      </c>
      <c r="BY129" s="44">
        <f t="shared" si="242"/>
        <v>5.2479976128449362E-3</v>
      </c>
      <c r="CA129" s="44" t="str">
        <f t="shared" si="243"/>
        <v/>
      </c>
      <c r="CB129" s="44" t="str">
        <f t="shared" si="244"/>
        <v/>
      </c>
      <c r="CC129" s="44" t="str">
        <f t="shared" si="245"/>
        <v/>
      </c>
      <c r="CD129" s="44" t="str">
        <f t="shared" si="246"/>
        <v/>
      </c>
      <c r="CE129" s="44" t="str">
        <f t="shared" si="247"/>
        <v/>
      </c>
      <c r="CF129" s="44" t="str">
        <f t="shared" si="248"/>
        <v/>
      </c>
      <c r="CG129" s="44" t="str">
        <f t="shared" si="249"/>
        <v/>
      </c>
      <c r="CH129" s="44" t="str">
        <f t="shared" si="250"/>
        <v/>
      </c>
      <c r="CI129" s="44" t="str">
        <f t="shared" si="251"/>
        <v/>
      </c>
      <c r="CJ129" s="44" t="str">
        <f t="shared" si="252"/>
        <v/>
      </c>
      <c r="CK129" s="44" t="str">
        <f t="shared" si="253"/>
        <v/>
      </c>
      <c r="CL129" s="44" t="str">
        <f t="shared" si="254"/>
        <v/>
      </c>
      <c r="CM129" s="44" t="str">
        <f t="shared" si="255"/>
        <v/>
      </c>
      <c r="CN129" s="44" t="str">
        <f t="shared" si="256"/>
        <v/>
      </c>
      <c r="CO129" s="44" t="str">
        <f t="shared" si="257"/>
        <v/>
      </c>
      <c r="CP129" s="44" t="str">
        <f t="shared" si="258"/>
        <v/>
      </c>
      <c r="CQ129" s="44" t="str">
        <f t="shared" si="259"/>
        <v/>
      </c>
      <c r="CR129" s="44" t="str">
        <f t="shared" si="260"/>
        <v/>
      </c>
      <c r="CS129" s="44" t="str">
        <f t="shared" si="261"/>
        <v/>
      </c>
      <c r="CT129" s="44" t="str">
        <f t="shared" si="262"/>
        <v/>
      </c>
      <c r="CV129" s="44">
        <f t="shared" si="263"/>
        <v>0</v>
      </c>
    </row>
    <row r="130" spans="1:100" x14ac:dyDescent="0.25">
      <c r="A130" s="49"/>
      <c r="B130" s="50"/>
      <c r="C130" s="51" t="str" cm="1">
        <f t="array" ref="C130">IF(B130="","",INDEX(UWS!$B$10:$B$41,B130))</f>
        <v/>
      </c>
      <c r="D130" s="45" t="str">
        <f t="shared" si="220"/>
        <v/>
      </c>
      <c r="E130" s="70" t="str">
        <f t="shared" si="221"/>
        <v/>
      </c>
      <c r="F130" s="52" cm="1">
        <f t="array" ref="F130">0.1+IFERROR(INDEX($F$5:$F129,SUMPRODUCT(MAX(ROW($C$5:$C129)*($C130=$C$5:$C129))-ROW($A$4)))*0.9^($A130-INDEX($A$5:A129,SUMPRODUCT(MAX(ROW($C$5:$C129)*($C130=$C$5:$C129))-ROW($A$4)))),0)</f>
        <v>6.4999999999999929</v>
      </c>
      <c r="G130" s="56" t="e">
        <f>INDEX(UWS!$AB$10:$AB$41,MATCH(C130,UWS!$B$10:$B$41,0))</f>
        <v>#N/A</v>
      </c>
      <c r="H130" s="52" t="e">
        <f>INDEX(UWS!$C$10:$C$41,MATCH(C130,UWS!$B$10:$B$41,0))</f>
        <v>#N/A</v>
      </c>
      <c r="I130" s="46">
        <f t="shared" si="222"/>
        <v>5</v>
      </c>
      <c r="J130" s="46" t="e">
        <f>INDEX(UWS!$E$10:$E$41,MATCH(C130,UWS!$B$10:$B$41,0))</f>
        <v>#N/A</v>
      </c>
      <c r="K130" s="46"/>
      <c r="L130" s="109" t="str" cm="1">
        <f t="array" ref="L130">IF(K130="","",INDEX(UWS!$B$10:$B$41,K130))</f>
        <v/>
      </c>
      <c r="M130" s="46"/>
      <c r="N130" s="109" t="str" cm="1">
        <f t="array" ref="N130">IF(M130="","",INDEX(UWS!$B$10:$B$41,M130))</f>
        <v/>
      </c>
      <c r="O130" s="47"/>
      <c r="P130" s="47">
        <f>IFERROR(INDEX(UWS!$G$10:$Z$41,MATCH($C130,UWS!$B$10:$B$41,0),MATCH(P$4,UWS!$G$3:$Z$3,0)),0)</f>
        <v>0</v>
      </c>
      <c r="Q130" s="47">
        <f>IFERROR(INDEX(UWS!$G$10:$Z$41,MATCH($C130,UWS!$B$10:$B$41,0),MATCH(Q$4,UWS!$G$3:$Z$3,0)),0)</f>
        <v>0</v>
      </c>
      <c r="R130" s="47">
        <f>IFERROR(INDEX(UWS!$G$10:$Z$41,MATCH($C130,UWS!$B$10:$B$41,0),MATCH(R$4,UWS!$G$3:$Z$3,0)),0)</f>
        <v>0</v>
      </c>
      <c r="S130" s="47">
        <f>IFERROR(INDEX(UWS!$G$10:$Z$41,MATCH($C130,UWS!$B$10:$B$41,0),MATCH(S$4,UWS!$G$3:$Z$3,0)),0)</f>
        <v>0</v>
      </c>
      <c r="T130" s="47">
        <f>IFERROR(INDEX(UWS!$G$10:$Z$41,MATCH($C130,UWS!$B$10:$B$41,0),MATCH(T$4,UWS!$G$3:$Z$3,0)),0)</f>
        <v>0</v>
      </c>
      <c r="U130" s="47">
        <f>IFERROR(INDEX(UWS!$G$10:$Z$41,MATCH($C130,UWS!$B$10:$B$41,0),MATCH(U$4,UWS!$G$3:$Z$3,0)),0)</f>
        <v>0</v>
      </c>
      <c r="V130" s="47">
        <f>IFERROR(INDEX(UWS!$G$10:$Z$41,MATCH($C130,UWS!$B$10:$B$41,0),MATCH(V$4,UWS!$G$3:$Z$3,0)),0)</f>
        <v>0</v>
      </c>
      <c r="W130" s="47">
        <f>IFERROR(INDEX(UWS!$G$10:$Z$41,MATCH($C130,UWS!$B$10:$B$41,0),MATCH(W$4,UWS!$G$3:$Z$3,0)),0)</f>
        <v>0</v>
      </c>
      <c r="X130" s="47">
        <f>IFERROR(INDEX(UWS!$G$10:$Z$41,MATCH($C130,UWS!$B$10:$B$41,0),MATCH(X$4,UWS!$G$3:$Z$3,0)),0)</f>
        <v>0</v>
      </c>
      <c r="Y130" s="47">
        <f>IFERROR(INDEX(UWS!$G$10:$Z$41,MATCH($C130,UWS!$B$10:$B$41,0),MATCH(Y$4,UWS!$G$3:$Z$3,0)),0)</f>
        <v>0</v>
      </c>
      <c r="Z130" s="47">
        <f>IFERROR(INDEX(UWS!$G$10:$Z$41,MATCH($C130,UWS!$B$10:$B$41,0),MATCH(Z$4,UWS!$G$3:$Z$3,0)),0)</f>
        <v>0</v>
      </c>
      <c r="AA130" s="47">
        <f>IFERROR(INDEX(UWS!$G$10:$Z$41,MATCH($C130,UWS!$B$10:$B$41,0),MATCH(AA$4,UWS!$G$3:$Z$3,0)),0)</f>
        <v>0</v>
      </c>
      <c r="AB130" s="47">
        <f>IFERROR(INDEX(UWS!$G$10:$Z$41,MATCH($C130,UWS!$B$10:$B$41,0),MATCH(AB$4,UWS!$G$3:$Z$3,0)),0)</f>
        <v>0</v>
      </c>
      <c r="AC130" s="47">
        <f>IFERROR(INDEX(UWS!$G$10:$Z$41,MATCH($C130,UWS!$B$10:$B$41,0),MATCH(AC$4,UWS!$G$3:$Z$3,0)),0)</f>
        <v>0</v>
      </c>
      <c r="AD130" s="47">
        <f>IFERROR(INDEX(UWS!$G$10:$Z$41,MATCH($C130,UWS!$B$10:$B$41,0),MATCH(AD$4,UWS!$G$3:$Z$3,0)),0)</f>
        <v>0</v>
      </c>
      <c r="AE130" s="47">
        <f>IFERROR(INDEX(UWS!$G$10:$Z$41,MATCH($C130,UWS!$B$10:$B$41,0),MATCH(AE$4,UWS!$G$3:$Z$3,0)),0)</f>
        <v>0</v>
      </c>
      <c r="AF130" s="47">
        <f>IFERROR(INDEX(UWS!$G$10:$Z$41,MATCH($C130,UWS!$B$10:$B$41,0),MATCH(AF$4,UWS!$G$3:$Z$3,0)),0)</f>
        <v>0</v>
      </c>
      <c r="AG130" s="47">
        <f>IFERROR(INDEX(UWS!$G$10:$Z$41,MATCH($C130,UWS!$B$10:$B$41,0),MATCH(AG$4,UWS!$G$3:$Z$3,0)),0)</f>
        <v>0</v>
      </c>
      <c r="AH130" s="47">
        <f>IFERROR(INDEX(UWS!$G$10:$Z$41,MATCH($C130,UWS!$B$10:$B$41,0),MATCH(AH$4,UWS!$G$3:$Z$3,0)),0)</f>
        <v>0</v>
      </c>
      <c r="AI130" s="47">
        <f>IFERROR(INDEX(UWS!$G$10:$Z$41,MATCH($C130,UWS!$B$10:$B$41,0),MATCH(AI$4,UWS!$G$3:$Z$3,0)),0)</f>
        <v>0</v>
      </c>
      <c r="AJ130" s="47"/>
      <c r="AK130" s="47" t="e">
        <f>IF(OR($J130=0,COUNTIFS($A$4:$A129,"&gt;="&amp;$A130-1,$A$4:$A129,"&lt;="&amp;$A130,$B$4:$B129,$B130)&gt;0,MIN(AK$1,IF($A130=$A129,AK129,1))-P130&lt;0),-1,MIN(1,IF($A130=$A129,AK129,1)-P130+$D$3))</f>
        <v>#N/A</v>
      </c>
      <c r="AL130" s="47" t="e">
        <f>IF(OR($J130=0,COUNTIFS($A$4:$A129,"&gt;="&amp;$A130-1,$A$4:$A129,"&lt;="&amp;$A130,$B$4:$B129,$B130)&gt;0,MIN(AL$1,IF($A130=$A129,AL129,1))-Q130&lt;0),-1,MIN(1,IF($A130=$A129,AL129,1)-Q130+$D$3))</f>
        <v>#N/A</v>
      </c>
      <c r="AM130" s="47" t="e">
        <f>IF(OR($J130=0,COUNTIFS($A$4:$A129,"&gt;="&amp;$A130-1,$A$4:$A129,"&lt;="&amp;$A130,$B$4:$B129,$B130)&gt;0,MIN(AM$1,IF($A130=$A129,AM129,1))-R130&lt;0),-1,MIN(1,IF($A130=$A129,AM129,1)-R130+$D$3))</f>
        <v>#N/A</v>
      </c>
      <c r="AN130" s="47" t="e">
        <f>IF(OR($J130=0,COUNTIFS($A$4:$A129,"&gt;="&amp;$A130-1,$A$4:$A129,"&lt;="&amp;$A130,$B$4:$B129,$B130)&gt;0,MIN(AN$1,IF($A130=$A129,AN129,1))-S130&lt;0),-1,MIN(1,IF($A130=$A129,AN129,1)-S130+$D$3))</f>
        <v>#N/A</v>
      </c>
      <c r="AO130" s="47" t="e">
        <f>IF(OR($J130=0,COUNTIFS($A$4:$A129,"&gt;="&amp;$A130-1,$A$4:$A129,"&lt;="&amp;$A130,$B$4:$B129,$B130)&gt;0,MIN(AO$1,IF($A130=$A129,AO129,1))-T130&lt;0),-1,MIN(1,IF($A130=$A129,AO129,1)-T130+$D$3))</f>
        <v>#N/A</v>
      </c>
      <c r="AP130" s="47" t="e">
        <f>IF(OR($J130=0,COUNTIFS($A$4:$A129,"&gt;="&amp;$A130-1,$A$4:$A129,"&lt;="&amp;$A130,$B$4:$B129,$B130)&gt;0,MIN(AP$1,IF($A130=$A129,AP129,1))-U130&lt;0),-1,MIN(1,IF($A130=$A129,AP129,1)-U130+$D$3))</f>
        <v>#N/A</v>
      </c>
      <c r="AQ130" s="47" t="e">
        <f>IF(OR($J130=0,COUNTIFS($A$4:$A129,"&gt;="&amp;$A130-1,$A$4:$A129,"&lt;="&amp;$A130,$B$4:$B129,$B130)&gt;0,MIN(AQ$1,IF($A130=$A129,AQ129,1))-V130&lt;0),-1,MIN(1,IF($A130=$A129,AQ129,1)-V130+$D$3))</f>
        <v>#N/A</v>
      </c>
      <c r="AR130" s="47" t="e">
        <f>IF(OR($J130=0,COUNTIFS($A$4:$A129,"&gt;="&amp;$A130-1,$A$4:$A129,"&lt;="&amp;$A130,$B$4:$B129,$B130)&gt;0,MIN(AR$1,IF($A130=$A129,AR129,1))-W130&lt;0),-1,MIN(1,IF($A130=$A129,AR129,1)-W130+$D$3))</f>
        <v>#N/A</v>
      </c>
      <c r="AS130" s="47" t="e">
        <f>IF(OR($J130=0,COUNTIFS($A$4:$A129,"&gt;="&amp;$A130-1,$A$4:$A129,"&lt;="&amp;$A130,$B$4:$B129,$B130)&gt;0,MIN(AS$1,IF($A130=$A129,AS129,1))-X130&lt;0),-1,MIN(1,IF($A130=$A129,AS129,1)-X130+$D$3))</f>
        <v>#N/A</v>
      </c>
      <c r="AT130" s="47" t="e">
        <f>IF(OR($J130=0,COUNTIFS($A$4:$A129,"&gt;="&amp;$A130-1,$A$4:$A129,"&lt;="&amp;$A130,$B$4:$B129,$B130)&gt;0,MIN(AT$1,IF($A130=$A129,AT129,1))-Y130&lt;0),-1,MIN(1,IF($A130=$A129,AT129,1)-Y130+$D$3))</f>
        <v>#N/A</v>
      </c>
      <c r="AU130" s="47" t="e">
        <f>IF(OR($J130=0,COUNTIFS($A$4:$A129,"&gt;="&amp;$A130-1,$A$4:$A129,"&lt;="&amp;$A130,$B$4:$B129,$B130)&gt;0,MIN(AU$1,IF($A130=$A129,AU129,1))-Z130&lt;0),-1,MIN(1,IF($A130=$A129,AU129,1)-Z130+$D$3))</f>
        <v>#N/A</v>
      </c>
      <c r="AV130" s="47" t="e">
        <f>IF(OR($J130=0,COUNTIFS($A$4:$A129,"&gt;="&amp;$A130-1,$A$4:$A129,"&lt;="&amp;$A130,$B$4:$B129,$B130)&gt;0,MIN(AV$1,IF($A130=$A129,AV129,1))-AA130&lt;0),-1,MIN(1,IF($A130=$A129,AV129,1)-AA130+$D$3))</f>
        <v>#N/A</v>
      </c>
      <c r="AW130" s="47" t="e">
        <f>IF(OR($J130=0,COUNTIFS($A$4:$A129,"&gt;="&amp;$A130-1,$A$4:$A129,"&lt;="&amp;$A130,$B$4:$B129,$B130)&gt;0,MIN(AW$1,IF($A130=$A129,AW129,1))-AB130&lt;0),-1,MIN(1,IF($A130=$A129,AW129,1)-AB130+$D$3))</f>
        <v>#N/A</v>
      </c>
      <c r="AX130" s="47" t="e">
        <f>IF(OR($J130=0,COUNTIFS($A$4:$A129,"&gt;="&amp;$A130-1,$A$4:$A129,"&lt;="&amp;$A130,$B$4:$B129,$B130)&gt;0,MIN(AX$1,IF($A130=$A129,AX129,1))-AC130&lt;0),-1,MIN(1,IF($A130=$A129,AX129,1)-AC130+$D$3))</f>
        <v>#N/A</v>
      </c>
      <c r="AY130" s="47" t="e">
        <f>IF(OR($J130=0,COUNTIFS($A$4:$A129,"&gt;="&amp;$A130-1,$A$4:$A129,"&lt;="&amp;$A130,$B$4:$B129,$B130)&gt;0,MIN(AY$1,IF($A130=$A129,AY129,1))-AD130&lt;0),-1,MIN(1,IF($A130=$A129,AY129,1)-AD130+$D$3))</f>
        <v>#N/A</v>
      </c>
      <c r="AZ130" s="47" t="e">
        <f>IF(OR($J130=0,COUNTIFS($A$4:$A129,"&gt;="&amp;$A130-1,$A$4:$A129,"&lt;="&amp;$A130,$B$4:$B129,$B130)&gt;0,MIN(AZ$1,IF($A130=$A129,AZ129,1))-AE130&lt;0),-1,MIN(1,IF($A130=$A129,AZ129,1)-AE130+$D$3))</f>
        <v>#N/A</v>
      </c>
      <c r="BA130" s="47" t="e">
        <f>IF(OR($J130=0,COUNTIFS($A$4:$A129,"&gt;="&amp;$A130-1,$A$4:$A129,"&lt;="&amp;$A130,$B$4:$B129,$B130)&gt;0,MIN(BA$1,IF($A130=$A129,BA129,1))-AF130&lt;0),-1,MIN(1,IF($A130=$A129,BA129,1)-AF130+$D$3))</f>
        <v>#N/A</v>
      </c>
      <c r="BB130" s="47" t="e">
        <f>IF(OR($J130=0,COUNTIFS($A$4:$A129,"&gt;="&amp;$A130-1,$A$4:$A129,"&lt;="&amp;$A130,$B$4:$B129,$B130)&gt;0,MIN(BB$1,IF($A130=$A129,BB129,1))-AG130&lt;0),-1,MIN(1,IF($A130=$A129,BB129,1)-AG130+$D$3))</f>
        <v>#N/A</v>
      </c>
      <c r="BC130" s="47" t="e">
        <f>IF(OR($J130=0,COUNTIFS($A$4:$A129,"&gt;="&amp;$A130-1,$A$4:$A129,"&lt;="&amp;$A130,$B$4:$B129,$B130)&gt;0,MIN(BC$1,IF($A130=$A129,BC129,1))-AH130&lt;0),-1,MIN(1,IF($A130=$A129,BC129,1)-AH130+$D$3))</f>
        <v>#N/A</v>
      </c>
      <c r="BD130" s="47" t="e">
        <f>IF(OR($J130=0,COUNTIFS($A$4:$A129,"&gt;="&amp;$A130-1,$A$4:$A129,"&lt;="&amp;$A130,$B$4:$B129,$B130)&gt;0,MIN(BD$1,IF($A130=$A129,BD129,1))-AI130&lt;0),-1,MIN(1,IF($A130=$A129,BD129,1)-AI130+$D$3))</f>
        <v>#N/A</v>
      </c>
      <c r="BE130" s="47"/>
      <c r="BF130" s="53">
        <f t="shared" si="223"/>
        <v>3.3073500276888327E-3</v>
      </c>
      <c r="BG130" s="53">
        <f t="shared" si="224"/>
        <v>8.133706990289525E-3</v>
      </c>
      <c r="BH130" s="53">
        <f t="shared" si="225"/>
        <v>8.3361940828634538E-3</v>
      </c>
      <c r="BI130" s="53">
        <f t="shared" si="226"/>
        <v>7.7003288859788851E-3</v>
      </c>
      <c r="BJ130" s="53">
        <f t="shared" si="227"/>
        <v>7.9590209417727212E-3</v>
      </c>
      <c r="BK130" s="53">
        <f t="shared" si="228"/>
        <v>3.4179003440122091E-3</v>
      </c>
      <c r="BL130" s="53">
        <f t="shared" si="229"/>
        <v>1.8464035375912596E-3</v>
      </c>
      <c r="BM130" s="53">
        <f t="shared" si="230"/>
        <v>4.6970349857930445E-3</v>
      </c>
      <c r="BN130" s="53">
        <f t="shared" si="231"/>
        <v>4.8852824504365408E-3</v>
      </c>
      <c r="BO130" s="53">
        <f t="shared" si="232"/>
        <v>2.2894287314668381E-3</v>
      </c>
      <c r="BP130" s="53">
        <f t="shared" si="233"/>
        <v>7.6981531006308362E-3</v>
      </c>
      <c r="BQ130" s="53">
        <f t="shared" si="234"/>
        <v>2.0774128544312166E-3</v>
      </c>
      <c r="BR130" s="53">
        <f t="shared" si="235"/>
        <v>6.1371976028114159E-3</v>
      </c>
      <c r="BS130" s="53">
        <f t="shared" si="236"/>
        <v>3.3098721085070481E-3</v>
      </c>
      <c r="BT130" s="53">
        <f t="shared" si="237"/>
        <v>1.3098178662195941E-2</v>
      </c>
      <c r="BU130" s="53">
        <f t="shared" si="238"/>
        <v>1.2512702014996397E-2</v>
      </c>
      <c r="BV130" s="53">
        <f t="shared" si="239"/>
        <v>1.2016785041540527E-2</v>
      </c>
      <c r="BW130" s="53">
        <f t="shared" si="240"/>
        <v>7.859638705861996E-3</v>
      </c>
      <c r="BX130" s="53">
        <f t="shared" si="241"/>
        <v>5.8065583507285624E-3</v>
      </c>
      <c r="BY130" s="53">
        <f t="shared" si="242"/>
        <v>4.9855977322026887E-3</v>
      </c>
      <c r="BZ130" s="47"/>
      <c r="CA130" s="53" t="str">
        <f t="shared" si="243"/>
        <v/>
      </c>
      <c r="CB130" s="53" t="str">
        <f t="shared" si="244"/>
        <v/>
      </c>
      <c r="CC130" s="53" t="str">
        <f t="shared" si="245"/>
        <v/>
      </c>
      <c r="CD130" s="53" t="str">
        <f t="shared" si="246"/>
        <v/>
      </c>
      <c r="CE130" s="53" t="str">
        <f t="shared" si="247"/>
        <v/>
      </c>
      <c r="CF130" s="53" t="str">
        <f t="shared" si="248"/>
        <v/>
      </c>
      <c r="CG130" s="53" t="str">
        <f t="shared" si="249"/>
        <v/>
      </c>
      <c r="CH130" s="53" t="str">
        <f t="shared" si="250"/>
        <v/>
      </c>
      <c r="CI130" s="53" t="str">
        <f t="shared" si="251"/>
        <v/>
      </c>
      <c r="CJ130" s="53" t="str">
        <f t="shared" si="252"/>
        <v/>
      </c>
      <c r="CK130" s="53" t="str">
        <f t="shared" si="253"/>
        <v/>
      </c>
      <c r="CL130" s="53" t="str">
        <f t="shared" si="254"/>
        <v/>
      </c>
      <c r="CM130" s="53" t="str">
        <f t="shared" si="255"/>
        <v/>
      </c>
      <c r="CN130" s="53" t="str">
        <f t="shared" si="256"/>
        <v/>
      </c>
      <c r="CO130" s="53" t="str">
        <f t="shared" si="257"/>
        <v/>
      </c>
      <c r="CP130" s="53" t="str">
        <f t="shared" si="258"/>
        <v/>
      </c>
      <c r="CQ130" s="53" t="str">
        <f t="shared" si="259"/>
        <v/>
      </c>
      <c r="CR130" s="53" t="str">
        <f t="shared" si="260"/>
        <v/>
      </c>
      <c r="CS130" s="53" t="str">
        <f t="shared" si="261"/>
        <v/>
      </c>
      <c r="CT130" s="53" t="str">
        <f t="shared" si="262"/>
        <v/>
      </c>
      <c r="CU130" s="47"/>
      <c r="CV130" s="53">
        <f t="shared" si="263"/>
        <v>0</v>
      </c>
    </row>
    <row r="131" spans="1:100" x14ac:dyDescent="0.25">
      <c r="A131" s="41"/>
      <c r="B131" s="42"/>
      <c r="C131" s="43" t="str" cm="1">
        <f t="array" ref="C131">IF(B131="","",INDEX(UWS!$B$10:$B$41,B131))</f>
        <v/>
      </c>
      <c r="D131" s="40" t="str">
        <f t="shared" si="220"/>
        <v/>
      </c>
      <c r="E131" s="69" t="str">
        <f t="shared" si="221"/>
        <v/>
      </c>
      <c r="F131" s="48" cm="1">
        <f t="array" ref="F131">0.1+IFERROR(INDEX($F$5:$F130,SUMPRODUCT(MAX(ROW($C$5:$C130)*($C131=$C$5:$C130))-ROW($A$4)))*0.9^($A131-INDEX($A$5:A130,SUMPRODUCT(MAX(ROW($C$5:$C130)*($C131=$C$5:$C130))-ROW($A$4)))),0)</f>
        <v>6.5999999999999925</v>
      </c>
      <c r="G131" s="55" t="e">
        <f>INDEX(UWS!$AB$10:$AB$41,MATCH(C131,UWS!$B$10:$B$41,0))</f>
        <v>#N/A</v>
      </c>
      <c r="H131" s="48" t="e">
        <f>INDEX(UWS!$C$10:$C$41,MATCH(C131,UWS!$B$10:$B$41,0))</f>
        <v>#N/A</v>
      </c>
      <c r="I131" s="82">
        <f t="shared" si="222"/>
        <v>5</v>
      </c>
      <c r="J131" s="27" t="e">
        <f>INDEX(UWS!$E$10:$E$41,MATCH(C131,UWS!$B$10:$B$41,0))</f>
        <v>#N/A</v>
      </c>
      <c r="L131" s="108" t="str" cm="1">
        <f t="array" ref="L131">IF(K131="","",INDEX(UWS!$B$10:$B$41,K131))</f>
        <v/>
      </c>
      <c r="N131" s="108" t="str" cm="1">
        <f t="array" ref="N131">IF(M131="","",INDEX(UWS!$B$10:$B$41,M131))</f>
        <v/>
      </c>
      <c r="P131">
        <f>IFERROR(INDEX(UWS!$G$10:$Z$41,MATCH($C131,UWS!$B$10:$B$41,0),MATCH(P$4,UWS!$G$3:$Z$3,0)),0)</f>
        <v>0</v>
      </c>
      <c r="Q131">
        <f>IFERROR(INDEX(UWS!$G$10:$Z$41,MATCH($C131,UWS!$B$10:$B$41,0),MATCH(Q$4,UWS!$G$3:$Z$3,0)),0)</f>
        <v>0</v>
      </c>
      <c r="R131">
        <f>IFERROR(INDEX(UWS!$G$10:$Z$41,MATCH($C131,UWS!$B$10:$B$41,0),MATCH(R$4,UWS!$G$3:$Z$3,0)),0)</f>
        <v>0</v>
      </c>
      <c r="S131">
        <f>IFERROR(INDEX(UWS!$G$10:$Z$41,MATCH($C131,UWS!$B$10:$B$41,0),MATCH(S$4,UWS!$G$3:$Z$3,0)),0)</f>
        <v>0</v>
      </c>
      <c r="T131">
        <f>IFERROR(INDEX(UWS!$G$10:$Z$41,MATCH($C131,UWS!$B$10:$B$41,0),MATCH(T$4,UWS!$G$3:$Z$3,0)),0)</f>
        <v>0</v>
      </c>
      <c r="U131">
        <f>IFERROR(INDEX(UWS!$G$10:$Z$41,MATCH($C131,UWS!$B$10:$B$41,0),MATCH(U$4,UWS!$G$3:$Z$3,0)),0)</f>
        <v>0</v>
      </c>
      <c r="V131">
        <f>IFERROR(INDEX(UWS!$G$10:$Z$41,MATCH($C131,UWS!$B$10:$B$41,0),MATCH(V$4,UWS!$G$3:$Z$3,0)),0)</f>
        <v>0</v>
      </c>
      <c r="W131">
        <f>IFERROR(INDEX(UWS!$G$10:$Z$41,MATCH($C131,UWS!$B$10:$B$41,0),MATCH(W$4,UWS!$G$3:$Z$3,0)),0)</f>
        <v>0</v>
      </c>
      <c r="X131">
        <f>IFERROR(INDEX(UWS!$G$10:$Z$41,MATCH($C131,UWS!$B$10:$B$41,0),MATCH(X$4,UWS!$G$3:$Z$3,0)),0)</f>
        <v>0</v>
      </c>
      <c r="Y131">
        <f>IFERROR(INDEX(UWS!$G$10:$Z$41,MATCH($C131,UWS!$B$10:$B$41,0),MATCH(Y$4,UWS!$G$3:$Z$3,0)),0)</f>
        <v>0</v>
      </c>
      <c r="Z131">
        <f>IFERROR(INDEX(UWS!$G$10:$Z$41,MATCH($C131,UWS!$B$10:$B$41,0),MATCH(Z$4,UWS!$G$3:$Z$3,0)),0)</f>
        <v>0</v>
      </c>
      <c r="AA131">
        <f>IFERROR(INDEX(UWS!$G$10:$Z$41,MATCH($C131,UWS!$B$10:$B$41,0),MATCH(AA$4,UWS!$G$3:$Z$3,0)),0)</f>
        <v>0</v>
      </c>
      <c r="AB131">
        <f>IFERROR(INDEX(UWS!$G$10:$Z$41,MATCH($C131,UWS!$B$10:$B$41,0),MATCH(AB$4,UWS!$G$3:$Z$3,0)),0)</f>
        <v>0</v>
      </c>
      <c r="AC131">
        <f>IFERROR(INDEX(UWS!$G$10:$Z$41,MATCH($C131,UWS!$B$10:$B$41,0),MATCH(AC$4,UWS!$G$3:$Z$3,0)),0)</f>
        <v>0</v>
      </c>
      <c r="AD131">
        <f>IFERROR(INDEX(UWS!$G$10:$Z$41,MATCH($C131,UWS!$B$10:$B$41,0),MATCH(AD$4,UWS!$G$3:$Z$3,0)),0)</f>
        <v>0</v>
      </c>
      <c r="AE131">
        <f>IFERROR(INDEX(UWS!$G$10:$Z$41,MATCH($C131,UWS!$B$10:$B$41,0),MATCH(AE$4,UWS!$G$3:$Z$3,0)),0)</f>
        <v>0</v>
      </c>
      <c r="AF131">
        <f>IFERROR(INDEX(UWS!$G$10:$Z$41,MATCH($C131,UWS!$B$10:$B$41,0),MATCH(AF$4,UWS!$G$3:$Z$3,0)),0)</f>
        <v>0</v>
      </c>
      <c r="AG131">
        <f>IFERROR(INDEX(UWS!$G$10:$Z$41,MATCH($C131,UWS!$B$10:$B$41,0),MATCH(AG$4,UWS!$G$3:$Z$3,0)),0)</f>
        <v>0</v>
      </c>
      <c r="AH131">
        <f>IFERROR(INDEX(UWS!$G$10:$Z$41,MATCH($C131,UWS!$B$10:$B$41,0),MATCH(AH$4,UWS!$G$3:$Z$3,0)),0)</f>
        <v>0</v>
      </c>
      <c r="AI131">
        <f>IFERROR(INDEX(UWS!$G$10:$Z$41,MATCH($C131,UWS!$B$10:$B$41,0),MATCH(AI$4,UWS!$G$3:$Z$3,0)),0)</f>
        <v>0</v>
      </c>
      <c r="AK131" t="e">
        <f>IF(OR($J131=0,COUNTIFS($A$4:$A130,"&gt;="&amp;$A131-1,$A$4:$A130,"&lt;="&amp;$A131,$B$4:$B130,$B131)&gt;0,MIN(AK$1,IF($A131=$A130,AK130,1))-P131&lt;0),-1,MIN(1,IF($A131=$A130,AK130,1)-P131+$D$3))</f>
        <v>#N/A</v>
      </c>
      <c r="AL131" t="e">
        <f>IF(OR($J131=0,COUNTIFS($A$4:$A130,"&gt;="&amp;$A131-1,$A$4:$A130,"&lt;="&amp;$A131,$B$4:$B130,$B131)&gt;0,MIN(AL$1,IF($A131=$A130,AL130,1))-Q131&lt;0),-1,MIN(1,IF($A131=$A130,AL130,1)-Q131+$D$3))</f>
        <v>#N/A</v>
      </c>
      <c r="AM131" t="e">
        <f>IF(OR($J131=0,COUNTIFS($A$4:$A130,"&gt;="&amp;$A131-1,$A$4:$A130,"&lt;="&amp;$A131,$B$4:$B130,$B131)&gt;0,MIN(AM$1,IF($A131=$A130,AM130,1))-R131&lt;0),-1,MIN(1,IF($A131=$A130,AM130,1)-R131+$D$3))</f>
        <v>#N/A</v>
      </c>
      <c r="AN131" t="e">
        <f>IF(OR($J131=0,COUNTIFS($A$4:$A130,"&gt;="&amp;$A131-1,$A$4:$A130,"&lt;="&amp;$A131,$B$4:$B130,$B131)&gt;0,MIN(AN$1,IF($A131=$A130,AN130,1))-S131&lt;0),-1,MIN(1,IF($A131=$A130,AN130,1)-S131+$D$3))</f>
        <v>#N/A</v>
      </c>
      <c r="AO131" t="e">
        <f>IF(OR($J131=0,COUNTIFS($A$4:$A130,"&gt;="&amp;$A131-1,$A$4:$A130,"&lt;="&amp;$A131,$B$4:$B130,$B131)&gt;0,MIN(AO$1,IF($A131=$A130,AO130,1))-T131&lt;0),-1,MIN(1,IF($A131=$A130,AO130,1)-T131+$D$3))</f>
        <v>#N/A</v>
      </c>
      <c r="AP131" t="e">
        <f>IF(OR($J131=0,COUNTIFS($A$4:$A130,"&gt;="&amp;$A131-1,$A$4:$A130,"&lt;="&amp;$A131,$B$4:$B130,$B131)&gt;0,MIN(AP$1,IF($A131=$A130,AP130,1))-U131&lt;0),-1,MIN(1,IF($A131=$A130,AP130,1)-U131+$D$3))</f>
        <v>#N/A</v>
      </c>
      <c r="AQ131" t="e">
        <f>IF(OR($J131=0,COUNTIFS($A$4:$A130,"&gt;="&amp;$A131-1,$A$4:$A130,"&lt;="&amp;$A131,$B$4:$B130,$B131)&gt;0,MIN(AQ$1,IF($A131=$A130,AQ130,1))-V131&lt;0),-1,MIN(1,IF($A131=$A130,AQ130,1)-V131+$D$3))</f>
        <v>#N/A</v>
      </c>
      <c r="AR131" t="e">
        <f>IF(OR($J131=0,COUNTIFS($A$4:$A130,"&gt;="&amp;$A131-1,$A$4:$A130,"&lt;="&amp;$A131,$B$4:$B130,$B131)&gt;0,MIN(AR$1,IF($A131=$A130,AR130,1))-W131&lt;0),-1,MIN(1,IF($A131=$A130,AR130,1)-W131+$D$3))</f>
        <v>#N/A</v>
      </c>
      <c r="AS131" t="e">
        <f>IF(OR($J131=0,COUNTIFS($A$4:$A130,"&gt;="&amp;$A131-1,$A$4:$A130,"&lt;="&amp;$A131,$B$4:$B130,$B131)&gt;0,MIN(AS$1,IF($A131=$A130,AS130,1))-X131&lt;0),-1,MIN(1,IF($A131=$A130,AS130,1)-X131+$D$3))</f>
        <v>#N/A</v>
      </c>
      <c r="AT131" t="e">
        <f>IF(OR($J131=0,COUNTIFS($A$4:$A130,"&gt;="&amp;$A131-1,$A$4:$A130,"&lt;="&amp;$A131,$B$4:$B130,$B131)&gt;0,MIN(AT$1,IF($A131=$A130,AT130,1))-Y131&lt;0),-1,MIN(1,IF($A131=$A130,AT130,1)-Y131+$D$3))</f>
        <v>#N/A</v>
      </c>
      <c r="AU131" t="e">
        <f>IF(OR($J131=0,COUNTIFS($A$4:$A130,"&gt;="&amp;$A131-1,$A$4:$A130,"&lt;="&amp;$A131,$B$4:$B130,$B131)&gt;0,MIN(AU$1,IF($A131=$A130,AU130,1))-Z131&lt;0),-1,MIN(1,IF($A131=$A130,AU130,1)-Z131+$D$3))</f>
        <v>#N/A</v>
      </c>
      <c r="AV131" t="e">
        <f>IF(OR($J131=0,COUNTIFS($A$4:$A130,"&gt;="&amp;$A131-1,$A$4:$A130,"&lt;="&amp;$A131,$B$4:$B130,$B131)&gt;0,MIN(AV$1,IF($A131=$A130,AV130,1))-AA131&lt;0),-1,MIN(1,IF($A131=$A130,AV130,1)-AA131+$D$3))</f>
        <v>#N/A</v>
      </c>
      <c r="AW131" t="e">
        <f>IF(OR($J131=0,COUNTIFS($A$4:$A130,"&gt;="&amp;$A131-1,$A$4:$A130,"&lt;="&amp;$A131,$B$4:$B130,$B131)&gt;0,MIN(AW$1,IF($A131=$A130,AW130,1))-AB131&lt;0),-1,MIN(1,IF($A131=$A130,AW130,1)-AB131+$D$3))</f>
        <v>#N/A</v>
      </c>
      <c r="AX131" t="e">
        <f>IF(OR($J131=0,COUNTIFS($A$4:$A130,"&gt;="&amp;$A131-1,$A$4:$A130,"&lt;="&amp;$A131,$B$4:$B130,$B131)&gt;0,MIN(AX$1,IF($A131=$A130,AX130,1))-AC131&lt;0),-1,MIN(1,IF($A131=$A130,AX130,1)-AC131+$D$3))</f>
        <v>#N/A</v>
      </c>
      <c r="AY131" t="e">
        <f>IF(OR($J131=0,COUNTIFS($A$4:$A130,"&gt;="&amp;$A131-1,$A$4:$A130,"&lt;="&amp;$A131,$B$4:$B130,$B131)&gt;0,MIN(AY$1,IF($A131=$A130,AY130,1))-AD131&lt;0),-1,MIN(1,IF($A131=$A130,AY130,1)-AD131+$D$3))</f>
        <v>#N/A</v>
      </c>
      <c r="AZ131" t="e">
        <f>IF(OR($J131=0,COUNTIFS($A$4:$A130,"&gt;="&amp;$A131-1,$A$4:$A130,"&lt;="&amp;$A131,$B$4:$B130,$B131)&gt;0,MIN(AZ$1,IF($A131=$A130,AZ130,1))-AE131&lt;0),-1,MIN(1,IF($A131=$A130,AZ130,1)-AE131+$D$3))</f>
        <v>#N/A</v>
      </c>
      <c r="BA131" t="e">
        <f>IF(OR($J131=0,COUNTIFS($A$4:$A130,"&gt;="&amp;$A131-1,$A$4:$A130,"&lt;="&amp;$A131,$B$4:$B130,$B131)&gt;0,MIN(BA$1,IF($A131=$A130,BA130,1))-AF131&lt;0),-1,MIN(1,IF($A131=$A130,BA130,1)-AF131+$D$3))</f>
        <v>#N/A</v>
      </c>
      <c r="BB131" t="e">
        <f>IF(OR($J131=0,COUNTIFS($A$4:$A130,"&gt;="&amp;$A131-1,$A$4:$A130,"&lt;="&amp;$A131,$B$4:$B130,$B131)&gt;0,MIN(BB$1,IF($A131=$A130,BB130,1))-AG131&lt;0),-1,MIN(1,IF($A131=$A130,BB130,1)-AG131+$D$3))</f>
        <v>#N/A</v>
      </c>
      <c r="BC131" t="e">
        <f>IF(OR($J131=0,COUNTIFS($A$4:$A130,"&gt;="&amp;$A131-1,$A$4:$A130,"&lt;="&amp;$A131,$B$4:$B130,$B131)&gt;0,MIN(BC$1,IF($A131=$A130,BC130,1))-AH131&lt;0),-1,MIN(1,IF($A131=$A130,BC130,1)-AH131+$D$3))</f>
        <v>#N/A</v>
      </c>
      <c r="BD131" t="e">
        <f>IF(OR($J131=0,COUNTIFS($A$4:$A130,"&gt;="&amp;$A131-1,$A$4:$A130,"&lt;="&amp;$A131,$B$4:$B130,$B131)&gt;0,MIN(BD$1,IF($A131=$A130,BD130,1))-AI131&lt;0),-1,MIN(1,IF($A131=$A130,BD130,1)-AI131+$D$3))</f>
        <v>#N/A</v>
      </c>
      <c r="BF131" s="44">
        <f t="shared" si="223"/>
        <v>3.1419825263043909E-3</v>
      </c>
      <c r="BG131" s="44">
        <f t="shared" si="224"/>
        <v>7.7270216407750482E-3</v>
      </c>
      <c r="BH131" s="44">
        <f t="shared" si="225"/>
        <v>7.9193843787202806E-3</v>
      </c>
      <c r="BI131" s="44">
        <f t="shared" si="226"/>
        <v>7.3153124416799409E-3</v>
      </c>
      <c r="BJ131" s="44">
        <f t="shared" si="227"/>
        <v>7.5610698946840848E-3</v>
      </c>
      <c r="BK131" s="44">
        <f t="shared" si="228"/>
        <v>3.2470053268115985E-3</v>
      </c>
      <c r="BL131" s="44">
        <f t="shared" si="229"/>
        <v>1.7540833607116967E-3</v>
      </c>
      <c r="BM131" s="44">
        <f t="shared" si="230"/>
        <v>4.4621832365033922E-3</v>
      </c>
      <c r="BN131" s="44">
        <f t="shared" si="231"/>
        <v>4.6410183279147138E-3</v>
      </c>
      <c r="BO131" s="44">
        <f t="shared" si="232"/>
        <v>2.1749572948934963E-3</v>
      </c>
      <c r="BP131" s="44">
        <f t="shared" si="233"/>
        <v>7.3132454455992939E-3</v>
      </c>
      <c r="BQ131" s="44">
        <f t="shared" si="234"/>
        <v>1.9735422117096555E-3</v>
      </c>
      <c r="BR131" s="44">
        <f t="shared" si="235"/>
        <v>5.8303377226708447E-3</v>
      </c>
      <c r="BS131" s="44">
        <f t="shared" si="236"/>
        <v>3.1443785030816954E-3</v>
      </c>
      <c r="BT131" s="44">
        <f t="shared" si="237"/>
        <v>1.2443269729086144E-2</v>
      </c>
      <c r="BU131" s="44">
        <f t="shared" si="238"/>
        <v>1.1887066914246576E-2</v>
      </c>
      <c r="BV131" s="44">
        <f t="shared" si="239"/>
        <v>1.14159457894635E-2</v>
      </c>
      <c r="BW131" s="44">
        <f t="shared" si="240"/>
        <v>7.4666567705688955E-3</v>
      </c>
      <c r="BX131" s="44">
        <f t="shared" si="241"/>
        <v>5.5162304331921336E-3</v>
      </c>
      <c r="BY131" s="44">
        <f t="shared" si="242"/>
        <v>4.7363178455925537E-3</v>
      </c>
      <c r="CA131" s="44" t="str">
        <f t="shared" si="243"/>
        <v/>
      </c>
      <c r="CB131" s="44" t="str">
        <f t="shared" si="244"/>
        <v/>
      </c>
      <c r="CC131" s="44" t="str">
        <f t="shared" si="245"/>
        <v/>
      </c>
      <c r="CD131" s="44" t="str">
        <f t="shared" si="246"/>
        <v/>
      </c>
      <c r="CE131" s="44" t="str">
        <f t="shared" si="247"/>
        <v/>
      </c>
      <c r="CF131" s="44" t="str">
        <f t="shared" si="248"/>
        <v/>
      </c>
      <c r="CG131" s="44" t="str">
        <f t="shared" si="249"/>
        <v/>
      </c>
      <c r="CH131" s="44" t="str">
        <f t="shared" si="250"/>
        <v/>
      </c>
      <c r="CI131" s="44" t="str">
        <f t="shared" si="251"/>
        <v/>
      </c>
      <c r="CJ131" s="44" t="str">
        <f t="shared" si="252"/>
        <v/>
      </c>
      <c r="CK131" s="44" t="str">
        <f t="shared" si="253"/>
        <v/>
      </c>
      <c r="CL131" s="44" t="str">
        <f t="shared" si="254"/>
        <v/>
      </c>
      <c r="CM131" s="44" t="str">
        <f t="shared" si="255"/>
        <v/>
      </c>
      <c r="CN131" s="44" t="str">
        <f t="shared" si="256"/>
        <v/>
      </c>
      <c r="CO131" s="44" t="str">
        <f t="shared" si="257"/>
        <v/>
      </c>
      <c r="CP131" s="44" t="str">
        <f t="shared" si="258"/>
        <v/>
      </c>
      <c r="CQ131" s="44" t="str">
        <f t="shared" si="259"/>
        <v/>
      </c>
      <c r="CR131" s="44" t="str">
        <f t="shared" si="260"/>
        <v/>
      </c>
      <c r="CS131" s="44" t="str">
        <f t="shared" si="261"/>
        <v/>
      </c>
      <c r="CT131" s="44" t="str">
        <f t="shared" si="262"/>
        <v/>
      </c>
      <c r="CV131" s="44">
        <f t="shared" si="263"/>
        <v>0</v>
      </c>
    </row>
    <row r="132" spans="1:100" x14ac:dyDescent="0.25">
      <c r="A132" s="41"/>
      <c r="B132" s="42"/>
      <c r="C132" s="43" t="str" cm="1">
        <f t="array" ref="C132">IF(B132="","",INDEX(UWS!$B$10:$B$41,B132))</f>
        <v/>
      </c>
      <c r="D132" s="40" t="str">
        <f t="shared" si="220"/>
        <v/>
      </c>
      <c r="E132" s="69" t="str">
        <f t="shared" si="221"/>
        <v/>
      </c>
      <c r="F132" s="48" cm="1">
        <f t="array" ref="F132">0.1+IFERROR(INDEX($F$5:$F131,SUMPRODUCT(MAX(ROW($C$5:$C131)*($C132=$C$5:$C131))-ROW($A$4)))*0.9^($A132-INDEX($A$5:A131,SUMPRODUCT(MAX(ROW($C$5:$C131)*($C132=$C$5:$C131))-ROW($A$4)))),0)</f>
        <v>6.6999999999999922</v>
      </c>
      <c r="G132" s="55" t="e">
        <f>INDEX(UWS!$AB$10:$AB$41,MATCH(C132,UWS!$B$10:$B$41,0))</f>
        <v>#N/A</v>
      </c>
      <c r="H132" s="48" t="e">
        <f>INDEX(UWS!$C$10:$C$41,MATCH(C132,UWS!$B$10:$B$41,0))</f>
        <v>#N/A</v>
      </c>
      <c r="I132" s="27">
        <f t="shared" si="222"/>
        <v>5</v>
      </c>
      <c r="J132" s="27" t="e">
        <f>INDEX(UWS!$E$10:$E$41,MATCH(C132,UWS!$B$10:$B$41,0))</f>
        <v>#N/A</v>
      </c>
      <c r="L132" s="108" t="str" cm="1">
        <f t="array" ref="L132">IF(K132="","",INDEX(UWS!$B$10:$B$41,K132))</f>
        <v/>
      </c>
      <c r="N132" s="108" t="str" cm="1">
        <f t="array" ref="N132">IF(M132="","",INDEX(UWS!$B$10:$B$41,M132))</f>
        <v/>
      </c>
      <c r="P132">
        <f>IFERROR(INDEX(UWS!$G$10:$Z$41,MATCH($C132,UWS!$B$10:$B$41,0),MATCH(P$4,UWS!$G$3:$Z$3,0)),0)</f>
        <v>0</v>
      </c>
      <c r="Q132">
        <f>IFERROR(INDEX(UWS!$G$10:$Z$41,MATCH($C132,UWS!$B$10:$B$41,0),MATCH(Q$4,UWS!$G$3:$Z$3,0)),0)</f>
        <v>0</v>
      </c>
      <c r="R132">
        <f>IFERROR(INDEX(UWS!$G$10:$Z$41,MATCH($C132,UWS!$B$10:$B$41,0),MATCH(R$4,UWS!$G$3:$Z$3,0)),0)</f>
        <v>0</v>
      </c>
      <c r="S132">
        <f>IFERROR(INDEX(UWS!$G$10:$Z$41,MATCH($C132,UWS!$B$10:$B$41,0),MATCH(S$4,UWS!$G$3:$Z$3,0)),0)</f>
        <v>0</v>
      </c>
      <c r="T132">
        <f>IFERROR(INDEX(UWS!$G$10:$Z$41,MATCH($C132,UWS!$B$10:$B$41,0),MATCH(T$4,UWS!$G$3:$Z$3,0)),0)</f>
        <v>0</v>
      </c>
      <c r="U132">
        <f>IFERROR(INDEX(UWS!$G$10:$Z$41,MATCH($C132,UWS!$B$10:$B$41,0),MATCH(U$4,UWS!$G$3:$Z$3,0)),0)</f>
        <v>0</v>
      </c>
      <c r="V132">
        <f>IFERROR(INDEX(UWS!$G$10:$Z$41,MATCH($C132,UWS!$B$10:$B$41,0),MATCH(V$4,UWS!$G$3:$Z$3,0)),0)</f>
        <v>0</v>
      </c>
      <c r="W132">
        <f>IFERROR(INDEX(UWS!$G$10:$Z$41,MATCH($C132,UWS!$B$10:$B$41,0),MATCH(W$4,UWS!$G$3:$Z$3,0)),0)</f>
        <v>0</v>
      </c>
      <c r="X132">
        <f>IFERROR(INDEX(UWS!$G$10:$Z$41,MATCH($C132,UWS!$B$10:$B$41,0),MATCH(X$4,UWS!$G$3:$Z$3,0)),0)</f>
        <v>0</v>
      </c>
      <c r="Y132">
        <f>IFERROR(INDEX(UWS!$G$10:$Z$41,MATCH($C132,UWS!$B$10:$B$41,0),MATCH(Y$4,UWS!$G$3:$Z$3,0)),0)</f>
        <v>0</v>
      </c>
      <c r="Z132">
        <f>IFERROR(INDEX(UWS!$G$10:$Z$41,MATCH($C132,UWS!$B$10:$B$41,0),MATCH(Z$4,UWS!$G$3:$Z$3,0)),0)</f>
        <v>0</v>
      </c>
      <c r="AA132">
        <f>IFERROR(INDEX(UWS!$G$10:$Z$41,MATCH($C132,UWS!$B$10:$B$41,0),MATCH(AA$4,UWS!$G$3:$Z$3,0)),0)</f>
        <v>0</v>
      </c>
      <c r="AB132">
        <f>IFERROR(INDEX(UWS!$G$10:$Z$41,MATCH($C132,UWS!$B$10:$B$41,0),MATCH(AB$4,UWS!$G$3:$Z$3,0)),0)</f>
        <v>0</v>
      </c>
      <c r="AC132">
        <f>IFERROR(INDEX(UWS!$G$10:$Z$41,MATCH($C132,UWS!$B$10:$B$41,0),MATCH(AC$4,UWS!$G$3:$Z$3,0)),0)</f>
        <v>0</v>
      </c>
      <c r="AD132">
        <f>IFERROR(INDEX(UWS!$G$10:$Z$41,MATCH($C132,UWS!$B$10:$B$41,0),MATCH(AD$4,UWS!$G$3:$Z$3,0)),0)</f>
        <v>0</v>
      </c>
      <c r="AE132">
        <f>IFERROR(INDEX(UWS!$G$10:$Z$41,MATCH($C132,UWS!$B$10:$B$41,0),MATCH(AE$4,UWS!$G$3:$Z$3,0)),0)</f>
        <v>0</v>
      </c>
      <c r="AF132">
        <f>IFERROR(INDEX(UWS!$G$10:$Z$41,MATCH($C132,UWS!$B$10:$B$41,0),MATCH(AF$4,UWS!$G$3:$Z$3,0)),0)</f>
        <v>0</v>
      </c>
      <c r="AG132">
        <f>IFERROR(INDEX(UWS!$G$10:$Z$41,MATCH($C132,UWS!$B$10:$B$41,0),MATCH(AG$4,UWS!$G$3:$Z$3,0)),0)</f>
        <v>0</v>
      </c>
      <c r="AH132">
        <f>IFERROR(INDEX(UWS!$G$10:$Z$41,MATCH($C132,UWS!$B$10:$B$41,0),MATCH(AH$4,UWS!$G$3:$Z$3,0)),0)</f>
        <v>0</v>
      </c>
      <c r="AI132">
        <f>IFERROR(INDEX(UWS!$G$10:$Z$41,MATCH($C132,UWS!$B$10:$B$41,0),MATCH(AI$4,UWS!$G$3:$Z$3,0)),0)</f>
        <v>0</v>
      </c>
      <c r="AK132" t="e">
        <f>IF(OR($J132=0,COUNTIFS($A$4:$A131,"&gt;="&amp;$A132-1,$A$4:$A131,"&lt;="&amp;$A132,$B$4:$B131,$B132)&gt;0,MIN(AK$1,IF($A132=$A131,AK131,1))-P132&lt;0),-1,MIN(1,IF($A132=$A131,AK131,1)-P132+$D$3))</f>
        <v>#N/A</v>
      </c>
      <c r="AL132" t="e">
        <f>IF(OR($J132=0,COUNTIFS($A$4:$A131,"&gt;="&amp;$A132-1,$A$4:$A131,"&lt;="&amp;$A132,$B$4:$B131,$B132)&gt;0,MIN(AL$1,IF($A132=$A131,AL131,1))-Q132&lt;0),-1,MIN(1,IF($A132=$A131,AL131,1)-Q132+$D$3))</f>
        <v>#N/A</v>
      </c>
      <c r="AM132" t="e">
        <f>IF(OR($J132=0,COUNTIFS($A$4:$A131,"&gt;="&amp;$A132-1,$A$4:$A131,"&lt;="&amp;$A132,$B$4:$B131,$B132)&gt;0,MIN(AM$1,IF($A132=$A131,AM131,1))-R132&lt;0),-1,MIN(1,IF($A132=$A131,AM131,1)-R132+$D$3))</f>
        <v>#N/A</v>
      </c>
      <c r="AN132" t="e">
        <f>IF(OR($J132=0,COUNTIFS($A$4:$A131,"&gt;="&amp;$A132-1,$A$4:$A131,"&lt;="&amp;$A132,$B$4:$B131,$B132)&gt;0,MIN(AN$1,IF($A132=$A131,AN131,1))-S132&lt;0),-1,MIN(1,IF($A132=$A131,AN131,1)-S132+$D$3))</f>
        <v>#N/A</v>
      </c>
      <c r="AO132" t="e">
        <f>IF(OR($J132=0,COUNTIFS($A$4:$A131,"&gt;="&amp;$A132-1,$A$4:$A131,"&lt;="&amp;$A132,$B$4:$B131,$B132)&gt;0,MIN(AO$1,IF($A132=$A131,AO131,1))-T132&lt;0),-1,MIN(1,IF($A132=$A131,AO131,1)-T132+$D$3))</f>
        <v>#N/A</v>
      </c>
      <c r="AP132" t="e">
        <f>IF(OR($J132=0,COUNTIFS($A$4:$A131,"&gt;="&amp;$A132-1,$A$4:$A131,"&lt;="&amp;$A132,$B$4:$B131,$B132)&gt;0,MIN(AP$1,IF($A132=$A131,AP131,1))-U132&lt;0),-1,MIN(1,IF($A132=$A131,AP131,1)-U132+$D$3))</f>
        <v>#N/A</v>
      </c>
      <c r="AQ132" t="e">
        <f>IF(OR($J132=0,COUNTIFS($A$4:$A131,"&gt;="&amp;$A132-1,$A$4:$A131,"&lt;="&amp;$A132,$B$4:$B131,$B132)&gt;0,MIN(AQ$1,IF($A132=$A131,AQ131,1))-V132&lt;0),-1,MIN(1,IF($A132=$A131,AQ131,1)-V132+$D$3))</f>
        <v>#N/A</v>
      </c>
      <c r="AR132" t="e">
        <f>IF(OR($J132=0,COUNTIFS($A$4:$A131,"&gt;="&amp;$A132-1,$A$4:$A131,"&lt;="&amp;$A132,$B$4:$B131,$B132)&gt;0,MIN(AR$1,IF($A132=$A131,AR131,1))-W132&lt;0),-1,MIN(1,IF($A132=$A131,AR131,1)-W132+$D$3))</f>
        <v>#N/A</v>
      </c>
      <c r="AS132" t="e">
        <f>IF(OR($J132=0,COUNTIFS($A$4:$A131,"&gt;="&amp;$A132-1,$A$4:$A131,"&lt;="&amp;$A132,$B$4:$B131,$B132)&gt;0,MIN(AS$1,IF($A132=$A131,AS131,1))-X132&lt;0),-1,MIN(1,IF($A132=$A131,AS131,1)-X132+$D$3))</f>
        <v>#N/A</v>
      </c>
      <c r="AT132" t="e">
        <f>IF(OR($J132=0,COUNTIFS($A$4:$A131,"&gt;="&amp;$A132-1,$A$4:$A131,"&lt;="&amp;$A132,$B$4:$B131,$B132)&gt;0,MIN(AT$1,IF($A132=$A131,AT131,1))-Y132&lt;0),-1,MIN(1,IF($A132=$A131,AT131,1)-Y132+$D$3))</f>
        <v>#N/A</v>
      </c>
      <c r="AU132" t="e">
        <f>IF(OR($J132=0,COUNTIFS($A$4:$A131,"&gt;="&amp;$A132-1,$A$4:$A131,"&lt;="&amp;$A132,$B$4:$B131,$B132)&gt;0,MIN(AU$1,IF($A132=$A131,AU131,1))-Z132&lt;0),-1,MIN(1,IF($A132=$A131,AU131,1)-Z132+$D$3))</f>
        <v>#N/A</v>
      </c>
      <c r="AV132" t="e">
        <f>IF(OR($J132=0,COUNTIFS($A$4:$A131,"&gt;="&amp;$A132-1,$A$4:$A131,"&lt;="&amp;$A132,$B$4:$B131,$B132)&gt;0,MIN(AV$1,IF($A132=$A131,AV131,1))-AA132&lt;0),-1,MIN(1,IF($A132=$A131,AV131,1)-AA132+$D$3))</f>
        <v>#N/A</v>
      </c>
      <c r="AW132" t="e">
        <f>IF(OR($J132=0,COUNTIFS($A$4:$A131,"&gt;="&amp;$A132-1,$A$4:$A131,"&lt;="&amp;$A132,$B$4:$B131,$B132)&gt;0,MIN(AW$1,IF($A132=$A131,AW131,1))-AB132&lt;0),-1,MIN(1,IF($A132=$A131,AW131,1)-AB132+$D$3))</f>
        <v>#N/A</v>
      </c>
      <c r="AX132" t="e">
        <f>IF(OR($J132=0,COUNTIFS($A$4:$A131,"&gt;="&amp;$A132-1,$A$4:$A131,"&lt;="&amp;$A132,$B$4:$B131,$B132)&gt;0,MIN(AX$1,IF($A132=$A131,AX131,1))-AC132&lt;0),-1,MIN(1,IF($A132=$A131,AX131,1)-AC132+$D$3))</f>
        <v>#N/A</v>
      </c>
      <c r="AY132" t="e">
        <f>IF(OR($J132=0,COUNTIFS($A$4:$A131,"&gt;="&amp;$A132-1,$A$4:$A131,"&lt;="&amp;$A132,$B$4:$B131,$B132)&gt;0,MIN(AY$1,IF($A132=$A131,AY131,1))-AD132&lt;0),-1,MIN(1,IF($A132=$A131,AY131,1)-AD132+$D$3))</f>
        <v>#N/A</v>
      </c>
      <c r="AZ132" t="e">
        <f>IF(OR($J132=0,COUNTIFS($A$4:$A131,"&gt;="&amp;$A132-1,$A$4:$A131,"&lt;="&amp;$A132,$B$4:$B131,$B132)&gt;0,MIN(AZ$1,IF($A132=$A131,AZ131,1))-AE132&lt;0),-1,MIN(1,IF($A132=$A131,AZ131,1)-AE132+$D$3))</f>
        <v>#N/A</v>
      </c>
      <c r="BA132" t="e">
        <f>IF(OR($J132=0,COUNTIFS($A$4:$A131,"&gt;="&amp;$A132-1,$A$4:$A131,"&lt;="&amp;$A132,$B$4:$B131,$B132)&gt;0,MIN(BA$1,IF($A132=$A131,BA131,1))-AF132&lt;0),-1,MIN(1,IF($A132=$A131,BA131,1)-AF132+$D$3))</f>
        <v>#N/A</v>
      </c>
      <c r="BB132" t="e">
        <f>IF(OR($J132=0,COUNTIFS($A$4:$A131,"&gt;="&amp;$A132-1,$A$4:$A131,"&lt;="&amp;$A132,$B$4:$B131,$B132)&gt;0,MIN(BB$1,IF($A132=$A131,BB131,1))-AG132&lt;0),-1,MIN(1,IF($A132=$A131,BB131,1)-AG132+$D$3))</f>
        <v>#N/A</v>
      </c>
      <c r="BC132" t="e">
        <f>IF(OR($J132=0,COUNTIFS($A$4:$A131,"&gt;="&amp;$A132-1,$A$4:$A131,"&lt;="&amp;$A132,$B$4:$B131,$B132)&gt;0,MIN(BC$1,IF($A132=$A131,BC131,1))-AH132&lt;0),-1,MIN(1,IF($A132=$A131,BC131,1)-AH132+$D$3))</f>
        <v>#N/A</v>
      </c>
      <c r="BD132" t="e">
        <f>IF(OR($J132=0,COUNTIFS($A$4:$A131,"&gt;="&amp;$A132-1,$A$4:$A131,"&lt;="&amp;$A132,$B$4:$B131,$B132)&gt;0,MIN(BD$1,IF($A132=$A131,BD131,1))-AI132&lt;0),-1,MIN(1,IF($A132=$A131,BD131,1)-AI132+$D$3))</f>
        <v>#N/A</v>
      </c>
      <c r="BF132" s="44">
        <f t="shared" si="223"/>
        <v>2.9848833999891714E-3</v>
      </c>
      <c r="BG132" s="44">
        <f t="shared" si="224"/>
        <v>7.3406705587362956E-3</v>
      </c>
      <c r="BH132" s="44">
        <f t="shared" si="225"/>
        <v>7.523415159784266E-3</v>
      </c>
      <c r="BI132" s="44">
        <f t="shared" si="226"/>
        <v>6.9495468195959432E-3</v>
      </c>
      <c r="BJ132" s="44">
        <f t="shared" si="227"/>
        <v>7.18301639994988E-3</v>
      </c>
      <c r="BK132" s="44">
        <f t="shared" si="228"/>
        <v>3.0846550604710183E-3</v>
      </c>
      <c r="BL132" s="44">
        <f t="shared" si="229"/>
        <v>1.6663791926761118E-3</v>
      </c>
      <c r="BM132" s="44">
        <f t="shared" si="230"/>
        <v>4.2390740746782226E-3</v>
      </c>
      <c r="BN132" s="44">
        <f t="shared" si="231"/>
        <v>4.4089674115189784E-3</v>
      </c>
      <c r="BO132" s="44">
        <f t="shared" si="232"/>
        <v>2.0662094301488214E-3</v>
      </c>
      <c r="BP132" s="44">
        <f t="shared" si="233"/>
        <v>6.9475831733193287E-3</v>
      </c>
      <c r="BQ132" s="44">
        <f t="shared" si="234"/>
        <v>1.8748651011241725E-3</v>
      </c>
      <c r="BR132" s="44">
        <f t="shared" si="235"/>
        <v>5.538820836537302E-3</v>
      </c>
      <c r="BS132" s="44">
        <f t="shared" si="236"/>
        <v>2.9871595779276104E-3</v>
      </c>
      <c r="BT132" s="44">
        <f t="shared" si="237"/>
        <v>1.1821106242631836E-2</v>
      </c>
      <c r="BU132" s="44">
        <f t="shared" si="238"/>
        <v>1.1292713568534247E-2</v>
      </c>
      <c r="BV132" s="44">
        <f t="shared" si="239"/>
        <v>1.0845148499990324E-2</v>
      </c>
      <c r="BW132" s="44">
        <f t="shared" si="240"/>
        <v>7.0933239320404504E-3</v>
      </c>
      <c r="BX132" s="44">
        <f t="shared" si="241"/>
        <v>5.2404189115325267E-3</v>
      </c>
      <c r="BY132" s="44">
        <f t="shared" si="242"/>
        <v>4.4995019533129255E-3</v>
      </c>
      <c r="CA132" s="44" t="str">
        <f t="shared" si="243"/>
        <v/>
      </c>
      <c r="CB132" s="44" t="str">
        <f t="shared" si="244"/>
        <v/>
      </c>
      <c r="CC132" s="44" t="str">
        <f t="shared" si="245"/>
        <v/>
      </c>
      <c r="CD132" s="44" t="str">
        <f t="shared" si="246"/>
        <v/>
      </c>
      <c r="CE132" s="44" t="str">
        <f t="shared" si="247"/>
        <v/>
      </c>
      <c r="CF132" s="44" t="str">
        <f t="shared" si="248"/>
        <v/>
      </c>
      <c r="CG132" s="44" t="str">
        <f t="shared" si="249"/>
        <v/>
      </c>
      <c r="CH132" s="44" t="str">
        <f t="shared" si="250"/>
        <v/>
      </c>
      <c r="CI132" s="44" t="str">
        <f t="shared" si="251"/>
        <v/>
      </c>
      <c r="CJ132" s="44" t="str">
        <f t="shared" si="252"/>
        <v/>
      </c>
      <c r="CK132" s="44" t="str">
        <f t="shared" si="253"/>
        <v/>
      </c>
      <c r="CL132" s="44" t="str">
        <f t="shared" si="254"/>
        <v/>
      </c>
      <c r="CM132" s="44" t="str">
        <f t="shared" si="255"/>
        <v/>
      </c>
      <c r="CN132" s="44" t="str">
        <f t="shared" si="256"/>
        <v/>
      </c>
      <c r="CO132" s="44" t="str">
        <f t="shared" si="257"/>
        <v/>
      </c>
      <c r="CP132" s="44" t="str">
        <f t="shared" si="258"/>
        <v/>
      </c>
      <c r="CQ132" s="44" t="str">
        <f t="shared" si="259"/>
        <v/>
      </c>
      <c r="CR132" s="44" t="str">
        <f t="shared" si="260"/>
        <v/>
      </c>
      <c r="CS132" s="44" t="str">
        <f t="shared" si="261"/>
        <v/>
      </c>
      <c r="CT132" s="44" t="str">
        <f t="shared" si="262"/>
        <v/>
      </c>
      <c r="CV132" s="44">
        <f t="shared" si="263"/>
        <v>0</v>
      </c>
    </row>
    <row r="133" spans="1:100" x14ac:dyDescent="0.25">
      <c r="A133" s="41"/>
      <c r="B133" s="42"/>
      <c r="C133" s="43" t="str" cm="1">
        <f t="array" ref="C133">IF(B133="","",INDEX(UWS!$B$10:$B$41,B133))</f>
        <v/>
      </c>
      <c r="D133" s="40" t="str">
        <f t="shared" si="220"/>
        <v/>
      </c>
      <c r="E133" s="69" t="str">
        <f t="shared" si="221"/>
        <v/>
      </c>
      <c r="F133" s="48" cm="1">
        <f t="array" ref="F133">0.1+IFERROR(INDEX($F$5:$F132,SUMPRODUCT(MAX(ROW($C$5:$C132)*($C133=$C$5:$C132))-ROW($A$4)))*0.9^($A133-INDEX($A$5:A132,SUMPRODUCT(MAX(ROW($C$5:$C132)*($C133=$C$5:$C132))-ROW($A$4)))),0)</f>
        <v>6.7999999999999918</v>
      </c>
      <c r="G133" s="55" t="e">
        <f>INDEX(UWS!$AB$10:$AB$41,MATCH(C133,UWS!$B$10:$B$41,0))</f>
        <v>#N/A</v>
      </c>
      <c r="H133" s="48" t="e">
        <f>INDEX(UWS!$C$10:$C$41,MATCH(C133,UWS!$B$10:$B$41,0))</f>
        <v>#N/A</v>
      </c>
      <c r="I133" s="27">
        <f t="shared" si="222"/>
        <v>5</v>
      </c>
      <c r="J133" s="27" t="e">
        <f>INDEX(UWS!$E$10:$E$41,MATCH(C133,UWS!$B$10:$B$41,0))</f>
        <v>#N/A</v>
      </c>
      <c r="L133" s="108" t="str" cm="1">
        <f t="array" ref="L133">IF(K133="","",INDEX(UWS!$B$10:$B$41,K133))</f>
        <v/>
      </c>
      <c r="N133" s="108" t="str" cm="1">
        <f t="array" ref="N133">IF(M133="","",INDEX(UWS!$B$10:$B$41,M133))</f>
        <v/>
      </c>
      <c r="P133">
        <f>IFERROR(INDEX(UWS!$G$10:$Z$41,MATCH($C133,UWS!$B$10:$B$41,0),MATCH(P$4,UWS!$G$3:$Z$3,0)),0)</f>
        <v>0</v>
      </c>
      <c r="Q133">
        <f>IFERROR(INDEX(UWS!$G$10:$Z$41,MATCH($C133,UWS!$B$10:$B$41,0),MATCH(Q$4,UWS!$G$3:$Z$3,0)),0)</f>
        <v>0</v>
      </c>
      <c r="R133">
        <f>IFERROR(INDEX(UWS!$G$10:$Z$41,MATCH($C133,UWS!$B$10:$B$41,0),MATCH(R$4,UWS!$G$3:$Z$3,0)),0)</f>
        <v>0</v>
      </c>
      <c r="S133">
        <f>IFERROR(INDEX(UWS!$G$10:$Z$41,MATCH($C133,UWS!$B$10:$B$41,0),MATCH(S$4,UWS!$G$3:$Z$3,0)),0)</f>
        <v>0</v>
      </c>
      <c r="T133">
        <f>IFERROR(INDEX(UWS!$G$10:$Z$41,MATCH($C133,UWS!$B$10:$B$41,0),MATCH(T$4,UWS!$G$3:$Z$3,0)),0)</f>
        <v>0</v>
      </c>
      <c r="U133">
        <f>IFERROR(INDEX(UWS!$G$10:$Z$41,MATCH($C133,UWS!$B$10:$B$41,0),MATCH(U$4,UWS!$G$3:$Z$3,0)),0)</f>
        <v>0</v>
      </c>
      <c r="V133">
        <f>IFERROR(INDEX(UWS!$G$10:$Z$41,MATCH($C133,UWS!$B$10:$B$41,0),MATCH(V$4,UWS!$G$3:$Z$3,0)),0)</f>
        <v>0</v>
      </c>
      <c r="W133">
        <f>IFERROR(INDEX(UWS!$G$10:$Z$41,MATCH($C133,UWS!$B$10:$B$41,0),MATCH(W$4,UWS!$G$3:$Z$3,0)),0)</f>
        <v>0</v>
      </c>
      <c r="X133">
        <f>IFERROR(INDEX(UWS!$G$10:$Z$41,MATCH($C133,UWS!$B$10:$B$41,0),MATCH(X$4,UWS!$G$3:$Z$3,0)),0)</f>
        <v>0</v>
      </c>
      <c r="Y133">
        <f>IFERROR(INDEX(UWS!$G$10:$Z$41,MATCH($C133,UWS!$B$10:$B$41,0),MATCH(Y$4,UWS!$G$3:$Z$3,0)),0)</f>
        <v>0</v>
      </c>
      <c r="Z133">
        <f>IFERROR(INDEX(UWS!$G$10:$Z$41,MATCH($C133,UWS!$B$10:$B$41,0),MATCH(Z$4,UWS!$G$3:$Z$3,0)),0)</f>
        <v>0</v>
      </c>
      <c r="AA133">
        <f>IFERROR(INDEX(UWS!$G$10:$Z$41,MATCH($C133,UWS!$B$10:$B$41,0),MATCH(AA$4,UWS!$G$3:$Z$3,0)),0)</f>
        <v>0</v>
      </c>
      <c r="AB133">
        <f>IFERROR(INDEX(UWS!$G$10:$Z$41,MATCH($C133,UWS!$B$10:$B$41,0),MATCH(AB$4,UWS!$G$3:$Z$3,0)),0)</f>
        <v>0</v>
      </c>
      <c r="AC133">
        <f>IFERROR(INDEX(UWS!$G$10:$Z$41,MATCH($C133,UWS!$B$10:$B$41,0),MATCH(AC$4,UWS!$G$3:$Z$3,0)),0)</f>
        <v>0</v>
      </c>
      <c r="AD133">
        <f>IFERROR(INDEX(UWS!$G$10:$Z$41,MATCH($C133,UWS!$B$10:$B$41,0),MATCH(AD$4,UWS!$G$3:$Z$3,0)),0)</f>
        <v>0</v>
      </c>
      <c r="AE133">
        <f>IFERROR(INDEX(UWS!$G$10:$Z$41,MATCH($C133,UWS!$B$10:$B$41,0),MATCH(AE$4,UWS!$G$3:$Z$3,0)),0)</f>
        <v>0</v>
      </c>
      <c r="AF133">
        <f>IFERROR(INDEX(UWS!$G$10:$Z$41,MATCH($C133,UWS!$B$10:$B$41,0),MATCH(AF$4,UWS!$G$3:$Z$3,0)),0)</f>
        <v>0</v>
      </c>
      <c r="AG133">
        <f>IFERROR(INDEX(UWS!$G$10:$Z$41,MATCH($C133,UWS!$B$10:$B$41,0),MATCH(AG$4,UWS!$G$3:$Z$3,0)),0)</f>
        <v>0</v>
      </c>
      <c r="AH133">
        <f>IFERROR(INDEX(UWS!$G$10:$Z$41,MATCH($C133,UWS!$B$10:$B$41,0),MATCH(AH$4,UWS!$G$3:$Z$3,0)),0)</f>
        <v>0</v>
      </c>
      <c r="AI133">
        <f>IFERROR(INDEX(UWS!$G$10:$Z$41,MATCH($C133,UWS!$B$10:$B$41,0),MATCH(AI$4,UWS!$G$3:$Z$3,0)),0)</f>
        <v>0</v>
      </c>
      <c r="AK133" t="e">
        <f>IF(OR($J133=0,COUNTIFS($A$4:$A132,"&gt;="&amp;$A133-1,$A$4:$A132,"&lt;="&amp;$A133,$B$4:$B132,$B133)&gt;0,MIN(AK$1,IF($A133=$A132,AK132,1))-P133&lt;0),-1,MIN(1,IF($A133=$A132,AK132,1)-P133+$D$3))</f>
        <v>#N/A</v>
      </c>
      <c r="AL133" t="e">
        <f>IF(OR($J133=0,COUNTIFS($A$4:$A132,"&gt;="&amp;$A133-1,$A$4:$A132,"&lt;="&amp;$A133,$B$4:$B132,$B133)&gt;0,MIN(AL$1,IF($A133=$A132,AL132,1))-Q133&lt;0),-1,MIN(1,IF($A133=$A132,AL132,1)-Q133+$D$3))</f>
        <v>#N/A</v>
      </c>
      <c r="AM133" t="e">
        <f>IF(OR($J133=0,COUNTIFS($A$4:$A132,"&gt;="&amp;$A133-1,$A$4:$A132,"&lt;="&amp;$A133,$B$4:$B132,$B133)&gt;0,MIN(AM$1,IF($A133=$A132,AM132,1))-R133&lt;0),-1,MIN(1,IF($A133=$A132,AM132,1)-R133+$D$3))</f>
        <v>#N/A</v>
      </c>
      <c r="AN133" t="e">
        <f>IF(OR($J133=0,COUNTIFS($A$4:$A132,"&gt;="&amp;$A133-1,$A$4:$A132,"&lt;="&amp;$A133,$B$4:$B132,$B133)&gt;0,MIN(AN$1,IF($A133=$A132,AN132,1))-S133&lt;0),-1,MIN(1,IF($A133=$A132,AN132,1)-S133+$D$3))</f>
        <v>#N/A</v>
      </c>
      <c r="AO133" t="e">
        <f>IF(OR($J133=0,COUNTIFS($A$4:$A132,"&gt;="&amp;$A133-1,$A$4:$A132,"&lt;="&amp;$A133,$B$4:$B132,$B133)&gt;0,MIN(AO$1,IF($A133=$A132,AO132,1))-T133&lt;0),-1,MIN(1,IF($A133=$A132,AO132,1)-T133+$D$3))</f>
        <v>#N/A</v>
      </c>
      <c r="AP133" t="e">
        <f>IF(OR($J133=0,COUNTIFS($A$4:$A132,"&gt;="&amp;$A133-1,$A$4:$A132,"&lt;="&amp;$A133,$B$4:$B132,$B133)&gt;0,MIN(AP$1,IF($A133=$A132,AP132,1))-U133&lt;0),-1,MIN(1,IF($A133=$A132,AP132,1)-U133+$D$3))</f>
        <v>#N/A</v>
      </c>
      <c r="AQ133" t="e">
        <f>IF(OR($J133=0,COUNTIFS($A$4:$A132,"&gt;="&amp;$A133-1,$A$4:$A132,"&lt;="&amp;$A133,$B$4:$B132,$B133)&gt;0,MIN(AQ$1,IF($A133=$A132,AQ132,1))-V133&lt;0),-1,MIN(1,IF($A133=$A132,AQ132,1)-V133+$D$3))</f>
        <v>#N/A</v>
      </c>
      <c r="AR133" t="e">
        <f>IF(OR($J133=0,COUNTIFS($A$4:$A132,"&gt;="&amp;$A133-1,$A$4:$A132,"&lt;="&amp;$A133,$B$4:$B132,$B133)&gt;0,MIN(AR$1,IF($A133=$A132,AR132,1))-W133&lt;0),-1,MIN(1,IF($A133=$A132,AR132,1)-W133+$D$3))</f>
        <v>#N/A</v>
      </c>
      <c r="AS133" t="e">
        <f>IF(OR($J133=0,COUNTIFS($A$4:$A132,"&gt;="&amp;$A133-1,$A$4:$A132,"&lt;="&amp;$A133,$B$4:$B132,$B133)&gt;0,MIN(AS$1,IF($A133=$A132,AS132,1))-X133&lt;0),-1,MIN(1,IF($A133=$A132,AS132,1)-X133+$D$3))</f>
        <v>#N/A</v>
      </c>
      <c r="AT133" t="e">
        <f>IF(OR($J133=0,COUNTIFS($A$4:$A132,"&gt;="&amp;$A133-1,$A$4:$A132,"&lt;="&amp;$A133,$B$4:$B132,$B133)&gt;0,MIN(AT$1,IF($A133=$A132,AT132,1))-Y133&lt;0),-1,MIN(1,IF($A133=$A132,AT132,1)-Y133+$D$3))</f>
        <v>#N/A</v>
      </c>
      <c r="AU133" t="e">
        <f>IF(OR($J133=0,COUNTIFS($A$4:$A132,"&gt;="&amp;$A133-1,$A$4:$A132,"&lt;="&amp;$A133,$B$4:$B132,$B133)&gt;0,MIN(AU$1,IF($A133=$A132,AU132,1))-Z133&lt;0),-1,MIN(1,IF($A133=$A132,AU132,1)-Z133+$D$3))</f>
        <v>#N/A</v>
      </c>
      <c r="AV133" t="e">
        <f>IF(OR($J133=0,COUNTIFS($A$4:$A132,"&gt;="&amp;$A133-1,$A$4:$A132,"&lt;="&amp;$A133,$B$4:$B132,$B133)&gt;0,MIN(AV$1,IF($A133=$A132,AV132,1))-AA133&lt;0),-1,MIN(1,IF($A133=$A132,AV132,1)-AA133+$D$3))</f>
        <v>#N/A</v>
      </c>
      <c r="AW133" t="e">
        <f>IF(OR($J133=0,COUNTIFS($A$4:$A132,"&gt;="&amp;$A133-1,$A$4:$A132,"&lt;="&amp;$A133,$B$4:$B132,$B133)&gt;0,MIN(AW$1,IF($A133=$A132,AW132,1))-AB133&lt;0),-1,MIN(1,IF($A133=$A132,AW132,1)-AB133+$D$3))</f>
        <v>#N/A</v>
      </c>
      <c r="AX133" t="e">
        <f>IF(OR($J133=0,COUNTIFS($A$4:$A132,"&gt;="&amp;$A133-1,$A$4:$A132,"&lt;="&amp;$A133,$B$4:$B132,$B133)&gt;0,MIN(AX$1,IF($A133=$A132,AX132,1))-AC133&lt;0),-1,MIN(1,IF($A133=$A132,AX132,1)-AC133+$D$3))</f>
        <v>#N/A</v>
      </c>
      <c r="AY133" t="e">
        <f>IF(OR($J133=0,COUNTIFS($A$4:$A132,"&gt;="&amp;$A133-1,$A$4:$A132,"&lt;="&amp;$A133,$B$4:$B132,$B133)&gt;0,MIN(AY$1,IF($A133=$A132,AY132,1))-AD133&lt;0),-1,MIN(1,IF($A133=$A132,AY132,1)-AD133+$D$3))</f>
        <v>#N/A</v>
      </c>
      <c r="AZ133" t="e">
        <f>IF(OR($J133=0,COUNTIFS($A$4:$A132,"&gt;="&amp;$A133-1,$A$4:$A132,"&lt;="&amp;$A133,$B$4:$B132,$B133)&gt;0,MIN(AZ$1,IF($A133=$A132,AZ132,1))-AE133&lt;0),-1,MIN(1,IF($A133=$A132,AZ132,1)-AE133+$D$3))</f>
        <v>#N/A</v>
      </c>
      <c r="BA133" t="e">
        <f>IF(OR($J133=0,COUNTIFS($A$4:$A132,"&gt;="&amp;$A133-1,$A$4:$A132,"&lt;="&amp;$A133,$B$4:$B132,$B133)&gt;0,MIN(BA$1,IF($A133=$A132,BA132,1))-AF133&lt;0),-1,MIN(1,IF($A133=$A132,BA132,1)-AF133+$D$3))</f>
        <v>#N/A</v>
      </c>
      <c r="BB133" t="e">
        <f>IF(OR($J133=0,COUNTIFS($A$4:$A132,"&gt;="&amp;$A133-1,$A$4:$A132,"&lt;="&amp;$A133,$B$4:$B132,$B133)&gt;0,MIN(BB$1,IF($A133=$A132,BB132,1))-AG133&lt;0),-1,MIN(1,IF($A133=$A132,BB132,1)-AG133+$D$3))</f>
        <v>#N/A</v>
      </c>
      <c r="BC133" t="e">
        <f>IF(OR($J133=0,COUNTIFS($A$4:$A132,"&gt;="&amp;$A133-1,$A$4:$A132,"&lt;="&amp;$A133,$B$4:$B132,$B133)&gt;0,MIN(BC$1,IF($A133=$A132,BC132,1))-AH133&lt;0),-1,MIN(1,IF($A133=$A132,BC132,1)-AH133+$D$3))</f>
        <v>#N/A</v>
      </c>
      <c r="BD133" t="e">
        <f>IF(OR($J133=0,COUNTIFS($A$4:$A132,"&gt;="&amp;$A133-1,$A$4:$A132,"&lt;="&amp;$A133,$B$4:$B132,$B133)&gt;0,MIN(BD$1,IF($A133=$A132,BD132,1))-AI133&lt;0),-1,MIN(1,IF($A133=$A132,BD132,1)-AI133+$D$3))</f>
        <v>#N/A</v>
      </c>
      <c r="BF133" s="44">
        <f t="shared" si="223"/>
        <v>2.8356392299897126E-3</v>
      </c>
      <c r="BG133" s="44">
        <f t="shared" si="224"/>
        <v>6.9736370307994806E-3</v>
      </c>
      <c r="BH133" s="44">
        <f t="shared" si="225"/>
        <v>7.1472444017950526E-3</v>
      </c>
      <c r="BI133" s="44">
        <f t="shared" si="226"/>
        <v>6.6020694786161453E-3</v>
      </c>
      <c r="BJ133" s="44">
        <f t="shared" si="227"/>
        <v>6.8238655799523857E-3</v>
      </c>
      <c r="BK133" s="44">
        <f t="shared" si="228"/>
        <v>2.9304223074474675E-3</v>
      </c>
      <c r="BL133" s="44">
        <f t="shared" si="229"/>
        <v>1.5830602330423062E-3</v>
      </c>
      <c r="BM133" s="44">
        <f t="shared" si="230"/>
        <v>4.0271203709443112E-3</v>
      </c>
      <c r="BN133" s="44">
        <f t="shared" si="231"/>
        <v>4.1885190409430293E-3</v>
      </c>
      <c r="BO133" s="44">
        <f t="shared" si="232"/>
        <v>1.9628989586413801E-3</v>
      </c>
      <c r="BP133" s="44">
        <f t="shared" si="233"/>
        <v>6.600204014653362E-3</v>
      </c>
      <c r="BQ133" s="44">
        <f t="shared" si="234"/>
        <v>1.7811218460679638E-3</v>
      </c>
      <c r="BR133" s="44">
        <f t="shared" si="235"/>
        <v>5.2618797947104369E-3</v>
      </c>
      <c r="BS133" s="44">
        <f t="shared" si="236"/>
        <v>2.8378015990312296E-3</v>
      </c>
      <c r="BT133" s="44">
        <f t="shared" si="237"/>
        <v>1.1230050930500243E-2</v>
      </c>
      <c r="BU133" s="44">
        <f t="shared" si="238"/>
        <v>1.0728077890107534E-2</v>
      </c>
      <c r="BV133" s="44">
        <f t="shared" si="239"/>
        <v>1.0302891074990807E-2</v>
      </c>
      <c r="BW133" s="44">
        <f t="shared" si="240"/>
        <v>6.7386577354384275E-3</v>
      </c>
      <c r="BX133" s="44">
        <f t="shared" si="241"/>
        <v>4.9783979659559002E-3</v>
      </c>
      <c r="BY133" s="44">
        <f t="shared" si="242"/>
        <v>4.2745268556472794E-3</v>
      </c>
      <c r="CA133" s="44" t="str">
        <f t="shared" si="243"/>
        <v/>
      </c>
      <c r="CB133" s="44" t="str">
        <f t="shared" si="244"/>
        <v/>
      </c>
      <c r="CC133" s="44" t="str">
        <f t="shared" si="245"/>
        <v/>
      </c>
      <c r="CD133" s="44" t="str">
        <f t="shared" si="246"/>
        <v/>
      </c>
      <c r="CE133" s="44" t="str">
        <f t="shared" si="247"/>
        <v/>
      </c>
      <c r="CF133" s="44" t="str">
        <f t="shared" si="248"/>
        <v/>
      </c>
      <c r="CG133" s="44" t="str">
        <f t="shared" si="249"/>
        <v/>
      </c>
      <c r="CH133" s="44" t="str">
        <f t="shared" si="250"/>
        <v/>
      </c>
      <c r="CI133" s="44" t="str">
        <f t="shared" si="251"/>
        <v/>
      </c>
      <c r="CJ133" s="44" t="str">
        <f t="shared" si="252"/>
        <v/>
      </c>
      <c r="CK133" s="44" t="str">
        <f t="shared" si="253"/>
        <v/>
      </c>
      <c r="CL133" s="44" t="str">
        <f t="shared" si="254"/>
        <v/>
      </c>
      <c r="CM133" s="44" t="str">
        <f t="shared" si="255"/>
        <v/>
      </c>
      <c r="CN133" s="44" t="str">
        <f t="shared" si="256"/>
        <v/>
      </c>
      <c r="CO133" s="44" t="str">
        <f t="shared" si="257"/>
        <v/>
      </c>
      <c r="CP133" s="44" t="str">
        <f t="shared" si="258"/>
        <v/>
      </c>
      <c r="CQ133" s="44" t="str">
        <f t="shared" si="259"/>
        <v/>
      </c>
      <c r="CR133" s="44" t="str">
        <f t="shared" si="260"/>
        <v/>
      </c>
      <c r="CS133" s="44" t="str">
        <f t="shared" si="261"/>
        <v/>
      </c>
      <c r="CT133" s="44" t="str">
        <f t="shared" si="262"/>
        <v/>
      </c>
      <c r="CV133" s="44">
        <f t="shared" si="263"/>
        <v>0</v>
      </c>
    </row>
    <row r="134" spans="1:100" x14ac:dyDescent="0.25">
      <c r="A134" s="41"/>
      <c r="B134" s="42"/>
      <c r="C134" s="43" t="str" cm="1">
        <f t="array" ref="C134">IF(B134="","",INDEX(UWS!$B$10:$B$41,B134))</f>
        <v/>
      </c>
      <c r="D134" s="40" t="str">
        <f t="shared" si="220"/>
        <v/>
      </c>
      <c r="E134" s="69" t="str">
        <f t="shared" si="221"/>
        <v/>
      </c>
      <c r="F134" s="48" cm="1">
        <f t="array" ref="F134">0.1+IFERROR(INDEX($F$5:$F133,SUMPRODUCT(MAX(ROW($C$5:$C133)*($C134=$C$5:$C133))-ROW($A$4)))*0.9^($A134-INDEX($A$5:A133,SUMPRODUCT(MAX(ROW($C$5:$C133)*($C134=$C$5:$C133))-ROW($A$4)))),0)</f>
        <v>6.8999999999999915</v>
      </c>
      <c r="G134" s="55" t="e">
        <f>INDEX(UWS!$AB$10:$AB$41,MATCH(C134,UWS!$B$10:$B$41,0))</f>
        <v>#N/A</v>
      </c>
      <c r="H134" s="48" t="e">
        <f>INDEX(UWS!$C$10:$C$41,MATCH(C134,UWS!$B$10:$B$41,0))</f>
        <v>#N/A</v>
      </c>
      <c r="I134" s="27">
        <f t="shared" si="222"/>
        <v>5</v>
      </c>
      <c r="J134" s="27" t="e">
        <f>INDEX(UWS!$E$10:$E$41,MATCH(C134,UWS!$B$10:$B$41,0))</f>
        <v>#N/A</v>
      </c>
      <c r="L134" s="108" t="str" cm="1">
        <f t="array" ref="L134">IF(K134="","",INDEX(UWS!$B$10:$B$41,K134))</f>
        <v/>
      </c>
      <c r="N134" s="108" t="str" cm="1">
        <f t="array" ref="N134">IF(M134="","",INDEX(UWS!$B$10:$B$41,M134))</f>
        <v/>
      </c>
      <c r="P134">
        <f>IFERROR(INDEX(UWS!$G$10:$Z$41,MATCH($C134,UWS!$B$10:$B$41,0),MATCH(P$4,UWS!$G$3:$Z$3,0)),0)</f>
        <v>0</v>
      </c>
      <c r="Q134">
        <f>IFERROR(INDEX(UWS!$G$10:$Z$41,MATCH($C134,UWS!$B$10:$B$41,0),MATCH(Q$4,UWS!$G$3:$Z$3,0)),0)</f>
        <v>0</v>
      </c>
      <c r="R134">
        <f>IFERROR(INDEX(UWS!$G$10:$Z$41,MATCH($C134,UWS!$B$10:$B$41,0),MATCH(R$4,UWS!$G$3:$Z$3,0)),0)</f>
        <v>0</v>
      </c>
      <c r="S134">
        <f>IFERROR(INDEX(UWS!$G$10:$Z$41,MATCH($C134,UWS!$B$10:$B$41,0),MATCH(S$4,UWS!$G$3:$Z$3,0)),0)</f>
        <v>0</v>
      </c>
      <c r="T134">
        <f>IFERROR(INDEX(UWS!$G$10:$Z$41,MATCH($C134,UWS!$B$10:$B$41,0),MATCH(T$4,UWS!$G$3:$Z$3,0)),0)</f>
        <v>0</v>
      </c>
      <c r="U134">
        <f>IFERROR(INDEX(UWS!$G$10:$Z$41,MATCH($C134,UWS!$B$10:$B$41,0),MATCH(U$4,UWS!$G$3:$Z$3,0)),0)</f>
        <v>0</v>
      </c>
      <c r="V134">
        <f>IFERROR(INDEX(UWS!$G$10:$Z$41,MATCH($C134,UWS!$B$10:$B$41,0),MATCH(V$4,UWS!$G$3:$Z$3,0)),0)</f>
        <v>0</v>
      </c>
      <c r="W134">
        <f>IFERROR(INDEX(UWS!$G$10:$Z$41,MATCH($C134,UWS!$B$10:$B$41,0),MATCH(W$4,UWS!$G$3:$Z$3,0)),0)</f>
        <v>0</v>
      </c>
      <c r="X134">
        <f>IFERROR(INDEX(UWS!$G$10:$Z$41,MATCH($C134,UWS!$B$10:$B$41,0),MATCH(X$4,UWS!$G$3:$Z$3,0)),0)</f>
        <v>0</v>
      </c>
      <c r="Y134">
        <f>IFERROR(INDEX(UWS!$G$10:$Z$41,MATCH($C134,UWS!$B$10:$B$41,0),MATCH(Y$4,UWS!$G$3:$Z$3,0)),0)</f>
        <v>0</v>
      </c>
      <c r="Z134">
        <f>IFERROR(INDEX(UWS!$G$10:$Z$41,MATCH($C134,UWS!$B$10:$B$41,0),MATCH(Z$4,UWS!$G$3:$Z$3,0)),0)</f>
        <v>0</v>
      </c>
      <c r="AA134">
        <f>IFERROR(INDEX(UWS!$G$10:$Z$41,MATCH($C134,UWS!$B$10:$B$41,0),MATCH(AA$4,UWS!$G$3:$Z$3,0)),0)</f>
        <v>0</v>
      </c>
      <c r="AB134">
        <f>IFERROR(INDEX(UWS!$G$10:$Z$41,MATCH($C134,UWS!$B$10:$B$41,0),MATCH(AB$4,UWS!$G$3:$Z$3,0)),0)</f>
        <v>0</v>
      </c>
      <c r="AC134">
        <f>IFERROR(INDEX(UWS!$G$10:$Z$41,MATCH($C134,UWS!$B$10:$B$41,0),MATCH(AC$4,UWS!$G$3:$Z$3,0)),0)</f>
        <v>0</v>
      </c>
      <c r="AD134">
        <f>IFERROR(INDEX(UWS!$G$10:$Z$41,MATCH($C134,UWS!$B$10:$B$41,0),MATCH(AD$4,UWS!$G$3:$Z$3,0)),0)</f>
        <v>0</v>
      </c>
      <c r="AE134">
        <f>IFERROR(INDEX(UWS!$G$10:$Z$41,MATCH($C134,UWS!$B$10:$B$41,0),MATCH(AE$4,UWS!$G$3:$Z$3,0)),0)</f>
        <v>0</v>
      </c>
      <c r="AF134">
        <f>IFERROR(INDEX(UWS!$G$10:$Z$41,MATCH($C134,UWS!$B$10:$B$41,0),MATCH(AF$4,UWS!$G$3:$Z$3,0)),0)</f>
        <v>0</v>
      </c>
      <c r="AG134">
        <f>IFERROR(INDEX(UWS!$G$10:$Z$41,MATCH($C134,UWS!$B$10:$B$41,0),MATCH(AG$4,UWS!$G$3:$Z$3,0)),0)</f>
        <v>0</v>
      </c>
      <c r="AH134">
        <f>IFERROR(INDEX(UWS!$G$10:$Z$41,MATCH($C134,UWS!$B$10:$B$41,0),MATCH(AH$4,UWS!$G$3:$Z$3,0)),0)</f>
        <v>0</v>
      </c>
      <c r="AI134">
        <f>IFERROR(INDEX(UWS!$G$10:$Z$41,MATCH($C134,UWS!$B$10:$B$41,0),MATCH(AI$4,UWS!$G$3:$Z$3,0)),0)</f>
        <v>0</v>
      </c>
      <c r="AK134" t="e">
        <f>IF(OR($J134=0,COUNTIFS($A$4:$A133,"&gt;="&amp;$A134-1,$A$4:$A133,"&lt;="&amp;$A134,$B$4:$B133,$B134)&gt;0,MIN(AK$1,IF($A134=$A133,AK133,1))-P134&lt;0),-1,MIN(1,IF($A134=$A133,AK133,1)-P134+$D$3))</f>
        <v>#N/A</v>
      </c>
      <c r="AL134" t="e">
        <f>IF(OR($J134=0,COUNTIFS($A$4:$A133,"&gt;="&amp;$A134-1,$A$4:$A133,"&lt;="&amp;$A134,$B$4:$B133,$B134)&gt;0,MIN(AL$1,IF($A134=$A133,AL133,1))-Q134&lt;0),-1,MIN(1,IF($A134=$A133,AL133,1)-Q134+$D$3))</f>
        <v>#N/A</v>
      </c>
      <c r="AM134" t="e">
        <f>IF(OR($J134=0,COUNTIFS($A$4:$A133,"&gt;="&amp;$A134-1,$A$4:$A133,"&lt;="&amp;$A134,$B$4:$B133,$B134)&gt;0,MIN(AM$1,IF($A134=$A133,AM133,1))-R134&lt;0),-1,MIN(1,IF($A134=$A133,AM133,1)-R134+$D$3))</f>
        <v>#N/A</v>
      </c>
      <c r="AN134" t="e">
        <f>IF(OR($J134=0,COUNTIFS($A$4:$A133,"&gt;="&amp;$A134-1,$A$4:$A133,"&lt;="&amp;$A134,$B$4:$B133,$B134)&gt;0,MIN(AN$1,IF($A134=$A133,AN133,1))-S134&lt;0),-1,MIN(1,IF($A134=$A133,AN133,1)-S134+$D$3))</f>
        <v>#N/A</v>
      </c>
      <c r="AO134" t="e">
        <f>IF(OR($J134=0,COUNTIFS($A$4:$A133,"&gt;="&amp;$A134-1,$A$4:$A133,"&lt;="&amp;$A134,$B$4:$B133,$B134)&gt;0,MIN(AO$1,IF($A134=$A133,AO133,1))-T134&lt;0),-1,MIN(1,IF($A134=$A133,AO133,1)-T134+$D$3))</f>
        <v>#N/A</v>
      </c>
      <c r="AP134" t="e">
        <f>IF(OR($J134=0,COUNTIFS($A$4:$A133,"&gt;="&amp;$A134-1,$A$4:$A133,"&lt;="&amp;$A134,$B$4:$B133,$B134)&gt;0,MIN(AP$1,IF($A134=$A133,AP133,1))-U134&lt;0),-1,MIN(1,IF($A134=$A133,AP133,1)-U134+$D$3))</f>
        <v>#N/A</v>
      </c>
      <c r="AQ134" t="e">
        <f>IF(OR($J134=0,COUNTIFS($A$4:$A133,"&gt;="&amp;$A134-1,$A$4:$A133,"&lt;="&amp;$A134,$B$4:$B133,$B134)&gt;0,MIN(AQ$1,IF($A134=$A133,AQ133,1))-V134&lt;0),-1,MIN(1,IF($A134=$A133,AQ133,1)-V134+$D$3))</f>
        <v>#N/A</v>
      </c>
      <c r="AR134" t="e">
        <f>IF(OR($J134=0,COUNTIFS($A$4:$A133,"&gt;="&amp;$A134-1,$A$4:$A133,"&lt;="&amp;$A134,$B$4:$B133,$B134)&gt;0,MIN(AR$1,IF($A134=$A133,AR133,1))-W134&lt;0),-1,MIN(1,IF($A134=$A133,AR133,1)-W134+$D$3))</f>
        <v>#N/A</v>
      </c>
      <c r="AS134" t="e">
        <f>IF(OR($J134=0,COUNTIFS($A$4:$A133,"&gt;="&amp;$A134-1,$A$4:$A133,"&lt;="&amp;$A134,$B$4:$B133,$B134)&gt;0,MIN(AS$1,IF($A134=$A133,AS133,1))-X134&lt;0),-1,MIN(1,IF($A134=$A133,AS133,1)-X134+$D$3))</f>
        <v>#N/A</v>
      </c>
      <c r="AT134" t="e">
        <f>IF(OR($J134=0,COUNTIFS($A$4:$A133,"&gt;="&amp;$A134-1,$A$4:$A133,"&lt;="&amp;$A134,$B$4:$B133,$B134)&gt;0,MIN(AT$1,IF($A134=$A133,AT133,1))-Y134&lt;0),-1,MIN(1,IF($A134=$A133,AT133,1)-Y134+$D$3))</f>
        <v>#N/A</v>
      </c>
      <c r="AU134" t="e">
        <f>IF(OR($J134=0,COUNTIFS($A$4:$A133,"&gt;="&amp;$A134-1,$A$4:$A133,"&lt;="&amp;$A134,$B$4:$B133,$B134)&gt;0,MIN(AU$1,IF($A134=$A133,AU133,1))-Z134&lt;0),-1,MIN(1,IF($A134=$A133,AU133,1)-Z134+$D$3))</f>
        <v>#N/A</v>
      </c>
      <c r="AV134" t="e">
        <f>IF(OR($J134=0,COUNTIFS($A$4:$A133,"&gt;="&amp;$A134-1,$A$4:$A133,"&lt;="&amp;$A134,$B$4:$B133,$B134)&gt;0,MIN(AV$1,IF($A134=$A133,AV133,1))-AA134&lt;0),-1,MIN(1,IF($A134=$A133,AV133,1)-AA134+$D$3))</f>
        <v>#N/A</v>
      </c>
      <c r="AW134" t="e">
        <f>IF(OR($J134=0,COUNTIFS($A$4:$A133,"&gt;="&amp;$A134-1,$A$4:$A133,"&lt;="&amp;$A134,$B$4:$B133,$B134)&gt;0,MIN(AW$1,IF($A134=$A133,AW133,1))-AB134&lt;0),-1,MIN(1,IF($A134=$A133,AW133,1)-AB134+$D$3))</f>
        <v>#N/A</v>
      </c>
      <c r="AX134" t="e">
        <f>IF(OR($J134=0,COUNTIFS($A$4:$A133,"&gt;="&amp;$A134-1,$A$4:$A133,"&lt;="&amp;$A134,$B$4:$B133,$B134)&gt;0,MIN(AX$1,IF($A134=$A133,AX133,1))-AC134&lt;0),-1,MIN(1,IF($A134=$A133,AX133,1)-AC134+$D$3))</f>
        <v>#N/A</v>
      </c>
      <c r="AY134" t="e">
        <f>IF(OR($J134=0,COUNTIFS($A$4:$A133,"&gt;="&amp;$A134-1,$A$4:$A133,"&lt;="&amp;$A134,$B$4:$B133,$B134)&gt;0,MIN(AY$1,IF($A134=$A133,AY133,1))-AD134&lt;0),-1,MIN(1,IF($A134=$A133,AY133,1)-AD134+$D$3))</f>
        <v>#N/A</v>
      </c>
      <c r="AZ134" t="e">
        <f>IF(OR($J134=0,COUNTIFS($A$4:$A133,"&gt;="&amp;$A134-1,$A$4:$A133,"&lt;="&amp;$A134,$B$4:$B133,$B134)&gt;0,MIN(AZ$1,IF($A134=$A133,AZ133,1))-AE134&lt;0),-1,MIN(1,IF($A134=$A133,AZ133,1)-AE134+$D$3))</f>
        <v>#N/A</v>
      </c>
      <c r="BA134" t="e">
        <f>IF(OR($J134=0,COUNTIFS($A$4:$A133,"&gt;="&amp;$A134-1,$A$4:$A133,"&lt;="&amp;$A134,$B$4:$B133,$B134)&gt;0,MIN(BA$1,IF($A134=$A133,BA133,1))-AF134&lt;0),-1,MIN(1,IF($A134=$A133,BA133,1)-AF134+$D$3))</f>
        <v>#N/A</v>
      </c>
      <c r="BB134" t="e">
        <f>IF(OR($J134=0,COUNTIFS($A$4:$A133,"&gt;="&amp;$A134-1,$A$4:$A133,"&lt;="&amp;$A134,$B$4:$B133,$B134)&gt;0,MIN(BB$1,IF($A134=$A133,BB133,1))-AG134&lt;0),-1,MIN(1,IF($A134=$A133,BB133,1)-AG134+$D$3))</f>
        <v>#N/A</v>
      </c>
      <c r="BC134" t="e">
        <f>IF(OR($J134=0,COUNTIFS($A$4:$A133,"&gt;="&amp;$A134-1,$A$4:$A133,"&lt;="&amp;$A134,$B$4:$B133,$B134)&gt;0,MIN(BC$1,IF($A134=$A133,BC133,1))-AH134&lt;0),-1,MIN(1,IF($A134=$A133,BC133,1)-AH134+$D$3))</f>
        <v>#N/A</v>
      </c>
      <c r="BD134" t="e">
        <f>IF(OR($J134=0,COUNTIFS($A$4:$A133,"&gt;="&amp;$A134-1,$A$4:$A133,"&lt;="&amp;$A134,$B$4:$B133,$B134)&gt;0,MIN(BD$1,IF($A134=$A133,BD133,1))-AI134&lt;0),-1,MIN(1,IF($A134=$A133,BD133,1)-AI134+$D$3))</f>
        <v>#N/A</v>
      </c>
      <c r="BF134" s="44">
        <f t="shared" si="223"/>
        <v>2.693857268490227E-3</v>
      </c>
      <c r="BG134" s="44">
        <f t="shared" si="224"/>
        <v>6.6249551792595066E-3</v>
      </c>
      <c r="BH134" s="44">
        <f t="shared" si="225"/>
        <v>6.7898821817052998E-3</v>
      </c>
      <c r="BI134" s="44">
        <f t="shared" si="226"/>
        <v>6.2719660046853375E-3</v>
      </c>
      <c r="BJ134" s="44">
        <f t="shared" si="227"/>
        <v>6.4826723009547664E-3</v>
      </c>
      <c r="BK134" s="44">
        <f t="shared" si="228"/>
        <v>2.7839011920750938E-3</v>
      </c>
      <c r="BL134" s="44">
        <f t="shared" si="229"/>
        <v>1.5039072213901908E-3</v>
      </c>
      <c r="BM134" s="44">
        <f t="shared" si="230"/>
        <v>3.8257643523970956E-3</v>
      </c>
      <c r="BN134" s="44">
        <f t="shared" si="231"/>
        <v>3.979093088895878E-3</v>
      </c>
      <c r="BO134" s="44">
        <f t="shared" si="232"/>
        <v>1.864754010709311E-3</v>
      </c>
      <c r="BP134" s="44">
        <f t="shared" si="233"/>
        <v>6.2701938139206933E-3</v>
      </c>
      <c r="BQ134" s="44">
        <f t="shared" si="234"/>
        <v>1.6920657537645655E-3</v>
      </c>
      <c r="BR134" s="44">
        <f t="shared" si="235"/>
        <v>4.9987858049749152E-3</v>
      </c>
      <c r="BS134" s="44">
        <f t="shared" si="236"/>
        <v>2.6959115190796682E-3</v>
      </c>
      <c r="BT134" s="44">
        <f t="shared" si="237"/>
        <v>1.066854838397523E-2</v>
      </c>
      <c r="BU134" s="44">
        <f t="shared" si="238"/>
        <v>1.0191673995602156E-2</v>
      </c>
      <c r="BV134" s="44">
        <f t="shared" si="239"/>
        <v>9.7877465212412654E-3</v>
      </c>
      <c r="BW134" s="44">
        <f t="shared" si="240"/>
        <v>6.4017248486665061E-3</v>
      </c>
      <c r="BX134" s="44">
        <f t="shared" si="241"/>
        <v>4.7294780676581053E-3</v>
      </c>
      <c r="BY134" s="44">
        <f t="shared" si="242"/>
        <v>4.0608005128649153E-3</v>
      </c>
      <c r="CA134" s="44" t="str">
        <f t="shared" si="243"/>
        <v/>
      </c>
      <c r="CB134" s="44" t="str">
        <f t="shared" si="244"/>
        <v/>
      </c>
      <c r="CC134" s="44" t="str">
        <f t="shared" si="245"/>
        <v/>
      </c>
      <c r="CD134" s="44" t="str">
        <f t="shared" si="246"/>
        <v/>
      </c>
      <c r="CE134" s="44" t="str">
        <f t="shared" si="247"/>
        <v/>
      </c>
      <c r="CF134" s="44" t="str">
        <f t="shared" si="248"/>
        <v/>
      </c>
      <c r="CG134" s="44" t="str">
        <f t="shared" si="249"/>
        <v/>
      </c>
      <c r="CH134" s="44" t="str">
        <f t="shared" si="250"/>
        <v/>
      </c>
      <c r="CI134" s="44" t="str">
        <f t="shared" si="251"/>
        <v/>
      </c>
      <c r="CJ134" s="44" t="str">
        <f t="shared" si="252"/>
        <v/>
      </c>
      <c r="CK134" s="44" t="str">
        <f t="shared" si="253"/>
        <v/>
      </c>
      <c r="CL134" s="44" t="str">
        <f t="shared" si="254"/>
        <v/>
      </c>
      <c r="CM134" s="44" t="str">
        <f t="shared" si="255"/>
        <v/>
      </c>
      <c r="CN134" s="44" t="str">
        <f t="shared" si="256"/>
        <v/>
      </c>
      <c r="CO134" s="44" t="str">
        <f t="shared" si="257"/>
        <v/>
      </c>
      <c r="CP134" s="44" t="str">
        <f t="shared" si="258"/>
        <v/>
      </c>
      <c r="CQ134" s="44" t="str">
        <f t="shared" si="259"/>
        <v/>
      </c>
      <c r="CR134" s="44" t="str">
        <f t="shared" si="260"/>
        <v/>
      </c>
      <c r="CS134" s="44" t="str">
        <f t="shared" si="261"/>
        <v/>
      </c>
      <c r="CT134" s="44" t="str">
        <f t="shared" si="262"/>
        <v/>
      </c>
      <c r="CV134" s="44">
        <f t="shared" si="263"/>
        <v>0</v>
      </c>
    </row>
    <row r="135" spans="1:100" x14ac:dyDescent="0.25">
      <c r="A135" s="49"/>
      <c r="B135" s="50"/>
      <c r="C135" s="51" t="str" cm="1">
        <f t="array" ref="C135">IF(B135="","",INDEX(UWS!$B$10:$B$41,B135))</f>
        <v/>
      </c>
      <c r="D135" s="45" t="str">
        <f t="shared" si="220"/>
        <v/>
      </c>
      <c r="E135" s="70" t="str">
        <f t="shared" si="221"/>
        <v/>
      </c>
      <c r="F135" s="52" cm="1">
        <f t="array" ref="F135">0.1+IFERROR(INDEX($F$5:$F134,SUMPRODUCT(MAX(ROW($C$5:$C134)*($C135=$C$5:$C134))-ROW($A$4)))*0.9^($A135-INDEX($A$5:A134,SUMPRODUCT(MAX(ROW($C$5:$C134)*($C135=$C$5:$C134))-ROW($A$4)))),0)</f>
        <v>6.9999999999999911</v>
      </c>
      <c r="G135" s="56" t="e">
        <f>INDEX(UWS!$AB$10:$AB$41,MATCH(C135,UWS!$B$10:$B$41,0))</f>
        <v>#N/A</v>
      </c>
      <c r="H135" s="52" t="e">
        <f>INDEX(UWS!$C$10:$C$41,MATCH(C135,UWS!$B$10:$B$41,0))</f>
        <v>#N/A</v>
      </c>
      <c r="I135" s="46">
        <f t="shared" si="222"/>
        <v>5</v>
      </c>
      <c r="J135" s="46" t="e">
        <f>INDEX(UWS!$E$10:$E$41,MATCH(C135,UWS!$B$10:$B$41,0))</f>
        <v>#N/A</v>
      </c>
      <c r="K135" s="46"/>
      <c r="L135" s="109" t="str" cm="1">
        <f t="array" ref="L135">IF(K135="","",INDEX(UWS!$B$10:$B$41,K135))</f>
        <v/>
      </c>
      <c r="M135" s="46"/>
      <c r="N135" s="109" t="str" cm="1">
        <f t="array" ref="N135">IF(M135="","",INDEX(UWS!$B$10:$B$41,M135))</f>
        <v/>
      </c>
      <c r="O135" s="47"/>
      <c r="P135" s="47">
        <f>IFERROR(INDEX(UWS!$G$10:$Z$41,MATCH($C135,UWS!$B$10:$B$41,0),MATCH(P$4,UWS!$G$3:$Z$3,0)),0)</f>
        <v>0</v>
      </c>
      <c r="Q135" s="47">
        <f>IFERROR(INDEX(UWS!$G$10:$Z$41,MATCH($C135,UWS!$B$10:$B$41,0),MATCH(Q$4,UWS!$G$3:$Z$3,0)),0)</f>
        <v>0</v>
      </c>
      <c r="R135" s="47">
        <f>IFERROR(INDEX(UWS!$G$10:$Z$41,MATCH($C135,UWS!$B$10:$B$41,0),MATCH(R$4,UWS!$G$3:$Z$3,0)),0)</f>
        <v>0</v>
      </c>
      <c r="S135" s="47">
        <f>IFERROR(INDEX(UWS!$G$10:$Z$41,MATCH($C135,UWS!$B$10:$B$41,0),MATCH(S$4,UWS!$G$3:$Z$3,0)),0)</f>
        <v>0</v>
      </c>
      <c r="T135" s="47">
        <f>IFERROR(INDEX(UWS!$G$10:$Z$41,MATCH($C135,UWS!$B$10:$B$41,0),MATCH(T$4,UWS!$G$3:$Z$3,0)),0)</f>
        <v>0</v>
      </c>
      <c r="U135" s="47">
        <f>IFERROR(INDEX(UWS!$G$10:$Z$41,MATCH($C135,UWS!$B$10:$B$41,0),MATCH(U$4,UWS!$G$3:$Z$3,0)),0)</f>
        <v>0</v>
      </c>
      <c r="V135" s="47">
        <f>IFERROR(INDEX(UWS!$G$10:$Z$41,MATCH($C135,UWS!$B$10:$B$41,0),MATCH(V$4,UWS!$G$3:$Z$3,0)),0)</f>
        <v>0</v>
      </c>
      <c r="W135" s="47">
        <f>IFERROR(INDEX(UWS!$G$10:$Z$41,MATCH($C135,UWS!$B$10:$B$41,0),MATCH(W$4,UWS!$G$3:$Z$3,0)),0)</f>
        <v>0</v>
      </c>
      <c r="X135" s="47">
        <f>IFERROR(INDEX(UWS!$G$10:$Z$41,MATCH($C135,UWS!$B$10:$B$41,0),MATCH(X$4,UWS!$G$3:$Z$3,0)),0)</f>
        <v>0</v>
      </c>
      <c r="Y135" s="47">
        <f>IFERROR(INDEX(UWS!$G$10:$Z$41,MATCH($C135,UWS!$B$10:$B$41,0),MATCH(Y$4,UWS!$G$3:$Z$3,0)),0)</f>
        <v>0</v>
      </c>
      <c r="Z135" s="47">
        <f>IFERROR(INDEX(UWS!$G$10:$Z$41,MATCH($C135,UWS!$B$10:$B$41,0),MATCH(Z$4,UWS!$G$3:$Z$3,0)),0)</f>
        <v>0</v>
      </c>
      <c r="AA135" s="47">
        <f>IFERROR(INDEX(UWS!$G$10:$Z$41,MATCH($C135,UWS!$B$10:$B$41,0),MATCH(AA$4,UWS!$G$3:$Z$3,0)),0)</f>
        <v>0</v>
      </c>
      <c r="AB135" s="47">
        <f>IFERROR(INDEX(UWS!$G$10:$Z$41,MATCH($C135,UWS!$B$10:$B$41,0),MATCH(AB$4,UWS!$G$3:$Z$3,0)),0)</f>
        <v>0</v>
      </c>
      <c r="AC135" s="47">
        <f>IFERROR(INDEX(UWS!$G$10:$Z$41,MATCH($C135,UWS!$B$10:$B$41,0),MATCH(AC$4,UWS!$G$3:$Z$3,0)),0)</f>
        <v>0</v>
      </c>
      <c r="AD135" s="47">
        <f>IFERROR(INDEX(UWS!$G$10:$Z$41,MATCH($C135,UWS!$B$10:$B$41,0),MATCH(AD$4,UWS!$G$3:$Z$3,0)),0)</f>
        <v>0</v>
      </c>
      <c r="AE135" s="47">
        <f>IFERROR(INDEX(UWS!$G$10:$Z$41,MATCH($C135,UWS!$B$10:$B$41,0),MATCH(AE$4,UWS!$G$3:$Z$3,0)),0)</f>
        <v>0</v>
      </c>
      <c r="AF135" s="47">
        <f>IFERROR(INDEX(UWS!$G$10:$Z$41,MATCH($C135,UWS!$B$10:$B$41,0),MATCH(AF$4,UWS!$G$3:$Z$3,0)),0)</f>
        <v>0</v>
      </c>
      <c r="AG135" s="47">
        <f>IFERROR(INDEX(UWS!$G$10:$Z$41,MATCH($C135,UWS!$B$10:$B$41,0),MATCH(AG$4,UWS!$G$3:$Z$3,0)),0)</f>
        <v>0</v>
      </c>
      <c r="AH135" s="47">
        <f>IFERROR(INDEX(UWS!$G$10:$Z$41,MATCH($C135,UWS!$B$10:$B$41,0),MATCH(AH$4,UWS!$G$3:$Z$3,0)),0)</f>
        <v>0</v>
      </c>
      <c r="AI135" s="47">
        <f>IFERROR(INDEX(UWS!$G$10:$Z$41,MATCH($C135,UWS!$B$10:$B$41,0),MATCH(AI$4,UWS!$G$3:$Z$3,0)),0)</f>
        <v>0</v>
      </c>
      <c r="AJ135" s="47"/>
      <c r="AK135" s="47" t="e">
        <f>IF(OR($J135=0,COUNTIFS($A$4:$A134,"&gt;="&amp;$A135-1,$A$4:$A134,"&lt;="&amp;$A135,$B$4:$B134,$B135)&gt;0,MIN(AK$1,IF($A135=$A134,AK134,1))-P135&lt;0),-1,MIN(1,IF($A135=$A134,AK134,1)-P135+$D$3))</f>
        <v>#N/A</v>
      </c>
      <c r="AL135" s="47" t="e">
        <f>IF(OR($J135=0,COUNTIFS($A$4:$A134,"&gt;="&amp;$A135-1,$A$4:$A134,"&lt;="&amp;$A135,$B$4:$B134,$B135)&gt;0,MIN(AL$1,IF($A135=$A134,AL134,1))-Q135&lt;0),-1,MIN(1,IF($A135=$A134,AL134,1)-Q135+$D$3))</f>
        <v>#N/A</v>
      </c>
      <c r="AM135" s="47" t="e">
        <f>IF(OR($J135=0,COUNTIFS($A$4:$A134,"&gt;="&amp;$A135-1,$A$4:$A134,"&lt;="&amp;$A135,$B$4:$B134,$B135)&gt;0,MIN(AM$1,IF($A135=$A134,AM134,1))-R135&lt;0),-1,MIN(1,IF($A135=$A134,AM134,1)-R135+$D$3))</f>
        <v>#N/A</v>
      </c>
      <c r="AN135" s="47" t="e">
        <f>IF(OR($J135=0,COUNTIFS($A$4:$A134,"&gt;="&amp;$A135-1,$A$4:$A134,"&lt;="&amp;$A135,$B$4:$B134,$B135)&gt;0,MIN(AN$1,IF($A135=$A134,AN134,1))-S135&lt;0),-1,MIN(1,IF($A135=$A134,AN134,1)-S135+$D$3))</f>
        <v>#N/A</v>
      </c>
      <c r="AO135" s="47" t="e">
        <f>IF(OR($J135=0,COUNTIFS($A$4:$A134,"&gt;="&amp;$A135-1,$A$4:$A134,"&lt;="&amp;$A135,$B$4:$B134,$B135)&gt;0,MIN(AO$1,IF($A135=$A134,AO134,1))-T135&lt;0),-1,MIN(1,IF($A135=$A134,AO134,1)-T135+$D$3))</f>
        <v>#N/A</v>
      </c>
      <c r="AP135" s="47" t="e">
        <f>IF(OR($J135=0,COUNTIFS($A$4:$A134,"&gt;="&amp;$A135-1,$A$4:$A134,"&lt;="&amp;$A135,$B$4:$B134,$B135)&gt;0,MIN(AP$1,IF($A135=$A134,AP134,1))-U135&lt;0),-1,MIN(1,IF($A135=$A134,AP134,1)-U135+$D$3))</f>
        <v>#N/A</v>
      </c>
      <c r="AQ135" s="47" t="e">
        <f>IF(OR($J135=0,COUNTIFS($A$4:$A134,"&gt;="&amp;$A135-1,$A$4:$A134,"&lt;="&amp;$A135,$B$4:$B134,$B135)&gt;0,MIN(AQ$1,IF($A135=$A134,AQ134,1))-V135&lt;0),-1,MIN(1,IF($A135=$A134,AQ134,1)-V135+$D$3))</f>
        <v>#N/A</v>
      </c>
      <c r="AR135" s="47" t="e">
        <f>IF(OR($J135=0,COUNTIFS($A$4:$A134,"&gt;="&amp;$A135-1,$A$4:$A134,"&lt;="&amp;$A135,$B$4:$B134,$B135)&gt;0,MIN(AR$1,IF($A135=$A134,AR134,1))-W135&lt;0),-1,MIN(1,IF($A135=$A134,AR134,1)-W135+$D$3))</f>
        <v>#N/A</v>
      </c>
      <c r="AS135" s="47" t="e">
        <f>IF(OR($J135=0,COUNTIFS($A$4:$A134,"&gt;="&amp;$A135-1,$A$4:$A134,"&lt;="&amp;$A135,$B$4:$B134,$B135)&gt;0,MIN(AS$1,IF($A135=$A134,AS134,1))-X135&lt;0),-1,MIN(1,IF($A135=$A134,AS134,1)-X135+$D$3))</f>
        <v>#N/A</v>
      </c>
      <c r="AT135" s="47" t="e">
        <f>IF(OR($J135=0,COUNTIFS($A$4:$A134,"&gt;="&amp;$A135-1,$A$4:$A134,"&lt;="&amp;$A135,$B$4:$B134,$B135)&gt;0,MIN(AT$1,IF($A135=$A134,AT134,1))-Y135&lt;0),-1,MIN(1,IF($A135=$A134,AT134,1)-Y135+$D$3))</f>
        <v>#N/A</v>
      </c>
      <c r="AU135" s="47" t="e">
        <f>IF(OR($J135=0,COUNTIFS($A$4:$A134,"&gt;="&amp;$A135-1,$A$4:$A134,"&lt;="&amp;$A135,$B$4:$B134,$B135)&gt;0,MIN(AU$1,IF($A135=$A134,AU134,1))-Z135&lt;0),-1,MIN(1,IF($A135=$A134,AU134,1)-Z135+$D$3))</f>
        <v>#N/A</v>
      </c>
      <c r="AV135" s="47" t="e">
        <f>IF(OR($J135=0,COUNTIFS($A$4:$A134,"&gt;="&amp;$A135-1,$A$4:$A134,"&lt;="&amp;$A135,$B$4:$B134,$B135)&gt;0,MIN(AV$1,IF($A135=$A134,AV134,1))-AA135&lt;0),-1,MIN(1,IF($A135=$A134,AV134,1)-AA135+$D$3))</f>
        <v>#N/A</v>
      </c>
      <c r="AW135" s="47" t="e">
        <f>IF(OR($J135=0,COUNTIFS($A$4:$A134,"&gt;="&amp;$A135-1,$A$4:$A134,"&lt;="&amp;$A135,$B$4:$B134,$B135)&gt;0,MIN(AW$1,IF($A135=$A134,AW134,1))-AB135&lt;0),-1,MIN(1,IF($A135=$A134,AW134,1)-AB135+$D$3))</f>
        <v>#N/A</v>
      </c>
      <c r="AX135" s="47" t="e">
        <f>IF(OR($J135=0,COUNTIFS($A$4:$A134,"&gt;="&amp;$A135-1,$A$4:$A134,"&lt;="&amp;$A135,$B$4:$B134,$B135)&gt;0,MIN(AX$1,IF($A135=$A134,AX134,1))-AC135&lt;0),-1,MIN(1,IF($A135=$A134,AX134,1)-AC135+$D$3))</f>
        <v>#N/A</v>
      </c>
      <c r="AY135" s="47" t="e">
        <f>IF(OR($J135=0,COUNTIFS($A$4:$A134,"&gt;="&amp;$A135-1,$A$4:$A134,"&lt;="&amp;$A135,$B$4:$B134,$B135)&gt;0,MIN(AY$1,IF($A135=$A134,AY134,1))-AD135&lt;0),-1,MIN(1,IF($A135=$A134,AY134,1)-AD135+$D$3))</f>
        <v>#N/A</v>
      </c>
      <c r="AZ135" s="47" t="e">
        <f>IF(OR($J135=0,COUNTIFS($A$4:$A134,"&gt;="&amp;$A135-1,$A$4:$A134,"&lt;="&amp;$A135,$B$4:$B134,$B135)&gt;0,MIN(AZ$1,IF($A135=$A134,AZ134,1))-AE135&lt;0),-1,MIN(1,IF($A135=$A134,AZ134,1)-AE135+$D$3))</f>
        <v>#N/A</v>
      </c>
      <c r="BA135" s="47" t="e">
        <f>IF(OR($J135=0,COUNTIFS($A$4:$A134,"&gt;="&amp;$A135-1,$A$4:$A134,"&lt;="&amp;$A135,$B$4:$B134,$B135)&gt;0,MIN(BA$1,IF($A135=$A134,BA134,1))-AF135&lt;0),-1,MIN(1,IF($A135=$A134,BA134,1)-AF135+$D$3))</f>
        <v>#N/A</v>
      </c>
      <c r="BB135" s="47" t="e">
        <f>IF(OR($J135=0,COUNTIFS($A$4:$A134,"&gt;="&amp;$A135-1,$A$4:$A134,"&lt;="&amp;$A135,$B$4:$B134,$B135)&gt;0,MIN(BB$1,IF($A135=$A134,BB134,1))-AG135&lt;0),-1,MIN(1,IF($A135=$A134,BB134,1)-AG135+$D$3))</f>
        <v>#N/A</v>
      </c>
      <c r="BC135" s="47" t="e">
        <f>IF(OR($J135=0,COUNTIFS($A$4:$A134,"&gt;="&amp;$A135-1,$A$4:$A134,"&lt;="&amp;$A135,$B$4:$B134,$B135)&gt;0,MIN(BC$1,IF($A135=$A134,BC134,1))-AH135&lt;0),-1,MIN(1,IF($A135=$A134,BC134,1)-AH135+$D$3))</f>
        <v>#N/A</v>
      </c>
      <c r="BD135" s="47" t="e">
        <f>IF(OR($J135=0,COUNTIFS($A$4:$A134,"&gt;="&amp;$A135-1,$A$4:$A134,"&lt;="&amp;$A135,$B$4:$B134,$B135)&gt;0,MIN(BD$1,IF($A135=$A134,BD134,1))-AI135&lt;0),-1,MIN(1,IF($A135=$A134,BD134,1)-AI135+$D$3))</f>
        <v>#N/A</v>
      </c>
      <c r="BE135" s="47"/>
      <c r="BF135" s="53">
        <f t="shared" si="223"/>
        <v>2.5591644050657154E-3</v>
      </c>
      <c r="BG135" s="53">
        <f t="shared" si="224"/>
        <v>6.293707420296531E-3</v>
      </c>
      <c r="BH135" s="53">
        <f t="shared" si="225"/>
        <v>6.4503880726200346E-3</v>
      </c>
      <c r="BI135" s="53">
        <f t="shared" si="226"/>
        <v>5.9583677044510704E-3</v>
      </c>
      <c r="BJ135" s="53">
        <f t="shared" si="227"/>
        <v>6.1585386859070281E-3</v>
      </c>
      <c r="BK135" s="53">
        <f t="shared" si="228"/>
        <v>2.6447061324713392E-3</v>
      </c>
      <c r="BL135" s="53">
        <f t="shared" si="229"/>
        <v>1.4287118603206811E-3</v>
      </c>
      <c r="BM135" s="53">
        <f t="shared" si="230"/>
        <v>3.6344761347772408E-3</v>
      </c>
      <c r="BN135" s="53">
        <f t="shared" si="231"/>
        <v>3.7801384344510838E-3</v>
      </c>
      <c r="BO135" s="53">
        <f t="shared" si="232"/>
        <v>1.7715163101738453E-3</v>
      </c>
      <c r="BP135" s="53">
        <f t="shared" si="233"/>
        <v>5.9566841232246582E-3</v>
      </c>
      <c r="BQ135" s="53">
        <f t="shared" si="234"/>
        <v>1.6074624660763371E-3</v>
      </c>
      <c r="BR135" s="53">
        <f t="shared" si="235"/>
        <v>4.7488465147261689E-3</v>
      </c>
      <c r="BS135" s="53">
        <f t="shared" si="236"/>
        <v>2.5611159431256848E-3</v>
      </c>
      <c r="BT135" s="53">
        <f t="shared" si="237"/>
        <v>1.0135120964776468E-2</v>
      </c>
      <c r="BU135" s="53">
        <f t="shared" si="238"/>
        <v>9.6820902958220482E-3</v>
      </c>
      <c r="BV135" s="53">
        <f t="shared" si="239"/>
        <v>9.2983591951792018E-3</v>
      </c>
      <c r="BW135" s="53">
        <f t="shared" si="240"/>
        <v>6.0816386062331803E-3</v>
      </c>
      <c r="BX135" s="53">
        <f t="shared" si="241"/>
        <v>4.4930041642751994E-3</v>
      </c>
      <c r="BY135" s="53">
        <f t="shared" si="242"/>
        <v>3.8577604872216693E-3</v>
      </c>
      <c r="BZ135" s="47"/>
      <c r="CA135" s="53" t="str">
        <f t="shared" si="243"/>
        <v/>
      </c>
      <c r="CB135" s="53" t="str">
        <f t="shared" si="244"/>
        <v/>
      </c>
      <c r="CC135" s="53" t="str">
        <f t="shared" si="245"/>
        <v/>
      </c>
      <c r="CD135" s="53" t="str">
        <f t="shared" si="246"/>
        <v/>
      </c>
      <c r="CE135" s="53" t="str">
        <f t="shared" si="247"/>
        <v/>
      </c>
      <c r="CF135" s="53" t="str">
        <f t="shared" si="248"/>
        <v/>
      </c>
      <c r="CG135" s="53" t="str">
        <f t="shared" si="249"/>
        <v/>
      </c>
      <c r="CH135" s="53" t="str">
        <f t="shared" si="250"/>
        <v/>
      </c>
      <c r="CI135" s="53" t="str">
        <f t="shared" si="251"/>
        <v/>
      </c>
      <c r="CJ135" s="53" t="str">
        <f t="shared" si="252"/>
        <v/>
      </c>
      <c r="CK135" s="53" t="str">
        <f t="shared" si="253"/>
        <v/>
      </c>
      <c r="CL135" s="53" t="str">
        <f t="shared" si="254"/>
        <v/>
      </c>
      <c r="CM135" s="53" t="str">
        <f t="shared" si="255"/>
        <v/>
      </c>
      <c r="CN135" s="53" t="str">
        <f t="shared" si="256"/>
        <v/>
      </c>
      <c r="CO135" s="53" t="str">
        <f t="shared" si="257"/>
        <v/>
      </c>
      <c r="CP135" s="53" t="str">
        <f t="shared" si="258"/>
        <v/>
      </c>
      <c r="CQ135" s="53" t="str">
        <f t="shared" si="259"/>
        <v/>
      </c>
      <c r="CR135" s="53" t="str">
        <f t="shared" si="260"/>
        <v/>
      </c>
      <c r="CS135" s="53" t="str">
        <f t="shared" si="261"/>
        <v/>
      </c>
      <c r="CT135" s="53" t="str">
        <f t="shared" si="262"/>
        <v/>
      </c>
      <c r="CU135" s="47"/>
      <c r="CV135" s="53">
        <f t="shared" si="263"/>
        <v>0</v>
      </c>
    </row>
    <row r="136" spans="1:100" x14ac:dyDescent="0.25">
      <c r="A136" s="41"/>
      <c r="B136" s="42"/>
      <c r="C136" s="43" t="str" cm="1">
        <f t="array" ref="C136">IF(B136="","",INDEX(UWS!$B$10:$B$41,B136))</f>
        <v/>
      </c>
      <c r="D136" s="40" t="str">
        <f t="shared" si="220"/>
        <v/>
      </c>
      <c r="E136" s="69" t="str">
        <f t="shared" si="221"/>
        <v/>
      </c>
      <c r="F136" s="48" cm="1">
        <f t="array" ref="F136">0.1+IFERROR(INDEX($F$5:$F135,SUMPRODUCT(MAX(ROW($C$5:$C135)*($C136=$C$5:$C135))-ROW($A$4)))*0.9^($A136-INDEX($A$5:A135,SUMPRODUCT(MAX(ROW($C$5:$C135)*($C136=$C$5:$C135))-ROW($A$4)))),0)</f>
        <v>7.0999999999999908</v>
      </c>
      <c r="G136" s="55" t="e">
        <f>INDEX(UWS!$AB$10:$AB$41,MATCH(C136,UWS!$B$10:$B$41,0))</f>
        <v>#N/A</v>
      </c>
      <c r="H136" s="48" t="e">
        <f>INDEX(UWS!$C$10:$C$41,MATCH(C136,UWS!$B$10:$B$41,0))</f>
        <v>#N/A</v>
      </c>
      <c r="I136" s="82">
        <f t="shared" si="222"/>
        <v>5</v>
      </c>
      <c r="J136" s="27" t="e">
        <f>INDEX(UWS!$E$10:$E$41,MATCH(C136,UWS!$B$10:$B$41,0))</f>
        <v>#N/A</v>
      </c>
      <c r="L136" s="108" t="str" cm="1">
        <f t="array" ref="L136">IF(K136="","",INDEX(UWS!$B$10:$B$41,K136))</f>
        <v/>
      </c>
      <c r="N136" s="108" t="str" cm="1">
        <f t="array" ref="N136">IF(M136="","",INDEX(UWS!$B$10:$B$41,M136))</f>
        <v/>
      </c>
      <c r="P136">
        <f>IFERROR(INDEX(UWS!$G$10:$Z$41,MATCH($C136,UWS!$B$10:$B$41,0),MATCH(P$4,UWS!$G$3:$Z$3,0)),0)</f>
        <v>0</v>
      </c>
      <c r="Q136">
        <f>IFERROR(INDEX(UWS!$G$10:$Z$41,MATCH($C136,UWS!$B$10:$B$41,0),MATCH(Q$4,UWS!$G$3:$Z$3,0)),0)</f>
        <v>0</v>
      </c>
      <c r="R136">
        <f>IFERROR(INDEX(UWS!$G$10:$Z$41,MATCH($C136,UWS!$B$10:$B$41,0),MATCH(R$4,UWS!$G$3:$Z$3,0)),0)</f>
        <v>0</v>
      </c>
      <c r="S136">
        <f>IFERROR(INDEX(UWS!$G$10:$Z$41,MATCH($C136,UWS!$B$10:$B$41,0),MATCH(S$4,UWS!$G$3:$Z$3,0)),0)</f>
        <v>0</v>
      </c>
      <c r="T136">
        <f>IFERROR(INDEX(UWS!$G$10:$Z$41,MATCH($C136,UWS!$B$10:$B$41,0),MATCH(T$4,UWS!$G$3:$Z$3,0)),0)</f>
        <v>0</v>
      </c>
      <c r="U136">
        <f>IFERROR(INDEX(UWS!$G$10:$Z$41,MATCH($C136,UWS!$B$10:$B$41,0),MATCH(U$4,UWS!$G$3:$Z$3,0)),0)</f>
        <v>0</v>
      </c>
      <c r="V136">
        <f>IFERROR(INDEX(UWS!$G$10:$Z$41,MATCH($C136,UWS!$B$10:$B$41,0),MATCH(V$4,UWS!$G$3:$Z$3,0)),0)</f>
        <v>0</v>
      </c>
      <c r="W136">
        <f>IFERROR(INDEX(UWS!$G$10:$Z$41,MATCH($C136,UWS!$B$10:$B$41,0),MATCH(W$4,UWS!$G$3:$Z$3,0)),0)</f>
        <v>0</v>
      </c>
      <c r="X136">
        <f>IFERROR(INDEX(UWS!$G$10:$Z$41,MATCH($C136,UWS!$B$10:$B$41,0),MATCH(X$4,UWS!$G$3:$Z$3,0)),0)</f>
        <v>0</v>
      </c>
      <c r="Y136">
        <f>IFERROR(INDEX(UWS!$G$10:$Z$41,MATCH($C136,UWS!$B$10:$B$41,0),MATCH(Y$4,UWS!$G$3:$Z$3,0)),0)</f>
        <v>0</v>
      </c>
      <c r="Z136">
        <f>IFERROR(INDEX(UWS!$G$10:$Z$41,MATCH($C136,UWS!$B$10:$B$41,0),MATCH(Z$4,UWS!$G$3:$Z$3,0)),0)</f>
        <v>0</v>
      </c>
      <c r="AA136">
        <f>IFERROR(INDEX(UWS!$G$10:$Z$41,MATCH($C136,UWS!$B$10:$B$41,0),MATCH(AA$4,UWS!$G$3:$Z$3,0)),0)</f>
        <v>0</v>
      </c>
      <c r="AB136">
        <f>IFERROR(INDEX(UWS!$G$10:$Z$41,MATCH($C136,UWS!$B$10:$B$41,0),MATCH(AB$4,UWS!$G$3:$Z$3,0)),0)</f>
        <v>0</v>
      </c>
      <c r="AC136">
        <f>IFERROR(INDEX(UWS!$G$10:$Z$41,MATCH($C136,UWS!$B$10:$B$41,0),MATCH(AC$4,UWS!$G$3:$Z$3,0)),0)</f>
        <v>0</v>
      </c>
      <c r="AD136">
        <f>IFERROR(INDEX(UWS!$G$10:$Z$41,MATCH($C136,UWS!$B$10:$B$41,0),MATCH(AD$4,UWS!$G$3:$Z$3,0)),0)</f>
        <v>0</v>
      </c>
      <c r="AE136">
        <f>IFERROR(INDEX(UWS!$G$10:$Z$41,MATCH($C136,UWS!$B$10:$B$41,0),MATCH(AE$4,UWS!$G$3:$Z$3,0)),0)</f>
        <v>0</v>
      </c>
      <c r="AF136">
        <f>IFERROR(INDEX(UWS!$G$10:$Z$41,MATCH($C136,UWS!$B$10:$B$41,0),MATCH(AF$4,UWS!$G$3:$Z$3,0)),0)</f>
        <v>0</v>
      </c>
      <c r="AG136">
        <f>IFERROR(INDEX(UWS!$G$10:$Z$41,MATCH($C136,UWS!$B$10:$B$41,0),MATCH(AG$4,UWS!$G$3:$Z$3,0)),0)</f>
        <v>0</v>
      </c>
      <c r="AH136">
        <f>IFERROR(INDEX(UWS!$G$10:$Z$41,MATCH($C136,UWS!$B$10:$B$41,0),MATCH(AH$4,UWS!$G$3:$Z$3,0)),0)</f>
        <v>0</v>
      </c>
      <c r="AI136">
        <f>IFERROR(INDEX(UWS!$G$10:$Z$41,MATCH($C136,UWS!$B$10:$B$41,0),MATCH(AI$4,UWS!$G$3:$Z$3,0)),0)</f>
        <v>0</v>
      </c>
      <c r="AK136" t="e">
        <f>IF(OR($J136=0,COUNTIFS($A$4:$A135,"&gt;="&amp;$A136-1,$A$4:$A135,"&lt;="&amp;$A136,$B$4:$B135,$B136)&gt;0,MIN(AK$1,IF($A136=$A135,AK135,1))-P136&lt;0),-1,MIN(1,IF($A136=$A135,AK135,1)-P136+$D$3))</f>
        <v>#N/A</v>
      </c>
      <c r="AL136" t="e">
        <f>IF(OR($J136=0,COUNTIFS($A$4:$A135,"&gt;="&amp;$A136-1,$A$4:$A135,"&lt;="&amp;$A136,$B$4:$B135,$B136)&gt;0,MIN(AL$1,IF($A136=$A135,AL135,1))-Q136&lt;0),-1,MIN(1,IF($A136=$A135,AL135,1)-Q136+$D$3))</f>
        <v>#N/A</v>
      </c>
      <c r="AM136" t="e">
        <f>IF(OR($J136=0,COUNTIFS($A$4:$A135,"&gt;="&amp;$A136-1,$A$4:$A135,"&lt;="&amp;$A136,$B$4:$B135,$B136)&gt;0,MIN(AM$1,IF($A136=$A135,AM135,1))-R136&lt;0),-1,MIN(1,IF($A136=$A135,AM135,1)-R136+$D$3))</f>
        <v>#N/A</v>
      </c>
      <c r="AN136" t="e">
        <f>IF(OR($J136=0,COUNTIFS($A$4:$A135,"&gt;="&amp;$A136-1,$A$4:$A135,"&lt;="&amp;$A136,$B$4:$B135,$B136)&gt;0,MIN(AN$1,IF($A136=$A135,AN135,1))-S136&lt;0),-1,MIN(1,IF($A136=$A135,AN135,1)-S136+$D$3))</f>
        <v>#N/A</v>
      </c>
      <c r="AO136" t="e">
        <f>IF(OR($J136=0,COUNTIFS($A$4:$A135,"&gt;="&amp;$A136-1,$A$4:$A135,"&lt;="&amp;$A136,$B$4:$B135,$B136)&gt;0,MIN(AO$1,IF($A136=$A135,AO135,1))-T136&lt;0),-1,MIN(1,IF($A136=$A135,AO135,1)-T136+$D$3))</f>
        <v>#N/A</v>
      </c>
      <c r="AP136" t="e">
        <f>IF(OR($J136=0,COUNTIFS($A$4:$A135,"&gt;="&amp;$A136-1,$A$4:$A135,"&lt;="&amp;$A136,$B$4:$B135,$B136)&gt;0,MIN(AP$1,IF($A136=$A135,AP135,1))-U136&lt;0),-1,MIN(1,IF($A136=$A135,AP135,1)-U136+$D$3))</f>
        <v>#N/A</v>
      </c>
      <c r="AQ136" t="e">
        <f>IF(OR($J136=0,COUNTIFS($A$4:$A135,"&gt;="&amp;$A136-1,$A$4:$A135,"&lt;="&amp;$A136,$B$4:$B135,$B136)&gt;0,MIN(AQ$1,IF($A136=$A135,AQ135,1))-V136&lt;0),-1,MIN(1,IF($A136=$A135,AQ135,1)-V136+$D$3))</f>
        <v>#N/A</v>
      </c>
      <c r="AR136" t="e">
        <f>IF(OR($J136=0,COUNTIFS($A$4:$A135,"&gt;="&amp;$A136-1,$A$4:$A135,"&lt;="&amp;$A136,$B$4:$B135,$B136)&gt;0,MIN(AR$1,IF($A136=$A135,AR135,1))-W136&lt;0),-1,MIN(1,IF($A136=$A135,AR135,1)-W136+$D$3))</f>
        <v>#N/A</v>
      </c>
      <c r="AS136" t="e">
        <f>IF(OR($J136=0,COUNTIFS($A$4:$A135,"&gt;="&amp;$A136-1,$A$4:$A135,"&lt;="&amp;$A136,$B$4:$B135,$B136)&gt;0,MIN(AS$1,IF($A136=$A135,AS135,1))-X136&lt;0),-1,MIN(1,IF($A136=$A135,AS135,1)-X136+$D$3))</f>
        <v>#N/A</v>
      </c>
      <c r="AT136" t="e">
        <f>IF(OR($J136=0,COUNTIFS($A$4:$A135,"&gt;="&amp;$A136-1,$A$4:$A135,"&lt;="&amp;$A136,$B$4:$B135,$B136)&gt;0,MIN(AT$1,IF($A136=$A135,AT135,1))-Y136&lt;0),-1,MIN(1,IF($A136=$A135,AT135,1)-Y136+$D$3))</f>
        <v>#N/A</v>
      </c>
      <c r="AU136" t="e">
        <f>IF(OR($J136=0,COUNTIFS($A$4:$A135,"&gt;="&amp;$A136-1,$A$4:$A135,"&lt;="&amp;$A136,$B$4:$B135,$B136)&gt;0,MIN(AU$1,IF($A136=$A135,AU135,1))-Z136&lt;0),-1,MIN(1,IF($A136=$A135,AU135,1)-Z136+$D$3))</f>
        <v>#N/A</v>
      </c>
      <c r="AV136" t="e">
        <f>IF(OR($J136=0,COUNTIFS($A$4:$A135,"&gt;="&amp;$A136-1,$A$4:$A135,"&lt;="&amp;$A136,$B$4:$B135,$B136)&gt;0,MIN(AV$1,IF($A136=$A135,AV135,1))-AA136&lt;0),-1,MIN(1,IF($A136=$A135,AV135,1)-AA136+$D$3))</f>
        <v>#N/A</v>
      </c>
      <c r="AW136" t="e">
        <f>IF(OR($J136=0,COUNTIFS($A$4:$A135,"&gt;="&amp;$A136-1,$A$4:$A135,"&lt;="&amp;$A136,$B$4:$B135,$B136)&gt;0,MIN(AW$1,IF($A136=$A135,AW135,1))-AB136&lt;0),-1,MIN(1,IF($A136=$A135,AW135,1)-AB136+$D$3))</f>
        <v>#N/A</v>
      </c>
      <c r="AX136" t="e">
        <f>IF(OR($J136=0,COUNTIFS($A$4:$A135,"&gt;="&amp;$A136-1,$A$4:$A135,"&lt;="&amp;$A136,$B$4:$B135,$B136)&gt;0,MIN(AX$1,IF($A136=$A135,AX135,1))-AC136&lt;0),-1,MIN(1,IF($A136=$A135,AX135,1)-AC136+$D$3))</f>
        <v>#N/A</v>
      </c>
      <c r="AY136" t="e">
        <f>IF(OR($J136=0,COUNTIFS($A$4:$A135,"&gt;="&amp;$A136-1,$A$4:$A135,"&lt;="&amp;$A136,$B$4:$B135,$B136)&gt;0,MIN(AY$1,IF($A136=$A135,AY135,1))-AD136&lt;0),-1,MIN(1,IF($A136=$A135,AY135,1)-AD136+$D$3))</f>
        <v>#N/A</v>
      </c>
      <c r="AZ136" t="e">
        <f>IF(OR($J136=0,COUNTIFS($A$4:$A135,"&gt;="&amp;$A136-1,$A$4:$A135,"&lt;="&amp;$A136,$B$4:$B135,$B136)&gt;0,MIN(AZ$1,IF($A136=$A135,AZ135,1))-AE136&lt;0),-1,MIN(1,IF($A136=$A135,AZ135,1)-AE136+$D$3))</f>
        <v>#N/A</v>
      </c>
      <c r="BA136" t="e">
        <f>IF(OR($J136=0,COUNTIFS($A$4:$A135,"&gt;="&amp;$A136-1,$A$4:$A135,"&lt;="&amp;$A136,$B$4:$B135,$B136)&gt;0,MIN(BA$1,IF($A136=$A135,BA135,1))-AF136&lt;0),-1,MIN(1,IF($A136=$A135,BA135,1)-AF136+$D$3))</f>
        <v>#N/A</v>
      </c>
      <c r="BB136" t="e">
        <f>IF(OR($J136=0,COUNTIFS($A$4:$A135,"&gt;="&amp;$A136-1,$A$4:$A135,"&lt;="&amp;$A136,$B$4:$B135,$B136)&gt;0,MIN(BB$1,IF($A136=$A135,BB135,1))-AG136&lt;0),-1,MIN(1,IF($A136=$A135,BB135,1)-AG136+$D$3))</f>
        <v>#N/A</v>
      </c>
      <c r="BC136" t="e">
        <f>IF(OR($J136=0,COUNTIFS($A$4:$A135,"&gt;="&amp;$A136-1,$A$4:$A135,"&lt;="&amp;$A136,$B$4:$B135,$B136)&gt;0,MIN(BC$1,IF($A136=$A135,BC135,1))-AH136&lt;0),-1,MIN(1,IF($A136=$A135,BC135,1)-AH136+$D$3))</f>
        <v>#N/A</v>
      </c>
      <c r="BD136" t="e">
        <f>IF(OR($J136=0,COUNTIFS($A$4:$A135,"&gt;="&amp;$A136-1,$A$4:$A135,"&lt;="&amp;$A136,$B$4:$B135,$B136)&gt;0,MIN(BD$1,IF($A136=$A135,BD135,1))-AI136&lt;0),-1,MIN(1,IF($A136=$A135,BD135,1)-AI136+$D$3))</f>
        <v>#N/A</v>
      </c>
      <c r="BF136" s="44">
        <f t="shared" si="223"/>
        <v>2.4312061848124297E-3</v>
      </c>
      <c r="BG136" s="44">
        <f t="shared" si="224"/>
        <v>5.9790220492817042E-3</v>
      </c>
      <c r="BH136" s="44">
        <f t="shared" si="225"/>
        <v>6.1278686689890324E-3</v>
      </c>
      <c r="BI136" s="44">
        <f t="shared" si="226"/>
        <v>5.6604493192285166E-3</v>
      </c>
      <c r="BJ136" s="44">
        <f t="shared" si="227"/>
        <v>5.850611751611676E-3</v>
      </c>
      <c r="BK136" s="44">
        <f t="shared" si="228"/>
        <v>2.5124708258477723E-3</v>
      </c>
      <c r="BL136" s="44">
        <f t="shared" si="229"/>
        <v>1.3572762673046469E-3</v>
      </c>
      <c r="BM136" s="44">
        <f t="shared" si="230"/>
        <v>3.4527523280383785E-3</v>
      </c>
      <c r="BN136" s="44">
        <f t="shared" si="231"/>
        <v>3.5911315127285293E-3</v>
      </c>
      <c r="BO136" s="44">
        <f t="shared" si="232"/>
        <v>1.682940494665153E-3</v>
      </c>
      <c r="BP136" s="44">
        <f t="shared" si="233"/>
        <v>5.6588499170634248E-3</v>
      </c>
      <c r="BQ136" s="44">
        <f t="shared" si="234"/>
        <v>1.5270893427725201E-3</v>
      </c>
      <c r="BR136" s="44">
        <f t="shared" si="235"/>
        <v>4.5114041889898603E-3</v>
      </c>
      <c r="BS136" s="44">
        <f t="shared" si="236"/>
        <v>2.4330601459694005E-3</v>
      </c>
      <c r="BT136" s="44">
        <f t="shared" si="237"/>
        <v>9.6283649165376448E-3</v>
      </c>
      <c r="BU136" s="44">
        <f t="shared" si="238"/>
        <v>9.1979857810309453E-3</v>
      </c>
      <c r="BV136" s="44">
        <f t="shared" si="239"/>
        <v>8.8334412354202415E-3</v>
      </c>
      <c r="BW136" s="44">
        <f t="shared" si="240"/>
        <v>5.7775566759215207E-3</v>
      </c>
      <c r="BX136" s="44">
        <f t="shared" si="241"/>
        <v>4.2683539560614391E-3</v>
      </c>
      <c r="BY136" s="44">
        <f t="shared" si="242"/>
        <v>3.6648724628605858E-3</v>
      </c>
      <c r="CA136" s="44" t="str">
        <f t="shared" si="243"/>
        <v/>
      </c>
      <c r="CB136" s="44" t="str">
        <f t="shared" si="244"/>
        <v/>
      </c>
      <c r="CC136" s="44" t="str">
        <f t="shared" si="245"/>
        <v/>
      </c>
      <c r="CD136" s="44" t="str">
        <f t="shared" si="246"/>
        <v/>
      </c>
      <c r="CE136" s="44" t="str">
        <f t="shared" si="247"/>
        <v/>
      </c>
      <c r="CF136" s="44" t="str">
        <f t="shared" si="248"/>
        <v/>
      </c>
      <c r="CG136" s="44" t="str">
        <f t="shared" si="249"/>
        <v/>
      </c>
      <c r="CH136" s="44" t="str">
        <f t="shared" si="250"/>
        <v/>
      </c>
      <c r="CI136" s="44" t="str">
        <f t="shared" si="251"/>
        <v/>
      </c>
      <c r="CJ136" s="44" t="str">
        <f t="shared" si="252"/>
        <v/>
      </c>
      <c r="CK136" s="44" t="str">
        <f t="shared" si="253"/>
        <v/>
      </c>
      <c r="CL136" s="44" t="str">
        <f t="shared" si="254"/>
        <v/>
      </c>
      <c r="CM136" s="44" t="str">
        <f t="shared" si="255"/>
        <v/>
      </c>
      <c r="CN136" s="44" t="str">
        <f t="shared" si="256"/>
        <v/>
      </c>
      <c r="CO136" s="44" t="str">
        <f t="shared" si="257"/>
        <v/>
      </c>
      <c r="CP136" s="44" t="str">
        <f t="shared" si="258"/>
        <v/>
      </c>
      <c r="CQ136" s="44" t="str">
        <f t="shared" si="259"/>
        <v/>
      </c>
      <c r="CR136" s="44" t="str">
        <f t="shared" si="260"/>
        <v/>
      </c>
      <c r="CS136" s="44" t="str">
        <f t="shared" si="261"/>
        <v/>
      </c>
      <c r="CT136" s="44" t="str">
        <f t="shared" si="262"/>
        <v/>
      </c>
      <c r="CV136" s="44">
        <f t="shared" si="263"/>
        <v>0</v>
      </c>
    </row>
    <row r="137" spans="1:100" x14ac:dyDescent="0.25">
      <c r="A137" s="41"/>
      <c r="B137" s="42"/>
      <c r="C137" s="43" t="str" cm="1">
        <f t="array" ref="C137">IF(B137="","",INDEX(UWS!$B$10:$B$41,B137))</f>
        <v/>
      </c>
      <c r="D137" s="40" t="str">
        <f t="shared" si="220"/>
        <v/>
      </c>
      <c r="E137" s="69" t="str">
        <f t="shared" si="221"/>
        <v/>
      </c>
      <c r="F137" s="48" cm="1">
        <f t="array" ref="F137">0.1+IFERROR(INDEX($F$5:$F136,SUMPRODUCT(MAX(ROW($C$5:$C136)*($C137=$C$5:$C136))-ROW($A$4)))*0.9^($A137-INDEX($A$5:A136,SUMPRODUCT(MAX(ROW($C$5:$C136)*($C137=$C$5:$C136))-ROW($A$4)))),0)</f>
        <v>7.1999999999999904</v>
      </c>
      <c r="G137" s="55" t="e">
        <f>INDEX(UWS!$AB$10:$AB$41,MATCH(C137,UWS!$B$10:$B$41,0))</f>
        <v>#N/A</v>
      </c>
      <c r="H137" s="48" t="e">
        <f>INDEX(UWS!$C$10:$C$41,MATCH(C137,UWS!$B$10:$B$41,0))</f>
        <v>#N/A</v>
      </c>
      <c r="I137" s="27">
        <f t="shared" si="222"/>
        <v>5</v>
      </c>
      <c r="J137" s="27" t="e">
        <f>INDEX(UWS!$E$10:$E$41,MATCH(C137,UWS!$B$10:$B$41,0))</f>
        <v>#N/A</v>
      </c>
      <c r="L137" s="108" t="str" cm="1">
        <f t="array" ref="L137">IF(K137="","",INDEX(UWS!$B$10:$B$41,K137))</f>
        <v/>
      </c>
      <c r="N137" s="108" t="str" cm="1">
        <f t="array" ref="N137">IF(M137="","",INDEX(UWS!$B$10:$B$41,M137))</f>
        <v/>
      </c>
      <c r="P137">
        <f>IFERROR(INDEX(UWS!$G$10:$Z$41,MATCH($C137,UWS!$B$10:$B$41,0),MATCH(P$4,UWS!$G$3:$Z$3,0)),0)</f>
        <v>0</v>
      </c>
      <c r="Q137">
        <f>IFERROR(INDEX(UWS!$G$10:$Z$41,MATCH($C137,UWS!$B$10:$B$41,0),MATCH(Q$4,UWS!$G$3:$Z$3,0)),0)</f>
        <v>0</v>
      </c>
      <c r="R137">
        <f>IFERROR(INDEX(UWS!$G$10:$Z$41,MATCH($C137,UWS!$B$10:$B$41,0),MATCH(R$4,UWS!$G$3:$Z$3,0)),0)</f>
        <v>0</v>
      </c>
      <c r="S137">
        <f>IFERROR(INDEX(UWS!$G$10:$Z$41,MATCH($C137,UWS!$B$10:$B$41,0),MATCH(S$4,UWS!$G$3:$Z$3,0)),0)</f>
        <v>0</v>
      </c>
      <c r="T137">
        <f>IFERROR(INDEX(UWS!$G$10:$Z$41,MATCH($C137,UWS!$B$10:$B$41,0),MATCH(T$4,UWS!$G$3:$Z$3,0)),0)</f>
        <v>0</v>
      </c>
      <c r="U137">
        <f>IFERROR(INDEX(UWS!$G$10:$Z$41,MATCH($C137,UWS!$B$10:$B$41,0),MATCH(U$4,UWS!$G$3:$Z$3,0)),0)</f>
        <v>0</v>
      </c>
      <c r="V137">
        <f>IFERROR(INDEX(UWS!$G$10:$Z$41,MATCH($C137,UWS!$B$10:$B$41,0),MATCH(V$4,UWS!$G$3:$Z$3,0)),0)</f>
        <v>0</v>
      </c>
      <c r="W137">
        <f>IFERROR(INDEX(UWS!$G$10:$Z$41,MATCH($C137,UWS!$B$10:$B$41,0),MATCH(W$4,UWS!$G$3:$Z$3,0)),0)</f>
        <v>0</v>
      </c>
      <c r="X137">
        <f>IFERROR(INDEX(UWS!$G$10:$Z$41,MATCH($C137,UWS!$B$10:$B$41,0),MATCH(X$4,UWS!$G$3:$Z$3,0)),0)</f>
        <v>0</v>
      </c>
      <c r="Y137">
        <f>IFERROR(INDEX(UWS!$G$10:$Z$41,MATCH($C137,UWS!$B$10:$B$41,0),MATCH(Y$4,UWS!$G$3:$Z$3,0)),0)</f>
        <v>0</v>
      </c>
      <c r="Z137">
        <f>IFERROR(INDEX(UWS!$G$10:$Z$41,MATCH($C137,UWS!$B$10:$B$41,0),MATCH(Z$4,UWS!$G$3:$Z$3,0)),0)</f>
        <v>0</v>
      </c>
      <c r="AA137">
        <f>IFERROR(INDEX(UWS!$G$10:$Z$41,MATCH($C137,UWS!$B$10:$B$41,0),MATCH(AA$4,UWS!$G$3:$Z$3,0)),0)</f>
        <v>0</v>
      </c>
      <c r="AB137">
        <f>IFERROR(INDEX(UWS!$G$10:$Z$41,MATCH($C137,UWS!$B$10:$B$41,0),MATCH(AB$4,UWS!$G$3:$Z$3,0)),0)</f>
        <v>0</v>
      </c>
      <c r="AC137">
        <f>IFERROR(INDEX(UWS!$G$10:$Z$41,MATCH($C137,UWS!$B$10:$B$41,0),MATCH(AC$4,UWS!$G$3:$Z$3,0)),0)</f>
        <v>0</v>
      </c>
      <c r="AD137">
        <f>IFERROR(INDEX(UWS!$G$10:$Z$41,MATCH($C137,UWS!$B$10:$B$41,0),MATCH(AD$4,UWS!$G$3:$Z$3,0)),0)</f>
        <v>0</v>
      </c>
      <c r="AE137">
        <f>IFERROR(INDEX(UWS!$G$10:$Z$41,MATCH($C137,UWS!$B$10:$B$41,0),MATCH(AE$4,UWS!$G$3:$Z$3,0)),0)</f>
        <v>0</v>
      </c>
      <c r="AF137">
        <f>IFERROR(INDEX(UWS!$G$10:$Z$41,MATCH($C137,UWS!$B$10:$B$41,0),MATCH(AF$4,UWS!$G$3:$Z$3,0)),0)</f>
        <v>0</v>
      </c>
      <c r="AG137">
        <f>IFERROR(INDEX(UWS!$G$10:$Z$41,MATCH($C137,UWS!$B$10:$B$41,0),MATCH(AG$4,UWS!$G$3:$Z$3,0)),0)</f>
        <v>0</v>
      </c>
      <c r="AH137">
        <f>IFERROR(INDEX(UWS!$G$10:$Z$41,MATCH($C137,UWS!$B$10:$B$41,0),MATCH(AH$4,UWS!$G$3:$Z$3,0)),0)</f>
        <v>0</v>
      </c>
      <c r="AI137">
        <f>IFERROR(INDEX(UWS!$G$10:$Z$41,MATCH($C137,UWS!$B$10:$B$41,0),MATCH(AI$4,UWS!$G$3:$Z$3,0)),0)</f>
        <v>0</v>
      </c>
      <c r="AK137" t="e">
        <f>IF(OR($J137=0,COUNTIFS($A$4:$A136,"&gt;="&amp;$A137-1,$A$4:$A136,"&lt;="&amp;$A137,$B$4:$B136,$B137)&gt;0,MIN(AK$1,IF($A137=$A136,AK136,1))-P137&lt;0),-1,MIN(1,IF($A137=$A136,AK136,1)-P137+$D$3))</f>
        <v>#N/A</v>
      </c>
      <c r="AL137" t="e">
        <f>IF(OR($J137=0,COUNTIFS($A$4:$A136,"&gt;="&amp;$A137-1,$A$4:$A136,"&lt;="&amp;$A137,$B$4:$B136,$B137)&gt;0,MIN(AL$1,IF($A137=$A136,AL136,1))-Q137&lt;0),-1,MIN(1,IF($A137=$A136,AL136,1)-Q137+$D$3))</f>
        <v>#N/A</v>
      </c>
      <c r="AM137" t="e">
        <f>IF(OR($J137=0,COUNTIFS($A$4:$A136,"&gt;="&amp;$A137-1,$A$4:$A136,"&lt;="&amp;$A137,$B$4:$B136,$B137)&gt;0,MIN(AM$1,IF($A137=$A136,AM136,1))-R137&lt;0),-1,MIN(1,IF($A137=$A136,AM136,1)-R137+$D$3))</f>
        <v>#N/A</v>
      </c>
      <c r="AN137" t="e">
        <f>IF(OR($J137=0,COUNTIFS($A$4:$A136,"&gt;="&amp;$A137-1,$A$4:$A136,"&lt;="&amp;$A137,$B$4:$B136,$B137)&gt;0,MIN(AN$1,IF($A137=$A136,AN136,1))-S137&lt;0),-1,MIN(1,IF($A137=$A136,AN136,1)-S137+$D$3))</f>
        <v>#N/A</v>
      </c>
      <c r="AO137" t="e">
        <f>IF(OR($J137=0,COUNTIFS($A$4:$A136,"&gt;="&amp;$A137-1,$A$4:$A136,"&lt;="&amp;$A137,$B$4:$B136,$B137)&gt;0,MIN(AO$1,IF($A137=$A136,AO136,1))-T137&lt;0),-1,MIN(1,IF($A137=$A136,AO136,1)-T137+$D$3))</f>
        <v>#N/A</v>
      </c>
      <c r="AP137" t="e">
        <f>IF(OR($J137=0,COUNTIFS($A$4:$A136,"&gt;="&amp;$A137-1,$A$4:$A136,"&lt;="&amp;$A137,$B$4:$B136,$B137)&gt;0,MIN(AP$1,IF($A137=$A136,AP136,1))-U137&lt;0),-1,MIN(1,IF($A137=$A136,AP136,1)-U137+$D$3))</f>
        <v>#N/A</v>
      </c>
      <c r="AQ137" t="e">
        <f>IF(OR($J137=0,COUNTIFS($A$4:$A136,"&gt;="&amp;$A137-1,$A$4:$A136,"&lt;="&amp;$A137,$B$4:$B136,$B137)&gt;0,MIN(AQ$1,IF($A137=$A136,AQ136,1))-V137&lt;0),-1,MIN(1,IF($A137=$A136,AQ136,1)-V137+$D$3))</f>
        <v>#N/A</v>
      </c>
      <c r="AR137" t="e">
        <f>IF(OR($J137=0,COUNTIFS($A$4:$A136,"&gt;="&amp;$A137-1,$A$4:$A136,"&lt;="&amp;$A137,$B$4:$B136,$B137)&gt;0,MIN(AR$1,IF($A137=$A136,AR136,1))-W137&lt;0),-1,MIN(1,IF($A137=$A136,AR136,1)-W137+$D$3))</f>
        <v>#N/A</v>
      </c>
      <c r="AS137" t="e">
        <f>IF(OR($J137=0,COUNTIFS($A$4:$A136,"&gt;="&amp;$A137-1,$A$4:$A136,"&lt;="&amp;$A137,$B$4:$B136,$B137)&gt;0,MIN(AS$1,IF($A137=$A136,AS136,1))-X137&lt;0),-1,MIN(1,IF($A137=$A136,AS136,1)-X137+$D$3))</f>
        <v>#N/A</v>
      </c>
      <c r="AT137" t="e">
        <f>IF(OR($J137=0,COUNTIFS($A$4:$A136,"&gt;="&amp;$A137-1,$A$4:$A136,"&lt;="&amp;$A137,$B$4:$B136,$B137)&gt;0,MIN(AT$1,IF($A137=$A136,AT136,1))-Y137&lt;0),-1,MIN(1,IF($A137=$A136,AT136,1)-Y137+$D$3))</f>
        <v>#N/A</v>
      </c>
      <c r="AU137" t="e">
        <f>IF(OR($J137=0,COUNTIFS($A$4:$A136,"&gt;="&amp;$A137-1,$A$4:$A136,"&lt;="&amp;$A137,$B$4:$B136,$B137)&gt;0,MIN(AU$1,IF($A137=$A136,AU136,1))-Z137&lt;0),-1,MIN(1,IF($A137=$A136,AU136,1)-Z137+$D$3))</f>
        <v>#N/A</v>
      </c>
      <c r="AV137" t="e">
        <f>IF(OR($J137=0,COUNTIFS($A$4:$A136,"&gt;="&amp;$A137-1,$A$4:$A136,"&lt;="&amp;$A137,$B$4:$B136,$B137)&gt;0,MIN(AV$1,IF($A137=$A136,AV136,1))-AA137&lt;0),-1,MIN(1,IF($A137=$A136,AV136,1)-AA137+$D$3))</f>
        <v>#N/A</v>
      </c>
      <c r="AW137" t="e">
        <f>IF(OR($J137=0,COUNTIFS($A$4:$A136,"&gt;="&amp;$A137-1,$A$4:$A136,"&lt;="&amp;$A137,$B$4:$B136,$B137)&gt;0,MIN(AW$1,IF($A137=$A136,AW136,1))-AB137&lt;0),-1,MIN(1,IF($A137=$A136,AW136,1)-AB137+$D$3))</f>
        <v>#N/A</v>
      </c>
      <c r="AX137" t="e">
        <f>IF(OR($J137=0,COUNTIFS($A$4:$A136,"&gt;="&amp;$A137-1,$A$4:$A136,"&lt;="&amp;$A137,$B$4:$B136,$B137)&gt;0,MIN(AX$1,IF($A137=$A136,AX136,1))-AC137&lt;0),-1,MIN(1,IF($A137=$A136,AX136,1)-AC137+$D$3))</f>
        <v>#N/A</v>
      </c>
      <c r="AY137" t="e">
        <f>IF(OR($J137=0,COUNTIFS($A$4:$A136,"&gt;="&amp;$A137-1,$A$4:$A136,"&lt;="&amp;$A137,$B$4:$B136,$B137)&gt;0,MIN(AY$1,IF($A137=$A136,AY136,1))-AD137&lt;0),-1,MIN(1,IF($A137=$A136,AY136,1)-AD137+$D$3))</f>
        <v>#N/A</v>
      </c>
      <c r="AZ137" t="e">
        <f>IF(OR($J137=0,COUNTIFS($A$4:$A136,"&gt;="&amp;$A137-1,$A$4:$A136,"&lt;="&amp;$A137,$B$4:$B136,$B137)&gt;0,MIN(AZ$1,IF($A137=$A136,AZ136,1))-AE137&lt;0),-1,MIN(1,IF($A137=$A136,AZ136,1)-AE137+$D$3))</f>
        <v>#N/A</v>
      </c>
      <c r="BA137" t="e">
        <f>IF(OR($J137=0,COUNTIFS($A$4:$A136,"&gt;="&amp;$A137-1,$A$4:$A136,"&lt;="&amp;$A137,$B$4:$B136,$B137)&gt;0,MIN(BA$1,IF($A137=$A136,BA136,1))-AF137&lt;0),-1,MIN(1,IF($A137=$A136,BA136,1)-AF137+$D$3))</f>
        <v>#N/A</v>
      </c>
      <c r="BB137" t="e">
        <f>IF(OR($J137=0,COUNTIFS($A$4:$A136,"&gt;="&amp;$A137-1,$A$4:$A136,"&lt;="&amp;$A137,$B$4:$B136,$B137)&gt;0,MIN(BB$1,IF($A137=$A136,BB136,1))-AG137&lt;0),-1,MIN(1,IF($A137=$A136,BB136,1)-AG137+$D$3))</f>
        <v>#N/A</v>
      </c>
      <c r="BC137" t="e">
        <f>IF(OR($J137=0,COUNTIFS($A$4:$A136,"&gt;="&amp;$A137-1,$A$4:$A136,"&lt;="&amp;$A137,$B$4:$B136,$B137)&gt;0,MIN(BC$1,IF($A137=$A136,BC136,1))-AH137&lt;0),-1,MIN(1,IF($A137=$A136,BC136,1)-AH137+$D$3))</f>
        <v>#N/A</v>
      </c>
      <c r="BD137" t="e">
        <f>IF(OR($J137=0,COUNTIFS($A$4:$A136,"&gt;="&amp;$A137-1,$A$4:$A136,"&lt;="&amp;$A137,$B$4:$B136,$B137)&gt;0,MIN(BD$1,IF($A137=$A136,BD136,1))-AI137&lt;0),-1,MIN(1,IF($A137=$A136,BD136,1)-AI137+$D$3))</f>
        <v>#N/A</v>
      </c>
      <c r="BF137" s="44">
        <f t="shared" si="223"/>
        <v>2.3096458755718081E-3</v>
      </c>
      <c r="BG137" s="44">
        <f t="shared" si="224"/>
        <v>5.6800709468176188E-3</v>
      </c>
      <c r="BH137" s="44">
        <f t="shared" si="225"/>
        <v>5.8214752355395805E-3</v>
      </c>
      <c r="BI137" s="44">
        <f t="shared" si="226"/>
        <v>5.3774268532670909E-3</v>
      </c>
      <c r="BJ137" s="44">
        <f t="shared" si="227"/>
        <v>5.558081164031092E-3</v>
      </c>
      <c r="BK137" s="44">
        <f t="shared" si="228"/>
        <v>2.3868472845553837E-3</v>
      </c>
      <c r="BL137" s="44">
        <f t="shared" si="229"/>
        <v>1.2894124539394145E-3</v>
      </c>
      <c r="BM137" s="44">
        <f t="shared" si="230"/>
        <v>3.2801147116364596E-3</v>
      </c>
      <c r="BN137" s="44">
        <f t="shared" si="231"/>
        <v>3.4115749370921028E-3</v>
      </c>
      <c r="BO137" s="44">
        <f t="shared" si="232"/>
        <v>1.5987934699318953E-3</v>
      </c>
      <c r="BP137" s="44">
        <f t="shared" si="233"/>
        <v>5.3759074212102534E-3</v>
      </c>
      <c r="BQ137" s="44">
        <f t="shared" si="234"/>
        <v>1.4507348756338941E-3</v>
      </c>
      <c r="BR137" s="44">
        <f t="shared" si="235"/>
        <v>4.2858339795403674E-3</v>
      </c>
      <c r="BS137" s="44">
        <f t="shared" si="236"/>
        <v>2.3114071386709303E-3</v>
      </c>
      <c r="BT137" s="44">
        <f t="shared" si="237"/>
        <v>9.1469466707107625E-3</v>
      </c>
      <c r="BU137" s="44">
        <f t="shared" si="238"/>
        <v>8.7380864919793973E-3</v>
      </c>
      <c r="BV137" s="44">
        <f t="shared" si="239"/>
        <v>8.391769173649229E-3</v>
      </c>
      <c r="BW137" s="44">
        <f t="shared" si="240"/>
        <v>5.4886788421254443E-3</v>
      </c>
      <c r="BX137" s="44">
        <f t="shared" si="241"/>
        <v>4.0549362582583673E-3</v>
      </c>
      <c r="BY137" s="44">
        <f t="shared" si="242"/>
        <v>3.4816288397175564E-3</v>
      </c>
      <c r="CA137" s="44" t="str">
        <f t="shared" si="243"/>
        <v/>
      </c>
      <c r="CB137" s="44" t="str">
        <f t="shared" si="244"/>
        <v/>
      </c>
      <c r="CC137" s="44" t="str">
        <f t="shared" si="245"/>
        <v/>
      </c>
      <c r="CD137" s="44" t="str">
        <f t="shared" si="246"/>
        <v/>
      </c>
      <c r="CE137" s="44" t="str">
        <f t="shared" si="247"/>
        <v/>
      </c>
      <c r="CF137" s="44" t="str">
        <f t="shared" si="248"/>
        <v/>
      </c>
      <c r="CG137" s="44" t="str">
        <f t="shared" si="249"/>
        <v/>
      </c>
      <c r="CH137" s="44" t="str">
        <f t="shared" si="250"/>
        <v/>
      </c>
      <c r="CI137" s="44" t="str">
        <f t="shared" si="251"/>
        <v/>
      </c>
      <c r="CJ137" s="44" t="str">
        <f t="shared" si="252"/>
        <v/>
      </c>
      <c r="CK137" s="44" t="str">
        <f t="shared" si="253"/>
        <v/>
      </c>
      <c r="CL137" s="44" t="str">
        <f t="shared" si="254"/>
        <v/>
      </c>
      <c r="CM137" s="44" t="str">
        <f t="shared" si="255"/>
        <v/>
      </c>
      <c r="CN137" s="44" t="str">
        <f t="shared" si="256"/>
        <v/>
      </c>
      <c r="CO137" s="44" t="str">
        <f t="shared" si="257"/>
        <v/>
      </c>
      <c r="CP137" s="44" t="str">
        <f t="shared" si="258"/>
        <v/>
      </c>
      <c r="CQ137" s="44" t="str">
        <f t="shared" si="259"/>
        <v/>
      </c>
      <c r="CR137" s="44" t="str">
        <f t="shared" si="260"/>
        <v/>
      </c>
      <c r="CS137" s="44" t="str">
        <f t="shared" si="261"/>
        <v/>
      </c>
      <c r="CT137" s="44" t="str">
        <f t="shared" si="262"/>
        <v/>
      </c>
      <c r="CV137" s="44">
        <f t="shared" si="263"/>
        <v>0</v>
      </c>
    </row>
    <row r="138" spans="1:100" x14ac:dyDescent="0.25">
      <c r="A138" s="41"/>
      <c r="B138" s="42"/>
      <c r="C138" s="43" t="str" cm="1">
        <f t="array" ref="C138">IF(B138="","",INDEX(UWS!$B$10:$B$41,B138))</f>
        <v/>
      </c>
      <c r="D138" s="40" t="str">
        <f t="shared" si="220"/>
        <v/>
      </c>
      <c r="E138" s="69" t="str">
        <f t="shared" si="221"/>
        <v/>
      </c>
      <c r="F138" s="48" cm="1">
        <f t="array" ref="F138">0.1+IFERROR(INDEX($F$5:$F137,SUMPRODUCT(MAX(ROW($C$5:$C137)*($C138=$C$5:$C137))-ROW($A$4)))*0.9^($A138-INDEX($A$5:A137,SUMPRODUCT(MAX(ROW($C$5:$C137)*($C138=$C$5:$C137))-ROW($A$4)))),0)</f>
        <v>7.2999999999999901</v>
      </c>
      <c r="G138" s="55" t="e">
        <f>INDEX(UWS!$AB$10:$AB$41,MATCH(C138,UWS!$B$10:$B$41,0))</f>
        <v>#N/A</v>
      </c>
      <c r="H138" s="48" t="e">
        <f>INDEX(UWS!$C$10:$C$41,MATCH(C138,UWS!$B$10:$B$41,0))</f>
        <v>#N/A</v>
      </c>
      <c r="I138" s="27">
        <f t="shared" si="222"/>
        <v>5</v>
      </c>
      <c r="J138" s="27" t="e">
        <f>INDEX(UWS!$E$10:$E$41,MATCH(C138,UWS!$B$10:$B$41,0))</f>
        <v>#N/A</v>
      </c>
      <c r="L138" s="108" t="str" cm="1">
        <f t="array" ref="L138">IF(K138="","",INDEX(UWS!$B$10:$B$41,K138))</f>
        <v/>
      </c>
      <c r="N138" s="108" t="str" cm="1">
        <f t="array" ref="N138">IF(M138="","",INDEX(UWS!$B$10:$B$41,M138))</f>
        <v/>
      </c>
      <c r="P138">
        <f>IFERROR(INDEX(UWS!$G$10:$Z$41,MATCH($C138,UWS!$B$10:$B$41,0),MATCH(P$4,UWS!$G$3:$Z$3,0)),0)</f>
        <v>0</v>
      </c>
      <c r="Q138">
        <f>IFERROR(INDEX(UWS!$G$10:$Z$41,MATCH($C138,UWS!$B$10:$B$41,0),MATCH(Q$4,UWS!$G$3:$Z$3,0)),0)</f>
        <v>0</v>
      </c>
      <c r="R138">
        <f>IFERROR(INDEX(UWS!$G$10:$Z$41,MATCH($C138,UWS!$B$10:$B$41,0),MATCH(R$4,UWS!$G$3:$Z$3,0)),0)</f>
        <v>0</v>
      </c>
      <c r="S138">
        <f>IFERROR(INDEX(UWS!$G$10:$Z$41,MATCH($C138,UWS!$B$10:$B$41,0),MATCH(S$4,UWS!$G$3:$Z$3,0)),0)</f>
        <v>0</v>
      </c>
      <c r="T138">
        <f>IFERROR(INDEX(UWS!$G$10:$Z$41,MATCH($C138,UWS!$B$10:$B$41,0),MATCH(T$4,UWS!$G$3:$Z$3,0)),0)</f>
        <v>0</v>
      </c>
      <c r="U138">
        <f>IFERROR(INDEX(UWS!$G$10:$Z$41,MATCH($C138,UWS!$B$10:$B$41,0),MATCH(U$4,UWS!$G$3:$Z$3,0)),0)</f>
        <v>0</v>
      </c>
      <c r="V138">
        <f>IFERROR(INDEX(UWS!$G$10:$Z$41,MATCH($C138,UWS!$B$10:$B$41,0),MATCH(V$4,UWS!$G$3:$Z$3,0)),0)</f>
        <v>0</v>
      </c>
      <c r="W138">
        <f>IFERROR(INDEX(UWS!$G$10:$Z$41,MATCH($C138,UWS!$B$10:$B$41,0),MATCH(W$4,UWS!$G$3:$Z$3,0)),0)</f>
        <v>0</v>
      </c>
      <c r="X138">
        <f>IFERROR(INDEX(UWS!$G$10:$Z$41,MATCH($C138,UWS!$B$10:$B$41,0),MATCH(X$4,UWS!$G$3:$Z$3,0)),0)</f>
        <v>0</v>
      </c>
      <c r="Y138">
        <f>IFERROR(INDEX(UWS!$G$10:$Z$41,MATCH($C138,UWS!$B$10:$B$41,0),MATCH(Y$4,UWS!$G$3:$Z$3,0)),0)</f>
        <v>0</v>
      </c>
      <c r="Z138">
        <f>IFERROR(INDEX(UWS!$G$10:$Z$41,MATCH($C138,UWS!$B$10:$B$41,0),MATCH(Z$4,UWS!$G$3:$Z$3,0)),0)</f>
        <v>0</v>
      </c>
      <c r="AA138">
        <f>IFERROR(INDEX(UWS!$G$10:$Z$41,MATCH($C138,UWS!$B$10:$B$41,0),MATCH(AA$4,UWS!$G$3:$Z$3,0)),0)</f>
        <v>0</v>
      </c>
      <c r="AB138">
        <f>IFERROR(INDEX(UWS!$G$10:$Z$41,MATCH($C138,UWS!$B$10:$B$41,0),MATCH(AB$4,UWS!$G$3:$Z$3,0)),0)</f>
        <v>0</v>
      </c>
      <c r="AC138">
        <f>IFERROR(INDEX(UWS!$G$10:$Z$41,MATCH($C138,UWS!$B$10:$B$41,0),MATCH(AC$4,UWS!$G$3:$Z$3,0)),0)</f>
        <v>0</v>
      </c>
      <c r="AD138">
        <f>IFERROR(INDEX(UWS!$G$10:$Z$41,MATCH($C138,UWS!$B$10:$B$41,0),MATCH(AD$4,UWS!$G$3:$Z$3,0)),0)</f>
        <v>0</v>
      </c>
      <c r="AE138">
        <f>IFERROR(INDEX(UWS!$G$10:$Z$41,MATCH($C138,UWS!$B$10:$B$41,0),MATCH(AE$4,UWS!$G$3:$Z$3,0)),0)</f>
        <v>0</v>
      </c>
      <c r="AF138">
        <f>IFERROR(INDEX(UWS!$G$10:$Z$41,MATCH($C138,UWS!$B$10:$B$41,0),MATCH(AF$4,UWS!$G$3:$Z$3,0)),0)</f>
        <v>0</v>
      </c>
      <c r="AG138">
        <f>IFERROR(INDEX(UWS!$G$10:$Z$41,MATCH($C138,UWS!$B$10:$B$41,0),MATCH(AG$4,UWS!$G$3:$Z$3,0)),0)</f>
        <v>0</v>
      </c>
      <c r="AH138">
        <f>IFERROR(INDEX(UWS!$G$10:$Z$41,MATCH($C138,UWS!$B$10:$B$41,0),MATCH(AH$4,UWS!$G$3:$Z$3,0)),0)</f>
        <v>0</v>
      </c>
      <c r="AI138">
        <f>IFERROR(INDEX(UWS!$G$10:$Z$41,MATCH($C138,UWS!$B$10:$B$41,0),MATCH(AI$4,UWS!$G$3:$Z$3,0)),0)</f>
        <v>0</v>
      </c>
      <c r="AK138" t="e">
        <f>IF(OR($J138=0,COUNTIFS($A$4:$A137,"&gt;="&amp;$A138-1,$A$4:$A137,"&lt;="&amp;$A138,$B$4:$B137,$B138)&gt;0,MIN(AK$1,IF($A138=$A137,AK137,1))-P138&lt;0),-1,MIN(1,IF($A138=$A137,AK137,1)-P138+$D$3))</f>
        <v>#N/A</v>
      </c>
      <c r="AL138" t="e">
        <f>IF(OR($J138=0,COUNTIFS($A$4:$A137,"&gt;="&amp;$A138-1,$A$4:$A137,"&lt;="&amp;$A138,$B$4:$B137,$B138)&gt;0,MIN(AL$1,IF($A138=$A137,AL137,1))-Q138&lt;0),-1,MIN(1,IF($A138=$A137,AL137,1)-Q138+$D$3))</f>
        <v>#N/A</v>
      </c>
      <c r="AM138" t="e">
        <f>IF(OR($J138=0,COUNTIFS($A$4:$A137,"&gt;="&amp;$A138-1,$A$4:$A137,"&lt;="&amp;$A138,$B$4:$B137,$B138)&gt;0,MIN(AM$1,IF($A138=$A137,AM137,1))-R138&lt;0),-1,MIN(1,IF($A138=$A137,AM137,1)-R138+$D$3))</f>
        <v>#N/A</v>
      </c>
      <c r="AN138" t="e">
        <f>IF(OR($J138=0,COUNTIFS($A$4:$A137,"&gt;="&amp;$A138-1,$A$4:$A137,"&lt;="&amp;$A138,$B$4:$B137,$B138)&gt;0,MIN(AN$1,IF($A138=$A137,AN137,1))-S138&lt;0),-1,MIN(1,IF($A138=$A137,AN137,1)-S138+$D$3))</f>
        <v>#N/A</v>
      </c>
      <c r="AO138" t="e">
        <f>IF(OR($J138=0,COUNTIFS($A$4:$A137,"&gt;="&amp;$A138-1,$A$4:$A137,"&lt;="&amp;$A138,$B$4:$B137,$B138)&gt;0,MIN(AO$1,IF($A138=$A137,AO137,1))-T138&lt;0),-1,MIN(1,IF($A138=$A137,AO137,1)-T138+$D$3))</f>
        <v>#N/A</v>
      </c>
      <c r="AP138" t="e">
        <f>IF(OR($J138=0,COUNTIFS($A$4:$A137,"&gt;="&amp;$A138-1,$A$4:$A137,"&lt;="&amp;$A138,$B$4:$B137,$B138)&gt;0,MIN(AP$1,IF($A138=$A137,AP137,1))-U138&lt;0),-1,MIN(1,IF($A138=$A137,AP137,1)-U138+$D$3))</f>
        <v>#N/A</v>
      </c>
      <c r="AQ138" t="e">
        <f>IF(OR($J138=0,COUNTIFS($A$4:$A137,"&gt;="&amp;$A138-1,$A$4:$A137,"&lt;="&amp;$A138,$B$4:$B137,$B138)&gt;0,MIN(AQ$1,IF($A138=$A137,AQ137,1))-V138&lt;0),-1,MIN(1,IF($A138=$A137,AQ137,1)-V138+$D$3))</f>
        <v>#N/A</v>
      </c>
      <c r="AR138" t="e">
        <f>IF(OR($J138=0,COUNTIFS($A$4:$A137,"&gt;="&amp;$A138-1,$A$4:$A137,"&lt;="&amp;$A138,$B$4:$B137,$B138)&gt;0,MIN(AR$1,IF($A138=$A137,AR137,1))-W138&lt;0),-1,MIN(1,IF($A138=$A137,AR137,1)-W138+$D$3))</f>
        <v>#N/A</v>
      </c>
      <c r="AS138" t="e">
        <f>IF(OR($J138=0,COUNTIFS($A$4:$A137,"&gt;="&amp;$A138-1,$A$4:$A137,"&lt;="&amp;$A138,$B$4:$B137,$B138)&gt;0,MIN(AS$1,IF($A138=$A137,AS137,1))-X138&lt;0),-1,MIN(1,IF($A138=$A137,AS137,1)-X138+$D$3))</f>
        <v>#N/A</v>
      </c>
      <c r="AT138" t="e">
        <f>IF(OR($J138=0,COUNTIFS($A$4:$A137,"&gt;="&amp;$A138-1,$A$4:$A137,"&lt;="&amp;$A138,$B$4:$B137,$B138)&gt;0,MIN(AT$1,IF($A138=$A137,AT137,1))-Y138&lt;0),-1,MIN(1,IF($A138=$A137,AT137,1)-Y138+$D$3))</f>
        <v>#N/A</v>
      </c>
      <c r="AU138" t="e">
        <f>IF(OR($J138=0,COUNTIFS($A$4:$A137,"&gt;="&amp;$A138-1,$A$4:$A137,"&lt;="&amp;$A138,$B$4:$B137,$B138)&gt;0,MIN(AU$1,IF($A138=$A137,AU137,1))-Z138&lt;0),-1,MIN(1,IF($A138=$A137,AU137,1)-Z138+$D$3))</f>
        <v>#N/A</v>
      </c>
      <c r="AV138" t="e">
        <f>IF(OR($J138=0,COUNTIFS($A$4:$A137,"&gt;="&amp;$A138-1,$A$4:$A137,"&lt;="&amp;$A138,$B$4:$B137,$B138)&gt;0,MIN(AV$1,IF($A138=$A137,AV137,1))-AA138&lt;0),-1,MIN(1,IF($A138=$A137,AV137,1)-AA138+$D$3))</f>
        <v>#N/A</v>
      </c>
      <c r="AW138" t="e">
        <f>IF(OR($J138=0,COUNTIFS($A$4:$A137,"&gt;="&amp;$A138-1,$A$4:$A137,"&lt;="&amp;$A138,$B$4:$B137,$B138)&gt;0,MIN(AW$1,IF($A138=$A137,AW137,1))-AB138&lt;0),-1,MIN(1,IF($A138=$A137,AW137,1)-AB138+$D$3))</f>
        <v>#N/A</v>
      </c>
      <c r="AX138" t="e">
        <f>IF(OR($J138=0,COUNTIFS($A$4:$A137,"&gt;="&amp;$A138-1,$A$4:$A137,"&lt;="&amp;$A138,$B$4:$B137,$B138)&gt;0,MIN(AX$1,IF($A138=$A137,AX137,1))-AC138&lt;0),-1,MIN(1,IF($A138=$A137,AX137,1)-AC138+$D$3))</f>
        <v>#N/A</v>
      </c>
      <c r="AY138" t="e">
        <f>IF(OR($J138=0,COUNTIFS($A$4:$A137,"&gt;="&amp;$A138-1,$A$4:$A137,"&lt;="&amp;$A138,$B$4:$B137,$B138)&gt;0,MIN(AY$1,IF($A138=$A137,AY137,1))-AD138&lt;0),-1,MIN(1,IF($A138=$A137,AY137,1)-AD138+$D$3))</f>
        <v>#N/A</v>
      </c>
      <c r="AZ138" t="e">
        <f>IF(OR($J138=0,COUNTIFS($A$4:$A137,"&gt;="&amp;$A138-1,$A$4:$A137,"&lt;="&amp;$A138,$B$4:$B137,$B138)&gt;0,MIN(AZ$1,IF($A138=$A137,AZ137,1))-AE138&lt;0),-1,MIN(1,IF($A138=$A137,AZ137,1)-AE138+$D$3))</f>
        <v>#N/A</v>
      </c>
      <c r="BA138" t="e">
        <f>IF(OR($J138=0,COUNTIFS($A$4:$A137,"&gt;="&amp;$A138-1,$A$4:$A137,"&lt;="&amp;$A138,$B$4:$B137,$B138)&gt;0,MIN(BA$1,IF($A138=$A137,BA137,1))-AF138&lt;0),-1,MIN(1,IF($A138=$A137,BA137,1)-AF138+$D$3))</f>
        <v>#N/A</v>
      </c>
      <c r="BB138" t="e">
        <f>IF(OR($J138=0,COUNTIFS($A$4:$A137,"&gt;="&amp;$A138-1,$A$4:$A137,"&lt;="&amp;$A138,$B$4:$B137,$B138)&gt;0,MIN(BB$1,IF($A138=$A137,BB137,1))-AG138&lt;0),-1,MIN(1,IF($A138=$A137,BB137,1)-AG138+$D$3))</f>
        <v>#N/A</v>
      </c>
      <c r="BC138" t="e">
        <f>IF(OR($J138=0,COUNTIFS($A$4:$A137,"&gt;="&amp;$A138-1,$A$4:$A137,"&lt;="&amp;$A138,$B$4:$B137,$B138)&gt;0,MIN(BC$1,IF($A138=$A137,BC137,1))-AH138&lt;0),-1,MIN(1,IF($A138=$A137,BC137,1)-AH138+$D$3))</f>
        <v>#N/A</v>
      </c>
      <c r="BD138" t="e">
        <f>IF(OR($J138=0,COUNTIFS($A$4:$A137,"&gt;="&amp;$A138-1,$A$4:$A137,"&lt;="&amp;$A138,$B$4:$B137,$B138)&gt;0,MIN(BD$1,IF($A138=$A137,BD137,1))-AI138&lt;0),-1,MIN(1,IF($A138=$A137,BD137,1)-AI138+$D$3))</f>
        <v>#N/A</v>
      </c>
      <c r="BF138" s="44">
        <f t="shared" si="223"/>
        <v>2.1941635817932176E-3</v>
      </c>
      <c r="BG138" s="44">
        <f t="shared" si="224"/>
        <v>5.3960673994767373E-3</v>
      </c>
      <c r="BH138" s="44">
        <f t="shared" si="225"/>
        <v>5.5304014737626011E-3</v>
      </c>
      <c r="BI138" s="44">
        <f t="shared" si="226"/>
        <v>5.1085555106037362E-3</v>
      </c>
      <c r="BJ138" s="44">
        <f t="shared" si="227"/>
        <v>5.2801771058295375E-3</v>
      </c>
      <c r="BK138" s="44">
        <f t="shared" si="228"/>
        <v>2.2675049203276145E-3</v>
      </c>
      <c r="BL138" s="44">
        <f t="shared" si="229"/>
        <v>1.2249418312424436E-3</v>
      </c>
      <c r="BM138" s="44">
        <f t="shared" si="230"/>
        <v>3.1161089760546367E-3</v>
      </c>
      <c r="BN138" s="44">
        <f t="shared" si="231"/>
        <v>3.2409961902374975E-3</v>
      </c>
      <c r="BO138" s="44">
        <f t="shared" si="232"/>
        <v>1.5188537964353004E-3</v>
      </c>
      <c r="BP138" s="44">
        <f t="shared" si="233"/>
        <v>5.1071120501497407E-3</v>
      </c>
      <c r="BQ138" s="44">
        <f t="shared" si="234"/>
        <v>1.3781981318521993E-3</v>
      </c>
      <c r="BR138" s="44">
        <f t="shared" si="235"/>
        <v>4.0715422805633486E-3</v>
      </c>
      <c r="BS138" s="44">
        <f t="shared" si="236"/>
        <v>2.1958367817373836E-3</v>
      </c>
      <c r="BT138" s="44">
        <f t="shared" si="237"/>
        <v>8.6895993371752245E-3</v>
      </c>
      <c r="BU138" s="44">
        <f t="shared" si="238"/>
        <v>8.3011821673804262E-3</v>
      </c>
      <c r="BV138" s="44">
        <f t="shared" si="239"/>
        <v>7.9721807149667669E-3</v>
      </c>
      <c r="BW138" s="44">
        <f t="shared" si="240"/>
        <v>5.2142449000191719E-3</v>
      </c>
      <c r="BX138" s="44">
        <f t="shared" si="241"/>
        <v>3.8521894453454487E-3</v>
      </c>
      <c r="BY138" s="44">
        <f t="shared" si="242"/>
        <v>3.3075473977316784E-3</v>
      </c>
      <c r="CA138" s="44" t="str">
        <f t="shared" si="243"/>
        <v/>
      </c>
      <c r="CB138" s="44" t="str">
        <f t="shared" si="244"/>
        <v/>
      </c>
      <c r="CC138" s="44" t="str">
        <f t="shared" si="245"/>
        <v/>
      </c>
      <c r="CD138" s="44" t="str">
        <f t="shared" si="246"/>
        <v/>
      </c>
      <c r="CE138" s="44" t="str">
        <f t="shared" si="247"/>
        <v/>
      </c>
      <c r="CF138" s="44" t="str">
        <f t="shared" si="248"/>
        <v/>
      </c>
      <c r="CG138" s="44" t="str">
        <f t="shared" si="249"/>
        <v/>
      </c>
      <c r="CH138" s="44" t="str">
        <f t="shared" si="250"/>
        <v/>
      </c>
      <c r="CI138" s="44" t="str">
        <f t="shared" si="251"/>
        <v/>
      </c>
      <c r="CJ138" s="44" t="str">
        <f t="shared" si="252"/>
        <v/>
      </c>
      <c r="CK138" s="44" t="str">
        <f t="shared" si="253"/>
        <v/>
      </c>
      <c r="CL138" s="44" t="str">
        <f t="shared" si="254"/>
        <v/>
      </c>
      <c r="CM138" s="44" t="str">
        <f t="shared" si="255"/>
        <v/>
      </c>
      <c r="CN138" s="44" t="str">
        <f t="shared" si="256"/>
        <v/>
      </c>
      <c r="CO138" s="44" t="str">
        <f t="shared" si="257"/>
        <v/>
      </c>
      <c r="CP138" s="44" t="str">
        <f t="shared" si="258"/>
        <v/>
      </c>
      <c r="CQ138" s="44" t="str">
        <f t="shared" si="259"/>
        <v/>
      </c>
      <c r="CR138" s="44" t="str">
        <f t="shared" si="260"/>
        <v/>
      </c>
      <c r="CS138" s="44" t="str">
        <f t="shared" si="261"/>
        <v/>
      </c>
      <c r="CT138" s="44" t="str">
        <f t="shared" si="262"/>
        <v/>
      </c>
      <c r="CV138" s="44">
        <f t="shared" si="263"/>
        <v>0</v>
      </c>
    </row>
    <row r="139" spans="1:100" x14ac:dyDescent="0.25">
      <c r="A139" s="41"/>
      <c r="B139" s="42"/>
      <c r="C139" s="43" t="str" cm="1">
        <f t="array" ref="C139">IF(B139="","",INDEX(UWS!$B$10:$B$41,B139))</f>
        <v/>
      </c>
      <c r="D139" s="40" t="str">
        <f t="shared" si="220"/>
        <v/>
      </c>
      <c r="E139" s="69" t="str">
        <f t="shared" si="221"/>
        <v/>
      </c>
      <c r="F139" s="48" cm="1">
        <f t="array" ref="F139">0.1+IFERROR(INDEX($F$5:$F138,SUMPRODUCT(MAX(ROW($C$5:$C138)*($C139=$C$5:$C138))-ROW($A$4)))*0.9^($A139-INDEX($A$5:A138,SUMPRODUCT(MAX(ROW($C$5:$C138)*($C139=$C$5:$C138))-ROW($A$4)))),0)</f>
        <v>7.3999999999999897</v>
      </c>
      <c r="G139" s="55" t="e">
        <f>INDEX(UWS!$AB$10:$AB$41,MATCH(C139,UWS!$B$10:$B$41,0))</f>
        <v>#N/A</v>
      </c>
      <c r="H139" s="48" t="e">
        <f>INDEX(UWS!$C$10:$C$41,MATCH(C139,UWS!$B$10:$B$41,0))</f>
        <v>#N/A</v>
      </c>
      <c r="I139" s="27">
        <f t="shared" si="222"/>
        <v>5</v>
      </c>
      <c r="J139" s="27" t="e">
        <f>INDEX(UWS!$E$10:$E$41,MATCH(C139,UWS!$B$10:$B$41,0))</f>
        <v>#N/A</v>
      </c>
      <c r="L139" s="108" t="str" cm="1">
        <f t="array" ref="L139">IF(K139="","",INDEX(UWS!$B$10:$B$41,K139))</f>
        <v/>
      </c>
      <c r="N139" s="108" t="str" cm="1">
        <f t="array" ref="N139">IF(M139="","",INDEX(UWS!$B$10:$B$41,M139))</f>
        <v/>
      </c>
      <c r="P139">
        <f>IFERROR(INDEX(UWS!$G$10:$Z$41,MATCH($C139,UWS!$B$10:$B$41,0),MATCH(P$4,UWS!$G$3:$Z$3,0)),0)</f>
        <v>0</v>
      </c>
      <c r="Q139">
        <f>IFERROR(INDEX(UWS!$G$10:$Z$41,MATCH($C139,UWS!$B$10:$B$41,0),MATCH(Q$4,UWS!$G$3:$Z$3,0)),0)</f>
        <v>0</v>
      </c>
      <c r="R139">
        <f>IFERROR(INDEX(UWS!$G$10:$Z$41,MATCH($C139,UWS!$B$10:$B$41,0),MATCH(R$4,UWS!$G$3:$Z$3,0)),0)</f>
        <v>0</v>
      </c>
      <c r="S139">
        <f>IFERROR(INDEX(UWS!$G$10:$Z$41,MATCH($C139,UWS!$B$10:$B$41,0),MATCH(S$4,UWS!$G$3:$Z$3,0)),0)</f>
        <v>0</v>
      </c>
      <c r="T139">
        <f>IFERROR(INDEX(UWS!$G$10:$Z$41,MATCH($C139,UWS!$B$10:$B$41,0),MATCH(T$4,UWS!$G$3:$Z$3,0)),0)</f>
        <v>0</v>
      </c>
      <c r="U139">
        <f>IFERROR(INDEX(UWS!$G$10:$Z$41,MATCH($C139,UWS!$B$10:$B$41,0),MATCH(U$4,UWS!$G$3:$Z$3,0)),0)</f>
        <v>0</v>
      </c>
      <c r="V139">
        <f>IFERROR(INDEX(UWS!$G$10:$Z$41,MATCH($C139,UWS!$B$10:$B$41,0),MATCH(V$4,UWS!$G$3:$Z$3,0)),0)</f>
        <v>0</v>
      </c>
      <c r="W139">
        <f>IFERROR(INDEX(UWS!$G$10:$Z$41,MATCH($C139,UWS!$B$10:$B$41,0),MATCH(W$4,UWS!$G$3:$Z$3,0)),0)</f>
        <v>0</v>
      </c>
      <c r="X139">
        <f>IFERROR(INDEX(UWS!$G$10:$Z$41,MATCH($C139,UWS!$B$10:$B$41,0),MATCH(X$4,UWS!$G$3:$Z$3,0)),0)</f>
        <v>0</v>
      </c>
      <c r="Y139">
        <f>IFERROR(INDEX(UWS!$G$10:$Z$41,MATCH($C139,UWS!$B$10:$B$41,0),MATCH(Y$4,UWS!$G$3:$Z$3,0)),0)</f>
        <v>0</v>
      </c>
      <c r="Z139">
        <f>IFERROR(INDEX(UWS!$G$10:$Z$41,MATCH($C139,UWS!$B$10:$B$41,0),MATCH(Z$4,UWS!$G$3:$Z$3,0)),0)</f>
        <v>0</v>
      </c>
      <c r="AA139">
        <f>IFERROR(INDEX(UWS!$G$10:$Z$41,MATCH($C139,UWS!$B$10:$B$41,0),MATCH(AA$4,UWS!$G$3:$Z$3,0)),0)</f>
        <v>0</v>
      </c>
      <c r="AB139">
        <f>IFERROR(INDEX(UWS!$G$10:$Z$41,MATCH($C139,UWS!$B$10:$B$41,0),MATCH(AB$4,UWS!$G$3:$Z$3,0)),0)</f>
        <v>0</v>
      </c>
      <c r="AC139">
        <f>IFERROR(INDEX(UWS!$G$10:$Z$41,MATCH($C139,UWS!$B$10:$B$41,0),MATCH(AC$4,UWS!$G$3:$Z$3,0)),0)</f>
        <v>0</v>
      </c>
      <c r="AD139">
        <f>IFERROR(INDEX(UWS!$G$10:$Z$41,MATCH($C139,UWS!$B$10:$B$41,0),MATCH(AD$4,UWS!$G$3:$Z$3,0)),0)</f>
        <v>0</v>
      </c>
      <c r="AE139">
        <f>IFERROR(INDEX(UWS!$G$10:$Z$41,MATCH($C139,UWS!$B$10:$B$41,0),MATCH(AE$4,UWS!$G$3:$Z$3,0)),0)</f>
        <v>0</v>
      </c>
      <c r="AF139">
        <f>IFERROR(INDEX(UWS!$G$10:$Z$41,MATCH($C139,UWS!$B$10:$B$41,0),MATCH(AF$4,UWS!$G$3:$Z$3,0)),0)</f>
        <v>0</v>
      </c>
      <c r="AG139">
        <f>IFERROR(INDEX(UWS!$G$10:$Z$41,MATCH($C139,UWS!$B$10:$B$41,0),MATCH(AG$4,UWS!$G$3:$Z$3,0)),0)</f>
        <v>0</v>
      </c>
      <c r="AH139">
        <f>IFERROR(INDEX(UWS!$G$10:$Z$41,MATCH($C139,UWS!$B$10:$B$41,0),MATCH(AH$4,UWS!$G$3:$Z$3,0)),0)</f>
        <v>0</v>
      </c>
      <c r="AI139">
        <f>IFERROR(INDEX(UWS!$G$10:$Z$41,MATCH($C139,UWS!$B$10:$B$41,0),MATCH(AI$4,UWS!$G$3:$Z$3,0)),0)</f>
        <v>0</v>
      </c>
      <c r="AK139" t="e">
        <f>IF(OR($J139=0,COUNTIFS($A$4:$A138,"&gt;="&amp;$A139-1,$A$4:$A138,"&lt;="&amp;$A139,$B$4:$B138,$B139)&gt;0,MIN(AK$1,IF($A139=$A138,AK138,1))-P139&lt;0),-1,MIN(1,IF($A139=$A138,AK138,1)-P139+$D$3))</f>
        <v>#N/A</v>
      </c>
      <c r="AL139" t="e">
        <f>IF(OR($J139=0,COUNTIFS($A$4:$A138,"&gt;="&amp;$A139-1,$A$4:$A138,"&lt;="&amp;$A139,$B$4:$B138,$B139)&gt;0,MIN(AL$1,IF($A139=$A138,AL138,1))-Q139&lt;0),-1,MIN(1,IF($A139=$A138,AL138,1)-Q139+$D$3))</f>
        <v>#N/A</v>
      </c>
      <c r="AM139" t="e">
        <f>IF(OR($J139=0,COUNTIFS($A$4:$A138,"&gt;="&amp;$A139-1,$A$4:$A138,"&lt;="&amp;$A139,$B$4:$B138,$B139)&gt;0,MIN(AM$1,IF($A139=$A138,AM138,1))-R139&lt;0),-1,MIN(1,IF($A139=$A138,AM138,1)-R139+$D$3))</f>
        <v>#N/A</v>
      </c>
      <c r="AN139" t="e">
        <f>IF(OR($J139=0,COUNTIFS($A$4:$A138,"&gt;="&amp;$A139-1,$A$4:$A138,"&lt;="&amp;$A139,$B$4:$B138,$B139)&gt;0,MIN(AN$1,IF($A139=$A138,AN138,1))-S139&lt;0),-1,MIN(1,IF($A139=$A138,AN138,1)-S139+$D$3))</f>
        <v>#N/A</v>
      </c>
      <c r="AO139" t="e">
        <f>IF(OR($J139=0,COUNTIFS($A$4:$A138,"&gt;="&amp;$A139-1,$A$4:$A138,"&lt;="&amp;$A139,$B$4:$B138,$B139)&gt;0,MIN(AO$1,IF($A139=$A138,AO138,1))-T139&lt;0),-1,MIN(1,IF($A139=$A138,AO138,1)-T139+$D$3))</f>
        <v>#N/A</v>
      </c>
      <c r="AP139" t="e">
        <f>IF(OR($J139=0,COUNTIFS($A$4:$A138,"&gt;="&amp;$A139-1,$A$4:$A138,"&lt;="&amp;$A139,$B$4:$B138,$B139)&gt;0,MIN(AP$1,IF($A139=$A138,AP138,1))-U139&lt;0),-1,MIN(1,IF($A139=$A138,AP138,1)-U139+$D$3))</f>
        <v>#N/A</v>
      </c>
      <c r="AQ139" t="e">
        <f>IF(OR($J139=0,COUNTIFS($A$4:$A138,"&gt;="&amp;$A139-1,$A$4:$A138,"&lt;="&amp;$A139,$B$4:$B138,$B139)&gt;0,MIN(AQ$1,IF($A139=$A138,AQ138,1))-V139&lt;0),-1,MIN(1,IF($A139=$A138,AQ138,1)-V139+$D$3))</f>
        <v>#N/A</v>
      </c>
      <c r="AR139" t="e">
        <f>IF(OR($J139=0,COUNTIFS($A$4:$A138,"&gt;="&amp;$A139-1,$A$4:$A138,"&lt;="&amp;$A139,$B$4:$B138,$B139)&gt;0,MIN(AR$1,IF($A139=$A138,AR138,1))-W139&lt;0),-1,MIN(1,IF($A139=$A138,AR138,1)-W139+$D$3))</f>
        <v>#N/A</v>
      </c>
      <c r="AS139" t="e">
        <f>IF(OR($J139=0,COUNTIFS($A$4:$A138,"&gt;="&amp;$A139-1,$A$4:$A138,"&lt;="&amp;$A139,$B$4:$B138,$B139)&gt;0,MIN(AS$1,IF($A139=$A138,AS138,1))-X139&lt;0),-1,MIN(1,IF($A139=$A138,AS138,1)-X139+$D$3))</f>
        <v>#N/A</v>
      </c>
      <c r="AT139" t="e">
        <f>IF(OR($J139=0,COUNTIFS($A$4:$A138,"&gt;="&amp;$A139-1,$A$4:$A138,"&lt;="&amp;$A139,$B$4:$B138,$B139)&gt;0,MIN(AT$1,IF($A139=$A138,AT138,1))-Y139&lt;0),-1,MIN(1,IF($A139=$A138,AT138,1)-Y139+$D$3))</f>
        <v>#N/A</v>
      </c>
      <c r="AU139" t="e">
        <f>IF(OR($J139=0,COUNTIFS($A$4:$A138,"&gt;="&amp;$A139-1,$A$4:$A138,"&lt;="&amp;$A139,$B$4:$B138,$B139)&gt;0,MIN(AU$1,IF($A139=$A138,AU138,1))-Z139&lt;0),-1,MIN(1,IF($A139=$A138,AU138,1)-Z139+$D$3))</f>
        <v>#N/A</v>
      </c>
      <c r="AV139" t="e">
        <f>IF(OR($J139=0,COUNTIFS($A$4:$A138,"&gt;="&amp;$A139-1,$A$4:$A138,"&lt;="&amp;$A139,$B$4:$B138,$B139)&gt;0,MIN(AV$1,IF($A139=$A138,AV138,1))-AA139&lt;0),-1,MIN(1,IF($A139=$A138,AV138,1)-AA139+$D$3))</f>
        <v>#N/A</v>
      </c>
      <c r="AW139" t="e">
        <f>IF(OR($J139=0,COUNTIFS($A$4:$A138,"&gt;="&amp;$A139-1,$A$4:$A138,"&lt;="&amp;$A139,$B$4:$B138,$B139)&gt;0,MIN(AW$1,IF($A139=$A138,AW138,1))-AB139&lt;0),-1,MIN(1,IF($A139=$A138,AW138,1)-AB139+$D$3))</f>
        <v>#N/A</v>
      </c>
      <c r="AX139" t="e">
        <f>IF(OR($J139=0,COUNTIFS($A$4:$A138,"&gt;="&amp;$A139-1,$A$4:$A138,"&lt;="&amp;$A139,$B$4:$B138,$B139)&gt;0,MIN(AX$1,IF($A139=$A138,AX138,1))-AC139&lt;0),-1,MIN(1,IF($A139=$A138,AX138,1)-AC139+$D$3))</f>
        <v>#N/A</v>
      </c>
      <c r="AY139" t="e">
        <f>IF(OR($J139=0,COUNTIFS($A$4:$A138,"&gt;="&amp;$A139-1,$A$4:$A138,"&lt;="&amp;$A139,$B$4:$B138,$B139)&gt;0,MIN(AY$1,IF($A139=$A138,AY138,1))-AD139&lt;0),-1,MIN(1,IF($A139=$A138,AY138,1)-AD139+$D$3))</f>
        <v>#N/A</v>
      </c>
      <c r="AZ139" t="e">
        <f>IF(OR($J139=0,COUNTIFS($A$4:$A138,"&gt;="&amp;$A139-1,$A$4:$A138,"&lt;="&amp;$A139,$B$4:$B138,$B139)&gt;0,MIN(AZ$1,IF($A139=$A138,AZ138,1))-AE139&lt;0),-1,MIN(1,IF($A139=$A138,AZ138,1)-AE139+$D$3))</f>
        <v>#N/A</v>
      </c>
      <c r="BA139" t="e">
        <f>IF(OR($J139=0,COUNTIFS($A$4:$A138,"&gt;="&amp;$A139-1,$A$4:$A138,"&lt;="&amp;$A139,$B$4:$B138,$B139)&gt;0,MIN(BA$1,IF($A139=$A138,BA138,1))-AF139&lt;0),-1,MIN(1,IF($A139=$A138,BA138,1)-AF139+$D$3))</f>
        <v>#N/A</v>
      </c>
      <c r="BB139" t="e">
        <f>IF(OR($J139=0,COUNTIFS($A$4:$A138,"&gt;="&amp;$A139-1,$A$4:$A138,"&lt;="&amp;$A139,$B$4:$B138,$B139)&gt;0,MIN(BB$1,IF($A139=$A138,BB138,1))-AG139&lt;0),-1,MIN(1,IF($A139=$A138,BB138,1)-AG139+$D$3))</f>
        <v>#N/A</v>
      </c>
      <c r="BC139" t="e">
        <f>IF(OR($J139=0,COUNTIFS($A$4:$A138,"&gt;="&amp;$A139-1,$A$4:$A138,"&lt;="&amp;$A139,$B$4:$B138,$B139)&gt;0,MIN(BC$1,IF($A139=$A138,BC138,1))-AH139&lt;0),-1,MIN(1,IF($A139=$A138,BC138,1)-AH139+$D$3))</f>
        <v>#N/A</v>
      </c>
      <c r="BD139" t="e">
        <f>IF(OR($J139=0,COUNTIFS($A$4:$A138,"&gt;="&amp;$A139-1,$A$4:$A138,"&lt;="&amp;$A139,$B$4:$B138,$B139)&gt;0,MIN(BD$1,IF($A139=$A138,BD138,1))-AI139&lt;0),-1,MIN(1,IF($A139=$A138,BD138,1)-AI139+$D$3))</f>
        <v>#N/A</v>
      </c>
      <c r="BF139" s="44">
        <f t="shared" si="223"/>
        <v>2.0844554027035565E-3</v>
      </c>
      <c r="BG139" s="44">
        <f t="shared" si="224"/>
        <v>5.1262640295029003E-3</v>
      </c>
      <c r="BH139" s="44">
        <f t="shared" si="225"/>
        <v>5.2538814000744711E-3</v>
      </c>
      <c r="BI139" s="44">
        <f t="shared" si="226"/>
        <v>4.8531277350735494E-3</v>
      </c>
      <c r="BJ139" s="44">
        <f t="shared" si="227"/>
        <v>5.0161682505380605E-3</v>
      </c>
      <c r="BK139" s="44">
        <f t="shared" si="228"/>
        <v>2.1541296743112339E-3</v>
      </c>
      <c r="BL139" s="44">
        <f t="shared" si="229"/>
        <v>1.1636947396803214E-3</v>
      </c>
      <c r="BM139" s="44">
        <f t="shared" si="230"/>
        <v>2.9603035272519045E-3</v>
      </c>
      <c r="BN139" s="44">
        <f t="shared" si="231"/>
        <v>3.0789463807256224E-3</v>
      </c>
      <c r="BO139" s="44">
        <f t="shared" si="232"/>
        <v>1.4429111066135353E-3</v>
      </c>
      <c r="BP139" s="44">
        <f t="shared" si="233"/>
        <v>4.8517564476422536E-3</v>
      </c>
      <c r="BQ139" s="44">
        <f t="shared" si="234"/>
        <v>1.3092882252595892E-3</v>
      </c>
      <c r="BR139" s="44">
        <f t="shared" si="235"/>
        <v>3.8679651665351812E-3</v>
      </c>
      <c r="BS139" s="44">
        <f t="shared" si="236"/>
        <v>2.0860449426505145E-3</v>
      </c>
      <c r="BT139" s="44">
        <f t="shared" si="237"/>
        <v>8.2551193703164633E-3</v>
      </c>
      <c r="BU139" s="44">
        <f t="shared" si="238"/>
        <v>7.8861230590114052E-3</v>
      </c>
      <c r="BV139" s="44">
        <f t="shared" si="239"/>
        <v>7.5735716792184283E-3</v>
      </c>
      <c r="BW139" s="44">
        <f t="shared" si="240"/>
        <v>4.9535326550182134E-3</v>
      </c>
      <c r="BX139" s="44">
        <f t="shared" si="241"/>
        <v>3.6595799730781762E-3</v>
      </c>
      <c r="BY139" s="44">
        <f t="shared" si="242"/>
        <v>3.1421700278450944E-3</v>
      </c>
      <c r="CA139" s="44" t="str">
        <f t="shared" si="243"/>
        <v/>
      </c>
      <c r="CB139" s="44" t="str">
        <f t="shared" si="244"/>
        <v/>
      </c>
      <c r="CC139" s="44" t="str">
        <f t="shared" si="245"/>
        <v/>
      </c>
      <c r="CD139" s="44" t="str">
        <f t="shared" si="246"/>
        <v/>
      </c>
      <c r="CE139" s="44" t="str">
        <f t="shared" si="247"/>
        <v/>
      </c>
      <c r="CF139" s="44" t="str">
        <f t="shared" si="248"/>
        <v/>
      </c>
      <c r="CG139" s="44" t="str">
        <f t="shared" si="249"/>
        <v/>
      </c>
      <c r="CH139" s="44" t="str">
        <f t="shared" si="250"/>
        <v/>
      </c>
      <c r="CI139" s="44" t="str">
        <f t="shared" si="251"/>
        <v/>
      </c>
      <c r="CJ139" s="44" t="str">
        <f t="shared" si="252"/>
        <v/>
      </c>
      <c r="CK139" s="44" t="str">
        <f t="shared" si="253"/>
        <v/>
      </c>
      <c r="CL139" s="44" t="str">
        <f t="shared" si="254"/>
        <v/>
      </c>
      <c r="CM139" s="44" t="str">
        <f t="shared" si="255"/>
        <v/>
      </c>
      <c r="CN139" s="44" t="str">
        <f t="shared" si="256"/>
        <v/>
      </c>
      <c r="CO139" s="44" t="str">
        <f t="shared" si="257"/>
        <v/>
      </c>
      <c r="CP139" s="44" t="str">
        <f t="shared" si="258"/>
        <v/>
      </c>
      <c r="CQ139" s="44" t="str">
        <f t="shared" si="259"/>
        <v/>
      </c>
      <c r="CR139" s="44" t="str">
        <f t="shared" si="260"/>
        <v/>
      </c>
      <c r="CS139" s="44" t="str">
        <f t="shared" si="261"/>
        <v/>
      </c>
      <c r="CT139" s="44" t="str">
        <f t="shared" si="262"/>
        <v/>
      </c>
      <c r="CV139" s="44">
        <f t="shared" si="263"/>
        <v>0</v>
      </c>
    </row>
    <row r="140" spans="1:100" x14ac:dyDescent="0.25">
      <c r="A140" s="49"/>
      <c r="B140" s="50"/>
      <c r="C140" s="51" t="str" cm="1">
        <f t="array" ref="C140">IF(B140="","",INDEX(UWS!$B$10:$B$41,B140))</f>
        <v/>
      </c>
      <c r="D140" s="45" t="str">
        <f t="shared" si="220"/>
        <v/>
      </c>
      <c r="E140" s="70" t="str">
        <f t="shared" si="221"/>
        <v/>
      </c>
      <c r="F140" s="52" cm="1">
        <f t="array" ref="F140">0.1+IFERROR(INDEX($F$5:$F139,SUMPRODUCT(MAX(ROW($C$5:$C139)*($C140=$C$5:$C139))-ROW($A$4)))*0.9^($A140-INDEX($A$5:A139,SUMPRODUCT(MAX(ROW($C$5:$C139)*($C140=$C$5:$C139))-ROW($A$4)))),0)</f>
        <v>7.4999999999999893</v>
      </c>
      <c r="G140" s="56" t="e">
        <f>INDEX(UWS!$AB$10:$AB$41,MATCH(C140,UWS!$B$10:$B$41,0))</f>
        <v>#N/A</v>
      </c>
      <c r="H140" s="52" t="e">
        <f>INDEX(UWS!$C$10:$C$41,MATCH(C140,UWS!$B$10:$B$41,0))</f>
        <v>#N/A</v>
      </c>
      <c r="I140" s="46">
        <f t="shared" si="222"/>
        <v>5</v>
      </c>
      <c r="J140" s="46" t="e">
        <f>INDEX(UWS!$E$10:$E$41,MATCH(C140,UWS!$B$10:$B$41,0))</f>
        <v>#N/A</v>
      </c>
      <c r="K140" s="46"/>
      <c r="L140" s="109" t="str" cm="1">
        <f t="array" ref="L140">IF(K140="","",INDEX(UWS!$B$10:$B$41,K140))</f>
        <v/>
      </c>
      <c r="M140" s="46"/>
      <c r="N140" s="109" t="str" cm="1">
        <f t="array" ref="N140">IF(M140="","",INDEX(UWS!$B$10:$B$41,M140))</f>
        <v/>
      </c>
      <c r="O140" s="47"/>
      <c r="P140" s="47">
        <f>IFERROR(INDEX(UWS!$G$10:$Z$41,MATCH($C140,UWS!$B$10:$B$41,0),MATCH(P$4,UWS!$G$3:$Z$3,0)),0)</f>
        <v>0</v>
      </c>
      <c r="Q140" s="47">
        <f>IFERROR(INDEX(UWS!$G$10:$Z$41,MATCH($C140,UWS!$B$10:$B$41,0),MATCH(Q$4,UWS!$G$3:$Z$3,0)),0)</f>
        <v>0</v>
      </c>
      <c r="R140" s="47">
        <f>IFERROR(INDEX(UWS!$G$10:$Z$41,MATCH($C140,UWS!$B$10:$B$41,0),MATCH(R$4,UWS!$G$3:$Z$3,0)),0)</f>
        <v>0</v>
      </c>
      <c r="S140" s="47">
        <f>IFERROR(INDEX(UWS!$G$10:$Z$41,MATCH($C140,UWS!$B$10:$B$41,0),MATCH(S$4,UWS!$G$3:$Z$3,0)),0)</f>
        <v>0</v>
      </c>
      <c r="T140" s="47">
        <f>IFERROR(INDEX(UWS!$G$10:$Z$41,MATCH($C140,UWS!$B$10:$B$41,0),MATCH(T$4,UWS!$G$3:$Z$3,0)),0)</f>
        <v>0</v>
      </c>
      <c r="U140" s="47">
        <f>IFERROR(INDEX(UWS!$G$10:$Z$41,MATCH($C140,UWS!$B$10:$B$41,0),MATCH(U$4,UWS!$G$3:$Z$3,0)),0)</f>
        <v>0</v>
      </c>
      <c r="V140" s="47">
        <f>IFERROR(INDEX(UWS!$G$10:$Z$41,MATCH($C140,UWS!$B$10:$B$41,0),MATCH(V$4,UWS!$G$3:$Z$3,0)),0)</f>
        <v>0</v>
      </c>
      <c r="W140" s="47">
        <f>IFERROR(INDEX(UWS!$G$10:$Z$41,MATCH($C140,UWS!$B$10:$B$41,0),MATCH(W$4,UWS!$G$3:$Z$3,0)),0)</f>
        <v>0</v>
      </c>
      <c r="X140" s="47">
        <f>IFERROR(INDEX(UWS!$G$10:$Z$41,MATCH($C140,UWS!$B$10:$B$41,0),MATCH(X$4,UWS!$G$3:$Z$3,0)),0)</f>
        <v>0</v>
      </c>
      <c r="Y140" s="47">
        <f>IFERROR(INDEX(UWS!$G$10:$Z$41,MATCH($C140,UWS!$B$10:$B$41,0),MATCH(Y$4,UWS!$G$3:$Z$3,0)),0)</f>
        <v>0</v>
      </c>
      <c r="Z140" s="47">
        <f>IFERROR(INDEX(UWS!$G$10:$Z$41,MATCH($C140,UWS!$B$10:$B$41,0),MATCH(Z$4,UWS!$G$3:$Z$3,0)),0)</f>
        <v>0</v>
      </c>
      <c r="AA140" s="47">
        <f>IFERROR(INDEX(UWS!$G$10:$Z$41,MATCH($C140,UWS!$B$10:$B$41,0),MATCH(AA$4,UWS!$G$3:$Z$3,0)),0)</f>
        <v>0</v>
      </c>
      <c r="AB140" s="47">
        <f>IFERROR(INDEX(UWS!$G$10:$Z$41,MATCH($C140,UWS!$B$10:$B$41,0),MATCH(AB$4,UWS!$G$3:$Z$3,0)),0)</f>
        <v>0</v>
      </c>
      <c r="AC140" s="47">
        <f>IFERROR(INDEX(UWS!$G$10:$Z$41,MATCH($C140,UWS!$B$10:$B$41,0),MATCH(AC$4,UWS!$G$3:$Z$3,0)),0)</f>
        <v>0</v>
      </c>
      <c r="AD140" s="47">
        <f>IFERROR(INDEX(UWS!$G$10:$Z$41,MATCH($C140,UWS!$B$10:$B$41,0),MATCH(AD$4,UWS!$G$3:$Z$3,0)),0)</f>
        <v>0</v>
      </c>
      <c r="AE140" s="47">
        <f>IFERROR(INDEX(UWS!$G$10:$Z$41,MATCH($C140,UWS!$B$10:$B$41,0),MATCH(AE$4,UWS!$G$3:$Z$3,0)),0)</f>
        <v>0</v>
      </c>
      <c r="AF140" s="47">
        <f>IFERROR(INDEX(UWS!$G$10:$Z$41,MATCH($C140,UWS!$B$10:$B$41,0),MATCH(AF$4,UWS!$G$3:$Z$3,0)),0)</f>
        <v>0</v>
      </c>
      <c r="AG140" s="47">
        <f>IFERROR(INDEX(UWS!$G$10:$Z$41,MATCH($C140,UWS!$B$10:$B$41,0),MATCH(AG$4,UWS!$G$3:$Z$3,0)),0)</f>
        <v>0</v>
      </c>
      <c r="AH140" s="47">
        <f>IFERROR(INDEX(UWS!$G$10:$Z$41,MATCH($C140,UWS!$B$10:$B$41,0),MATCH(AH$4,UWS!$G$3:$Z$3,0)),0)</f>
        <v>0</v>
      </c>
      <c r="AI140" s="47">
        <f>IFERROR(INDEX(UWS!$G$10:$Z$41,MATCH($C140,UWS!$B$10:$B$41,0),MATCH(AI$4,UWS!$G$3:$Z$3,0)),0)</f>
        <v>0</v>
      </c>
      <c r="AJ140" s="47"/>
      <c r="AK140" s="47" t="e">
        <f>IF(OR($J140=0,COUNTIFS($A$4:$A139,"&gt;="&amp;$A140-1,$A$4:$A139,"&lt;="&amp;$A140,$B$4:$B139,$B140)&gt;0,MIN(AK$1,IF($A140=$A139,AK139,1))-P140&lt;0),-1,MIN(1,IF($A140=$A139,AK139,1)-P140+$D$3))</f>
        <v>#N/A</v>
      </c>
      <c r="AL140" s="47" t="e">
        <f>IF(OR($J140=0,COUNTIFS($A$4:$A139,"&gt;="&amp;$A140-1,$A$4:$A139,"&lt;="&amp;$A140,$B$4:$B139,$B140)&gt;0,MIN(AL$1,IF($A140=$A139,AL139,1))-Q140&lt;0),-1,MIN(1,IF($A140=$A139,AL139,1)-Q140+$D$3))</f>
        <v>#N/A</v>
      </c>
      <c r="AM140" s="47" t="e">
        <f>IF(OR($J140=0,COUNTIFS($A$4:$A139,"&gt;="&amp;$A140-1,$A$4:$A139,"&lt;="&amp;$A140,$B$4:$B139,$B140)&gt;0,MIN(AM$1,IF($A140=$A139,AM139,1))-R140&lt;0),-1,MIN(1,IF($A140=$A139,AM139,1)-R140+$D$3))</f>
        <v>#N/A</v>
      </c>
      <c r="AN140" s="47" t="e">
        <f>IF(OR($J140=0,COUNTIFS($A$4:$A139,"&gt;="&amp;$A140-1,$A$4:$A139,"&lt;="&amp;$A140,$B$4:$B139,$B140)&gt;0,MIN(AN$1,IF($A140=$A139,AN139,1))-S140&lt;0),-1,MIN(1,IF($A140=$A139,AN139,1)-S140+$D$3))</f>
        <v>#N/A</v>
      </c>
      <c r="AO140" s="47" t="e">
        <f>IF(OR($J140=0,COUNTIFS($A$4:$A139,"&gt;="&amp;$A140-1,$A$4:$A139,"&lt;="&amp;$A140,$B$4:$B139,$B140)&gt;0,MIN(AO$1,IF($A140=$A139,AO139,1))-T140&lt;0),-1,MIN(1,IF($A140=$A139,AO139,1)-T140+$D$3))</f>
        <v>#N/A</v>
      </c>
      <c r="AP140" s="47" t="e">
        <f>IF(OR($J140=0,COUNTIFS($A$4:$A139,"&gt;="&amp;$A140-1,$A$4:$A139,"&lt;="&amp;$A140,$B$4:$B139,$B140)&gt;0,MIN(AP$1,IF($A140=$A139,AP139,1))-U140&lt;0),-1,MIN(1,IF($A140=$A139,AP139,1)-U140+$D$3))</f>
        <v>#N/A</v>
      </c>
      <c r="AQ140" s="47" t="e">
        <f>IF(OR($J140=0,COUNTIFS($A$4:$A139,"&gt;="&amp;$A140-1,$A$4:$A139,"&lt;="&amp;$A140,$B$4:$B139,$B140)&gt;0,MIN(AQ$1,IF($A140=$A139,AQ139,1))-V140&lt;0),-1,MIN(1,IF($A140=$A139,AQ139,1)-V140+$D$3))</f>
        <v>#N/A</v>
      </c>
      <c r="AR140" s="47" t="e">
        <f>IF(OR($J140=0,COUNTIFS($A$4:$A139,"&gt;="&amp;$A140-1,$A$4:$A139,"&lt;="&amp;$A140,$B$4:$B139,$B140)&gt;0,MIN(AR$1,IF($A140=$A139,AR139,1))-W140&lt;0),-1,MIN(1,IF($A140=$A139,AR139,1)-W140+$D$3))</f>
        <v>#N/A</v>
      </c>
      <c r="AS140" s="47" t="e">
        <f>IF(OR($J140=0,COUNTIFS($A$4:$A139,"&gt;="&amp;$A140-1,$A$4:$A139,"&lt;="&amp;$A140,$B$4:$B139,$B140)&gt;0,MIN(AS$1,IF($A140=$A139,AS139,1))-X140&lt;0),-1,MIN(1,IF($A140=$A139,AS139,1)-X140+$D$3))</f>
        <v>#N/A</v>
      </c>
      <c r="AT140" s="47" t="e">
        <f>IF(OR($J140=0,COUNTIFS($A$4:$A139,"&gt;="&amp;$A140-1,$A$4:$A139,"&lt;="&amp;$A140,$B$4:$B139,$B140)&gt;0,MIN(AT$1,IF($A140=$A139,AT139,1))-Y140&lt;0),-1,MIN(1,IF($A140=$A139,AT139,1)-Y140+$D$3))</f>
        <v>#N/A</v>
      </c>
      <c r="AU140" s="47" t="e">
        <f>IF(OR($J140=0,COUNTIFS($A$4:$A139,"&gt;="&amp;$A140-1,$A$4:$A139,"&lt;="&amp;$A140,$B$4:$B139,$B140)&gt;0,MIN(AU$1,IF($A140=$A139,AU139,1))-Z140&lt;0),-1,MIN(1,IF($A140=$A139,AU139,1)-Z140+$D$3))</f>
        <v>#N/A</v>
      </c>
      <c r="AV140" s="47" t="e">
        <f>IF(OR($J140=0,COUNTIFS($A$4:$A139,"&gt;="&amp;$A140-1,$A$4:$A139,"&lt;="&amp;$A140,$B$4:$B139,$B140)&gt;0,MIN(AV$1,IF($A140=$A139,AV139,1))-AA140&lt;0),-1,MIN(1,IF($A140=$A139,AV139,1)-AA140+$D$3))</f>
        <v>#N/A</v>
      </c>
      <c r="AW140" s="47" t="e">
        <f>IF(OR($J140=0,COUNTIFS($A$4:$A139,"&gt;="&amp;$A140-1,$A$4:$A139,"&lt;="&amp;$A140,$B$4:$B139,$B140)&gt;0,MIN(AW$1,IF($A140=$A139,AW139,1))-AB140&lt;0),-1,MIN(1,IF($A140=$A139,AW139,1)-AB140+$D$3))</f>
        <v>#N/A</v>
      </c>
      <c r="AX140" s="47" t="e">
        <f>IF(OR($J140=0,COUNTIFS($A$4:$A139,"&gt;="&amp;$A140-1,$A$4:$A139,"&lt;="&amp;$A140,$B$4:$B139,$B140)&gt;0,MIN(AX$1,IF($A140=$A139,AX139,1))-AC140&lt;0),-1,MIN(1,IF($A140=$A139,AX139,1)-AC140+$D$3))</f>
        <v>#N/A</v>
      </c>
      <c r="AY140" s="47" t="e">
        <f>IF(OR($J140=0,COUNTIFS($A$4:$A139,"&gt;="&amp;$A140-1,$A$4:$A139,"&lt;="&amp;$A140,$B$4:$B139,$B140)&gt;0,MIN(AY$1,IF($A140=$A139,AY139,1))-AD140&lt;0),-1,MIN(1,IF($A140=$A139,AY139,1)-AD140+$D$3))</f>
        <v>#N/A</v>
      </c>
      <c r="AZ140" s="47" t="e">
        <f>IF(OR($J140=0,COUNTIFS($A$4:$A139,"&gt;="&amp;$A140-1,$A$4:$A139,"&lt;="&amp;$A140,$B$4:$B139,$B140)&gt;0,MIN(AZ$1,IF($A140=$A139,AZ139,1))-AE140&lt;0),-1,MIN(1,IF($A140=$A139,AZ139,1)-AE140+$D$3))</f>
        <v>#N/A</v>
      </c>
      <c r="BA140" s="47" t="e">
        <f>IF(OR($J140=0,COUNTIFS($A$4:$A139,"&gt;="&amp;$A140-1,$A$4:$A139,"&lt;="&amp;$A140,$B$4:$B139,$B140)&gt;0,MIN(BA$1,IF($A140=$A139,BA139,1))-AF140&lt;0),-1,MIN(1,IF($A140=$A139,BA139,1)-AF140+$D$3))</f>
        <v>#N/A</v>
      </c>
      <c r="BB140" s="47" t="e">
        <f>IF(OR($J140=0,COUNTIFS($A$4:$A139,"&gt;="&amp;$A140-1,$A$4:$A139,"&lt;="&amp;$A140,$B$4:$B139,$B140)&gt;0,MIN(BB$1,IF($A140=$A139,BB139,1))-AG140&lt;0),-1,MIN(1,IF($A140=$A139,BB139,1)-AG140+$D$3))</f>
        <v>#N/A</v>
      </c>
      <c r="BC140" s="47" t="e">
        <f>IF(OR($J140=0,COUNTIFS($A$4:$A139,"&gt;="&amp;$A140-1,$A$4:$A139,"&lt;="&amp;$A140,$B$4:$B139,$B140)&gt;0,MIN(BC$1,IF($A140=$A139,BC139,1))-AH140&lt;0),-1,MIN(1,IF($A140=$A139,BC139,1)-AH140+$D$3))</f>
        <v>#N/A</v>
      </c>
      <c r="BD140" s="47" t="e">
        <f>IF(OR($J140=0,COUNTIFS($A$4:$A139,"&gt;="&amp;$A140-1,$A$4:$A139,"&lt;="&amp;$A140,$B$4:$B139,$B140)&gt;0,MIN(BD$1,IF($A140=$A139,BD139,1))-AI140&lt;0),-1,MIN(1,IF($A140=$A139,BD139,1)-AI140+$D$3))</f>
        <v>#N/A</v>
      </c>
      <c r="BE140" s="47"/>
      <c r="BF140" s="53">
        <f t="shared" si="223"/>
        <v>1.9802326325683785E-3</v>
      </c>
      <c r="BG140" s="53">
        <f t="shared" si="224"/>
        <v>4.8699508280277554E-3</v>
      </c>
      <c r="BH140" s="53">
        <f t="shared" si="225"/>
        <v>4.991187330070747E-3</v>
      </c>
      <c r="BI140" s="53">
        <f t="shared" si="226"/>
        <v>4.6104713483198717E-3</v>
      </c>
      <c r="BJ140" s="53">
        <f t="shared" si="227"/>
        <v>4.7653598380111573E-3</v>
      </c>
      <c r="BK140" s="53">
        <f t="shared" si="228"/>
        <v>2.046423190595672E-3</v>
      </c>
      <c r="BL140" s="53">
        <f t="shared" si="229"/>
        <v>1.1055100026963053E-3</v>
      </c>
      <c r="BM140" s="53">
        <f t="shared" si="230"/>
        <v>2.812288350889309E-3</v>
      </c>
      <c r="BN140" s="53">
        <f t="shared" si="231"/>
        <v>2.9249990616893413E-3</v>
      </c>
      <c r="BO140" s="53">
        <f t="shared" si="232"/>
        <v>1.3707655512828585E-3</v>
      </c>
      <c r="BP140" s="53">
        <f t="shared" si="233"/>
        <v>4.6091686252601408E-3</v>
      </c>
      <c r="BQ140" s="53">
        <f t="shared" si="234"/>
        <v>1.2438238139966097E-3</v>
      </c>
      <c r="BR140" s="53">
        <f t="shared" si="235"/>
        <v>3.6745669082084219E-3</v>
      </c>
      <c r="BS140" s="53">
        <f t="shared" si="236"/>
        <v>1.9817426955179886E-3</v>
      </c>
      <c r="BT140" s="53">
        <f t="shared" si="237"/>
        <v>7.8423634018006394E-3</v>
      </c>
      <c r="BU140" s="53">
        <f t="shared" si="238"/>
        <v>7.491816906060835E-3</v>
      </c>
      <c r="BV140" s="53">
        <f t="shared" si="239"/>
        <v>7.1948930952575067E-3</v>
      </c>
      <c r="BW140" s="53">
        <f t="shared" si="240"/>
        <v>4.7058560222673022E-3</v>
      </c>
      <c r="BX140" s="53">
        <f t="shared" si="241"/>
        <v>3.4766009744242672E-3</v>
      </c>
      <c r="BY140" s="53">
        <f t="shared" si="242"/>
        <v>2.9850615264528394E-3</v>
      </c>
      <c r="BZ140" s="47"/>
      <c r="CA140" s="53" t="str">
        <f t="shared" si="243"/>
        <v/>
      </c>
      <c r="CB140" s="53" t="str">
        <f t="shared" si="244"/>
        <v/>
      </c>
      <c r="CC140" s="53" t="str">
        <f t="shared" si="245"/>
        <v/>
      </c>
      <c r="CD140" s="53" t="str">
        <f t="shared" si="246"/>
        <v/>
      </c>
      <c r="CE140" s="53" t="str">
        <f t="shared" si="247"/>
        <v/>
      </c>
      <c r="CF140" s="53" t="str">
        <f t="shared" si="248"/>
        <v/>
      </c>
      <c r="CG140" s="53" t="str">
        <f t="shared" si="249"/>
        <v/>
      </c>
      <c r="CH140" s="53" t="str">
        <f t="shared" si="250"/>
        <v/>
      </c>
      <c r="CI140" s="53" t="str">
        <f t="shared" si="251"/>
        <v/>
      </c>
      <c r="CJ140" s="53" t="str">
        <f t="shared" si="252"/>
        <v/>
      </c>
      <c r="CK140" s="53" t="str">
        <f t="shared" si="253"/>
        <v/>
      </c>
      <c r="CL140" s="53" t="str">
        <f t="shared" si="254"/>
        <v/>
      </c>
      <c r="CM140" s="53" t="str">
        <f t="shared" si="255"/>
        <v/>
      </c>
      <c r="CN140" s="53" t="str">
        <f t="shared" si="256"/>
        <v/>
      </c>
      <c r="CO140" s="53" t="str">
        <f t="shared" si="257"/>
        <v/>
      </c>
      <c r="CP140" s="53" t="str">
        <f t="shared" si="258"/>
        <v/>
      </c>
      <c r="CQ140" s="53" t="str">
        <f t="shared" si="259"/>
        <v/>
      </c>
      <c r="CR140" s="53" t="str">
        <f t="shared" si="260"/>
        <v/>
      </c>
      <c r="CS140" s="53" t="str">
        <f t="shared" si="261"/>
        <v/>
      </c>
      <c r="CT140" s="53" t="str">
        <f t="shared" si="262"/>
        <v/>
      </c>
      <c r="CU140" s="47"/>
      <c r="CV140" s="53">
        <f t="shared" si="263"/>
        <v>0</v>
      </c>
    </row>
    <row r="141" spans="1:100" x14ac:dyDescent="0.25">
      <c r="A141" s="41"/>
      <c r="B141" s="42"/>
      <c r="C141" s="43" t="str" cm="1">
        <f t="array" ref="C141">IF(B141="","",INDEX(UWS!$B$10:$B$41,B141))</f>
        <v/>
      </c>
      <c r="D141" s="40" t="str">
        <f t="shared" si="220"/>
        <v/>
      </c>
      <c r="E141" s="69" t="str">
        <f t="shared" si="221"/>
        <v/>
      </c>
      <c r="F141" s="48" cm="1">
        <f t="array" ref="F141">0.1+IFERROR(INDEX($F$5:$F140,SUMPRODUCT(MAX(ROW($C$5:$C140)*($C141=$C$5:$C140))-ROW($A$4)))*0.9^($A141-INDEX($A$5:A140,SUMPRODUCT(MAX(ROW($C$5:$C140)*($C141=$C$5:$C140))-ROW($A$4)))),0)</f>
        <v>7.599999999999989</v>
      </c>
      <c r="G141" s="55" t="e">
        <f>INDEX(UWS!$AB$10:$AB$41,MATCH(C141,UWS!$B$10:$B$41,0))</f>
        <v>#N/A</v>
      </c>
      <c r="H141" s="48" t="e">
        <f>INDEX(UWS!$C$10:$C$41,MATCH(C141,UWS!$B$10:$B$41,0))</f>
        <v>#N/A</v>
      </c>
      <c r="I141" s="82">
        <f t="shared" si="222"/>
        <v>5</v>
      </c>
      <c r="J141" s="27" t="e">
        <f>INDEX(UWS!$E$10:$E$41,MATCH(C141,UWS!$B$10:$B$41,0))</f>
        <v>#N/A</v>
      </c>
      <c r="L141" s="108" t="str" cm="1">
        <f t="array" ref="L141">IF(K141="","",INDEX(UWS!$B$10:$B$41,K141))</f>
        <v/>
      </c>
      <c r="N141" s="108" t="str" cm="1">
        <f t="array" ref="N141">IF(M141="","",INDEX(UWS!$B$10:$B$41,M141))</f>
        <v/>
      </c>
      <c r="P141">
        <f>IFERROR(INDEX(UWS!$G$10:$Z$41,MATCH($C141,UWS!$B$10:$B$41,0),MATCH(P$4,UWS!$G$3:$Z$3,0)),0)</f>
        <v>0</v>
      </c>
      <c r="Q141">
        <f>IFERROR(INDEX(UWS!$G$10:$Z$41,MATCH($C141,UWS!$B$10:$B$41,0),MATCH(Q$4,UWS!$G$3:$Z$3,0)),0)</f>
        <v>0</v>
      </c>
      <c r="R141">
        <f>IFERROR(INDEX(UWS!$G$10:$Z$41,MATCH($C141,UWS!$B$10:$B$41,0),MATCH(R$4,UWS!$G$3:$Z$3,0)),0)</f>
        <v>0</v>
      </c>
      <c r="S141">
        <f>IFERROR(INDEX(UWS!$G$10:$Z$41,MATCH($C141,UWS!$B$10:$B$41,0),MATCH(S$4,UWS!$G$3:$Z$3,0)),0)</f>
        <v>0</v>
      </c>
      <c r="T141">
        <f>IFERROR(INDEX(UWS!$G$10:$Z$41,MATCH($C141,UWS!$B$10:$B$41,0),MATCH(T$4,UWS!$G$3:$Z$3,0)),0)</f>
        <v>0</v>
      </c>
      <c r="U141">
        <f>IFERROR(INDEX(UWS!$G$10:$Z$41,MATCH($C141,UWS!$B$10:$B$41,0),MATCH(U$4,UWS!$G$3:$Z$3,0)),0)</f>
        <v>0</v>
      </c>
      <c r="V141">
        <f>IFERROR(INDEX(UWS!$G$10:$Z$41,MATCH($C141,UWS!$B$10:$B$41,0),MATCH(V$4,UWS!$G$3:$Z$3,0)),0)</f>
        <v>0</v>
      </c>
      <c r="W141">
        <f>IFERROR(INDEX(UWS!$G$10:$Z$41,MATCH($C141,UWS!$B$10:$B$41,0),MATCH(W$4,UWS!$G$3:$Z$3,0)),0)</f>
        <v>0</v>
      </c>
      <c r="X141">
        <f>IFERROR(INDEX(UWS!$G$10:$Z$41,MATCH($C141,UWS!$B$10:$B$41,0),MATCH(X$4,UWS!$G$3:$Z$3,0)),0)</f>
        <v>0</v>
      </c>
      <c r="Y141">
        <f>IFERROR(INDEX(UWS!$G$10:$Z$41,MATCH($C141,UWS!$B$10:$B$41,0),MATCH(Y$4,UWS!$G$3:$Z$3,0)),0)</f>
        <v>0</v>
      </c>
      <c r="Z141">
        <f>IFERROR(INDEX(UWS!$G$10:$Z$41,MATCH($C141,UWS!$B$10:$B$41,0),MATCH(Z$4,UWS!$G$3:$Z$3,0)),0)</f>
        <v>0</v>
      </c>
      <c r="AA141">
        <f>IFERROR(INDEX(UWS!$G$10:$Z$41,MATCH($C141,UWS!$B$10:$B$41,0),MATCH(AA$4,UWS!$G$3:$Z$3,0)),0)</f>
        <v>0</v>
      </c>
      <c r="AB141">
        <f>IFERROR(INDEX(UWS!$G$10:$Z$41,MATCH($C141,UWS!$B$10:$B$41,0),MATCH(AB$4,UWS!$G$3:$Z$3,0)),0)</f>
        <v>0</v>
      </c>
      <c r="AC141">
        <f>IFERROR(INDEX(UWS!$G$10:$Z$41,MATCH($C141,UWS!$B$10:$B$41,0),MATCH(AC$4,UWS!$G$3:$Z$3,0)),0)</f>
        <v>0</v>
      </c>
      <c r="AD141">
        <f>IFERROR(INDEX(UWS!$G$10:$Z$41,MATCH($C141,UWS!$B$10:$B$41,0),MATCH(AD$4,UWS!$G$3:$Z$3,0)),0)</f>
        <v>0</v>
      </c>
      <c r="AE141">
        <f>IFERROR(INDEX(UWS!$G$10:$Z$41,MATCH($C141,UWS!$B$10:$B$41,0),MATCH(AE$4,UWS!$G$3:$Z$3,0)),0)</f>
        <v>0</v>
      </c>
      <c r="AF141">
        <f>IFERROR(INDEX(UWS!$G$10:$Z$41,MATCH($C141,UWS!$B$10:$B$41,0),MATCH(AF$4,UWS!$G$3:$Z$3,0)),0)</f>
        <v>0</v>
      </c>
      <c r="AG141">
        <f>IFERROR(INDEX(UWS!$G$10:$Z$41,MATCH($C141,UWS!$B$10:$B$41,0),MATCH(AG$4,UWS!$G$3:$Z$3,0)),0)</f>
        <v>0</v>
      </c>
      <c r="AH141">
        <f>IFERROR(INDEX(UWS!$G$10:$Z$41,MATCH($C141,UWS!$B$10:$B$41,0),MATCH(AH$4,UWS!$G$3:$Z$3,0)),0)</f>
        <v>0</v>
      </c>
      <c r="AI141">
        <f>IFERROR(INDEX(UWS!$G$10:$Z$41,MATCH($C141,UWS!$B$10:$B$41,0),MATCH(AI$4,UWS!$G$3:$Z$3,0)),0)</f>
        <v>0</v>
      </c>
      <c r="AK141" t="e">
        <f>IF(OR($J141=0,COUNTIFS($A$4:$A140,"&gt;="&amp;$A141-1,$A$4:$A140,"&lt;="&amp;$A141,$B$4:$B140,$B141)&gt;0,MIN(AK$1,IF($A141=$A140,AK140,1))-P141&lt;0),-1,MIN(1,IF($A141=$A140,AK140,1)-P141+$D$3))</f>
        <v>#N/A</v>
      </c>
      <c r="AL141" t="e">
        <f>IF(OR($J141=0,COUNTIFS($A$4:$A140,"&gt;="&amp;$A141-1,$A$4:$A140,"&lt;="&amp;$A141,$B$4:$B140,$B141)&gt;0,MIN(AL$1,IF($A141=$A140,AL140,1))-Q141&lt;0),-1,MIN(1,IF($A141=$A140,AL140,1)-Q141+$D$3))</f>
        <v>#N/A</v>
      </c>
      <c r="AM141" t="e">
        <f>IF(OR($J141=0,COUNTIFS($A$4:$A140,"&gt;="&amp;$A141-1,$A$4:$A140,"&lt;="&amp;$A141,$B$4:$B140,$B141)&gt;0,MIN(AM$1,IF($A141=$A140,AM140,1))-R141&lt;0),-1,MIN(1,IF($A141=$A140,AM140,1)-R141+$D$3))</f>
        <v>#N/A</v>
      </c>
      <c r="AN141" t="e">
        <f>IF(OR($J141=0,COUNTIFS($A$4:$A140,"&gt;="&amp;$A141-1,$A$4:$A140,"&lt;="&amp;$A141,$B$4:$B140,$B141)&gt;0,MIN(AN$1,IF($A141=$A140,AN140,1))-S141&lt;0),-1,MIN(1,IF($A141=$A140,AN140,1)-S141+$D$3))</f>
        <v>#N/A</v>
      </c>
      <c r="AO141" t="e">
        <f>IF(OR($J141=0,COUNTIFS($A$4:$A140,"&gt;="&amp;$A141-1,$A$4:$A140,"&lt;="&amp;$A141,$B$4:$B140,$B141)&gt;0,MIN(AO$1,IF($A141=$A140,AO140,1))-T141&lt;0),-1,MIN(1,IF($A141=$A140,AO140,1)-T141+$D$3))</f>
        <v>#N/A</v>
      </c>
      <c r="AP141" t="e">
        <f>IF(OR($J141=0,COUNTIFS($A$4:$A140,"&gt;="&amp;$A141-1,$A$4:$A140,"&lt;="&amp;$A141,$B$4:$B140,$B141)&gt;0,MIN(AP$1,IF($A141=$A140,AP140,1))-U141&lt;0),-1,MIN(1,IF($A141=$A140,AP140,1)-U141+$D$3))</f>
        <v>#N/A</v>
      </c>
      <c r="AQ141" t="e">
        <f>IF(OR($J141=0,COUNTIFS($A$4:$A140,"&gt;="&amp;$A141-1,$A$4:$A140,"&lt;="&amp;$A141,$B$4:$B140,$B141)&gt;0,MIN(AQ$1,IF($A141=$A140,AQ140,1))-V141&lt;0),-1,MIN(1,IF($A141=$A140,AQ140,1)-V141+$D$3))</f>
        <v>#N/A</v>
      </c>
      <c r="AR141" t="e">
        <f>IF(OR($J141=0,COUNTIFS($A$4:$A140,"&gt;="&amp;$A141-1,$A$4:$A140,"&lt;="&amp;$A141,$B$4:$B140,$B141)&gt;0,MIN(AR$1,IF($A141=$A140,AR140,1))-W141&lt;0),-1,MIN(1,IF($A141=$A140,AR140,1)-W141+$D$3))</f>
        <v>#N/A</v>
      </c>
      <c r="AS141" t="e">
        <f>IF(OR($J141=0,COUNTIFS($A$4:$A140,"&gt;="&amp;$A141-1,$A$4:$A140,"&lt;="&amp;$A141,$B$4:$B140,$B141)&gt;0,MIN(AS$1,IF($A141=$A140,AS140,1))-X141&lt;0),-1,MIN(1,IF($A141=$A140,AS140,1)-X141+$D$3))</f>
        <v>#N/A</v>
      </c>
      <c r="AT141" t="e">
        <f>IF(OR($J141=0,COUNTIFS($A$4:$A140,"&gt;="&amp;$A141-1,$A$4:$A140,"&lt;="&amp;$A141,$B$4:$B140,$B141)&gt;0,MIN(AT$1,IF($A141=$A140,AT140,1))-Y141&lt;0),-1,MIN(1,IF($A141=$A140,AT140,1)-Y141+$D$3))</f>
        <v>#N/A</v>
      </c>
      <c r="AU141" t="e">
        <f>IF(OR($J141=0,COUNTIFS($A$4:$A140,"&gt;="&amp;$A141-1,$A$4:$A140,"&lt;="&amp;$A141,$B$4:$B140,$B141)&gt;0,MIN(AU$1,IF($A141=$A140,AU140,1))-Z141&lt;0),-1,MIN(1,IF($A141=$A140,AU140,1)-Z141+$D$3))</f>
        <v>#N/A</v>
      </c>
      <c r="AV141" t="e">
        <f>IF(OR($J141=0,COUNTIFS($A$4:$A140,"&gt;="&amp;$A141-1,$A$4:$A140,"&lt;="&amp;$A141,$B$4:$B140,$B141)&gt;0,MIN(AV$1,IF($A141=$A140,AV140,1))-AA141&lt;0),-1,MIN(1,IF($A141=$A140,AV140,1)-AA141+$D$3))</f>
        <v>#N/A</v>
      </c>
      <c r="AW141" t="e">
        <f>IF(OR($J141=0,COUNTIFS($A$4:$A140,"&gt;="&amp;$A141-1,$A$4:$A140,"&lt;="&amp;$A141,$B$4:$B140,$B141)&gt;0,MIN(AW$1,IF($A141=$A140,AW140,1))-AB141&lt;0),-1,MIN(1,IF($A141=$A140,AW140,1)-AB141+$D$3))</f>
        <v>#N/A</v>
      </c>
      <c r="AX141" t="e">
        <f>IF(OR($J141=0,COUNTIFS($A$4:$A140,"&gt;="&amp;$A141-1,$A$4:$A140,"&lt;="&amp;$A141,$B$4:$B140,$B141)&gt;0,MIN(AX$1,IF($A141=$A140,AX140,1))-AC141&lt;0),-1,MIN(1,IF($A141=$A140,AX140,1)-AC141+$D$3))</f>
        <v>#N/A</v>
      </c>
      <c r="AY141" t="e">
        <f>IF(OR($J141=0,COUNTIFS($A$4:$A140,"&gt;="&amp;$A141-1,$A$4:$A140,"&lt;="&amp;$A141,$B$4:$B140,$B141)&gt;0,MIN(AY$1,IF($A141=$A140,AY140,1))-AD141&lt;0),-1,MIN(1,IF($A141=$A140,AY140,1)-AD141+$D$3))</f>
        <v>#N/A</v>
      </c>
      <c r="AZ141" t="e">
        <f>IF(OR($J141=0,COUNTIFS($A$4:$A140,"&gt;="&amp;$A141-1,$A$4:$A140,"&lt;="&amp;$A141,$B$4:$B140,$B141)&gt;0,MIN(AZ$1,IF($A141=$A140,AZ140,1))-AE141&lt;0),-1,MIN(1,IF($A141=$A140,AZ140,1)-AE141+$D$3))</f>
        <v>#N/A</v>
      </c>
      <c r="BA141" t="e">
        <f>IF(OR($J141=0,COUNTIFS($A$4:$A140,"&gt;="&amp;$A141-1,$A$4:$A140,"&lt;="&amp;$A141,$B$4:$B140,$B141)&gt;0,MIN(BA$1,IF($A141=$A140,BA140,1))-AF141&lt;0),-1,MIN(1,IF($A141=$A140,BA140,1)-AF141+$D$3))</f>
        <v>#N/A</v>
      </c>
      <c r="BB141" t="e">
        <f>IF(OR($J141=0,COUNTIFS($A$4:$A140,"&gt;="&amp;$A141-1,$A$4:$A140,"&lt;="&amp;$A141,$B$4:$B140,$B141)&gt;0,MIN(BB$1,IF($A141=$A140,BB140,1))-AG141&lt;0),-1,MIN(1,IF($A141=$A140,BB140,1)-AG141+$D$3))</f>
        <v>#N/A</v>
      </c>
      <c r="BC141" t="e">
        <f>IF(OR($J141=0,COUNTIFS($A$4:$A140,"&gt;="&amp;$A141-1,$A$4:$A140,"&lt;="&amp;$A141,$B$4:$B140,$B141)&gt;0,MIN(BC$1,IF($A141=$A140,BC140,1))-AH141&lt;0),-1,MIN(1,IF($A141=$A140,BC140,1)-AH141+$D$3))</f>
        <v>#N/A</v>
      </c>
      <c r="BD141" t="e">
        <f>IF(OR($J141=0,COUNTIFS($A$4:$A140,"&gt;="&amp;$A141-1,$A$4:$A140,"&lt;="&amp;$A141,$B$4:$B140,$B141)&gt;0,MIN(BD$1,IF($A141=$A140,BD140,1))-AI141&lt;0),-1,MIN(1,IF($A141=$A140,BD140,1)-AI141+$D$3))</f>
        <v>#N/A</v>
      </c>
      <c r="BF141" s="44">
        <f t="shared" si="223"/>
        <v>1.8812210009399595E-3</v>
      </c>
      <c r="BG141" s="44">
        <f t="shared" si="224"/>
        <v>4.6264532866263676E-3</v>
      </c>
      <c r="BH141" s="44">
        <f t="shared" si="225"/>
        <v>4.7416279635672095E-3</v>
      </c>
      <c r="BI141" s="44">
        <f t="shared" si="226"/>
        <v>4.3799477809038784E-3</v>
      </c>
      <c r="BJ141" s="44">
        <f t="shared" si="227"/>
        <v>4.5270918461105996E-3</v>
      </c>
      <c r="BK141" s="44">
        <f t="shared" si="228"/>
        <v>1.9441020310658882E-3</v>
      </c>
      <c r="BL141" s="44">
        <f t="shared" si="229"/>
        <v>1.05023450256149E-3</v>
      </c>
      <c r="BM141" s="44">
        <f t="shared" si="230"/>
        <v>2.6716739333448435E-3</v>
      </c>
      <c r="BN141" s="44">
        <f t="shared" si="231"/>
        <v>2.7787491086048743E-3</v>
      </c>
      <c r="BO141" s="44">
        <f t="shared" si="232"/>
        <v>1.3022272737187154E-3</v>
      </c>
      <c r="BP141" s="44">
        <f t="shared" si="233"/>
        <v>4.3787101939971335E-3</v>
      </c>
      <c r="BQ141" s="44">
        <f t="shared" si="234"/>
        <v>1.1816326232967792E-3</v>
      </c>
      <c r="BR141" s="44">
        <f t="shared" si="235"/>
        <v>3.4908385627980005E-3</v>
      </c>
      <c r="BS141" s="44">
        <f t="shared" si="236"/>
        <v>1.8826555607420891E-3</v>
      </c>
      <c r="BT141" s="44">
        <f t="shared" si="237"/>
        <v>7.4502452317106067E-3</v>
      </c>
      <c r="BU141" s="44">
        <f t="shared" si="238"/>
        <v>7.1172260607577928E-3</v>
      </c>
      <c r="BV141" s="44">
        <f t="shared" si="239"/>
        <v>6.8351484404946313E-3</v>
      </c>
      <c r="BW141" s="44">
        <f t="shared" si="240"/>
        <v>4.4705632211539366E-3</v>
      </c>
      <c r="BX141" s="44">
        <f t="shared" si="241"/>
        <v>3.3027709257030537E-3</v>
      </c>
      <c r="BY141" s="44">
        <f t="shared" si="242"/>
        <v>2.8358084501301974E-3</v>
      </c>
      <c r="CA141" s="44" t="str">
        <f t="shared" si="243"/>
        <v/>
      </c>
      <c r="CB141" s="44" t="str">
        <f t="shared" si="244"/>
        <v/>
      </c>
      <c r="CC141" s="44" t="str">
        <f t="shared" si="245"/>
        <v/>
      </c>
      <c r="CD141" s="44" t="str">
        <f t="shared" si="246"/>
        <v/>
      </c>
      <c r="CE141" s="44" t="str">
        <f t="shared" si="247"/>
        <v/>
      </c>
      <c r="CF141" s="44" t="str">
        <f t="shared" si="248"/>
        <v/>
      </c>
      <c r="CG141" s="44" t="str">
        <f t="shared" si="249"/>
        <v/>
      </c>
      <c r="CH141" s="44" t="str">
        <f t="shared" si="250"/>
        <v/>
      </c>
      <c r="CI141" s="44" t="str">
        <f t="shared" si="251"/>
        <v/>
      </c>
      <c r="CJ141" s="44" t="str">
        <f t="shared" si="252"/>
        <v/>
      </c>
      <c r="CK141" s="44" t="str">
        <f t="shared" si="253"/>
        <v/>
      </c>
      <c r="CL141" s="44" t="str">
        <f t="shared" si="254"/>
        <v/>
      </c>
      <c r="CM141" s="44" t="str">
        <f t="shared" si="255"/>
        <v/>
      </c>
      <c r="CN141" s="44" t="str">
        <f t="shared" si="256"/>
        <v/>
      </c>
      <c r="CO141" s="44" t="str">
        <f t="shared" si="257"/>
        <v/>
      </c>
      <c r="CP141" s="44" t="str">
        <f t="shared" si="258"/>
        <v/>
      </c>
      <c r="CQ141" s="44" t="str">
        <f t="shared" si="259"/>
        <v/>
      </c>
      <c r="CR141" s="44" t="str">
        <f t="shared" si="260"/>
        <v/>
      </c>
      <c r="CS141" s="44" t="str">
        <f t="shared" si="261"/>
        <v/>
      </c>
      <c r="CT141" s="44" t="str">
        <f t="shared" si="262"/>
        <v/>
      </c>
      <c r="CV141" s="44">
        <f t="shared" si="263"/>
        <v>0</v>
      </c>
    </row>
    <row r="142" spans="1:100" x14ac:dyDescent="0.25">
      <c r="A142" s="41"/>
      <c r="B142" s="42"/>
      <c r="C142" s="43" t="str" cm="1">
        <f t="array" ref="C142">IF(B142="","",INDEX(UWS!$B$10:$B$41,B142))</f>
        <v/>
      </c>
      <c r="D142" s="40" t="str">
        <f t="shared" si="220"/>
        <v/>
      </c>
      <c r="E142" s="69" t="str">
        <f t="shared" si="221"/>
        <v/>
      </c>
      <c r="F142" s="48" cm="1">
        <f t="array" ref="F142">0.1+IFERROR(INDEX($F$5:$F141,SUMPRODUCT(MAX(ROW($C$5:$C141)*($C142=$C$5:$C141))-ROW($A$4)))*0.9^($A142-INDEX($A$5:A141,SUMPRODUCT(MAX(ROW($C$5:$C141)*($C142=$C$5:$C141))-ROW($A$4)))),0)</f>
        <v>7.6999999999999886</v>
      </c>
      <c r="G142" s="55" t="e">
        <f>INDEX(UWS!$AB$10:$AB$41,MATCH(C142,UWS!$B$10:$B$41,0))</f>
        <v>#N/A</v>
      </c>
      <c r="H142" s="48" t="e">
        <f>INDEX(UWS!$C$10:$C$41,MATCH(C142,UWS!$B$10:$B$41,0))</f>
        <v>#N/A</v>
      </c>
      <c r="I142" s="27">
        <f t="shared" si="222"/>
        <v>5</v>
      </c>
      <c r="J142" s="27" t="e">
        <f>INDEX(UWS!$E$10:$E$41,MATCH(C142,UWS!$B$10:$B$41,0))</f>
        <v>#N/A</v>
      </c>
      <c r="L142" s="108" t="str" cm="1">
        <f t="array" ref="L142">IF(K142="","",INDEX(UWS!$B$10:$B$41,K142))</f>
        <v/>
      </c>
      <c r="N142" s="108" t="str" cm="1">
        <f t="array" ref="N142">IF(M142="","",INDEX(UWS!$B$10:$B$41,M142))</f>
        <v/>
      </c>
      <c r="P142">
        <f>IFERROR(INDEX(UWS!$G$10:$Z$41,MATCH($C142,UWS!$B$10:$B$41,0),MATCH(P$4,UWS!$G$3:$Z$3,0)),0)</f>
        <v>0</v>
      </c>
      <c r="Q142">
        <f>IFERROR(INDEX(UWS!$G$10:$Z$41,MATCH($C142,UWS!$B$10:$B$41,0),MATCH(Q$4,UWS!$G$3:$Z$3,0)),0)</f>
        <v>0</v>
      </c>
      <c r="R142">
        <f>IFERROR(INDEX(UWS!$G$10:$Z$41,MATCH($C142,UWS!$B$10:$B$41,0),MATCH(R$4,UWS!$G$3:$Z$3,0)),0)</f>
        <v>0</v>
      </c>
      <c r="S142">
        <f>IFERROR(INDEX(UWS!$G$10:$Z$41,MATCH($C142,UWS!$B$10:$B$41,0),MATCH(S$4,UWS!$G$3:$Z$3,0)),0)</f>
        <v>0</v>
      </c>
      <c r="T142">
        <f>IFERROR(INDEX(UWS!$G$10:$Z$41,MATCH($C142,UWS!$B$10:$B$41,0),MATCH(T$4,UWS!$G$3:$Z$3,0)),0)</f>
        <v>0</v>
      </c>
      <c r="U142">
        <f>IFERROR(INDEX(UWS!$G$10:$Z$41,MATCH($C142,UWS!$B$10:$B$41,0),MATCH(U$4,UWS!$G$3:$Z$3,0)),0)</f>
        <v>0</v>
      </c>
      <c r="V142">
        <f>IFERROR(INDEX(UWS!$G$10:$Z$41,MATCH($C142,UWS!$B$10:$B$41,0),MATCH(V$4,UWS!$G$3:$Z$3,0)),0)</f>
        <v>0</v>
      </c>
      <c r="W142">
        <f>IFERROR(INDEX(UWS!$G$10:$Z$41,MATCH($C142,UWS!$B$10:$B$41,0),MATCH(W$4,UWS!$G$3:$Z$3,0)),0)</f>
        <v>0</v>
      </c>
      <c r="X142">
        <f>IFERROR(INDEX(UWS!$G$10:$Z$41,MATCH($C142,UWS!$B$10:$B$41,0),MATCH(X$4,UWS!$G$3:$Z$3,0)),0)</f>
        <v>0</v>
      </c>
      <c r="Y142">
        <f>IFERROR(INDEX(UWS!$G$10:$Z$41,MATCH($C142,UWS!$B$10:$B$41,0),MATCH(Y$4,UWS!$G$3:$Z$3,0)),0)</f>
        <v>0</v>
      </c>
      <c r="Z142">
        <f>IFERROR(INDEX(UWS!$G$10:$Z$41,MATCH($C142,UWS!$B$10:$B$41,0),MATCH(Z$4,UWS!$G$3:$Z$3,0)),0)</f>
        <v>0</v>
      </c>
      <c r="AA142">
        <f>IFERROR(INDEX(UWS!$G$10:$Z$41,MATCH($C142,UWS!$B$10:$B$41,0),MATCH(AA$4,UWS!$G$3:$Z$3,0)),0)</f>
        <v>0</v>
      </c>
      <c r="AB142">
        <f>IFERROR(INDEX(UWS!$G$10:$Z$41,MATCH($C142,UWS!$B$10:$B$41,0),MATCH(AB$4,UWS!$G$3:$Z$3,0)),0)</f>
        <v>0</v>
      </c>
      <c r="AC142">
        <f>IFERROR(INDEX(UWS!$G$10:$Z$41,MATCH($C142,UWS!$B$10:$B$41,0),MATCH(AC$4,UWS!$G$3:$Z$3,0)),0)</f>
        <v>0</v>
      </c>
      <c r="AD142">
        <f>IFERROR(INDEX(UWS!$G$10:$Z$41,MATCH($C142,UWS!$B$10:$B$41,0),MATCH(AD$4,UWS!$G$3:$Z$3,0)),0)</f>
        <v>0</v>
      </c>
      <c r="AE142">
        <f>IFERROR(INDEX(UWS!$G$10:$Z$41,MATCH($C142,UWS!$B$10:$B$41,0),MATCH(AE$4,UWS!$G$3:$Z$3,0)),0)</f>
        <v>0</v>
      </c>
      <c r="AF142">
        <f>IFERROR(INDEX(UWS!$G$10:$Z$41,MATCH($C142,UWS!$B$10:$B$41,0),MATCH(AF$4,UWS!$G$3:$Z$3,0)),0)</f>
        <v>0</v>
      </c>
      <c r="AG142">
        <f>IFERROR(INDEX(UWS!$G$10:$Z$41,MATCH($C142,UWS!$B$10:$B$41,0),MATCH(AG$4,UWS!$G$3:$Z$3,0)),0)</f>
        <v>0</v>
      </c>
      <c r="AH142">
        <f>IFERROR(INDEX(UWS!$G$10:$Z$41,MATCH($C142,UWS!$B$10:$B$41,0),MATCH(AH$4,UWS!$G$3:$Z$3,0)),0)</f>
        <v>0</v>
      </c>
      <c r="AI142">
        <f>IFERROR(INDEX(UWS!$G$10:$Z$41,MATCH($C142,UWS!$B$10:$B$41,0),MATCH(AI$4,UWS!$G$3:$Z$3,0)),0)</f>
        <v>0</v>
      </c>
      <c r="AK142" t="e">
        <f>IF(OR($J142=0,COUNTIFS($A$4:$A141,"&gt;="&amp;$A142-1,$A$4:$A141,"&lt;="&amp;$A142,$B$4:$B141,$B142)&gt;0,MIN(AK$1,IF($A142=$A141,AK141,1))-P142&lt;0),-1,MIN(1,IF($A142=$A141,AK141,1)-P142+$D$3))</f>
        <v>#N/A</v>
      </c>
      <c r="AL142" t="e">
        <f>IF(OR($J142=0,COUNTIFS($A$4:$A141,"&gt;="&amp;$A142-1,$A$4:$A141,"&lt;="&amp;$A142,$B$4:$B141,$B142)&gt;0,MIN(AL$1,IF($A142=$A141,AL141,1))-Q142&lt;0),-1,MIN(1,IF($A142=$A141,AL141,1)-Q142+$D$3))</f>
        <v>#N/A</v>
      </c>
      <c r="AM142" t="e">
        <f>IF(OR($J142=0,COUNTIFS($A$4:$A141,"&gt;="&amp;$A142-1,$A$4:$A141,"&lt;="&amp;$A142,$B$4:$B141,$B142)&gt;0,MIN(AM$1,IF($A142=$A141,AM141,1))-R142&lt;0),-1,MIN(1,IF($A142=$A141,AM141,1)-R142+$D$3))</f>
        <v>#N/A</v>
      </c>
      <c r="AN142" t="e">
        <f>IF(OR($J142=0,COUNTIFS($A$4:$A141,"&gt;="&amp;$A142-1,$A$4:$A141,"&lt;="&amp;$A142,$B$4:$B141,$B142)&gt;0,MIN(AN$1,IF($A142=$A141,AN141,1))-S142&lt;0),-1,MIN(1,IF($A142=$A141,AN141,1)-S142+$D$3))</f>
        <v>#N/A</v>
      </c>
      <c r="AO142" t="e">
        <f>IF(OR($J142=0,COUNTIFS($A$4:$A141,"&gt;="&amp;$A142-1,$A$4:$A141,"&lt;="&amp;$A142,$B$4:$B141,$B142)&gt;0,MIN(AO$1,IF($A142=$A141,AO141,1))-T142&lt;0),-1,MIN(1,IF($A142=$A141,AO141,1)-T142+$D$3))</f>
        <v>#N/A</v>
      </c>
      <c r="AP142" t="e">
        <f>IF(OR($J142=0,COUNTIFS($A$4:$A141,"&gt;="&amp;$A142-1,$A$4:$A141,"&lt;="&amp;$A142,$B$4:$B141,$B142)&gt;0,MIN(AP$1,IF($A142=$A141,AP141,1))-U142&lt;0),-1,MIN(1,IF($A142=$A141,AP141,1)-U142+$D$3))</f>
        <v>#N/A</v>
      </c>
      <c r="AQ142" t="e">
        <f>IF(OR($J142=0,COUNTIFS($A$4:$A141,"&gt;="&amp;$A142-1,$A$4:$A141,"&lt;="&amp;$A142,$B$4:$B141,$B142)&gt;0,MIN(AQ$1,IF($A142=$A141,AQ141,1))-V142&lt;0),-1,MIN(1,IF($A142=$A141,AQ141,1)-V142+$D$3))</f>
        <v>#N/A</v>
      </c>
      <c r="AR142" t="e">
        <f>IF(OR($J142=0,COUNTIFS($A$4:$A141,"&gt;="&amp;$A142-1,$A$4:$A141,"&lt;="&amp;$A142,$B$4:$B141,$B142)&gt;0,MIN(AR$1,IF($A142=$A141,AR141,1))-W142&lt;0),-1,MIN(1,IF($A142=$A141,AR141,1)-W142+$D$3))</f>
        <v>#N/A</v>
      </c>
      <c r="AS142" t="e">
        <f>IF(OR($J142=0,COUNTIFS($A$4:$A141,"&gt;="&amp;$A142-1,$A$4:$A141,"&lt;="&amp;$A142,$B$4:$B141,$B142)&gt;0,MIN(AS$1,IF($A142=$A141,AS141,1))-X142&lt;0),-1,MIN(1,IF($A142=$A141,AS141,1)-X142+$D$3))</f>
        <v>#N/A</v>
      </c>
      <c r="AT142" t="e">
        <f>IF(OR($J142=0,COUNTIFS($A$4:$A141,"&gt;="&amp;$A142-1,$A$4:$A141,"&lt;="&amp;$A142,$B$4:$B141,$B142)&gt;0,MIN(AT$1,IF($A142=$A141,AT141,1))-Y142&lt;0),-1,MIN(1,IF($A142=$A141,AT141,1)-Y142+$D$3))</f>
        <v>#N/A</v>
      </c>
      <c r="AU142" t="e">
        <f>IF(OR($J142=0,COUNTIFS($A$4:$A141,"&gt;="&amp;$A142-1,$A$4:$A141,"&lt;="&amp;$A142,$B$4:$B141,$B142)&gt;0,MIN(AU$1,IF($A142=$A141,AU141,1))-Z142&lt;0),-1,MIN(1,IF($A142=$A141,AU141,1)-Z142+$D$3))</f>
        <v>#N/A</v>
      </c>
      <c r="AV142" t="e">
        <f>IF(OR($J142=0,COUNTIFS($A$4:$A141,"&gt;="&amp;$A142-1,$A$4:$A141,"&lt;="&amp;$A142,$B$4:$B141,$B142)&gt;0,MIN(AV$1,IF($A142=$A141,AV141,1))-AA142&lt;0),-1,MIN(1,IF($A142=$A141,AV141,1)-AA142+$D$3))</f>
        <v>#N/A</v>
      </c>
      <c r="AW142" t="e">
        <f>IF(OR($J142=0,COUNTIFS($A$4:$A141,"&gt;="&amp;$A142-1,$A$4:$A141,"&lt;="&amp;$A142,$B$4:$B141,$B142)&gt;0,MIN(AW$1,IF($A142=$A141,AW141,1))-AB142&lt;0),-1,MIN(1,IF($A142=$A141,AW141,1)-AB142+$D$3))</f>
        <v>#N/A</v>
      </c>
      <c r="AX142" t="e">
        <f>IF(OR($J142=0,COUNTIFS($A$4:$A141,"&gt;="&amp;$A142-1,$A$4:$A141,"&lt;="&amp;$A142,$B$4:$B141,$B142)&gt;0,MIN(AX$1,IF($A142=$A141,AX141,1))-AC142&lt;0),-1,MIN(1,IF($A142=$A141,AX141,1)-AC142+$D$3))</f>
        <v>#N/A</v>
      </c>
      <c r="AY142" t="e">
        <f>IF(OR($J142=0,COUNTIFS($A$4:$A141,"&gt;="&amp;$A142-1,$A$4:$A141,"&lt;="&amp;$A142,$B$4:$B141,$B142)&gt;0,MIN(AY$1,IF($A142=$A141,AY141,1))-AD142&lt;0),-1,MIN(1,IF($A142=$A141,AY141,1)-AD142+$D$3))</f>
        <v>#N/A</v>
      </c>
      <c r="AZ142" t="e">
        <f>IF(OR($J142=0,COUNTIFS($A$4:$A141,"&gt;="&amp;$A142-1,$A$4:$A141,"&lt;="&amp;$A142,$B$4:$B141,$B142)&gt;0,MIN(AZ$1,IF($A142=$A141,AZ141,1))-AE142&lt;0),-1,MIN(1,IF($A142=$A141,AZ141,1)-AE142+$D$3))</f>
        <v>#N/A</v>
      </c>
      <c r="BA142" t="e">
        <f>IF(OR($J142=0,COUNTIFS($A$4:$A141,"&gt;="&amp;$A142-1,$A$4:$A141,"&lt;="&amp;$A142,$B$4:$B141,$B142)&gt;0,MIN(BA$1,IF($A142=$A141,BA141,1))-AF142&lt;0),-1,MIN(1,IF($A142=$A141,BA141,1)-AF142+$D$3))</f>
        <v>#N/A</v>
      </c>
      <c r="BB142" t="e">
        <f>IF(OR($J142=0,COUNTIFS($A$4:$A141,"&gt;="&amp;$A142-1,$A$4:$A141,"&lt;="&amp;$A142,$B$4:$B141,$B142)&gt;0,MIN(BB$1,IF($A142=$A141,BB141,1))-AG142&lt;0),-1,MIN(1,IF($A142=$A141,BB141,1)-AG142+$D$3))</f>
        <v>#N/A</v>
      </c>
      <c r="BC142" t="e">
        <f>IF(OR($J142=0,COUNTIFS($A$4:$A141,"&gt;="&amp;$A142-1,$A$4:$A141,"&lt;="&amp;$A142,$B$4:$B141,$B142)&gt;0,MIN(BC$1,IF($A142=$A141,BC141,1))-AH142&lt;0),-1,MIN(1,IF($A142=$A141,BC141,1)-AH142+$D$3))</f>
        <v>#N/A</v>
      </c>
      <c r="BD142" t="e">
        <f>IF(OR($J142=0,COUNTIFS($A$4:$A141,"&gt;="&amp;$A142-1,$A$4:$A141,"&lt;="&amp;$A142,$B$4:$B141,$B142)&gt;0,MIN(BD$1,IF($A142=$A141,BD141,1))-AI142&lt;0),-1,MIN(1,IF($A142=$A141,BD141,1)-AI142+$D$3))</f>
        <v>#N/A</v>
      </c>
      <c r="BF142" s="44">
        <f t="shared" si="223"/>
        <v>1.7871599508929613E-3</v>
      </c>
      <c r="BG142" s="44">
        <f t="shared" si="224"/>
        <v>4.3951306222950494E-3</v>
      </c>
      <c r="BH142" s="44">
        <f t="shared" si="225"/>
        <v>4.5045465653888485E-3</v>
      </c>
      <c r="BI142" s="44">
        <f t="shared" si="226"/>
        <v>4.1609503918586845E-3</v>
      </c>
      <c r="BJ142" s="44">
        <f t="shared" si="227"/>
        <v>4.3007372538050696E-3</v>
      </c>
      <c r="BK142" s="44">
        <f t="shared" si="228"/>
        <v>1.8468969295125936E-3</v>
      </c>
      <c r="BL142" s="44">
        <f t="shared" si="229"/>
        <v>9.9772277743341532E-4</v>
      </c>
      <c r="BM142" s="44">
        <f t="shared" si="230"/>
        <v>2.5380902366776014E-3</v>
      </c>
      <c r="BN142" s="44">
        <f t="shared" si="231"/>
        <v>2.6398116531746304E-3</v>
      </c>
      <c r="BO142" s="44">
        <f t="shared" si="232"/>
        <v>1.2371159100327796E-3</v>
      </c>
      <c r="BP142" s="44">
        <f t="shared" si="233"/>
        <v>4.1597746842972766E-3</v>
      </c>
      <c r="BQ142" s="44">
        <f t="shared" si="234"/>
        <v>1.1225509921319401E-3</v>
      </c>
      <c r="BR142" s="44">
        <f t="shared" si="235"/>
        <v>3.3162966346581002E-3</v>
      </c>
      <c r="BS142" s="44">
        <f t="shared" si="236"/>
        <v>1.7885227827049844E-3</v>
      </c>
      <c r="BT142" s="44">
        <f t="shared" si="237"/>
        <v>7.0777329701250764E-3</v>
      </c>
      <c r="BU142" s="44">
        <f t="shared" si="238"/>
        <v>6.7613647577199031E-3</v>
      </c>
      <c r="BV142" s="44">
        <f t="shared" si="239"/>
        <v>6.4933910184698995E-3</v>
      </c>
      <c r="BW142" s="44">
        <f t="shared" si="240"/>
        <v>4.2470350600962393E-3</v>
      </c>
      <c r="BX142" s="44">
        <f t="shared" si="241"/>
        <v>3.1376323794179008E-3</v>
      </c>
      <c r="BY142" s="44">
        <f t="shared" si="242"/>
        <v>2.6940180276236875E-3</v>
      </c>
      <c r="CA142" s="44" t="str">
        <f t="shared" si="243"/>
        <v/>
      </c>
      <c r="CB142" s="44" t="str">
        <f t="shared" si="244"/>
        <v/>
      </c>
      <c r="CC142" s="44" t="str">
        <f t="shared" si="245"/>
        <v/>
      </c>
      <c r="CD142" s="44" t="str">
        <f t="shared" si="246"/>
        <v/>
      </c>
      <c r="CE142" s="44" t="str">
        <f t="shared" si="247"/>
        <v/>
      </c>
      <c r="CF142" s="44" t="str">
        <f t="shared" si="248"/>
        <v/>
      </c>
      <c r="CG142" s="44" t="str">
        <f t="shared" si="249"/>
        <v/>
      </c>
      <c r="CH142" s="44" t="str">
        <f t="shared" si="250"/>
        <v/>
      </c>
      <c r="CI142" s="44" t="str">
        <f t="shared" si="251"/>
        <v/>
      </c>
      <c r="CJ142" s="44" t="str">
        <f t="shared" si="252"/>
        <v/>
      </c>
      <c r="CK142" s="44" t="str">
        <f t="shared" si="253"/>
        <v/>
      </c>
      <c r="CL142" s="44" t="str">
        <f t="shared" si="254"/>
        <v/>
      </c>
      <c r="CM142" s="44" t="str">
        <f t="shared" si="255"/>
        <v/>
      </c>
      <c r="CN142" s="44" t="str">
        <f t="shared" si="256"/>
        <v/>
      </c>
      <c r="CO142" s="44" t="str">
        <f t="shared" si="257"/>
        <v/>
      </c>
      <c r="CP142" s="44" t="str">
        <f t="shared" si="258"/>
        <v/>
      </c>
      <c r="CQ142" s="44" t="str">
        <f t="shared" si="259"/>
        <v/>
      </c>
      <c r="CR142" s="44" t="str">
        <f t="shared" si="260"/>
        <v/>
      </c>
      <c r="CS142" s="44" t="str">
        <f t="shared" si="261"/>
        <v/>
      </c>
      <c r="CT142" s="44" t="str">
        <f t="shared" si="262"/>
        <v/>
      </c>
      <c r="CV142" s="44">
        <f t="shared" si="263"/>
        <v>0</v>
      </c>
    </row>
    <row r="143" spans="1:100" x14ac:dyDescent="0.25">
      <c r="A143" s="41"/>
      <c r="B143" s="42"/>
      <c r="C143" s="43" t="str" cm="1">
        <f t="array" ref="C143">IF(B143="","",INDEX(UWS!$B$10:$B$41,B143))</f>
        <v/>
      </c>
      <c r="D143" s="40" t="str">
        <f t="shared" si="220"/>
        <v/>
      </c>
      <c r="E143" s="69" t="str">
        <f t="shared" si="221"/>
        <v/>
      </c>
      <c r="F143" s="48" cm="1">
        <f t="array" ref="F143">0.1+IFERROR(INDEX($F$5:$F142,SUMPRODUCT(MAX(ROW($C$5:$C142)*($C143=$C$5:$C142))-ROW($A$4)))*0.9^($A143-INDEX($A$5:A142,SUMPRODUCT(MAX(ROW($C$5:$C142)*($C143=$C$5:$C142))-ROW($A$4)))),0)</f>
        <v>7.7999999999999883</v>
      </c>
      <c r="G143" s="55" t="e">
        <f>INDEX(UWS!$AB$10:$AB$41,MATCH(C143,UWS!$B$10:$B$41,0))</f>
        <v>#N/A</v>
      </c>
      <c r="H143" s="48" t="e">
        <f>INDEX(UWS!$C$10:$C$41,MATCH(C143,UWS!$B$10:$B$41,0))</f>
        <v>#N/A</v>
      </c>
      <c r="I143" s="27">
        <f t="shared" si="222"/>
        <v>5</v>
      </c>
      <c r="J143" s="27" t="e">
        <f>INDEX(UWS!$E$10:$E$41,MATCH(C143,UWS!$B$10:$B$41,0))</f>
        <v>#N/A</v>
      </c>
      <c r="L143" s="108" t="str" cm="1">
        <f t="array" ref="L143">IF(K143="","",INDEX(UWS!$B$10:$B$41,K143))</f>
        <v/>
      </c>
      <c r="N143" s="108" t="str" cm="1">
        <f t="array" ref="N143">IF(M143="","",INDEX(UWS!$B$10:$B$41,M143))</f>
        <v/>
      </c>
      <c r="P143">
        <f>IFERROR(INDEX(UWS!$G$10:$Z$41,MATCH($C143,UWS!$B$10:$B$41,0),MATCH(P$4,UWS!$G$3:$Z$3,0)),0)</f>
        <v>0</v>
      </c>
      <c r="Q143">
        <f>IFERROR(INDEX(UWS!$G$10:$Z$41,MATCH($C143,UWS!$B$10:$B$41,0),MATCH(Q$4,UWS!$G$3:$Z$3,0)),0)</f>
        <v>0</v>
      </c>
      <c r="R143">
        <f>IFERROR(INDEX(UWS!$G$10:$Z$41,MATCH($C143,UWS!$B$10:$B$41,0),MATCH(R$4,UWS!$G$3:$Z$3,0)),0)</f>
        <v>0</v>
      </c>
      <c r="S143">
        <f>IFERROR(INDEX(UWS!$G$10:$Z$41,MATCH($C143,UWS!$B$10:$B$41,0),MATCH(S$4,UWS!$G$3:$Z$3,0)),0)</f>
        <v>0</v>
      </c>
      <c r="T143">
        <f>IFERROR(INDEX(UWS!$G$10:$Z$41,MATCH($C143,UWS!$B$10:$B$41,0),MATCH(T$4,UWS!$G$3:$Z$3,0)),0)</f>
        <v>0</v>
      </c>
      <c r="U143">
        <f>IFERROR(INDEX(UWS!$G$10:$Z$41,MATCH($C143,UWS!$B$10:$B$41,0),MATCH(U$4,UWS!$G$3:$Z$3,0)),0)</f>
        <v>0</v>
      </c>
      <c r="V143">
        <f>IFERROR(INDEX(UWS!$G$10:$Z$41,MATCH($C143,UWS!$B$10:$B$41,0),MATCH(V$4,UWS!$G$3:$Z$3,0)),0)</f>
        <v>0</v>
      </c>
      <c r="W143">
        <f>IFERROR(INDEX(UWS!$G$10:$Z$41,MATCH($C143,UWS!$B$10:$B$41,0),MATCH(W$4,UWS!$G$3:$Z$3,0)),0)</f>
        <v>0</v>
      </c>
      <c r="X143">
        <f>IFERROR(INDEX(UWS!$G$10:$Z$41,MATCH($C143,UWS!$B$10:$B$41,0),MATCH(X$4,UWS!$G$3:$Z$3,0)),0)</f>
        <v>0</v>
      </c>
      <c r="Y143">
        <f>IFERROR(INDEX(UWS!$G$10:$Z$41,MATCH($C143,UWS!$B$10:$B$41,0),MATCH(Y$4,UWS!$G$3:$Z$3,0)),0)</f>
        <v>0</v>
      </c>
      <c r="Z143">
        <f>IFERROR(INDEX(UWS!$G$10:$Z$41,MATCH($C143,UWS!$B$10:$B$41,0),MATCH(Z$4,UWS!$G$3:$Z$3,0)),0)</f>
        <v>0</v>
      </c>
      <c r="AA143">
        <f>IFERROR(INDEX(UWS!$G$10:$Z$41,MATCH($C143,UWS!$B$10:$B$41,0),MATCH(AA$4,UWS!$G$3:$Z$3,0)),0)</f>
        <v>0</v>
      </c>
      <c r="AB143">
        <f>IFERROR(INDEX(UWS!$G$10:$Z$41,MATCH($C143,UWS!$B$10:$B$41,0),MATCH(AB$4,UWS!$G$3:$Z$3,0)),0)</f>
        <v>0</v>
      </c>
      <c r="AC143">
        <f>IFERROR(INDEX(UWS!$G$10:$Z$41,MATCH($C143,UWS!$B$10:$B$41,0),MATCH(AC$4,UWS!$G$3:$Z$3,0)),0)</f>
        <v>0</v>
      </c>
      <c r="AD143">
        <f>IFERROR(INDEX(UWS!$G$10:$Z$41,MATCH($C143,UWS!$B$10:$B$41,0),MATCH(AD$4,UWS!$G$3:$Z$3,0)),0)</f>
        <v>0</v>
      </c>
      <c r="AE143">
        <f>IFERROR(INDEX(UWS!$G$10:$Z$41,MATCH($C143,UWS!$B$10:$B$41,0),MATCH(AE$4,UWS!$G$3:$Z$3,0)),0)</f>
        <v>0</v>
      </c>
      <c r="AF143">
        <f>IFERROR(INDEX(UWS!$G$10:$Z$41,MATCH($C143,UWS!$B$10:$B$41,0),MATCH(AF$4,UWS!$G$3:$Z$3,0)),0)</f>
        <v>0</v>
      </c>
      <c r="AG143">
        <f>IFERROR(INDEX(UWS!$G$10:$Z$41,MATCH($C143,UWS!$B$10:$B$41,0),MATCH(AG$4,UWS!$G$3:$Z$3,0)),0)</f>
        <v>0</v>
      </c>
      <c r="AH143">
        <f>IFERROR(INDEX(UWS!$G$10:$Z$41,MATCH($C143,UWS!$B$10:$B$41,0),MATCH(AH$4,UWS!$G$3:$Z$3,0)),0)</f>
        <v>0</v>
      </c>
      <c r="AI143">
        <f>IFERROR(INDEX(UWS!$G$10:$Z$41,MATCH($C143,UWS!$B$10:$B$41,0),MATCH(AI$4,UWS!$G$3:$Z$3,0)),0)</f>
        <v>0</v>
      </c>
      <c r="AK143" t="e">
        <f>IF(OR($J143=0,COUNTIFS($A$4:$A142,"&gt;="&amp;$A143-1,$A$4:$A142,"&lt;="&amp;$A143,$B$4:$B142,$B143)&gt;0,MIN(AK$1,IF($A143=$A142,AK142,1))-P143&lt;0),-1,MIN(1,IF($A143=$A142,AK142,1)-P143+$D$3))</f>
        <v>#N/A</v>
      </c>
      <c r="AL143" t="e">
        <f>IF(OR($J143=0,COUNTIFS($A$4:$A142,"&gt;="&amp;$A143-1,$A$4:$A142,"&lt;="&amp;$A143,$B$4:$B142,$B143)&gt;0,MIN(AL$1,IF($A143=$A142,AL142,1))-Q143&lt;0),-1,MIN(1,IF($A143=$A142,AL142,1)-Q143+$D$3))</f>
        <v>#N/A</v>
      </c>
      <c r="AM143" t="e">
        <f>IF(OR($J143=0,COUNTIFS($A$4:$A142,"&gt;="&amp;$A143-1,$A$4:$A142,"&lt;="&amp;$A143,$B$4:$B142,$B143)&gt;0,MIN(AM$1,IF($A143=$A142,AM142,1))-R143&lt;0),-1,MIN(1,IF($A143=$A142,AM142,1)-R143+$D$3))</f>
        <v>#N/A</v>
      </c>
      <c r="AN143" t="e">
        <f>IF(OR($J143=0,COUNTIFS($A$4:$A142,"&gt;="&amp;$A143-1,$A$4:$A142,"&lt;="&amp;$A143,$B$4:$B142,$B143)&gt;0,MIN(AN$1,IF($A143=$A142,AN142,1))-S143&lt;0),-1,MIN(1,IF($A143=$A142,AN142,1)-S143+$D$3))</f>
        <v>#N/A</v>
      </c>
      <c r="AO143" t="e">
        <f>IF(OR($J143=0,COUNTIFS($A$4:$A142,"&gt;="&amp;$A143-1,$A$4:$A142,"&lt;="&amp;$A143,$B$4:$B142,$B143)&gt;0,MIN(AO$1,IF($A143=$A142,AO142,1))-T143&lt;0),-1,MIN(1,IF($A143=$A142,AO142,1)-T143+$D$3))</f>
        <v>#N/A</v>
      </c>
      <c r="AP143" t="e">
        <f>IF(OR($J143=0,COUNTIFS($A$4:$A142,"&gt;="&amp;$A143-1,$A$4:$A142,"&lt;="&amp;$A143,$B$4:$B142,$B143)&gt;0,MIN(AP$1,IF($A143=$A142,AP142,1))-U143&lt;0),-1,MIN(1,IF($A143=$A142,AP142,1)-U143+$D$3))</f>
        <v>#N/A</v>
      </c>
      <c r="AQ143" t="e">
        <f>IF(OR($J143=0,COUNTIFS($A$4:$A142,"&gt;="&amp;$A143-1,$A$4:$A142,"&lt;="&amp;$A143,$B$4:$B142,$B143)&gt;0,MIN(AQ$1,IF($A143=$A142,AQ142,1))-V143&lt;0),-1,MIN(1,IF($A143=$A142,AQ142,1)-V143+$D$3))</f>
        <v>#N/A</v>
      </c>
      <c r="AR143" t="e">
        <f>IF(OR($J143=0,COUNTIFS($A$4:$A142,"&gt;="&amp;$A143-1,$A$4:$A142,"&lt;="&amp;$A143,$B$4:$B142,$B143)&gt;0,MIN(AR$1,IF($A143=$A142,AR142,1))-W143&lt;0),-1,MIN(1,IF($A143=$A142,AR142,1)-W143+$D$3))</f>
        <v>#N/A</v>
      </c>
      <c r="AS143" t="e">
        <f>IF(OR($J143=0,COUNTIFS($A$4:$A142,"&gt;="&amp;$A143-1,$A$4:$A142,"&lt;="&amp;$A143,$B$4:$B142,$B143)&gt;0,MIN(AS$1,IF($A143=$A142,AS142,1))-X143&lt;0),-1,MIN(1,IF($A143=$A142,AS142,1)-X143+$D$3))</f>
        <v>#N/A</v>
      </c>
      <c r="AT143" t="e">
        <f>IF(OR($J143=0,COUNTIFS($A$4:$A142,"&gt;="&amp;$A143-1,$A$4:$A142,"&lt;="&amp;$A143,$B$4:$B142,$B143)&gt;0,MIN(AT$1,IF($A143=$A142,AT142,1))-Y143&lt;0),-1,MIN(1,IF($A143=$A142,AT142,1)-Y143+$D$3))</f>
        <v>#N/A</v>
      </c>
      <c r="AU143" t="e">
        <f>IF(OR($J143=0,COUNTIFS($A$4:$A142,"&gt;="&amp;$A143-1,$A$4:$A142,"&lt;="&amp;$A143,$B$4:$B142,$B143)&gt;0,MIN(AU$1,IF($A143=$A142,AU142,1))-Z143&lt;0),-1,MIN(1,IF($A143=$A142,AU142,1)-Z143+$D$3))</f>
        <v>#N/A</v>
      </c>
      <c r="AV143" t="e">
        <f>IF(OR($J143=0,COUNTIFS($A$4:$A142,"&gt;="&amp;$A143-1,$A$4:$A142,"&lt;="&amp;$A143,$B$4:$B142,$B143)&gt;0,MIN(AV$1,IF($A143=$A142,AV142,1))-AA143&lt;0),-1,MIN(1,IF($A143=$A142,AV142,1)-AA143+$D$3))</f>
        <v>#N/A</v>
      </c>
      <c r="AW143" t="e">
        <f>IF(OR($J143=0,COUNTIFS($A$4:$A142,"&gt;="&amp;$A143-1,$A$4:$A142,"&lt;="&amp;$A143,$B$4:$B142,$B143)&gt;0,MIN(AW$1,IF($A143=$A142,AW142,1))-AB143&lt;0),-1,MIN(1,IF($A143=$A142,AW142,1)-AB143+$D$3))</f>
        <v>#N/A</v>
      </c>
      <c r="AX143" t="e">
        <f>IF(OR($J143=0,COUNTIFS($A$4:$A142,"&gt;="&amp;$A143-1,$A$4:$A142,"&lt;="&amp;$A143,$B$4:$B142,$B143)&gt;0,MIN(AX$1,IF($A143=$A142,AX142,1))-AC143&lt;0),-1,MIN(1,IF($A143=$A142,AX142,1)-AC143+$D$3))</f>
        <v>#N/A</v>
      </c>
      <c r="AY143" t="e">
        <f>IF(OR($J143=0,COUNTIFS($A$4:$A142,"&gt;="&amp;$A143-1,$A$4:$A142,"&lt;="&amp;$A143,$B$4:$B142,$B143)&gt;0,MIN(AY$1,IF($A143=$A142,AY142,1))-AD143&lt;0),-1,MIN(1,IF($A143=$A142,AY142,1)-AD143+$D$3))</f>
        <v>#N/A</v>
      </c>
      <c r="AZ143" t="e">
        <f>IF(OR($J143=0,COUNTIFS($A$4:$A142,"&gt;="&amp;$A143-1,$A$4:$A142,"&lt;="&amp;$A143,$B$4:$B142,$B143)&gt;0,MIN(AZ$1,IF($A143=$A142,AZ142,1))-AE143&lt;0),-1,MIN(1,IF($A143=$A142,AZ142,1)-AE143+$D$3))</f>
        <v>#N/A</v>
      </c>
      <c r="BA143" t="e">
        <f>IF(OR($J143=0,COUNTIFS($A$4:$A142,"&gt;="&amp;$A143-1,$A$4:$A142,"&lt;="&amp;$A143,$B$4:$B142,$B143)&gt;0,MIN(BA$1,IF($A143=$A142,BA142,1))-AF143&lt;0),-1,MIN(1,IF($A143=$A142,BA142,1)-AF143+$D$3))</f>
        <v>#N/A</v>
      </c>
      <c r="BB143" t="e">
        <f>IF(OR($J143=0,COUNTIFS($A$4:$A142,"&gt;="&amp;$A143-1,$A$4:$A142,"&lt;="&amp;$A143,$B$4:$B142,$B143)&gt;0,MIN(BB$1,IF($A143=$A142,BB142,1))-AG143&lt;0),-1,MIN(1,IF($A143=$A142,BB142,1)-AG143+$D$3))</f>
        <v>#N/A</v>
      </c>
      <c r="BC143" t="e">
        <f>IF(OR($J143=0,COUNTIFS($A$4:$A142,"&gt;="&amp;$A143-1,$A$4:$A142,"&lt;="&amp;$A143,$B$4:$B142,$B143)&gt;0,MIN(BC$1,IF($A143=$A142,BC142,1))-AH143&lt;0),-1,MIN(1,IF($A143=$A142,BC142,1)-AH143+$D$3))</f>
        <v>#N/A</v>
      </c>
      <c r="BD143" t="e">
        <f>IF(OR($J143=0,COUNTIFS($A$4:$A142,"&gt;="&amp;$A143-1,$A$4:$A142,"&lt;="&amp;$A143,$B$4:$B142,$B143)&gt;0,MIN(BD$1,IF($A143=$A142,BD142,1))-AI143&lt;0),-1,MIN(1,IF($A143=$A142,BD142,1)-AI143+$D$3))</f>
        <v>#N/A</v>
      </c>
      <c r="BF143" s="44">
        <f t="shared" si="223"/>
        <v>1.6978019533483131E-3</v>
      </c>
      <c r="BG143" s="44">
        <f t="shared" si="224"/>
        <v>4.1753740911802967E-3</v>
      </c>
      <c r="BH143" s="44">
        <f t="shared" si="225"/>
        <v>4.2793192371194059E-3</v>
      </c>
      <c r="BI143" s="44">
        <f t="shared" si="226"/>
        <v>3.9529028722657504E-3</v>
      </c>
      <c r="BJ143" s="44">
        <f t="shared" si="227"/>
        <v>4.0857003911148162E-3</v>
      </c>
      <c r="BK143" s="44">
        <f t="shared" si="228"/>
        <v>1.754552083036964E-3</v>
      </c>
      <c r="BL143" s="44">
        <f t="shared" si="229"/>
        <v>9.4783663856174447E-4</v>
      </c>
      <c r="BM143" s="44">
        <f t="shared" si="230"/>
        <v>2.4111857248437212E-3</v>
      </c>
      <c r="BN143" s="44">
        <f t="shared" si="231"/>
        <v>2.5078210705158986E-3</v>
      </c>
      <c r="BO143" s="44">
        <f t="shared" si="232"/>
        <v>1.1752601145311407E-3</v>
      </c>
      <c r="BP143" s="44">
        <f t="shared" si="233"/>
        <v>3.9517859500824122E-3</v>
      </c>
      <c r="BQ143" s="44">
        <f t="shared" si="234"/>
        <v>1.0664234425253431E-3</v>
      </c>
      <c r="BR143" s="44">
        <f t="shared" si="235"/>
        <v>3.1504818029251952E-3</v>
      </c>
      <c r="BS143" s="44">
        <f t="shared" si="236"/>
        <v>1.6990966435697352E-3</v>
      </c>
      <c r="BT143" s="44">
        <f t="shared" si="237"/>
        <v>6.7238463216188222E-3</v>
      </c>
      <c r="BU143" s="44">
        <f t="shared" si="238"/>
        <v>6.4232965198339079E-3</v>
      </c>
      <c r="BV143" s="44">
        <f t="shared" si="239"/>
        <v>6.1687214675464046E-3</v>
      </c>
      <c r="BW143" s="44">
        <f t="shared" si="240"/>
        <v>4.0346833070914268E-3</v>
      </c>
      <c r="BX143" s="44">
        <f t="shared" si="241"/>
        <v>2.9807507604470056E-3</v>
      </c>
      <c r="BY143" s="44">
        <f t="shared" si="242"/>
        <v>2.5593171262425032E-3</v>
      </c>
      <c r="CA143" s="44" t="str">
        <f t="shared" si="243"/>
        <v/>
      </c>
      <c r="CB143" s="44" t="str">
        <f t="shared" si="244"/>
        <v/>
      </c>
      <c r="CC143" s="44" t="str">
        <f t="shared" si="245"/>
        <v/>
      </c>
      <c r="CD143" s="44" t="str">
        <f t="shared" si="246"/>
        <v/>
      </c>
      <c r="CE143" s="44" t="str">
        <f t="shared" si="247"/>
        <v/>
      </c>
      <c r="CF143" s="44" t="str">
        <f t="shared" si="248"/>
        <v/>
      </c>
      <c r="CG143" s="44" t="str">
        <f t="shared" si="249"/>
        <v/>
      </c>
      <c r="CH143" s="44" t="str">
        <f t="shared" si="250"/>
        <v/>
      </c>
      <c r="CI143" s="44" t="str">
        <f t="shared" si="251"/>
        <v/>
      </c>
      <c r="CJ143" s="44" t="str">
        <f t="shared" si="252"/>
        <v/>
      </c>
      <c r="CK143" s="44" t="str">
        <f t="shared" si="253"/>
        <v/>
      </c>
      <c r="CL143" s="44" t="str">
        <f t="shared" si="254"/>
        <v/>
      </c>
      <c r="CM143" s="44" t="str">
        <f t="shared" si="255"/>
        <v/>
      </c>
      <c r="CN143" s="44" t="str">
        <f t="shared" si="256"/>
        <v/>
      </c>
      <c r="CO143" s="44" t="str">
        <f t="shared" si="257"/>
        <v/>
      </c>
      <c r="CP143" s="44" t="str">
        <f t="shared" si="258"/>
        <v/>
      </c>
      <c r="CQ143" s="44" t="str">
        <f t="shared" si="259"/>
        <v/>
      </c>
      <c r="CR143" s="44" t="str">
        <f t="shared" si="260"/>
        <v/>
      </c>
      <c r="CS143" s="44" t="str">
        <f t="shared" si="261"/>
        <v/>
      </c>
      <c r="CT143" s="44" t="str">
        <f t="shared" si="262"/>
        <v/>
      </c>
      <c r="CV143" s="44">
        <f t="shared" si="263"/>
        <v>0</v>
      </c>
    </row>
    <row r="144" spans="1:100" x14ac:dyDescent="0.25">
      <c r="A144" s="41"/>
      <c r="B144" s="42"/>
      <c r="C144" s="43" t="str" cm="1">
        <f t="array" ref="C144">IF(B144="","",INDEX(UWS!$B$10:$B$41,B144))</f>
        <v/>
      </c>
      <c r="D144" s="40" t="str">
        <f t="shared" si="220"/>
        <v/>
      </c>
      <c r="E144" s="69" t="str">
        <f t="shared" si="221"/>
        <v/>
      </c>
      <c r="F144" s="48" cm="1">
        <f t="array" ref="F144">0.1+IFERROR(INDEX($F$5:$F143,SUMPRODUCT(MAX(ROW($C$5:$C143)*($C144=$C$5:$C143))-ROW($A$4)))*0.9^($A144-INDEX($A$5:A143,SUMPRODUCT(MAX(ROW($C$5:$C143)*($C144=$C$5:$C143))-ROW($A$4)))),0)</f>
        <v>7.8999999999999879</v>
      </c>
      <c r="G144" s="55" t="e">
        <f>INDEX(UWS!$AB$10:$AB$41,MATCH(C144,UWS!$B$10:$B$41,0))</f>
        <v>#N/A</v>
      </c>
      <c r="H144" s="48" t="e">
        <f>INDEX(UWS!$C$10:$C$41,MATCH(C144,UWS!$B$10:$B$41,0))</f>
        <v>#N/A</v>
      </c>
      <c r="I144" s="27">
        <f t="shared" si="222"/>
        <v>5</v>
      </c>
      <c r="J144" s="27" t="e">
        <f>INDEX(UWS!$E$10:$E$41,MATCH(C144,UWS!$B$10:$B$41,0))</f>
        <v>#N/A</v>
      </c>
      <c r="L144" s="108" t="str" cm="1">
        <f t="array" ref="L144">IF(K144="","",INDEX(UWS!$B$10:$B$41,K144))</f>
        <v/>
      </c>
      <c r="N144" s="108" t="str" cm="1">
        <f t="array" ref="N144">IF(M144="","",INDEX(UWS!$B$10:$B$41,M144))</f>
        <v/>
      </c>
      <c r="P144">
        <f>IFERROR(INDEX(UWS!$G$10:$Z$41,MATCH($C144,UWS!$B$10:$B$41,0),MATCH(P$4,UWS!$G$3:$Z$3,0)),0)</f>
        <v>0</v>
      </c>
      <c r="Q144">
        <f>IFERROR(INDEX(UWS!$G$10:$Z$41,MATCH($C144,UWS!$B$10:$B$41,0),MATCH(Q$4,UWS!$G$3:$Z$3,0)),0)</f>
        <v>0</v>
      </c>
      <c r="R144">
        <f>IFERROR(INDEX(UWS!$G$10:$Z$41,MATCH($C144,UWS!$B$10:$B$41,0),MATCH(R$4,UWS!$G$3:$Z$3,0)),0)</f>
        <v>0</v>
      </c>
      <c r="S144">
        <f>IFERROR(INDEX(UWS!$G$10:$Z$41,MATCH($C144,UWS!$B$10:$B$41,0),MATCH(S$4,UWS!$G$3:$Z$3,0)),0)</f>
        <v>0</v>
      </c>
      <c r="T144">
        <f>IFERROR(INDEX(UWS!$G$10:$Z$41,MATCH($C144,UWS!$B$10:$B$41,0),MATCH(T$4,UWS!$G$3:$Z$3,0)),0)</f>
        <v>0</v>
      </c>
      <c r="U144">
        <f>IFERROR(INDEX(UWS!$G$10:$Z$41,MATCH($C144,UWS!$B$10:$B$41,0),MATCH(U$4,UWS!$G$3:$Z$3,0)),0)</f>
        <v>0</v>
      </c>
      <c r="V144">
        <f>IFERROR(INDEX(UWS!$G$10:$Z$41,MATCH($C144,UWS!$B$10:$B$41,0),MATCH(V$4,UWS!$G$3:$Z$3,0)),0)</f>
        <v>0</v>
      </c>
      <c r="W144">
        <f>IFERROR(INDEX(UWS!$G$10:$Z$41,MATCH($C144,UWS!$B$10:$B$41,0),MATCH(W$4,UWS!$G$3:$Z$3,0)),0)</f>
        <v>0</v>
      </c>
      <c r="X144">
        <f>IFERROR(INDEX(UWS!$G$10:$Z$41,MATCH($C144,UWS!$B$10:$B$41,0),MATCH(X$4,UWS!$G$3:$Z$3,0)),0)</f>
        <v>0</v>
      </c>
      <c r="Y144">
        <f>IFERROR(INDEX(UWS!$G$10:$Z$41,MATCH($C144,UWS!$B$10:$B$41,0),MATCH(Y$4,UWS!$G$3:$Z$3,0)),0)</f>
        <v>0</v>
      </c>
      <c r="Z144">
        <f>IFERROR(INDEX(UWS!$G$10:$Z$41,MATCH($C144,UWS!$B$10:$B$41,0),MATCH(Z$4,UWS!$G$3:$Z$3,0)),0)</f>
        <v>0</v>
      </c>
      <c r="AA144">
        <f>IFERROR(INDEX(UWS!$G$10:$Z$41,MATCH($C144,UWS!$B$10:$B$41,0),MATCH(AA$4,UWS!$G$3:$Z$3,0)),0)</f>
        <v>0</v>
      </c>
      <c r="AB144">
        <f>IFERROR(INDEX(UWS!$G$10:$Z$41,MATCH($C144,UWS!$B$10:$B$41,0),MATCH(AB$4,UWS!$G$3:$Z$3,0)),0)</f>
        <v>0</v>
      </c>
      <c r="AC144">
        <f>IFERROR(INDEX(UWS!$G$10:$Z$41,MATCH($C144,UWS!$B$10:$B$41,0),MATCH(AC$4,UWS!$G$3:$Z$3,0)),0)</f>
        <v>0</v>
      </c>
      <c r="AD144">
        <f>IFERROR(INDEX(UWS!$G$10:$Z$41,MATCH($C144,UWS!$B$10:$B$41,0),MATCH(AD$4,UWS!$G$3:$Z$3,0)),0)</f>
        <v>0</v>
      </c>
      <c r="AE144">
        <f>IFERROR(INDEX(UWS!$G$10:$Z$41,MATCH($C144,UWS!$B$10:$B$41,0),MATCH(AE$4,UWS!$G$3:$Z$3,0)),0)</f>
        <v>0</v>
      </c>
      <c r="AF144">
        <f>IFERROR(INDEX(UWS!$G$10:$Z$41,MATCH($C144,UWS!$B$10:$B$41,0),MATCH(AF$4,UWS!$G$3:$Z$3,0)),0)</f>
        <v>0</v>
      </c>
      <c r="AG144">
        <f>IFERROR(INDEX(UWS!$G$10:$Z$41,MATCH($C144,UWS!$B$10:$B$41,0),MATCH(AG$4,UWS!$G$3:$Z$3,0)),0)</f>
        <v>0</v>
      </c>
      <c r="AH144">
        <f>IFERROR(INDEX(UWS!$G$10:$Z$41,MATCH($C144,UWS!$B$10:$B$41,0),MATCH(AH$4,UWS!$G$3:$Z$3,0)),0)</f>
        <v>0</v>
      </c>
      <c r="AI144">
        <f>IFERROR(INDEX(UWS!$G$10:$Z$41,MATCH($C144,UWS!$B$10:$B$41,0),MATCH(AI$4,UWS!$G$3:$Z$3,0)),0)</f>
        <v>0</v>
      </c>
      <c r="AK144" t="e">
        <f>IF(OR($J144=0,COUNTIFS($A$4:$A143,"&gt;="&amp;$A144-1,$A$4:$A143,"&lt;="&amp;$A144,$B$4:$B143,$B144)&gt;0,MIN(AK$1,IF($A144=$A143,AK143,1))-P144&lt;0),-1,MIN(1,IF($A144=$A143,AK143,1)-P144+$D$3))</f>
        <v>#N/A</v>
      </c>
      <c r="AL144" t="e">
        <f>IF(OR($J144=0,COUNTIFS($A$4:$A143,"&gt;="&amp;$A144-1,$A$4:$A143,"&lt;="&amp;$A144,$B$4:$B143,$B144)&gt;0,MIN(AL$1,IF($A144=$A143,AL143,1))-Q144&lt;0),-1,MIN(1,IF($A144=$A143,AL143,1)-Q144+$D$3))</f>
        <v>#N/A</v>
      </c>
      <c r="AM144" t="e">
        <f>IF(OR($J144=0,COUNTIFS($A$4:$A143,"&gt;="&amp;$A144-1,$A$4:$A143,"&lt;="&amp;$A144,$B$4:$B143,$B144)&gt;0,MIN(AM$1,IF($A144=$A143,AM143,1))-R144&lt;0),-1,MIN(1,IF($A144=$A143,AM143,1)-R144+$D$3))</f>
        <v>#N/A</v>
      </c>
      <c r="AN144" t="e">
        <f>IF(OR($J144=0,COUNTIFS($A$4:$A143,"&gt;="&amp;$A144-1,$A$4:$A143,"&lt;="&amp;$A144,$B$4:$B143,$B144)&gt;0,MIN(AN$1,IF($A144=$A143,AN143,1))-S144&lt;0),-1,MIN(1,IF($A144=$A143,AN143,1)-S144+$D$3))</f>
        <v>#N/A</v>
      </c>
      <c r="AO144" t="e">
        <f>IF(OR($J144=0,COUNTIFS($A$4:$A143,"&gt;="&amp;$A144-1,$A$4:$A143,"&lt;="&amp;$A144,$B$4:$B143,$B144)&gt;0,MIN(AO$1,IF($A144=$A143,AO143,1))-T144&lt;0),-1,MIN(1,IF($A144=$A143,AO143,1)-T144+$D$3))</f>
        <v>#N/A</v>
      </c>
      <c r="AP144" t="e">
        <f>IF(OR($J144=0,COUNTIFS($A$4:$A143,"&gt;="&amp;$A144-1,$A$4:$A143,"&lt;="&amp;$A144,$B$4:$B143,$B144)&gt;0,MIN(AP$1,IF($A144=$A143,AP143,1))-U144&lt;0),-1,MIN(1,IF($A144=$A143,AP143,1)-U144+$D$3))</f>
        <v>#N/A</v>
      </c>
      <c r="AQ144" t="e">
        <f>IF(OR($J144=0,COUNTIFS($A$4:$A143,"&gt;="&amp;$A144-1,$A$4:$A143,"&lt;="&amp;$A144,$B$4:$B143,$B144)&gt;0,MIN(AQ$1,IF($A144=$A143,AQ143,1))-V144&lt;0),-1,MIN(1,IF($A144=$A143,AQ143,1)-V144+$D$3))</f>
        <v>#N/A</v>
      </c>
      <c r="AR144" t="e">
        <f>IF(OR($J144=0,COUNTIFS($A$4:$A143,"&gt;="&amp;$A144-1,$A$4:$A143,"&lt;="&amp;$A144,$B$4:$B143,$B144)&gt;0,MIN(AR$1,IF($A144=$A143,AR143,1))-W144&lt;0),-1,MIN(1,IF($A144=$A143,AR143,1)-W144+$D$3))</f>
        <v>#N/A</v>
      </c>
      <c r="AS144" t="e">
        <f>IF(OR($J144=0,COUNTIFS($A$4:$A143,"&gt;="&amp;$A144-1,$A$4:$A143,"&lt;="&amp;$A144,$B$4:$B143,$B144)&gt;0,MIN(AS$1,IF($A144=$A143,AS143,1))-X144&lt;0),-1,MIN(1,IF($A144=$A143,AS143,1)-X144+$D$3))</f>
        <v>#N/A</v>
      </c>
      <c r="AT144" t="e">
        <f>IF(OR($J144=0,COUNTIFS($A$4:$A143,"&gt;="&amp;$A144-1,$A$4:$A143,"&lt;="&amp;$A144,$B$4:$B143,$B144)&gt;0,MIN(AT$1,IF($A144=$A143,AT143,1))-Y144&lt;0),-1,MIN(1,IF($A144=$A143,AT143,1)-Y144+$D$3))</f>
        <v>#N/A</v>
      </c>
      <c r="AU144" t="e">
        <f>IF(OR($J144=0,COUNTIFS($A$4:$A143,"&gt;="&amp;$A144-1,$A$4:$A143,"&lt;="&amp;$A144,$B$4:$B143,$B144)&gt;0,MIN(AU$1,IF($A144=$A143,AU143,1))-Z144&lt;0),-1,MIN(1,IF($A144=$A143,AU143,1)-Z144+$D$3))</f>
        <v>#N/A</v>
      </c>
      <c r="AV144" t="e">
        <f>IF(OR($J144=0,COUNTIFS($A$4:$A143,"&gt;="&amp;$A144-1,$A$4:$A143,"&lt;="&amp;$A144,$B$4:$B143,$B144)&gt;0,MIN(AV$1,IF($A144=$A143,AV143,1))-AA144&lt;0),-1,MIN(1,IF($A144=$A143,AV143,1)-AA144+$D$3))</f>
        <v>#N/A</v>
      </c>
      <c r="AW144" t="e">
        <f>IF(OR($J144=0,COUNTIFS($A$4:$A143,"&gt;="&amp;$A144-1,$A$4:$A143,"&lt;="&amp;$A144,$B$4:$B143,$B144)&gt;0,MIN(AW$1,IF($A144=$A143,AW143,1))-AB144&lt;0),-1,MIN(1,IF($A144=$A143,AW143,1)-AB144+$D$3))</f>
        <v>#N/A</v>
      </c>
      <c r="AX144" t="e">
        <f>IF(OR($J144=0,COUNTIFS($A$4:$A143,"&gt;="&amp;$A144-1,$A$4:$A143,"&lt;="&amp;$A144,$B$4:$B143,$B144)&gt;0,MIN(AX$1,IF($A144=$A143,AX143,1))-AC144&lt;0),-1,MIN(1,IF($A144=$A143,AX143,1)-AC144+$D$3))</f>
        <v>#N/A</v>
      </c>
      <c r="AY144" t="e">
        <f>IF(OR($J144=0,COUNTIFS($A$4:$A143,"&gt;="&amp;$A144-1,$A$4:$A143,"&lt;="&amp;$A144,$B$4:$B143,$B144)&gt;0,MIN(AY$1,IF($A144=$A143,AY143,1))-AD144&lt;0),-1,MIN(1,IF($A144=$A143,AY143,1)-AD144+$D$3))</f>
        <v>#N/A</v>
      </c>
      <c r="AZ144" t="e">
        <f>IF(OR($J144=0,COUNTIFS($A$4:$A143,"&gt;="&amp;$A144-1,$A$4:$A143,"&lt;="&amp;$A144,$B$4:$B143,$B144)&gt;0,MIN(AZ$1,IF($A144=$A143,AZ143,1))-AE144&lt;0),-1,MIN(1,IF($A144=$A143,AZ143,1)-AE144+$D$3))</f>
        <v>#N/A</v>
      </c>
      <c r="BA144" t="e">
        <f>IF(OR($J144=0,COUNTIFS($A$4:$A143,"&gt;="&amp;$A144-1,$A$4:$A143,"&lt;="&amp;$A144,$B$4:$B143,$B144)&gt;0,MIN(BA$1,IF($A144=$A143,BA143,1))-AF144&lt;0),-1,MIN(1,IF($A144=$A143,BA143,1)-AF144+$D$3))</f>
        <v>#N/A</v>
      </c>
      <c r="BB144" t="e">
        <f>IF(OR($J144=0,COUNTIFS($A$4:$A143,"&gt;="&amp;$A144-1,$A$4:$A143,"&lt;="&amp;$A144,$B$4:$B143,$B144)&gt;0,MIN(BB$1,IF($A144=$A143,BB143,1))-AG144&lt;0),-1,MIN(1,IF($A144=$A143,BB143,1)-AG144+$D$3))</f>
        <v>#N/A</v>
      </c>
      <c r="BC144" t="e">
        <f>IF(OR($J144=0,COUNTIFS($A$4:$A143,"&gt;="&amp;$A144-1,$A$4:$A143,"&lt;="&amp;$A144,$B$4:$B143,$B144)&gt;0,MIN(BC$1,IF($A144=$A143,BC143,1))-AH144&lt;0),-1,MIN(1,IF($A144=$A143,BC143,1)-AH144+$D$3))</f>
        <v>#N/A</v>
      </c>
      <c r="BD144" t="e">
        <f>IF(OR($J144=0,COUNTIFS($A$4:$A143,"&gt;="&amp;$A144-1,$A$4:$A143,"&lt;="&amp;$A144,$B$4:$B143,$B144)&gt;0,MIN(BD$1,IF($A144=$A143,BD143,1))-AI144&lt;0),-1,MIN(1,IF($A144=$A143,BD143,1)-AI144+$D$3))</f>
        <v>#N/A</v>
      </c>
      <c r="BF144" s="44">
        <f t="shared" si="223"/>
        <v>1.6129118556808973E-3</v>
      </c>
      <c r="BG144" s="44">
        <f t="shared" si="224"/>
        <v>3.9666053866212816E-3</v>
      </c>
      <c r="BH144" s="44">
        <f t="shared" si="225"/>
        <v>4.0653532752634352E-3</v>
      </c>
      <c r="BI144" s="44">
        <f t="shared" si="226"/>
        <v>3.7552577286524627E-3</v>
      </c>
      <c r="BJ144" s="44">
        <f t="shared" si="227"/>
        <v>3.8814153715590752E-3</v>
      </c>
      <c r="BK144" s="44">
        <f t="shared" si="228"/>
        <v>1.6668244788851157E-3</v>
      </c>
      <c r="BL144" s="44">
        <f t="shared" si="229"/>
        <v>9.0044480663365725E-4</v>
      </c>
      <c r="BM144" s="44">
        <f t="shared" si="230"/>
        <v>2.2906264386015349E-3</v>
      </c>
      <c r="BN144" s="44">
        <f t="shared" si="231"/>
        <v>2.3824300169901034E-3</v>
      </c>
      <c r="BO144" s="44">
        <f t="shared" si="232"/>
        <v>1.1164971088045835E-3</v>
      </c>
      <c r="BP144" s="44">
        <f t="shared" si="233"/>
        <v>3.7541966525782913E-3</v>
      </c>
      <c r="BQ144" s="44">
        <f t="shared" si="234"/>
        <v>1.0131022703990758E-3</v>
      </c>
      <c r="BR144" s="44">
        <f t="shared" si="235"/>
        <v>2.9929577127789353E-3</v>
      </c>
      <c r="BS144" s="44">
        <f t="shared" si="236"/>
        <v>1.6141418113912484E-3</v>
      </c>
      <c r="BT144" s="44">
        <f t="shared" si="237"/>
        <v>6.3876540055378805E-3</v>
      </c>
      <c r="BU144" s="44">
        <f t="shared" si="238"/>
        <v>6.1021316938422122E-3</v>
      </c>
      <c r="BV144" s="44">
        <f t="shared" si="239"/>
        <v>5.8602853941690843E-3</v>
      </c>
      <c r="BW144" s="44">
        <f t="shared" si="240"/>
        <v>3.8329491417368553E-3</v>
      </c>
      <c r="BX144" s="44">
        <f t="shared" si="241"/>
        <v>2.8317132224246551E-3</v>
      </c>
      <c r="BY144" s="44">
        <f t="shared" si="242"/>
        <v>2.431351269930378E-3</v>
      </c>
      <c r="CA144" s="44" t="str">
        <f t="shared" si="243"/>
        <v/>
      </c>
      <c r="CB144" s="44" t="str">
        <f t="shared" si="244"/>
        <v/>
      </c>
      <c r="CC144" s="44" t="str">
        <f t="shared" si="245"/>
        <v/>
      </c>
      <c r="CD144" s="44" t="str">
        <f t="shared" si="246"/>
        <v/>
      </c>
      <c r="CE144" s="44" t="str">
        <f t="shared" si="247"/>
        <v/>
      </c>
      <c r="CF144" s="44" t="str">
        <f t="shared" si="248"/>
        <v/>
      </c>
      <c r="CG144" s="44" t="str">
        <f t="shared" si="249"/>
        <v/>
      </c>
      <c r="CH144" s="44" t="str">
        <f t="shared" si="250"/>
        <v/>
      </c>
      <c r="CI144" s="44" t="str">
        <f t="shared" si="251"/>
        <v/>
      </c>
      <c r="CJ144" s="44" t="str">
        <f t="shared" si="252"/>
        <v/>
      </c>
      <c r="CK144" s="44" t="str">
        <f t="shared" si="253"/>
        <v/>
      </c>
      <c r="CL144" s="44" t="str">
        <f t="shared" si="254"/>
        <v/>
      </c>
      <c r="CM144" s="44" t="str">
        <f t="shared" si="255"/>
        <v/>
      </c>
      <c r="CN144" s="44" t="str">
        <f t="shared" si="256"/>
        <v/>
      </c>
      <c r="CO144" s="44" t="str">
        <f t="shared" si="257"/>
        <v/>
      </c>
      <c r="CP144" s="44" t="str">
        <f t="shared" si="258"/>
        <v/>
      </c>
      <c r="CQ144" s="44" t="str">
        <f t="shared" si="259"/>
        <v/>
      </c>
      <c r="CR144" s="44" t="str">
        <f t="shared" si="260"/>
        <v/>
      </c>
      <c r="CS144" s="44" t="str">
        <f t="shared" si="261"/>
        <v/>
      </c>
      <c r="CT144" s="44" t="str">
        <f t="shared" si="262"/>
        <v/>
      </c>
      <c r="CV144" s="44">
        <f t="shared" si="263"/>
        <v>0</v>
      </c>
    </row>
    <row r="145" spans="1:100" x14ac:dyDescent="0.25">
      <c r="A145" s="49"/>
      <c r="B145" s="50"/>
      <c r="C145" s="51" t="str" cm="1">
        <f t="array" ref="C145">IF(B145="","",INDEX(UWS!$B$10:$B$41,B145))</f>
        <v/>
      </c>
      <c r="D145" s="45" t="str">
        <f t="shared" si="220"/>
        <v/>
      </c>
      <c r="E145" s="70" t="str">
        <f t="shared" si="221"/>
        <v/>
      </c>
      <c r="F145" s="52" cm="1">
        <f t="array" ref="F145">0.1+IFERROR(INDEX($F$5:$F144,SUMPRODUCT(MAX(ROW($C$5:$C144)*($C145=$C$5:$C144))-ROW($A$4)))*0.9^($A145-INDEX($A$5:A144,SUMPRODUCT(MAX(ROW($C$5:$C144)*($C145=$C$5:$C144))-ROW($A$4)))),0)</f>
        <v>7.9999999999999876</v>
      </c>
      <c r="G145" s="56" t="e">
        <f>INDEX(UWS!$AB$10:$AB$41,MATCH(C145,UWS!$B$10:$B$41,0))</f>
        <v>#N/A</v>
      </c>
      <c r="H145" s="52" t="e">
        <f>INDEX(UWS!$C$10:$C$41,MATCH(C145,UWS!$B$10:$B$41,0))</f>
        <v>#N/A</v>
      </c>
      <c r="I145" s="46">
        <f t="shared" si="222"/>
        <v>5</v>
      </c>
      <c r="J145" s="46" t="e">
        <f>INDEX(UWS!$E$10:$E$41,MATCH(C145,UWS!$B$10:$B$41,0))</f>
        <v>#N/A</v>
      </c>
      <c r="K145" s="46"/>
      <c r="L145" s="109" t="str" cm="1">
        <f t="array" ref="L145">IF(K145="","",INDEX(UWS!$B$10:$B$41,K145))</f>
        <v/>
      </c>
      <c r="M145" s="46"/>
      <c r="N145" s="109" t="str" cm="1">
        <f t="array" ref="N145">IF(M145="","",INDEX(UWS!$B$10:$B$41,M145))</f>
        <v/>
      </c>
      <c r="O145" s="47"/>
      <c r="P145" s="47">
        <f>IFERROR(INDEX(UWS!$G$10:$Z$41,MATCH($C145,UWS!$B$10:$B$41,0),MATCH(P$4,UWS!$G$3:$Z$3,0)),0)</f>
        <v>0</v>
      </c>
      <c r="Q145" s="47">
        <f>IFERROR(INDEX(UWS!$G$10:$Z$41,MATCH($C145,UWS!$B$10:$B$41,0),MATCH(Q$4,UWS!$G$3:$Z$3,0)),0)</f>
        <v>0</v>
      </c>
      <c r="R145" s="47">
        <f>IFERROR(INDEX(UWS!$G$10:$Z$41,MATCH($C145,UWS!$B$10:$B$41,0),MATCH(R$4,UWS!$G$3:$Z$3,0)),0)</f>
        <v>0</v>
      </c>
      <c r="S145" s="47">
        <f>IFERROR(INDEX(UWS!$G$10:$Z$41,MATCH($C145,UWS!$B$10:$B$41,0),MATCH(S$4,UWS!$G$3:$Z$3,0)),0)</f>
        <v>0</v>
      </c>
      <c r="T145" s="47">
        <f>IFERROR(INDEX(UWS!$G$10:$Z$41,MATCH($C145,UWS!$B$10:$B$41,0),MATCH(T$4,UWS!$G$3:$Z$3,0)),0)</f>
        <v>0</v>
      </c>
      <c r="U145" s="47">
        <f>IFERROR(INDEX(UWS!$G$10:$Z$41,MATCH($C145,UWS!$B$10:$B$41,0),MATCH(U$4,UWS!$G$3:$Z$3,0)),0)</f>
        <v>0</v>
      </c>
      <c r="V145" s="47">
        <f>IFERROR(INDEX(UWS!$G$10:$Z$41,MATCH($C145,UWS!$B$10:$B$41,0),MATCH(V$4,UWS!$G$3:$Z$3,0)),0)</f>
        <v>0</v>
      </c>
      <c r="W145" s="47">
        <f>IFERROR(INDEX(UWS!$G$10:$Z$41,MATCH($C145,UWS!$B$10:$B$41,0),MATCH(W$4,UWS!$G$3:$Z$3,0)),0)</f>
        <v>0</v>
      </c>
      <c r="X145" s="47">
        <f>IFERROR(INDEX(UWS!$G$10:$Z$41,MATCH($C145,UWS!$B$10:$B$41,0),MATCH(X$4,UWS!$G$3:$Z$3,0)),0)</f>
        <v>0</v>
      </c>
      <c r="Y145" s="47">
        <f>IFERROR(INDEX(UWS!$G$10:$Z$41,MATCH($C145,UWS!$B$10:$B$41,0),MATCH(Y$4,UWS!$G$3:$Z$3,0)),0)</f>
        <v>0</v>
      </c>
      <c r="Z145" s="47">
        <f>IFERROR(INDEX(UWS!$G$10:$Z$41,MATCH($C145,UWS!$B$10:$B$41,0),MATCH(Z$4,UWS!$G$3:$Z$3,0)),0)</f>
        <v>0</v>
      </c>
      <c r="AA145" s="47">
        <f>IFERROR(INDEX(UWS!$G$10:$Z$41,MATCH($C145,UWS!$B$10:$B$41,0),MATCH(AA$4,UWS!$G$3:$Z$3,0)),0)</f>
        <v>0</v>
      </c>
      <c r="AB145" s="47">
        <f>IFERROR(INDEX(UWS!$G$10:$Z$41,MATCH($C145,UWS!$B$10:$B$41,0),MATCH(AB$4,UWS!$G$3:$Z$3,0)),0)</f>
        <v>0</v>
      </c>
      <c r="AC145" s="47">
        <f>IFERROR(INDEX(UWS!$G$10:$Z$41,MATCH($C145,UWS!$B$10:$B$41,0),MATCH(AC$4,UWS!$G$3:$Z$3,0)),0)</f>
        <v>0</v>
      </c>
      <c r="AD145" s="47">
        <f>IFERROR(INDEX(UWS!$G$10:$Z$41,MATCH($C145,UWS!$B$10:$B$41,0),MATCH(AD$4,UWS!$G$3:$Z$3,0)),0)</f>
        <v>0</v>
      </c>
      <c r="AE145" s="47">
        <f>IFERROR(INDEX(UWS!$G$10:$Z$41,MATCH($C145,UWS!$B$10:$B$41,0),MATCH(AE$4,UWS!$G$3:$Z$3,0)),0)</f>
        <v>0</v>
      </c>
      <c r="AF145" s="47">
        <f>IFERROR(INDEX(UWS!$G$10:$Z$41,MATCH($C145,UWS!$B$10:$B$41,0),MATCH(AF$4,UWS!$G$3:$Z$3,0)),0)</f>
        <v>0</v>
      </c>
      <c r="AG145" s="47">
        <f>IFERROR(INDEX(UWS!$G$10:$Z$41,MATCH($C145,UWS!$B$10:$B$41,0),MATCH(AG$4,UWS!$G$3:$Z$3,0)),0)</f>
        <v>0</v>
      </c>
      <c r="AH145" s="47">
        <f>IFERROR(INDEX(UWS!$G$10:$Z$41,MATCH($C145,UWS!$B$10:$B$41,0),MATCH(AH$4,UWS!$G$3:$Z$3,0)),0)</f>
        <v>0</v>
      </c>
      <c r="AI145" s="47">
        <f>IFERROR(INDEX(UWS!$G$10:$Z$41,MATCH($C145,UWS!$B$10:$B$41,0),MATCH(AI$4,UWS!$G$3:$Z$3,0)),0)</f>
        <v>0</v>
      </c>
      <c r="AJ145" s="47"/>
      <c r="AK145" s="47" t="e">
        <f>IF(OR($J145=0,COUNTIFS($A$4:$A144,"&gt;="&amp;$A145-1,$A$4:$A144,"&lt;="&amp;$A145,$B$4:$B144,$B145)&gt;0,MIN(AK$1,IF($A145=$A144,AK144,1))-P145&lt;0),-1,MIN(1,IF($A145=$A144,AK144,1)-P145+$D$3))</f>
        <v>#N/A</v>
      </c>
      <c r="AL145" s="47" t="e">
        <f>IF(OR($J145=0,COUNTIFS($A$4:$A144,"&gt;="&amp;$A145-1,$A$4:$A144,"&lt;="&amp;$A145,$B$4:$B144,$B145)&gt;0,MIN(AL$1,IF($A145=$A144,AL144,1))-Q145&lt;0),-1,MIN(1,IF($A145=$A144,AL144,1)-Q145+$D$3))</f>
        <v>#N/A</v>
      </c>
      <c r="AM145" s="47" t="e">
        <f>IF(OR($J145=0,COUNTIFS($A$4:$A144,"&gt;="&amp;$A145-1,$A$4:$A144,"&lt;="&amp;$A145,$B$4:$B144,$B145)&gt;0,MIN(AM$1,IF($A145=$A144,AM144,1))-R145&lt;0),-1,MIN(1,IF($A145=$A144,AM144,1)-R145+$D$3))</f>
        <v>#N/A</v>
      </c>
      <c r="AN145" s="47" t="e">
        <f>IF(OR($J145=0,COUNTIFS($A$4:$A144,"&gt;="&amp;$A145-1,$A$4:$A144,"&lt;="&amp;$A145,$B$4:$B144,$B145)&gt;0,MIN(AN$1,IF($A145=$A144,AN144,1))-S145&lt;0),-1,MIN(1,IF($A145=$A144,AN144,1)-S145+$D$3))</f>
        <v>#N/A</v>
      </c>
      <c r="AO145" s="47" t="e">
        <f>IF(OR($J145=0,COUNTIFS($A$4:$A144,"&gt;="&amp;$A145-1,$A$4:$A144,"&lt;="&amp;$A145,$B$4:$B144,$B145)&gt;0,MIN(AO$1,IF($A145=$A144,AO144,1))-T145&lt;0),-1,MIN(1,IF($A145=$A144,AO144,1)-T145+$D$3))</f>
        <v>#N/A</v>
      </c>
      <c r="AP145" s="47" t="e">
        <f>IF(OR($J145=0,COUNTIFS($A$4:$A144,"&gt;="&amp;$A145-1,$A$4:$A144,"&lt;="&amp;$A145,$B$4:$B144,$B145)&gt;0,MIN(AP$1,IF($A145=$A144,AP144,1))-U145&lt;0),-1,MIN(1,IF($A145=$A144,AP144,1)-U145+$D$3))</f>
        <v>#N/A</v>
      </c>
      <c r="AQ145" s="47" t="e">
        <f>IF(OR($J145=0,COUNTIFS($A$4:$A144,"&gt;="&amp;$A145-1,$A$4:$A144,"&lt;="&amp;$A145,$B$4:$B144,$B145)&gt;0,MIN(AQ$1,IF($A145=$A144,AQ144,1))-V145&lt;0),-1,MIN(1,IF($A145=$A144,AQ144,1)-V145+$D$3))</f>
        <v>#N/A</v>
      </c>
      <c r="AR145" s="47" t="e">
        <f>IF(OR($J145=0,COUNTIFS($A$4:$A144,"&gt;="&amp;$A145-1,$A$4:$A144,"&lt;="&amp;$A145,$B$4:$B144,$B145)&gt;0,MIN(AR$1,IF($A145=$A144,AR144,1))-W145&lt;0),-1,MIN(1,IF($A145=$A144,AR144,1)-W145+$D$3))</f>
        <v>#N/A</v>
      </c>
      <c r="AS145" s="47" t="e">
        <f>IF(OR($J145=0,COUNTIFS($A$4:$A144,"&gt;="&amp;$A145-1,$A$4:$A144,"&lt;="&amp;$A145,$B$4:$B144,$B145)&gt;0,MIN(AS$1,IF($A145=$A144,AS144,1))-X145&lt;0),-1,MIN(1,IF($A145=$A144,AS144,1)-X145+$D$3))</f>
        <v>#N/A</v>
      </c>
      <c r="AT145" s="47" t="e">
        <f>IF(OR($J145=0,COUNTIFS($A$4:$A144,"&gt;="&amp;$A145-1,$A$4:$A144,"&lt;="&amp;$A145,$B$4:$B144,$B145)&gt;0,MIN(AT$1,IF($A145=$A144,AT144,1))-Y145&lt;0),-1,MIN(1,IF($A145=$A144,AT144,1)-Y145+$D$3))</f>
        <v>#N/A</v>
      </c>
      <c r="AU145" s="47" t="e">
        <f>IF(OR($J145=0,COUNTIFS($A$4:$A144,"&gt;="&amp;$A145-1,$A$4:$A144,"&lt;="&amp;$A145,$B$4:$B144,$B145)&gt;0,MIN(AU$1,IF($A145=$A144,AU144,1))-Z145&lt;0),-1,MIN(1,IF($A145=$A144,AU144,1)-Z145+$D$3))</f>
        <v>#N/A</v>
      </c>
      <c r="AV145" s="47" t="e">
        <f>IF(OR($J145=0,COUNTIFS($A$4:$A144,"&gt;="&amp;$A145-1,$A$4:$A144,"&lt;="&amp;$A145,$B$4:$B144,$B145)&gt;0,MIN(AV$1,IF($A145=$A144,AV144,1))-AA145&lt;0),-1,MIN(1,IF($A145=$A144,AV144,1)-AA145+$D$3))</f>
        <v>#N/A</v>
      </c>
      <c r="AW145" s="47" t="e">
        <f>IF(OR($J145=0,COUNTIFS($A$4:$A144,"&gt;="&amp;$A145-1,$A$4:$A144,"&lt;="&amp;$A145,$B$4:$B144,$B145)&gt;0,MIN(AW$1,IF($A145=$A144,AW144,1))-AB145&lt;0),-1,MIN(1,IF($A145=$A144,AW144,1)-AB145+$D$3))</f>
        <v>#N/A</v>
      </c>
      <c r="AX145" s="47" t="e">
        <f>IF(OR($J145=0,COUNTIFS($A$4:$A144,"&gt;="&amp;$A145-1,$A$4:$A144,"&lt;="&amp;$A145,$B$4:$B144,$B145)&gt;0,MIN(AX$1,IF($A145=$A144,AX144,1))-AC145&lt;0),-1,MIN(1,IF($A145=$A144,AX144,1)-AC145+$D$3))</f>
        <v>#N/A</v>
      </c>
      <c r="AY145" s="47" t="e">
        <f>IF(OR($J145=0,COUNTIFS($A$4:$A144,"&gt;="&amp;$A145-1,$A$4:$A144,"&lt;="&amp;$A145,$B$4:$B144,$B145)&gt;0,MIN(AY$1,IF($A145=$A144,AY144,1))-AD145&lt;0),-1,MIN(1,IF($A145=$A144,AY144,1)-AD145+$D$3))</f>
        <v>#N/A</v>
      </c>
      <c r="AZ145" s="47" t="e">
        <f>IF(OR($J145=0,COUNTIFS($A$4:$A144,"&gt;="&amp;$A145-1,$A$4:$A144,"&lt;="&amp;$A145,$B$4:$B144,$B145)&gt;0,MIN(AZ$1,IF($A145=$A144,AZ144,1))-AE145&lt;0),-1,MIN(1,IF($A145=$A144,AZ144,1)-AE145+$D$3))</f>
        <v>#N/A</v>
      </c>
      <c r="BA145" s="47" t="e">
        <f>IF(OR($J145=0,COUNTIFS($A$4:$A144,"&gt;="&amp;$A145-1,$A$4:$A144,"&lt;="&amp;$A145,$B$4:$B144,$B145)&gt;0,MIN(BA$1,IF($A145=$A144,BA144,1))-AF145&lt;0),-1,MIN(1,IF($A145=$A144,BA144,1)-AF145+$D$3))</f>
        <v>#N/A</v>
      </c>
      <c r="BB145" s="47" t="e">
        <f>IF(OR($J145=0,COUNTIFS($A$4:$A144,"&gt;="&amp;$A145-1,$A$4:$A144,"&lt;="&amp;$A145,$B$4:$B144,$B145)&gt;0,MIN(BB$1,IF($A145=$A144,BB144,1))-AG145&lt;0),-1,MIN(1,IF($A145=$A144,BB144,1)-AG145+$D$3))</f>
        <v>#N/A</v>
      </c>
      <c r="BC145" s="47" t="e">
        <f>IF(OR($J145=0,COUNTIFS($A$4:$A144,"&gt;="&amp;$A145-1,$A$4:$A144,"&lt;="&amp;$A145,$B$4:$B144,$B145)&gt;0,MIN(BC$1,IF($A145=$A144,BC144,1))-AH145&lt;0),-1,MIN(1,IF($A145=$A144,BC144,1)-AH145+$D$3))</f>
        <v>#N/A</v>
      </c>
      <c r="BD145" s="47" t="e">
        <f>IF(OR($J145=0,COUNTIFS($A$4:$A144,"&gt;="&amp;$A145-1,$A$4:$A144,"&lt;="&amp;$A145,$B$4:$B144,$B145)&gt;0,MIN(BD$1,IF($A145=$A144,BD144,1))-AI145&lt;0),-1,MIN(1,IF($A145=$A144,BD144,1)-AI145+$D$3))</f>
        <v>#N/A</v>
      </c>
      <c r="BE145" s="47"/>
      <c r="BF145" s="53">
        <f t="shared" si="223"/>
        <v>1.5322662628968523E-3</v>
      </c>
      <c r="BG145" s="53">
        <f t="shared" si="224"/>
        <v>3.7682751172902172E-3</v>
      </c>
      <c r="BH145" s="53">
        <f t="shared" si="225"/>
        <v>3.8620856115002631E-3</v>
      </c>
      <c r="BI145" s="53">
        <f t="shared" si="226"/>
        <v>3.5674948422198395E-3</v>
      </c>
      <c r="BJ145" s="53">
        <f t="shared" si="227"/>
        <v>3.6873446029811211E-3</v>
      </c>
      <c r="BK145" s="53">
        <f t="shared" si="228"/>
        <v>1.5834832549408598E-3</v>
      </c>
      <c r="BL145" s="53">
        <f t="shared" si="229"/>
        <v>8.5542256630197439E-4</v>
      </c>
      <c r="BM145" s="53">
        <f t="shared" si="230"/>
        <v>2.1760951166714579E-3</v>
      </c>
      <c r="BN145" s="53">
        <f t="shared" si="231"/>
        <v>2.263308516140598E-3</v>
      </c>
      <c r="BO145" s="53">
        <f t="shared" si="232"/>
        <v>1.0606722533643544E-3</v>
      </c>
      <c r="BP145" s="53">
        <f t="shared" si="233"/>
        <v>3.5664868199493764E-3</v>
      </c>
      <c r="BQ145" s="53">
        <f t="shared" si="234"/>
        <v>9.6244715687912195E-4</v>
      </c>
      <c r="BR145" s="53">
        <f t="shared" si="235"/>
        <v>2.8433098271399885E-3</v>
      </c>
      <c r="BS145" s="53">
        <f t="shared" si="236"/>
        <v>1.5334347208216859E-3</v>
      </c>
      <c r="BT145" s="53">
        <f t="shared" si="237"/>
        <v>6.0682713052609858E-3</v>
      </c>
      <c r="BU145" s="53">
        <f t="shared" si="238"/>
        <v>5.7970251091501012E-3</v>
      </c>
      <c r="BV145" s="53">
        <f t="shared" si="239"/>
        <v>5.5672711244606297E-3</v>
      </c>
      <c r="BW145" s="53">
        <f t="shared" si="240"/>
        <v>3.6413016846500125E-3</v>
      </c>
      <c r="BX145" s="53">
        <f t="shared" si="241"/>
        <v>2.6901275613034222E-3</v>
      </c>
      <c r="BY145" s="53">
        <f t="shared" si="242"/>
        <v>2.309783706433859E-3</v>
      </c>
      <c r="BZ145" s="47"/>
      <c r="CA145" s="53" t="str">
        <f t="shared" si="243"/>
        <v/>
      </c>
      <c r="CB145" s="53" t="str">
        <f t="shared" si="244"/>
        <v/>
      </c>
      <c r="CC145" s="53" t="str">
        <f t="shared" si="245"/>
        <v/>
      </c>
      <c r="CD145" s="53" t="str">
        <f t="shared" si="246"/>
        <v/>
      </c>
      <c r="CE145" s="53" t="str">
        <f t="shared" si="247"/>
        <v/>
      </c>
      <c r="CF145" s="53" t="str">
        <f t="shared" si="248"/>
        <v/>
      </c>
      <c r="CG145" s="53" t="str">
        <f t="shared" si="249"/>
        <v/>
      </c>
      <c r="CH145" s="53" t="str">
        <f t="shared" si="250"/>
        <v/>
      </c>
      <c r="CI145" s="53" t="str">
        <f t="shared" si="251"/>
        <v/>
      </c>
      <c r="CJ145" s="53" t="str">
        <f t="shared" si="252"/>
        <v/>
      </c>
      <c r="CK145" s="53" t="str">
        <f t="shared" si="253"/>
        <v/>
      </c>
      <c r="CL145" s="53" t="str">
        <f t="shared" si="254"/>
        <v/>
      </c>
      <c r="CM145" s="53" t="str">
        <f t="shared" si="255"/>
        <v/>
      </c>
      <c r="CN145" s="53" t="str">
        <f t="shared" si="256"/>
        <v/>
      </c>
      <c r="CO145" s="53" t="str">
        <f t="shared" si="257"/>
        <v/>
      </c>
      <c r="CP145" s="53" t="str">
        <f t="shared" si="258"/>
        <v/>
      </c>
      <c r="CQ145" s="53" t="str">
        <f t="shared" si="259"/>
        <v/>
      </c>
      <c r="CR145" s="53" t="str">
        <f t="shared" si="260"/>
        <v/>
      </c>
      <c r="CS145" s="53" t="str">
        <f t="shared" si="261"/>
        <v/>
      </c>
      <c r="CT145" s="53" t="str">
        <f t="shared" si="262"/>
        <v/>
      </c>
      <c r="CU145" s="47"/>
      <c r="CV145" s="53">
        <f t="shared" si="263"/>
        <v>0</v>
      </c>
    </row>
    <row r="146" spans="1:100" x14ac:dyDescent="0.25">
      <c r="A146" s="41"/>
      <c r="B146" s="42"/>
      <c r="C146" s="43" t="str" cm="1">
        <f t="array" ref="C146">IF(B146="","",INDEX(UWS!$B$10:$B$41,B146))</f>
        <v/>
      </c>
      <c r="D146" s="40" t="str">
        <f t="shared" si="220"/>
        <v/>
      </c>
      <c r="E146" s="69" t="str">
        <f t="shared" si="221"/>
        <v/>
      </c>
      <c r="F146" s="48" cm="1">
        <f t="array" ref="F146">0.1+IFERROR(INDEX($F$5:$F145,SUMPRODUCT(MAX(ROW($C$5:$C145)*($C146=$C$5:$C145))-ROW($A$4)))*0.9^($A146-INDEX($A$5:A145,SUMPRODUCT(MAX(ROW($C$5:$C145)*($C146=$C$5:$C145))-ROW($A$4)))),0)</f>
        <v>8.0999999999999872</v>
      </c>
      <c r="G146" s="55" t="e">
        <f>INDEX(UWS!$AB$10:$AB$41,MATCH(C146,UWS!$B$10:$B$41,0))</f>
        <v>#N/A</v>
      </c>
      <c r="H146" s="48" t="e">
        <f>INDEX(UWS!$C$10:$C$41,MATCH(C146,UWS!$B$10:$B$41,0))</f>
        <v>#N/A</v>
      </c>
      <c r="I146" s="82">
        <f t="shared" si="222"/>
        <v>5</v>
      </c>
      <c r="J146" s="27" t="e">
        <f>INDEX(UWS!$E$10:$E$41,MATCH(C146,UWS!$B$10:$B$41,0))</f>
        <v>#N/A</v>
      </c>
      <c r="L146" s="108" t="str" cm="1">
        <f t="array" ref="L146">IF(K146="","",INDEX(UWS!$B$10:$B$41,K146))</f>
        <v/>
      </c>
      <c r="N146" s="108" t="str" cm="1">
        <f t="array" ref="N146">IF(M146="","",INDEX(UWS!$B$10:$B$41,M146))</f>
        <v/>
      </c>
      <c r="P146">
        <f>IFERROR(INDEX(UWS!$G$10:$Z$41,MATCH($C146,UWS!$B$10:$B$41,0),MATCH(P$4,UWS!$G$3:$Z$3,0)),0)</f>
        <v>0</v>
      </c>
      <c r="Q146">
        <f>IFERROR(INDEX(UWS!$G$10:$Z$41,MATCH($C146,UWS!$B$10:$B$41,0),MATCH(Q$4,UWS!$G$3:$Z$3,0)),0)</f>
        <v>0</v>
      </c>
      <c r="R146">
        <f>IFERROR(INDEX(UWS!$G$10:$Z$41,MATCH($C146,UWS!$B$10:$B$41,0),MATCH(R$4,UWS!$G$3:$Z$3,0)),0)</f>
        <v>0</v>
      </c>
      <c r="S146">
        <f>IFERROR(INDEX(UWS!$G$10:$Z$41,MATCH($C146,UWS!$B$10:$B$41,0),MATCH(S$4,UWS!$G$3:$Z$3,0)),0)</f>
        <v>0</v>
      </c>
      <c r="T146">
        <f>IFERROR(INDEX(UWS!$G$10:$Z$41,MATCH($C146,UWS!$B$10:$B$41,0),MATCH(T$4,UWS!$G$3:$Z$3,0)),0)</f>
        <v>0</v>
      </c>
      <c r="U146">
        <f>IFERROR(INDEX(UWS!$G$10:$Z$41,MATCH($C146,UWS!$B$10:$B$41,0),MATCH(U$4,UWS!$G$3:$Z$3,0)),0)</f>
        <v>0</v>
      </c>
      <c r="V146">
        <f>IFERROR(INDEX(UWS!$G$10:$Z$41,MATCH($C146,UWS!$B$10:$B$41,0),MATCH(V$4,UWS!$G$3:$Z$3,0)),0)</f>
        <v>0</v>
      </c>
      <c r="W146">
        <f>IFERROR(INDEX(UWS!$G$10:$Z$41,MATCH($C146,UWS!$B$10:$B$41,0),MATCH(W$4,UWS!$G$3:$Z$3,0)),0)</f>
        <v>0</v>
      </c>
      <c r="X146">
        <f>IFERROR(INDEX(UWS!$G$10:$Z$41,MATCH($C146,UWS!$B$10:$B$41,0),MATCH(X$4,UWS!$G$3:$Z$3,0)),0)</f>
        <v>0</v>
      </c>
      <c r="Y146">
        <f>IFERROR(INDEX(UWS!$G$10:$Z$41,MATCH($C146,UWS!$B$10:$B$41,0),MATCH(Y$4,UWS!$G$3:$Z$3,0)),0)</f>
        <v>0</v>
      </c>
      <c r="Z146">
        <f>IFERROR(INDEX(UWS!$G$10:$Z$41,MATCH($C146,UWS!$B$10:$B$41,0),MATCH(Z$4,UWS!$G$3:$Z$3,0)),0)</f>
        <v>0</v>
      </c>
      <c r="AA146">
        <f>IFERROR(INDEX(UWS!$G$10:$Z$41,MATCH($C146,UWS!$B$10:$B$41,0),MATCH(AA$4,UWS!$G$3:$Z$3,0)),0)</f>
        <v>0</v>
      </c>
      <c r="AB146">
        <f>IFERROR(INDEX(UWS!$G$10:$Z$41,MATCH($C146,UWS!$B$10:$B$41,0),MATCH(AB$4,UWS!$G$3:$Z$3,0)),0)</f>
        <v>0</v>
      </c>
      <c r="AC146">
        <f>IFERROR(INDEX(UWS!$G$10:$Z$41,MATCH($C146,UWS!$B$10:$B$41,0),MATCH(AC$4,UWS!$G$3:$Z$3,0)),0)</f>
        <v>0</v>
      </c>
      <c r="AD146">
        <f>IFERROR(INDEX(UWS!$G$10:$Z$41,MATCH($C146,UWS!$B$10:$B$41,0),MATCH(AD$4,UWS!$G$3:$Z$3,0)),0)</f>
        <v>0</v>
      </c>
      <c r="AE146">
        <f>IFERROR(INDEX(UWS!$G$10:$Z$41,MATCH($C146,UWS!$B$10:$B$41,0),MATCH(AE$4,UWS!$G$3:$Z$3,0)),0)</f>
        <v>0</v>
      </c>
      <c r="AF146">
        <f>IFERROR(INDEX(UWS!$G$10:$Z$41,MATCH($C146,UWS!$B$10:$B$41,0),MATCH(AF$4,UWS!$G$3:$Z$3,0)),0)</f>
        <v>0</v>
      </c>
      <c r="AG146">
        <f>IFERROR(INDEX(UWS!$G$10:$Z$41,MATCH($C146,UWS!$B$10:$B$41,0),MATCH(AG$4,UWS!$G$3:$Z$3,0)),0)</f>
        <v>0</v>
      </c>
      <c r="AH146">
        <f>IFERROR(INDEX(UWS!$G$10:$Z$41,MATCH($C146,UWS!$B$10:$B$41,0),MATCH(AH$4,UWS!$G$3:$Z$3,0)),0)</f>
        <v>0</v>
      </c>
      <c r="AI146">
        <f>IFERROR(INDEX(UWS!$G$10:$Z$41,MATCH($C146,UWS!$B$10:$B$41,0),MATCH(AI$4,UWS!$G$3:$Z$3,0)),0)</f>
        <v>0</v>
      </c>
      <c r="AK146" t="e">
        <f>IF(OR($J146=0,COUNTIFS($A$4:$A145,"&gt;="&amp;$A146-1,$A$4:$A145,"&lt;="&amp;$A146,$B$4:$B145,$B146)&gt;0,MIN(AK$1,IF($A146=$A145,AK145,1))-P146&lt;0),-1,MIN(1,IF($A146=$A145,AK145,1)-P146+$D$3))</f>
        <v>#N/A</v>
      </c>
      <c r="AL146" t="e">
        <f>IF(OR($J146=0,COUNTIFS($A$4:$A145,"&gt;="&amp;$A146-1,$A$4:$A145,"&lt;="&amp;$A146,$B$4:$B145,$B146)&gt;0,MIN(AL$1,IF($A146=$A145,AL145,1))-Q146&lt;0),-1,MIN(1,IF($A146=$A145,AL145,1)-Q146+$D$3))</f>
        <v>#N/A</v>
      </c>
      <c r="AM146" t="e">
        <f>IF(OR($J146=0,COUNTIFS($A$4:$A145,"&gt;="&amp;$A146-1,$A$4:$A145,"&lt;="&amp;$A146,$B$4:$B145,$B146)&gt;0,MIN(AM$1,IF($A146=$A145,AM145,1))-R146&lt;0),-1,MIN(1,IF($A146=$A145,AM145,1)-R146+$D$3))</f>
        <v>#N/A</v>
      </c>
      <c r="AN146" t="e">
        <f>IF(OR($J146=0,COUNTIFS($A$4:$A145,"&gt;="&amp;$A146-1,$A$4:$A145,"&lt;="&amp;$A146,$B$4:$B145,$B146)&gt;0,MIN(AN$1,IF($A146=$A145,AN145,1))-S146&lt;0),-1,MIN(1,IF($A146=$A145,AN145,1)-S146+$D$3))</f>
        <v>#N/A</v>
      </c>
      <c r="AO146" t="e">
        <f>IF(OR($J146=0,COUNTIFS($A$4:$A145,"&gt;="&amp;$A146-1,$A$4:$A145,"&lt;="&amp;$A146,$B$4:$B145,$B146)&gt;0,MIN(AO$1,IF($A146=$A145,AO145,1))-T146&lt;0),-1,MIN(1,IF($A146=$A145,AO145,1)-T146+$D$3))</f>
        <v>#N/A</v>
      </c>
      <c r="AP146" t="e">
        <f>IF(OR($J146=0,COUNTIFS($A$4:$A145,"&gt;="&amp;$A146-1,$A$4:$A145,"&lt;="&amp;$A146,$B$4:$B145,$B146)&gt;0,MIN(AP$1,IF($A146=$A145,AP145,1))-U146&lt;0),-1,MIN(1,IF($A146=$A145,AP145,1)-U146+$D$3))</f>
        <v>#N/A</v>
      </c>
      <c r="AQ146" t="e">
        <f>IF(OR($J146=0,COUNTIFS($A$4:$A145,"&gt;="&amp;$A146-1,$A$4:$A145,"&lt;="&amp;$A146,$B$4:$B145,$B146)&gt;0,MIN(AQ$1,IF($A146=$A145,AQ145,1))-V146&lt;0),-1,MIN(1,IF($A146=$A145,AQ145,1)-V146+$D$3))</f>
        <v>#N/A</v>
      </c>
      <c r="AR146" t="e">
        <f>IF(OR($J146=0,COUNTIFS($A$4:$A145,"&gt;="&amp;$A146-1,$A$4:$A145,"&lt;="&amp;$A146,$B$4:$B145,$B146)&gt;0,MIN(AR$1,IF($A146=$A145,AR145,1))-W146&lt;0),-1,MIN(1,IF($A146=$A145,AR145,1)-W146+$D$3))</f>
        <v>#N/A</v>
      </c>
      <c r="AS146" t="e">
        <f>IF(OR($J146=0,COUNTIFS($A$4:$A145,"&gt;="&amp;$A146-1,$A$4:$A145,"&lt;="&amp;$A146,$B$4:$B145,$B146)&gt;0,MIN(AS$1,IF($A146=$A145,AS145,1))-X146&lt;0),-1,MIN(1,IF($A146=$A145,AS145,1)-X146+$D$3))</f>
        <v>#N/A</v>
      </c>
      <c r="AT146" t="e">
        <f>IF(OR($J146=0,COUNTIFS($A$4:$A145,"&gt;="&amp;$A146-1,$A$4:$A145,"&lt;="&amp;$A146,$B$4:$B145,$B146)&gt;0,MIN(AT$1,IF($A146=$A145,AT145,1))-Y146&lt;0),-1,MIN(1,IF($A146=$A145,AT145,1)-Y146+$D$3))</f>
        <v>#N/A</v>
      </c>
      <c r="AU146" t="e">
        <f>IF(OR($J146=0,COUNTIFS($A$4:$A145,"&gt;="&amp;$A146-1,$A$4:$A145,"&lt;="&amp;$A146,$B$4:$B145,$B146)&gt;0,MIN(AU$1,IF($A146=$A145,AU145,1))-Z146&lt;0),-1,MIN(1,IF($A146=$A145,AU145,1)-Z146+$D$3))</f>
        <v>#N/A</v>
      </c>
      <c r="AV146" t="e">
        <f>IF(OR($J146=0,COUNTIFS($A$4:$A145,"&gt;="&amp;$A146-1,$A$4:$A145,"&lt;="&amp;$A146,$B$4:$B145,$B146)&gt;0,MIN(AV$1,IF($A146=$A145,AV145,1))-AA146&lt;0),-1,MIN(1,IF($A146=$A145,AV145,1)-AA146+$D$3))</f>
        <v>#N/A</v>
      </c>
      <c r="AW146" t="e">
        <f>IF(OR($J146=0,COUNTIFS($A$4:$A145,"&gt;="&amp;$A146-1,$A$4:$A145,"&lt;="&amp;$A146,$B$4:$B145,$B146)&gt;0,MIN(AW$1,IF($A146=$A145,AW145,1))-AB146&lt;0),-1,MIN(1,IF($A146=$A145,AW145,1)-AB146+$D$3))</f>
        <v>#N/A</v>
      </c>
      <c r="AX146" t="e">
        <f>IF(OR($J146=0,COUNTIFS($A$4:$A145,"&gt;="&amp;$A146-1,$A$4:$A145,"&lt;="&amp;$A146,$B$4:$B145,$B146)&gt;0,MIN(AX$1,IF($A146=$A145,AX145,1))-AC146&lt;0),-1,MIN(1,IF($A146=$A145,AX145,1)-AC146+$D$3))</f>
        <v>#N/A</v>
      </c>
      <c r="AY146" t="e">
        <f>IF(OR($J146=0,COUNTIFS($A$4:$A145,"&gt;="&amp;$A146-1,$A$4:$A145,"&lt;="&amp;$A146,$B$4:$B145,$B146)&gt;0,MIN(AY$1,IF($A146=$A145,AY145,1))-AD146&lt;0),-1,MIN(1,IF($A146=$A145,AY145,1)-AD146+$D$3))</f>
        <v>#N/A</v>
      </c>
      <c r="AZ146" t="e">
        <f>IF(OR($J146=0,COUNTIFS($A$4:$A145,"&gt;="&amp;$A146-1,$A$4:$A145,"&lt;="&amp;$A146,$B$4:$B145,$B146)&gt;0,MIN(AZ$1,IF($A146=$A145,AZ145,1))-AE146&lt;0),-1,MIN(1,IF($A146=$A145,AZ145,1)-AE146+$D$3))</f>
        <v>#N/A</v>
      </c>
      <c r="BA146" t="e">
        <f>IF(OR($J146=0,COUNTIFS($A$4:$A145,"&gt;="&amp;$A146-1,$A$4:$A145,"&lt;="&amp;$A146,$B$4:$B145,$B146)&gt;0,MIN(BA$1,IF($A146=$A145,BA145,1))-AF146&lt;0),-1,MIN(1,IF($A146=$A145,BA145,1)-AF146+$D$3))</f>
        <v>#N/A</v>
      </c>
      <c r="BB146" t="e">
        <f>IF(OR($J146=0,COUNTIFS($A$4:$A145,"&gt;="&amp;$A146-1,$A$4:$A145,"&lt;="&amp;$A146,$B$4:$B145,$B146)&gt;0,MIN(BB$1,IF($A146=$A145,BB145,1))-AG146&lt;0),-1,MIN(1,IF($A146=$A145,BB145,1)-AG146+$D$3))</f>
        <v>#N/A</v>
      </c>
      <c r="BC146" t="e">
        <f>IF(OR($J146=0,COUNTIFS($A$4:$A145,"&gt;="&amp;$A146-1,$A$4:$A145,"&lt;="&amp;$A146,$B$4:$B145,$B146)&gt;0,MIN(BC$1,IF($A146=$A145,BC145,1))-AH146&lt;0),-1,MIN(1,IF($A146=$A145,BC145,1)-AH146+$D$3))</f>
        <v>#N/A</v>
      </c>
      <c r="BD146" t="e">
        <f>IF(OR($J146=0,COUNTIFS($A$4:$A145,"&gt;="&amp;$A146-1,$A$4:$A145,"&lt;="&amp;$A146,$B$4:$B145,$B146)&gt;0,MIN(BD$1,IF($A146=$A145,BD145,1))-AI146&lt;0),-1,MIN(1,IF($A146=$A145,BD145,1)-AI146+$D$3))</f>
        <v>#N/A</v>
      </c>
      <c r="BF146" s="44">
        <f t="shared" si="223"/>
        <v>1.4556529497520097E-3</v>
      </c>
      <c r="BG146" s="44">
        <f t="shared" si="224"/>
        <v>3.5798613614257064E-3</v>
      </c>
      <c r="BH146" s="44">
        <f t="shared" si="225"/>
        <v>3.6689813309252499E-3</v>
      </c>
      <c r="BI146" s="44">
        <f t="shared" si="226"/>
        <v>3.3891201001088472E-3</v>
      </c>
      <c r="BJ146" s="44">
        <f t="shared" si="227"/>
        <v>3.5029773728320651E-3</v>
      </c>
      <c r="BK146" s="44">
        <f t="shared" si="228"/>
        <v>1.5043090921938167E-3</v>
      </c>
      <c r="BL146" s="44">
        <f t="shared" si="229"/>
        <v>8.1265143798687567E-4</v>
      </c>
      <c r="BM146" s="44">
        <f t="shared" si="230"/>
        <v>2.067290360837885E-3</v>
      </c>
      <c r="BN146" s="44">
        <f t="shared" si="231"/>
        <v>2.1501430903335681E-3</v>
      </c>
      <c r="BO146" s="44">
        <f t="shared" si="232"/>
        <v>1.0076386406961367E-3</v>
      </c>
      <c r="BP146" s="44">
        <f t="shared" si="233"/>
        <v>3.3881624789519073E-3</v>
      </c>
      <c r="BQ146" s="44">
        <f t="shared" si="234"/>
        <v>9.1432479903516583E-4</v>
      </c>
      <c r="BR146" s="44">
        <f t="shared" si="235"/>
        <v>2.701144335782989E-3</v>
      </c>
      <c r="BS146" s="44">
        <f t="shared" si="236"/>
        <v>1.4567629847806016E-3</v>
      </c>
      <c r="BT146" s="44">
        <f t="shared" si="237"/>
        <v>5.7648577399979362E-3</v>
      </c>
      <c r="BU146" s="44">
        <f t="shared" si="238"/>
        <v>5.5071738536925955E-3</v>
      </c>
      <c r="BV146" s="44">
        <f t="shared" si="239"/>
        <v>5.2889075682375983E-3</v>
      </c>
      <c r="BW146" s="44">
        <f t="shared" si="240"/>
        <v>3.4592366004175118E-3</v>
      </c>
      <c r="BX146" s="44">
        <f t="shared" si="241"/>
        <v>2.5556211832382511E-3</v>
      </c>
      <c r="BY146" s="44">
        <f t="shared" si="242"/>
        <v>2.1942945211121659E-3</v>
      </c>
      <c r="CA146" s="44" t="str">
        <f t="shared" si="243"/>
        <v/>
      </c>
      <c r="CB146" s="44" t="str">
        <f t="shared" si="244"/>
        <v/>
      </c>
      <c r="CC146" s="44" t="str">
        <f t="shared" si="245"/>
        <v/>
      </c>
      <c r="CD146" s="44" t="str">
        <f t="shared" si="246"/>
        <v/>
      </c>
      <c r="CE146" s="44" t="str">
        <f t="shared" si="247"/>
        <v/>
      </c>
      <c r="CF146" s="44" t="str">
        <f t="shared" si="248"/>
        <v/>
      </c>
      <c r="CG146" s="44" t="str">
        <f t="shared" si="249"/>
        <v/>
      </c>
      <c r="CH146" s="44" t="str">
        <f t="shared" si="250"/>
        <v/>
      </c>
      <c r="CI146" s="44" t="str">
        <f t="shared" si="251"/>
        <v/>
      </c>
      <c r="CJ146" s="44" t="str">
        <f t="shared" si="252"/>
        <v/>
      </c>
      <c r="CK146" s="44" t="str">
        <f t="shared" si="253"/>
        <v/>
      </c>
      <c r="CL146" s="44" t="str">
        <f t="shared" si="254"/>
        <v/>
      </c>
      <c r="CM146" s="44" t="str">
        <f t="shared" si="255"/>
        <v/>
      </c>
      <c r="CN146" s="44" t="str">
        <f t="shared" si="256"/>
        <v/>
      </c>
      <c r="CO146" s="44" t="str">
        <f t="shared" si="257"/>
        <v/>
      </c>
      <c r="CP146" s="44" t="str">
        <f t="shared" si="258"/>
        <v/>
      </c>
      <c r="CQ146" s="44" t="str">
        <f t="shared" si="259"/>
        <v/>
      </c>
      <c r="CR146" s="44" t="str">
        <f t="shared" si="260"/>
        <v/>
      </c>
      <c r="CS146" s="44" t="str">
        <f t="shared" si="261"/>
        <v/>
      </c>
      <c r="CT146" s="44" t="str">
        <f t="shared" si="262"/>
        <v/>
      </c>
      <c r="CV146" s="44">
        <f t="shared" si="263"/>
        <v>0</v>
      </c>
    </row>
    <row r="147" spans="1:100" x14ac:dyDescent="0.25">
      <c r="A147" s="41"/>
      <c r="B147" s="42"/>
      <c r="C147" s="43" t="str" cm="1">
        <f t="array" ref="C147">IF(B147="","",INDEX(UWS!$B$10:$B$41,B147))</f>
        <v/>
      </c>
      <c r="D147" s="40" t="str">
        <f t="shared" si="220"/>
        <v/>
      </c>
      <c r="E147" s="69" t="str">
        <f t="shared" si="221"/>
        <v/>
      </c>
      <c r="F147" s="48" cm="1">
        <f t="array" ref="F147">0.1+IFERROR(INDEX($F$5:$F146,SUMPRODUCT(MAX(ROW($C$5:$C146)*($C147=$C$5:$C146))-ROW($A$4)))*0.9^($A147-INDEX($A$5:A146,SUMPRODUCT(MAX(ROW($C$5:$C146)*($C147=$C$5:$C146))-ROW($A$4)))),0)</f>
        <v>8.1999999999999869</v>
      </c>
      <c r="G147" s="55" t="e">
        <f>INDEX(UWS!$AB$10:$AB$41,MATCH(C147,UWS!$B$10:$B$41,0))</f>
        <v>#N/A</v>
      </c>
      <c r="H147" s="48" t="e">
        <f>INDEX(UWS!$C$10:$C$41,MATCH(C147,UWS!$B$10:$B$41,0))</f>
        <v>#N/A</v>
      </c>
      <c r="I147" s="27">
        <f t="shared" si="222"/>
        <v>5</v>
      </c>
      <c r="J147" s="27" t="e">
        <f>INDEX(UWS!$E$10:$E$41,MATCH(C147,UWS!$B$10:$B$41,0))</f>
        <v>#N/A</v>
      </c>
      <c r="L147" s="108" t="str" cm="1">
        <f t="array" ref="L147">IF(K147="","",INDEX(UWS!$B$10:$B$41,K147))</f>
        <v/>
      </c>
      <c r="N147" s="108" t="str" cm="1">
        <f t="array" ref="N147">IF(M147="","",INDEX(UWS!$B$10:$B$41,M147))</f>
        <v/>
      </c>
      <c r="P147">
        <f>IFERROR(INDEX(UWS!$G$10:$Z$41,MATCH($C147,UWS!$B$10:$B$41,0),MATCH(P$4,UWS!$G$3:$Z$3,0)),0)</f>
        <v>0</v>
      </c>
      <c r="Q147">
        <f>IFERROR(INDEX(UWS!$G$10:$Z$41,MATCH($C147,UWS!$B$10:$B$41,0),MATCH(Q$4,UWS!$G$3:$Z$3,0)),0)</f>
        <v>0</v>
      </c>
      <c r="R147">
        <f>IFERROR(INDEX(UWS!$G$10:$Z$41,MATCH($C147,UWS!$B$10:$B$41,0),MATCH(R$4,UWS!$G$3:$Z$3,0)),0)</f>
        <v>0</v>
      </c>
      <c r="S147">
        <f>IFERROR(INDEX(UWS!$G$10:$Z$41,MATCH($C147,UWS!$B$10:$B$41,0),MATCH(S$4,UWS!$G$3:$Z$3,0)),0)</f>
        <v>0</v>
      </c>
      <c r="T147">
        <f>IFERROR(INDEX(UWS!$G$10:$Z$41,MATCH($C147,UWS!$B$10:$B$41,0),MATCH(T$4,UWS!$G$3:$Z$3,0)),0)</f>
        <v>0</v>
      </c>
      <c r="U147">
        <f>IFERROR(INDEX(UWS!$G$10:$Z$41,MATCH($C147,UWS!$B$10:$B$41,0),MATCH(U$4,UWS!$G$3:$Z$3,0)),0)</f>
        <v>0</v>
      </c>
      <c r="V147">
        <f>IFERROR(INDEX(UWS!$G$10:$Z$41,MATCH($C147,UWS!$B$10:$B$41,0),MATCH(V$4,UWS!$G$3:$Z$3,0)),0)</f>
        <v>0</v>
      </c>
      <c r="W147">
        <f>IFERROR(INDEX(UWS!$G$10:$Z$41,MATCH($C147,UWS!$B$10:$B$41,0),MATCH(W$4,UWS!$G$3:$Z$3,0)),0)</f>
        <v>0</v>
      </c>
      <c r="X147">
        <f>IFERROR(INDEX(UWS!$G$10:$Z$41,MATCH($C147,UWS!$B$10:$B$41,0),MATCH(X$4,UWS!$G$3:$Z$3,0)),0)</f>
        <v>0</v>
      </c>
      <c r="Y147">
        <f>IFERROR(INDEX(UWS!$G$10:$Z$41,MATCH($C147,UWS!$B$10:$B$41,0),MATCH(Y$4,UWS!$G$3:$Z$3,0)),0)</f>
        <v>0</v>
      </c>
      <c r="Z147">
        <f>IFERROR(INDEX(UWS!$G$10:$Z$41,MATCH($C147,UWS!$B$10:$B$41,0),MATCH(Z$4,UWS!$G$3:$Z$3,0)),0)</f>
        <v>0</v>
      </c>
      <c r="AA147">
        <f>IFERROR(INDEX(UWS!$G$10:$Z$41,MATCH($C147,UWS!$B$10:$B$41,0),MATCH(AA$4,UWS!$G$3:$Z$3,0)),0)</f>
        <v>0</v>
      </c>
      <c r="AB147">
        <f>IFERROR(INDEX(UWS!$G$10:$Z$41,MATCH($C147,UWS!$B$10:$B$41,0),MATCH(AB$4,UWS!$G$3:$Z$3,0)),0)</f>
        <v>0</v>
      </c>
      <c r="AC147">
        <f>IFERROR(INDEX(UWS!$G$10:$Z$41,MATCH($C147,UWS!$B$10:$B$41,0),MATCH(AC$4,UWS!$G$3:$Z$3,0)),0)</f>
        <v>0</v>
      </c>
      <c r="AD147">
        <f>IFERROR(INDEX(UWS!$G$10:$Z$41,MATCH($C147,UWS!$B$10:$B$41,0),MATCH(AD$4,UWS!$G$3:$Z$3,0)),0)</f>
        <v>0</v>
      </c>
      <c r="AE147">
        <f>IFERROR(INDEX(UWS!$G$10:$Z$41,MATCH($C147,UWS!$B$10:$B$41,0),MATCH(AE$4,UWS!$G$3:$Z$3,0)),0)</f>
        <v>0</v>
      </c>
      <c r="AF147">
        <f>IFERROR(INDEX(UWS!$G$10:$Z$41,MATCH($C147,UWS!$B$10:$B$41,0),MATCH(AF$4,UWS!$G$3:$Z$3,0)),0)</f>
        <v>0</v>
      </c>
      <c r="AG147">
        <f>IFERROR(INDEX(UWS!$G$10:$Z$41,MATCH($C147,UWS!$B$10:$B$41,0),MATCH(AG$4,UWS!$G$3:$Z$3,0)),0)</f>
        <v>0</v>
      </c>
      <c r="AH147">
        <f>IFERROR(INDEX(UWS!$G$10:$Z$41,MATCH($C147,UWS!$B$10:$B$41,0),MATCH(AH$4,UWS!$G$3:$Z$3,0)),0)</f>
        <v>0</v>
      </c>
      <c r="AI147">
        <f>IFERROR(INDEX(UWS!$G$10:$Z$41,MATCH($C147,UWS!$B$10:$B$41,0),MATCH(AI$4,UWS!$G$3:$Z$3,0)),0)</f>
        <v>0</v>
      </c>
      <c r="AK147" t="e">
        <f>IF(OR($J147=0,COUNTIFS($A$4:$A146,"&gt;="&amp;$A147-1,$A$4:$A146,"&lt;="&amp;$A147,$B$4:$B146,$B147)&gt;0,MIN(AK$1,IF($A147=$A146,AK146,1))-P147&lt;0),-1,MIN(1,IF($A147=$A146,AK146,1)-P147+$D$3))</f>
        <v>#N/A</v>
      </c>
      <c r="AL147" t="e">
        <f>IF(OR($J147=0,COUNTIFS($A$4:$A146,"&gt;="&amp;$A147-1,$A$4:$A146,"&lt;="&amp;$A147,$B$4:$B146,$B147)&gt;0,MIN(AL$1,IF($A147=$A146,AL146,1))-Q147&lt;0),-1,MIN(1,IF($A147=$A146,AL146,1)-Q147+$D$3))</f>
        <v>#N/A</v>
      </c>
      <c r="AM147" t="e">
        <f>IF(OR($J147=0,COUNTIFS($A$4:$A146,"&gt;="&amp;$A147-1,$A$4:$A146,"&lt;="&amp;$A147,$B$4:$B146,$B147)&gt;0,MIN(AM$1,IF($A147=$A146,AM146,1))-R147&lt;0),-1,MIN(1,IF($A147=$A146,AM146,1)-R147+$D$3))</f>
        <v>#N/A</v>
      </c>
      <c r="AN147" t="e">
        <f>IF(OR($J147=0,COUNTIFS($A$4:$A146,"&gt;="&amp;$A147-1,$A$4:$A146,"&lt;="&amp;$A147,$B$4:$B146,$B147)&gt;0,MIN(AN$1,IF($A147=$A146,AN146,1))-S147&lt;0),-1,MIN(1,IF($A147=$A146,AN146,1)-S147+$D$3))</f>
        <v>#N/A</v>
      </c>
      <c r="AO147" t="e">
        <f>IF(OR($J147=0,COUNTIFS($A$4:$A146,"&gt;="&amp;$A147-1,$A$4:$A146,"&lt;="&amp;$A147,$B$4:$B146,$B147)&gt;0,MIN(AO$1,IF($A147=$A146,AO146,1))-T147&lt;0),-1,MIN(1,IF($A147=$A146,AO146,1)-T147+$D$3))</f>
        <v>#N/A</v>
      </c>
      <c r="AP147" t="e">
        <f>IF(OR($J147=0,COUNTIFS($A$4:$A146,"&gt;="&amp;$A147-1,$A$4:$A146,"&lt;="&amp;$A147,$B$4:$B146,$B147)&gt;0,MIN(AP$1,IF($A147=$A146,AP146,1))-U147&lt;0),-1,MIN(1,IF($A147=$A146,AP146,1)-U147+$D$3))</f>
        <v>#N/A</v>
      </c>
      <c r="AQ147" t="e">
        <f>IF(OR($J147=0,COUNTIFS($A$4:$A146,"&gt;="&amp;$A147-1,$A$4:$A146,"&lt;="&amp;$A147,$B$4:$B146,$B147)&gt;0,MIN(AQ$1,IF($A147=$A146,AQ146,1))-V147&lt;0),-1,MIN(1,IF($A147=$A146,AQ146,1)-V147+$D$3))</f>
        <v>#N/A</v>
      </c>
      <c r="AR147" t="e">
        <f>IF(OR($J147=0,COUNTIFS($A$4:$A146,"&gt;="&amp;$A147-1,$A$4:$A146,"&lt;="&amp;$A147,$B$4:$B146,$B147)&gt;0,MIN(AR$1,IF($A147=$A146,AR146,1))-W147&lt;0),-1,MIN(1,IF($A147=$A146,AR146,1)-W147+$D$3))</f>
        <v>#N/A</v>
      </c>
      <c r="AS147" t="e">
        <f>IF(OR($J147=0,COUNTIFS($A$4:$A146,"&gt;="&amp;$A147-1,$A$4:$A146,"&lt;="&amp;$A147,$B$4:$B146,$B147)&gt;0,MIN(AS$1,IF($A147=$A146,AS146,1))-X147&lt;0),-1,MIN(1,IF($A147=$A146,AS146,1)-X147+$D$3))</f>
        <v>#N/A</v>
      </c>
      <c r="AT147" t="e">
        <f>IF(OR($J147=0,COUNTIFS($A$4:$A146,"&gt;="&amp;$A147-1,$A$4:$A146,"&lt;="&amp;$A147,$B$4:$B146,$B147)&gt;0,MIN(AT$1,IF($A147=$A146,AT146,1))-Y147&lt;0),-1,MIN(1,IF($A147=$A146,AT146,1)-Y147+$D$3))</f>
        <v>#N/A</v>
      </c>
      <c r="AU147" t="e">
        <f>IF(OR($J147=0,COUNTIFS($A$4:$A146,"&gt;="&amp;$A147-1,$A$4:$A146,"&lt;="&amp;$A147,$B$4:$B146,$B147)&gt;0,MIN(AU$1,IF($A147=$A146,AU146,1))-Z147&lt;0),-1,MIN(1,IF($A147=$A146,AU146,1)-Z147+$D$3))</f>
        <v>#N/A</v>
      </c>
      <c r="AV147" t="e">
        <f>IF(OR($J147=0,COUNTIFS($A$4:$A146,"&gt;="&amp;$A147-1,$A$4:$A146,"&lt;="&amp;$A147,$B$4:$B146,$B147)&gt;0,MIN(AV$1,IF($A147=$A146,AV146,1))-AA147&lt;0),-1,MIN(1,IF($A147=$A146,AV146,1)-AA147+$D$3))</f>
        <v>#N/A</v>
      </c>
      <c r="AW147" t="e">
        <f>IF(OR($J147=0,COUNTIFS($A$4:$A146,"&gt;="&amp;$A147-1,$A$4:$A146,"&lt;="&amp;$A147,$B$4:$B146,$B147)&gt;0,MIN(AW$1,IF($A147=$A146,AW146,1))-AB147&lt;0),-1,MIN(1,IF($A147=$A146,AW146,1)-AB147+$D$3))</f>
        <v>#N/A</v>
      </c>
      <c r="AX147" t="e">
        <f>IF(OR($J147=0,COUNTIFS($A$4:$A146,"&gt;="&amp;$A147-1,$A$4:$A146,"&lt;="&amp;$A147,$B$4:$B146,$B147)&gt;0,MIN(AX$1,IF($A147=$A146,AX146,1))-AC147&lt;0),-1,MIN(1,IF($A147=$A146,AX146,1)-AC147+$D$3))</f>
        <v>#N/A</v>
      </c>
      <c r="AY147" t="e">
        <f>IF(OR($J147=0,COUNTIFS($A$4:$A146,"&gt;="&amp;$A147-1,$A$4:$A146,"&lt;="&amp;$A147,$B$4:$B146,$B147)&gt;0,MIN(AY$1,IF($A147=$A146,AY146,1))-AD147&lt;0),-1,MIN(1,IF($A147=$A146,AY146,1)-AD147+$D$3))</f>
        <v>#N/A</v>
      </c>
      <c r="AZ147" t="e">
        <f>IF(OR($J147=0,COUNTIFS($A$4:$A146,"&gt;="&amp;$A147-1,$A$4:$A146,"&lt;="&amp;$A147,$B$4:$B146,$B147)&gt;0,MIN(AZ$1,IF($A147=$A146,AZ146,1))-AE147&lt;0),-1,MIN(1,IF($A147=$A146,AZ146,1)-AE147+$D$3))</f>
        <v>#N/A</v>
      </c>
      <c r="BA147" t="e">
        <f>IF(OR($J147=0,COUNTIFS($A$4:$A146,"&gt;="&amp;$A147-1,$A$4:$A146,"&lt;="&amp;$A147,$B$4:$B146,$B147)&gt;0,MIN(BA$1,IF($A147=$A146,BA146,1))-AF147&lt;0),-1,MIN(1,IF($A147=$A146,BA146,1)-AF147+$D$3))</f>
        <v>#N/A</v>
      </c>
      <c r="BB147" t="e">
        <f>IF(OR($J147=0,COUNTIFS($A$4:$A146,"&gt;="&amp;$A147-1,$A$4:$A146,"&lt;="&amp;$A147,$B$4:$B146,$B147)&gt;0,MIN(BB$1,IF($A147=$A146,BB146,1))-AG147&lt;0),-1,MIN(1,IF($A147=$A146,BB146,1)-AG147+$D$3))</f>
        <v>#N/A</v>
      </c>
      <c r="BC147" t="e">
        <f>IF(OR($J147=0,COUNTIFS($A$4:$A146,"&gt;="&amp;$A147-1,$A$4:$A146,"&lt;="&amp;$A147,$B$4:$B146,$B147)&gt;0,MIN(BC$1,IF($A147=$A146,BC146,1))-AH147&lt;0),-1,MIN(1,IF($A147=$A146,BC146,1)-AH147+$D$3))</f>
        <v>#N/A</v>
      </c>
      <c r="BD147" t="e">
        <f>IF(OR($J147=0,COUNTIFS($A$4:$A146,"&gt;="&amp;$A147-1,$A$4:$A146,"&lt;="&amp;$A147,$B$4:$B146,$B147)&gt;0,MIN(BD$1,IF($A147=$A146,BD146,1))-AI147&lt;0),-1,MIN(1,IF($A147=$A146,BD146,1)-AI147+$D$3))</f>
        <v>#N/A</v>
      </c>
      <c r="BF147" s="44">
        <f t="shared" si="223"/>
        <v>1.3828703022644091E-3</v>
      </c>
      <c r="BG147" s="44">
        <f t="shared" si="224"/>
        <v>3.4008682933544211E-3</v>
      </c>
      <c r="BH147" s="44">
        <f t="shared" si="225"/>
        <v>3.4855322643789874E-3</v>
      </c>
      <c r="BI147" s="44">
        <f t="shared" si="226"/>
        <v>3.2196640951034049E-3</v>
      </c>
      <c r="BJ147" s="44">
        <f t="shared" si="227"/>
        <v>3.3278285041904616E-3</v>
      </c>
      <c r="BK147" s="44">
        <f t="shared" si="228"/>
        <v>1.4290936375841259E-3</v>
      </c>
      <c r="BL147" s="44">
        <f t="shared" si="229"/>
        <v>7.7201886608753185E-4</v>
      </c>
      <c r="BM147" s="44">
        <f t="shared" si="230"/>
        <v>1.9639258427959906E-3</v>
      </c>
      <c r="BN147" s="44">
        <f t="shared" si="231"/>
        <v>2.0426359358168894E-3</v>
      </c>
      <c r="BO147" s="44">
        <f t="shared" si="232"/>
        <v>9.5725670866132978E-4</v>
      </c>
      <c r="BP147" s="44">
        <f t="shared" si="233"/>
        <v>3.2187543550043119E-3</v>
      </c>
      <c r="BQ147" s="44">
        <f t="shared" si="234"/>
        <v>8.6860855908340749E-4</v>
      </c>
      <c r="BR147" s="44">
        <f t="shared" si="235"/>
        <v>2.5660871189938394E-3</v>
      </c>
      <c r="BS147" s="44">
        <f t="shared" si="236"/>
        <v>1.3839248355415714E-3</v>
      </c>
      <c r="BT147" s="44">
        <f t="shared" si="237"/>
        <v>5.4766148529980388E-3</v>
      </c>
      <c r="BU147" s="44">
        <f t="shared" si="238"/>
        <v>5.2318151610079655E-3</v>
      </c>
      <c r="BV147" s="44">
        <f t="shared" si="239"/>
        <v>5.024462189825718E-3</v>
      </c>
      <c r="BW147" s="44">
        <f t="shared" si="240"/>
        <v>3.2862747703966359E-3</v>
      </c>
      <c r="BX147" s="44">
        <f t="shared" si="241"/>
        <v>2.4278401240763383E-3</v>
      </c>
      <c r="BY147" s="44">
        <f t="shared" si="242"/>
        <v>2.0845797950565575E-3</v>
      </c>
      <c r="CA147" s="44" t="str">
        <f t="shared" si="243"/>
        <v/>
      </c>
      <c r="CB147" s="44" t="str">
        <f t="shared" si="244"/>
        <v/>
      </c>
      <c r="CC147" s="44" t="str">
        <f t="shared" si="245"/>
        <v/>
      </c>
      <c r="CD147" s="44" t="str">
        <f t="shared" si="246"/>
        <v/>
      </c>
      <c r="CE147" s="44" t="str">
        <f t="shared" si="247"/>
        <v/>
      </c>
      <c r="CF147" s="44" t="str">
        <f t="shared" si="248"/>
        <v/>
      </c>
      <c r="CG147" s="44" t="str">
        <f t="shared" si="249"/>
        <v/>
      </c>
      <c r="CH147" s="44" t="str">
        <f t="shared" si="250"/>
        <v/>
      </c>
      <c r="CI147" s="44" t="str">
        <f t="shared" si="251"/>
        <v/>
      </c>
      <c r="CJ147" s="44" t="str">
        <f t="shared" si="252"/>
        <v/>
      </c>
      <c r="CK147" s="44" t="str">
        <f t="shared" si="253"/>
        <v/>
      </c>
      <c r="CL147" s="44" t="str">
        <f t="shared" si="254"/>
        <v/>
      </c>
      <c r="CM147" s="44" t="str">
        <f t="shared" si="255"/>
        <v/>
      </c>
      <c r="CN147" s="44" t="str">
        <f t="shared" si="256"/>
        <v/>
      </c>
      <c r="CO147" s="44" t="str">
        <f t="shared" si="257"/>
        <v/>
      </c>
      <c r="CP147" s="44" t="str">
        <f t="shared" si="258"/>
        <v/>
      </c>
      <c r="CQ147" s="44" t="str">
        <f t="shared" si="259"/>
        <v/>
      </c>
      <c r="CR147" s="44" t="str">
        <f t="shared" si="260"/>
        <v/>
      </c>
      <c r="CS147" s="44" t="str">
        <f t="shared" si="261"/>
        <v/>
      </c>
      <c r="CT147" s="44" t="str">
        <f t="shared" si="262"/>
        <v/>
      </c>
      <c r="CV147" s="44">
        <f t="shared" si="263"/>
        <v>0</v>
      </c>
    </row>
    <row r="148" spans="1:100" x14ac:dyDescent="0.25">
      <c r="A148" s="41"/>
      <c r="B148" s="42"/>
      <c r="C148" s="43" t="str" cm="1">
        <f t="array" ref="C148">IF(B148="","",INDEX(UWS!$B$10:$B$41,B148))</f>
        <v/>
      </c>
      <c r="D148" s="40" t="str">
        <f t="shared" si="220"/>
        <v/>
      </c>
      <c r="E148" s="69" t="str">
        <f t="shared" si="221"/>
        <v/>
      </c>
      <c r="F148" s="48" cm="1">
        <f t="array" ref="F148">0.1+IFERROR(INDEX($F$5:$F147,SUMPRODUCT(MAX(ROW($C$5:$C147)*($C148=$C$5:$C147))-ROW($A$4)))*0.9^($A148-INDEX($A$5:A147,SUMPRODUCT(MAX(ROW($C$5:$C147)*($C148=$C$5:$C147))-ROW($A$4)))),0)</f>
        <v>8.2999999999999865</v>
      </c>
      <c r="G148" s="55" t="e">
        <f>INDEX(UWS!$AB$10:$AB$41,MATCH(C148,UWS!$B$10:$B$41,0))</f>
        <v>#N/A</v>
      </c>
      <c r="H148" s="48" t="e">
        <f>INDEX(UWS!$C$10:$C$41,MATCH(C148,UWS!$B$10:$B$41,0))</f>
        <v>#N/A</v>
      </c>
      <c r="I148" s="27">
        <f t="shared" si="222"/>
        <v>5</v>
      </c>
      <c r="J148" s="27" t="e">
        <f>INDEX(UWS!$E$10:$E$41,MATCH(C148,UWS!$B$10:$B$41,0))</f>
        <v>#N/A</v>
      </c>
      <c r="L148" s="108" t="str" cm="1">
        <f t="array" ref="L148">IF(K148="","",INDEX(UWS!$B$10:$B$41,K148))</f>
        <v/>
      </c>
      <c r="N148" s="108" t="str" cm="1">
        <f t="array" ref="N148">IF(M148="","",INDEX(UWS!$B$10:$B$41,M148))</f>
        <v/>
      </c>
      <c r="P148">
        <f>IFERROR(INDEX(UWS!$G$10:$Z$41,MATCH($C148,UWS!$B$10:$B$41,0),MATCH(P$4,UWS!$G$3:$Z$3,0)),0)</f>
        <v>0</v>
      </c>
      <c r="Q148">
        <f>IFERROR(INDEX(UWS!$G$10:$Z$41,MATCH($C148,UWS!$B$10:$B$41,0),MATCH(Q$4,UWS!$G$3:$Z$3,0)),0)</f>
        <v>0</v>
      </c>
      <c r="R148">
        <f>IFERROR(INDEX(UWS!$G$10:$Z$41,MATCH($C148,UWS!$B$10:$B$41,0),MATCH(R$4,UWS!$G$3:$Z$3,0)),0)</f>
        <v>0</v>
      </c>
      <c r="S148">
        <f>IFERROR(INDEX(UWS!$G$10:$Z$41,MATCH($C148,UWS!$B$10:$B$41,0),MATCH(S$4,UWS!$G$3:$Z$3,0)),0)</f>
        <v>0</v>
      </c>
      <c r="T148">
        <f>IFERROR(INDEX(UWS!$G$10:$Z$41,MATCH($C148,UWS!$B$10:$B$41,0),MATCH(T$4,UWS!$G$3:$Z$3,0)),0)</f>
        <v>0</v>
      </c>
      <c r="U148">
        <f>IFERROR(INDEX(UWS!$G$10:$Z$41,MATCH($C148,UWS!$B$10:$B$41,0),MATCH(U$4,UWS!$G$3:$Z$3,0)),0)</f>
        <v>0</v>
      </c>
      <c r="V148">
        <f>IFERROR(INDEX(UWS!$G$10:$Z$41,MATCH($C148,UWS!$B$10:$B$41,0),MATCH(V$4,UWS!$G$3:$Z$3,0)),0)</f>
        <v>0</v>
      </c>
      <c r="W148">
        <f>IFERROR(INDEX(UWS!$G$10:$Z$41,MATCH($C148,UWS!$B$10:$B$41,0),MATCH(W$4,UWS!$G$3:$Z$3,0)),0)</f>
        <v>0</v>
      </c>
      <c r="X148">
        <f>IFERROR(INDEX(UWS!$G$10:$Z$41,MATCH($C148,UWS!$B$10:$B$41,0),MATCH(X$4,UWS!$G$3:$Z$3,0)),0)</f>
        <v>0</v>
      </c>
      <c r="Y148">
        <f>IFERROR(INDEX(UWS!$G$10:$Z$41,MATCH($C148,UWS!$B$10:$B$41,0),MATCH(Y$4,UWS!$G$3:$Z$3,0)),0)</f>
        <v>0</v>
      </c>
      <c r="Z148">
        <f>IFERROR(INDEX(UWS!$G$10:$Z$41,MATCH($C148,UWS!$B$10:$B$41,0),MATCH(Z$4,UWS!$G$3:$Z$3,0)),0)</f>
        <v>0</v>
      </c>
      <c r="AA148">
        <f>IFERROR(INDEX(UWS!$G$10:$Z$41,MATCH($C148,UWS!$B$10:$B$41,0),MATCH(AA$4,UWS!$G$3:$Z$3,0)),0)</f>
        <v>0</v>
      </c>
      <c r="AB148">
        <f>IFERROR(INDEX(UWS!$G$10:$Z$41,MATCH($C148,UWS!$B$10:$B$41,0),MATCH(AB$4,UWS!$G$3:$Z$3,0)),0)</f>
        <v>0</v>
      </c>
      <c r="AC148">
        <f>IFERROR(INDEX(UWS!$G$10:$Z$41,MATCH($C148,UWS!$B$10:$B$41,0),MATCH(AC$4,UWS!$G$3:$Z$3,0)),0)</f>
        <v>0</v>
      </c>
      <c r="AD148">
        <f>IFERROR(INDEX(UWS!$G$10:$Z$41,MATCH($C148,UWS!$B$10:$B$41,0),MATCH(AD$4,UWS!$G$3:$Z$3,0)),0)</f>
        <v>0</v>
      </c>
      <c r="AE148">
        <f>IFERROR(INDEX(UWS!$G$10:$Z$41,MATCH($C148,UWS!$B$10:$B$41,0),MATCH(AE$4,UWS!$G$3:$Z$3,0)),0)</f>
        <v>0</v>
      </c>
      <c r="AF148">
        <f>IFERROR(INDEX(UWS!$G$10:$Z$41,MATCH($C148,UWS!$B$10:$B$41,0),MATCH(AF$4,UWS!$G$3:$Z$3,0)),0)</f>
        <v>0</v>
      </c>
      <c r="AG148">
        <f>IFERROR(INDEX(UWS!$G$10:$Z$41,MATCH($C148,UWS!$B$10:$B$41,0),MATCH(AG$4,UWS!$G$3:$Z$3,0)),0)</f>
        <v>0</v>
      </c>
      <c r="AH148">
        <f>IFERROR(INDEX(UWS!$G$10:$Z$41,MATCH($C148,UWS!$B$10:$B$41,0),MATCH(AH$4,UWS!$G$3:$Z$3,0)),0)</f>
        <v>0</v>
      </c>
      <c r="AI148">
        <f>IFERROR(INDEX(UWS!$G$10:$Z$41,MATCH($C148,UWS!$B$10:$B$41,0),MATCH(AI$4,UWS!$G$3:$Z$3,0)),0)</f>
        <v>0</v>
      </c>
      <c r="AK148" t="e">
        <f>IF(OR($J148=0,COUNTIFS($A$4:$A147,"&gt;="&amp;$A148-1,$A$4:$A147,"&lt;="&amp;$A148,$B$4:$B147,$B148)&gt;0,MIN(AK$1,IF($A148=$A147,AK147,1))-P148&lt;0),-1,MIN(1,IF($A148=$A147,AK147,1)-P148+$D$3))</f>
        <v>#N/A</v>
      </c>
      <c r="AL148" t="e">
        <f>IF(OR($J148=0,COUNTIFS($A$4:$A147,"&gt;="&amp;$A148-1,$A$4:$A147,"&lt;="&amp;$A148,$B$4:$B147,$B148)&gt;0,MIN(AL$1,IF($A148=$A147,AL147,1))-Q148&lt;0),-1,MIN(1,IF($A148=$A147,AL147,1)-Q148+$D$3))</f>
        <v>#N/A</v>
      </c>
      <c r="AM148" t="e">
        <f>IF(OR($J148=0,COUNTIFS($A$4:$A147,"&gt;="&amp;$A148-1,$A$4:$A147,"&lt;="&amp;$A148,$B$4:$B147,$B148)&gt;0,MIN(AM$1,IF($A148=$A147,AM147,1))-R148&lt;0),-1,MIN(1,IF($A148=$A147,AM147,1)-R148+$D$3))</f>
        <v>#N/A</v>
      </c>
      <c r="AN148" t="e">
        <f>IF(OR($J148=0,COUNTIFS($A$4:$A147,"&gt;="&amp;$A148-1,$A$4:$A147,"&lt;="&amp;$A148,$B$4:$B147,$B148)&gt;0,MIN(AN$1,IF($A148=$A147,AN147,1))-S148&lt;0),-1,MIN(1,IF($A148=$A147,AN147,1)-S148+$D$3))</f>
        <v>#N/A</v>
      </c>
      <c r="AO148" t="e">
        <f>IF(OR($J148=0,COUNTIFS($A$4:$A147,"&gt;="&amp;$A148-1,$A$4:$A147,"&lt;="&amp;$A148,$B$4:$B147,$B148)&gt;0,MIN(AO$1,IF($A148=$A147,AO147,1))-T148&lt;0),-1,MIN(1,IF($A148=$A147,AO147,1)-T148+$D$3))</f>
        <v>#N/A</v>
      </c>
      <c r="AP148" t="e">
        <f>IF(OR($J148=0,COUNTIFS($A$4:$A147,"&gt;="&amp;$A148-1,$A$4:$A147,"&lt;="&amp;$A148,$B$4:$B147,$B148)&gt;0,MIN(AP$1,IF($A148=$A147,AP147,1))-U148&lt;0),-1,MIN(1,IF($A148=$A147,AP147,1)-U148+$D$3))</f>
        <v>#N/A</v>
      </c>
      <c r="AQ148" t="e">
        <f>IF(OR($J148=0,COUNTIFS($A$4:$A147,"&gt;="&amp;$A148-1,$A$4:$A147,"&lt;="&amp;$A148,$B$4:$B147,$B148)&gt;0,MIN(AQ$1,IF($A148=$A147,AQ147,1))-V148&lt;0),-1,MIN(1,IF($A148=$A147,AQ147,1)-V148+$D$3))</f>
        <v>#N/A</v>
      </c>
      <c r="AR148" t="e">
        <f>IF(OR($J148=0,COUNTIFS($A$4:$A147,"&gt;="&amp;$A148-1,$A$4:$A147,"&lt;="&amp;$A148,$B$4:$B147,$B148)&gt;0,MIN(AR$1,IF($A148=$A147,AR147,1))-W148&lt;0),-1,MIN(1,IF($A148=$A147,AR147,1)-W148+$D$3))</f>
        <v>#N/A</v>
      </c>
      <c r="AS148" t="e">
        <f>IF(OR($J148=0,COUNTIFS($A$4:$A147,"&gt;="&amp;$A148-1,$A$4:$A147,"&lt;="&amp;$A148,$B$4:$B147,$B148)&gt;0,MIN(AS$1,IF($A148=$A147,AS147,1))-X148&lt;0),-1,MIN(1,IF($A148=$A147,AS147,1)-X148+$D$3))</f>
        <v>#N/A</v>
      </c>
      <c r="AT148" t="e">
        <f>IF(OR($J148=0,COUNTIFS($A$4:$A147,"&gt;="&amp;$A148-1,$A$4:$A147,"&lt;="&amp;$A148,$B$4:$B147,$B148)&gt;0,MIN(AT$1,IF($A148=$A147,AT147,1))-Y148&lt;0),-1,MIN(1,IF($A148=$A147,AT147,1)-Y148+$D$3))</f>
        <v>#N/A</v>
      </c>
      <c r="AU148" t="e">
        <f>IF(OR($J148=0,COUNTIFS($A$4:$A147,"&gt;="&amp;$A148-1,$A$4:$A147,"&lt;="&amp;$A148,$B$4:$B147,$B148)&gt;0,MIN(AU$1,IF($A148=$A147,AU147,1))-Z148&lt;0),-1,MIN(1,IF($A148=$A147,AU147,1)-Z148+$D$3))</f>
        <v>#N/A</v>
      </c>
      <c r="AV148" t="e">
        <f>IF(OR($J148=0,COUNTIFS($A$4:$A147,"&gt;="&amp;$A148-1,$A$4:$A147,"&lt;="&amp;$A148,$B$4:$B147,$B148)&gt;0,MIN(AV$1,IF($A148=$A147,AV147,1))-AA148&lt;0),-1,MIN(1,IF($A148=$A147,AV147,1)-AA148+$D$3))</f>
        <v>#N/A</v>
      </c>
      <c r="AW148" t="e">
        <f>IF(OR($J148=0,COUNTIFS($A$4:$A147,"&gt;="&amp;$A148-1,$A$4:$A147,"&lt;="&amp;$A148,$B$4:$B147,$B148)&gt;0,MIN(AW$1,IF($A148=$A147,AW147,1))-AB148&lt;0),-1,MIN(1,IF($A148=$A147,AW147,1)-AB148+$D$3))</f>
        <v>#N/A</v>
      </c>
      <c r="AX148" t="e">
        <f>IF(OR($J148=0,COUNTIFS($A$4:$A147,"&gt;="&amp;$A148-1,$A$4:$A147,"&lt;="&amp;$A148,$B$4:$B147,$B148)&gt;0,MIN(AX$1,IF($A148=$A147,AX147,1))-AC148&lt;0),-1,MIN(1,IF($A148=$A147,AX147,1)-AC148+$D$3))</f>
        <v>#N/A</v>
      </c>
      <c r="AY148" t="e">
        <f>IF(OR($J148=0,COUNTIFS($A$4:$A147,"&gt;="&amp;$A148-1,$A$4:$A147,"&lt;="&amp;$A148,$B$4:$B147,$B148)&gt;0,MIN(AY$1,IF($A148=$A147,AY147,1))-AD148&lt;0),-1,MIN(1,IF($A148=$A147,AY147,1)-AD148+$D$3))</f>
        <v>#N/A</v>
      </c>
      <c r="AZ148" t="e">
        <f>IF(OR($J148=0,COUNTIFS($A$4:$A147,"&gt;="&amp;$A148-1,$A$4:$A147,"&lt;="&amp;$A148,$B$4:$B147,$B148)&gt;0,MIN(AZ$1,IF($A148=$A147,AZ147,1))-AE148&lt;0),-1,MIN(1,IF($A148=$A147,AZ147,1)-AE148+$D$3))</f>
        <v>#N/A</v>
      </c>
      <c r="BA148" t="e">
        <f>IF(OR($J148=0,COUNTIFS($A$4:$A147,"&gt;="&amp;$A148-1,$A$4:$A147,"&lt;="&amp;$A148,$B$4:$B147,$B148)&gt;0,MIN(BA$1,IF($A148=$A147,BA147,1))-AF148&lt;0),-1,MIN(1,IF($A148=$A147,BA147,1)-AF148+$D$3))</f>
        <v>#N/A</v>
      </c>
      <c r="BB148" t="e">
        <f>IF(OR($J148=0,COUNTIFS($A$4:$A147,"&gt;="&amp;$A148-1,$A$4:$A147,"&lt;="&amp;$A148,$B$4:$B147,$B148)&gt;0,MIN(BB$1,IF($A148=$A147,BB147,1))-AG148&lt;0),-1,MIN(1,IF($A148=$A147,BB147,1)-AG148+$D$3))</f>
        <v>#N/A</v>
      </c>
      <c r="BC148" t="e">
        <f>IF(OR($J148=0,COUNTIFS($A$4:$A147,"&gt;="&amp;$A148-1,$A$4:$A147,"&lt;="&amp;$A148,$B$4:$B147,$B148)&gt;0,MIN(BC$1,IF($A148=$A147,BC147,1))-AH148&lt;0),-1,MIN(1,IF($A148=$A147,BC147,1)-AH148+$D$3))</f>
        <v>#N/A</v>
      </c>
      <c r="BD148" t="e">
        <f>IF(OR($J148=0,COUNTIFS($A$4:$A147,"&gt;="&amp;$A148-1,$A$4:$A147,"&lt;="&amp;$A148,$B$4:$B147,$B148)&gt;0,MIN(BD$1,IF($A148=$A147,BD147,1))-AI148&lt;0),-1,MIN(1,IF($A148=$A147,BD147,1)-AI148+$D$3))</f>
        <v>#N/A</v>
      </c>
      <c r="BF148" s="44">
        <f t="shared" si="223"/>
        <v>1.3137267871511885E-3</v>
      </c>
      <c r="BG148" s="44">
        <f t="shared" si="224"/>
        <v>3.2308248786867E-3</v>
      </c>
      <c r="BH148" s="44">
        <f t="shared" si="225"/>
        <v>3.3112556511600377E-3</v>
      </c>
      <c r="BI148" s="44">
        <f t="shared" si="226"/>
        <v>3.0586808903482346E-3</v>
      </c>
      <c r="BJ148" s="44">
        <f t="shared" si="227"/>
        <v>3.1614370789809386E-3</v>
      </c>
      <c r="BK148" s="44">
        <f t="shared" si="228"/>
        <v>1.3576389557049195E-3</v>
      </c>
      <c r="BL148" s="44">
        <f t="shared" si="229"/>
        <v>7.3341792278315522E-4</v>
      </c>
      <c r="BM148" s="44">
        <f t="shared" si="230"/>
        <v>1.865729550656191E-3</v>
      </c>
      <c r="BN148" s="44">
        <f t="shared" si="231"/>
        <v>1.9405041390260448E-3</v>
      </c>
      <c r="BO148" s="44">
        <f t="shared" si="232"/>
        <v>9.0939387322826323E-4</v>
      </c>
      <c r="BP148" s="44">
        <f t="shared" si="233"/>
        <v>3.0578166372540959E-3</v>
      </c>
      <c r="BQ148" s="44">
        <f t="shared" si="234"/>
        <v>8.2517813112923711E-4</v>
      </c>
      <c r="BR148" s="44">
        <f t="shared" si="235"/>
        <v>2.4377827630441473E-3</v>
      </c>
      <c r="BS148" s="44">
        <f t="shared" si="236"/>
        <v>1.3147285937644927E-3</v>
      </c>
      <c r="BT148" s="44">
        <f t="shared" si="237"/>
        <v>5.2027841103481362E-3</v>
      </c>
      <c r="BU148" s="44">
        <f t="shared" si="238"/>
        <v>4.9702244029575671E-3</v>
      </c>
      <c r="BV148" s="44">
        <f t="shared" si="239"/>
        <v>4.7732390803344321E-3</v>
      </c>
      <c r="BW148" s="44">
        <f t="shared" si="240"/>
        <v>3.1219610318768041E-3</v>
      </c>
      <c r="BX148" s="44">
        <f t="shared" si="241"/>
        <v>2.3064481178725212E-3</v>
      </c>
      <c r="BY148" s="44">
        <f t="shared" si="242"/>
        <v>1.9803508053037296E-3</v>
      </c>
      <c r="CA148" s="44" t="str">
        <f t="shared" si="243"/>
        <v/>
      </c>
      <c r="CB148" s="44" t="str">
        <f t="shared" si="244"/>
        <v/>
      </c>
      <c r="CC148" s="44" t="str">
        <f t="shared" si="245"/>
        <v/>
      </c>
      <c r="CD148" s="44" t="str">
        <f t="shared" si="246"/>
        <v/>
      </c>
      <c r="CE148" s="44" t="str">
        <f t="shared" si="247"/>
        <v/>
      </c>
      <c r="CF148" s="44" t="str">
        <f t="shared" si="248"/>
        <v/>
      </c>
      <c r="CG148" s="44" t="str">
        <f t="shared" si="249"/>
        <v/>
      </c>
      <c r="CH148" s="44" t="str">
        <f t="shared" si="250"/>
        <v/>
      </c>
      <c r="CI148" s="44" t="str">
        <f t="shared" si="251"/>
        <v/>
      </c>
      <c r="CJ148" s="44" t="str">
        <f t="shared" si="252"/>
        <v/>
      </c>
      <c r="CK148" s="44" t="str">
        <f t="shared" si="253"/>
        <v/>
      </c>
      <c r="CL148" s="44" t="str">
        <f t="shared" si="254"/>
        <v/>
      </c>
      <c r="CM148" s="44" t="str">
        <f t="shared" si="255"/>
        <v/>
      </c>
      <c r="CN148" s="44" t="str">
        <f t="shared" si="256"/>
        <v/>
      </c>
      <c r="CO148" s="44" t="str">
        <f t="shared" si="257"/>
        <v/>
      </c>
      <c r="CP148" s="44" t="str">
        <f t="shared" si="258"/>
        <v/>
      </c>
      <c r="CQ148" s="44" t="str">
        <f t="shared" si="259"/>
        <v/>
      </c>
      <c r="CR148" s="44" t="str">
        <f t="shared" si="260"/>
        <v/>
      </c>
      <c r="CS148" s="44" t="str">
        <f t="shared" si="261"/>
        <v/>
      </c>
      <c r="CT148" s="44" t="str">
        <f t="shared" si="262"/>
        <v/>
      </c>
      <c r="CV148" s="44">
        <f t="shared" si="263"/>
        <v>0</v>
      </c>
    </row>
    <row r="149" spans="1:100" x14ac:dyDescent="0.25">
      <c r="A149" s="41"/>
      <c r="B149" s="42"/>
      <c r="C149" s="43" t="str" cm="1">
        <f t="array" ref="C149">IF(B149="","",INDEX(UWS!$B$10:$B$41,B149))</f>
        <v/>
      </c>
      <c r="D149" s="40" t="str">
        <f t="shared" si="220"/>
        <v/>
      </c>
      <c r="E149" s="69" t="str">
        <f t="shared" si="221"/>
        <v/>
      </c>
      <c r="F149" s="48" cm="1">
        <f t="array" ref="F149">0.1+IFERROR(INDEX($F$5:$F148,SUMPRODUCT(MAX(ROW($C$5:$C148)*($C149=$C$5:$C148))-ROW($A$4)))*0.9^($A149-INDEX($A$5:A148,SUMPRODUCT(MAX(ROW($C$5:$C148)*($C149=$C$5:$C148))-ROW($A$4)))),0)</f>
        <v>8.3999999999999861</v>
      </c>
      <c r="G149" s="55" t="e">
        <f>INDEX(UWS!$AB$10:$AB$41,MATCH(C149,UWS!$B$10:$B$41,0))</f>
        <v>#N/A</v>
      </c>
      <c r="H149" s="48" t="e">
        <f>INDEX(UWS!$C$10:$C$41,MATCH(C149,UWS!$B$10:$B$41,0))</f>
        <v>#N/A</v>
      </c>
      <c r="I149" s="27">
        <f t="shared" si="222"/>
        <v>5</v>
      </c>
      <c r="J149" s="27" t="e">
        <f>INDEX(UWS!$E$10:$E$41,MATCH(C149,UWS!$B$10:$B$41,0))</f>
        <v>#N/A</v>
      </c>
      <c r="L149" s="108" t="str" cm="1">
        <f t="array" ref="L149">IF(K149="","",INDEX(UWS!$B$10:$B$41,K149))</f>
        <v/>
      </c>
      <c r="N149" s="108" t="str" cm="1">
        <f t="array" ref="N149">IF(M149="","",INDEX(UWS!$B$10:$B$41,M149))</f>
        <v/>
      </c>
      <c r="P149">
        <f>IFERROR(INDEX(UWS!$G$10:$Z$41,MATCH($C149,UWS!$B$10:$B$41,0),MATCH(P$4,UWS!$G$3:$Z$3,0)),0)</f>
        <v>0</v>
      </c>
      <c r="Q149">
        <f>IFERROR(INDEX(UWS!$G$10:$Z$41,MATCH($C149,UWS!$B$10:$B$41,0),MATCH(Q$4,UWS!$G$3:$Z$3,0)),0)</f>
        <v>0</v>
      </c>
      <c r="R149">
        <f>IFERROR(INDEX(UWS!$G$10:$Z$41,MATCH($C149,UWS!$B$10:$B$41,0),MATCH(R$4,UWS!$G$3:$Z$3,0)),0)</f>
        <v>0</v>
      </c>
      <c r="S149">
        <f>IFERROR(INDEX(UWS!$G$10:$Z$41,MATCH($C149,UWS!$B$10:$B$41,0),MATCH(S$4,UWS!$G$3:$Z$3,0)),0)</f>
        <v>0</v>
      </c>
      <c r="T149">
        <f>IFERROR(INDEX(UWS!$G$10:$Z$41,MATCH($C149,UWS!$B$10:$B$41,0),MATCH(T$4,UWS!$G$3:$Z$3,0)),0)</f>
        <v>0</v>
      </c>
      <c r="U149">
        <f>IFERROR(INDEX(UWS!$G$10:$Z$41,MATCH($C149,UWS!$B$10:$B$41,0),MATCH(U$4,UWS!$G$3:$Z$3,0)),0)</f>
        <v>0</v>
      </c>
      <c r="V149">
        <f>IFERROR(INDEX(UWS!$G$10:$Z$41,MATCH($C149,UWS!$B$10:$B$41,0),MATCH(V$4,UWS!$G$3:$Z$3,0)),0)</f>
        <v>0</v>
      </c>
      <c r="W149">
        <f>IFERROR(INDEX(UWS!$G$10:$Z$41,MATCH($C149,UWS!$B$10:$B$41,0),MATCH(W$4,UWS!$G$3:$Z$3,0)),0)</f>
        <v>0</v>
      </c>
      <c r="X149">
        <f>IFERROR(INDEX(UWS!$G$10:$Z$41,MATCH($C149,UWS!$B$10:$B$41,0),MATCH(X$4,UWS!$G$3:$Z$3,0)),0)</f>
        <v>0</v>
      </c>
      <c r="Y149">
        <f>IFERROR(INDEX(UWS!$G$10:$Z$41,MATCH($C149,UWS!$B$10:$B$41,0),MATCH(Y$4,UWS!$G$3:$Z$3,0)),0)</f>
        <v>0</v>
      </c>
      <c r="Z149">
        <f>IFERROR(INDEX(UWS!$G$10:$Z$41,MATCH($C149,UWS!$B$10:$B$41,0),MATCH(Z$4,UWS!$G$3:$Z$3,0)),0)</f>
        <v>0</v>
      </c>
      <c r="AA149">
        <f>IFERROR(INDEX(UWS!$G$10:$Z$41,MATCH($C149,UWS!$B$10:$B$41,0),MATCH(AA$4,UWS!$G$3:$Z$3,0)),0)</f>
        <v>0</v>
      </c>
      <c r="AB149">
        <f>IFERROR(INDEX(UWS!$G$10:$Z$41,MATCH($C149,UWS!$B$10:$B$41,0),MATCH(AB$4,UWS!$G$3:$Z$3,0)),0)</f>
        <v>0</v>
      </c>
      <c r="AC149">
        <f>IFERROR(INDEX(UWS!$G$10:$Z$41,MATCH($C149,UWS!$B$10:$B$41,0),MATCH(AC$4,UWS!$G$3:$Z$3,0)),0)</f>
        <v>0</v>
      </c>
      <c r="AD149">
        <f>IFERROR(INDEX(UWS!$G$10:$Z$41,MATCH($C149,UWS!$B$10:$B$41,0),MATCH(AD$4,UWS!$G$3:$Z$3,0)),0)</f>
        <v>0</v>
      </c>
      <c r="AE149">
        <f>IFERROR(INDEX(UWS!$G$10:$Z$41,MATCH($C149,UWS!$B$10:$B$41,0),MATCH(AE$4,UWS!$G$3:$Z$3,0)),0)</f>
        <v>0</v>
      </c>
      <c r="AF149">
        <f>IFERROR(INDEX(UWS!$G$10:$Z$41,MATCH($C149,UWS!$B$10:$B$41,0),MATCH(AF$4,UWS!$G$3:$Z$3,0)),0)</f>
        <v>0</v>
      </c>
      <c r="AG149">
        <f>IFERROR(INDEX(UWS!$G$10:$Z$41,MATCH($C149,UWS!$B$10:$B$41,0),MATCH(AG$4,UWS!$G$3:$Z$3,0)),0)</f>
        <v>0</v>
      </c>
      <c r="AH149">
        <f>IFERROR(INDEX(UWS!$G$10:$Z$41,MATCH($C149,UWS!$B$10:$B$41,0),MATCH(AH$4,UWS!$G$3:$Z$3,0)),0)</f>
        <v>0</v>
      </c>
      <c r="AI149">
        <f>IFERROR(INDEX(UWS!$G$10:$Z$41,MATCH($C149,UWS!$B$10:$B$41,0),MATCH(AI$4,UWS!$G$3:$Z$3,0)),0)</f>
        <v>0</v>
      </c>
      <c r="AK149" t="e">
        <f>IF(OR($J149=0,COUNTIFS($A$4:$A148,"&gt;="&amp;$A149-1,$A$4:$A148,"&lt;="&amp;$A149,$B$4:$B148,$B149)&gt;0,MIN(AK$1,IF($A149=$A148,AK148,1))-P149&lt;0),-1,MIN(1,IF($A149=$A148,AK148,1)-P149+$D$3))</f>
        <v>#N/A</v>
      </c>
      <c r="AL149" t="e">
        <f>IF(OR($J149=0,COUNTIFS($A$4:$A148,"&gt;="&amp;$A149-1,$A$4:$A148,"&lt;="&amp;$A149,$B$4:$B148,$B149)&gt;0,MIN(AL$1,IF($A149=$A148,AL148,1))-Q149&lt;0),-1,MIN(1,IF($A149=$A148,AL148,1)-Q149+$D$3))</f>
        <v>#N/A</v>
      </c>
      <c r="AM149" t="e">
        <f>IF(OR($J149=0,COUNTIFS($A$4:$A148,"&gt;="&amp;$A149-1,$A$4:$A148,"&lt;="&amp;$A149,$B$4:$B148,$B149)&gt;0,MIN(AM$1,IF($A149=$A148,AM148,1))-R149&lt;0),-1,MIN(1,IF($A149=$A148,AM148,1)-R149+$D$3))</f>
        <v>#N/A</v>
      </c>
      <c r="AN149" t="e">
        <f>IF(OR($J149=0,COUNTIFS($A$4:$A148,"&gt;="&amp;$A149-1,$A$4:$A148,"&lt;="&amp;$A149,$B$4:$B148,$B149)&gt;0,MIN(AN$1,IF($A149=$A148,AN148,1))-S149&lt;0),-1,MIN(1,IF($A149=$A148,AN148,1)-S149+$D$3))</f>
        <v>#N/A</v>
      </c>
      <c r="AO149" t="e">
        <f>IF(OR($J149=0,COUNTIFS($A$4:$A148,"&gt;="&amp;$A149-1,$A$4:$A148,"&lt;="&amp;$A149,$B$4:$B148,$B149)&gt;0,MIN(AO$1,IF($A149=$A148,AO148,1))-T149&lt;0),-1,MIN(1,IF($A149=$A148,AO148,1)-T149+$D$3))</f>
        <v>#N/A</v>
      </c>
      <c r="AP149" t="e">
        <f>IF(OR($J149=0,COUNTIFS($A$4:$A148,"&gt;="&amp;$A149-1,$A$4:$A148,"&lt;="&amp;$A149,$B$4:$B148,$B149)&gt;0,MIN(AP$1,IF($A149=$A148,AP148,1))-U149&lt;0),-1,MIN(1,IF($A149=$A148,AP148,1)-U149+$D$3))</f>
        <v>#N/A</v>
      </c>
      <c r="AQ149" t="e">
        <f>IF(OR($J149=0,COUNTIFS($A$4:$A148,"&gt;="&amp;$A149-1,$A$4:$A148,"&lt;="&amp;$A149,$B$4:$B148,$B149)&gt;0,MIN(AQ$1,IF($A149=$A148,AQ148,1))-V149&lt;0),-1,MIN(1,IF($A149=$A148,AQ148,1)-V149+$D$3))</f>
        <v>#N/A</v>
      </c>
      <c r="AR149" t="e">
        <f>IF(OR($J149=0,COUNTIFS($A$4:$A148,"&gt;="&amp;$A149-1,$A$4:$A148,"&lt;="&amp;$A149,$B$4:$B148,$B149)&gt;0,MIN(AR$1,IF($A149=$A148,AR148,1))-W149&lt;0),-1,MIN(1,IF($A149=$A148,AR148,1)-W149+$D$3))</f>
        <v>#N/A</v>
      </c>
      <c r="AS149" t="e">
        <f>IF(OR($J149=0,COUNTIFS($A$4:$A148,"&gt;="&amp;$A149-1,$A$4:$A148,"&lt;="&amp;$A149,$B$4:$B148,$B149)&gt;0,MIN(AS$1,IF($A149=$A148,AS148,1))-X149&lt;0),-1,MIN(1,IF($A149=$A148,AS148,1)-X149+$D$3))</f>
        <v>#N/A</v>
      </c>
      <c r="AT149" t="e">
        <f>IF(OR($J149=0,COUNTIFS($A$4:$A148,"&gt;="&amp;$A149-1,$A$4:$A148,"&lt;="&amp;$A149,$B$4:$B148,$B149)&gt;0,MIN(AT$1,IF($A149=$A148,AT148,1))-Y149&lt;0),-1,MIN(1,IF($A149=$A148,AT148,1)-Y149+$D$3))</f>
        <v>#N/A</v>
      </c>
      <c r="AU149" t="e">
        <f>IF(OR($J149=0,COUNTIFS($A$4:$A148,"&gt;="&amp;$A149-1,$A$4:$A148,"&lt;="&amp;$A149,$B$4:$B148,$B149)&gt;0,MIN(AU$1,IF($A149=$A148,AU148,1))-Z149&lt;0),-1,MIN(1,IF($A149=$A148,AU148,1)-Z149+$D$3))</f>
        <v>#N/A</v>
      </c>
      <c r="AV149" t="e">
        <f>IF(OR($J149=0,COUNTIFS($A$4:$A148,"&gt;="&amp;$A149-1,$A$4:$A148,"&lt;="&amp;$A149,$B$4:$B148,$B149)&gt;0,MIN(AV$1,IF($A149=$A148,AV148,1))-AA149&lt;0),-1,MIN(1,IF($A149=$A148,AV148,1)-AA149+$D$3))</f>
        <v>#N/A</v>
      </c>
      <c r="AW149" t="e">
        <f>IF(OR($J149=0,COUNTIFS($A$4:$A148,"&gt;="&amp;$A149-1,$A$4:$A148,"&lt;="&amp;$A149,$B$4:$B148,$B149)&gt;0,MIN(AW$1,IF($A149=$A148,AW148,1))-AB149&lt;0),-1,MIN(1,IF($A149=$A148,AW148,1)-AB149+$D$3))</f>
        <v>#N/A</v>
      </c>
      <c r="AX149" t="e">
        <f>IF(OR($J149=0,COUNTIFS($A$4:$A148,"&gt;="&amp;$A149-1,$A$4:$A148,"&lt;="&amp;$A149,$B$4:$B148,$B149)&gt;0,MIN(AX$1,IF($A149=$A148,AX148,1))-AC149&lt;0),-1,MIN(1,IF($A149=$A148,AX148,1)-AC149+$D$3))</f>
        <v>#N/A</v>
      </c>
      <c r="AY149" t="e">
        <f>IF(OR($J149=0,COUNTIFS($A$4:$A148,"&gt;="&amp;$A149-1,$A$4:$A148,"&lt;="&amp;$A149,$B$4:$B148,$B149)&gt;0,MIN(AY$1,IF($A149=$A148,AY148,1))-AD149&lt;0),-1,MIN(1,IF($A149=$A148,AY148,1)-AD149+$D$3))</f>
        <v>#N/A</v>
      </c>
      <c r="AZ149" t="e">
        <f>IF(OR($J149=0,COUNTIFS($A$4:$A148,"&gt;="&amp;$A149-1,$A$4:$A148,"&lt;="&amp;$A149,$B$4:$B148,$B149)&gt;0,MIN(AZ$1,IF($A149=$A148,AZ148,1))-AE149&lt;0),-1,MIN(1,IF($A149=$A148,AZ148,1)-AE149+$D$3))</f>
        <v>#N/A</v>
      </c>
      <c r="BA149" t="e">
        <f>IF(OR($J149=0,COUNTIFS($A$4:$A148,"&gt;="&amp;$A149-1,$A$4:$A148,"&lt;="&amp;$A149,$B$4:$B148,$B149)&gt;0,MIN(BA$1,IF($A149=$A148,BA148,1))-AF149&lt;0),-1,MIN(1,IF($A149=$A148,BA148,1)-AF149+$D$3))</f>
        <v>#N/A</v>
      </c>
      <c r="BB149" t="e">
        <f>IF(OR($J149=0,COUNTIFS($A$4:$A148,"&gt;="&amp;$A149-1,$A$4:$A148,"&lt;="&amp;$A149,$B$4:$B148,$B149)&gt;0,MIN(BB$1,IF($A149=$A148,BB148,1))-AG149&lt;0),-1,MIN(1,IF($A149=$A148,BB148,1)-AG149+$D$3))</f>
        <v>#N/A</v>
      </c>
      <c r="BC149" t="e">
        <f>IF(OR($J149=0,COUNTIFS($A$4:$A148,"&gt;="&amp;$A149-1,$A$4:$A148,"&lt;="&amp;$A149,$B$4:$B148,$B149)&gt;0,MIN(BC$1,IF($A149=$A148,BC148,1))-AH149&lt;0),-1,MIN(1,IF($A149=$A148,BC148,1)-AH149+$D$3))</f>
        <v>#N/A</v>
      </c>
      <c r="BD149" t="e">
        <f>IF(OR($J149=0,COUNTIFS($A$4:$A148,"&gt;="&amp;$A149-1,$A$4:$A148,"&lt;="&amp;$A149,$B$4:$B148,$B149)&gt;0,MIN(BD$1,IF($A149=$A148,BD148,1))-AI149&lt;0),-1,MIN(1,IF($A149=$A148,BD148,1)-AI149+$D$3))</f>
        <v>#N/A</v>
      </c>
      <c r="BF149" s="44">
        <f t="shared" si="223"/>
        <v>1.248040447793629E-3</v>
      </c>
      <c r="BG149" s="44">
        <f t="shared" si="224"/>
        <v>3.0692836347523647E-3</v>
      </c>
      <c r="BH149" s="44">
        <f t="shared" si="225"/>
        <v>3.1456928686020356E-3</v>
      </c>
      <c r="BI149" s="44">
        <f t="shared" si="226"/>
        <v>2.9057468458308228E-3</v>
      </c>
      <c r="BJ149" s="44">
        <f t="shared" si="227"/>
        <v>3.0033652250318916E-3</v>
      </c>
      <c r="BK149" s="44">
        <f t="shared" si="228"/>
        <v>1.2897570079196735E-3</v>
      </c>
      <c r="BL149" s="44">
        <f t="shared" si="229"/>
        <v>6.9674702664399739E-4</v>
      </c>
      <c r="BM149" s="44">
        <f t="shared" si="230"/>
        <v>1.7724430731233813E-3</v>
      </c>
      <c r="BN149" s="44">
        <f t="shared" si="231"/>
        <v>1.8434789320747424E-3</v>
      </c>
      <c r="BO149" s="44">
        <f t="shared" si="232"/>
        <v>8.6392417956685007E-4</v>
      </c>
      <c r="BP149" s="44">
        <f t="shared" si="233"/>
        <v>2.9049258053913912E-3</v>
      </c>
      <c r="BQ149" s="44">
        <f t="shared" si="234"/>
        <v>7.839192245727752E-4</v>
      </c>
      <c r="BR149" s="44">
        <f t="shared" si="235"/>
        <v>2.3158936248919397E-3</v>
      </c>
      <c r="BS149" s="44">
        <f t="shared" si="236"/>
        <v>1.248992164076268E-3</v>
      </c>
      <c r="BT149" s="44">
        <f t="shared" si="237"/>
        <v>4.9426449048307289E-3</v>
      </c>
      <c r="BU149" s="44">
        <f t="shared" si="238"/>
        <v>4.7217131828096882E-3</v>
      </c>
      <c r="BV149" s="44">
        <f t="shared" si="239"/>
        <v>4.5345771263177103E-3</v>
      </c>
      <c r="BW149" s="44">
        <f t="shared" si="240"/>
        <v>2.9658629802829638E-3</v>
      </c>
      <c r="BX149" s="44">
        <f t="shared" si="241"/>
        <v>2.191125711978895E-3</v>
      </c>
      <c r="BY149" s="44">
        <f t="shared" si="242"/>
        <v>1.881333265038543E-3</v>
      </c>
      <c r="CA149" s="44" t="str">
        <f t="shared" si="243"/>
        <v/>
      </c>
      <c r="CB149" s="44" t="str">
        <f t="shared" si="244"/>
        <v/>
      </c>
      <c r="CC149" s="44" t="str">
        <f t="shared" si="245"/>
        <v/>
      </c>
      <c r="CD149" s="44" t="str">
        <f t="shared" si="246"/>
        <v/>
      </c>
      <c r="CE149" s="44" t="str">
        <f t="shared" si="247"/>
        <v/>
      </c>
      <c r="CF149" s="44" t="str">
        <f t="shared" si="248"/>
        <v/>
      </c>
      <c r="CG149" s="44" t="str">
        <f t="shared" si="249"/>
        <v/>
      </c>
      <c r="CH149" s="44" t="str">
        <f t="shared" si="250"/>
        <v/>
      </c>
      <c r="CI149" s="44" t="str">
        <f t="shared" si="251"/>
        <v/>
      </c>
      <c r="CJ149" s="44" t="str">
        <f t="shared" si="252"/>
        <v/>
      </c>
      <c r="CK149" s="44" t="str">
        <f t="shared" si="253"/>
        <v/>
      </c>
      <c r="CL149" s="44" t="str">
        <f t="shared" si="254"/>
        <v/>
      </c>
      <c r="CM149" s="44" t="str">
        <f t="shared" si="255"/>
        <v/>
      </c>
      <c r="CN149" s="44" t="str">
        <f t="shared" si="256"/>
        <v/>
      </c>
      <c r="CO149" s="44" t="str">
        <f t="shared" si="257"/>
        <v/>
      </c>
      <c r="CP149" s="44" t="str">
        <f t="shared" si="258"/>
        <v/>
      </c>
      <c r="CQ149" s="44" t="str">
        <f t="shared" si="259"/>
        <v/>
      </c>
      <c r="CR149" s="44" t="str">
        <f t="shared" si="260"/>
        <v/>
      </c>
      <c r="CS149" s="44" t="str">
        <f t="shared" si="261"/>
        <v/>
      </c>
      <c r="CT149" s="44" t="str">
        <f t="shared" si="262"/>
        <v/>
      </c>
      <c r="CV149" s="44">
        <f t="shared" si="263"/>
        <v>0</v>
      </c>
    </row>
    <row r="150" spans="1:100" x14ac:dyDescent="0.25">
      <c r="A150" s="49"/>
      <c r="B150" s="50"/>
      <c r="C150" s="51" t="str" cm="1">
        <f t="array" ref="C150">IF(B150="","",INDEX(UWS!$B$10:$B$41,B150))</f>
        <v/>
      </c>
      <c r="D150" s="45" t="str">
        <f t="shared" si="220"/>
        <v/>
      </c>
      <c r="E150" s="70" t="str">
        <f t="shared" si="221"/>
        <v/>
      </c>
      <c r="F150" s="52" cm="1">
        <f t="array" ref="F150">0.1+IFERROR(INDEX($F$5:$F149,SUMPRODUCT(MAX(ROW($C$5:$C149)*($C150=$C$5:$C149))-ROW($A$4)))*0.9^($A150-INDEX($A$5:A149,SUMPRODUCT(MAX(ROW($C$5:$C149)*($C150=$C$5:$C149))-ROW($A$4)))),0)</f>
        <v>8.4999999999999858</v>
      </c>
      <c r="G150" s="56" t="e">
        <f>INDEX(UWS!$AB$10:$AB$41,MATCH(C150,UWS!$B$10:$B$41,0))</f>
        <v>#N/A</v>
      </c>
      <c r="H150" s="52" t="e">
        <f>INDEX(UWS!$C$10:$C$41,MATCH(C150,UWS!$B$10:$B$41,0))</f>
        <v>#N/A</v>
      </c>
      <c r="I150" s="46">
        <f t="shared" si="222"/>
        <v>5</v>
      </c>
      <c r="J150" s="46" t="e">
        <f>INDEX(UWS!$E$10:$E$41,MATCH(C150,UWS!$B$10:$B$41,0))</f>
        <v>#N/A</v>
      </c>
      <c r="K150" s="46"/>
      <c r="L150" s="109" t="str" cm="1">
        <f t="array" ref="L150">IF(K150="","",INDEX(UWS!$B$10:$B$41,K150))</f>
        <v/>
      </c>
      <c r="M150" s="46"/>
      <c r="N150" s="109" t="str" cm="1">
        <f t="array" ref="N150">IF(M150="","",INDEX(UWS!$B$10:$B$41,M150))</f>
        <v/>
      </c>
      <c r="O150" s="47"/>
      <c r="P150" s="47">
        <f>IFERROR(INDEX(UWS!$G$10:$Z$41,MATCH($C150,UWS!$B$10:$B$41,0),MATCH(P$4,UWS!$G$3:$Z$3,0)),0)</f>
        <v>0</v>
      </c>
      <c r="Q150" s="47">
        <f>IFERROR(INDEX(UWS!$G$10:$Z$41,MATCH($C150,UWS!$B$10:$B$41,0),MATCH(Q$4,UWS!$G$3:$Z$3,0)),0)</f>
        <v>0</v>
      </c>
      <c r="R150" s="47">
        <f>IFERROR(INDEX(UWS!$G$10:$Z$41,MATCH($C150,UWS!$B$10:$B$41,0),MATCH(R$4,UWS!$G$3:$Z$3,0)),0)</f>
        <v>0</v>
      </c>
      <c r="S150" s="47">
        <f>IFERROR(INDEX(UWS!$G$10:$Z$41,MATCH($C150,UWS!$B$10:$B$41,0),MATCH(S$4,UWS!$G$3:$Z$3,0)),0)</f>
        <v>0</v>
      </c>
      <c r="T150" s="47">
        <f>IFERROR(INDEX(UWS!$G$10:$Z$41,MATCH($C150,UWS!$B$10:$B$41,0),MATCH(T$4,UWS!$G$3:$Z$3,0)),0)</f>
        <v>0</v>
      </c>
      <c r="U150" s="47">
        <f>IFERROR(INDEX(UWS!$G$10:$Z$41,MATCH($C150,UWS!$B$10:$B$41,0),MATCH(U$4,UWS!$G$3:$Z$3,0)),0)</f>
        <v>0</v>
      </c>
      <c r="V150" s="47">
        <f>IFERROR(INDEX(UWS!$G$10:$Z$41,MATCH($C150,UWS!$B$10:$B$41,0),MATCH(V$4,UWS!$G$3:$Z$3,0)),0)</f>
        <v>0</v>
      </c>
      <c r="W150" s="47">
        <f>IFERROR(INDEX(UWS!$G$10:$Z$41,MATCH($C150,UWS!$B$10:$B$41,0),MATCH(W$4,UWS!$G$3:$Z$3,0)),0)</f>
        <v>0</v>
      </c>
      <c r="X150" s="47">
        <f>IFERROR(INDEX(UWS!$G$10:$Z$41,MATCH($C150,UWS!$B$10:$B$41,0),MATCH(X$4,UWS!$G$3:$Z$3,0)),0)</f>
        <v>0</v>
      </c>
      <c r="Y150" s="47">
        <f>IFERROR(INDEX(UWS!$G$10:$Z$41,MATCH($C150,UWS!$B$10:$B$41,0),MATCH(Y$4,UWS!$G$3:$Z$3,0)),0)</f>
        <v>0</v>
      </c>
      <c r="Z150" s="47">
        <f>IFERROR(INDEX(UWS!$G$10:$Z$41,MATCH($C150,UWS!$B$10:$B$41,0),MATCH(Z$4,UWS!$G$3:$Z$3,0)),0)</f>
        <v>0</v>
      </c>
      <c r="AA150" s="47">
        <f>IFERROR(INDEX(UWS!$G$10:$Z$41,MATCH($C150,UWS!$B$10:$B$41,0),MATCH(AA$4,UWS!$G$3:$Z$3,0)),0)</f>
        <v>0</v>
      </c>
      <c r="AB150" s="47">
        <f>IFERROR(INDEX(UWS!$G$10:$Z$41,MATCH($C150,UWS!$B$10:$B$41,0),MATCH(AB$4,UWS!$G$3:$Z$3,0)),0)</f>
        <v>0</v>
      </c>
      <c r="AC150" s="47">
        <f>IFERROR(INDEX(UWS!$G$10:$Z$41,MATCH($C150,UWS!$B$10:$B$41,0),MATCH(AC$4,UWS!$G$3:$Z$3,0)),0)</f>
        <v>0</v>
      </c>
      <c r="AD150" s="47">
        <f>IFERROR(INDEX(UWS!$G$10:$Z$41,MATCH($C150,UWS!$B$10:$B$41,0),MATCH(AD$4,UWS!$G$3:$Z$3,0)),0)</f>
        <v>0</v>
      </c>
      <c r="AE150" s="47">
        <f>IFERROR(INDEX(UWS!$G$10:$Z$41,MATCH($C150,UWS!$B$10:$B$41,0),MATCH(AE$4,UWS!$G$3:$Z$3,0)),0)</f>
        <v>0</v>
      </c>
      <c r="AF150" s="47">
        <f>IFERROR(INDEX(UWS!$G$10:$Z$41,MATCH($C150,UWS!$B$10:$B$41,0),MATCH(AF$4,UWS!$G$3:$Z$3,0)),0)</f>
        <v>0</v>
      </c>
      <c r="AG150" s="47">
        <f>IFERROR(INDEX(UWS!$G$10:$Z$41,MATCH($C150,UWS!$B$10:$B$41,0),MATCH(AG$4,UWS!$G$3:$Z$3,0)),0)</f>
        <v>0</v>
      </c>
      <c r="AH150" s="47">
        <f>IFERROR(INDEX(UWS!$G$10:$Z$41,MATCH($C150,UWS!$B$10:$B$41,0),MATCH(AH$4,UWS!$G$3:$Z$3,0)),0)</f>
        <v>0</v>
      </c>
      <c r="AI150" s="47">
        <f>IFERROR(INDEX(UWS!$G$10:$Z$41,MATCH($C150,UWS!$B$10:$B$41,0),MATCH(AI$4,UWS!$G$3:$Z$3,0)),0)</f>
        <v>0</v>
      </c>
      <c r="AJ150" s="47"/>
      <c r="AK150" s="47" t="e">
        <f>IF(OR($J150=0,COUNTIFS($A$4:$A149,"&gt;="&amp;$A150-1,$A$4:$A149,"&lt;="&amp;$A150,$B$4:$B149,$B150)&gt;0,MIN(AK$1,IF($A150=$A149,AK149,1))-P150&lt;0),-1,MIN(1,IF($A150=$A149,AK149,1)-P150+$D$3))</f>
        <v>#N/A</v>
      </c>
      <c r="AL150" s="47" t="e">
        <f>IF(OR($J150=0,COUNTIFS($A$4:$A149,"&gt;="&amp;$A150-1,$A$4:$A149,"&lt;="&amp;$A150,$B$4:$B149,$B150)&gt;0,MIN(AL$1,IF($A150=$A149,AL149,1))-Q150&lt;0),-1,MIN(1,IF($A150=$A149,AL149,1)-Q150+$D$3))</f>
        <v>#N/A</v>
      </c>
      <c r="AM150" s="47" t="e">
        <f>IF(OR($J150=0,COUNTIFS($A$4:$A149,"&gt;="&amp;$A150-1,$A$4:$A149,"&lt;="&amp;$A150,$B$4:$B149,$B150)&gt;0,MIN(AM$1,IF($A150=$A149,AM149,1))-R150&lt;0),-1,MIN(1,IF($A150=$A149,AM149,1)-R150+$D$3))</f>
        <v>#N/A</v>
      </c>
      <c r="AN150" s="47" t="e">
        <f>IF(OR($J150=0,COUNTIFS($A$4:$A149,"&gt;="&amp;$A150-1,$A$4:$A149,"&lt;="&amp;$A150,$B$4:$B149,$B150)&gt;0,MIN(AN$1,IF($A150=$A149,AN149,1))-S150&lt;0),-1,MIN(1,IF($A150=$A149,AN149,1)-S150+$D$3))</f>
        <v>#N/A</v>
      </c>
      <c r="AO150" s="47" t="e">
        <f>IF(OR($J150=0,COUNTIFS($A$4:$A149,"&gt;="&amp;$A150-1,$A$4:$A149,"&lt;="&amp;$A150,$B$4:$B149,$B150)&gt;0,MIN(AO$1,IF($A150=$A149,AO149,1))-T150&lt;0),-1,MIN(1,IF($A150=$A149,AO149,1)-T150+$D$3))</f>
        <v>#N/A</v>
      </c>
      <c r="AP150" s="47" t="e">
        <f>IF(OR($J150=0,COUNTIFS($A$4:$A149,"&gt;="&amp;$A150-1,$A$4:$A149,"&lt;="&amp;$A150,$B$4:$B149,$B150)&gt;0,MIN(AP$1,IF($A150=$A149,AP149,1))-U150&lt;0),-1,MIN(1,IF($A150=$A149,AP149,1)-U150+$D$3))</f>
        <v>#N/A</v>
      </c>
      <c r="AQ150" s="47" t="e">
        <f>IF(OR($J150=0,COUNTIFS($A$4:$A149,"&gt;="&amp;$A150-1,$A$4:$A149,"&lt;="&amp;$A150,$B$4:$B149,$B150)&gt;0,MIN(AQ$1,IF($A150=$A149,AQ149,1))-V150&lt;0),-1,MIN(1,IF($A150=$A149,AQ149,1)-V150+$D$3))</f>
        <v>#N/A</v>
      </c>
      <c r="AR150" s="47" t="e">
        <f>IF(OR($J150=0,COUNTIFS($A$4:$A149,"&gt;="&amp;$A150-1,$A$4:$A149,"&lt;="&amp;$A150,$B$4:$B149,$B150)&gt;0,MIN(AR$1,IF($A150=$A149,AR149,1))-W150&lt;0),-1,MIN(1,IF($A150=$A149,AR149,1)-W150+$D$3))</f>
        <v>#N/A</v>
      </c>
      <c r="AS150" s="47" t="e">
        <f>IF(OR($J150=0,COUNTIFS($A$4:$A149,"&gt;="&amp;$A150-1,$A$4:$A149,"&lt;="&amp;$A150,$B$4:$B149,$B150)&gt;0,MIN(AS$1,IF($A150=$A149,AS149,1))-X150&lt;0),-1,MIN(1,IF($A150=$A149,AS149,1)-X150+$D$3))</f>
        <v>#N/A</v>
      </c>
      <c r="AT150" s="47" t="e">
        <f>IF(OR($J150=0,COUNTIFS($A$4:$A149,"&gt;="&amp;$A150-1,$A$4:$A149,"&lt;="&amp;$A150,$B$4:$B149,$B150)&gt;0,MIN(AT$1,IF($A150=$A149,AT149,1))-Y150&lt;0),-1,MIN(1,IF($A150=$A149,AT149,1)-Y150+$D$3))</f>
        <v>#N/A</v>
      </c>
      <c r="AU150" s="47" t="e">
        <f>IF(OR($J150=0,COUNTIFS($A$4:$A149,"&gt;="&amp;$A150-1,$A$4:$A149,"&lt;="&amp;$A150,$B$4:$B149,$B150)&gt;0,MIN(AU$1,IF($A150=$A149,AU149,1))-Z150&lt;0),-1,MIN(1,IF($A150=$A149,AU149,1)-Z150+$D$3))</f>
        <v>#N/A</v>
      </c>
      <c r="AV150" s="47" t="e">
        <f>IF(OR($J150=0,COUNTIFS($A$4:$A149,"&gt;="&amp;$A150-1,$A$4:$A149,"&lt;="&amp;$A150,$B$4:$B149,$B150)&gt;0,MIN(AV$1,IF($A150=$A149,AV149,1))-AA150&lt;0),-1,MIN(1,IF($A150=$A149,AV149,1)-AA150+$D$3))</f>
        <v>#N/A</v>
      </c>
      <c r="AW150" s="47" t="e">
        <f>IF(OR($J150=0,COUNTIFS($A$4:$A149,"&gt;="&amp;$A150-1,$A$4:$A149,"&lt;="&amp;$A150,$B$4:$B149,$B150)&gt;0,MIN(AW$1,IF($A150=$A149,AW149,1))-AB150&lt;0),-1,MIN(1,IF($A150=$A149,AW149,1)-AB150+$D$3))</f>
        <v>#N/A</v>
      </c>
      <c r="AX150" s="47" t="e">
        <f>IF(OR($J150=0,COUNTIFS($A$4:$A149,"&gt;="&amp;$A150-1,$A$4:$A149,"&lt;="&amp;$A150,$B$4:$B149,$B150)&gt;0,MIN(AX$1,IF($A150=$A149,AX149,1))-AC150&lt;0),-1,MIN(1,IF($A150=$A149,AX149,1)-AC150+$D$3))</f>
        <v>#N/A</v>
      </c>
      <c r="AY150" s="47" t="e">
        <f>IF(OR($J150=0,COUNTIFS($A$4:$A149,"&gt;="&amp;$A150-1,$A$4:$A149,"&lt;="&amp;$A150,$B$4:$B149,$B150)&gt;0,MIN(AY$1,IF($A150=$A149,AY149,1))-AD150&lt;0),-1,MIN(1,IF($A150=$A149,AY149,1)-AD150+$D$3))</f>
        <v>#N/A</v>
      </c>
      <c r="AZ150" s="47" t="e">
        <f>IF(OR($J150=0,COUNTIFS($A$4:$A149,"&gt;="&amp;$A150-1,$A$4:$A149,"&lt;="&amp;$A150,$B$4:$B149,$B150)&gt;0,MIN(AZ$1,IF($A150=$A149,AZ149,1))-AE150&lt;0),-1,MIN(1,IF($A150=$A149,AZ149,1)-AE150+$D$3))</f>
        <v>#N/A</v>
      </c>
      <c r="BA150" s="47" t="e">
        <f>IF(OR($J150=0,COUNTIFS($A$4:$A149,"&gt;="&amp;$A150-1,$A$4:$A149,"&lt;="&amp;$A150,$B$4:$B149,$B150)&gt;0,MIN(BA$1,IF($A150=$A149,BA149,1))-AF150&lt;0),-1,MIN(1,IF($A150=$A149,BA149,1)-AF150+$D$3))</f>
        <v>#N/A</v>
      </c>
      <c r="BB150" s="47" t="e">
        <f>IF(OR($J150=0,COUNTIFS($A$4:$A149,"&gt;="&amp;$A150-1,$A$4:$A149,"&lt;="&amp;$A150,$B$4:$B149,$B150)&gt;0,MIN(BB$1,IF($A150=$A149,BB149,1))-AG150&lt;0),-1,MIN(1,IF($A150=$A149,BB149,1)-AG150+$D$3))</f>
        <v>#N/A</v>
      </c>
      <c r="BC150" s="47" t="e">
        <f>IF(OR($J150=0,COUNTIFS($A$4:$A149,"&gt;="&amp;$A150-1,$A$4:$A149,"&lt;="&amp;$A150,$B$4:$B149,$B150)&gt;0,MIN(BC$1,IF($A150=$A149,BC149,1))-AH150&lt;0),-1,MIN(1,IF($A150=$A149,BC149,1)-AH150+$D$3))</f>
        <v>#N/A</v>
      </c>
      <c r="BD150" s="47" t="e">
        <f>IF(OR($J150=0,COUNTIFS($A$4:$A149,"&gt;="&amp;$A150-1,$A$4:$A149,"&lt;="&amp;$A150,$B$4:$B149,$B150)&gt;0,MIN(BD$1,IF($A150=$A149,BD149,1))-AI150&lt;0),-1,MIN(1,IF($A150=$A149,BD149,1)-AI150+$D$3))</f>
        <v>#N/A</v>
      </c>
      <c r="BE150" s="47"/>
      <c r="BF150" s="53">
        <f t="shared" si="223"/>
        <v>1.1856384254039475E-3</v>
      </c>
      <c r="BG150" s="53">
        <f t="shared" si="224"/>
        <v>2.9158194530147464E-3</v>
      </c>
      <c r="BH150" s="53">
        <f t="shared" si="225"/>
        <v>2.9884082251719337E-3</v>
      </c>
      <c r="BI150" s="53">
        <f t="shared" si="226"/>
        <v>2.7604595035392817E-3</v>
      </c>
      <c r="BJ150" s="53">
        <f t="shared" si="227"/>
        <v>2.853196963780297E-3</v>
      </c>
      <c r="BK150" s="53">
        <f t="shared" si="228"/>
        <v>1.2252691575236898E-3</v>
      </c>
      <c r="BL150" s="53">
        <f t="shared" si="229"/>
        <v>6.619096753117975E-4</v>
      </c>
      <c r="BM150" s="53">
        <f t="shared" si="230"/>
        <v>1.6838209194672122E-3</v>
      </c>
      <c r="BN150" s="53">
        <f t="shared" si="231"/>
        <v>1.7513049854710053E-3</v>
      </c>
      <c r="BO150" s="53">
        <f t="shared" si="232"/>
        <v>8.2072797058850751E-4</v>
      </c>
      <c r="BP150" s="53">
        <f t="shared" si="233"/>
        <v>2.7596795151218216E-3</v>
      </c>
      <c r="BQ150" s="53">
        <f t="shared" si="234"/>
        <v>7.4472326334413641E-4</v>
      </c>
      <c r="BR150" s="53">
        <f t="shared" si="235"/>
        <v>2.2000989436473427E-3</v>
      </c>
      <c r="BS150" s="53">
        <f t="shared" si="236"/>
        <v>1.1865425558724545E-3</v>
      </c>
      <c r="BT150" s="53">
        <f t="shared" si="237"/>
        <v>4.6955126595891921E-3</v>
      </c>
      <c r="BU150" s="53">
        <f t="shared" si="238"/>
        <v>4.4856275236692033E-3</v>
      </c>
      <c r="BV150" s="53">
        <f t="shared" si="239"/>
        <v>4.3078482700018243E-3</v>
      </c>
      <c r="BW150" s="53">
        <f t="shared" si="240"/>
        <v>2.8175698312688153E-3</v>
      </c>
      <c r="BX150" s="53">
        <f t="shared" si="241"/>
        <v>2.0815694263799501E-3</v>
      </c>
      <c r="BY150" s="53">
        <f t="shared" si="242"/>
        <v>1.7872666017866158E-3</v>
      </c>
      <c r="BZ150" s="47"/>
      <c r="CA150" s="53" t="str">
        <f t="shared" si="243"/>
        <v/>
      </c>
      <c r="CB150" s="53" t="str">
        <f t="shared" si="244"/>
        <v/>
      </c>
      <c r="CC150" s="53" t="str">
        <f t="shared" si="245"/>
        <v/>
      </c>
      <c r="CD150" s="53" t="str">
        <f t="shared" si="246"/>
        <v/>
      </c>
      <c r="CE150" s="53" t="str">
        <f t="shared" si="247"/>
        <v/>
      </c>
      <c r="CF150" s="53" t="str">
        <f t="shared" si="248"/>
        <v/>
      </c>
      <c r="CG150" s="53" t="str">
        <f t="shared" si="249"/>
        <v/>
      </c>
      <c r="CH150" s="53" t="str">
        <f t="shared" si="250"/>
        <v/>
      </c>
      <c r="CI150" s="53" t="str">
        <f t="shared" si="251"/>
        <v/>
      </c>
      <c r="CJ150" s="53" t="str">
        <f t="shared" si="252"/>
        <v/>
      </c>
      <c r="CK150" s="53" t="str">
        <f t="shared" si="253"/>
        <v/>
      </c>
      <c r="CL150" s="53" t="str">
        <f t="shared" si="254"/>
        <v/>
      </c>
      <c r="CM150" s="53" t="str">
        <f t="shared" si="255"/>
        <v/>
      </c>
      <c r="CN150" s="53" t="str">
        <f t="shared" si="256"/>
        <v/>
      </c>
      <c r="CO150" s="53" t="str">
        <f t="shared" si="257"/>
        <v/>
      </c>
      <c r="CP150" s="53" t="str">
        <f t="shared" si="258"/>
        <v/>
      </c>
      <c r="CQ150" s="53" t="str">
        <f t="shared" si="259"/>
        <v/>
      </c>
      <c r="CR150" s="53" t="str">
        <f t="shared" si="260"/>
        <v/>
      </c>
      <c r="CS150" s="53" t="str">
        <f t="shared" si="261"/>
        <v/>
      </c>
      <c r="CT150" s="53" t="str">
        <f t="shared" si="262"/>
        <v/>
      </c>
      <c r="CU150" s="47"/>
      <c r="CV150" s="53">
        <f t="shared" si="263"/>
        <v>0</v>
      </c>
    </row>
    <row r="151" spans="1:100" x14ac:dyDescent="0.25">
      <c r="A151" s="41"/>
      <c r="B151" s="42"/>
      <c r="C151" s="43" t="str" cm="1">
        <f t="array" ref="C151">IF(B151="","",INDEX(UWS!$B$10:$B$41,B151))</f>
        <v/>
      </c>
      <c r="D151" s="40" t="str">
        <f t="shared" si="220"/>
        <v/>
      </c>
      <c r="E151" s="69" t="str">
        <f t="shared" si="221"/>
        <v/>
      </c>
      <c r="F151" s="48" cm="1">
        <f t="array" ref="F151">0.1+IFERROR(INDEX($F$5:$F150,SUMPRODUCT(MAX(ROW($C$5:$C150)*($C151=$C$5:$C150))-ROW($A$4)))*0.9^($A151-INDEX($A$5:A150,SUMPRODUCT(MAX(ROW($C$5:$C150)*($C151=$C$5:$C150))-ROW($A$4)))),0)</f>
        <v>8.5999999999999854</v>
      </c>
      <c r="G151" s="55" t="e">
        <f>INDEX(UWS!$AB$10:$AB$41,MATCH(C151,UWS!$B$10:$B$41,0))</f>
        <v>#N/A</v>
      </c>
      <c r="H151" s="48" t="e">
        <f>INDEX(UWS!$C$10:$C$41,MATCH(C151,UWS!$B$10:$B$41,0))</f>
        <v>#N/A</v>
      </c>
      <c r="I151" s="82">
        <f t="shared" si="222"/>
        <v>5</v>
      </c>
      <c r="J151" s="27" t="e">
        <f>INDEX(UWS!$E$10:$E$41,MATCH(C151,UWS!$B$10:$B$41,0))</f>
        <v>#N/A</v>
      </c>
      <c r="L151" s="108" t="str" cm="1">
        <f t="array" ref="L151">IF(K151="","",INDEX(UWS!$B$10:$B$41,K151))</f>
        <v/>
      </c>
      <c r="N151" s="108" t="str" cm="1">
        <f t="array" ref="N151">IF(M151="","",INDEX(UWS!$B$10:$B$41,M151))</f>
        <v/>
      </c>
      <c r="P151">
        <f>IFERROR(INDEX(UWS!$G$10:$Z$41,MATCH($C151,UWS!$B$10:$B$41,0),MATCH(P$4,UWS!$G$3:$Z$3,0)),0)</f>
        <v>0</v>
      </c>
      <c r="Q151">
        <f>IFERROR(INDEX(UWS!$G$10:$Z$41,MATCH($C151,UWS!$B$10:$B$41,0),MATCH(Q$4,UWS!$G$3:$Z$3,0)),0)</f>
        <v>0</v>
      </c>
      <c r="R151">
        <f>IFERROR(INDEX(UWS!$G$10:$Z$41,MATCH($C151,UWS!$B$10:$B$41,0),MATCH(R$4,UWS!$G$3:$Z$3,0)),0)</f>
        <v>0</v>
      </c>
      <c r="S151">
        <f>IFERROR(INDEX(UWS!$G$10:$Z$41,MATCH($C151,UWS!$B$10:$B$41,0),MATCH(S$4,UWS!$G$3:$Z$3,0)),0)</f>
        <v>0</v>
      </c>
      <c r="T151">
        <f>IFERROR(INDEX(UWS!$G$10:$Z$41,MATCH($C151,UWS!$B$10:$B$41,0),MATCH(T$4,UWS!$G$3:$Z$3,0)),0)</f>
        <v>0</v>
      </c>
      <c r="U151">
        <f>IFERROR(INDEX(UWS!$G$10:$Z$41,MATCH($C151,UWS!$B$10:$B$41,0),MATCH(U$4,UWS!$G$3:$Z$3,0)),0)</f>
        <v>0</v>
      </c>
      <c r="V151">
        <f>IFERROR(INDEX(UWS!$G$10:$Z$41,MATCH($C151,UWS!$B$10:$B$41,0),MATCH(V$4,UWS!$G$3:$Z$3,0)),0)</f>
        <v>0</v>
      </c>
      <c r="W151">
        <f>IFERROR(INDEX(UWS!$G$10:$Z$41,MATCH($C151,UWS!$B$10:$B$41,0),MATCH(W$4,UWS!$G$3:$Z$3,0)),0)</f>
        <v>0</v>
      </c>
      <c r="X151">
        <f>IFERROR(INDEX(UWS!$G$10:$Z$41,MATCH($C151,UWS!$B$10:$B$41,0),MATCH(X$4,UWS!$G$3:$Z$3,0)),0)</f>
        <v>0</v>
      </c>
      <c r="Y151">
        <f>IFERROR(INDEX(UWS!$G$10:$Z$41,MATCH($C151,UWS!$B$10:$B$41,0),MATCH(Y$4,UWS!$G$3:$Z$3,0)),0)</f>
        <v>0</v>
      </c>
      <c r="Z151">
        <f>IFERROR(INDEX(UWS!$G$10:$Z$41,MATCH($C151,UWS!$B$10:$B$41,0),MATCH(Z$4,UWS!$G$3:$Z$3,0)),0)</f>
        <v>0</v>
      </c>
      <c r="AA151">
        <f>IFERROR(INDEX(UWS!$G$10:$Z$41,MATCH($C151,UWS!$B$10:$B$41,0),MATCH(AA$4,UWS!$G$3:$Z$3,0)),0)</f>
        <v>0</v>
      </c>
      <c r="AB151">
        <f>IFERROR(INDEX(UWS!$G$10:$Z$41,MATCH($C151,UWS!$B$10:$B$41,0),MATCH(AB$4,UWS!$G$3:$Z$3,0)),0)</f>
        <v>0</v>
      </c>
      <c r="AC151">
        <f>IFERROR(INDEX(UWS!$G$10:$Z$41,MATCH($C151,UWS!$B$10:$B$41,0),MATCH(AC$4,UWS!$G$3:$Z$3,0)),0)</f>
        <v>0</v>
      </c>
      <c r="AD151">
        <f>IFERROR(INDEX(UWS!$G$10:$Z$41,MATCH($C151,UWS!$B$10:$B$41,0),MATCH(AD$4,UWS!$G$3:$Z$3,0)),0)</f>
        <v>0</v>
      </c>
      <c r="AE151">
        <f>IFERROR(INDEX(UWS!$G$10:$Z$41,MATCH($C151,UWS!$B$10:$B$41,0),MATCH(AE$4,UWS!$G$3:$Z$3,0)),0)</f>
        <v>0</v>
      </c>
      <c r="AF151">
        <f>IFERROR(INDEX(UWS!$G$10:$Z$41,MATCH($C151,UWS!$B$10:$B$41,0),MATCH(AF$4,UWS!$G$3:$Z$3,0)),0)</f>
        <v>0</v>
      </c>
      <c r="AG151">
        <f>IFERROR(INDEX(UWS!$G$10:$Z$41,MATCH($C151,UWS!$B$10:$B$41,0),MATCH(AG$4,UWS!$G$3:$Z$3,0)),0)</f>
        <v>0</v>
      </c>
      <c r="AH151">
        <f>IFERROR(INDEX(UWS!$G$10:$Z$41,MATCH($C151,UWS!$B$10:$B$41,0),MATCH(AH$4,UWS!$G$3:$Z$3,0)),0)</f>
        <v>0</v>
      </c>
      <c r="AI151">
        <f>IFERROR(INDEX(UWS!$G$10:$Z$41,MATCH($C151,UWS!$B$10:$B$41,0),MATCH(AI$4,UWS!$G$3:$Z$3,0)),0)</f>
        <v>0</v>
      </c>
      <c r="AK151" t="e">
        <f>IF(OR($J151=0,COUNTIFS($A$4:$A150,"&gt;="&amp;$A151-1,$A$4:$A150,"&lt;="&amp;$A151,$B$4:$B150,$B151)&gt;0,MIN(AK$1,IF($A151=$A150,AK150,1))-P151&lt;0),-1,MIN(1,IF($A151=$A150,AK150,1)-P151+$D$3))</f>
        <v>#N/A</v>
      </c>
      <c r="AL151" t="e">
        <f>IF(OR($J151=0,COUNTIFS($A$4:$A150,"&gt;="&amp;$A151-1,$A$4:$A150,"&lt;="&amp;$A151,$B$4:$B150,$B151)&gt;0,MIN(AL$1,IF($A151=$A150,AL150,1))-Q151&lt;0),-1,MIN(1,IF($A151=$A150,AL150,1)-Q151+$D$3))</f>
        <v>#N/A</v>
      </c>
      <c r="AM151" t="e">
        <f>IF(OR($J151=0,COUNTIFS($A$4:$A150,"&gt;="&amp;$A151-1,$A$4:$A150,"&lt;="&amp;$A151,$B$4:$B150,$B151)&gt;0,MIN(AM$1,IF($A151=$A150,AM150,1))-R151&lt;0),-1,MIN(1,IF($A151=$A150,AM150,1)-R151+$D$3))</f>
        <v>#N/A</v>
      </c>
      <c r="AN151" t="e">
        <f>IF(OR($J151=0,COUNTIFS($A$4:$A150,"&gt;="&amp;$A151-1,$A$4:$A150,"&lt;="&amp;$A151,$B$4:$B150,$B151)&gt;0,MIN(AN$1,IF($A151=$A150,AN150,1))-S151&lt;0),-1,MIN(1,IF($A151=$A150,AN150,1)-S151+$D$3))</f>
        <v>#N/A</v>
      </c>
      <c r="AO151" t="e">
        <f>IF(OR($J151=0,COUNTIFS($A$4:$A150,"&gt;="&amp;$A151-1,$A$4:$A150,"&lt;="&amp;$A151,$B$4:$B150,$B151)&gt;0,MIN(AO$1,IF($A151=$A150,AO150,1))-T151&lt;0),-1,MIN(1,IF($A151=$A150,AO150,1)-T151+$D$3))</f>
        <v>#N/A</v>
      </c>
      <c r="AP151" t="e">
        <f>IF(OR($J151=0,COUNTIFS($A$4:$A150,"&gt;="&amp;$A151-1,$A$4:$A150,"&lt;="&amp;$A151,$B$4:$B150,$B151)&gt;0,MIN(AP$1,IF($A151=$A150,AP150,1))-U151&lt;0),-1,MIN(1,IF($A151=$A150,AP150,1)-U151+$D$3))</f>
        <v>#N/A</v>
      </c>
      <c r="AQ151" t="e">
        <f>IF(OR($J151=0,COUNTIFS($A$4:$A150,"&gt;="&amp;$A151-1,$A$4:$A150,"&lt;="&amp;$A151,$B$4:$B150,$B151)&gt;0,MIN(AQ$1,IF($A151=$A150,AQ150,1))-V151&lt;0),-1,MIN(1,IF($A151=$A150,AQ150,1)-V151+$D$3))</f>
        <v>#N/A</v>
      </c>
      <c r="AR151" t="e">
        <f>IF(OR($J151=0,COUNTIFS($A$4:$A150,"&gt;="&amp;$A151-1,$A$4:$A150,"&lt;="&amp;$A151,$B$4:$B150,$B151)&gt;0,MIN(AR$1,IF($A151=$A150,AR150,1))-W151&lt;0),-1,MIN(1,IF($A151=$A150,AR150,1)-W151+$D$3))</f>
        <v>#N/A</v>
      </c>
      <c r="AS151" t="e">
        <f>IF(OR($J151=0,COUNTIFS($A$4:$A150,"&gt;="&amp;$A151-1,$A$4:$A150,"&lt;="&amp;$A151,$B$4:$B150,$B151)&gt;0,MIN(AS$1,IF($A151=$A150,AS150,1))-X151&lt;0),-1,MIN(1,IF($A151=$A150,AS150,1)-X151+$D$3))</f>
        <v>#N/A</v>
      </c>
      <c r="AT151" t="e">
        <f>IF(OR($J151=0,COUNTIFS($A$4:$A150,"&gt;="&amp;$A151-1,$A$4:$A150,"&lt;="&amp;$A151,$B$4:$B150,$B151)&gt;0,MIN(AT$1,IF($A151=$A150,AT150,1))-Y151&lt;0),-1,MIN(1,IF($A151=$A150,AT150,1)-Y151+$D$3))</f>
        <v>#N/A</v>
      </c>
      <c r="AU151" t="e">
        <f>IF(OR($J151=0,COUNTIFS($A$4:$A150,"&gt;="&amp;$A151-1,$A$4:$A150,"&lt;="&amp;$A151,$B$4:$B150,$B151)&gt;0,MIN(AU$1,IF($A151=$A150,AU150,1))-Z151&lt;0),-1,MIN(1,IF($A151=$A150,AU150,1)-Z151+$D$3))</f>
        <v>#N/A</v>
      </c>
      <c r="AV151" t="e">
        <f>IF(OR($J151=0,COUNTIFS($A$4:$A150,"&gt;="&amp;$A151-1,$A$4:$A150,"&lt;="&amp;$A151,$B$4:$B150,$B151)&gt;0,MIN(AV$1,IF($A151=$A150,AV150,1))-AA151&lt;0),-1,MIN(1,IF($A151=$A150,AV150,1)-AA151+$D$3))</f>
        <v>#N/A</v>
      </c>
      <c r="AW151" t="e">
        <f>IF(OR($J151=0,COUNTIFS($A$4:$A150,"&gt;="&amp;$A151-1,$A$4:$A150,"&lt;="&amp;$A151,$B$4:$B150,$B151)&gt;0,MIN(AW$1,IF($A151=$A150,AW150,1))-AB151&lt;0),-1,MIN(1,IF($A151=$A150,AW150,1)-AB151+$D$3))</f>
        <v>#N/A</v>
      </c>
      <c r="AX151" t="e">
        <f>IF(OR($J151=0,COUNTIFS($A$4:$A150,"&gt;="&amp;$A151-1,$A$4:$A150,"&lt;="&amp;$A151,$B$4:$B150,$B151)&gt;0,MIN(AX$1,IF($A151=$A150,AX150,1))-AC151&lt;0),-1,MIN(1,IF($A151=$A150,AX150,1)-AC151+$D$3))</f>
        <v>#N/A</v>
      </c>
      <c r="AY151" t="e">
        <f>IF(OR($J151=0,COUNTIFS($A$4:$A150,"&gt;="&amp;$A151-1,$A$4:$A150,"&lt;="&amp;$A151,$B$4:$B150,$B151)&gt;0,MIN(AY$1,IF($A151=$A150,AY150,1))-AD151&lt;0),-1,MIN(1,IF($A151=$A150,AY150,1)-AD151+$D$3))</f>
        <v>#N/A</v>
      </c>
      <c r="AZ151" t="e">
        <f>IF(OR($J151=0,COUNTIFS($A$4:$A150,"&gt;="&amp;$A151-1,$A$4:$A150,"&lt;="&amp;$A151,$B$4:$B150,$B151)&gt;0,MIN(AZ$1,IF($A151=$A150,AZ150,1))-AE151&lt;0),-1,MIN(1,IF($A151=$A150,AZ150,1)-AE151+$D$3))</f>
        <v>#N/A</v>
      </c>
      <c r="BA151" t="e">
        <f>IF(OR($J151=0,COUNTIFS($A$4:$A150,"&gt;="&amp;$A151-1,$A$4:$A150,"&lt;="&amp;$A151,$B$4:$B150,$B151)&gt;0,MIN(BA$1,IF($A151=$A150,BA150,1))-AF151&lt;0),-1,MIN(1,IF($A151=$A150,BA150,1)-AF151+$D$3))</f>
        <v>#N/A</v>
      </c>
      <c r="BB151" t="e">
        <f>IF(OR($J151=0,COUNTIFS($A$4:$A150,"&gt;="&amp;$A151-1,$A$4:$A150,"&lt;="&amp;$A151,$B$4:$B150,$B151)&gt;0,MIN(BB$1,IF($A151=$A150,BB150,1))-AG151&lt;0),-1,MIN(1,IF($A151=$A150,BB150,1)-AG151+$D$3))</f>
        <v>#N/A</v>
      </c>
      <c r="BC151" t="e">
        <f>IF(OR($J151=0,COUNTIFS($A$4:$A150,"&gt;="&amp;$A151-1,$A$4:$A150,"&lt;="&amp;$A151,$B$4:$B150,$B151)&gt;0,MIN(BC$1,IF($A151=$A150,BC150,1))-AH151&lt;0),-1,MIN(1,IF($A151=$A150,BC150,1)-AH151+$D$3))</f>
        <v>#N/A</v>
      </c>
      <c r="BD151" t="e">
        <f>IF(OR($J151=0,COUNTIFS($A$4:$A150,"&gt;="&amp;$A151-1,$A$4:$A150,"&lt;="&amp;$A151,$B$4:$B150,$B151)&gt;0,MIN(BD$1,IF($A151=$A150,BD150,1))-AI151&lt;0),-1,MIN(1,IF($A151=$A150,BD150,1)-AI151+$D$3))</f>
        <v>#N/A</v>
      </c>
      <c r="BF151" s="44">
        <f t="shared" si="223"/>
        <v>1.12635650413375E-3</v>
      </c>
      <c r="BG151" s="44">
        <f t="shared" si="224"/>
        <v>2.7700284803640089E-3</v>
      </c>
      <c r="BH151" s="44">
        <f t="shared" si="225"/>
        <v>2.8389878139133367E-3</v>
      </c>
      <c r="BI151" s="44">
        <f t="shared" si="226"/>
        <v>2.6224365283623176E-3</v>
      </c>
      <c r="BJ151" s="44">
        <f t="shared" si="227"/>
        <v>2.710537115591282E-3</v>
      </c>
      <c r="BK151" s="44">
        <f t="shared" si="228"/>
        <v>1.1640056996475052E-3</v>
      </c>
      <c r="BL151" s="44">
        <f t="shared" si="229"/>
        <v>6.2881419154620761E-4</v>
      </c>
      <c r="BM151" s="44">
        <f t="shared" si="230"/>
        <v>1.5996298734938515E-3</v>
      </c>
      <c r="BN151" s="44">
        <f t="shared" si="231"/>
        <v>1.663739736197455E-3</v>
      </c>
      <c r="BO151" s="44">
        <f t="shared" si="232"/>
        <v>7.7969157205908207E-4</v>
      </c>
      <c r="BP151" s="44">
        <f t="shared" si="233"/>
        <v>2.6216955393657303E-3</v>
      </c>
      <c r="BQ151" s="44">
        <f t="shared" si="234"/>
        <v>7.074871001769296E-4</v>
      </c>
      <c r="BR151" s="44">
        <f t="shared" si="235"/>
        <v>2.0900939964649755E-3</v>
      </c>
      <c r="BS151" s="44">
        <f t="shared" si="236"/>
        <v>1.1272154280788317E-3</v>
      </c>
      <c r="BT151" s="44">
        <f t="shared" si="237"/>
        <v>4.460737026609732E-3</v>
      </c>
      <c r="BU151" s="44">
        <f t="shared" si="238"/>
        <v>4.2613461474857433E-3</v>
      </c>
      <c r="BV151" s="44">
        <f t="shared" si="239"/>
        <v>4.0924558565017324E-3</v>
      </c>
      <c r="BW151" s="44">
        <f t="shared" si="240"/>
        <v>2.6766913397053742E-3</v>
      </c>
      <c r="BX151" s="44">
        <f t="shared" si="241"/>
        <v>1.9774909550609523E-3</v>
      </c>
      <c r="BY151" s="44">
        <f t="shared" si="242"/>
        <v>1.6979032716972849E-3</v>
      </c>
      <c r="CA151" s="44" t="str">
        <f t="shared" si="243"/>
        <v/>
      </c>
      <c r="CB151" s="44" t="str">
        <f t="shared" si="244"/>
        <v/>
      </c>
      <c r="CC151" s="44" t="str">
        <f t="shared" si="245"/>
        <v/>
      </c>
      <c r="CD151" s="44" t="str">
        <f t="shared" si="246"/>
        <v/>
      </c>
      <c r="CE151" s="44" t="str">
        <f t="shared" si="247"/>
        <v/>
      </c>
      <c r="CF151" s="44" t="str">
        <f t="shared" si="248"/>
        <v/>
      </c>
      <c r="CG151" s="44" t="str">
        <f t="shared" si="249"/>
        <v/>
      </c>
      <c r="CH151" s="44" t="str">
        <f t="shared" si="250"/>
        <v/>
      </c>
      <c r="CI151" s="44" t="str">
        <f t="shared" si="251"/>
        <v/>
      </c>
      <c r="CJ151" s="44" t="str">
        <f t="shared" si="252"/>
        <v/>
      </c>
      <c r="CK151" s="44" t="str">
        <f t="shared" si="253"/>
        <v/>
      </c>
      <c r="CL151" s="44" t="str">
        <f t="shared" si="254"/>
        <v/>
      </c>
      <c r="CM151" s="44" t="str">
        <f t="shared" si="255"/>
        <v/>
      </c>
      <c r="CN151" s="44" t="str">
        <f t="shared" si="256"/>
        <v/>
      </c>
      <c r="CO151" s="44" t="str">
        <f t="shared" si="257"/>
        <v/>
      </c>
      <c r="CP151" s="44" t="str">
        <f t="shared" si="258"/>
        <v/>
      </c>
      <c r="CQ151" s="44" t="str">
        <f t="shared" si="259"/>
        <v/>
      </c>
      <c r="CR151" s="44" t="str">
        <f t="shared" si="260"/>
        <v/>
      </c>
      <c r="CS151" s="44" t="str">
        <f t="shared" si="261"/>
        <v/>
      </c>
      <c r="CT151" s="44" t="str">
        <f t="shared" si="262"/>
        <v/>
      </c>
      <c r="CV151" s="44">
        <f t="shared" si="263"/>
        <v>0</v>
      </c>
    </row>
    <row r="152" spans="1:100" x14ac:dyDescent="0.25">
      <c r="A152" s="41"/>
      <c r="B152" s="42"/>
      <c r="C152" s="43" t="str" cm="1">
        <f t="array" ref="C152">IF(B152="","",INDEX(UWS!$B$10:$B$41,B152))</f>
        <v/>
      </c>
      <c r="D152" s="40" t="str">
        <f t="shared" si="220"/>
        <v/>
      </c>
      <c r="E152" s="69" t="str">
        <f t="shared" si="221"/>
        <v/>
      </c>
      <c r="F152" s="48" cm="1">
        <f t="array" ref="F152">0.1+IFERROR(INDEX($F$5:$F151,SUMPRODUCT(MAX(ROW($C$5:$C151)*($C152=$C$5:$C151))-ROW($A$4)))*0.9^($A152-INDEX($A$5:A151,SUMPRODUCT(MAX(ROW($C$5:$C151)*($C152=$C$5:$C151))-ROW($A$4)))),0)</f>
        <v>8.6999999999999851</v>
      </c>
      <c r="G152" s="55" t="e">
        <f>INDEX(UWS!$AB$10:$AB$41,MATCH(C152,UWS!$B$10:$B$41,0))</f>
        <v>#N/A</v>
      </c>
      <c r="H152" s="48" t="e">
        <f>INDEX(UWS!$C$10:$C$41,MATCH(C152,UWS!$B$10:$B$41,0))</f>
        <v>#N/A</v>
      </c>
      <c r="I152" s="27">
        <f t="shared" si="222"/>
        <v>5</v>
      </c>
      <c r="J152" s="27" t="e">
        <f>INDEX(UWS!$E$10:$E$41,MATCH(C152,UWS!$B$10:$B$41,0))</f>
        <v>#N/A</v>
      </c>
      <c r="L152" s="108" t="str" cm="1">
        <f t="array" ref="L152">IF(K152="","",INDEX(UWS!$B$10:$B$41,K152))</f>
        <v/>
      </c>
      <c r="N152" s="108" t="str" cm="1">
        <f t="array" ref="N152">IF(M152="","",INDEX(UWS!$B$10:$B$41,M152))</f>
        <v/>
      </c>
      <c r="P152">
        <f>IFERROR(INDEX(UWS!$G$10:$Z$41,MATCH($C152,UWS!$B$10:$B$41,0),MATCH(P$4,UWS!$G$3:$Z$3,0)),0)</f>
        <v>0</v>
      </c>
      <c r="Q152">
        <f>IFERROR(INDEX(UWS!$G$10:$Z$41,MATCH($C152,UWS!$B$10:$B$41,0),MATCH(Q$4,UWS!$G$3:$Z$3,0)),0)</f>
        <v>0</v>
      </c>
      <c r="R152">
        <f>IFERROR(INDEX(UWS!$G$10:$Z$41,MATCH($C152,UWS!$B$10:$B$41,0),MATCH(R$4,UWS!$G$3:$Z$3,0)),0)</f>
        <v>0</v>
      </c>
      <c r="S152">
        <f>IFERROR(INDEX(UWS!$G$10:$Z$41,MATCH($C152,UWS!$B$10:$B$41,0),MATCH(S$4,UWS!$G$3:$Z$3,0)),0)</f>
        <v>0</v>
      </c>
      <c r="T152">
        <f>IFERROR(INDEX(UWS!$G$10:$Z$41,MATCH($C152,UWS!$B$10:$B$41,0),MATCH(T$4,UWS!$G$3:$Z$3,0)),0)</f>
        <v>0</v>
      </c>
      <c r="U152">
        <f>IFERROR(INDEX(UWS!$G$10:$Z$41,MATCH($C152,UWS!$B$10:$B$41,0),MATCH(U$4,UWS!$G$3:$Z$3,0)),0)</f>
        <v>0</v>
      </c>
      <c r="V152">
        <f>IFERROR(INDEX(UWS!$G$10:$Z$41,MATCH($C152,UWS!$B$10:$B$41,0),MATCH(V$4,UWS!$G$3:$Z$3,0)),0)</f>
        <v>0</v>
      </c>
      <c r="W152">
        <f>IFERROR(INDEX(UWS!$G$10:$Z$41,MATCH($C152,UWS!$B$10:$B$41,0),MATCH(W$4,UWS!$G$3:$Z$3,0)),0)</f>
        <v>0</v>
      </c>
      <c r="X152">
        <f>IFERROR(INDEX(UWS!$G$10:$Z$41,MATCH($C152,UWS!$B$10:$B$41,0),MATCH(X$4,UWS!$G$3:$Z$3,0)),0)</f>
        <v>0</v>
      </c>
      <c r="Y152">
        <f>IFERROR(INDEX(UWS!$G$10:$Z$41,MATCH($C152,UWS!$B$10:$B$41,0),MATCH(Y$4,UWS!$G$3:$Z$3,0)),0)</f>
        <v>0</v>
      </c>
      <c r="Z152">
        <f>IFERROR(INDEX(UWS!$G$10:$Z$41,MATCH($C152,UWS!$B$10:$B$41,0),MATCH(Z$4,UWS!$G$3:$Z$3,0)),0)</f>
        <v>0</v>
      </c>
      <c r="AA152">
        <f>IFERROR(INDEX(UWS!$G$10:$Z$41,MATCH($C152,UWS!$B$10:$B$41,0),MATCH(AA$4,UWS!$G$3:$Z$3,0)),0)</f>
        <v>0</v>
      </c>
      <c r="AB152">
        <f>IFERROR(INDEX(UWS!$G$10:$Z$41,MATCH($C152,UWS!$B$10:$B$41,0),MATCH(AB$4,UWS!$G$3:$Z$3,0)),0)</f>
        <v>0</v>
      </c>
      <c r="AC152">
        <f>IFERROR(INDEX(UWS!$G$10:$Z$41,MATCH($C152,UWS!$B$10:$B$41,0),MATCH(AC$4,UWS!$G$3:$Z$3,0)),0)</f>
        <v>0</v>
      </c>
      <c r="AD152">
        <f>IFERROR(INDEX(UWS!$G$10:$Z$41,MATCH($C152,UWS!$B$10:$B$41,0),MATCH(AD$4,UWS!$G$3:$Z$3,0)),0)</f>
        <v>0</v>
      </c>
      <c r="AE152">
        <f>IFERROR(INDEX(UWS!$G$10:$Z$41,MATCH($C152,UWS!$B$10:$B$41,0),MATCH(AE$4,UWS!$G$3:$Z$3,0)),0)</f>
        <v>0</v>
      </c>
      <c r="AF152">
        <f>IFERROR(INDEX(UWS!$G$10:$Z$41,MATCH($C152,UWS!$B$10:$B$41,0),MATCH(AF$4,UWS!$G$3:$Z$3,0)),0)</f>
        <v>0</v>
      </c>
      <c r="AG152">
        <f>IFERROR(INDEX(UWS!$G$10:$Z$41,MATCH($C152,UWS!$B$10:$B$41,0),MATCH(AG$4,UWS!$G$3:$Z$3,0)),0)</f>
        <v>0</v>
      </c>
      <c r="AH152">
        <f>IFERROR(INDEX(UWS!$G$10:$Z$41,MATCH($C152,UWS!$B$10:$B$41,0),MATCH(AH$4,UWS!$G$3:$Z$3,0)),0)</f>
        <v>0</v>
      </c>
      <c r="AI152">
        <f>IFERROR(INDEX(UWS!$G$10:$Z$41,MATCH($C152,UWS!$B$10:$B$41,0),MATCH(AI$4,UWS!$G$3:$Z$3,0)),0)</f>
        <v>0</v>
      </c>
      <c r="AK152" t="e">
        <f>IF(OR($J152=0,COUNTIFS($A$4:$A151,"&gt;="&amp;$A152-1,$A$4:$A151,"&lt;="&amp;$A152,$B$4:$B151,$B152)&gt;0,MIN(AK$1,IF($A152=$A151,AK151,1))-P152&lt;0),-1,MIN(1,IF($A152=$A151,AK151,1)-P152+$D$3))</f>
        <v>#N/A</v>
      </c>
      <c r="AL152" t="e">
        <f>IF(OR($J152=0,COUNTIFS($A$4:$A151,"&gt;="&amp;$A152-1,$A$4:$A151,"&lt;="&amp;$A152,$B$4:$B151,$B152)&gt;0,MIN(AL$1,IF($A152=$A151,AL151,1))-Q152&lt;0),-1,MIN(1,IF($A152=$A151,AL151,1)-Q152+$D$3))</f>
        <v>#N/A</v>
      </c>
      <c r="AM152" t="e">
        <f>IF(OR($J152=0,COUNTIFS($A$4:$A151,"&gt;="&amp;$A152-1,$A$4:$A151,"&lt;="&amp;$A152,$B$4:$B151,$B152)&gt;0,MIN(AM$1,IF($A152=$A151,AM151,1))-R152&lt;0),-1,MIN(1,IF($A152=$A151,AM151,1)-R152+$D$3))</f>
        <v>#N/A</v>
      </c>
      <c r="AN152" t="e">
        <f>IF(OR($J152=0,COUNTIFS($A$4:$A151,"&gt;="&amp;$A152-1,$A$4:$A151,"&lt;="&amp;$A152,$B$4:$B151,$B152)&gt;0,MIN(AN$1,IF($A152=$A151,AN151,1))-S152&lt;0),-1,MIN(1,IF($A152=$A151,AN151,1)-S152+$D$3))</f>
        <v>#N/A</v>
      </c>
      <c r="AO152" t="e">
        <f>IF(OR($J152=0,COUNTIFS($A$4:$A151,"&gt;="&amp;$A152-1,$A$4:$A151,"&lt;="&amp;$A152,$B$4:$B151,$B152)&gt;0,MIN(AO$1,IF($A152=$A151,AO151,1))-T152&lt;0),-1,MIN(1,IF($A152=$A151,AO151,1)-T152+$D$3))</f>
        <v>#N/A</v>
      </c>
      <c r="AP152" t="e">
        <f>IF(OR($J152=0,COUNTIFS($A$4:$A151,"&gt;="&amp;$A152-1,$A$4:$A151,"&lt;="&amp;$A152,$B$4:$B151,$B152)&gt;0,MIN(AP$1,IF($A152=$A151,AP151,1))-U152&lt;0),-1,MIN(1,IF($A152=$A151,AP151,1)-U152+$D$3))</f>
        <v>#N/A</v>
      </c>
      <c r="AQ152" t="e">
        <f>IF(OR($J152=0,COUNTIFS($A$4:$A151,"&gt;="&amp;$A152-1,$A$4:$A151,"&lt;="&amp;$A152,$B$4:$B151,$B152)&gt;0,MIN(AQ$1,IF($A152=$A151,AQ151,1))-V152&lt;0),-1,MIN(1,IF($A152=$A151,AQ151,1)-V152+$D$3))</f>
        <v>#N/A</v>
      </c>
      <c r="AR152" t="e">
        <f>IF(OR($J152=0,COUNTIFS($A$4:$A151,"&gt;="&amp;$A152-1,$A$4:$A151,"&lt;="&amp;$A152,$B$4:$B151,$B152)&gt;0,MIN(AR$1,IF($A152=$A151,AR151,1))-W152&lt;0),-1,MIN(1,IF($A152=$A151,AR151,1)-W152+$D$3))</f>
        <v>#N/A</v>
      </c>
      <c r="AS152" t="e">
        <f>IF(OR($J152=0,COUNTIFS($A$4:$A151,"&gt;="&amp;$A152-1,$A$4:$A151,"&lt;="&amp;$A152,$B$4:$B151,$B152)&gt;0,MIN(AS$1,IF($A152=$A151,AS151,1))-X152&lt;0),-1,MIN(1,IF($A152=$A151,AS151,1)-X152+$D$3))</f>
        <v>#N/A</v>
      </c>
      <c r="AT152" t="e">
        <f>IF(OR($J152=0,COUNTIFS($A$4:$A151,"&gt;="&amp;$A152-1,$A$4:$A151,"&lt;="&amp;$A152,$B$4:$B151,$B152)&gt;0,MIN(AT$1,IF($A152=$A151,AT151,1))-Y152&lt;0),-1,MIN(1,IF($A152=$A151,AT151,1)-Y152+$D$3))</f>
        <v>#N/A</v>
      </c>
      <c r="AU152" t="e">
        <f>IF(OR($J152=0,COUNTIFS($A$4:$A151,"&gt;="&amp;$A152-1,$A$4:$A151,"&lt;="&amp;$A152,$B$4:$B151,$B152)&gt;0,MIN(AU$1,IF($A152=$A151,AU151,1))-Z152&lt;0),-1,MIN(1,IF($A152=$A151,AU151,1)-Z152+$D$3))</f>
        <v>#N/A</v>
      </c>
      <c r="AV152" t="e">
        <f>IF(OR($J152=0,COUNTIFS($A$4:$A151,"&gt;="&amp;$A152-1,$A$4:$A151,"&lt;="&amp;$A152,$B$4:$B151,$B152)&gt;0,MIN(AV$1,IF($A152=$A151,AV151,1))-AA152&lt;0),-1,MIN(1,IF($A152=$A151,AV151,1)-AA152+$D$3))</f>
        <v>#N/A</v>
      </c>
      <c r="AW152" t="e">
        <f>IF(OR($J152=0,COUNTIFS($A$4:$A151,"&gt;="&amp;$A152-1,$A$4:$A151,"&lt;="&amp;$A152,$B$4:$B151,$B152)&gt;0,MIN(AW$1,IF($A152=$A151,AW151,1))-AB152&lt;0),-1,MIN(1,IF($A152=$A151,AW151,1)-AB152+$D$3))</f>
        <v>#N/A</v>
      </c>
      <c r="AX152" t="e">
        <f>IF(OR($J152=0,COUNTIFS($A$4:$A151,"&gt;="&amp;$A152-1,$A$4:$A151,"&lt;="&amp;$A152,$B$4:$B151,$B152)&gt;0,MIN(AX$1,IF($A152=$A151,AX151,1))-AC152&lt;0),-1,MIN(1,IF($A152=$A151,AX151,1)-AC152+$D$3))</f>
        <v>#N/A</v>
      </c>
      <c r="AY152" t="e">
        <f>IF(OR($J152=0,COUNTIFS($A$4:$A151,"&gt;="&amp;$A152-1,$A$4:$A151,"&lt;="&amp;$A152,$B$4:$B151,$B152)&gt;0,MIN(AY$1,IF($A152=$A151,AY151,1))-AD152&lt;0),-1,MIN(1,IF($A152=$A151,AY151,1)-AD152+$D$3))</f>
        <v>#N/A</v>
      </c>
      <c r="AZ152" t="e">
        <f>IF(OR($J152=0,COUNTIFS($A$4:$A151,"&gt;="&amp;$A152-1,$A$4:$A151,"&lt;="&amp;$A152,$B$4:$B151,$B152)&gt;0,MIN(AZ$1,IF($A152=$A151,AZ151,1))-AE152&lt;0),-1,MIN(1,IF($A152=$A151,AZ151,1)-AE152+$D$3))</f>
        <v>#N/A</v>
      </c>
      <c r="BA152" t="e">
        <f>IF(OR($J152=0,COUNTIFS($A$4:$A151,"&gt;="&amp;$A152-1,$A$4:$A151,"&lt;="&amp;$A152,$B$4:$B151,$B152)&gt;0,MIN(BA$1,IF($A152=$A151,BA151,1))-AF152&lt;0),-1,MIN(1,IF($A152=$A151,BA151,1)-AF152+$D$3))</f>
        <v>#N/A</v>
      </c>
      <c r="BB152" t="e">
        <f>IF(OR($J152=0,COUNTIFS($A$4:$A151,"&gt;="&amp;$A152-1,$A$4:$A151,"&lt;="&amp;$A152,$B$4:$B151,$B152)&gt;0,MIN(BB$1,IF($A152=$A151,BB151,1))-AG152&lt;0),-1,MIN(1,IF($A152=$A151,BB151,1)-AG152+$D$3))</f>
        <v>#N/A</v>
      </c>
      <c r="BC152" t="e">
        <f>IF(OR($J152=0,COUNTIFS($A$4:$A151,"&gt;="&amp;$A152-1,$A$4:$A151,"&lt;="&amp;$A152,$B$4:$B151,$B152)&gt;0,MIN(BC$1,IF($A152=$A151,BC151,1))-AH152&lt;0),-1,MIN(1,IF($A152=$A151,BC151,1)-AH152+$D$3))</f>
        <v>#N/A</v>
      </c>
      <c r="BD152" t="e">
        <f>IF(OR($J152=0,COUNTIFS($A$4:$A151,"&gt;="&amp;$A152-1,$A$4:$A151,"&lt;="&amp;$A152,$B$4:$B151,$B152)&gt;0,MIN(BD$1,IF($A152=$A151,BD151,1))-AI152&lt;0),-1,MIN(1,IF($A152=$A151,BD151,1)-AI152+$D$3))</f>
        <v>#N/A</v>
      </c>
      <c r="BF152" s="44">
        <f t="shared" si="223"/>
        <v>1.0700386789270625E-3</v>
      </c>
      <c r="BG152" s="44">
        <f t="shared" si="224"/>
        <v>2.6315270563458085E-3</v>
      </c>
      <c r="BH152" s="44">
        <f t="shared" si="225"/>
        <v>2.6970384232176698E-3</v>
      </c>
      <c r="BI152" s="44">
        <f t="shared" si="226"/>
        <v>2.4913147019442017E-3</v>
      </c>
      <c r="BJ152" s="44">
        <f t="shared" si="227"/>
        <v>2.5750102598117177E-3</v>
      </c>
      <c r="BK152" s="44">
        <f t="shared" si="228"/>
        <v>1.1058054146651298E-3</v>
      </c>
      <c r="BL152" s="44">
        <f t="shared" si="229"/>
        <v>5.9737348196889719E-4</v>
      </c>
      <c r="BM152" s="44">
        <f t="shared" si="230"/>
        <v>1.5196483798191587E-3</v>
      </c>
      <c r="BN152" s="44">
        <f t="shared" si="231"/>
        <v>1.5805527493875822E-3</v>
      </c>
      <c r="BO152" s="44">
        <f t="shared" si="232"/>
        <v>7.4070699345612796E-4</v>
      </c>
      <c r="BP152" s="44">
        <f t="shared" si="233"/>
        <v>2.4906107623974437E-3</v>
      </c>
      <c r="BQ152" s="44">
        <f t="shared" si="234"/>
        <v>6.7211274516808305E-4</v>
      </c>
      <c r="BR152" s="44">
        <f t="shared" si="235"/>
        <v>1.9855892966417267E-3</v>
      </c>
      <c r="BS152" s="44">
        <f t="shared" si="236"/>
        <v>1.07085465667489E-3</v>
      </c>
      <c r="BT152" s="44">
        <f t="shared" si="237"/>
        <v>4.2377001752792456E-3</v>
      </c>
      <c r="BU152" s="44">
        <f t="shared" si="238"/>
        <v>4.0482788401114559E-3</v>
      </c>
      <c r="BV152" s="44">
        <f t="shared" si="239"/>
        <v>3.8878330636766458E-3</v>
      </c>
      <c r="BW152" s="44">
        <f t="shared" si="240"/>
        <v>2.5428567727201054E-3</v>
      </c>
      <c r="BX152" s="44">
        <f t="shared" si="241"/>
        <v>1.8786164073079047E-3</v>
      </c>
      <c r="BY152" s="44">
        <f t="shared" si="242"/>
        <v>1.6130081081124205E-3</v>
      </c>
      <c r="CA152" s="44" t="str">
        <f t="shared" si="243"/>
        <v/>
      </c>
      <c r="CB152" s="44" t="str">
        <f t="shared" si="244"/>
        <v/>
      </c>
      <c r="CC152" s="44" t="str">
        <f t="shared" si="245"/>
        <v/>
      </c>
      <c r="CD152" s="44" t="str">
        <f t="shared" si="246"/>
        <v/>
      </c>
      <c r="CE152" s="44" t="str">
        <f t="shared" si="247"/>
        <v/>
      </c>
      <c r="CF152" s="44" t="str">
        <f t="shared" si="248"/>
        <v/>
      </c>
      <c r="CG152" s="44" t="str">
        <f t="shared" si="249"/>
        <v/>
      </c>
      <c r="CH152" s="44" t="str">
        <f t="shared" si="250"/>
        <v/>
      </c>
      <c r="CI152" s="44" t="str">
        <f t="shared" si="251"/>
        <v/>
      </c>
      <c r="CJ152" s="44" t="str">
        <f t="shared" si="252"/>
        <v/>
      </c>
      <c r="CK152" s="44" t="str">
        <f t="shared" si="253"/>
        <v/>
      </c>
      <c r="CL152" s="44" t="str">
        <f t="shared" si="254"/>
        <v/>
      </c>
      <c r="CM152" s="44" t="str">
        <f t="shared" si="255"/>
        <v/>
      </c>
      <c r="CN152" s="44" t="str">
        <f t="shared" si="256"/>
        <v/>
      </c>
      <c r="CO152" s="44" t="str">
        <f t="shared" si="257"/>
        <v/>
      </c>
      <c r="CP152" s="44" t="str">
        <f t="shared" si="258"/>
        <v/>
      </c>
      <c r="CQ152" s="44" t="str">
        <f t="shared" si="259"/>
        <v/>
      </c>
      <c r="CR152" s="44" t="str">
        <f t="shared" si="260"/>
        <v/>
      </c>
      <c r="CS152" s="44" t="str">
        <f t="shared" si="261"/>
        <v/>
      </c>
      <c r="CT152" s="44" t="str">
        <f t="shared" si="262"/>
        <v/>
      </c>
      <c r="CV152" s="44">
        <f t="shared" si="263"/>
        <v>0</v>
      </c>
    </row>
    <row r="153" spans="1:100" x14ac:dyDescent="0.25">
      <c r="A153" s="41"/>
      <c r="B153" s="42"/>
      <c r="C153" s="43" t="str" cm="1">
        <f t="array" ref="C153">IF(B153="","",INDEX(UWS!$B$10:$B$41,B153))</f>
        <v/>
      </c>
      <c r="D153" s="40" t="str">
        <f t="shared" si="220"/>
        <v/>
      </c>
      <c r="E153" s="69" t="str">
        <f t="shared" si="221"/>
        <v/>
      </c>
      <c r="F153" s="48" cm="1">
        <f t="array" ref="F153">0.1+IFERROR(INDEX($F$5:$F152,SUMPRODUCT(MAX(ROW($C$5:$C152)*($C153=$C$5:$C152))-ROW($A$4)))*0.9^($A153-INDEX($A$5:A152,SUMPRODUCT(MAX(ROW($C$5:$C152)*($C153=$C$5:$C152))-ROW($A$4)))),0)</f>
        <v>8.7999999999999847</v>
      </c>
      <c r="G153" s="55" t="e">
        <f>INDEX(UWS!$AB$10:$AB$41,MATCH(C153,UWS!$B$10:$B$41,0))</f>
        <v>#N/A</v>
      </c>
      <c r="H153" s="48" t="e">
        <f>INDEX(UWS!$C$10:$C$41,MATCH(C153,UWS!$B$10:$B$41,0))</f>
        <v>#N/A</v>
      </c>
      <c r="I153" s="27">
        <f t="shared" si="222"/>
        <v>5</v>
      </c>
      <c r="J153" s="27" t="e">
        <f>INDEX(UWS!$E$10:$E$41,MATCH(C153,UWS!$B$10:$B$41,0))</f>
        <v>#N/A</v>
      </c>
      <c r="L153" s="108" t="str" cm="1">
        <f t="array" ref="L153">IF(K153="","",INDEX(UWS!$B$10:$B$41,K153))</f>
        <v/>
      </c>
      <c r="N153" s="108" t="str" cm="1">
        <f t="array" ref="N153">IF(M153="","",INDEX(UWS!$B$10:$B$41,M153))</f>
        <v/>
      </c>
      <c r="P153">
        <f>IFERROR(INDEX(UWS!$G$10:$Z$41,MATCH($C153,UWS!$B$10:$B$41,0),MATCH(P$4,UWS!$G$3:$Z$3,0)),0)</f>
        <v>0</v>
      </c>
      <c r="Q153">
        <f>IFERROR(INDEX(UWS!$G$10:$Z$41,MATCH($C153,UWS!$B$10:$B$41,0),MATCH(Q$4,UWS!$G$3:$Z$3,0)),0)</f>
        <v>0</v>
      </c>
      <c r="R153">
        <f>IFERROR(INDEX(UWS!$G$10:$Z$41,MATCH($C153,UWS!$B$10:$B$41,0),MATCH(R$4,UWS!$G$3:$Z$3,0)),0)</f>
        <v>0</v>
      </c>
      <c r="S153">
        <f>IFERROR(INDEX(UWS!$G$10:$Z$41,MATCH($C153,UWS!$B$10:$B$41,0),MATCH(S$4,UWS!$G$3:$Z$3,0)),0)</f>
        <v>0</v>
      </c>
      <c r="T153">
        <f>IFERROR(INDEX(UWS!$G$10:$Z$41,MATCH($C153,UWS!$B$10:$B$41,0),MATCH(T$4,UWS!$G$3:$Z$3,0)),0)</f>
        <v>0</v>
      </c>
      <c r="U153">
        <f>IFERROR(INDEX(UWS!$G$10:$Z$41,MATCH($C153,UWS!$B$10:$B$41,0),MATCH(U$4,UWS!$G$3:$Z$3,0)),0)</f>
        <v>0</v>
      </c>
      <c r="V153">
        <f>IFERROR(INDEX(UWS!$G$10:$Z$41,MATCH($C153,UWS!$B$10:$B$41,0),MATCH(V$4,UWS!$G$3:$Z$3,0)),0)</f>
        <v>0</v>
      </c>
      <c r="W153">
        <f>IFERROR(INDEX(UWS!$G$10:$Z$41,MATCH($C153,UWS!$B$10:$B$41,0),MATCH(W$4,UWS!$G$3:$Z$3,0)),0)</f>
        <v>0</v>
      </c>
      <c r="X153">
        <f>IFERROR(INDEX(UWS!$G$10:$Z$41,MATCH($C153,UWS!$B$10:$B$41,0),MATCH(X$4,UWS!$G$3:$Z$3,0)),0)</f>
        <v>0</v>
      </c>
      <c r="Y153">
        <f>IFERROR(INDEX(UWS!$G$10:$Z$41,MATCH($C153,UWS!$B$10:$B$41,0),MATCH(Y$4,UWS!$G$3:$Z$3,0)),0)</f>
        <v>0</v>
      </c>
      <c r="Z153">
        <f>IFERROR(INDEX(UWS!$G$10:$Z$41,MATCH($C153,UWS!$B$10:$B$41,0),MATCH(Z$4,UWS!$G$3:$Z$3,0)),0)</f>
        <v>0</v>
      </c>
      <c r="AA153">
        <f>IFERROR(INDEX(UWS!$G$10:$Z$41,MATCH($C153,UWS!$B$10:$B$41,0),MATCH(AA$4,UWS!$G$3:$Z$3,0)),0)</f>
        <v>0</v>
      </c>
      <c r="AB153">
        <f>IFERROR(INDEX(UWS!$G$10:$Z$41,MATCH($C153,UWS!$B$10:$B$41,0),MATCH(AB$4,UWS!$G$3:$Z$3,0)),0)</f>
        <v>0</v>
      </c>
      <c r="AC153">
        <f>IFERROR(INDEX(UWS!$G$10:$Z$41,MATCH($C153,UWS!$B$10:$B$41,0),MATCH(AC$4,UWS!$G$3:$Z$3,0)),0)</f>
        <v>0</v>
      </c>
      <c r="AD153">
        <f>IFERROR(INDEX(UWS!$G$10:$Z$41,MATCH($C153,UWS!$B$10:$B$41,0),MATCH(AD$4,UWS!$G$3:$Z$3,0)),0)</f>
        <v>0</v>
      </c>
      <c r="AE153">
        <f>IFERROR(INDEX(UWS!$G$10:$Z$41,MATCH($C153,UWS!$B$10:$B$41,0),MATCH(AE$4,UWS!$G$3:$Z$3,0)),0)</f>
        <v>0</v>
      </c>
      <c r="AF153">
        <f>IFERROR(INDEX(UWS!$G$10:$Z$41,MATCH($C153,UWS!$B$10:$B$41,0),MATCH(AF$4,UWS!$G$3:$Z$3,0)),0)</f>
        <v>0</v>
      </c>
      <c r="AG153">
        <f>IFERROR(INDEX(UWS!$G$10:$Z$41,MATCH($C153,UWS!$B$10:$B$41,0),MATCH(AG$4,UWS!$G$3:$Z$3,0)),0)</f>
        <v>0</v>
      </c>
      <c r="AH153">
        <f>IFERROR(INDEX(UWS!$G$10:$Z$41,MATCH($C153,UWS!$B$10:$B$41,0),MATCH(AH$4,UWS!$G$3:$Z$3,0)),0)</f>
        <v>0</v>
      </c>
      <c r="AI153">
        <f>IFERROR(INDEX(UWS!$G$10:$Z$41,MATCH($C153,UWS!$B$10:$B$41,0),MATCH(AI$4,UWS!$G$3:$Z$3,0)),0)</f>
        <v>0</v>
      </c>
      <c r="AK153" t="e">
        <f>IF(OR($J153=0,COUNTIFS($A$4:$A152,"&gt;="&amp;$A153-1,$A$4:$A152,"&lt;="&amp;$A153,$B$4:$B152,$B153)&gt;0,MIN(AK$1,IF($A153=$A152,AK152,1))-P153&lt;0),-1,MIN(1,IF($A153=$A152,AK152,1)-P153+$D$3))</f>
        <v>#N/A</v>
      </c>
      <c r="AL153" t="e">
        <f>IF(OR($J153=0,COUNTIFS($A$4:$A152,"&gt;="&amp;$A153-1,$A$4:$A152,"&lt;="&amp;$A153,$B$4:$B152,$B153)&gt;0,MIN(AL$1,IF($A153=$A152,AL152,1))-Q153&lt;0),-1,MIN(1,IF($A153=$A152,AL152,1)-Q153+$D$3))</f>
        <v>#N/A</v>
      </c>
      <c r="AM153" t="e">
        <f>IF(OR($J153=0,COUNTIFS($A$4:$A152,"&gt;="&amp;$A153-1,$A$4:$A152,"&lt;="&amp;$A153,$B$4:$B152,$B153)&gt;0,MIN(AM$1,IF($A153=$A152,AM152,1))-R153&lt;0),-1,MIN(1,IF($A153=$A152,AM152,1)-R153+$D$3))</f>
        <v>#N/A</v>
      </c>
      <c r="AN153" t="e">
        <f>IF(OR($J153=0,COUNTIFS($A$4:$A152,"&gt;="&amp;$A153-1,$A$4:$A152,"&lt;="&amp;$A153,$B$4:$B152,$B153)&gt;0,MIN(AN$1,IF($A153=$A152,AN152,1))-S153&lt;0),-1,MIN(1,IF($A153=$A152,AN152,1)-S153+$D$3))</f>
        <v>#N/A</v>
      </c>
      <c r="AO153" t="e">
        <f>IF(OR($J153=0,COUNTIFS($A$4:$A152,"&gt;="&amp;$A153-1,$A$4:$A152,"&lt;="&amp;$A153,$B$4:$B152,$B153)&gt;0,MIN(AO$1,IF($A153=$A152,AO152,1))-T153&lt;0),-1,MIN(1,IF($A153=$A152,AO152,1)-T153+$D$3))</f>
        <v>#N/A</v>
      </c>
      <c r="AP153" t="e">
        <f>IF(OR($J153=0,COUNTIFS($A$4:$A152,"&gt;="&amp;$A153-1,$A$4:$A152,"&lt;="&amp;$A153,$B$4:$B152,$B153)&gt;0,MIN(AP$1,IF($A153=$A152,AP152,1))-U153&lt;0),-1,MIN(1,IF($A153=$A152,AP152,1)-U153+$D$3))</f>
        <v>#N/A</v>
      </c>
      <c r="AQ153" t="e">
        <f>IF(OR($J153=0,COUNTIFS($A$4:$A152,"&gt;="&amp;$A153-1,$A$4:$A152,"&lt;="&amp;$A153,$B$4:$B152,$B153)&gt;0,MIN(AQ$1,IF($A153=$A152,AQ152,1))-V153&lt;0),-1,MIN(1,IF($A153=$A152,AQ152,1)-V153+$D$3))</f>
        <v>#N/A</v>
      </c>
      <c r="AR153" t="e">
        <f>IF(OR($J153=0,COUNTIFS($A$4:$A152,"&gt;="&amp;$A153-1,$A$4:$A152,"&lt;="&amp;$A153,$B$4:$B152,$B153)&gt;0,MIN(AR$1,IF($A153=$A152,AR152,1))-W153&lt;0),-1,MIN(1,IF($A153=$A152,AR152,1)-W153+$D$3))</f>
        <v>#N/A</v>
      </c>
      <c r="AS153" t="e">
        <f>IF(OR($J153=0,COUNTIFS($A$4:$A152,"&gt;="&amp;$A153-1,$A$4:$A152,"&lt;="&amp;$A153,$B$4:$B152,$B153)&gt;0,MIN(AS$1,IF($A153=$A152,AS152,1))-X153&lt;0),-1,MIN(1,IF($A153=$A152,AS152,1)-X153+$D$3))</f>
        <v>#N/A</v>
      </c>
      <c r="AT153" t="e">
        <f>IF(OR($J153=0,COUNTIFS($A$4:$A152,"&gt;="&amp;$A153-1,$A$4:$A152,"&lt;="&amp;$A153,$B$4:$B152,$B153)&gt;0,MIN(AT$1,IF($A153=$A152,AT152,1))-Y153&lt;0),-1,MIN(1,IF($A153=$A152,AT152,1)-Y153+$D$3))</f>
        <v>#N/A</v>
      </c>
      <c r="AU153" t="e">
        <f>IF(OR($J153=0,COUNTIFS($A$4:$A152,"&gt;="&amp;$A153-1,$A$4:$A152,"&lt;="&amp;$A153,$B$4:$B152,$B153)&gt;0,MIN(AU$1,IF($A153=$A152,AU152,1))-Z153&lt;0),-1,MIN(1,IF($A153=$A152,AU152,1)-Z153+$D$3))</f>
        <v>#N/A</v>
      </c>
      <c r="AV153" t="e">
        <f>IF(OR($J153=0,COUNTIFS($A$4:$A152,"&gt;="&amp;$A153-1,$A$4:$A152,"&lt;="&amp;$A153,$B$4:$B152,$B153)&gt;0,MIN(AV$1,IF($A153=$A152,AV152,1))-AA153&lt;0),-1,MIN(1,IF($A153=$A152,AV152,1)-AA153+$D$3))</f>
        <v>#N/A</v>
      </c>
      <c r="AW153" t="e">
        <f>IF(OR($J153=0,COUNTIFS($A$4:$A152,"&gt;="&amp;$A153-1,$A$4:$A152,"&lt;="&amp;$A153,$B$4:$B152,$B153)&gt;0,MIN(AW$1,IF($A153=$A152,AW152,1))-AB153&lt;0),-1,MIN(1,IF($A153=$A152,AW152,1)-AB153+$D$3))</f>
        <v>#N/A</v>
      </c>
      <c r="AX153" t="e">
        <f>IF(OR($J153=0,COUNTIFS($A$4:$A152,"&gt;="&amp;$A153-1,$A$4:$A152,"&lt;="&amp;$A153,$B$4:$B152,$B153)&gt;0,MIN(AX$1,IF($A153=$A152,AX152,1))-AC153&lt;0),-1,MIN(1,IF($A153=$A152,AX152,1)-AC153+$D$3))</f>
        <v>#N/A</v>
      </c>
      <c r="AY153" t="e">
        <f>IF(OR($J153=0,COUNTIFS($A$4:$A152,"&gt;="&amp;$A153-1,$A$4:$A152,"&lt;="&amp;$A153,$B$4:$B152,$B153)&gt;0,MIN(AY$1,IF($A153=$A152,AY152,1))-AD153&lt;0),-1,MIN(1,IF($A153=$A152,AY152,1)-AD153+$D$3))</f>
        <v>#N/A</v>
      </c>
      <c r="AZ153" t="e">
        <f>IF(OR($J153=0,COUNTIFS($A$4:$A152,"&gt;="&amp;$A153-1,$A$4:$A152,"&lt;="&amp;$A153,$B$4:$B152,$B153)&gt;0,MIN(AZ$1,IF($A153=$A152,AZ152,1))-AE153&lt;0),-1,MIN(1,IF($A153=$A152,AZ152,1)-AE153+$D$3))</f>
        <v>#N/A</v>
      </c>
      <c r="BA153" t="e">
        <f>IF(OR($J153=0,COUNTIFS($A$4:$A152,"&gt;="&amp;$A153-1,$A$4:$A152,"&lt;="&amp;$A153,$B$4:$B152,$B153)&gt;0,MIN(BA$1,IF($A153=$A152,BA152,1))-AF153&lt;0),-1,MIN(1,IF($A153=$A152,BA152,1)-AF153+$D$3))</f>
        <v>#N/A</v>
      </c>
      <c r="BB153" t="e">
        <f>IF(OR($J153=0,COUNTIFS($A$4:$A152,"&gt;="&amp;$A153-1,$A$4:$A152,"&lt;="&amp;$A153,$B$4:$B152,$B153)&gt;0,MIN(BB$1,IF($A153=$A152,BB152,1))-AG153&lt;0),-1,MIN(1,IF($A153=$A152,BB152,1)-AG153+$D$3))</f>
        <v>#N/A</v>
      </c>
      <c r="BC153" t="e">
        <f>IF(OR($J153=0,COUNTIFS($A$4:$A152,"&gt;="&amp;$A153-1,$A$4:$A152,"&lt;="&amp;$A153,$B$4:$B152,$B153)&gt;0,MIN(BC$1,IF($A153=$A152,BC152,1))-AH153&lt;0),-1,MIN(1,IF($A153=$A152,BC152,1)-AH153+$D$3))</f>
        <v>#N/A</v>
      </c>
      <c r="BD153" t="e">
        <f>IF(OR($J153=0,COUNTIFS($A$4:$A152,"&gt;="&amp;$A153-1,$A$4:$A152,"&lt;="&amp;$A153,$B$4:$B152,$B153)&gt;0,MIN(BD$1,IF($A153=$A152,BD152,1))-AI153&lt;0),-1,MIN(1,IF($A153=$A152,BD152,1)-AI153+$D$3))</f>
        <v>#N/A</v>
      </c>
      <c r="BF153" s="44">
        <f t="shared" si="223"/>
        <v>1.0165367449807092E-3</v>
      </c>
      <c r="BG153" s="44">
        <f t="shared" si="224"/>
        <v>2.4999507035285179E-3</v>
      </c>
      <c r="BH153" s="44">
        <f t="shared" si="225"/>
        <v>2.5621865020567861E-3</v>
      </c>
      <c r="BI153" s="44">
        <f t="shared" si="226"/>
        <v>2.3667489668469915E-3</v>
      </c>
      <c r="BJ153" s="44">
        <f t="shared" si="227"/>
        <v>2.4462597468211315E-3</v>
      </c>
      <c r="BK153" s="44">
        <f t="shared" si="228"/>
        <v>1.0505151439318733E-3</v>
      </c>
      <c r="BL153" s="44">
        <f t="shared" si="229"/>
        <v>5.6750480787045232E-4</v>
      </c>
      <c r="BM153" s="44">
        <f t="shared" si="230"/>
        <v>1.4436659608282006E-3</v>
      </c>
      <c r="BN153" s="44">
        <f t="shared" si="231"/>
        <v>1.5015251119182031E-3</v>
      </c>
      <c r="BO153" s="44">
        <f t="shared" si="232"/>
        <v>7.0367164378332147E-4</v>
      </c>
      <c r="BP153" s="44">
        <f t="shared" si="233"/>
        <v>2.3660802242775713E-3</v>
      </c>
      <c r="BQ153" s="44">
        <f t="shared" si="234"/>
        <v>6.3850710790967888E-4</v>
      </c>
      <c r="BR153" s="44">
        <f t="shared" si="235"/>
        <v>1.8863098318096401E-3</v>
      </c>
      <c r="BS153" s="44">
        <f t="shared" si="236"/>
        <v>1.0173119238411454E-3</v>
      </c>
      <c r="BT153" s="44">
        <f t="shared" si="237"/>
        <v>4.0258151665152828E-3</v>
      </c>
      <c r="BU153" s="44">
        <f t="shared" si="238"/>
        <v>3.8458648981058827E-3</v>
      </c>
      <c r="BV153" s="44">
        <f t="shared" si="239"/>
        <v>3.6934414104928134E-3</v>
      </c>
      <c r="BW153" s="44">
        <f t="shared" si="240"/>
        <v>2.4157139340840999E-3</v>
      </c>
      <c r="BX153" s="44">
        <f t="shared" si="241"/>
        <v>1.7846855869425094E-3</v>
      </c>
      <c r="BY153" s="44">
        <f t="shared" si="242"/>
        <v>1.5323577027067995E-3</v>
      </c>
      <c r="CA153" s="44" t="str">
        <f t="shared" si="243"/>
        <v/>
      </c>
      <c r="CB153" s="44" t="str">
        <f t="shared" si="244"/>
        <v/>
      </c>
      <c r="CC153" s="44" t="str">
        <f t="shared" si="245"/>
        <v/>
      </c>
      <c r="CD153" s="44" t="str">
        <f t="shared" si="246"/>
        <v/>
      </c>
      <c r="CE153" s="44" t="str">
        <f t="shared" si="247"/>
        <v/>
      </c>
      <c r="CF153" s="44" t="str">
        <f t="shared" si="248"/>
        <v/>
      </c>
      <c r="CG153" s="44" t="str">
        <f t="shared" si="249"/>
        <v/>
      </c>
      <c r="CH153" s="44" t="str">
        <f t="shared" si="250"/>
        <v/>
      </c>
      <c r="CI153" s="44" t="str">
        <f t="shared" si="251"/>
        <v/>
      </c>
      <c r="CJ153" s="44" t="str">
        <f t="shared" si="252"/>
        <v/>
      </c>
      <c r="CK153" s="44" t="str">
        <f t="shared" si="253"/>
        <v/>
      </c>
      <c r="CL153" s="44" t="str">
        <f t="shared" si="254"/>
        <v/>
      </c>
      <c r="CM153" s="44" t="str">
        <f t="shared" si="255"/>
        <v/>
      </c>
      <c r="CN153" s="44" t="str">
        <f t="shared" si="256"/>
        <v/>
      </c>
      <c r="CO153" s="44" t="str">
        <f t="shared" si="257"/>
        <v/>
      </c>
      <c r="CP153" s="44" t="str">
        <f t="shared" si="258"/>
        <v/>
      </c>
      <c r="CQ153" s="44" t="str">
        <f t="shared" si="259"/>
        <v/>
      </c>
      <c r="CR153" s="44" t="str">
        <f t="shared" si="260"/>
        <v/>
      </c>
      <c r="CS153" s="44" t="str">
        <f t="shared" si="261"/>
        <v/>
      </c>
      <c r="CT153" s="44" t="str">
        <f t="shared" si="262"/>
        <v/>
      </c>
      <c r="CV153" s="44">
        <f t="shared" si="263"/>
        <v>0</v>
      </c>
    </row>
    <row r="154" spans="1:100" x14ac:dyDescent="0.25">
      <c r="A154" s="41"/>
      <c r="B154" s="42"/>
      <c r="C154" s="43" t="str" cm="1">
        <f t="array" ref="C154">IF(B154="","",INDEX(UWS!$B$10:$B$41,B154))</f>
        <v/>
      </c>
      <c r="D154" s="40" t="str">
        <f t="shared" si="220"/>
        <v/>
      </c>
      <c r="E154" s="69" t="str">
        <f t="shared" si="221"/>
        <v/>
      </c>
      <c r="F154" s="48" cm="1">
        <f t="array" ref="F154">0.1+IFERROR(INDEX($F$5:$F153,SUMPRODUCT(MAX(ROW($C$5:$C153)*($C154=$C$5:$C153))-ROW($A$4)))*0.9^($A154-INDEX($A$5:A153,SUMPRODUCT(MAX(ROW($C$5:$C153)*($C154=$C$5:$C153))-ROW($A$4)))),0)</f>
        <v>8.8999999999999844</v>
      </c>
      <c r="G154" s="55" t="e">
        <f>INDEX(UWS!$AB$10:$AB$41,MATCH(C154,UWS!$B$10:$B$41,0))</f>
        <v>#N/A</v>
      </c>
      <c r="H154" s="48" t="e">
        <f>INDEX(UWS!$C$10:$C$41,MATCH(C154,UWS!$B$10:$B$41,0))</f>
        <v>#N/A</v>
      </c>
      <c r="I154" s="27">
        <f t="shared" si="222"/>
        <v>5</v>
      </c>
      <c r="J154" s="27" t="e">
        <f>INDEX(UWS!$E$10:$E$41,MATCH(C154,UWS!$B$10:$B$41,0))</f>
        <v>#N/A</v>
      </c>
      <c r="L154" s="108" t="str" cm="1">
        <f t="array" ref="L154">IF(K154="","",INDEX(UWS!$B$10:$B$41,K154))</f>
        <v/>
      </c>
      <c r="N154" s="108" t="str" cm="1">
        <f t="array" ref="N154">IF(M154="","",INDEX(UWS!$B$10:$B$41,M154))</f>
        <v/>
      </c>
      <c r="P154">
        <f>IFERROR(INDEX(UWS!$G$10:$Z$41,MATCH($C154,UWS!$B$10:$B$41,0),MATCH(P$4,UWS!$G$3:$Z$3,0)),0)</f>
        <v>0</v>
      </c>
      <c r="Q154">
        <f>IFERROR(INDEX(UWS!$G$10:$Z$41,MATCH($C154,UWS!$B$10:$B$41,0),MATCH(Q$4,UWS!$G$3:$Z$3,0)),0)</f>
        <v>0</v>
      </c>
      <c r="R154">
        <f>IFERROR(INDEX(UWS!$G$10:$Z$41,MATCH($C154,UWS!$B$10:$B$41,0),MATCH(R$4,UWS!$G$3:$Z$3,0)),0)</f>
        <v>0</v>
      </c>
      <c r="S154">
        <f>IFERROR(INDEX(UWS!$G$10:$Z$41,MATCH($C154,UWS!$B$10:$B$41,0),MATCH(S$4,UWS!$G$3:$Z$3,0)),0)</f>
        <v>0</v>
      </c>
      <c r="T154">
        <f>IFERROR(INDEX(UWS!$G$10:$Z$41,MATCH($C154,UWS!$B$10:$B$41,0),MATCH(T$4,UWS!$G$3:$Z$3,0)),0)</f>
        <v>0</v>
      </c>
      <c r="U154">
        <f>IFERROR(INDEX(UWS!$G$10:$Z$41,MATCH($C154,UWS!$B$10:$B$41,0),MATCH(U$4,UWS!$G$3:$Z$3,0)),0)</f>
        <v>0</v>
      </c>
      <c r="V154">
        <f>IFERROR(INDEX(UWS!$G$10:$Z$41,MATCH($C154,UWS!$B$10:$B$41,0),MATCH(V$4,UWS!$G$3:$Z$3,0)),0)</f>
        <v>0</v>
      </c>
      <c r="W154">
        <f>IFERROR(INDEX(UWS!$G$10:$Z$41,MATCH($C154,UWS!$B$10:$B$41,0),MATCH(W$4,UWS!$G$3:$Z$3,0)),0)</f>
        <v>0</v>
      </c>
      <c r="X154">
        <f>IFERROR(INDEX(UWS!$G$10:$Z$41,MATCH($C154,UWS!$B$10:$B$41,0),MATCH(X$4,UWS!$G$3:$Z$3,0)),0)</f>
        <v>0</v>
      </c>
      <c r="Y154">
        <f>IFERROR(INDEX(UWS!$G$10:$Z$41,MATCH($C154,UWS!$B$10:$B$41,0),MATCH(Y$4,UWS!$G$3:$Z$3,0)),0)</f>
        <v>0</v>
      </c>
      <c r="Z154">
        <f>IFERROR(INDEX(UWS!$G$10:$Z$41,MATCH($C154,UWS!$B$10:$B$41,0),MATCH(Z$4,UWS!$G$3:$Z$3,0)),0)</f>
        <v>0</v>
      </c>
      <c r="AA154">
        <f>IFERROR(INDEX(UWS!$G$10:$Z$41,MATCH($C154,UWS!$B$10:$B$41,0),MATCH(AA$4,UWS!$G$3:$Z$3,0)),0)</f>
        <v>0</v>
      </c>
      <c r="AB154">
        <f>IFERROR(INDEX(UWS!$G$10:$Z$41,MATCH($C154,UWS!$B$10:$B$41,0),MATCH(AB$4,UWS!$G$3:$Z$3,0)),0)</f>
        <v>0</v>
      </c>
      <c r="AC154">
        <f>IFERROR(INDEX(UWS!$G$10:$Z$41,MATCH($C154,UWS!$B$10:$B$41,0),MATCH(AC$4,UWS!$G$3:$Z$3,0)),0)</f>
        <v>0</v>
      </c>
      <c r="AD154">
        <f>IFERROR(INDEX(UWS!$G$10:$Z$41,MATCH($C154,UWS!$B$10:$B$41,0),MATCH(AD$4,UWS!$G$3:$Z$3,0)),0)</f>
        <v>0</v>
      </c>
      <c r="AE154">
        <f>IFERROR(INDEX(UWS!$G$10:$Z$41,MATCH($C154,UWS!$B$10:$B$41,0),MATCH(AE$4,UWS!$G$3:$Z$3,0)),0)</f>
        <v>0</v>
      </c>
      <c r="AF154">
        <f>IFERROR(INDEX(UWS!$G$10:$Z$41,MATCH($C154,UWS!$B$10:$B$41,0),MATCH(AF$4,UWS!$G$3:$Z$3,0)),0)</f>
        <v>0</v>
      </c>
      <c r="AG154">
        <f>IFERROR(INDEX(UWS!$G$10:$Z$41,MATCH($C154,UWS!$B$10:$B$41,0),MATCH(AG$4,UWS!$G$3:$Z$3,0)),0)</f>
        <v>0</v>
      </c>
      <c r="AH154">
        <f>IFERROR(INDEX(UWS!$G$10:$Z$41,MATCH($C154,UWS!$B$10:$B$41,0),MATCH(AH$4,UWS!$G$3:$Z$3,0)),0)</f>
        <v>0</v>
      </c>
      <c r="AI154">
        <f>IFERROR(INDEX(UWS!$G$10:$Z$41,MATCH($C154,UWS!$B$10:$B$41,0),MATCH(AI$4,UWS!$G$3:$Z$3,0)),0)</f>
        <v>0</v>
      </c>
      <c r="AK154" t="e">
        <f>IF(OR($J154=0,COUNTIFS($A$4:$A153,"&gt;="&amp;$A154-1,$A$4:$A153,"&lt;="&amp;$A154,$B$4:$B153,$B154)&gt;0,MIN(AK$1,IF($A154=$A153,AK153,1))-P154&lt;0),-1,MIN(1,IF($A154=$A153,AK153,1)-P154+$D$3))</f>
        <v>#N/A</v>
      </c>
      <c r="AL154" t="e">
        <f>IF(OR($J154=0,COUNTIFS($A$4:$A153,"&gt;="&amp;$A154-1,$A$4:$A153,"&lt;="&amp;$A154,$B$4:$B153,$B154)&gt;0,MIN(AL$1,IF($A154=$A153,AL153,1))-Q154&lt;0),-1,MIN(1,IF($A154=$A153,AL153,1)-Q154+$D$3))</f>
        <v>#N/A</v>
      </c>
      <c r="AM154" t="e">
        <f>IF(OR($J154=0,COUNTIFS($A$4:$A153,"&gt;="&amp;$A154-1,$A$4:$A153,"&lt;="&amp;$A154,$B$4:$B153,$B154)&gt;0,MIN(AM$1,IF($A154=$A153,AM153,1))-R154&lt;0),-1,MIN(1,IF($A154=$A153,AM153,1)-R154+$D$3))</f>
        <v>#N/A</v>
      </c>
      <c r="AN154" t="e">
        <f>IF(OR($J154=0,COUNTIFS($A$4:$A153,"&gt;="&amp;$A154-1,$A$4:$A153,"&lt;="&amp;$A154,$B$4:$B153,$B154)&gt;0,MIN(AN$1,IF($A154=$A153,AN153,1))-S154&lt;0),-1,MIN(1,IF($A154=$A153,AN153,1)-S154+$D$3))</f>
        <v>#N/A</v>
      </c>
      <c r="AO154" t="e">
        <f>IF(OR($J154=0,COUNTIFS($A$4:$A153,"&gt;="&amp;$A154-1,$A$4:$A153,"&lt;="&amp;$A154,$B$4:$B153,$B154)&gt;0,MIN(AO$1,IF($A154=$A153,AO153,1))-T154&lt;0),-1,MIN(1,IF($A154=$A153,AO153,1)-T154+$D$3))</f>
        <v>#N/A</v>
      </c>
      <c r="AP154" t="e">
        <f>IF(OR($J154=0,COUNTIFS($A$4:$A153,"&gt;="&amp;$A154-1,$A$4:$A153,"&lt;="&amp;$A154,$B$4:$B153,$B154)&gt;0,MIN(AP$1,IF($A154=$A153,AP153,1))-U154&lt;0),-1,MIN(1,IF($A154=$A153,AP153,1)-U154+$D$3))</f>
        <v>#N/A</v>
      </c>
      <c r="AQ154" t="e">
        <f>IF(OR($J154=0,COUNTIFS($A$4:$A153,"&gt;="&amp;$A154-1,$A$4:$A153,"&lt;="&amp;$A154,$B$4:$B153,$B154)&gt;0,MIN(AQ$1,IF($A154=$A153,AQ153,1))-V154&lt;0),-1,MIN(1,IF($A154=$A153,AQ153,1)-V154+$D$3))</f>
        <v>#N/A</v>
      </c>
      <c r="AR154" t="e">
        <f>IF(OR($J154=0,COUNTIFS($A$4:$A153,"&gt;="&amp;$A154-1,$A$4:$A153,"&lt;="&amp;$A154,$B$4:$B153,$B154)&gt;0,MIN(AR$1,IF($A154=$A153,AR153,1))-W154&lt;0),-1,MIN(1,IF($A154=$A153,AR153,1)-W154+$D$3))</f>
        <v>#N/A</v>
      </c>
      <c r="AS154" t="e">
        <f>IF(OR($J154=0,COUNTIFS($A$4:$A153,"&gt;="&amp;$A154-1,$A$4:$A153,"&lt;="&amp;$A154,$B$4:$B153,$B154)&gt;0,MIN(AS$1,IF($A154=$A153,AS153,1))-X154&lt;0),-1,MIN(1,IF($A154=$A153,AS153,1)-X154+$D$3))</f>
        <v>#N/A</v>
      </c>
      <c r="AT154" t="e">
        <f>IF(OR($J154=0,COUNTIFS($A$4:$A153,"&gt;="&amp;$A154-1,$A$4:$A153,"&lt;="&amp;$A154,$B$4:$B153,$B154)&gt;0,MIN(AT$1,IF($A154=$A153,AT153,1))-Y154&lt;0),-1,MIN(1,IF($A154=$A153,AT153,1)-Y154+$D$3))</f>
        <v>#N/A</v>
      </c>
      <c r="AU154" t="e">
        <f>IF(OR($J154=0,COUNTIFS($A$4:$A153,"&gt;="&amp;$A154-1,$A$4:$A153,"&lt;="&amp;$A154,$B$4:$B153,$B154)&gt;0,MIN(AU$1,IF($A154=$A153,AU153,1))-Z154&lt;0),-1,MIN(1,IF($A154=$A153,AU153,1)-Z154+$D$3))</f>
        <v>#N/A</v>
      </c>
      <c r="AV154" t="e">
        <f>IF(OR($J154=0,COUNTIFS($A$4:$A153,"&gt;="&amp;$A154-1,$A$4:$A153,"&lt;="&amp;$A154,$B$4:$B153,$B154)&gt;0,MIN(AV$1,IF($A154=$A153,AV153,1))-AA154&lt;0),-1,MIN(1,IF($A154=$A153,AV153,1)-AA154+$D$3))</f>
        <v>#N/A</v>
      </c>
      <c r="AW154" t="e">
        <f>IF(OR($J154=0,COUNTIFS($A$4:$A153,"&gt;="&amp;$A154-1,$A$4:$A153,"&lt;="&amp;$A154,$B$4:$B153,$B154)&gt;0,MIN(AW$1,IF($A154=$A153,AW153,1))-AB154&lt;0),-1,MIN(1,IF($A154=$A153,AW153,1)-AB154+$D$3))</f>
        <v>#N/A</v>
      </c>
      <c r="AX154" t="e">
        <f>IF(OR($J154=0,COUNTIFS($A$4:$A153,"&gt;="&amp;$A154-1,$A$4:$A153,"&lt;="&amp;$A154,$B$4:$B153,$B154)&gt;0,MIN(AX$1,IF($A154=$A153,AX153,1))-AC154&lt;0),-1,MIN(1,IF($A154=$A153,AX153,1)-AC154+$D$3))</f>
        <v>#N/A</v>
      </c>
      <c r="AY154" t="e">
        <f>IF(OR($J154=0,COUNTIFS($A$4:$A153,"&gt;="&amp;$A154-1,$A$4:$A153,"&lt;="&amp;$A154,$B$4:$B153,$B154)&gt;0,MIN(AY$1,IF($A154=$A153,AY153,1))-AD154&lt;0),-1,MIN(1,IF($A154=$A153,AY153,1)-AD154+$D$3))</f>
        <v>#N/A</v>
      </c>
      <c r="AZ154" t="e">
        <f>IF(OR($J154=0,COUNTIFS($A$4:$A153,"&gt;="&amp;$A154-1,$A$4:$A153,"&lt;="&amp;$A154,$B$4:$B153,$B154)&gt;0,MIN(AZ$1,IF($A154=$A153,AZ153,1))-AE154&lt;0),-1,MIN(1,IF($A154=$A153,AZ153,1)-AE154+$D$3))</f>
        <v>#N/A</v>
      </c>
      <c r="BA154" t="e">
        <f>IF(OR($J154=0,COUNTIFS($A$4:$A153,"&gt;="&amp;$A154-1,$A$4:$A153,"&lt;="&amp;$A154,$B$4:$B153,$B154)&gt;0,MIN(BA$1,IF($A154=$A153,BA153,1))-AF154&lt;0),-1,MIN(1,IF($A154=$A153,BA153,1)-AF154+$D$3))</f>
        <v>#N/A</v>
      </c>
      <c r="BB154" t="e">
        <f>IF(OR($J154=0,COUNTIFS($A$4:$A153,"&gt;="&amp;$A154-1,$A$4:$A153,"&lt;="&amp;$A154,$B$4:$B153,$B154)&gt;0,MIN(BB$1,IF($A154=$A153,BB153,1))-AG154&lt;0),-1,MIN(1,IF($A154=$A153,BB153,1)-AG154+$D$3))</f>
        <v>#N/A</v>
      </c>
      <c r="BC154" t="e">
        <f>IF(OR($J154=0,COUNTIFS($A$4:$A153,"&gt;="&amp;$A154-1,$A$4:$A153,"&lt;="&amp;$A154,$B$4:$B153,$B154)&gt;0,MIN(BC$1,IF($A154=$A153,BC153,1))-AH154&lt;0),-1,MIN(1,IF($A154=$A153,BC153,1)-AH154+$D$3))</f>
        <v>#N/A</v>
      </c>
      <c r="BD154" t="e">
        <f>IF(OR($J154=0,COUNTIFS($A$4:$A153,"&gt;="&amp;$A154-1,$A$4:$A153,"&lt;="&amp;$A154,$B$4:$B153,$B154)&gt;0,MIN(BD$1,IF($A154=$A153,BD153,1))-AI154&lt;0),-1,MIN(1,IF($A154=$A153,BD153,1)-AI154+$D$3))</f>
        <v>#N/A</v>
      </c>
      <c r="BF154" s="44">
        <f t="shared" si="223"/>
        <v>9.6570990773167371E-4</v>
      </c>
      <c r="BG154" s="44">
        <f t="shared" si="224"/>
        <v>2.3749531683520918E-3</v>
      </c>
      <c r="BH154" s="44">
        <f t="shared" si="225"/>
        <v>2.4340771769539465E-3</v>
      </c>
      <c r="BI154" s="44">
        <f t="shared" si="226"/>
        <v>2.2484115185046416E-3</v>
      </c>
      <c r="BJ154" s="44">
        <f t="shared" si="227"/>
        <v>2.3239467594800747E-3</v>
      </c>
      <c r="BK154" s="44">
        <f t="shared" si="228"/>
        <v>9.9798938673527956E-4</v>
      </c>
      <c r="BL154" s="44">
        <f t="shared" si="229"/>
        <v>5.3912956747692966E-4</v>
      </c>
      <c r="BM154" s="44">
        <f t="shared" si="230"/>
        <v>1.3714826627867906E-3</v>
      </c>
      <c r="BN154" s="44">
        <f t="shared" si="231"/>
        <v>1.4264488563222929E-3</v>
      </c>
      <c r="BO154" s="44">
        <f t="shared" si="232"/>
        <v>6.6848806159415541E-4</v>
      </c>
      <c r="BP154" s="44">
        <f t="shared" si="233"/>
        <v>2.2477762130636925E-3</v>
      </c>
      <c r="BQ154" s="44">
        <f t="shared" si="234"/>
        <v>6.0658175251419486E-4</v>
      </c>
      <c r="BR154" s="44">
        <f t="shared" si="235"/>
        <v>1.7919943402191581E-3</v>
      </c>
      <c r="BS154" s="44">
        <f t="shared" si="236"/>
        <v>9.6644632764908813E-4</v>
      </c>
      <c r="BT154" s="44">
        <f t="shared" si="237"/>
        <v>3.8245244081895184E-3</v>
      </c>
      <c r="BU154" s="44">
        <f t="shared" si="238"/>
        <v>3.6535716532005882E-3</v>
      </c>
      <c r="BV154" s="44">
        <f t="shared" si="239"/>
        <v>3.5087693399681727E-3</v>
      </c>
      <c r="BW154" s="44">
        <f t="shared" si="240"/>
        <v>2.2949282373798947E-3</v>
      </c>
      <c r="BX154" s="44">
        <f t="shared" si="241"/>
        <v>1.6954513075953838E-3</v>
      </c>
      <c r="BY154" s="44">
        <f t="shared" si="242"/>
        <v>1.4557398175714595E-3</v>
      </c>
      <c r="CA154" s="44" t="str">
        <f t="shared" si="243"/>
        <v/>
      </c>
      <c r="CB154" s="44" t="str">
        <f t="shared" si="244"/>
        <v/>
      </c>
      <c r="CC154" s="44" t="str">
        <f t="shared" si="245"/>
        <v/>
      </c>
      <c r="CD154" s="44" t="str">
        <f t="shared" si="246"/>
        <v/>
      </c>
      <c r="CE154" s="44" t="str">
        <f t="shared" si="247"/>
        <v/>
      </c>
      <c r="CF154" s="44" t="str">
        <f t="shared" si="248"/>
        <v/>
      </c>
      <c r="CG154" s="44" t="str">
        <f t="shared" si="249"/>
        <v/>
      </c>
      <c r="CH154" s="44" t="str">
        <f t="shared" si="250"/>
        <v/>
      </c>
      <c r="CI154" s="44" t="str">
        <f t="shared" si="251"/>
        <v/>
      </c>
      <c r="CJ154" s="44" t="str">
        <f t="shared" si="252"/>
        <v/>
      </c>
      <c r="CK154" s="44" t="str">
        <f t="shared" si="253"/>
        <v/>
      </c>
      <c r="CL154" s="44" t="str">
        <f t="shared" si="254"/>
        <v/>
      </c>
      <c r="CM154" s="44" t="str">
        <f t="shared" si="255"/>
        <v/>
      </c>
      <c r="CN154" s="44" t="str">
        <f t="shared" si="256"/>
        <v/>
      </c>
      <c r="CO154" s="44" t="str">
        <f t="shared" si="257"/>
        <v/>
      </c>
      <c r="CP154" s="44" t="str">
        <f t="shared" si="258"/>
        <v/>
      </c>
      <c r="CQ154" s="44" t="str">
        <f t="shared" si="259"/>
        <v/>
      </c>
      <c r="CR154" s="44" t="str">
        <f t="shared" si="260"/>
        <v/>
      </c>
      <c r="CS154" s="44" t="str">
        <f t="shared" si="261"/>
        <v/>
      </c>
      <c r="CT154" s="44" t="str">
        <f t="shared" si="262"/>
        <v/>
      </c>
      <c r="CV154" s="44">
        <f t="shared" si="263"/>
        <v>0</v>
      </c>
    </row>
    <row r="155" spans="1:100" x14ac:dyDescent="0.25">
      <c r="A155" s="49"/>
      <c r="B155" s="50"/>
      <c r="C155" s="51" t="str" cm="1">
        <f t="array" ref="C155">IF(B155="","",INDEX(UWS!$B$10:$B$41,B155))</f>
        <v/>
      </c>
      <c r="D155" s="45" t="str">
        <f t="shared" si="220"/>
        <v/>
      </c>
      <c r="E155" s="70" t="str">
        <f t="shared" si="221"/>
        <v/>
      </c>
      <c r="F155" s="52" cm="1">
        <f t="array" ref="F155">0.1+IFERROR(INDEX($F$5:$F154,SUMPRODUCT(MAX(ROW($C$5:$C154)*($C155=$C$5:$C154))-ROW($A$4)))*0.9^($A155-INDEX($A$5:A154,SUMPRODUCT(MAX(ROW($C$5:$C154)*($C155=$C$5:$C154))-ROW($A$4)))),0)</f>
        <v>8.999999999999984</v>
      </c>
      <c r="G155" s="56" t="e">
        <f>INDEX(UWS!$AB$10:$AB$41,MATCH(C155,UWS!$B$10:$B$41,0))</f>
        <v>#N/A</v>
      </c>
      <c r="H155" s="52" t="e">
        <f>INDEX(UWS!$C$10:$C$41,MATCH(C155,UWS!$B$10:$B$41,0))</f>
        <v>#N/A</v>
      </c>
      <c r="I155" s="46">
        <f t="shared" si="222"/>
        <v>5</v>
      </c>
      <c r="J155" s="46" t="e">
        <f>INDEX(UWS!$E$10:$E$41,MATCH(C155,UWS!$B$10:$B$41,0))</f>
        <v>#N/A</v>
      </c>
      <c r="K155" s="46"/>
      <c r="L155" s="109" t="str" cm="1">
        <f t="array" ref="L155">IF(K155="","",INDEX(UWS!$B$10:$B$41,K155))</f>
        <v/>
      </c>
      <c r="M155" s="46"/>
      <c r="N155" s="109" t="str" cm="1">
        <f t="array" ref="N155">IF(M155="","",INDEX(UWS!$B$10:$B$41,M155))</f>
        <v/>
      </c>
      <c r="O155" s="47"/>
      <c r="P155" s="47">
        <f>IFERROR(INDEX(UWS!$G$10:$Z$41,MATCH($C155,UWS!$B$10:$B$41,0),MATCH(P$4,UWS!$G$3:$Z$3,0)),0)</f>
        <v>0</v>
      </c>
      <c r="Q155" s="47">
        <f>IFERROR(INDEX(UWS!$G$10:$Z$41,MATCH($C155,UWS!$B$10:$B$41,0),MATCH(Q$4,UWS!$G$3:$Z$3,0)),0)</f>
        <v>0</v>
      </c>
      <c r="R155" s="47">
        <f>IFERROR(INDEX(UWS!$G$10:$Z$41,MATCH($C155,UWS!$B$10:$B$41,0),MATCH(R$4,UWS!$G$3:$Z$3,0)),0)</f>
        <v>0</v>
      </c>
      <c r="S155" s="47">
        <f>IFERROR(INDEX(UWS!$G$10:$Z$41,MATCH($C155,UWS!$B$10:$B$41,0),MATCH(S$4,UWS!$G$3:$Z$3,0)),0)</f>
        <v>0</v>
      </c>
      <c r="T155" s="47">
        <f>IFERROR(INDEX(UWS!$G$10:$Z$41,MATCH($C155,UWS!$B$10:$B$41,0),MATCH(T$4,UWS!$G$3:$Z$3,0)),0)</f>
        <v>0</v>
      </c>
      <c r="U155" s="47">
        <f>IFERROR(INDEX(UWS!$G$10:$Z$41,MATCH($C155,UWS!$B$10:$B$41,0),MATCH(U$4,UWS!$G$3:$Z$3,0)),0)</f>
        <v>0</v>
      </c>
      <c r="V155" s="47">
        <f>IFERROR(INDEX(UWS!$G$10:$Z$41,MATCH($C155,UWS!$B$10:$B$41,0),MATCH(V$4,UWS!$G$3:$Z$3,0)),0)</f>
        <v>0</v>
      </c>
      <c r="W155" s="47">
        <f>IFERROR(INDEX(UWS!$G$10:$Z$41,MATCH($C155,UWS!$B$10:$B$41,0),MATCH(W$4,UWS!$G$3:$Z$3,0)),0)</f>
        <v>0</v>
      </c>
      <c r="X155" s="47">
        <f>IFERROR(INDEX(UWS!$G$10:$Z$41,MATCH($C155,UWS!$B$10:$B$41,0),MATCH(X$4,UWS!$G$3:$Z$3,0)),0)</f>
        <v>0</v>
      </c>
      <c r="Y155" s="47">
        <f>IFERROR(INDEX(UWS!$G$10:$Z$41,MATCH($C155,UWS!$B$10:$B$41,0),MATCH(Y$4,UWS!$G$3:$Z$3,0)),0)</f>
        <v>0</v>
      </c>
      <c r="Z155" s="47">
        <f>IFERROR(INDEX(UWS!$G$10:$Z$41,MATCH($C155,UWS!$B$10:$B$41,0),MATCH(Z$4,UWS!$G$3:$Z$3,0)),0)</f>
        <v>0</v>
      </c>
      <c r="AA155" s="47">
        <f>IFERROR(INDEX(UWS!$G$10:$Z$41,MATCH($C155,UWS!$B$10:$B$41,0),MATCH(AA$4,UWS!$G$3:$Z$3,0)),0)</f>
        <v>0</v>
      </c>
      <c r="AB155" s="47">
        <f>IFERROR(INDEX(UWS!$G$10:$Z$41,MATCH($C155,UWS!$B$10:$B$41,0),MATCH(AB$4,UWS!$G$3:$Z$3,0)),0)</f>
        <v>0</v>
      </c>
      <c r="AC155" s="47">
        <f>IFERROR(INDEX(UWS!$G$10:$Z$41,MATCH($C155,UWS!$B$10:$B$41,0),MATCH(AC$4,UWS!$G$3:$Z$3,0)),0)</f>
        <v>0</v>
      </c>
      <c r="AD155" s="47">
        <f>IFERROR(INDEX(UWS!$G$10:$Z$41,MATCH($C155,UWS!$B$10:$B$41,0),MATCH(AD$4,UWS!$G$3:$Z$3,0)),0)</f>
        <v>0</v>
      </c>
      <c r="AE155" s="47">
        <f>IFERROR(INDEX(UWS!$G$10:$Z$41,MATCH($C155,UWS!$B$10:$B$41,0),MATCH(AE$4,UWS!$G$3:$Z$3,0)),0)</f>
        <v>0</v>
      </c>
      <c r="AF155" s="47">
        <f>IFERROR(INDEX(UWS!$G$10:$Z$41,MATCH($C155,UWS!$B$10:$B$41,0),MATCH(AF$4,UWS!$G$3:$Z$3,0)),0)</f>
        <v>0</v>
      </c>
      <c r="AG155" s="47">
        <f>IFERROR(INDEX(UWS!$G$10:$Z$41,MATCH($C155,UWS!$B$10:$B$41,0),MATCH(AG$4,UWS!$G$3:$Z$3,0)),0)</f>
        <v>0</v>
      </c>
      <c r="AH155" s="47">
        <f>IFERROR(INDEX(UWS!$G$10:$Z$41,MATCH($C155,UWS!$B$10:$B$41,0),MATCH(AH$4,UWS!$G$3:$Z$3,0)),0)</f>
        <v>0</v>
      </c>
      <c r="AI155" s="47">
        <f>IFERROR(INDEX(UWS!$G$10:$Z$41,MATCH($C155,UWS!$B$10:$B$41,0),MATCH(AI$4,UWS!$G$3:$Z$3,0)),0)</f>
        <v>0</v>
      </c>
      <c r="AJ155" s="47"/>
      <c r="AK155" s="47" t="e">
        <f>IF(OR($J155=0,COUNTIFS($A$4:$A154,"&gt;="&amp;$A155-1,$A$4:$A154,"&lt;="&amp;$A155,$B$4:$B154,$B155)&gt;0,MIN(AK$1,IF($A155=$A154,AK154,1))-P155&lt;0),-1,MIN(1,IF($A155=$A154,AK154,1)-P155+$D$3))</f>
        <v>#N/A</v>
      </c>
      <c r="AL155" s="47" t="e">
        <f>IF(OR($J155=0,COUNTIFS($A$4:$A154,"&gt;="&amp;$A155-1,$A$4:$A154,"&lt;="&amp;$A155,$B$4:$B154,$B155)&gt;0,MIN(AL$1,IF($A155=$A154,AL154,1))-Q155&lt;0),-1,MIN(1,IF($A155=$A154,AL154,1)-Q155+$D$3))</f>
        <v>#N/A</v>
      </c>
      <c r="AM155" s="47" t="e">
        <f>IF(OR($J155=0,COUNTIFS($A$4:$A154,"&gt;="&amp;$A155-1,$A$4:$A154,"&lt;="&amp;$A155,$B$4:$B154,$B155)&gt;0,MIN(AM$1,IF($A155=$A154,AM154,1))-R155&lt;0),-1,MIN(1,IF($A155=$A154,AM154,1)-R155+$D$3))</f>
        <v>#N/A</v>
      </c>
      <c r="AN155" s="47" t="e">
        <f>IF(OR($J155=0,COUNTIFS($A$4:$A154,"&gt;="&amp;$A155-1,$A$4:$A154,"&lt;="&amp;$A155,$B$4:$B154,$B155)&gt;0,MIN(AN$1,IF($A155=$A154,AN154,1))-S155&lt;0),-1,MIN(1,IF($A155=$A154,AN154,1)-S155+$D$3))</f>
        <v>#N/A</v>
      </c>
      <c r="AO155" s="47" t="e">
        <f>IF(OR($J155=0,COUNTIFS($A$4:$A154,"&gt;="&amp;$A155-1,$A$4:$A154,"&lt;="&amp;$A155,$B$4:$B154,$B155)&gt;0,MIN(AO$1,IF($A155=$A154,AO154,1))-T155&lt;0),-1,MIN(1,IF($A155=$A154,AO154,1)-T155+$D$3))</f>
        <v>#N/A</v>
      </c>
      <c r="AP155" s="47" t="e">
        <f>IF(OR($J155=0,COUNTIFS($A$4:$A154,"&gt;="&amp;$A155-1,$A$4:$A154,"&lt;="&amp;$A155,$B$4:$B154,$B155)&gt;0,MIN(AP$1,IF($A155=$A154,AP154,1))-U155&lt;0),-1,MIN(1,IF($A155=$A154,AP154,1)-U155+$D$3))</f>
        <v>#N/A</v>
      </c>
      <c r="AQ155" s="47" t="e">
        <f>IF(OR($J155=0,COUNTIFS($A$4:$A154,"&gt;="&amp;$A155-1,$A$4:$A154,"&lt;="&amp;$A155,$B$4:$B154,$B155)&gt;0,MIN(AQ$1,IF($A155=$A154,AQ154,1))-V155&lt;0),-1,MIN(1,IF($A155=$A154,AQ154,1)-V155+$D$3))</f>
        <v>#N/A</v>
      </c>
      <c r="AR155" s="47" t="e">
        <f>IF(OR($J155=0,COUNTIFS($A$4:$A154,"&gt;="&amp;$A155-1,$A$4:$A154,"&lt;="&amp;$A155,$B$4:$B154,$B155)&gt;0,MIN(AR$1,IF($A155=$A154,AR154,1))-W155&lt;0),-1,MIN(1,IF($A155=$A154,AR154,1)-W155+$D$3))</f>
        <v>#N/A</v>
      </c>
      <c r="AS155" s="47" t="e">
        <f>IF(OR($J155=0,COUNTIFS($A$4:$A154,"&gt;="&amp;$A155-1,$A$4:$A154,"&lt;="&amp;$A155,$B$4:$B154,$B155)&gt;0,MIN(AS$1,IF($A155=$A154,AS154,1))-X155&lt;0),-1,MIN(1,IF($A155=$A154,AS154,1)-X155+$D$3))</f>
        <v>#N/A</v>
      </c>
      <c r="AT155" s="47" t="e">
        <f>IF(OR($J155=0,COUNTIFS($A$4:$A154,"&gt;="&amp;$A155-1,$A$4:$A154,"&lt;="&amp;$A155,$B$4:$B154,$B155)&gt;0,MIN(AT$1,IF($A155=$A154,AT154,1))-Y155&lt;0),-1,MIN(1,IF($A155=$A154,AT154,1)-Y155+$D$3))</f>
        <v>#N/A</v>
      </c>
      <c r="AU155" s="47" t="e">
        <f>IF(OR($J155=0,COUNTIFS($A$4:$A154,"&gt;="&amp;$A155-1,$A$4:$A154,"&lt;="&amp;$A155,$B$4:$B154,$B155)&gt;0,MIN(AU$1,IF($A155=$A154,AU154,1))-Z155&lt;0),-1,MIN(1,IF($A155=$A154,AU154,1)-Z155+$D$3))</f>
        <v>#N/A</v>
      </c>
      <c r="AV155" s="47" t="e">
        <f>IF(OR($J155=0,COUNTIFS($A$4:$A154,"&gt;="&amp;$A155-1,$A$4:$A154,"&lt;="&amp;$A155,$B$4:$B154,$B155)&gt;0,MIN(AV$1,IF($A155=$A154,AV154,1))-AA155&lt;0),-1,MIN(1,IF($A155=$A154,AV154,1)-AA155+$D$3))</f>
        <v>#N/A</v>
      </c>
      <c r="AW155" s="47" t="e">
        <f>IF(OR($J155=0,COUNTIFS($A$4:$A154,"&gt;="&amp;$A155-1,$A$4:$A154,"&lt;="&amp;$A155,$B$4:$B154,$B155)&gt;0,MIN(AW$1,IF($A155=$A154,AW154,1))-AB155&lt;0),-1,MIN(1,IF($A155=$A154,AW154,1)-AB155+$D$3))</f>
        <v>#N/A</v>
      </c>
      <c r="AX155" s="47" t="e">
        <f>IF(OR($J155=0,COUNTIFS($A$4:$A154,"&gt;="&amp;$A155-1,$A$4:$A154,"&lt;="&amp;$A155,$B$4:$B154,$B155)&gt;0,MIN(AX$1,IF($A155=$A154,AX154,1))-AC155&lt;0),-1,MIN(1,IF($A155=$A154,AX154,1)-AC155+$D$3))</f>
        <v>#N/A</v>
      </c>
      <c r="AY155" s="47" t="e">
        <f>IF(OR($J155=0,COUNTIFS($A$4:$A154,"&gt;="&amp;$A155-1,$A$4:$A154,"&lt;="&amp;$A155,$B$4:$B154,$B155)&gt;0,MIN(AY$1,IF($A155=$A154,AY154,1))-AD155&lt;0),-1,MIN(1,IF($A155=$A154,AY154,1)-AD155+$D$3))</f>
        <v>#N/A</v>
      </c>
      <c r="AZ155" s="47" t="e">
        <f>IF(OR($J155=0,COUNTIFS($A$4:$A154,"&gt;="&amp;$A155-1,$A$4:$A154,"&lt;="&amp;$A155,$B$4:$B154,$B155)&gt;0,MIN(AZ$1,IF($A155=$A154,AZ154,1))-AE155&lt;0),-1,MIN(1,IF($A155=$A154,AZ154,1)-AE155+$D$3))</f>
        <v>#N/A</v>
      </c>
      <c r="BA155" s="47" t="e">
        <f>IF(OR($J155=0,COUNTIFS($A$4:$A154,"&gt;="&amp;$A155-1,$A$4:$A154,"&lt;="&amp;$A155,$B$4:$B154,$B155)&gt;0,MIN(BA$1,IF($A155=$A154,BA154,1))-AF155&lt;0),-1,MIN(1,IF($A155=$A154,BA154,1)-AF155+$D$3))</f>
        <v>#N/A</v>
      </c>
      <c r="BB155" s="47" t="e">
        <f>IF(OR($J155=0,COUNTIFS($A$4:$A154,"&gt;="&amp;$A155-1,$A$4:$A154,"&lt;="&amp;$A155,$B$4:$B154,$B155)&gt;0,MIN(BB$1,IF($A155=$A154,BB154,1))-AG155&lt;0),-1,MIN(1,IF($A155=$A154,BB154,1)-AG155+$D$3))</f>
        <v>#N/A</v>
      </c>
      <c r="BC155" s="47" t="e">
        <f>IF(OR($J155=0,COUNTIFS($A$4:$A154,"&gt;="&amp;$A155-1,$A$4:$A154,"&lt;="&amp;$A155,$B$4:$B154,$B155)&gt;0,MIN(BC$1,IF($A155=$A154,BC154,1))-AH155&lt;0),-1,MIN(1,IF($A155=$A154,BC154,1)-AH155+$D$3))</f>
        <v>#N/A</v>
      </c>
      <c r="BD155" s="47" t="e">
        <f>IF(OR($J155=0,COUNTIFS($A$4:$A154,"&gt;="&amp;$A155-1,$A$4:$A154,"&lt;="&amp;$A155,$B$4:$B154,$B155)&gt;0,MIN(BD$1,IF($A155=$A154,BD154,1))-AI155&lt;0),-1,MIN(1,IF($A155=$A154,BD154,1)-AI155+$D$3))</f>
        <v>#N/A</v>
      </c>
      <c r="BE155" s="47"/>
      <c r="BF155" s="53">
        <f t="shared" si="223"/>
        <v>9.1742441234508995E-4</v>
      </c>
      <c r="BG155" s="53">
        <f t="shared" si="224"/>
        <v>2.2562055099344873E-3</v>
      </c>
      <c r="BH155" s="53">
        <f t="shared" si="225"/>
        <v>2.3123733181062492E-3</v>
      </c>
      <c r="BI155" s="53">
        <f t="shared" si="226"/>
        <v>2.1359909425794094E-3</v>
      </c>
      <c r="BJ155" s="53">
        <f t="shared" si="227"/>
        <v>2.2077494215060707E-3</v>
      </c>
      <c r="BK155" s="53">
        <f t="shared" si="228"/>
        <v>9.4808991739851549E-4</v>
      </c>
      <c r="BL155" s="53">
        <f t="shared" si="229"/>
        <v>5.1217308910308319E-4</v>
      </c>
      <c r="BM155" s="53">
        <f t="shared" si="230"/>
        <v>1.3029085296474509E-3</v>
      </c>
      <c r="BN155" s="53">
        <f t="shared" si="231"/>
        <v>1.3551264135061782E-3</v>
      </c>
      <c r="BO155" s="53">
        <f t="shared" si="232"/>
        <v>6.3506365851444756E-4</v>
      </c>
      <c r="BP155" s="53">
        <f t="shared" si="233"/>
        <v>2.1353874024105076E-3</v>
      </c>
      <c r="BQ155" s="53">
        <f t="shared" si="234"/>
        <v>5.7625266488848506E-4</v>
      </c>
      <c r="BR155" s="53">
        <f t="shared" si="235"/>
        <v>1.7023946232082E-3</v>
      </c>
      <c r="BS155" s="53">
        <f t="shared" si="236"/>
        <v>9.1812401126663366E-4</v>
      </c>
      <c r="BT155" s="53">
        <f t="shared" si="237"/>
        <v>3.6332981877800425E-3</v>
      </c>
      <c r="BU155" s="53">
        <f t="shared" si="238"/>
        <v>3.4708930705405587E-3</v>
      </c>
      <c r="BV155" s="53">
        <f t="shared" si="239"/>
        <v>3.333330872969764E-3</v>
      </c>
      <c r="BW155" s="53">
        <f t="shared" si="240"/>
        <v>2.1801818255108999E-3</v>
      </c>
      <c r="BX155" s="53">
        <f t="shared" si="241"/>
        <v>1.6106787422156144E-3</v>
      </c>
      <c r="BY155" s="53">
        <f t="shared" si="242"/>
        <v>1.3829528266928865E-3</v>
      </c>
      <c r="BZ155" s="47"/>
      <c r="CA155" s="53" t="str">
        <f t="shared" si="243"/>
        <v/>
      </c>
      <c r="CB155" s="53" t="str">
        <f t="shared" si="244"/>
        <v/>
      </c>
      <c r="CC155" s="53" t="str">
        <f t="shared" si="245"/>
        <v/>
      </c>
      <c r="CD155" s="53" t="str">
        <f t="shared" si="246"/>
        <v/>
      </c>
      <c r="CE155" s="53" t="str">
        <f t="shared" si="247"/>
        <v/>
      </c>
      <c r="CF155" s="53" t="str">
        <f t="shared" si="248"/>
        <v/>
      </c>
      <c r="CG155" s="53" t="str">
        <f t="shared" si="249"/>
        <v/>
      </c>
      <c r="CH155" s="53" t="str">
        <f t="shared" si="250"/>
        <v/>
      </c>
      <c r="CI155" s="53" t="str">
        <f t="shared" si="251"/>
        <v/>
      </c>
      <c r="CJ155" s="53" t="str">
        <f t="shared" si="252"/>
        <v/>
      </c>
      <c r="CK155" s="53" t="str">
        <f t="shared" si="253"/>
        <v/>
      </c>
      <c r="CL155" s="53" t="str">
        <f t="shared" si="254"/>
        <v/>
      </c>
      <c r="CM155" s="53" t="str">
        <f t="shared" si="255"/>
        <v/>
      </c>
      <c r="CN155" s="53" t="str">
        <f t="shared" si="256"/>
        <v/>
      </c>
      <c r="CO155" s="53" t="str">
        <f t="shared" si="257"/>
        <v/>
      </c>
      <c r="CP155" s="53" t="str">
        <f t="shared" si="258"/>
        <v/>
      </c>
      <c r="CQ155" s="53" t="str">
        <f t="shared" si="259"/>
        <v/>
      </c>
      <c r="CR155" s="53" t="str">
        <f t="shared" si="260"/>
        <v/>
      </c>
      <c r="CS155" s="53" t="str">
        <f t="shared" si="261"/>
        <v/>
      </c>
      <c r="CT155" s="53" t="str">
        <f t="shared" si="262"/>
        <v/>
      </c>
      <c r="CU155" s="47"/>
      <c r="CV155" s="53">
        <f t="shared" si="263"/>
        <v>0</v>
      </c>
    </row>
    <row r="156" spans="1:100" x14ac:dyDescent="0.25">
      <c r="A156" s="41"/>
      <c r="B156" s="42"/>
      <c r="C156" s="43" t="str" cm="1">
        <f t="array" ref="C156">IF(B156="","",INDEX(UWS!$B$10:$B$41,B156))</f>
        <v/>
      </c>
      <c r="D156" s="40" t="str">
        <f t="shared" si="220"/>
        <v/>
      </c>
      <c r="E156" s="69" t="str">
        <f t="shared" si="221"/>
        <v/>
      </c>
      <c r="F156" s="48" cm="1">
        <f t="array" ref="F156">0.1+IFERROR(INDEX($F$5:$F155,SUMPRODUCT(MAX(ROW($C$5:$C155)*($C156=$C$5:$C155))-ROW($A$4)))*0.9^($A156-INDEX($A$5:A155,SUMPRODUCT(MAX(ROW($C$5:$C155)*($C156=$C$5:$C155))-ROW($A$4)))),0)</f>
        <v>9.0999999999999837</v>
      </c>
      <c r="G156" s="55" t="e">
        <f>INDEX(UWS!$AB$10:$AB$41,MATCH(C156,UWS!$B$10:$B$41,0))</f>
        <v>#N/A</v>
      </c>
      <c r="H156" s="48" t="e">
        <f>INDEX(UWS!$C$10:$C$41,MATCH(C156,UWS!$B$10:$B$41,0))</f>
        <v>#N/A</v>
      </c>
      <c r="I156" s="82">
        <f t="shared" si="222"/>
        <v>5</v>
      </c>
      <c r="J156" s="27" t="e">
        <f>INDEX(UWS!$E$10:$E$41,MATCH(C156,UWS!$B$10:$B$41,0))</f>
        <v>#N/A</v>
      </c>
      <c r="L156" s="108" t="str" cm="1">
        <f t="array" ref="L156">IF(K156="","",INDEX(UWS!$B$10:$B$41,K156))</f>
        <v/>
      </c>
      <c r="N156" s="108" t="str" cm="1">
        <f t="array" ref="N156">IF(M156="","",INDEX(UWS!$B$10:$B$41,M156))</f>
        <v/>
      </c>
      <c r="P156">
        <f>IFERROR(INDEX(UWS!$G$10:$Z$41,MATCH($C156,UWS!$B$10:$B$41,0),MATCH(P$4,UWS!$G$3:$Z$3,0)),0)</f>
        <v>0</v>
      </c>
      <c r="Q156">
        <f>IFERROR(INDEX(UWS!$G$10:$Z$41,MATCH($C156,UWS!$B$10:$B$41,0),MATCH(Q$4,UWS!$G$3:$Z$3,0)),0)</f>
        <v>0</v>
      </c>
      <c r="R156">
        <f>IFERROR(INDEX(UWS!$G$10:$Z$41,MATCH($C156,UWS!$B$10:$B$41,0),MATCH(R$4,UWS!$G$3:$Z$3,0)),0)</f>
        <v>0</v>
      </c>
      <c r="S156">
        <f>IFERROR(INDEX(UWS!$G$10:$Z$41,MATCH($C156,UWS!$B$10:$B$41,0),MATCH(S$4,UWS!$G$3:$Z$3,0)),0)</f>
        <v>0</v>
      </c>
      <c r="T156">
        <f>IFERROR(INDEX(UWS!$G$10:$Z$41,MATCH($C156,UWS!$B$10:$B$41,0),MATCH(T$4,UWS!$G$3:$Z$3,0)),0)</f>
        <v>0</v>
      </c>
      <c r="U156">
        <f>IFERROR(INDEX(UWS!$G$10:$Z$41,MATCH($C156,UWS!$B$10:$B$41,0),MATCH(U$4,UWS!$G$3:$Z$3,0)),0)</f>
        <v>0</v>
      </c>
      <c r="V156">
        <f>IFERROR(INDEX(UWS!$G$10:$Z$41,MATCH($C156,UWS!$B$10:$B$41,0),MATCH(V$4,UWS!$G$3:$Z$3,0)),0)</f>
        <v>0</v>
      </c>
      <c r="W156">
        <f>IFERROR(INDEX(UWS!$G$10:$Z$41,MATCH($C156,UWS!$B$10:$B$41,0),MATCH(W$4,UWS!$G$3:$Z$3,0)),0)</f>
        <v>0</v>
      </c>
      <c r="X156">
        <f>IFERROR(INDEX(UWS!$G$10:$Z$41,MATCH($C156,UWS!$B$10:$B$41,0),MATCH(X$4,UWS!$G$3:$Z$3,0)),0)</f>
        <v>0</v>
      </c>
      <c r="Y156">
        <f>IFERROR(INDEX(UWS!$G$10:$Z$41,MATCH($C156,UWS!$B$10:$B$41,0),MATCH(Y$4,UWS!$G$3:$Z$3,0)),0)</f>
        <v>0</v>
      </c>
      <c r="Z156">
        <f>IFERROR(INDEX(UWS!$G$10:$Z$41,MATCH($C156,UWS!$B$10:$B$41,0),MATCH(Z$4,UWS!$G$3:$Z$3,0)),0)</f>
        <v>0</v>
      </c>
      <c r="AA156">
        <f>IFERROR(INDEX(UWS!$G$10:$Z$41,MATCH($C156,UWS!$B$10:$B$41,0),MATCH(AA$4,UWS!$G$3:$Z$3,0)),0)</f>
        <v>0</v>
      </c>
      <c r="AB156">
        <f>IFERROR(INDEX(UWS!$G$10:$Z$41,MATCH($C156,UWS!$B$10:$B$41,0),MATCH(AB$4,UWS!$G$3:$Z$3,0)),0)</f>
        <v>0</v>
      </c>
      <c r="AC156">
        <f>IFERROR(INDEX(UWS!$G$10:$Z$41,MATCH($C156,UWS!$B$10:$B$41,0),MATCH(AC$4,UWS!$G$3:$Z$3,0)),0)</f>
        <v>0</v>
      </c>
      <c r="AD156">
        <f>IFERROR(INDEX(UWS!$G$10:$Z$41,MATCH($C156,UWS!$B$10:$B$41,0),MATCH(AD$4,UWS!$G$3:$Z$3,0)),0)</f>
        <v>0</v>
      </c>
      <c r="AE156">
        <f>IFERROR(INDEX(UWS!$G$10:$Z$41,MATCH($C156,UWS!$B$10:$B$41,0),MATCH(AE$4,UWS!$G$3:$Z$3,0)),0)</f>
        <v>0</v>
      </c>
      <c r="AF156">
        <f>IFERROR(INDEX(UWS!$G$10:$Z$41,MATCH($C156,UWS!$B$10:$B$41,0),MATCH(AF$4,UWS!$G$3:$Z$3,0)),0)</f>
        <v>0</v>
      </c>
      <c r="AG156">
        <f>IFERROR(INDEX(UWS!$G$10:$Z$41,MATCH($C156,UWS!$B$10:$B$41,0),MATCH(AG$4,UWS!$G$3:$Z$3,0)),0)</f>
        <v>0</v>
      </c>
      <c r="AH156">
        <f>IFERROR(INDEX(UWS!$G$10:$Z$41,MATCH($C156,UWS!$B$10:$B$41,0),MATCH(AH$4,UWS!$G$3:$Z$3,0)),0)</f>
        <v>0</v>
      </c>
      <c r="AI156">
        <f>IFERROR(INDEX(UWS!$G$10:$Z$41,MATCH($C156,UWS!$B$10:$B$41,0),MATCH(AI$4,UWS!$G$3:$Z$3,0)),0)</f>
        <v>0</v>
      </c>
      <c r="AK156" t="e">
        <f>IF(OR($J156=0,COUNTIFS($A$4:$A155,"&gt;="&amp;$A156-1,$A$4:$A155,"&lt;="&amp;$A156,$B$4:$B155,$B156)&gt;0,MIN(AK$1,IF($A156=$A155,AK155,1))-P156&lt;0),-1,MIN(1,IF($A156=$A155,AK155,1)-P156+$D$3))</f>
        <v>#N/A</v>
      </c>
      <c r="AL156" t="e">
        <f>IF(OR($J156=0,COUNTIFS($A$4:$A155,"&gt;="&amp;$A156-1,$A$4:$A155,"&lt;="&amp;$A156,$B$4:$B155,$B156)&gt;0,MIN(AL$1,IF($A156=$A155,AL155,1))-Q156&lt;0),-1,MIN(1,IF($A156=$A155,AL155,1)-Q156+$D$3))</f>
        <v>#N/A</v>
      </c>
      <c r="AM156" t="e">
        <f>IF(OR($J156=0,COUNTIFS($A$4:$A155,"&gt;="&amp;$A156-1,$A$4:$A155,"&lt;="&amp;$A156,$B$4:$B155,$B156)&gt;0,MIN(AM$1,IF($A156=$A155,AM155,1))-R156&lt;0),-1,MIN(1,IF($A156=$A155,AM155,1)-R156+$D$3))</f>
        <v>#N/A</v>
      </c>
      <c r="AN156" t="e">
        <f>IF(OR($J156=0,COUNTIFS($A$4:$A155,"&gt;="&amp;$A156-1,$A$4:$A155,"&lt;="&amp;$A156,$B$4:$B155,$B156)&gt;0,MIN(AN$1,IF($A156=$A155,AN155,1))-S156&lt;0),-1,MIN(1,IF($A156=$A155,AN155,1)-S156+$D$3))</f>
        <v>#N/A</v>
      </c>
      <c r="AO156" t="e">
        <f>IF(OR($J156=0,COUNTIFS($A$4:$A155,"&gt;="&amp;$A156-1,$A$4:$A155,"&lt;="&amp;$A156,$B$4:$B155,$B156)&gt;0,MIN(AO$1,IF($A156=$A155,AO155,1))-T156&lt;0),-1,MIN(1,IF($A156=$A155,AO155,1)-T156+$D$3))</f>
        <v>#N/A</v>
      </c>
      <c r="AP156" t="e">
        <f>IF(OR($J156=0,COUNTIFS($A$4:$A155,"&gt;="&amp;$A156-1,$A$4:$A155,"&lt;="&amp;$A156,$B$4:$B155,$B156)&gt;0,MIN(AP$1,IF($A156=$A155,AP155,1))-U156&lt;0),-1,MIN(1,IF($A156=$A155,AP155,1)-U156+$D$3))</f>
        <v>#N/A</v>
      </c>
      <c r="AQ156" t="e">
        <f>IF(OR($J156=0,COUNTIFS($A$4:$A155,"&gt;="&amp;$A156-1,$A$4:$A155,"&lt;="&amp;$A156,$B$4:$B155,$B156)&gt;0,MIN(AQ$1,IF($A156=$A155,AQ155,1))-V156&lt;0),-1,MIN(1,IF($A156=$A155,AQ155,1)-V156+$D$3))</f>
        <v>#N/A</v>
      </c>
      <c r="AR156" t="e">
        <f>IF(OR($J156=0,COUNTIFS($A$4:$A155,"&gt;="&amp;$A156-1,$A$4:$A155,"&lt;="&amp;$A156,$B$4:$B155,$B156)&gt;0,MIN(AR$1,IF($A156=$A155,AR155,1))-W156&lt;0),-1,MIN(1,IF($A156=$A155,AR155,1)-W156+$D$3))</f>
        <v>#N/A</v>
      </c>
      <c r="AS156" t="e">
        <f>IF(OR($J156=0,COUNTIFS($A$4:$A155,"&gt;="&amp;$A156-1,$A$4:$A155,"&lt;="&amp;$A156,$B$4:$B155,$B156)&gt;0,MIN(AS$1,IF($A156=$A155,AS155,1))-X156&lt;0),-1,MIN(1,IF($A156=$A155,AS155,1)-X156+$D$3))</f>
        <v>#N/A</v>
      </c>
      <c r="AT156" t="e">
        <f>IF(OR($J156=0,COUNTIFS($A$4:$A155,"&gt;="&amp;$A156-1,$A$4:$A155,"&lt;="&amp;$A156,$B$4:$B155,$B156)&gt;0,MIN(AT$1,IF($A156=$A155,AT155,1))-Y156&lt;0),-1,MIN(1,IF($A156=$A155,AT155,1)-Y156+$D$3))</f>
        <v>#N/A</v>
      </c>
      <c r="AU156" t="e">
        <f>IF(OR($J156=0,COUNTIFS($A$4:$A155,"&gt;="&amp;$A156-1,$A$4:$A155,"&lt;="&amp;$A156,$B$4:$B155,$B156)&gt;0,MIN(AU$1,IF($A156=$A155,AU155,1))-Z156&lt;0),-1,MIN(1,IF($A156=$A155,AU155,1)-Z156+$D$3))</f>
        <v>#N/A</v>
      </c>
      <c r="AV156" t="e">
        <f>IF(OR($J156=0,COUNTIFS($A$4:$A155,"&gt;="&amp;$A156-1,$A$4:$A155,"&lt;="&amp;$A156,$B$4:$B155,$B156)&gt;0,MIN(AV$1,IF($A156=$A155,AV155,1))-AA156&lt;0),-1,MIN(1,IF($A156=$A155,AV155,1)-AA156+$D$3))</f>
        <v>#N/A</v>
      </c>
      <c r="AW156" t="e">
        <f>IF(OR($J156=0,COUNTIFS($A$4:$A155,"&gt;="&amp;$A156-1,$A$4:$A155,"&lt;="&amp;$A156,$B$4:$B155,$B156)&gt;0,MIN(AW$1,IF($A156=$A155,AW155,1))-AB156&lt;0),-1,MIN(1,IF($A156=$A155,AW155,1)-AB156+$D$3))</f>
        <v>#N/A</v>
      </c>
      <c r="AX156" t="e">
        <f>IF(OR($J156=0,COUNTIFS($A$4:$A155,"&gt;="&amp;$A156-1,$A$4:$A155,"&lt;="&amp;$A156,$B$4:$B155,$B156)&gt;0,MIN(AX$1,IF($A156=$A155,AX155,1))-AC156&lt;0),-1,MIN(1,IF($A156=$A155,AX155,1)-AC156+$D$3))</f>
        <v>#N/A</v>
      </c>
      <c r="AY156" t="e">
        <f>IF(OR($J156=0,COUNTIFS($A$4:$A155,"&gt;="&amp;$A156-1,$A$4:$A155,"&lt;="&amp;$A156,$B$4:$B155,$B156)&gt;0,MIN(AY$1,IF($A156=$A155,AY155,1))-AD156&lt;0),-1,MIN(1,IF($A156=$A155,AY155,1)-AD156+$D$3))</f>
        <v>#N/A</v>
      </c>
      <c r="AZ156" t="e">
        <f>IF(OR($J156=0,COUNTIFS($A$4:$A155,"&gt;="&amp;$A156-1,$A$4:$A155,"&lt;="&amp;$A156,$B$4:$B155,$B156)&gt;0,MIN(AZ$1,IF($A156=$A155,AZ155,1))-AE156&lt;0),-1,MIN(1,IF($A156=$A155,AZ155,1)-AE156+$D$3))</f>
        <v>#N/A</v>
      </c>
      <c r="BA156" t="e">
        <f>IF(OR($J156=0,COUNTIFS($A$4:$A155,"&gt;="&amp;$A156-1,$A$4:$A155,"&lt;="&amp;$A156,$B$4:$B155,$B156)&gt;0,MIN(BA$1,IF($A156=$A155,BA155,1))-AF156&lt;0),-1,MIN(1,IF($A156=$A155,BA155,1)-AF156+$D$3))</f>
        <v>#N/A</v>
      </c>
      <c r="BB156" t="e">
        <f>IF(OR($J156=0,COUNTIFS($A$4:$A155,"&gt;="&amp;$A156-1,$A$4:$A155,"&lt;="&amp;$A156,$B$4:$B155,$B156)&gt;0,MIN(BB$1,IF($A156=$A155,BB155,1))-AG156&lt;0),-1,MIN(1,IF($A156=$A155,BB155,1)-AG156+$D$3))</f>
        <v>#N/A</v>
      </c>
      <c r="BC156" t="e">
        <f>IF(OR($J156=0,COUNTIFS($A$4:$A155,"&gt;="&amp;$A156-1,$A$4:$A155,"&lt;="&amp;$A156,$B$4:$B155,$B156)&gt;0,MIN(BC$1,IF($A156=$A155,BC155,1))-AH156&lt;0),-1,MIN(1,IF($A156=$A155,BC155,1)-AH156+$D$3))</f>
        <v>#N/A</v>
      </c>
      <c r="BD156" t="e">
        <f>IF(OR($J156=0,COUNTIFS($A$4:$A155,"&gt;="&amp;$A156-1,$A$4:$A155,"&lt;="&amp;$A156,$B$4:$B155,$B156)&gt;0,MIN(BD$1,IF($A156=$A155,BD155,1))-AI156&lt;0),-1,MIN(1,IF($A156=$A155,BD155,1)-AI156+$D$3))</f>
        <v>#N/A</v>
      </c>
      <c r="BF156" s="44">
        <f t="shared" si="223"/>
        <v>8.7155319172783539E-4</v>
      </c>
      <c r="BG156" s="44">
        <f t="shared" si="224"/>
        <v>2.1433952344377628E-3</v>
      </c>
      <c r="BH156" s="44">
        <f t="shared" si="225"/>
        <v>2.1967546522009365E-3</v>
      </c>
      <c r="BI156" s="44">
        <f t="shared" si="226"/>
        <v>2.029191395450439E-3</v>
      </c>
      <c r="BJ156" s="44">
        <f t="shared" si="227"/>
        <v>2.0973619504307669E-3</v>
      </c>
      <c r="BK156" s="44">
        <f t="shared" si="228"/>
        <v>9.0068542152858973E-4</v>
      </c>
      <c r="BL156" s="44">
        <f t="shared" si="229"/>
        <v>4.8656443464792902E-4</v>
      </c>
      <c r="BM156" s="44">
        <f t="shared" si="230"/>
        <v>1.2377631031650783E-3</v>
      </c>
      <c r="BN156" s="44">
        <f t="shared" si="231"/>
        <v>1.2873700928308692E-3</v>
      </c>
      <c r="BO156" s="44">
        <f t="shared" si="232"/>
        <v>6.0331047558872511E-4</v>
      </c>
      <c r="BP156" s="44">
        <f t="shared" si="233"/>
        <v>2.0286180322899821E-3</v>
      </c>
      <c r="BQ156" s="44">
        <f t="shared" si="234"/>
        <v>5.474400316440608E-4</v>
      </c>
      <c r="BR156" s="44">
        <f t="shared" si="235"/>
        <v>1.6172748920477899E-3</v>
      </c>
      <c r="BS156" s="44">
        <f t="shared" si="236"/>
        <v>8.7221781070330191E-4</v>
      </c>
      <c r="BT156" s="44">
        <f t="shared" si="237"/>
        <v>3.4516332783910402E-3</v>
      </c>
      <c r="BU156" s="44">
        <f t="shared" si="238"/>
        <v>3.2973484170135308E-3</v>
      </c>
      <c r="BV156" s="44">
        <f t="shared" si="239"/>
        <v>3.1666643293212756E-3</v>
      </c>
      <c r="BW156" s="44">
        <f t="shared" si="240"/>
        <v>2.0711727342353548E-3</v>
      </c>
      <c r="BX156" s="44">
        <f t="shared" si="241"/>
        <v>1.5301448051048337E-3</v>
      </c>
      <c r="BY156" s="44">
        <f t="shared" si="242"/>
        <v>1.3138051853582421E-3</v>
      </c>
      <c r="CA156" s="44" t="str">
        <f t="shared" si="243"/>
        <v/>
      </c>
      <c r="CB156" s="44" t="str">
        <f t="shared" si="244"/>
        <v/>
      </c>
      <c r="CC156" s="44" t="str">
        <f t="shared" si="245"/>
        <v/>
      </c>
      <c r="CD156" s="44" t="str">
        <f t="shared" si="246"/>
        <v/>
      </c>
      <c r="CE156" s="44" t="str">
        <f t="shared" si="247"/>
        <v/>
      </c>
      <c r="CF156" s="44" t="str">
        <f t="shared" si="248"/>
        <v/>
      </c>
      <c r="CG156" s="44" t="str">
        <f t="shared" si="249"/>
        <v/>
      </c>
      <c r="CH156" s="44" t="str">
        <f t="shared" si="250"/>
        <v/>
      </c>
      <c r="CI156" s="44" t="str">
        <f t="shared" si="251"/>
        <v/>
      </c>
      <c r="CJ156" s="44" t="str">
        <f t="shared" si="252"/>
        <v/>
      </c>
      <c r="CK156" s="44" t="str">
        <f t="shared" si="253"/>
        <v/>
      </c>
      <c r="CL156" s="44" t="str">
        <f t="shared" si="254"/>
        <v/>
      </c>
      <c r="CM156" s="44" t="str">
        <f t="shared" si="255"/>
        <v/>
      </c>
      <c r="CN156" s="44" t="str">
        <f t="shared" si="256"/>
        <v/>
      </c>
      <c r="CO156" s="44" t="str">
        <f t="shared" si="257"/>
        <v/>
      </c>
      <c r="CP156" s="44" t="str">
        <f t="shared" si="258"/>
        <v/>
      </c>
      <c r="CQ156" s="44" t="str">
        <f t="shared" si="259"/>
        <v/>
      </c>
      <c r="CR156" s="44" t="str">
        <f t="shared" si="260"/>
        <v/>
      </c>
      <c r="CS156" s="44" t="str">
        <f t="shared" si="261"/>
        <v/>
      </c>
      <c r="CT156" s="44" t="str">
        <f t="shared" si="262"/>
        <v/>
      </c>
      <c r="CV156" s="44">
        <f t="shared" si="263"/>
        <v>0</v>
      </c>
    </row>
    <row r="157" spans="1:100" x14ac:dyDescent="0.25">
      <c r="A157" s="41"/>
      <c r="B157" s="42"/>
      <c r="C157" s="43" t="str" cm="1">
        <f t="array" ref="C157">IF(B157="","",INDEX(UWS!$B$10:$B$41,B157))</f>
        <v/>
      </c>
      <c r="D157" s="40" t="str">
        <f t="shared" si="220"/>
        <v/>
      </c>
      <c r="E157" s="69" t="str">
        <f t="shared" si="221"/>
        <v/>
      </c>
      <c r="F157" s="48" cm="1">
        <f t="array" ref="F157">0.1+IFERROR(INDEX($F$5:$F156,SUMPRODUCT(MAX(ROW($C$5:$C156)*($C157=$C$5:$C156))-ROW($A$4)))*0.9^($A157-INDEX($A$5:A156,SUMPRODUCT(MAX(ROW($C$5:$C156)*($C157=$C$5:$C156))-ROW($A$4)))),0)</f>
        <v>9.1999999999999833</v>
      </c>
      <c r="G157" s="55" t="e">
        <f>INDEX(UWS!$AB$10:$AB$41,MATCH(C157,UWS!$B$10:$B$41,0))</f>
        <v>#N/A</v>
      </c>
      <c r="H157" s="48" t="e">
        <f>INDEX(UWS!$C$10:$C$41,MATCH(C157,UWS!$B$10:$B$41,0))</f>
        <v>#N/A</v>
      </c>
      <c r="I157" s="27">
        <f t="shared" si="222"/>
        <v>5</v>
      </c>
      <c r="J157" s="27" t="e">
        <f>INDEX(UWS!$E$10:$E$41,MATCH(C157,UWS!$B$10:$B$41,0))</f>
        <v>#N/A</v>
      </c>
      <c r="L157" s="108" t="str" cm="1">
        <f t="array" ref="L157">IF(K157="","",INDEX(UWS!$B$10:$B$41,K157))</f>
        <v/>
      </c>
      <c r="N157" s="108" t="str" cm="1">
        <f t="array" ref="N157">IF(M157="","",INDEX(UWS!$B$10:$B$41,M157))</f>
        <v/>
      </c>
      <c r="P157">
        <f>IFERROR(INDEX(UWS!$G$10:$Z$41,MATCH($C157,UWS!$B$10:$B$41,0),MATCH(P$4,UWS!$G$3:$Z$3,0)),0)</f>
        <v>0</v>
      </c>
      <c r="Q157">
        <f>IFERROR(INDEX(UWS!$G$10:$Z$41,MATCH($C157,UWS!$B$10:$B$41,0),MATCH(Q$4,UWS!$G$3:$Z$3,0)),0)</f>
        <v>0</v>
      </c>
      <c r="R157">
        <f>IFERROR(INDEX(UWS!$G$10:$Z$41,MATCH($C157,UWS!$B$10:$B$41,0),MATCH(R$4,UWS!$G$3:$Z$3,0)),0)</f>
        <v>0</v>
      </c>
      <c r="S157">
        <f>IFERROR(INDEX(UWS!$G$10:$Z$41,MATCH($C157,UWS!$B$10:$B$41,0),MATCH(S$4,UWS!$G$3:$Z$3,0)),0)</f>
        <v>0</v>
      </c>
      <c r="T157">
        <f>IFERROR(INDEX(UWS!$G$10:$Z$41,MATCH($C157,UWS!$B$10:$B$41,0),MATCH(T$4,UWS!$G$3:$Z$3,0)),0)</f>
        <v>0</v>
      </c>
      <c r="U157">
        <f>IFERROR(INDEX(UWS!$G$10:$Z$41,MATCH($C157,UWS!$B$10:$B$41,0),MATCH(U$4,UWS!$G$3:$Z$3,0)),0)</f>
        <v>0</v>
      </c>
      <c r="V157">
        <f>IFERROR(INDEX(UWS!$G$10:$Z$41,MATCH($C157,UWS!$B$10:$B$41,0),MATCH(V$4,UWS!$G$3:$Z$3,0)),0)</f>
        <v>0</v>
      </c>
      <c r="W157">
        <f>IFERROR(INDEX(UWS!$G$10:$Z$41,MATCH($C157,UWS!$B$10:$B$41,0),MATCH(W$4,UWS!$G$3:$Z$3,0)),0)</f>
        <v>0</v>
      </c>
      <c r="X157">
        <f>IFERROR(INDEX(UWS!$G$10:$Z$41,MATCH($C157,UWS!$B$10:$B$41,0),MATCH(X$4,UWS!$G$3:$Z$3,0)),0)</f>
        <v>0</v>
      </c>
      <c r="Y157">
        <f>IFERROR(INDEX(UWS!$G$10:$Z$41,MATCH($C157,UWS!$B$10:$B$41,0),MATCH(Y$4,UWS!$G$3:$Z$3,0)),0)</f>
        <v>0</v>
      </c>
      <c r="Z157">
        <f>IFERROR(INDEX(UWS!$G$10:$Z$41,MATCH($C157,UWS!$B$10:$B$41,0),MATCH(Z$4,UWS!$G$3:$Z$3,0)),0)</f>
        <v>0</v>
      </c>
      <c r="AA157">
        <f>IFERROR(INDEX(UWS!$G$10:$Z$41,MATCH($C157,UWS!$B$10:$B$41,0),MATCH(AA$4,UWS!$G$3:$Z$3,0)),0)</f>
        <v>0</v>
      </c>
      <c r="AB157">
        <f>IFERROR(INDEX(UWS!$G$10:$Z$41,MATCH($C157,UWS!$B$10:$B$41,0),MATCH(AB$4,UWS!$G$3:$Z$3,0)),0)</f>
        <v>0</v>
      </c>
      <c r="AC157">
        <f>IFERROR(INDEX(UWS!$G$10:$Z$41,MATCH($C157,UWS!$B$10:$B$41,0),MATCH(AC$4,UWS!$G$3:$Z$3,0)),0)</f>
        <v>0</v>
      </c>
      <c r="AD157">
        <f>IFERROR(INDEX(UWS!$G$10:$Z$41,MATCH($C157,UWS!$B$10:$B$41,0),MATCH(AD$4,UWS!$G$3:$Z$3,0)),0)</f>
        <v>0</v>
      </c>
      <c r="AE157">
        <f>IFERROR(INDEX(UWS!$G$10:$Z$41,MATCH($C157,UWS!$B$10:$B$41,0),MATCH(AE$4,UWS!$G$3:$Z$3,0)),0)</f>
        <v>0</v>
      </c>
      <c r="AF157">
        <f>IFERROR(INDEX(UWS!$G$10:$Z$41,MATCH($C157,UWS!$B$10:$B$41,0),MATCH(AF$4,UWS!$G$3:$Z$3,0)),0)</f>
        <v>0</v>
      </c>
      <c r="AG157">
        <f>IFERROR(INDEX(UWS!$G$10:$Z$41,MATCH($C157,UWS!$B$10:$B$41,0),MATCH(AG$4,UWS!$G$3:$Z$3,0)),0)</f>
        <v>0</v>
      </c>
      <c r="AH157">
        <f>IFERROR(INDEX(UWS!$G$10:$Z$41,MATCH($C157,UWS!$B$10:$B$41,0),MATCH(AH$4,UWS!$G$3:$Z$3,0)),0)</f>
        <v>0</v>
      </c>
      <c r="AI157">
        <f>IFERROR(INDEX(UWS!$G$10:$Z$41,MATCH($C157,UWS!$B$10:$B$41,0),MATCH(AI$4,UWS!$G$3:$Z$3,0)),0)</f>
        <v>0</v>
      </c>
      <c r="AK157" t="e">
        <f>IF(OR($J157=0,COUNTIFS($A$4:$A156,"&gt;="&amp;$A157-1,$A$4:$A156,"&lt;="&amp;$A157,$B$4:$B156,$B157)&gt;0,MIN(AK$1,IF($A157=$A156,AK156,1))-P157&lt;0),-1,MIN(1,IF($A157=$A156,AK156,1)-P157+$D$3))</f>
        <v>#N/A</v>
      </c>
      <c r="AL157" t="e">
        <f>IF(OR($J157=0,COUNTIFS($A$4:$A156,"&gt;="&amp;$A157-1,$A$4:$A156,"&lt;="&amp;$A157,$B$4:$B156,$B157)&gt;0,MIN(AL$1,IF($A157=$A156,AL156,1))-Q157&lt;0),-1,MIN(1,IF($A157=$A156,AL156,1)-Q157+$D$3))</f>
        <v>#N/A</v>
      </c>
      <c r="AM157" t="e">
        <f>IF(OR($J157=0,COUNTIFS($A$4:$A156,"&gt;="&amp;$A157-1,$A$4:$A156,"&lt;="&amp;$A157,$B$4:$B156,$B157)&gt;0,MIN(AM$1,IF($A157=$A156,AM156,1))-R157&lt;0),-1,MIN(1,IF($A157=$A156,AM156,1)-R157+$D$3))</f>
        <v>#N/A</v>
      </c>
      <c r="AN157" t="e">
        <f>IF(OR($J157=0,COUNTIFS($A$4:$A156,"&gt;="&amp;$A157-1,$A$4:$A156,"&lt;="&amp;$A157,$B$4:$B156,$B157)&gt;0,MIN(AN$1,IF($A157=$A156,AN156,1))-S157&lt;0),-1,MIN(1,IF($A157=$A156,AN156,1)-S157+$D$3))</f>
        <v>#N/A</v>
      </c>
      <c r="AO157" t="e">
        <f>IF(OR($J157=0,COUNTIFS($A$4:$A156,"&gt;="&amp;$A157-1,$A$4:$A156,"&lt;="&amp;$A157,$B$4:$B156,$B157)&gt;0,MIN(AO$1,IF($A157=$A156,AO156,1))-T157&lt;0),-1,MIN(1,IF($A157=$A156,AO156,1)-T157+$D$3))</f>
        <v>#N/A</v>
      </c>
      <c r="AP157" t="e">
        <f>IF(OR($J157=0,COUNTIFS($A$4:$A156,"&gt;="&amp;$A157-1,$A$4:$A156,"&lt;="&amp;$A157,$B$4:$B156,$B157)&gt;0,MIN(AP$1,IF($A157=$A156,AP156,1))-U157&lt;0),-1,MIN(1,IF($A157=$A156,AP156,1)-U157+$D$3))</f>
        <v>#N/A</v>
      </c>
      <c r="AQ157" t="e">
        <f>IF(OR($J157=0,COUNTIFS($A$4:$A156,"&gt;="&amp;$A157-1,$A$4:$A156,"&lt;="&amp;$A157,$B$4:$B156,$B157)&gt;0,MIN(AQ$1,IF($A157=$A156,AQ156,1))-V157&lt;0),-1,MIN(1,IF($A157=$A156,AQ156,1)-V157+$D$3))</f>
        <v>#N/A</v>
      </c>
      <c r="AR157" t="e">
        <f>IF(OR($J157=0,COUNTIFS($A$4:$A156,"&gt;="&amp;$A157-1,$A$4:$A156,"&lt;="&amp;$A157,$B$4:$B156,$B157)&gt;0,MIN(AR$1,IF($A157=$A156,AR156,1))-W157&lt;0),-1,MIN(1,IF($A157=$A156,AR156,1)-W157+$D$3))</f>
        <v>#N/A</v>
      </c>
      <c r="AS157" t="e">
        <f>IF(OR($J157=0,COUNTIFS($A$4:$A156,"&gt;="&amp;$A157-1,$A$4:$A156,"&lt;="&amp;$A157,$B$4:$B156,$B157)&gt;0,MIN(AS$1,IF($A157=$A156,AS156,1))-X157&lt;0),-1,MIN(1,IF($A157=$A156,AS156,1)-X157+$D$3))</f>
        <v>#N/A</v>
      </c>
      <c r="AT157" t="e">
        <f>IF(OR($J157=0,COUNTIFS($A$4:$A156,"&gt;="&amp;$A157-1,$A$4:$A156,"&lt;="&amp;$A157,$B$4:$B156,$B157)&gt;0,MIN(AT$1,IF($A157=$A156,AT156,1))-Y157&lt;0),-1,MIN(1,IF($A157=$A156,AT156,1)-Y157+$D$3))</f>
        <v>#N/A</v>
      </c>
      <c r="AU157" t="e">
        <f>IF(OR($J157=0,COUNTIFS($A$4:$A156,"&gt;="&amp;$A157-1,$A$4:$A156,"&lt;="&amp;$A157,$B$4:$B156,$B157)&gt;0,MIN(AU$1,IF($A157=$A156,AU156,1))-Z157&lt;0),-1,MIN(1,IF($A157=$A156,AU156,1)-Z157+$D$3))</f>
        <v>#N/A</v>
      </c>
      <c r="AV157" t="e">
        <f>IF(OR($J157=0,COUNTIFS($A$4:$A156,"&gt;="&amp;$A157-1,$A$4:$A156,"&lt;="&amp;$A157,$B$4:$B156,$B157)&gt;0,MIN(AV$1,IF($A157=$A156,AV156,1))-AA157&lt;0),-1,MIN(1,IF($A157=$A156,AV156,1)-AA157+$D$3))</f>
        <v>#N/A</v>
      </c>
      <c r="AW157" t="e">
        <f>IF(OR($J157=0,COUNTIFS($A$4:$A156,"&gt;="&amp;$A157-1,$A$4:$A156,"&lt;="&amp;$A157,$B$4:$B156,$B157)&gt;0,MIN(AW$1,IF($A157=$A156,AW156,1))-AB157&lt;0),-1,MIN(1,IF($A157=$A156,AW156,1)-AB157+$D$3))</f>
        <v>#N/A</v>
      </c>
      <c r="AX157" t="e">
        <f>IF(OR($J157=0,COUNTIFS($A$4:$A156,"&gt;="&amp;$A157-1,$A$4:$A156,"&lt;="&amp;$A157,$B$4:$B156,$B157)&gt;0,MIN(AX$1,IF($A157=$A156,AX156,1))-AC157&lt;0),-1,MIN(1,IF($A157=$A156,AX156,1)-AC157+$D$3))</f>
        <v>#N/A</v>
      </c>
      <c r="AY157" t="e">
        <f>IF(OR($J157=0,COUNTIFS($A$4:$A156,"&gt;="&amp;$A157-1,$A$4:$A156,"&lt;="&amp;$A157,$B$4:$B156,$B157)&gt;0,MIN(AY$1,IF($A157=$A156,AY156,1))-AD157&lt;0),-1,MIN(1,IF($A157=$A156,AY156,1)-AD157+$D$3))</f>
        <v>#N/A</v>
      </c>
      <c r="AZ157" t="e">
        <f>IF(OR($J157=0,COUNTIFS($A$4:$A156,"&gt;="&amp;$A157-1,$A$4:$A156,"&lt;="&amp;$A157,$B$4:$B156,$B157)&gt;0,MIN(AZ$1,IF($A157=$A156,AZ156,1))-AE157&lt;0),-1,MIN(1,IF($A157=$A156,AZ156,1)-AE157+$D$3))</f>
        <v>#N/A</v>
      </c>
      <c r="BA157" t="e">
        <f>IF(OR($J157=0,COUNTIFS($A$4:$A156,"&gt;="&amp;$A157-1,$A$4:$A156,"&lt;="&amp;$A157,$B$4:$B156,$B157)&gt;0,MIN(BA$1,IF($A157=$A156,BA156,1))-AF157&lt;0),-1,MIN(1,IF($A157=$A156,BA156,1)-AF157+$D$3))</f>
        <v>#N/A</v>
      </c>
      <c r="BB157" t="e">
        <f>IF(OR($J157=0,COUNTIFS($A$4:$A156,"&gt;="&amp;$A157-1,$A$4:$A156,"&lt;="&amp;$A157,$B$4:$B156,$B157)&gt;0,MIN(BB$1,IF($A157=$A156,BB156,1))-AG157&lt;0),-1,MIN(1,IF($A157=$A156,BB156,1)-AG157+$D$3))</f>
        <v>#N/A</v>
      </c>
      <c r="BC157" t="e">
        <f>IF(OR($J157=0,COUNTIFS($A$4:$A156,"&gt;="&amp;$A157-1,$A$4:$A156,"&lt;="&amp;$A157,$B$4:$B156,$B157)&gt;0,MIN(BC$1,IF($A157=$A156,BC156,1))-AH157&lt;0),-1,MIN(1,IF($A157=$A156,BC156,1)-AH157+$D$3))</f>
        <v>#N/A</v>
      </c>
      <c r="BD157" t="e">
        <f>IF(OR($J157=0,COUNTIFS($A$4:$A156,"&gt;="&amp;$A157-1,$A$4:$A156,"&lt;="&amp;$A157,$B$4:$B156,$B157)&gt;0,MIN(BD$1,IF($A157=$A156,BD156,1))-AI157&lt;0),-1,MIN(1,IF($A157=$A156,BD156,1)-AI157+$D$3))</f>
        <v>#N/A</v>
      </c>
      <c r="BF157" s="44">
        <f t="shared" si="223"/>
        <v>8.2797553214144354E-4</v>
      </c>
      <c r="BG157" s="44">
        <f t="shared" si="224"/>
        <v>2.0362254727158747E-3</v>
      </c>
      <c r="BH157" s="44">
        <f t="shared" si="225"/>
        <v>2.0869169195908894E-3</v>
      </c>
      <c r="BI157" s="44">
        <f t="shared" si="226"/>
        <v>1.9277318256779169E-3</v>
      </c>
      <c r="BJ157" s="44">
        <f t="shared" si="227"/>
        <v>1.9924938529092286E-3</v>
      </c>
      <c r="BK157" s="44">
        <f t="shared" si="228"/>
        <v>8.5565115045216019E-4</v>
      </c>
      <c r="BL157" s="44">
        <f t="shared" si="229"/>
        <v>4.6223621291553252E-4</v>
      </c>
      <c r="BM157" s="44">
        <f t="shared" si="230"/>
        <v>1.1758749480068242E-3</v>
      </c>
      <c r="BN157" s="44">
        <f t="shared" si="231"/>
        <v>1.2230015881893256E-3</v>
      </c>
      <c r="BO157" s="44">
        <f t="shared" si="232"/>
        <v>5.7314495180928887E-4</v>
      </c>
      <c r="BP157" s="44">
        <f t="shared" si="233"/>
        <v>1.9271871306754829E-3</v>
      </c>
      <c r="BQ157" s="44">
        <f t="shared" si="234"/>
        <v>5.2006803006185778E-4</v>
      </c>
      <c r="BR157" s="44">
        <f t="shared" si="235"/>
        <v>1.5364111474454004E-3</v>
      </c>
      <c r="BS157" s="44">
        <f t="shared" si="236"/>
        <v>8.2860692016813674E-4</v>
      </c>
      <c r="BT157" s="44">
        <f t="shared" si="237"/>
        <v>3.2790516144714879E-3</v>
      </c>
      <c r="BU157" s="44">
        <f t="shared" si="238"/>
        <v>3.132480996162854E-3</v>
      </c>
      <c r="BV157" s="44">
        <f t="shared" si="239"/>
        <v>3.0083311128552117E-3</v>
      </c>
      <c r="BW157" s="44">
        <f t="shared" si="240"/>
        <v>1.9676140975235872E-3</v>
      </c>
      <c r="BX157" s="44">
        <f t="shared" si="241"/>
        <v>1.453637564849592E-3</v>
      </c>
      <c r="BY157" s="44">
        <f t="shared" si="242"/>
        <v>1.2481149260903299E-3</v>
      </c>
      <c r="CA157" s="44" t="str">
        <f t="shared" si="243"/>
        <v/>
      </c>
      <c r="CB157" s="44" t="str">
        <f t="shared" si="244"/>
        <v/>
      </c>
      <c r="CC157" s="44" t="str">
        <f t="shared" si="245"/>
        <v/>
      </c>
      <c r="CD157" s="44" t="str">
        <f t="shared" si="246"/>
        <v/>
      </c>
      <c r="CE157" s="44" t="str">
        <f t="shared" si="247"/>
        <v/>
      </c>
      <c r="CF157" s="44" t="str">
        <f t="shared" si="248"/>
        <v/>
      </c>
      <c r="CG157" s="44" t="str">
        <f t="shared" si="249"/>
        <v/>
      </c>
      <c r="CH157" s="44" t="str">
        <f t="shared" si="250"/>
        <v/>
      </c>
      <c r="CI157" s="44" t="str">
        <f t="shared" si="251"/>
        <v/>
      </c>
      <c r="CJ157" s="44" t="str">
        <f t="shared" si="252"/>
        <v/>
      </c>
      <c r="CK157" s="44" t="str">
        <f t="shared" si="253"/>
        <v/>
      </c>
      <c r="CL157" s="44" t="str">
        <f t="shared" si="254"/>
        <v/>
      </c>
      <c r="CM157" s="44" t="str">
        <f t="shared" si="255"/>
        <v/>
      </c>
      <c r="CN157" s="44" t="str">
        <f t="shared" si="256"/>
        <v/>
      </c>
      <c r="CO157" s="44" t="str">
        <f t="shared" si="257"/>
        <v/>
      </c>
      <c r="CP157" s="44" t="str">
        <f t="shared" si="258"/>
        <v/>
      </c>
      <c r="CQ157" s="44" t="str">
        <f t="shared" si="259"/>
        <v/>
      </c>
      <c r="CR157" s="44" t="str">
        <f t="shared" si="260"/>
        <v/>
      </c>
      <c r="CS157" s="44" t="str">
        <f t="shared" si="261"/>
        <v/>
      </c>
      <c r="CT157" s="44" t="str">
        <f t="shared" si="262"/>
        <v/>
      </c>
      <c r="CV157" s="44">
        <f t="shared" si="263"/>
        <v>0</v>
      </c>
    </row>
    <row r="158" spans="1:100" x14ac:dyDescent="0.25">
      <c r="A158" s="41"/>
      <c r="B158" s="42"/>
      <c r="C158" s="43" t="str" cm="1">
        <f t="array" ref="C158">IF(B158="","",INDEX(UWS!$B$10:$B$41,B158))</f>
        <v/>
      </c>
      <c r="D158" s="40" t="str">
        <f t="shared" si="220"/>
        <v/>
      </c>
      <c r="E158" s="69" t="str">
        <f t="shared" si="221"/>
        <v/>
      </c>
      <c r="F158" s="48" cm="1">
        <f t="array" ref="F158">0.1+IFERROR(INDEX($F$5:$F157,SUMPRODUCT(MAX(ROW($C$5:$C157)*($C158=$C$5:$C157))-ROW($A$4)))*0.9^($A158-INDEX($A$5:A157,SUMPRODUCT(MAX(ROW($C$5:$C157)*($C158=$C$5:$C157))-ROW($A$4)))),0)</f>
        <v>9.2999999999999829</v>
      </c>
      <c r="G158" s="55" t="e">
        <f>INDEX(UWS!$AB$10:$AB$41,MATCH(C158,UWS!$B$10:$B$41,0))</f>
        <v>#N/A</v>
      </c>
      <c r="H158" s="48" t="e">
        <f>INDEX(UWS!$C$10:$C$41,MATCH(C158,UWS!$B$10:$B$41,0))</f>
        <v>#N/A</v>
      </c>
      <c r="I158" s="27">
        <f t="shared" si="222"/>
        <v>5</v>
      </c>
      <c r="J158" s="27" t="e">
        <f>INDEX(UWS!$E$10:$E$41,MATCH(C158,UWS!$B$10:$B$41,0))</f>
        <v>#N/A</v>
      </c>
      <c r="L158" s="108" t="str" cm="1">
        <f t="array" ref="L158">IF(K158="","",INDEX(UWS!$B$10:$B$41,K158))</f>
        <v/>
      </c>
      <c r="N158" s="108" t="str" cm="1">
        <f t="array" ref="N158">IF(M158="","",INDEX(UWS!$B$10:$B$41,M158))</f>
        <v/>
      </c>
      <c r="P158">
        <f>IFERROR(INDEX(UWS!$G$10:$Z$41,MATCH($C158,UWS!$B$10:$B$41,0),MATCH(P$4,UWS!$G$3:$Z$3,0)),0)</f>
        <v>0</v>
      </c>
      <c r="Q158">
        <f>IFERROR(INDEX(UWS!$G$10:$Z$41,MATCH($C158,UWS!$B$10:$B$41,0),MATCH(Q$4,UWS!$G$3:$Z$3,0)),0)</f>
        <v>0</v>
      </c>
      <c r="R158">
        <f>IFERROR(INDEX(UWS!$G$10:$Z$41,MATCH($C158,UWS!$B$10:$B$41,0),MATCH(R$4,UWS!$G$3:$Z$3,0)),0)</f>
        <v>0</v>
      </c>
      <c r="S158">
        <f>IFERROR(INDEX(UWS!$G$10:$Z$41,MATCH($C158,UWS!$B$10:$B$41,0),MATCH(S$4,UWS!$G$3:$Z$3,0)),0)</f>
        <v>0</v>
      </c>
      <c r="T158">
        <f>IFERROR(INDEX(UWS!$G$10:$Z$41,MATCH($C158,UWS!$B$10:$B$41,0),MATCH(T$4,UWS!$G$3:$Z$3,0)),0)</f>
        <v>0</v>
      </c>
      <c r="U158">
        <f>IFERROR(INDEX(UWS!$G$10:$Z$41,MATCH($C158,UWS!$B$10:$B$41,0),MATCH(U$4,UWS!$G$3:$Z$3,0)),0)</f>
        <v>0</v>
      </c>
      <c r="V158">
        <f>IFERROR(INDEX(UWS!$G$10:$Z$41,MATCH($C158,UWS!$B$10:$B$41,0),MATCH(V$4,UWS!$G$3:$Z$3,0)),0)</f>
        <v>0</v>
      </c>
      <c r="W158">
        <f>IFERROR(INDEX(UWS!$G$10:$Z$41,MATCH($C158,UWS!$B$10:$B$41,0),MATCH(W$4,UWS!$G$3:$Z$3,0)),0)</f>
        <v>0</v>
      </c>
      <c r="X158">
        <f>IFERROR(INDEX(UWS!$G$10:$Z$41,MATCH($C158,UWS!$B$10:$B$41,0),MATCH(X$4,UWS!$G$3:$Z$3,0)),0)</f>
        <v>0</v>
      </c>
      <c r="Y158">
        <f>IFERROR(INDEX(UWS!$G$10:$Z$41,MATCH($C158,UWS!$B$10:$B$41,0),MATCH(Y$4,UWS!$G$3:$Z$3,0)),0)</f>
        <v>0</v>
      </c>
      <c r="Z158">
        <f>IFERROR(INDEX(UWS!$G$10:$Z$41,MATCH($C158,UWS!$B$10:$B$41,0),MATCH(Z$4,UWS!$G$3:$Z$3,0)),0)</f>
        <v>0</v>
      </c>
      <c r="AA158">
        <f>IFERROR(INDEX(UWS!$G$10:$Z$41,MATCH($C158,UWS!$B$10:$B$41,0),MATCH(AA$4,UWS!$G$3:$Z$3,0)),0)</f>
        <v>0</v>
      </c>
      <c r="AB158">
        <f>IFERROR(INDEX(UWS!$G$10:$Z$41,MATCH($C158,UWS!$B$10:$B$41,0),MATCH(AB$4,UWS!$G$3:$Z$3,0)),0)</f>
        <v>0</v>
      </c>
      <c r="AC158">
        <f>IFERROR(INDEX(UWS!$G$10:$Z$41,MATCH($C158,UWS!$B$10:$B$41,0),MATCH(AC$4,UWS!$G$3:$Z$3,0)),0)</f>
        <v>0</v>
      </c>
      <c r="AD158">
        <f>IFERROR(INDEX(UWS!$G$10:$Z$41,MATCH($C158,UWS!$B$10:$B$41,0),MATCH(AD$4,UWS!$G$3:$Z$3,0)),0)</f>
        <v>0</v>
      </c>
      <c r="AE158">
        <f>IFERROR(INDEX(UWS!$G$10:$Z$41,MATCH($C158,UWS!$B$10:$B$41,0),MATCH(AE$4,UWS!$G$3:$Z$3,0)),0)</f>
        <v>0</v>
      </c>
      <c r="AF158">
        <f>IFERROR(INDEX(UWS!$G$10:$Z$41,MATCH($C158,UWS!$B$10:$B$41,0),MATCH(AF$4,UWS!$G$3:$Z$3,0)),0)</f>
        <v>0</v>
      </c>
      <c r="AG158">
        <f>IFERROR(INDEX(UWS!$G$10:$Z$41,MATCH($C158,UWS!$B$10:$B$41,0),MATCH(AG$4,UWS!$G$3:$Z$3,0)),0)</f>
        <v>0</v>
      </c>
      <c r="AH158">
        <f>IFERROR(INDEX(UWS!$G$10:$Z$41,MATCH($C158,UWS!$B$10:$B$41,0),MATCH(AH$4,UWS!$G$3:$Z$3,0)),0)</f>
        <v>0</v>
      </c>
      <c r="AI158">
        <f>IFERROR(INDEX(UWS!$G$10:$Z$41,MATCH($C158,UWS!$B$10:$B$41,0),MATCH(AI$4,UWS!$G$3:$Z$3,0)),0)</f>
        <v>0</v>
      </c>
      <c r="AK158" t="e">
        <f>IF(OR($J158=0,COUNTIFS($A$4:$A157,"&gt;="&amp;$A158-1,$A$4:$A157,"&lt;="&amp;$A158,$B$4:$B157,$B158)&gt;0,MIN(AK$1,IF($A158=$A157,AK157,1))-P158&lt;0),-1,MIN(1,IF($A158=$A157,AK157,1)-P158+$D$3))</f>
        <v>#N/A</v>
      </c>
      <c r="AL158" t="e">
        <f>IF(OR($J158=0,COUNTIFS($A$4:$A157,"&gt;="&amp;$A158-1,$A$4:$A157,"&lt;="&amp;$A158,$B$4:$B157,$B158)&gt;0,MIN(AL$1,IF($A158=$A157,AL157,1))-Q158&lt;0),-1,MIN(1,IF($A158=$A157,AL157,1)-Q158+$D$3))</f>
        <v>#N/A</v>
      </c>
      <c r="AM158" t="e">
        <f>IF(OR($J158=0,COUNTIFS($A$4:$A157,"&gt;="&amp;$A158-1,$A$4:$A157,"&lt;="&amp;$A158,$B$4:$B157,$B158)&gt;0,MIN(AM$1,IF($A158=$A157,AM157,1))-R158&lt;0),-1,MIN(1,IF($A158=$A157,AM157,1)-R158+$D$3))</f>
        <v>#N/A</v>
      </c>
      <c r="AN158" t="e">
        <f>IF(OR($J158=0,COUNTIFS($A$4:$A157,"&gt;="&amp;$A158-1,$A$4:$A157,"&lt;="&amp;$A158,$B$4:$B157,$B158)&gt;0,MIN(AN$1,IF($A158=$A157,AN157,1))-S158&lt;0),-1,MIN(1,IF($A158=$A157,AN157,1)-S158+$D$3))</f>
        <v>#N/A</v>
      </c>
      <c r="AO158" t="e">
        <f>IF(OR($J158=0,COUNTIFS($A$4:$A157,"&gt;="&amp;$A158-1,$A$4:$A157,"&lt;="&amp;$A158,$B$4:$B157,$B158)&gt;0,MIN(AO$1,IF($A158=$A157,AO157,1))-T158&lt;0),-1,MIN(1,IF($A158=$A157,AO157,1)-T158+$D$3))</f>
        <v>#N/A</v>
      </c>
      <c r="AP158" t="e">
        <f>IF(OR($J158=0,COUNTIFS($A$4:$A157,"&gt;="&amp;$A158-1,$A$4:$A157,"&lt;="&amp;$A158,$B$4:$B157,$B158)&gt;0,MIN(AP$1,IF($A158=$A157,AP157,1))-U158&lt;0),-1,MIN(1,IF($A158=$A157,AP157,1)-U158+$D$3))</f>
        <v>#N/A</v>
      </c>
      <c r="AQ158" t="e">
        <f>IF(OR($J158=0,COUNTIFS($A$4:$A157,"&gt;="&amp;$A158-1,$A$4:$A157,"&lt;="&amp;$A158,$B$4:$B157,$B158)&gt;0,MIN(AQ$1,IF($A158=$A157,AQ157,1))-V158&lt;0),-1,MIN(1,IF($A158=$A157,AQ157,1)-V158+$D$3))</f>
        <v>#N/A</v>
      </c>
      <c r="AR158" t="e">
        <f>IF(OR($J158=0,COUNTIFS($A$4:$A157,"&gt;="&amp;$A158-1,$A$4:$A157,"&lt;="&amp;$A158,$B$4:$B157,$B158)&gt;0,MIN(AR$1,IF($A158=$A157,AR157,1))-W158&lt;0),-1,MIN(1,IF($A158=$A157,AR157,1)-W158+$D$3))</f>
        <v>#N/A</v>
      </c>
      <c r="AS158" t="e">
        <f>IF(OR($J158=0,COUNTIFS($A$4:$A157,"&gt;="&amp;$A158-1,$A$4:$A157,"&lt;="&amp;$A158,$B$4:$B157,$B158)&gt;0,MIN(AS$1,IF($A158=$A157,AS157,1))-X158&lt;0),-1,MIN(1,IF($A158=$A157,AS157,1)-X158+$D$3))</f>
        <v>#N/A</v>
      </c>
      <c r="AT158" t="e">
        <f>IF(OR($J158=0,COUNTIFS($A$4:$A157,"&gt;="&amp;$A158-1,$A$4:$A157,"&lt;="&amp;$A158,$B$4:$B157,$B158)&gt;0,MIN(AT$1,IF($A158=$A157,AT157,1))-Y158&lt;0),-1,MIN(1,IF($A158=$A157,AT157,1)-Y158+$D$3))</f>
        <v>#N/A</v>
      </c>
      <c r="AU158" t="e">
        <f>IF(OR($J158=0,COUNTIFS($A$4:$A157,"&gt;="&amp;$A158-1,$A$4:$A157,"&lt;="&amp;$A158,$B$4:$B157,$B158)&gt;0,MIN(AU$1,IF($A158=$A157,AU157,1))-Z158&lt;0),-1,MIN(1,IF($A158=$A157,AU157,1)-Z158+$D$3))</f>
        <v>#N/A</v>
      </c>
      <c r="AV158" t="e">
        <f>IF(OR($J158=0,COUNTIFS($A$4:$A157,"&gt;="&amp;$A158-1,$A$4:$A157,"&lt;="&amp;$A158,$B$4:$B157,$B158)&gt;0,MIN(AV$1,IF($A158=$A157,AV157,1))-AA158&lt;0),-1,MIN(1,IF($A158=$A157,AV157,1)-AA158+$D$3))</f>
        <v>#N/A</v>
      </c>
      <c r="AW158" t="e">
        <f>IF(OR($J158=0,COUNTIFS($A$4:$A157,"&gt;="&amp;$A158-1,$A$4:$A157,"&lt;="&amp;$A158,$B$4:$B157,$B158)&gt;0,MIN(AW$1,IF($A158=$A157,AW157,1))-AB158&lt;0),-1,MIN(1,IF($A158=$A157,AW157,1)-AB158+$D$3))</f>
        <v>#N/A</v>
      </c>
      <c r="AX158" t="e">
        <f>IF(OR($J158=0,COUNTIFS($A$4:$A157,"&gt;="&amp;$A158-1,$A$4:$A157,"&lt;="&amp;$A158,$B$4:$B157,$B158)&gt;0,MIN(AX$1,IF($A158=$A157,AX157,1))-AC158&lt;0),-1,MIN(1,IF($A158=$A157,AX157,1)-AC158+$D$3))</f>
        <v>#N/A</v>
      </c>
      <c r="AY158" t="e">
        <f>IF(OR($J158=0,COUNTIFS($A$4:$A157,"&gt;="&amp;$A158-1,$A$4:$A157,"&lt;="&amp;$A158,$B$4:$B157,$B158)&gt;0,MIN(AY$1,IF($A158=$A157,AY157,1))-AD158&lt;0),-1,MIN(1,IF($A158=$A157,AY157,1)-AD158+$D$3))</f>
        <v>#N/A</v>
      </c>
      <c r="AZ158" t="e">
        <f>IF(OR($J158=0,COUNTIFS($A$4:$A157,"&gt;="&amp;$A158-1,$A$4:$A157,"&lt;="&amp;$A158,$B$4:$B157,$B158)&gt;0,MIN(AZ$1,IF($A158=$A157,AZ157,1))-AE158&lt;0),-1,MIN(1,IF($A158=$A157,AZ157,1)-AE158+$D$3))</f>
        <v>#N/A</v>
      </c>
      <c r="BA158" t="e">
        <f>IF(OR($J158=0,COUNTIFS($A$4:$A157,"&gt;="&amp;$A158-1,$A$4:$A157,"&lt;="&amp;$A158,$B$4:$B157,$B158)&gt;0,MIN(BA$1,IF($A158=$A157,BA157,1))-AF158&lt;0),-1,MIN(1,IF($A158=$A157,BA157,1)-AF158+$D$3))</f>
        <v>#N/A</v>
      </c>
      <c r="BB158" t="e">
        <f>IF(OR($J158=0,COUNTIFS($A$4:$A157,"&gt;="&amp;$A158-1,$A$4:$A157,"&lt;="&amp;$A158,$B$4:$B157,$B158)&gt;0,MIN(BB$1,IF($A158=$A157,BB157,1))-AG158&lt;0),-1,MIN(1,IF($A158=$A157,BB157,1)-AG158+$D$3))</f>
        <v>#N/A</v>
      </c>
      <c r="BC158" t="e">
        <f>IF(OR($J158=0,COUNTIFS($A$4:$A157,"&gt;="&amp;$A158-1,$A$4:$A157,"&lt;="&amp;$A158,$B$4:$B157,$B158)&gt;0,MIN(BC$1,IF($A158=$A157,BC157,1))-AH158&lt;0),-1,MIN(1,IF($A158=$A157,BC157,1)-AH158+$D$3))</f>
        <v>#N/A</v>
      </c>
      <c r="BD158" t="e">
        <f>IF(OR($J158=0,COUNTIFS($A$4:$A157,"&gt;="&amp;$A158-1,$A$4:$A157,"&lt;="&amp;$A158,$B$4:$B157,$B158)&gt;0,MIN(BD$1,IF($A158=$A157,BD157,1))-AI158&lt;0),-1,MIN(1,IF($A158=$A157,BD157,1)-AI158+$D$3))</f>
        <v>#N/A</v>
      </c>
      <c r="BF158" s="44">
        <f t="shared" si="223"/>
        <v>7.8657675553437138E-4</v>
      </c>
      <c r="BG158" s="44">
        <f t="shared" si="224"/>
        <v>1.9344141990800809E-3</v>
      </c>
      <c r="BH158" s="44">
        <f t="shared" si="225"/>
        <v>1.9825710736113447E-3</v>
      </c>
      <c r="BI158" s="44">
        <f t="shared" si="226"/>
        <v>1.831345234394021E-3</v>
      </c>
      <c r="BJ158" s="44">
        <f t="shared" si="227"/>
        <v>1.892869160263767E-3</v>
      </c>
      <c r="BK158" s="44">
        <f t="shared" si="228"/>
        <v>8.1286859292955215E-4</v>
      </c>
      <c r="BL158" s="44">
        <f t="shared" si="229"/>
        <v>4.3912440226975586E-4</v>
      </c>
      <c r="BM158" s="44">
        <f t="shared" si="230"/>
        <v>1.1170812006064831E-3</v>
      </c>
      <c r="BN158" s="44">
        <f t="shared" si="231"/>
        <v>1.1618515087798594E-3</v>
      </c>
      <c r="BO158" s="44">
        <f t="shared" si="232"/>
        <v>5.4448770421882439E-4</v>
      </c>
      <c r="BP158" s="44">
        <f t="shared" si="233"/>
        <v>1.8308277741417088E-3</v>
      </c>
      <c r="BQ158" s="44">
        <f t="shared" si="234"/>
        <v>4.9406462855876483E-4</v>
      </c>
      <c r="BR158" s="44">
        <f t="shared" si="235"/>
        <v>1.4595905900731303E-3</v>
      </c>
      <c r="BS158" s="44">
        <f t="shared" si="236"/>
        <v>7.8717657415972985E-4</v>
      </c>
      <c r="BT158" s="44">
        <f t="shared" si="237"/>
        <v>3.1150990337479134E-3</v>
      </c>
      <c r="BU158" s="44">
        <f t="shared" si="238"/>
        <v>2.975856946354711E-3</v>
      </c>
      <c r="BV158" s="44">
        <f t="shared" si="239"/>
        <v>2.8579145572124511E-3</v>
      </c>
      <c r="BW158" s="44">
        <f t="shared" si="240"/>
        <v>1.8692333926474077E-3</v>
      </c>
      <c r="BX158" s="44">
        <f t="shared" si="241"/>
        <v>1.3809556866071124E-3</v>
      </c>
      <c r="BY158" s="44">
        <f t="shared" si="242"/>
        <v>1.1857091797858133E-3</v>
      </c>
      <c r="CA158" s="44" t="str">
        <f t="shared" si="243"/>
        <v/>
      </c>
      <c r="CB158" s="44" t="str">
        <f t="shared" si="244"/>
        <v/>
      </c>
      <c r="CC158" s="44" t="str">
        <f t="shared" si="245"/>
        <v/>
      </c>
      <c r="CD158" s="44" t="str">
        <f t="shared" si="246"/>
        <v/>
      </c>
      <c r="CE158" s="44" t="str">
        <f t="shared" si="247"/>
        <v/>
      </c>
      <c r="CF158" s="44" t="str">
        <f t="shared" si="248"/>
        <v/>
      </c>
      <c r="CG158" s="44" t="str">
        <f t="shared" si="249"/>
        <v/>
      </c>
      <c r="CH158" s="44" t="str">
        <f t="shared" si="250"/>
        <v/>
      </c>
      <c r="CI158" s="44" t="str">
        <f t="shared" si="251"/>
        <v/>
      </c>
      <c r="CJ158" s="44" t="str">
        <f t="shared" si="252"/>
        <v/>
      </c>
      <c r="CK158" s="44" t="str">
        <f t="shared" si="253"/>
        <v/>
      </c>
      <c r="CL158" s="44" t="str">
        <f t="shared" si="254"/>
        <v/>
      </c>
      <c r="CM158" s="44" t="str">
        <f t="shared" si="255"/>
        <v/>
      </c>
      <c r="CN158" s="44" t="str">
        <f t="shared" si="256"/>
        <v/>
      </c>
      <c r="CO158" s="44" t="str">
        <f t="shared" si="257"/>
        <v/>
      </c>
      <c r="CP158" s="44" t="str">
        <f t="shared" si="258"/>
        <v/>
      </c>
      <c r="CQ158" s="44" t="str">
        <f t="shared" si="259"/>
        <v/>
      </c>
      <c r="CR158" s="44" t="str">
        <f t="shared" si="260"/>
        <v/>
      </c>
      <c r="CS158" s="44" t="str">
        <f t="shared" si="261"/>
        <v/>
      </c>
      <c r="CT158" s="44" t="str">
        <f t="shared" si="262"/>
        <v/>
      </c>
      <c r="CV158" s="44">
        <f t="shared" si="263"/>
        <v>0</v>
      </c>
    </row>
    <row r="159" spans="1:100" x14ac:dyDescent="0.25">
      <c r="A159" s="41"/>
      <c r="B159" s="42"/>
      <c r="C159" s="43" t="str" cm="1">
        <f t="array" ref="C159">IF(B159="","",INDEX(UWS!$B$10:$B$41,B159))</f>
        <v/>
      </c>
      <c r="D159" s="40" t="str">
        <f t="shared" si="220"/>
        <v/>
      </c>
      <c r="E159" s="69" t="str">
        <f t="shared" si="221"/>
        <v/>
      </c>
      <c r="F159" s="48" cm="1">
        <f t="array" ref="F159">0.1+IFERROR(INDEX($F$5:$F158,SUMPRODUCT(MAX(ROW($C$5:$C158)*($C159=$C$5:$C158))-ROW($A$4)))*0.9^($A159-INDEX($A$5:A158,SUMPRODUCT(MAX(ROW($C$5:$C158)*($C159=$C$5:$C158))-ROW($A$4)))),0)</f>
        <v>9.3999999999999826</v>
      </c>
      <c r="G159" s="55" t="e">
        <f>INDEX(UWS!$AB$10:$AB$41,MATCH(C159,UWS!$B$10:$B$41,0))</f>
        <v>#N/A</v>
      </c>
      <c r="H159" s="48" t="e">
        <f>INDEX(UWS!$C$10:$C$41,MATCH(C159,UWS!$B$10:$B$41,0))</f>
        <v>#N/A</v>
      </c>
      <c r="I159" s="27">
        <f t="shared" si="222"/>
        <v>5</v>
      </c>
      <c r="J159" s="27" t="e">
        <f>INDEX(UWS!$E$10:$E$41,MATCH(C159,UWS!$B$10:$B$41,0))</f>
        <v>#N/A</v>
      </c>
      <c r="L159" s="108" t="str" cm="1">
        <f t="array" ref="L159">IF(K159="","",INDEX(UWS!$B$10:$B$41,K159))</f>
        <v/>
      </c>
      <c r="N159" s="108" t="str" cm="1">
        <f t="array" ref="N159">IF(M159="","",INDEX(UWS!$B$10:$B$41,M159))</f>
        <v/>
      </c>
      <c r="P159">
        <f>IFERROR(INDEX(UWS!$G$10:$Z$41,MATCH($C159,UWS!$B$10:$B$41,0),MATCH(P$4,UWS!$G$3:$Z$3,0)),0)</f>
        <v>0</v>
      </c>
      <c r="Q159">
        <f>IFERROR(INDEX(UWS!$G$10:$Z$41,MATCH($C159,UWS!$B$10:$B$41,0),MATCH(Q$4,UWS!$G$3:$Z$3,0)),0)</f>
        <v>0</v>
      </c>
      <c r="R159">
        <f>IFERROR(INDEX(UWS!$G$10:$Z$41,MATCH($C159,UWS!$B$10:$B$41,0),MATCH(R$4,UWS!$G$3:$Z$3,0)),0)</f>
        <v>0</v>
      </c>
      <c r="S159">
        <f>IFERROR(INDEX(UWS!$G$10:$Z$41,MATCH($C159,UWS!$B$10:$B$41,0),MATCH(S$4,UWS!$G$3:$Z$3,0)),0)</f>
        <v>0</v>
      </c>
      <c r="T159">
        <f>IFERROR(INDEX(UWS!$G$10:$Z$41,MATCH($C159,UWS!$B$10:$B$41,0),MATCH(T$4,UWS!$G$3:$Z$3,0)),0)</f>
        <v>0</v>
      </c>
      <c r="U159">
        <f>IFERROR(INDEX(UWS!$G$10:$Z$41,MATCH($C159,UWS!$B$10:$B$41,0),MATCH(U$4,UWS!$G$3:$Z$3,0)),0)</f>
        <v>0</v>
      </c>
      <c r="V159">
        <f>IFERROR(INDEX(UWS!$G$10:$Z$41,MATCH($C159,UWS!$B$10:$B$41,0),MATCH(V$4,UWS!$G$3:$Z$3,0)),0)</f>
        <v>0</v>
      </c>
      <c r="W159">
        <f>IFERROR(INDEX(UWS!$G$10:$Z$41,MATCH($C159,UWS!$B$10:$B$41,0),MATCH(W$4,UWS!$G$3:$Z$3,0)),0)</f>
        <v>0</v>
      </c>
      <c r="X159">
        <f>IFERROR(INDEX(UWS!$G$10:$Z$41,MATCH($C159,UWS!$B$10:$B$41,0),MATCH(X$4,UWS!$G$3:$Z$3,0)),0)</f>
        <v>0</v>
      </c>
      <c r="Y159">
        <f>IFERROR(INDEX(UWS!$G$10:$Z$41,MATCH($C159,UWS!$B$10:$B$41,0),MATCH(Y$4,UWS!$G$3:$Z$3,0)),0)</f>
        <v>0</v>
      </c>
      <c r="Z159">
        <f>IFERROR(INDEX(UWS!$G$10:$Z$41,MATCH($C159,UWS!$B$10:$B$41,0),MATCH(Z$4,UWS!$G$3:$Z$3,0)),0)</f>
        <v>0</v>
      </c>
      <c r="AA159">
        <f>IFERROR(INDEX(UWS!$G$10:$Z$41,MATCH($C159,UWS!$B$10:$B$41,0),MATCH(AA$4,UWS!$G$3:$Z$3,0)),0)</f>
        <v>0</v>
      </c>
      <c r="AB159">
        <f>IFERROR(INDEX(UWS!$G$10:$Z$41,MATCH($C159,UWS!$B$10:$B$41,0),MATCH(AB$4,UWS!$G$3:$Z$3,0)),0)</f>
        <v>0</v>
      </c>
      <c r="AC159">
        <f>IFERROR(INDEX(UWS!$G$10:$Z$41,MATCH($C159,UWS!$B$10:$B$41,0),MATCH(AC$4,UWS!$G$3:$Z$3,0)),0)</f>
        <v>0</v>
      </c>
      <c r="AD159">
        <f>IFERROR(INDEX(UWS!$G$10:$Z$41,MATCH($C159,UWS!$B$10:$B$41,0),MATCH(AD$4,UWS!$G$3:$Z$3,0)),0)</f>
        <v>0</v>
      </c>
      <c r="AE159">
        <f>IFERROR(INDEX(UWS!$G$10:$Z$41,MATCH($C159,UWS!$B$10:$B$41,0),MATCH(AE$4,UWS!$G$3:$Z$3,0)),0)</f>
        <v>0</v>
      </c>
      <c r="AF159">
        <f>IFERROR(INDEX(UWS!$G$10:$Z$41,MATCH($C159,UWS!$B$10:$B$41,0),MATCH(AF$4,UWS!$G$3:$Z$3,0)),0)</f>
        <v>0</v>
      </c>
      <c r="AG159">
        <f>IFERROR(INDEX(UWS!$G$10:$Z$41,MATCH($C159,UWS!$B$10:$B$41,0),MATCH(AG$4,UWS!$G$3:$Z$3,0)),0)</f>
        <v>0</v>
      </c>
      <c r="AH159">
        <f>IFERROR(INDEX(UWS!$G$10:$Z$41,MATCH($C159,UWS!$B$10:$B$41,0),MATCH(AH$4,UWS!$G$3:$Z$3,0)),0)</f>
        <v>0</v>
      </c>
      <c r="AI159">
        <f>IFERROR(INDEX(UWS!$G$10:$Z$41,MATCH($C159,UWS!$B$10:$B$41,0),MATCH(AI$4,UWS!$G$3:$Z$3,0)),0)</f>
        <v>0</v>
      </c>
      <c r="AK159" t="e">
        <f>IF(OR($J159=0,COUNTIFS($A$4:$A158,"&gt;="&amp;$A159-1,$A$4:$A158,"&lt;="&amp;$A159,$B$4:$B158,$B159)&gt;0,MIN(AK$1,IF($A159=$A158,AK158,1))-P159&lt;0),-1,MIN(1,IF($A159=$A158,AK158,1)-P159+$D$3))</f>
        <v>#N/A</v>
      </c>
      <c r="AL159" t="e">
        <f>IF(OR($J159=0,COUNTIFS($A$4:$A158,"&gt;="&amp;$A159-1,$A$4:$A158,"&lt;="&amp;$A159,$B$4:$B158,$B159)&gt;0,MIN(AL$1,IF($A159=$A158,AL158,1))-Q159&lt;0),-1,MIN(1,IF($A159=$A158,AL158,1)-Q159+$D$3))</f>
        <v>#N/A</v>
      </c>
      <c r="AM159" t="e">
        <f>IF(OR($J159=0,COUNTIFS($A$4:$A158,"&gt;="&amp;$A159-1,$A$4:$A158,"&lt;="&amp;$A159,$B$4:$B158,$B159)&gt;0,MIN(AM$1,IF($A159=$A158,AM158,1))-R159&lt;0),-1,MIN(1,IF($A159=$A158,AM158,1)-R159+$D$3))</f>
        <v>#N/A</v>
      </c>
      <c r="AN159" t="e">
        <f>IF(OR($J159=0,COUNTIFS($A$4:$A158,"&gt;="&amp;$A159-1,$A$4:$A158,"&lt;="&amp;$A159,$B$4:$B158,$B159)&gt;0,MIN(AN$1,IF($A159=$A158,AN158,1))-S159&lt;0),-1,MIN(1,IF($A159=$A158,AN158,1)-S159+$D$3))</f>
        <v>#N/A</v>
      </c>
      <c r="AO159" t="e">
        <f>IF(OR($J159=0,COUNTIFS($A$4:$A158,"&gt;="&amp;$A159-1,$A$4:$A158,"&lt;="&amp;$A159,$B$4:$B158,$B159)&gt;0,MIN(AO$1,IF($A159=$A158,AO158,1))-T159&lt;0),-1,MIN(1,IF($A159=$A158,AO158,1)-T159+$D$3))</f>
        <v>#N/A</v>
      </c>
      <c r="AP159" t="e">
        <f>IF(OR($J159=0,COUNTIFS($A$4:$A158,"&gt;="&amp;$A159-1,$A$4:$A158,"&lt;="&amp;$A159,$B$4:$B158,$B159)&gt;0,MIN(AP$1,IF($A159=$A158,AP158,1))-U159&lt;0),-1,MIN(1,IF($A159=$A158,AP158,1)-U159+$D$3))</f>
        <v>#N/A</v>
      </c>
      <c r="AQ159" t="e">
        <f>IF(OR($J159=0,COUNTIFS($A$4:$A158,"&gt;="&amp;$A159-1,$A$4:$A158,"&lt;="&amp;$A159,$B$4:$B158,$B159)&gt;0,MIN(AQ$1,IF($A159=$A158,AQ158,1))-V159&lt;0),-1,MIN(1,IF($A159=$A158,AQ158,1)-V159+$D$3))</f>
        <v>#N/A</v>
      </c>
      <c r="AR159" t="e">
        <f>IF(OR($J159=0,COUNTIFS($A$4:$A158,"&gt;="&amp;$A159-1,$A$4:$A158,"&lt;="&amp;$A159,$B$4:$B158,$B159)&gt;0,MIN(AR$1,IF($A159=$A158,AR158,1))-W159&lt;0),-1,MIN(1,IF($A159=$A158,AR158,1)-W159+$D$3))</f>
        <v>#N/A</v>
      </c>
      <c r="AS159" t="e">
        <f>IF(OR($J159=0,COUNTIFS($A$4:$A158,"&gt;="&amp;$A159-1,$A$4:$A158,"&lt;="&amp;$A159,$B$4:$B158,$B159)&gt;0,MIN(AS$1,IF($A159=$A158,AS158,1))-X159&lt;0),-1,MIN(1,IF($A159=$A158,AS158,1)-X159+$D$3))</f>
        <v>#N/A</v>
      </c>
      <c r="AT159" t="e">
        <f>IF(OR($J159=0,COUNTIFS($A$4:$A158,"&gt;="&amp;$A159-1,$A$4:$A158,"&lt;="&amp;$A159,$B$4:$B158,$B159)&gt;0,MIN(AT$1,IF($A159=$A158,AT158,1))-Y159&lt;0),-1,MIN(1,IF($A159=$A158,AT158,1)-Y159+$D$3))</f>
        <v>#N/A</v>
      </c>
      <c r="AU159" t="e">
        <f>IF(OR($J159=0,COUNTIFS($A$4:$A158,"&gt;="&amp;$A159-1,$A$4:$A158,"&lt;="&amp;$A159,$B$4:$B158,$B159)&gt;0,MIN(AU$1,IF($A159=$A158,AU158,1))-Z159&lt;0),-1,MIN(1,IF($A159=$A158,AU158,1)-Z159+$D$3))</f>
        <v>#N/A</v>
      </c>
      <c r="AV159" t="e">
        <f>IF(OR($J159=0,COUNTIFS($A$4:$A158,"&gt;="&amp;$A159-1,$A$4:$A158,"&lt;="&amp;$A159,$B$4:$B158,$B159)&gt;0,MIN(AV$1,IF($A159=$A158,AV158,1))-AA159&lt;0),-1,MIN(1,IF($A159=$A158,AV158,1)-AA159+$D$3))</f>
        <v>#N/A</v>
      </c>
      <c r="AW159" t="e">
        <f>IF(OR($J159=0,COUNTIFS($A$4:$A158,"&gt;="&amp;$A159-1,$A$4:$A158,"&lt;="&amp;$A159,$B$4:$B158,$B159)&gt;0,MIN(AW$1,IF($A159=$A158,AW158,1))-AB159&lt;0),-1,MIN(1,IF($A159=$A158,AW158,1)-AB159+$D$3))</f>
        <v>#N/A</v>
      </c>
      <c r="AX159" t="e">
        <f>IF(OR($J159=0,COUNTIFS($A$4:$A158,"&gt;="&amp;$A159-1,$A$4:$A158,"&lt;="&amp;$A159,$B$4:$B158,$B159)&gt;0,MIN(AX$1,IF($A159=$A158,AX158,1))-AC159&lt;0),-1,MIN(1,IF($A159=$A158,AX158,1)-AC159+$D$3))</f>
        <v>#N/A</v>
      </c>
      <c r="AY159" t="e">
        <f>IF(OR($J159=0,COUNTIFS($A$4:$A158,"&gt;="&amp;$A159-1,$A$4:$A158,"&lt;="&amp;$A159,$B$4:$B158,$B159)&gt;0,MIN(AY$1,IF($A159=$A158,AY158,1))-AD159&lt;0),-1,MIN(1,IF($A159=$A158,AY158,1)-AD159+$D$3))</f>
        <v>#N/A</v>
      </c>
      <c r="AZ159" t="e">
        <f>IF(OR($J159=0,COUNTIFS($A$4:$A158,"&gt;="&amp;$A159-1,$A$4:$A158,"&lt;="&amp;$A159,$B$4:$B158,$B159)&gt;0,MIN(AZ$1,IF($A159=$A158,AZ158,1))-AE159&lt;0),-1,MIN(1,IF($A159=$A158,AZ158,1)-AE159+$D$3))</f>
        <v>#N/A</v>
      </c>
      <c r="BA159" t="e">
        <f>IF(OR($J159=0,COUNTIFS($A$4:$A158,"&gt;="&amp;$A159-1,$A$4:$A158,"&lt;="&amp;$A159,$B$4:$B158,$B159)&gt;0,MIN(BA$1,IF($A159=$A158,BA158,1))-AF159&lt;0),-1,MIN(1,IF($A159=$A158,BA158,1)-AF159+$D$3))</f>
        <v>#N/A</v>
      </c>
      <c r="BB159" t="e">
        <f>IF(OR($J159=0,COUNTIFS($A$4:$A158,"&gt;="&amp;$A159-1,$A$4:$A158,"&lt;="&amp;$A159,$B$4:$B158,$B159)&gt;0,MIN(BB$1,IF($A159=$A158,BB158,1))-AG159&lt;0),-1,MIN(1,IF($A159=$A158,BB158,1)-AG159+$D$3))</f>
        <v>#N/A</v>
      </c>
      <c r="BC159" t="e">
        <f>IF(OR($J159=0,COUNTIFS($A$4:$A158,"&gt;="&amp;$A159-1,$A$4:$A158,"&lt;="&amp;$A159,$B$4:$B158,$B159)&gt;0,MIN(BC$1,IF($A159=$A158,BC158,1))-AH159&lt;0),-1,MIN(1,IF($A159=$A158,BC158,1)-AH159+$D$3))</f>
        <v>#N/A</v>
      </c>
      <c r="BD159" t="e">
        <f>IF(OR($J159=0,COUNTIFS($A$4:$A158,"&gt;="&amp;$A159-1,$A$4:$A158,"&lt;="&amp;$A159,$B$4:$B158,$B159)&gt;0,MIN(BD$1,IF($A159=$A158,BD158,1))-AI159&lt;0),-1,MIN(1,IF($A159=$A158,BD158,1)-AI159+$D$3))</f>
        <v>#N/A</v>
      </c>
      <c r="BF159" s="44">
        <f t="shared" si="223"/>
        <v>7.4724791775765279E-4</v>
      </c>
      <c r="BG159" s="44">
        <f t="shared" si="224"/>
        <v>1.8376934891260767E-3</v>
      </c>
      <c r="BH159" s="44">
        <f t="shared" si="225"/>
        <v>1.8834425199307774E-3</v>
      </c>
      <c r="BI159" s="44">
        <f t="shared" si="226"/>
        <v>1.7397779726743199E-3</v>
      </c>
      <c r="BJ159" s="44">
        <f t="shared" si="227"/>
        <v>1.7982257022505785E-3</v>
      </c>
      <c r="BK159" s="44">
        <f t="shared" si="228"/>
        <v>7.7222516328307453E-4</v>
      </c>
      <c r="BL159" s="44">
        <f t="shared" si="229"/>
        <v>4.1716818215626803E-4</v>
      </c>
      <c r="BM159" s="44">
        <f t="shared" si="230"/>
        <v>1.0612271405761589E-3</v>
      </c>
      <c r="BN159" s="44">
        <f t="shared" si="231"/>
        <v>1.1037589333408664E-3</v>
      </c>
      <c r="BO159" s="44">
        <f t="shared" si="232"/>
        <v>5.1726331900788316E-4</v>
      </c>
      <c r="BP159" s="44">
        <f t="shared" si="233"/>
        <v>1.7392863854346233E-3</v>
      </c>
      <c r="BQ159" s="44">
        <f t="shared" si="234"/>
        <v>4.6936139713082655E-4</v>
      </c>
      <c r="BR159" s="44">
        <f t="shared" si="235"/>
        <v>1.3866110605694737E-3</v>
      </c>
      <c r="BS159" s="44">
        <f t="shared" si="236"/>
        <v>7.4781774545174332E-4</v>
      </c>
      <c r="BT159" s="44">
        <f t="shared" si="237"/>
        <v>2.9593440820605177E-3</v>
      </c>
      <c r="BU159" s="44">
        <f t="shared" si="238"/>
        <v>2.8270640990369755E-3</v>
      </c>
      <c r="BV159" s="44">
        <f t="shared" si="239"/>
        <v>2.7150188293518286E-3</v>
      </c>
      <c r="BW159" s="44">
        <f t="shared" si="240"/>
        <v>1.7757717230150374E-3</v>
      </c>
      <c r="BX159" s="44">
        <f t="shared" si="241"/>
        <v>1.3119079022767567E-3</v>
      </c>
      <c r="BY159" s="44">
        <f t="shared" si="242"/>
        <v>1.1264237207965226E-3</v>
      </c>
      <c r="CA159" s="44" t="str">
        <f t="shared" si="243"/>
        <v/>
      </c>
      <c r="CB159" s="44" t="str">
        <f t="shared" si="244"/>
        <v/>
      </c>
      <c r="CC159" s="44" t="str">
        <f t="shared" si="245"/>
        <v/>
      </c>
      <c r="CD159" s="44" t="str">
        <f t="shared" si="246"/>
        <v/>
      </c>
      <c r="CE159" s="44" t="str">
        <f t="shared" si="247"/>
        <v/>
      </c>
      <c r="CF159" s="44" t="str">
        <f t="shared" si="248"/>
        <v/>
      </c>
      <c r="CG159" s="44" t="str">
        <f t="shared" si="249"/>
        <v/>
      </c>
      <c r="CH159" s="44" t="str">
        <f t="shared" si="250"/>
        <v/>
      </c>
      <c r="CI159" s="44" t="str">
        <f t="shared" si="251"/>
        <v/>
      </c>
      <c r="CJ159" s="44" t="str">
        <f t="shared" si="252"/>
        <v/>
      </c>
      <c r="CK159" s="44" t="str">
        <f t="shared" si="253"/>
        <v/>
      </c>
      <c r="CL159" s="44" t="str">
        <f t="shared" si="254"/>
        <v/>
      </c>
      <c r="CM159" s="44" t="str">
        <f t="shared" si="255"/>
        <v/>
      </c>
      <c r="CN159" s="44" t="str">
        <f t="shared" si="256"/>
        <v/>
      </c>
      <c r="CO159" s="44" t="str">
        <f t="shared" si="257"/>
        <v/>
      </c>
      <c r="CP159" s="44" t="str">
        <f t="shared" si="258"/>
        <v/>
      </c>
      <c r="CQ159" s="44" t="str">
        <f t="shared" si="259"/>
        <v/>
      </c>
      <c r="CR159" s="44" t="str">
        <f t="shared" si="260"/>
        <v/>
      </c>
      <c r="CS159" s="44" t="str">
        <f t="shared" si="261"/>
        <v/>
      </c>
      <c r="CT159" s="44" t="str">
        <f t="shared" si="262"/>
        <v/>
      </c>
      <c r="CV159" s="44">
        <f t="shared" si="263"/>
        <v>0</v>
      </c>
    </row>
    <row r="160" spans="1:100" x14ac:dyDescent="0.25">
      <c r="A160" s="49"/>
      <c r="B160" s="50"/>
      <c r="C160" s="51" t="str" cm="1">
        <f t="array" ref="C160">IF(B160="","",INDEX(UWS!$B$10:$B$41,B160))</f>
        <v/>
      </c>
      <c r="D160" s="45" t="str">
        <f t="shared" si="220"/>
        <v/>
      </c>
      <c r="E160" s="70" t="str">
        <f t="shared" si="221"/>
        <v/>
      </c>
      <c r="F160" s="52" cm="1">
        <f t="array" ref="F160">0.1+IFERROR(INDEX($F$5:$F159,SUMPRODUCT(MAX(ROW($C$5:$C159)*($C160=$C$5:$C159))-ROW($A$4)))*0.9^($A160-INDEX($A$5:A159,SUMPRODUCT(MAX(ROW($C$5:$C159)*($C160=$C$5:$C159))-ROW($A$4)))),0)</f>
        <v>9.4999999999999822</v>
      </c>
      <c r="G160" s="56" t="e">
        <f>INDEX(UWS!$AB$10:$AB$41,MATCH(C160,UWS!$B$10:$B$41,0))</f>
        <v>#N/A</v>
      </c>
      <c r="H160" s="52" t="e">
        <f>INDEX(UWS!$C$10:$C$41,MATCH(C160,UWS!$B$10:$B$41,0))</f>
        <v>#N/A</v>
      </c>
      <c r="I160" s="46">
        <f t="shared" si="222"/>
        <v>5</v>
      </c>
      <c r="J160" s="46" t="e">
        <f>INDEX(UWS!$E$10:$E$41,MATCH(C160,UWS!$B$10:$B$41,0))</f>
        <v>#N/A</v>
      </c>
      <c r="K160" s="46"/>
      <c r="L160" s="109" t="str" cm="1">
        <f t="array" ref="L160">IF(K160="","",INDEX(UWS!$B$10:$B$41,K160))</f>
        <v/>
      </c>
      <c r="M160" s="46"/>
      <c r="N160" s="109" t="str" cm="1">
        <f t="array" ref="N160">IF(M160="","",INDEX(UWS!$B$10:$B$41,M160))</f>
        <v/>
      </c>
      <c r="O160" s="47"/>
      <c r="P160" s="47">
        <f>IFERROR(INDEX(UWS!$G$10:$Z$41,MATCH($C160,UWS!$B$10:$B$41,0),MATCH(P$4,UWS!$G$3:$Z$3,0)),0)</f>
        <v>0</v>
      </c>
      <c r="Q160" s="47">
        <f>IFERROR(INDEX(UWS!$G$10:$Z$41,MATCH($C160,UWS!$B$10:$B$41,0),MATCH(Q$4,UWS!$G$3:$Z$3,0)),0)</f>
        <v>0</v>
      </c>
      <c r="R160" s="47">
        <f>IFERROR(INDEX(UWS!$G$10:$Z$41,MATCH($C160,UWS!$B$10:$B$41,0),MATCH(R$4,UWS!$G$3:$Z$3,0)),0)</f>
        <v>0</v>
      </c>
      <c r="S160" s="47">
        <f>IFERROR(INDEX(UWS!$G$10:$Z$41,MATCH($C160,UWS!$B$10:$B$41,0),MATCH(S$4,UWS!$G$3:$Z$3,0)),0)</f>
        <v>0</v>
      </c>
      <c r="T160" s="47">
        <f>IFERROR(INDEX(UWS!$G$10:$Z$41,MATCH($C160,UWS!$B$10:$B$41,0),MATCH(T$4,UWS!$G$3:$Z$3,0)),0)</f>
        <v>0</v>
      </c>
      <c r="U160" s="47">
        <f>IFERROR(INDEX(UWS!$G$10:$Z$41,MATCH($C160,UWS!$B$10:$B$41,0),MATCH(U$4,UWS!$G$3:$Z$3,0)),0)</f>
        <v>0</v>
      </c>
      <c r="V160" s="47">
        <f>IFERROR(INDEX(UWS!$G$10:$Z$41,MATCH($C160,UWS!$B$10:$B$41,0),MATCH(V$4,UWS!$G$3:$Z$3,0)),0)</f>
        <v>0</v>
      </c>
      <c r="W160" s="47">
        <f>IFERROR(INDEX(UWS!$G$10:$Z$41,MATCH($C160,UWS!$B$10:$B$41,0),MATCH(W$4,UWS!$G$3:$Z$3,0)),0)</f>
        <v>0</v>
      </c>
      <c r="X160" s="47">
        <f>IFERROR(INDEX(UWS!$G$10:$Z$41,MATCH($C160,UWS!$B$10:$B$41,0),MATCH(X$4,UWS!$G$3:$Z$3,0)),0)</f>
        <v>0</v>
      </c>
      <c r="Y160" s="47">
        <f>IFERROR(INDEX(UWS!$G$10:$Z$41,MATCH($C160,UWS!$B$10:$B$41,0),MATCH(Y$4,UWS!$G$3:$Z$3,0)),0)</f>
        <v>0</v>
      </c>
      <c r="Z160" s="47">
        <f>IFERROR(INDEX(UWS!$G$10:$Z$41,MATCH($C160,UWS!$B$10:$B$41,0),MATCH(Z$4,UWS!$G$3:$Z$3,0)),0)</f>
        <v>0</v>
      </c>
      <c r="AA160" s="47">
        <f>IFERROR(INDEX(UWS!$G$10:$Z$41,MATCH($C160,UWS!$B$10:$B$41,0),MATCH(AA$4,UWS!$G$3:$Z$3,0)),0)</f>
        <v>0</v>
      </c>
      <c r="AB160" s="47">
        <f>IFERROR(INDEX(UWS!$G$10:$Z$41,MATCH($C160,UWS!$B$10:$B$41,0),MATCH(AB$4,UWS!$G$3:$Z$3,0)),0)</f>
        <v>0</v>
      </c>
      <c r="AC160" s="47">
        <f>IFERROR(INDEX(UWS!$G$10:$Z$41,MATCH($C160,UWS!$B$10:$B$41,0),MATCH(AC$4,UWS!$G$3:$Z$3,0)),0)</f>
        <v>0</v>
      </c>
      <c r="AD160" s="47">
        <f>IFERROR(INDEX(UWS!$G$10:$Z$41,MATCH($C160,UWS!$B$10:$B$41,0),MATCH(AD$4,UWS!$G$3:$Z$3,0)),0)</f>
        <v>0</v>
      </c>
      <c r="AE160" s="47">
        <f>IFERROR(INDEX(UWS!$G$10:$Z$41,MATCH($C160,UWS!$B$10:$B$41,0),MATCH(AE$4,UWS!$G$3:$Z$3,0)),0)</f>
        <v>0</v>
      </c>
      <c r="AF160" s="47">
        <f>IFERROR(INDEX(UWS!$G$10:$Z$41,MATCH($C160,UWS!$B$10:$B$41,0),MATCH(AF$4,UWS!$G$3:$Z$3,0)),0)</f>
        <v>0</v>
      </c>
      <c r="AG160" s="47">
        <f>IFERROR(INDEX(UWS!$G$10:$Z$41,MATCH($C160,UWS!$B$10:$B$41,0),MATCH(AG$4,UWS!$G$3:$Z$3,0)),0)</f>
        <v>0</v>
      </c>
      <c r="AH160" s="47">
        <f>IFERROR(INDEX(UWS!$G$10:$Z$41,MATCH($C160,UWS!$B$10:$B$41,0),MATCH(AH$4,UWS!$G$3:$Z$3,0)),0)</f>
        <v>0</v>
      </c>
      <c r="AI160" s="47">
        <f>IFERROR(INDEX(UWS!$G$10:$Z$41,MATCH($C160,UWS!$B$10:$B$41,0),MATCH(AI$4,UWS!$G$3:$Z$3,0)),0)</f>
        <v>0</v>
      </c>
      <c r="AJ160" s="47"/>
      <c r="AK160" s="47" t="e">
        <f>IF(OR($J160=0,COUNTIFS($A$4:$A159,"&gt;="&amp;$A160-1,$A$4:$A159,"&lt;="&amp;$A160,$B$4:$B159,$B160)&gt;0,MIN(AK$1,IF($A160=$A159,AK159,1))-P160&lt;0),-1,MIN(1,IF($A160=$A159,AK159,1)-P160+$D$3))</f>
        <v>#N/A</v>
      </c>
      <c r="AL160" s="47" t="e">
        <f>IF(OR($J160=0,COUNTIFS($A$4:$A159,"&gt;="&amp;$A160-1,$A$4:$A159,"&lt;="&amp;$A160,$B$4:$B159,$B160)&gt;0,MIN(AL$1,IF($A160=$A159,AL159,1))-Q160&lt;0),-1,MIN(1,IF($A160=$A159,AL159,1)-Q160+$D$3))</f>
        <v>#N/A</v>
      </c>
      <c r="AM160" s="47" t="e">
        <f>IF(OR($J160=0,COUNTIFS($A$4:$A159,"&gt;="&amp;$A160-1,$A$4:$A159,"&lt;="&amp;$A160,$B$4:$B159,$B160)&gt;0,MIN(AM$1,IF($A160=$A159,AM159,1))-R160&lt;0),-1,MIN(1,IF($A160=$A159,AM159,1)-R160+$D$3))</f>
        <v>#N/A</v>
      </c>
      <c r="AN160" s="47" t="e">
        <f>IF(OR($J160=0,COUNTIFS($A$4:$A159,"&gt;="&amp;$A160-1,$A$4:$A159,"&lt;="&amp;$A160,$B$4:$B159,$B160)&gt;0,MIN(AN$1,IF($A160=$A159,AN159,1))-S160&lt;0),-1,MIN(1,IF($A160=$A159,AN159,1)-S160+$D$3))</f>
        <v>#N/A</v>
      </c>
      <c r="AO160" s="47" t="e">
        <f>IF(OR($J160=0,COUNTIFS($A$4:$A159,"&gt;="&amp;$A160-1,$A$4:$A159,"&lt;="&amp;$A160,$B$4:$B159,$B160)&gt;0,MIN(AO$1,IF($A160=$A159,AO159,1))-T160&lt;0),-1,MIN(1,IF($A160=$A159,AO159,1)-T160+$D$3))</f>
        <v>#N/A</v>
      </c>
      <c r="AP160" s="47" t="e">
        <f>IF(OR($J160=0,COUNTIFS($A$4:$A159,"&gt;="&amp;$A160-1,$A$4:$A159,"&lt;="&amp;$A160,$B$4:$B159,$B160)&gt;0,MIN(AP$1,IF($A160=$A159,AP159,1))-U160&lt;0),-1,MIN(1,IF($A160=$A159,AP159,1)-U160+$D$3))</f>
        <v>#N/A</v>
      </c>
      <c r="AQ160" s="47" t="e">
        <f>IF(OR($J160=0,COUNTIFS($A$4:$A159,"&gt;="&amp;$A160-1,$A$4:$A159,"&lt;="&amp;$A160,$B$4:$B159,$B160)&gt;0,MIN(AQ$1,IF($A160=$A159,AQ159,1))-V160&lt;0),-1,MIN(1,IF($A160=$A159,AQ159,1)-V160+$D$3))</f>
        <v>#N/A</v>
      </c>
      <c r="AR160" s="47" t="e">
        <f>IF(OR($J160=0,COUNTIFS($A$4:$A159,"&gt;="&amp;$A160-1,$A$4:$A159,"&lt;="&amp;$A160,$B$4:$B159,$B160)&gt;0,MIN(AR$1,IF($A160=$A159,AR159,1))-W160&lt;0),-1,MIN(1,IF($A160=$A159,AR159,1)-W160+$D$3))</f>
        <v>#N/A</v>
      </c>
      <c r="AS160" s="47" t="e">
        <f>IF(OR($J160=0,COUNTIFS($A$4:$A159,"&gt;="&amp;$A160-1,$A$4:$A159,"&lt;="&amp;$A160,$B$4:$B159,$B160)&gt;0,MIN(AS$1,IF($A160=$A159,AS159,1))-X160&lt;0),-1,MIN(1,IF($A160=$A159,AS159,1)-X160+$D$3))</f>
        <v>#N/A</v>
      </c>
      <c r="AT160" s="47" t="e">
        <f>IF(OR($J160=0,COUNTIFS($A$4:$A159,"&gt;="&amp;$A160-1,$A$4:$A159,"&lt;="&amp;$A160,$B$4:$B159,$B160)&gt;0,MIN(AT$1,IF($A160=$A159,AT159,1))-Y160&lt;0),-1,MIN(1,IF($A160=$A159,AT159,1)-Y160+$D$3))</f>
        <v>#N/A</v>
      </c>
      <c r="AU160" s="47" t="e">
        <f>IF(OR($J160=0,COUNTIFS($A$4:$A159,"&gt;="&amp;$A160-1,$A$4:$A159,"&lt;="&amp;$A160,$B$4:$B159,$B160)&gt;0,MIN(AU$1,IF($A160=$A159,AU159,1))-Z160&lt;0),-1,MIN(1,IF($A160=$A159,AU159,1)-Z160+$D$3))</f>
        <v>#N/A</v>
      </c>
      <c r="AV160" s="47" t="e">
        <f>IF(OR($J160=0,COUNTIFS($A$4:$A159,"&gt;="&amp;$A160-1,$A$4:$A159,"&lt;="&amp;$A160,$B$4:$B159,$B160)&gt;0,MIN(AV$1,IF($A160=$A159,AV159,1))-AA160&lt;0),-1,MIN(1,IF($A160=$A159,AV159,1)-AA160+$D$3))</f>
        <v>#N/A</v>
      </c>
      <c r="AW160" s="47" t="e">
        <f>IF(OR($J160=0,COUNTIFS($A$4:$A159,"&gt;="&amp;$A160-1,$A$4:$A159,"&lt;="&amp;$A160,$B$4:$B159,$B160)&gt;0,MIN(AW$1,IF($A160=$A159,AW159,1))-AB160&lt;0),-1,MIN(1,IF($A160=$A159,AW159,1)-AB160+$D$3))</f>
        <v>#N/A</v>
      </c>
      <c r="AX160" s="47" t="e">
        <f>IF(OR($J160=0,COUNTIFS($A$4:$A159,"&gt;="&amp;$A160-1,$A$4:$A159,"&lt;="&amp;$A160,$B$4:$B159,$B160)&gt;0,MIN(AX$1,IF($A160=$A159,AX159,1))-AC160&lt;0),-1,MIN(1,IF($A160=$A159,AX159,1)-AC160+$D$3))</f>
        <v>#N/A</v>
      </c>
      <c r="AY160" s="47" t="e">
        <f>IF(OR($J160=0,COUNTIFS($A$4:$A159,"&gt;="&amp;$A160-1,$A$4:$A159,"&lt;="&amp;$A160,$B$4:$B159,$B160)&gt;0,MIN(AY$1,IF($A160=$A159,AY159,1))-AD160&lt;0),-1,MIN(1,IF($A160=$A159,AY159,1)-AD160+$D$3))</f>
        <v>#N/A</v>
      </c>
      <c r="AZ160" s="47" t="e">
        <f>IF(OR($J160=0,COUNTIFS($A$4:$A159,"&gt;="&amp;$A160-1,$A$4:$A159,"&lt;="&amp;$A160,$B$4:$B159,$B160)&gt;0,MIN(AZ$1,IF($A160=$A159,AZ159,1))-AE160&lt;0),-1,MIN(1,IF($A160=$A159,AZ159,1)-AE160+$D$3))</f>
        <v>#N/A</v>
      </c>
      <c r="BA160" s="47" t="e">
        <f>IF(OR($J160=0,COUNTIFS($A$4:$A159,"&gt;="&amp;$A160-1,$A$4:$A159,"&lt;="&amp;$A160,$B$4:$B159,$B160)&gt;0,MIN(BA$1,IF($A160=$A159,BA159,1))-AF160&lt;0),-1,MIN(1,IF($A160=$A159,BA159,1)-AF160+$D$3))</f>
        <v>#N/A</v>
      </c>
      <c r="BB160" s="47" t="e">
        <f>IF(OR($J160=0,COUNTIFS($A$4:$A159,"&gt;="&amp;$A160-1,$A$4:$A159,"&lt;="&amp;$A160,$B$4:$B159,$B160)&gt;0,MIN(BB$1,IF($A160=$A159,BB159,1))-AG160&lt;0),-1,MIN(1,IF($A160=$A159,BB159,1)-AG160+$D$3))</f>
        <v>#N/A</v>
      </c>
      <c r="BC160" s="47" t="e">
        <f>IF(OR($J160=0,COUNTIFS($A$4:$A159,"&gt;="&amp;$A160-1,$A$4:$A159,"&lt;="&amp;$A160,$B$4:$B159,$B160)&gt;0,MIN(BC$1,IF($A160=$A159,BC159,1))-AH160&lt;0),-1,MIN(1,IF($A160=$A159,BC159,1)-AH160+$D$3))</f>
        <v>#N/A</v>
      </c>
      <c r="BD160" s="47" t="e">
        <f>IF(OR($J160=0,COUNTIFS($A$4:$A159,"&gt;="&amp;$A160-1,$A$4:$A159,"&lt;="&amp;$A160,$B$4:$B159,$B160)&gt;0,MIN(BD$1,IF($A160=$A159,BD159,1))-AI160&lt;0),-1,MIN(1,IF($A160=$A159,BD159,1)-AI160+$D$3))</f>
        <v>#N/A</v>
      </c>
      <c r="BE160" s="47"/>
      <c r="BF160" s="53">
        <f t="shared" si="223"/>
        <v>7.0988552186977011E-4</v>
      </c>
      <c r="BG160" s="53">
        <f t="shared" si="224"/>
        <v>1.7458088146697728E-3</v>
      </c>
      <c r="BH160" s="53">
        <f t="shared" si="225"/>
        <v>1.7892703939342385E-3</v>
      </c>
      <c r="BI160" s="53">
        <f t="shared" si="226"/>
        <v>1.6527890740406037E-3</v>
      </c>
      <c r="BJ160" s="53">
        <f t="shared" si="227"/>
        <v>1.7083144171380494E-3</v>
      </c>
      <c r="BK160" s="53">
        <f t="shared" si="228"/>
        <v>7.3361390511892082E-4</v>
      </c>
      <c r="BL160" s="53">
        <f t="shared" si="229"/>
        <v>3.9630977304845459E-4</v>
      </c>
      <c r="BM160" s="53">
        <f t="shared" si="230"/>
        <v>1.0081657835473508E-3</v>
      </c>
      <c r="BN160" s="53">
        <f t="shared" si="231"/>
        <v>1.0485709866738231E-3</v>
      </c>
      <c r="BO160" s="53">
        <f t="shared" si="232"/>
        <v>4.9140015305748901E-4</v>
      </c>
      <c r="BP160" s="53">
        <f t="shared" si="233"/>
        <v>1.6523220661628921E-3</v>
      </c>
      <c r="BQ160" s="53">
        <f t="shared" si="234"/>
        <v>4.458933272742852E-4</v>
      </c>
      <c r="BR160" s="53">
        <f t="shared" si="235"/>
        <v>1.317280507541E-3</v>
      </c>
      <c r="BS160" s="53">
        <f t="shared" si="236"/>
        <v>7.1042685817915611E-4</v>
      </c>
      <c r="BT160" s="53">
        <f t="shared" si="237"/>
        <v>2.8113768779574918E-3</v>
      </c>
      <c r="BU160" s="53">
        <f t="shared" si="238"/>
        <v>2.6857108940851267E-3</v>
      </c>
      <c r="BV160" s="53">
        <f t="shared" si="239"/>
        <v>2.5792678878842372E-3</v>
      </c>
      <c r="BW160" s="53">
        <f t="shared" si="240"/>
        <v>1.6869831368642855E-3</v>
      </c>
      <c r="BX160" s="53">
        <f t="shared" si="241"/>
        <v>1.2463125071629189E-3</v>
      </c>
      <c r="BY160" s="53">
        <f t="shared" si="242"/>
        <v>1.0701025347566965E-3</v>
      </c>
      <c r="BZ160" s="47"/>
      <c r="CA160" s="53" t="str">
        <f t="shared" si="243"/>
        <v/>
      </c>
      <c r="CB160" s="53" t="str">
        <f t="shared" si="244"/>
        <v/>
      </c>
      <c r="CC160" s="53" t="str">
        <f t="shared" si="245"/>
        <v/>
      </c>
      <c r="CD160" s="53" t="str">
        <f t="shared" si="246"/>
        <v/>
      </c>
      <c r="CE160" s="53" t="str">
        <f t="shared" si="247"/>
        <v/>
      </c>
      <c r="CF160" s="53" t="str">
        <f t="shared" si="248"/>
        <v/>
      </c>
      <c r="CG160" s="53" t="str">
        <f t="shared" si="249"/>
        <v/>
      </c>
      <c r="CH160" s="53" t="str">
        <f t="shared" si="250"/>
        <v/>
      </c>
      <c r="CI160" s="53" t="str">
        <f t="shared" si="251"/>
        <v/>
      </c>
      <c r="CJ160" s="53" t="str">
        <f t="shared" si="252"/>
        <v/>
      </c>
      <c r="CK160" s="53" t="str">
        <f t="shared" si="253"/>
        <v/>
      </c>
      <c r="CL160" s="53" t="str">
        <f t="shared" si="254"/>
        <v/>
      </c>
      <c r="CM160" s="53" t="str">
        <f t="shared" si="255"/>
        <v/>
      </c>
      <c r="CN160" s="53" t="str">
        <f t="shared" si="256"/>
        <v/>
      </c>
      <c r="CO160" s="53" t="str">
        <f t="shared" si="257"/>
        <v/>
      </c>
      <c r="CP160" s="53" t="str">
        <f t="shared" si="258"/>
        <v/>
      </c>
      <c r="CQ160" s="53" t="str">
        <f t="shared" si="259"/>
        <v/>
      </c>
      <c r="CR160" s="53" t="str">
        <f t="shared" si="260"/>
        <v/>
      </c>
      <c r="CS160" s="53" t="str">
        <f t="shared" si="261"/>
        <v/>
      </c>
      <c r="CT160" s="53" t="str">
        <f t="shared" si="262"/>
        <v/>
      </c>
      <c r="CU160" s="47"/>
      <c r="CV160" s="53">
        <f t="shared" si="263"/>
        <v>0</v>
      </c>
    </row>
    <row r="161" spans="1:100" x14ac:dyDescent="0.25">
      <c r="A161" s="41"/>
      <c r="B161" s="42"/>
      <c r="C161" s="43" t="str" cm="1">
        <f t="array" ref="C161">IF(B161="","",INDEX(UWS!$B$10:$B$41,B161))</f>
        <v/>
      </c>
      <c r="D161" s="40" t="str">
        <f t="shared" si="220"/>
        <v/>
      </c>
      <c r="E161" s="69" t="str">
        <f t="shared" si="221"/>
        <v/>
      </c>
      <c r="F161" s="48" cm="1">
        <f t="array" ref="F161">0.1+IFERROR(INDEX($F$5:$F160,SUMPRODUCT(MAX(ROW($C$5:$C160)*($C161=$C$5:$C160))-ROW($A$4)))*0.9^($A161-INDEX($A$5:A160,SUMPRODUCT(MAX(ROW($C$5:$C160)*($C161=$C$5:$C160))-ROW($A$4)))),0)</f>
        <v>9.5999999999999819</v>
      </c>
      <c r="G161" s="55" t="e">
        <f>INDEX(UWS!$AB$10:$AB$41,MATCH(C161,UWS!$B$10:$B$41,0))</f>
        <v>#N/A</v>
      </c>
      <c r="H161" s="48" t="e">
        <f>INDEX(UWS!$C$10:$C$41,MATCH(C161,UWS!$B$10:$B$41,0))</f>
        <v>#N/A</v>
      </c>
      <c r="I161" s="82">
        <f t="shared" si="222"/>
        <v>5</v>
      </c>
      <c r="J161" s="27" t="e">
        <f>INDEX(UWS!$E$10:$E$41,MATCH(C161,UWS!$B$10:$B$41,0))</f>
        <v>#N/A</v>
      </c>
      <c r="L161" s="108" t="str" cm="1">
        <f t="array" ref="L161">IF(K161="","",INDEX(UWS!$B$10:$B$41,K161))</f>
        <v/>
      </c>
      <c r="N161" s="108" t="str" cm="1">
        <f t="array" ref="N161">IF(M161="","",INDEX(UWS!$B$10:$B$41,M161))</f>
        <v/>
      </c>
      <c r="P161">
        <f>IFERROR(INDEX(UWS!$G$10:$Z$41,MATCH($C161,UWS!$B$10:$B$41,0),MATCH(P$4,UWS!$G$3:$Z$3,0)),0)</f>
        <v>0</v>
      </c>
      <c r="Q161">
        <f>IFERROR(INDEX(UWS!$G$10:$Z$41,MATCH($C161,UWS!$B$10:$B$41,0),MATCH(Q$4,UWS!$G$3:$Z$3,0)),0)</f>
        <v>0</v>
      </c>
      <c r="R161">
        <f>IFERROR(INDEX(UWS!$G$10:$Z$41,MATCH($C161,UWS!$B$10:$B$41,0),MATCH(R$4,UWS!$G$3:$Z$3,0)),0)</f>
        <v>0</v>
      </c>
      <c r="S161">
        <f>IFERROR(INDEX(UWS!$G$10:$Z$41,MATCH($C161,UWS!$B$10:$B$41,0),MATCH(S$4,UWS!$G$3:$Z$3,0)),0)</f>
        <v>0</v>
      </c>
      <c r="T161">
        <f>IFERROR(INDEX(UWS!$G$10:$Z$41,MATCH($C161,UWS!$B$10:$B$41,0),MATCH(T$4,UWS!$G$3:$Z$3,0)),0)</f>
        <v>0</v>
      </c>
      <c r="U161">
        <f>IFERROR(INDEX(UWS!$G$10:$Z$41,MATCH($C161,UWS!$B$10:$B$41,0),MATCH(U$4,UWS!$G$3:$Z$3,0)),0)</f>
        <v>0</v>
      </c>
      <c r="V161">
        <f>IFERROR(INDEX(UWS!$G$10:$Z$41,MATCH($C161,UWS!$B$10:$B$41,0),MATCH(V$4,UWS!$G$3:$Z$3,0)),0)</f>
        <v>0</v>
      </c>
      <c r="W161">
        <f>IFERROR(INDEX(UWS!$G$10:$Z$41,MATCH($C161,UWS!$B$10:$B$41,0),MATCH(W$4,UWS!$G$3:$Z$3,0)),0)</f>
        <v>0</v>
      </c>
      <c r="X161">
        <f>IFERROR(INDEX(UWS!$G$10:$Z$41,MATCH($C161,UWS!$B$10:$B$41,0),MATCH(X$4,UWS!$G$3:$Z$3,0)),0)</f>
        <v>0</v>
      </c>
      <c r="Y161">
        <f>IFERROR(INDEX(UWS!$G$10:$Z$41,MATCH($C161,UWS!$B$10:$B$41,0),MATCH(Y$4,UWS!$G$3:$Z$3,0)),0)</f>
        <v>0</v>
      </c>
      <c r="Z161">
        <f>IFERROR(INDEX(UWS!$G$10:$Z$41,MATCH($C161,UWS!$B$10:$B$41,0),MATCH(Z$4,UWS!$G$3:$Z$3,0)),0)</f>
        <v>0</v>
      </c>
      <c r="AA161">
        <f>IFERROR(INDEX(UWS!$G$10:$Z$41,MATCH($C161,UWS!$B$10:$B$41,0),MATCH(AA$4,UWS!$G$3:$Z$3,0)),0)</f>
        <v>0</v>
      </c>
      <c r="AB161">
        <f>IFERROR(INDEX(UWS!$G$10:$Z$41,MATCH($C161,UWS!$B$10:$B$41,0),MATCH(AB$4,UWS!$G$3:$Z$3,0)),0)</f>
        <v>0</v>
      </c>
      <c r="AC161">
        <f>IFERROR(INDEX(UWS!$G$10:$Z$41,MATCH($C161,UWS!$B$10:$B$41,0),MATCH(AC$4,UWS!$G$3:$Z$3,0)),0)</f>
        <v>0</v>
      </c>
      <c r="AD161">
        <f>IFERROR(INDEX(UWS!$G$10:$Z$41,MATCH($C161,UWS!$B$10:$B$41,0),MATCH(AD$4,UWS!$G$3:$Z$3,0)),0)</f>
        <v>0</v>
      </c>
      <c r="AE161">
        <f>IFERROR(INDEX(UWS!$G$10:$Z$41,MATCH($C161,UWS!$B$10:$B$41,0),MATCH(AE$4,UWS!$G$3:$Z$3,0)),0)</f>
        <v>0</v>
      </c>
      <c r="AF161">
        <f>IFERROR(INDEX(UWS!$G$10:$Z$41,MATCH($C161,UWS!$B$10:$B$41,0),MATCH(AF$4,UWS!$G$3:$Z$3,0)),0)</f>
        <v>0</v>
      </c>
      <c r="AG161">
        <f>IFERROR(INDEX(UWS!$G$10:$Z$41,MATCH($C161,UWS!$B$10:$B$41,0),MATCH(AG$4,UWS!$G$3:$Z$3,0)),0)</f>
        <v>0</v>
      </c>
      <c r="AH161">
        <f>IFERROR(INDEX(UWS!$G$10:$Z$41,MATCH($C161,UWS!$B$10:$B$41,0),MATCH(AH$4,UWS!$G$3:$Z$3,0)),0)</f>
        <v>0</v>
      </c>
      <c r="AI161">
        <f>IFERROR(INDEX(UWS!$G$10:$Z$41,MATCH($C161,UWS!$B$10:$B$41,0),MATCH(AI$4,UWS!$G$3:$Z$3,0)),0)</f>
        <v>0</v>
      </c>
      <c r="AK161" t="e">
        <f>IF(OR($J161=0,COUNTIFS($A$4:$A160,"&gt;="&amp;$A161-1,$A$4:$A160,"&lt;="&amp;$A161,$B$4:$B160,$B161)&gt;0,MIN(AK$1,IF($A161=$A160,AK160,1))-P161&lt;0),-1,MIN(1,IF($A161=$A160,AK160,1)-P161+$D$3))</f>
        <v>#N/A</v>
      </c>
      <c r="AL161" t="e">
        <f>IF(OR($J161=0,COUNTIFS($A$4:$A160,"&gt;="&amp;$A161-1,$A$4:$A160,"&lt;="&amp;$A161,$B$4:$B160,$B161)&gt;0,MIN(AL$1,IF($A161=$A160,AL160,1))-Q161&lt;0),-1,MIN(1,IF($A161=$A160,AL160,1)-Q161+$D$3))</f>
        <v>#N/A</v>
      </c>
      <c r="AM161" t="e">
        <f>IF(OR($J161=0,COUNTIFS($A$4:$A160,"&gt;="&amp;$A161-1,$A$4:$A160,"&lt;="&amp;$A161,$B$4:$B160,$B161)&gt;0,MIN(AM$1,IF($A161=$A160,AM160,1))-R161&lt;0),-1,MIN(1,IF($A161=$A160,AM160,1)-R161+$D$3))</f>
        <v>#N/A</v>
      </c>
      <c r="AN161" t="e">
        <f>IF(OR($J161=0,COUNTIFS($A$4:$A160,"&gt;="&amp;$A161-1,$A$4:$A160,"&lt;="&amp;$A161,$B$4:$B160,$B161)&gt;0,MIN(AN$1,IF($A161=$A160,AN160,1))-S161&lt;0),-1,MIN(1,IF($A161=$A160,AN160,1)-S161+$D$3))</f>
        <v>#N/A</v>
      </c>
      <c r="AO161" t="e">
        <f>IF(OR($J161=0,COUNTIFS($A$4:$A160,"&gt;="&amp;$A161-1,$A$4:$A160,"&lt;="&amp;$A161,$B$4:$B160,$B161)&gt;0,MIN(AO$1,IF($A161=$A160,AO160,1))-T161&lt;0),-1,MIN(1,IF($A161=$A160,AO160,1)-T161+$D$3))</f>
        <v>#N/A</v>
      </c>
      <c r="AP161" t="e">
        <f>IF(OR($J161=0,COUNTIFS($A$4:$A160,"&gt;="&amp;$A161-1,$A$4:$A160,"&lt;="&amp;$A161,$B$4:$B160,$B161)&gt;0,MIN(AP$1,IF($A161=$A160,AP160,1))-U161&lt;0),-1,MIN(1,IF($A161=$A160,AP160,1)-U161+$D$3))</f>
        <v>#N/A</v>
      </c>
      <c r="AQ161" t="e">
        <f>IF(OR($J161=0,COUNTIFS($A$4:$A160,"&gt;="&amp;$A161-1,$A$4:$A160,"&lt;="&amp;$A161,$B$4:$B160,$B161)&gt;0,MIN(AQ$1,IF($A161=$A160,AQ160,1))-V161&lt;0),-1,MIN(1,IF($A161=$A160,AQ160,1)-V161+$D$3))</f>
        <v>#N/A</v>
      </c>
      <c r="AR161" t="e">
        <f>IF(OR($J161=0,COUNTIFS($A$4:$A160,"&gt;="&amp;$A161-1,$A$4:$A160,"&lt;="&amp;$A161,$B$4:$B160,$B161)&gt;0,MIN(AR$1,IF($A161=$A160,AR160,1))-W161&lt;0),-1,MIN(1,IF($A161=$A160,AR160,1)-W161+$D$3))</f>
        <v>#N/A</v>
      </c>
      <c r="AS161" t="e">
        <f>IF(OR($J161=0,COUNTIFS($A$4:$A160,"&gt;="&amp;$A161-1,$A$4:$A160,"&lt;="&amp;$A161,$B$4:$B160,$B161)&gt;0,MIN(AS$1,IF($A161=$A160,AS160,1))-X161&lt;0),-1,MIN(1,IF($A161=$A160,AS160,1)-X161+$D$3))</f>
        <v>#N/A</v>
      </c>
      <c r="AT161" t="e">
        <f>IF(OR($J161=0,COUNTIFS($A$4:$A160,"&gt;="&amp;$A161-1,$A$4:$A160,"&lt;="&amp;$A161,$B$4:$B160,$B161)&gt;0,MIN(AT$1,IF($A161=$A160,AT160,1))-Y161&lt;0),-1,MIN(1,IF($A161=$A160,AT160,1)-Y161+$D$3))</f>
        <v>#N/A</v>
      </c>
      <c r="AU161" t="e">
        <f>IF(OR($J161=0,COUNTIFS($A$4:$A160,"&gt;="&amp;$A161-1,$A$4:$A160,"&lt;="&amp;$A161,$B$4:$B160,$B161)&gt;0,MIN(AU$1,IF($A161=$A160,AU160,1))-Z161&lt;0),-1,MIN(1,IF($A161=$A160,AU160,1)-Z161+$D$3))</f>
        <v>#N/A</v>
      </c>
      <c r="AV161" t="e">
        <f>IF(OR($J161=0,COUNTIFS($A$4:$A160,"&gt;="&amp;$A161-1,$A$4:$A160,"&lt;="&amp;$A161,$B$4:$B160,$B161)&gt;0,MIN(AV$1,IF($A161=$A160,AV160,1))-AA161&lt;0),-1,MIN(1,IF($A161=$A160,AV160,1)-AA161+$D$3))</f>
        <v>#N/A</v>
      </c>
      <c r="AW161" t="e">
        <f>IF(OR($J161=0,COUNTIFS($A$4:$A160,"&gt;="&amp;$A161-1,$A$4:$A160,"&lt;="&amp;$A161,$B$4:$B160,$B161)&gt;0,MIN(AW$1,IF($A161=$A160,AW160,1))-AB161&lt;0),-1,MIN(1,IF($A161=$A160,AW160,1)-AB161+$D$3))</f>
        <v>#N/A</v>
      </c>
      <c r="AX161" t="e">
        <f>IF(OR($J161=0,COUNTIFS($A$4:$A160,"&gt;="&amp;$A161-1,$A$4:$A160,"&lt;="&amp;$A161,$B$4:$B160,$B161)&gt;0,MIN(AX$1,IF($A161=$A160,AX160,1))-AC161&lt;0),-1,MIN(1,IF($A161=$A160,AX160,1)-AC161+$D$3))</f>
        <v>#N/A</v>
      </c>
      <c r="AY161" t="e">
        <f>IF(OR($J161=0,COUNTIFS($A$4:$A160,"&gt;="&amp;$A161-1,$A$4:$A160,"&lt;="&amp;$A161,$B$4:$B160,$B161)&gt;0,MIN(AY$1,IF($A161=$A160,AY160,1))-AD161&lt;0),-1,MIN(1,IF($A161=$A160,AY160,1)-AD161+$D$3))</f>
        <v>#N/A</v>
      </c>
      <c r="AZ161" t="e">
        <f>IF(OR($J161=0,COUNTIFS($A$4:$A160,"&gt;="&amp;$A161-1,$A$4:$A160,"&lt;="&amp;$A161,$B$4:$B160,$B161)&gt;0,MIN(AZ$1,IF($A161=$A160,AZ160,1))-AE161&lt;0),-1,MIN(1,IF($A161=$A160,AZ160,1)-AE161+$D$3))</f>
        <v>#N/A</v>
      </c>
      <c r="BA161" t="e">
        <f>IF(OR($J161=0,COUNTIFS($A$4:$A160,"&gt;="&amp;$A161-1,$A$4:$A160,"&lt;="&amp;$A161,$B$4:$B160,$B161)&gt;0,MIN(BA$1,IF($A161=$A160,BA160,1))-AF161&lt;0),-1,MIN(1,IF($A161=$A160,BA160,1)-AF161+$D$3))</f>
        <v>#N/A</v>
      </c>
      <c r="BB161" t="e">
        <f>IF(OR($J161=0,COUNTIFS($A$4:$A160,"&gt;="&amp;$A161-1,$A$4:$A160,"&lt;="&amp;$A161,$B$4:$B160,$B161)&gt;0,MIN(BB$1,IF($A161=$A160,BB160,1))-AG161&lt;0),-1,MIN(1,IF($A161=$A160,BB160,1)-AG161+$D$3))</f>
        <v>#N/A</v>
      </c>
      <c r="BC161" t="e">
        <f>IF(OR($J161=0,COUNTIFS($A$4:$A160,"&gt;="&amp;$A161-1,$A$4:$A160,"&lt;="&amp;$A161,$B$4:$B160,$B161)&gt;0,MIN(BC$1,IF($A161=$A160,BC160,1))-AH161&lt;0),-1,MIN(1,IF($A161=$A160,BC160,1)-AH161+$D$3))</f>
        <v>#N/A</v>
      </c>
      <c r="BD161" t="e">
        <f>IF(OR($J161=0,COUNTIFS($A$4:$A160,"&gt;="&amp;$A161-1,$A$4:$A160,"&lt;="&amp;$A161,$B$4:$B160,$B161)&gt;0,MIN(BD$1,IF($A161=$A160,BD160,1))-AI161&lt;0),-1,MIN(1,IF($A161=$A160,BD160,1)-AI161+$D$3))</f>
        <v>#N/A</v>
      </c>
      <c r="BF161" s="44">
        <f t="shared" si="223"/>
        <v>6.7439124577628158E-4</v>
      </c>
      <c r="BG161" s="44">
        <f t="shared" si="224"/>
        <v>1.6585183739362842E-3</v>
      </c>
      <c r="BH161" s="44">
        <f t="shared" si="225"/>
        <v>1.6998068742375264E-3</v>
      </c>
      <c r="BI161" s="44">
        <f t="shared" si="226"/>
        <v>1.5701496203385735E-3</v>
      </c>
      <c r="BJ161" s="44">
        <f t="shared" si="227"/>
        <v>1.6228986962811469E-3</v>
      </c>
      <c r="BK161" s="44">
        <f t="shared" si="228"/>
        <v>6.9693320986297471E-4</v>
      </c>
      <c r="BL161" s="44">
        <f t="shared" si="229"/>
        <v>3.7649428439603185E-4</v>
      </c>
      <c r="BM161" s="44">
        <f t="shared" si="230"/>
        <v>9.5775749436998326E-4</v>
      </c>
      <c r="BN161" s="44">
        <f t="shared" si="231"/>
        <v>9.9614243734013198E-4</v>
      </c>
      <c r="BO161" s="44">
        <f t="shared" si="232"/>
        <v>4.6683014540461451E-4</v>
      </c>
      <c r="BP161" s="44">
        <f t="shared" si="233"/>
        <v>1.5697059628547476E-3</v>
      </c>
      <c r="BQ161" s="44">
        <f t="shared" si="234"/>
        <v>4.2359866091057092E-4</v>
      </c>
      <c r="BR161" s="44">
        <f t="shared" si="235"/>
        <v>1.25141648216395E-3</v>
      </c>
      <c r="BS161" s="44">
        <f t="shared" si="236"/>
        <v>6.7490551527019831E-4</v>
      </c>
      <c r="BT161" s="44">
        <f t="shared" si="237"/>
        <v>2.6708080340596173E-3</v>
      </c>
      <c r="BU161" s="44">
        <f t="shared" si="238"/>
        <v>2.5514253493808701E-3</v>
      </c>
      <c r="BV161" s="44">
        <f t="shared" si="239"/>
        <v>2.4503044934900253E-3</v>
      </c>
      <c r="BW161" s="44">
        <f t="shared" si="240"/>
        <v>1.6026339800210712E-3</v>
      </c>
      <c r="BX161" s="44">
        <f t="shared" si="241"/>
        <v>1.183996881804773E-3</v>
      </c>
      <c r="BY161" s="44">
        <f t="shared" si="242"/>
        <v>1.0165974080188617E-3</v>
      </c>
      <c r="CA161" s="44" t="str">
        <f t="shared" si="243"/>
        <v/>
      </c>
      <c r="CB161" s="44" t="str">
        <f t="shared" si="244"/>
        <v/>
      </c>
      <c r="CC161" s="44" t="str">
        <f t="shared" si="245"/>
        <v/>
      </c>
      <c r="CD161" s="44" t="str">
        <f t="shared" si="246"/>
        <v/>
      </c>
      <c r="CE161" s="44" t="str">
        <f t="shared" si="247"/>
        <v/>
      </c>
      <c r="CF161" s="44" t="str">
        <f t="shared" si="248"/>
        <v/>
      </c>
      <c r="CG161" s="44" t="str">
        <f t="shared" si="249"/>
        <v/>
      </c>
      <c r="CH161" s="44" t="str">
        <f t="shared" si="250"/>
        <v/>
      </c>
      <c r="CI161" s="44" t="str">
        <f t="shared" si="251"/>
        <v/>
      </c>
      <c r="CJ161" s="44" t="str">
        <f t="shared" si="252"/>
        <v/>
      </c>
      <c r="CK161" s="44" t="str">
        <f t="shared" si="253"/>
        <v/>
      </c>
      <c r="CL161" s="44" t="str">
        <f t="shared" si="254"/>
        <v/>
      </c>
      <c r="CM161" s="44" t="str">
        <f t="shared" si="255"/>
        <v/>
      </c>
      <c r="CN161" s="44" t="str">
        <f t="shared" si="256"/>
        <v/>
      </c>
      <c r="CO161" s="44" t="str">
        <f t="shared" si="257"/>
        <v/>
      </c>
      <c r="CP161" s="44" t="str">
        <f t="shared" si="258"/>
        <v/>
      </c>
      <c r="CQ161" s="44" t="str">
        <f t="shared" si="259"/>
        <v/>
      </c>
      <c r="CR161" s="44" t="str">
        <f t="shared" si="260"/>
        <v/>
      </c>
      <c r="CS161" s="44" t="str">
        <f t="shared" si="261"/>
        <v/>
      </c>
      <c r="CT161" s="44" t="str">
        <f t="shared" si="262"/>
        <v/>
      </c>
      <c r="CV161" s="44">
        <f t="shared" si="263"/>
        <v>0</v>
      </c>
    </row>
    <row r="162" spans="1:100" x14ac:dyDescent="0.25">
      <c r="A162" s="41"/>
      <c r="B162" s="42"/>
      <c r="C162" s="43" t="str" cm="1">
        <f t="array" ref="C162">IF(B162="","",INDEX(UWS!$B$10:$B$41,B162))</f>
        <v/>
      </c>
      <c r="D162" s="40" t="str">
        <f t="shared" si="220"/>
        <v/>
      </c>
      <c r="E162" s="69" t="str">
        <f t="shared" si="221"/>
        <v/>
      </c>
      <c r="F162" s="48" cm="1">
        <f t="array" ref="F162">0.1+IFERROR(INDEX($F$5:$F161,SUMPRODUCT(MAX(ROW($C$5:$C161)*($C162=$C$5:$C161))-ROW($A$4)))*0.9^($A162-INDEX($A$5:A161,SUMPRODUCT(MAX(ROW($C$5:$C161)*($C162=$C$5:$C161))-ROW($A$4)))),0)</f>
        <v>9.6999999999999815</v>
      </c>
      <c r="G162" s="55" t="e">
        <f>INDEX(UWS!$AB$10:$AB$41,MATCH(C162,UWS!$B$10:$B$41,0))</f>
        <v>#N/A</v>
      </c>
      <c r="H162" s="48" t="e">
        <f>INDEX(UWS!$C$10:$C$41,MATCH(C162,UWS!$B$10:$B$41,0))</f>
        <v>#N/A</v>
      </c>
      <c r="I162" s="27">
        <f t="shared" si="222"/>
        <v>5</v>
      </c>
      <c r="J162" s="27" t="e">
        <f>INDEX(UWS!$E$10:$E$41,MATCH(C162,UWS!$B$10:$B$41,0))</f>
        <v>#N/A</v>
      </c>
      <c r="L162" s="108" t="str" cm="1">
        <f t="array" ref="L162">IF(K162="","",INDEX(UWS!$B$10:$B$41,K162))</f>
        <v/>
      </c>
      <c r="N162" s="108" t="str" cm="1">
        <f t="array" ref="N162">IF(M162="","",INDEX(UWS!$B$10:$B$41,M162))</f>
        <v/>
      </c>
      <c r="P162">
        <f>IFERROR(INDEX(UWS!$G$10:$Z$41,MATCH($C162,UWS!$B$10:$B$41,0),MATCH(P$4,UWS!$G$3:$Z$3,0)),0)</f>
        <v>0</v>
      </c>
      <c r="Q162">
        <f>IFERROR(INDEX(UWS!$G$10:$Z$41,MATCH($C162,UWS!$B$10:$B$41,0),MATCH(Q$4,UWS!$G$3:$Z$3,0)),0)</f>
        <v>0</v>
      </c>
      <c r="R162">
        <f>IFERROR(INDEX(UWS!$G$10:$Z$41,MATCH($C162,UWS!$B$10:$B$41,0),MATCH(R$4,UWS!$G$3:$Z$3,0)),0)</f>
        <v>0</v>
      </c>
      <c r="S162">
        <f>IFERROR(INDEX(UWS!$G$10:$Z$41,MATCH($C162,UWS!$B$10:$B$41,0),MATCH(S$4,UWS!$G$3:$Z$3,0)),0)</f>
        <v>0</v>
      </c>
      <c r="T162">
        <f>IFERROR(INDEX(UWS!$G$10:$Z$41,MATCH($C162,UWS!$B$10:$B$41,0),MATCH(T$4,UWS!$G$3:$Z$3,0)),0)</f>
        <v>0</v>
      </c>
      <c r="U162">
        <f>IFERROR(INDEX(UWS!$G$10:$Z$41,MATCH($C162,UWS!$B$10:$B$41,0),MATCH(U$4,UWS!$G$3:$Z$3,0)),0)</f>
        <v>0</v>
      </c>
      <c r="V162">
        <f>IFERROR(INDEX(UWS!$G$10:$Z$41,MATCH($C162,UWS!$B$10:$B$41,0),MATCH(V$4,UWS!$G$3:$Z$3,0)),0)</f>
        <v>0</v>
      </c>
      <c r="W162">
        <f>IFERROR(INDEX(UWS!$G$10:$Z$41,MATCH($C162,UWS!$B$10:$B$41,0),MATCH(W$4,UWS!$G$3:$Z$3,0)),0)</f>
        <v>0</v>
      </c>
      <c r="X162">
        <f>IFERROR(INDEX(UWS!$G$10:$Z$41,MATCH($C162,UWS!$B$10:$B$41,0),MATCH(X$4,UWS!$G$3:$Z$3,0)),0)</f>
        <v>0</v>
      </c>
      <c r="Y162">
        <f>IFERROR(INDEX(UWS!$G$10:$Z$41,MATCH($C162,UWS!$B$10:$B$41,0),MATCH(Y$4,UWS!$G$3:$Z$3,0)),0)</f>
        <v>0</v>
      </c>
      <c r="Z162">
        <f>IFERROR(INDEX(UWS!$G$10:$Z$41,MATCH($C162,UWS!$B$10:$B$41,0),MATCH(Z$4,UWS!$G$3:$Z$3,0)),0)</f>
        <v>0</v>
      </c>
      <c r="AA162">
        <f>IFERROR(INDEX(UWS!$G$10:$Z$41,MATCH($C162,UWS!$B$10:$B$41,0),MATCH(AA$4,UWS!$G$3:$Z$3,0)),0)</f>
        <v>0</v>
      </c>
      <c r="AB162">
        <f>IFERROR(INDEX(UWS!$G$10:$Z$41,MATCH($C162,UWS!$B$10:$B$41,0),MATCH(AB$4,UWS!$G$3:$Z$3,0)),0)</f>
        <v>0</v>
      </c>
      <c r="AC162">
        <f>IFERROR(INDEX(UWS!$G$10:$Z$41,MATCH($C162,UWS!$B$10:$B$41,0),MATCH(AC$4,UWS!$G$3:$Z$3,0)),0)</f>
        <v>0</v>
      </c>
      <c r="AD162">
        <f>IFERROR(INDEX(UWS!$G$10:$Z$41,MATCH($C162,UWS!$B$10:$B$41,0),MATCH(AD$4,UWS!$G$3:$Z$3,0)),0)</f>
        <v>0</v>
      </c>
      <c r="AE162">
        <f>IFERROR(INDEX(UWS!$G$10:$Z$41,MATCH($C162,UWS!$B$10:$B$41,0),MATCH(AE$4,UWS!$G$3:$Z$3,0)),0)</f>
        <v>0</v>
      </c>
      <c r="AF162">
        <f>IFERROR(INDEX(UWS!$G$10:$Z$41,MATCH($C162,UWS!$B$10:$B$41,0),MATCH(AF$4,UWS!$G$3:$Z$3,0)),0)</f>
        <v>0</v>
      </c>
      <c r="AG162">
        <f>IFERROR(INDEX(UWS!$G$10:$Z$41,MATCH($C162,UWS!$B$10:$B$41,0),MATCH(AG$4,UWS!$G$3:$Z$3,0)),0)</f>
        <v>0</v>
      </c>
      <c r="AH162">
        <f>IFERROR(INDEX(UWS!$G$10:$Z$41,MATCH($C162,UWS!$B$10:$B$41,0),MATCH(AH$4,UWS!$G$3:$Z$3,0)),0)</f>
        <v>0</v>
      </c>
      <c r="AI162">
        <f>IFERROR(INDEX(UWS!$G$10:$Z$41,MATCH($C162,UWS!$B$10:$B$41,0),MATCH(AI$4,UWS!$G$3:$Z$3,0)),0)</f>
        <v>0</v>
      </c>
      <c r="AK162" t="e">
        <f>IF(OR($J162=0,COUNTIFS($A$4:$A161,"&gt;="&amp;$A162-1,$A$4:$A161,"&lt;="&amp;$A162,$B$4:$B161,$B162)&gt;0,MIN(AK$1,IF($A162=$A161,AK161,1))-P162&lt;0),-1,MIN(1,IF($A162=$A161,AK161,1)-P162+$D$3))</f>
        <v>#N/A</v>
      </c>
      <c r="AL162" t="e">
        <f>IF(OR($J162=0,COUNTIFS($A$4:$A161,"&gt;="&amp;$A162-1,$A$4:$A161,"&lt;="&amp;$A162,$B$4:$B161,$B162)&gt;0,MIN(AL$1,IF($A162=$A161,AL161,1))-Q162&lt;0),-1,MIN(1,IF($A162=$A161,AL161,1)-Q162+$D$3))</f>
        <v>#N/A</v>
      </c>
      <c r="AM162" t="e">
        <f>IF(OR($J162=0,COUNTIFS($A$4:$A161,"&gt;="&amp;$A162-1,$A$4:$A161,"&lt;="&amp;$A162,$B$4:$B161,$B162)&gt;0,MIN(AM$1,IF($A162=$A161,AM161,1))-R162&lt;0),-1,MIN(1,IF($A162=$A161,AM161,1)-R162+$D$3))</f>
        <v>#N/A</v>
      </c>
      <c r="AN162" t="e">
        <f>IF(OR($J162=0,COUNTIFS($A$4:$A161,"&gt;="&amp;$A162-1,$A$4:$A161,"&lt;="&amp;$A162,$B$4:$B161,$B162)&gt;0,MIN(AN$1,IF($A162=$A161,AN161,1))-S162&lt;0),-1,MIN(1,IF($A162=$A161,AN161,1)-S162+$D$3))</f>
        <v>#N/A</v>
      </c>
      <c r="AO162" t="e">
        <f>IF(OR($J162=0,COUNTIFS($A$4:$A161,"&gt;="&amp;$A162-1,$A$4:$A161,"&lt;="&amp;$A162,$B$4:$B161,$B162)&gt;0,MIN(AO$1,IF($A162=$A161,AO161,1))-T162&lt;0),-1,MIN(1,IF($A162=$A161,AO161,1)-T162+$D$3))</f>
        <v>#N/A</v>
      </c>
      <c r="AP162" t="e">
        <f>IF(OR($J162=0,COUNTIFS($A$4:$A161,"&gt;="&amp;$A162-1,$A$4:$A161,"&lt;="&amp;$A162,$B$4:$B161,$B162)&gt;0,MIN(AP$1,IF($A162=$A161,AP161,1))-U162&lt;0),-1,MIN(1,IF($A162=$A161,AP161,1)-U162+$D$3))</f>
        <v>#N/A</v>
      </c>
      <c r="AQ162" t="e">
        <f>IF(OR($J162=0,COUNTIFS($A$4:$A161,"&gt;="&amp;$A162-1,$A$4:$A161,"&lt;="&amp;$A162,$B$4:$B161,$B162)&gt;0,MIN(AQ$1,IF($A162=$A161,AQ161,1))-V162&lt;0),-1,MIN(1,IF($A162=$A161,AQ161,1)-V162+$D$3))</f>
        <v>#N/A</v>
      </c>
      <c r="AR162" t="e">
        <f>IF(OR($J162=0,COUNTIFS($A$4:$A161,"&gt;="&amp;$A162-1,$A$4:$A161,"&lt;="&amp;$A162,$B$4:$B161,$B162)&gt;0,MIN(AR$1,IF($A162=$A161,AR161,1))-W162&lt;0),-1,MIN(1,IF($A162=$A161,AR161,1)-W162+$D$3))</f>
        <v>#N/A</v>
      </c>
      <c r="AS162" t="e">
        <f>IF(OR($J162=0,COUNTIFS($A$4:$A161,"&gt;="&amp;$A162-1,$A$4:$A161,"&lt;="&amp;$A162,$B$4:$B161,$B162)&gt;0,MIN(AS$1,IF($A162=$A161,AS161,1))-X162&lt;0),-1,MIN(1,IF($A162=$A161,AS161,1)-X162+$D$3))</f>
        <v>#N/A</v>
      </c>
      <c r="AT162" t="e">
        <f>IF(OR($J162=0,COUNTIFS($A$4:$A161,"&gt;="&amp;$A162-1,$A$4:$A161,"&lt;="&amp;$A162,$B$4:$B161,$B162)&gt;0,MIN(AT$1,IF($A162=$A161,AT161,1))-Y162&lt;0),-1,MIN(1,IF($A162=$A161,AT161,1)-Y162+$D$3))</f>
        <v>#N/A</v>
      </c>
      <c r="AU162" t="e">
        <f>IF(OR($J162=0,COUNTIFS($A$4:$A161,"&gt;="&amp;$A162-1,$A$4:$A161,"&lt;="&amp;$A162,$B$4:$B161,$B162)&gt;0,MIN(AU$1,IF($A162=$A161,AU161,1))-Z162&lt;0),-1,MIN(1,IF($A162=$A161,AU161,1)-Z162+$D$3))</f>
        <v>#N/A</v>
      </c>
      <c r="AV162" t="e">
        <f>IF(OR($J162=0,COUNTIFS($A$4:$A161,"&gt;="&amp;$A162-1,$A$4:$A161,"&lt;="&amp;$A162,$B$4:$B161,$B162)&gt;0,MIN(AV$1,IF($A162=$A161,AV161,1))-AA162&lt;0),-1,MIN(1,IF($A162=$A161,AV161,1)-AA162+$D$3))</f>
        <v>#N/A</v>
      </c>
      <c r="AW162" t="e">
        <f>IF(OR($J162=0,COUNTIFS($A$4:$A161,"&gt;="&amp;$A162-1,$A$4:$A161,"&lt;="&amp;$A162,$B$4:$B161,$B162)&gt;0,MIN(AW$1,IF($A162=$A161,AW161,1))-AB162&lt;0),-1,MIN(1,IF($A162=$A161,AW161,1)-AB162+$D$3))</f>
        <v>#N/A</v>
      </c>
      <c r="AX162" t="e">
        <f>IF(OR($J162=0,COUNTIFS($A$4:$A161,"&gt;="&amp;$A162-1,$A$4:$A161,"&lt;="&amp;$A162,$B$4:$B161,$B162)&gt;0,MIN(AX$1,IF($A162=$A161,AX161,1))-AC162&lt;0),-1,MIN(1,IF($A162=$A161,AX161,1)-AC162+$D$3))</f>
        <v>#N/A</v>
      </c>
      <c r="AY162" t="e">
        <f>IF(OR($J162=0,COUNTIFS($A$4:$A161,"&gt;="&amp;$A162-1,$A$4:$A161,"&lt;="&amp;$A162,$B$4:$B161,$B162)&gt;0,MIN(AY$1,IF($A162=$A161,AY161,1))-AD162&lt;0),-1,MIN(1,IF($A162=$A161,AY161,1)-AD162+$D$3))</f>
        <v>#N/A</v>
      </c>
      <c r="AZ162" t="e">
        <f>IF(OR($J162=0,COUNTIFS($A$4:$A161,"&gt;="&amp;$A162-1,$A$4:$A161,"&lt;="&amp;$A162,$B$4:$B161,$B162)&gt;0,MIN(AZ$1,IF($A162=$A161,AZ161,1))-AE162&lt;0),-1,MIN(1,IF($A162=$A161,AZ161,1)-AE162+$D$3))</f>
        <v>#N/A</v>
      </c>
      <c r="BA162" t="e">
        <f>IF(OR($J162=0,COUNTIFS($A$4:$A161,"&gt;="&amp;$A162-1,$A$4:$A161,"&lt;="&amp;$A162,$B$4:$B161,$B162)&gt;0,MIN(BA$1,IF($A162=$A161,BA161,1))-AF162&lt;0),-1,MIN(1,IF($A162=$A161,BA161,1)-AF162+$D$3))</f>
        <v>#N/A</v>
      </c>
      <c r="BB162" t="e">
        <f>IF(OR($J162=0,COUNTIFS($A$4:$A161,"&gt;="&amp;$A162-1,$A$4:$A161,"&lt;="&amp;$A162,$B$4:$B161,$B162)&gt;0,MIN(BB$1,IF($A162=$A161,BB161,1))-AG162&lt;0),-1,MIN(1,IF($A162=$A161,BB161,1)-AG162+$D$3))</f>
        <v>#N/A</v>
      </c>
      <c r="BC162" t="e">
        <f>IF(OR($J162=0,COUNTIFS($A$4:$A161,"&gt;="&amp;$A162-1,$A$4:$A161,"&lt;="&amp;$A162,$B$4:$B161,$B162)&gt;0,MIN(BC$1,IF($A162=$A161,BC161,1))-AH162&lt;0),-1,MIN(1,IF($A162=$A161,BC161,1)-AH162+$D$3))</f>
        <v>#N/A</v>
      </c>
      <c r="BD162" t="e">
        <f>IF(OR($J162=0,COUNTIFS($A$4:$A161,"&gt;="&amp;$A162-1,$A$4:$A161,"&lt;="&amp;$A162,$B$4:$B161,$B162)&gt;0,MIN(BD$1,IF($A162=$A161,BD161,1))-AI162&lt;0),-1,MIN(1,IF($A162=$A161,BD161,1)-AI162+$D$3))</f>
        <v>#N/A</v>
      </c>
      <c r="BF162" s="44">
        <f t="shared" si="223"/>
        <v>6.4067168348746746E-4</v>
      </c>
      <c r="BG162" s="44">
        <f t="shared" si="224"/>
        <v>1.5755924552394698E-3</v>
      </c>
      <c r="BH162" s="44">
        <f t="shared" si="225"/>
        <v>1.6148165305256501E-3</v>
      </c>
      <c r="BI162" s="44">
        <f t="shared" si="226"/>
        <v>1.4916421393216448E-3</v>
      </c>
      <c r="BJ162" s="44">
        <f t="shared" si="227"/>
        <v>1.5417537614670896E-3</v>
      </c>
      <c r="BK162" s="44">
        <f t="shared" si="228"/>
        <v>6.6208654936982599E-4</v>
      </c>
      <c r="BL162" s="44">
        <f t="shared" si="229"/>
        <v>3.5766957017623025E-4</v>
      </c>
      <c r="BM162" s="44">
        <f t="shared" si="230"/>
        <v>9.0986961965148409E-4</v>
      </c>
      <c r="BN162" s="44">
        <f t="shared" si="231"/>
        <v>9.4633531547312535E-4</v>
      </c>
      <c r="BO162" s="44">
        <f t="shared" si="232"/>
        <v>4.4348863813438379E-4</v>
      </c>
      <c r="BP162" s="44">
        <f t="shared" si="233"/>
        <v>1.4912206647120102E-3</v>
      </c>
      <c r="BQ162" s="44">
        <f t="shared" si="234"/>
        <v>4.0241872786504236E-4</v>
      </c>
      <c r="BR162" s="44">
        <f t="shared" si="235"/>
        <v>1.1888456580557525E-3</v>
      </c>
      <c r="BS162" s="44">
        <f t="shared" si="236"/>
        <v>6.4116023950668835E-4</v>
      </c>
      <c r="BT162" s="44">
        <f t="shared" si="237"/>
        <v>2.5372676323566364E-3</v>
      </c>
      <c r="BU162" s="44">
        <f t="shared" si="238"/>
        <v>2.4238540819118263E-3</v>
      </c>
      <c r="BV162" s="44">
        <f t="shared" si="239"/>
        <v>2.3277892688155239E-3</v>
      </c>
      <c r="BW162" s="44">
        <f t="shared" si="240"/>
        <v>1.5225022810200176E-3</v>
      </c>
      <c r="BX162" s="44">
        <f t="shared" si="241"/>
        <v>1.1247970377145343E-3</v>
      </c>
      <c r="BY162" s="44">
        <f t="shared" si="242"/>
        <v>9.6576753761791858E-4</v>
      </c>
      <c r="CA162" s="44" t="str">
        <f t="shared" si="243"/>
        <v/>
      </c>
      <c r="CB162" s="44" t="str">
        <f t="shared" si="244"/>
        <v/>
      </c>
      <c r="CC162" s="44" t="str">
        <f t="shared" si="245"/>
        <v/>
      </c>
      <c r="CD162" s="44" t="str">
        <f t="shared" si="246"/>
        <v/>
      </c>
      <c r="CE162" s="44" t="str">
        <f t="shared" si="247"/>
        <v/>
      </c>
      <c r="CF162" s="44" t="str">
        <f t="shared" si="248"/>
        <v/>
      </c>
      <c r="CG162" s="44" t="str">
        <f t="shared" si="249"/>
        <v/>
      </c>
      <c r="CH162" s="44" t="str">
        <f t="shared" si="250"/>
        <v/>
      </c>
      <c r="CI162" s="44" t="str">
        <f t="shared" si="251"/>
        <v/>
      </c>
      <c r="CJ162" s="44" t="str">
        <f t="shared" si="252"/>
        <v/>
      </c>
      <c r="CK162" s="44" t="str">
        <f t="shared" si="253"/>
        <v/>
      </c>
      <c r="CL162" s="44" t="str">
        <f t="shared" si="254"/>
        <v/>
      </c>
      <c r="CM162" s="44" t="str">
        <f t="shared" si="255"/>
        <v/>
      </c>
      <c r="CN162" s="44" t="str">
        <f t="shared" si="256"/>
        <v/>
      </c>
      <c r="CO162" s="44" t="str">
        <f t="shared" si="257"/>
        <v/>
      </c>
      <c r="CP162" s="44" t="str">
        <f t="shared" si="258"/>
        <v/>
      </c>
      <c r="CQ162" s="44" t="str">
        <f t="shared" si="259"/>
        <v/>
      </c>
      <c r="CR162" s="44" t="str">
        <f t="shared" si="260"/>
        <v/>
      </c>
      <c r="CS162" s="44" t="str">
        <f t="shared" si="261"/>
        <v/>
      </c>
      <c r="CT162" s="44" t="str">
        <f t="shared" si="262"/>
        <v/>
      </c>
      <c r="CV162" s="44">
        <f t="shared" si="263"/>
        <v>0</v>
      </c>
    </row>
    <row r="163" spans="1:100" x14ac:dyDescent="0.25">
      <c r="A163" s="41"/>
      <c r="B163" s="42"/>
      <c r="C163" s="43" t="str" cm="1">
        <f t="array" ref="C163">IF(B163="","",INDEX(UWS!$B$10:$B$41,B163))</f>
        <v/>
      </c>
      <c r="D163" s="40" t="str">
        <f t="shared" si="220"/>
        <v/>
      </c>
      <c r="E163" s="69" t="str">
        <f t="shared" si="221"/>
        <v/>
      </c>
      <c r="F163" s="48" cm="1">
        <f t="array" ref="F163">0.1+IFERROR(INDEX($F$5:$F162,SUMPRODUCT(MAX(ROW($C$5:$C162)*($C163=$C$5:$C162))-ROW($A$4)))*0.9^($A163-INDEX($A$5:A162,SUMPRODUCT(MAX(ROW($C$5:$C162)*($C163=$C$5:$C162))-ROW($A$4)))),0)</f>
        <v>9.7999999999999812</v>
      </c>
      <c r="G163" s="55" t="e">
        <f>INDEX(UWS!$AB$10:$AB$41,MATCH(C163,UWS!$B$10:$B$41,0))</f>
        <v>#N/A</v>
      </c>
      <c r="H163" s="48" t="e">
        <f>INDEX(UWS!$C$10:$C$41,MATCH(C163,UWS!$B$10:$B$41,0))</f>
        <v>#N/A</v>
      </c>
      <c r="I163" s="27">
        <f t="shared" si="222"/>
        <v>5</v>
      </c>
      <c r="J163" s="27" t="e">
        <f>INDEX(UWS!$E$10:$E$41,MATCH(C163,UWS!$B$10:$B$41,0))</f>
        <v>#N/A</v>
      </c>
      <c r="L163" s="108" t="str" cm="1">
        <f t="array" ref="L163">IF(K163="","",INDEX(UWS!$B$10:$B$41,K163))</f>
        <v/>
      </c>
      <c r="N163" s="108" t="str" cm="1">
        <f t="array" ref="N163">IF(M163="","",INDEX(UWS!$B$10:$B$41,M163))</f>
        <v/>
      </c>
      <c r="P163">
        <f>IFERROR(INDEX(UWS!$G$10:$Z$41,MATCH($C163,UWS!$B$10:$B$41,0),MATCH(P$4,UWS!$G$3:$Z$3,0)),0)</f>
        <v>0</v>
      </c>
      <c r="Q163">
        <f>IFERROR(INDEX(UWS!$G$10:$Z$41,MATCH($C163,UWS!$B$10:$B$41,0),MATCH(Q$4,UWS!$G$3:$Z$3,0)),0)</f>
        <v>0</v>
      </c>
      <c r="R163">
        <f>IFERROR(INDEX(UWS!$G$10:$Z$41,MATCH($C163,UWS!$B$10:$B$41,0),MATCH(R$4,UWS!$G$3:$Z$3,0)),0)</f>
        <v>0</v>
      </c>
      <c r="S163">
        <f>IFERROR(INDEX(UWS!$G$10:$Z$41,MATCH($C163,UWS!$B$10:$B$41,0),MATCH(S$4,UWS!$G$3:$Z$3,0)),0)</f>
        <v>0</v>
      </c>
      <c r="T163">
        <f>IFERROR(INDEX(UWS!$G$10:$Z$41,MATCH($C163,UWS!$B$10:$B$41,0),MATCH(T$4,UWS!$G$3:$Z$3,0)),0)</f>
        <v>0</v>
      </c>
      <c r="U163">
        <f>IFERROR(INDEX(UWS!$G$10:$Z$41,MATCH($C163,UWS!$B$10:$B$41,0),MATCH(U$4,UWS!$G$3:$Z$3,0)),0)</f>
        <v>0</v>
      </c>
      <c r="V163">
        <f>IFERROR(INDEX(UWS!$G$10:$Z$41,MATCH($C163,UWS!$B$10:$B$41,0),MATCH(V$4,UWS!$G$3:$Z$3,0)),0)</f>
        <v>0</v>
      </c>
      <c r="W163">
        <f>IFERROR(INDEX(UWS!$G$10:$Z$41,MATCH($C163,UWS!$B$10:$B$41,0),MATCH(W$4,UWS!$G$3:$Z$3,0)),0)</f>
        <v>0</v>
      </c>
      <c r="X163">
        <f>IFERROR(INDEX(UWS!$G$10:$Z$41,MATCH($C163,UWS!$B$10:$B$41,0),MATCH(X$4,UWS!$G$3:$Z$3,0)),0)</f>
        <v>0</v>
      </c>
      <c r="Y163">
        <f>IFERROR(INDEX(UWS!$G$10:$Z$41,MATCH($C163,UWS!$B$10:$B$41,0),MATCH(Y$4,UWS!$G$3:$Z$3,0)),0)</f>
        <v>0</v>
      </c>
      <c r="Z163">
        <f>IFERROR(INDEX(UWS!$G$10:$Z$41,MATCH($C163,UWS!$B$10:$B$41,0),MATCH(Z$4,UWS!$G$3:$Z$3,0)),0)</f>
        <v>0</v>
      </c>
      <c r="AA163">
        <f>IFERROR(INDEX(UWS!$G$10:$Z$41,MATCH($C163,UWS!$B$10:$B$41,0),MATCH(AA$4,UWS!$G$3:$Z$3,0)),0)</f>
        <v>0</v>
      </c>
      <c r="AB163">
        <f>IFERROR(INDEX(UWS!$G$10:$Z$41,MATCH($C163,UWS!$B$10:$B$41,0),MATCH(AB$4,UWS!$G$3:$Z$3,0)),0)</f>
        <v>0</v>
      </c>
      <c r="AC163">
        <f>IFERROR(INDEX(UWS!$G$10:$Z$41,MATCH($C163,UWS!$B$10:$B$41,0),MATCH(AC$4,UWS!$G$3:$Z$3,0)),0)</f>
        <v>0</v>
      </c>
      <c r="AD163">
        <f>IFERROR(INDEX(UWS!$G$10:$Z$41,MATCH($C163,UWS!$B$10:$B$41,0),MATCH(AD$4,UWS!$G$3:$Z$3,0)),0)</f>
        <v>0</v>
      </c>
      <c r="AE163">
        <f>IFERROR(INDEX(UWS!$G$10:$Z$41,MATCH($C163,UWS!$B$10:$B$41,0),MATCH(AE$4,UWS!$G$3:$Z$3,0)),0)</f>
        <v>0</v>
      </c>
      <c r="AF163">
        <f>IFERROR(INDEX(UWS!$G$10:$Z$41,MATCH($C163,UWS!$B$10:$B$41,0),MATCH(AF$4,UWS!$G$3:$Z$3,0)),0)</f>
        <v>0</v>
      </c>
      <c r="AG163">
        <f>IFERROR(INDEX(UWS!$G$10:$Z$41,MATCH($C163,UWS!$B$10:$B$41,0),MATCH(AG$4,UWS!$G$3:$Z$3,0)),0)</f>
        <v>0</v>
      </c>
      <c r="AH163">
        <f>IFERROR(INDEX(UWS!$G$10:$Z$41,MATCH($C163,UWS!$B$10:$B$41,0),MATCH(AH$4,UWS!$G$3:$Z$3,0)),0)</f>
        <v>0</v>
      </c>
      <c r="AI163">
        <f>IFERROR(INDEX(UWS!$G$10:$Z$41,MATCH($C163,UWS!$B$10:$B$41,0),MATCH(AI$4,UWS!$G$3:$Z$3,0)),0)</f>
        <v>0</v>
      </c>
      <c r="AK163" t="e">
        <f>IF(OR($J163=0,COUNTIFS($A$4:$A162,"&gt;="&amp;$A163-1,$A$4:$A162,"&lt;="&amp;$A163,$B$4:$B162,$B163)&gt;0,MIN(AK$1,IF($A163=$A162,AK162,1))-P163&lt;0),-1,MIN(1,IF($A163=$A162,AK162,1)-P163+$D$3))</f>
        <v>#N/A</v>
      </c>
      <c r="AL163" t="e">
        <f>IF(OR($J163=0,COUNTIFS($A$4:$A162,"&gt;="&amp;$A163-1,$A$4:$A162,"&lt;="&amp;$A163,$B$4:$B162,$B163)&gt;0,MIN(AL$1,IF($A163=$A162,AL162,1))-Q163&lt;0),-1,MIN(1,IF($A163=$A162,AL162,1)-Q163+$D$3))</f>
        <v>#N/A</v>
      </c>
      <c r="AM163" t="e">
        <f>IF(OR($J163=0,COUNTIFS($A$4:$A162,"&gt;="&amp;$A163-1,$A$4:$A162,"&lt;="&amp;$A163,$B$4:$B162,$B163)&gt;0,MIN(AM$1,IF($A163=$A162,AM162,1))-R163&lt;0),-1,MIN(1,IF($A163=$A162,AM162,1)-R163+$D$3))</f>
        <v>#N/A</v>
      </c>
      <c r="AN163" t="e">
        <f>IF(OR($J163=0,COUNTIFS($A$4:$A162,"&gt;="&amp;$A163-1,$A$4:$A162,"&lt;="&amp;$A163,$B$4:$B162,$B163)&gt;0,MIN(AN$1,IF($A163=$A162,AN162,1))-S163&lt;0),-1,MIN(1,IF($A163=$A162,AN162,1)-S163+$D$3))</f>
        <v>#N/A</v>
      </c>
      <c r="AO163" t="e">
        <f>IF(OR($J163=0,COUNTIFS($A$4:$A162,"&gt;="&amp;$A163-1,$A$4:$A162,"&lt;="&amp;$A163,$B$4:$B162,$B163)&gt;0,MIN(AO$1,IF($A163=$A162,AO162,1))-T163&lt;0),-1,MIN(1,IF($A163=$A162,AO162,1)-T163+$D$3))</f>
        <v>#N/A</v>
      </c>
      <c r="AP163" t="e">
        <f>IF(OR($J163=0,COUNTIFS($A$4:$A162,"&gt;="&amp;$A163-1,$A$4:$A162,"&lt;="&amp;$A163,$B$4:$B162,$B163)&gt;0,MIN(AP$1,IF($A163=$A162,AP162,1))-U163&lt;0),-1,MIN(1,IF($A163=$A162,AP162,1)-U163+$D$3))</f>
        <v>#N/A</v>
      </c>
      <c r="AQ163" t="e">
        <f>IF(OR($J163=0,COUNTIFS($A$4:$A162,"&gt;="&amp;$A163-1,$A$4:$A162,"&lt;="&amp;$A163,$B$4:$B162,$B163)&gt;0,MIN(AQ$1,IF($A163=$A162,AQ162,1))-V163&lt;0),-1,MIN(1,IF($A163=$A162,AQ162,1)-V163+$D$3))</f>
        <v>#N/A</v>
      </c>
      <c r="AR163" t="e">
        <f>IF(OR($J163=0,COUNTIFS($A$4:$A162,"&gt;="&amp;$A163-1,$A$4:$A162,"&lt;="&amp;$A163,$B$4:$B162,$B163)&gt;0,MIN(AR$1,IF($A163=$A162,AR162,1))-W163&lt;0),-1,MIN(1,IF($A163=$A162,AR162,1)-W163+$D$3))</f>
        <v>#N/A</v>
      </c>
      <c r="AS163" t="e">
        <f>IF(OR($J163=0,COUNTIFS($A$4:$A162,"&gt;="&amp;$A163-1,$A$4:$A162,"&lt;="&amp;$A163,$B$4:$B162,$B163)&gt;0,MIN(AS$1,IF($A163=$A162,AS162,1))-X163&lt;0),-1,MIN(1,IF($A163=$A162,AS162,1)-X163+$D$3))</f>
        <v>#N/A</v>
      </c>
      <c r="AT163" t="e">
        <f>IF(OR($J163=0,COUNTIFS($A$4:$A162,"&gt;="&amp;$A163-1,$A$4:$A162,"&lt;="&amp;$A163,$B$4:$B162,$B163)&gt;0,MIN(AT$1,IF($A163=$A162,AT162,1))-Y163&lt;0),-1,MIN(1,IF($A163=$A162,AT162,1)-Y163+$D$3))</f>
        <v>#N/A</v>
      </c>
      <c r="AU163" t="e">
        <f>IF(OR($J163=0,COUNTIFS($A$4:$A162,"&gt;="&amp;$A163-1,$A$4:$A162,"&lt;="&amp;$A163,$B$4:$B162,$B163)&gt;0,MIN(AU$1,IF($A163=$A162,AU162,1))-Z163&lt;0),-1,MIN(1,IF($A163=$A162,AU162,1)-Z163+$D$3))</f>
        <v>#N/A</v>
      </c>
      <c r="AV163" t="e">
        <f>IF(OR($J163=0,COUNTIFS($A$4:$A162,"&gt;="&amp;$A163-1,$A$4:$A162,"&lt;="&amp;$A163,$B$4:$B162,$B163)&gt;0,MIN(AV$1,IF($A163=$A162,AV162,1))-AA163&lt;0),-1,MIN(1,IF($A163=$A162,AV162,1)-AA163+$D$3))</f>
        <v>#N/A</v>
      </c>
      <c r="AW163" t="e">
        <f>IF(OR($J163=0,COUNTIFS($A$4:$A162,"&gt;="&amp;$A163-1,$A$4:$A162,"&lt;="&amp;$A163,$B$4:$B162,$B163)&gt;0,MIN(AW$1,IF($A163=$A162,AW162,1))-AB163&lt;0),-1,MIN(1,IF($A163=$A162,AW162,1)-AB163+$D$3))</f>
        <v>#N/A</v>
      </c>
      <c r="AX163" t="e">
        <f>IF(OR($J163=0,COUNTIFS($A$4:$A162,"&gt;="&amp;$A163-1,$A$4:$A162,"&lt;="&amp;$A163,$B$4:$B162,$B163)&gt;0,MIN(AX$1,IF($A163=$A162,AX162,1))-AC163&lt;0),-1,MIN(1,IF($A163=$A162,AX162,1)-AC163+$D$3))</f>
        <v>#N/A</v>
      </c>
      <c r="AY163" t="e">
        <f>IF(OR($J163=0,COUNTIFS($A$4:$A162,"&gt;="&amp;$A163-1,$A$4:$A162,"&lt;="&amp;$A163,$B$4:$B162,$B163)&gt;0,MIN(AY$1,IF($A163=$A162,AY162,1))-AD163&lt;0),-1,MIN(1,IF($A163=$A162,AY162,1)-AD163+$D$3))</f>
        <v>#N/A</v>
      </c>
      <c r="AZ163" t="e">
        <f>IF(OR($J163=0,COUNTIFS($A$4:$A162,"&gt;="&amp;$A163-1,$A$4:$A162,"&lt;="&amp;$A163,$B$4:$B162,$B163)&gt;0,MIN(AZ$1,IF($A163=$A162,AZ162,1))-AE163&lt;0),-1,MIN(1,IF($A163=$A162,AZ162,1)-AE163+$D$3))</f>
        <v>#N/A</v>
      </c>
      <c r="BA163" t="e">
        <f>IF(OR($J163=0,COUNTIFS($A$4:$A162,"&gt;="&amp;$A163-1,$A$4:$A162,"&lt;="&amp;$A163,$B$4:$B162,$B163)&gt;0,MIN(BA$1,IF($A163=$A162,BA162,1))-AF163&lt;0),-1,MIN(1,IF($A163=$A162,BA162,1)-AF163+$D$3))</f>
        <v>#N/A</v>
      </c>
      <c r="BB163" t="e">
        <f>IF(OR($J163=0,COUNTIFS($A$4:$A162,"&gt;="&amp;$A163-1,$A$4:$A162,"&lt;="&amp;$A163,$B$4:$B162,$B163)&gt;0,MIN(BB$1,IF($A163=$A162,BB162,1))-AG163&lt;0),-1,MIN(1,IF($A163=$A162,BB162,1)-AG163+$D$3))</f>
        <v>#N/A</v>
      </c>
      <c r="BC163" t="e">
        <f>IF(OR($J163=0,COUNTIFS($A$4:$A162,"&gt;="&amp;$A163-1,$A$4:$A162,"&lt;="&amp;$A163,$B$4:$B162,$B163)&gt;0,MIN(BC$1,IF($A163=$A162,BC162,1))-AH163&lt;0),-1,MIN(1,IF($A163=$A162,BC162,1)-AH163+$D$3))</f>
        <v>#N/A</v>
      </c>
      <c r="BD163" t="e">
        <f>IF(OR($J163=0,COUNTIFS($A$4:$A162,"&gt;="&amp;$A163-1,$A$4:$A162,"&lt;="&amp;$A163,$B$4:$B162,$B163)&gt;0,MIN(BD$1,IF($A163=$A162,BD162,1))-AI163&lt;0),-1,MIN(1,IF($A163=$A162,BD162,1)-AI163+$D$3))</f>
        <v>#N/A</v>
      </c>
      <c r="BF163" s="44">
        <f t="shared" si="223"/>
        <v>6.0863809931309409E-4</v>
      </c>
      <c r="BG163" s="44">
        <f t="shared" si="224"/>
        <v>1.4968128324774964E-3</v>
      </c>
      <c r="BH163" s="44">
        <f t="shared" si="225"/>
        <v>1.5340757039993675E-3</v>
      </c>
      <c r="BI163" s="44">
        <f t="shared" si="226"/>
        <v>1.4170600323555624E-3</v>
      </c>
      <c r="BJ163" s="44">
        <f t="shared" si="227"/>
        <v>1.464666073393735E-3</v>
      </c>
      <c r="BK163" s="44">
        <f t="shared" si="228"/>
        <v>6.289822219013347E-4</v>
      </c>
      <c r="BL163" s="44">
        <f t="shared" si="229"/>
        <v>3.3978609166741873E-4</v>
      </c>
      <c r="BM163" s="44">
        <f t="shared" si="230"/>
        <v>8.6437613866890983E-4</v>
      </c>
      <c r="BN163" s="44">
        <f t="shared" si="231"/>
        <v>8.9901854969946901E-4</v>
      </c>
      <c r="BO163" s="44">
        <f t="shared" si="232"/>
        <v>4.2131420622766456E-4</v>
      </c>
      <c r="BP163" s="44">
        <f t="shared" si="233"/>
        <v>1.4166596314764096E-3</v>
      </c>
      <c r="BQ163" s="44">
        <f t="shared" si="234"/>
        <v>3.8229779147179021E-4</v>
      </c>
      <c r="BR163" s="44">
        <f t="shared" si="235"/>
        <v>1.1294033751529649E-3</v>
      </c>
      <c r="BS163" s="44">
        <f t="shared" si="236"/>
        <v>6.0910222753135393E-4</v>
      </c>
      <c r="BT163" s="44">
        <f t="shared" si="237"/>
        <v>2.4104042507388044E-3</v>
      </c>
      <c r="BU163" s="44">
        <f t="shared" si="238"/>
        <v>2.302661377816235E-3</v>
      </c>
      <c r="BV163" s="44">
        <f t="shared" si="239"/>
        <v>2.2113998053747475E-3</v>
      </c>
      <c r="BW163" s="44">
        <f t="shared" si="240"/>
        <v>1.4463771669690167E-3</v>
      </c>
      <c r="BX163" s="44">
        <f t="shared" si="241"/>
        <v>1.0685571858288076E-3</v>
      </c>
      <c r="BY163" s="44">
        <f t="shared" si="242"/>
        <v>9.1747916073702256E-4</v>
      </c>
      <c r="CA163" s="44" t="str">
        <f t="shared" si="243"/>
        <v/>
      </c>
      <c r="CB163" s="44" t="str">
        <f t="shared" si="244"/>
        <v/>
      </c>
      <c r="CC163" s="44" t="str">
        <f t="shared" si="245"/>
        <v/>
      </c>
      <c r="CD163" s="44" t="str">
        <f t="shared" si="246"/>
        <v/>
      </c>
      <c r="CE163" s="44" t="str">
        <f t="shared" si="247"/>
        <v/>
      </c>
      <c r="CF163" s="44" t="str">
        <f t="shared" si="248"/>
        <v/>
      </c>
      <c r="CG163" s="44" t="str">
        <f t="shared" si="249"/>
        <v/>
      </c>
      <c r="CH163" s="44" t="str">
        <f t="shared" si="250"/>
        <v/>
      </c>
      <c r="CI163" s="44" t="str">
        <f t="shared" si="251"/>
        <v/>
      </c>
      <c r="CJ163" s="44" t="str">
        <f t="shared" si="252"/>
        <v/>
      </c>
      <c r="CK163" s="44" t="str">
        <f t="shared" si="253"/>
        <v/>
      </c>
      <c r="CL163" s="44" t="str">
        <f t="shared" si="254"/>
        <v/>
      </c>
      <c r="CM163" s="44" t="str">
        <f t="shared" si="255"/>
        <v/>
      </c>
      <c r="CN163" s="44" t="str">
        <f t="shared" si="256"/>
        <v/>
      </c>
      <c r="CO163" s="44" t="str">
        <f t="shared" si="257"/>
        <v/>
      </c>
      <c r="CP163" s="44" t="str">
        <f t="shared" si="258"/>
        <v/>
      </c>
      <c r="CQ163" s="44" t="str">
        <f t="shared" si="259"/>
        <v/>
      </c>
      <c r="CR163" s="44" t="str">
        <f t="shared" si="260"/>
        <v/>
      </c>
      <c r="CS163" s="44" t="str">
        <f t="shared" si="261"/>
        <v/>
      </c>
      <c r="CT163" s="44" t="str">
        <f t="shared" si="262"/>
        <v/>
      </c>
      <c r="CV163" s="44">
        <f t="shared" si="263"/>
        <v>0</v>
      </c>
    </row>
    <row r="164" spans="1:100" x14ac:dyDescent="0.25">
      <c r="A164" s="41"/>
      <c r="B164" s="42"/>
      <c r="C164" s="43" t="str" cm="1">
        <f t="array" ref="C164">IF(B164="","",INDEX(UWS!$B$10:$B$41,B164))</f>
        <v/>
      </c>
      <c r="D164" s="40" t="str">
        <f t="shared" si="220"/>
        <v/>
      </c>
      <c r="E164" s="69" t="str">
        <f t="shared" si="221"/>
        <v/>
      </c>
      <c r="F164" s="48" cm="1">
        <f t="array" ref="F164">0.1+IFERROR(INDEX($F$5:$F163,SUMPRODUCT(MAX(ROW($C$5:$C163)*($C164=$C$5:$C163))-ROW($A$4)))*0.9^($A164-INDEX($A$5:A163,SUMPRODUCT(MAX(ROW($C$5:$C163)*($C164=$C$5:$C163))-ROW($A$4)))),0)</f>
        <v>9.8999999999999808</v>
      </c>
      <c r="G164" s="55" t="e">
        <f>INDEX(UWS!$AB$10:$AB$41,MATCH(C164,UWS!$B$10:$B$41,0))</f>
        <v>#N/A</v>
      </c>
      <c r="H164" s="48" t="e">
        <f>INDEX(UWS!$C$10:$C$41,MATCH(C164,UWS!$B$10:$B$41,0))</f>
        <v>#N/A</v>
      </c>
      <c r="I164" s="27">
        <f t="shared" si="222"/>
        <v>5</v>
      </c>
      <c r="J164" s="27" t="e">
        <f>INDEX(UWS!$E$10:$E$41,MATCH(C164,UWS!$B$10:$B$41,0))</f>
        <v>#N/A</v>
      </c>
      <c r="L164" s="108" t="str" cm="1">
        <f t="array" ref="L164">IF(K164="","",INDEX(UWS!$B$10:$B$41,K164))</f>
        <v/>
      </c>
      <c r="N164" s="108" t="str" cm="1">
        <f t="array" ref="N164">IF(M164="","",INDEX(UWS!$B$10:$B$41,M164))</f>
        <v/>
      </c>
      <c r="P164">
        <f>IFERROR(INDEX(UWS!$G$10:$Z$41,MATCH($C164,UWS!$B$10:$B$41,0),MATCH(P$4,UWS!$G$3:$Z$3,0)),0)</f>
        <v>0</v>
      </c>
      <c r="Q164">
        <f>IFERROR(INDEX(UWS!$G$10:$Z$41,MATCH($C164,UWS!$B$10:$B$41,0),MATCH(Q$4,UWS!$G$3:$Z$3,0)),0)</f>
        <v>0</v>
      </c>
      <c r="R164">
        <f>IFERROR(INDEX(UWS!$G$10:$Z$41,MATCH($C164,UWS!$B$10:$B$41,0),MATCH(R$4,UWS!$G$3:$Z$3,0)),0)</f>
        <v>0</v>
      </c>
      <c r="S164">
        <f>IFERROR(INDEX(UWS!$G$10:$Z$41,MATCH($C164,UWS!$B$10:$B$41,0),MATCH(S$4,UWS!$G$3:$Z$3,0)),0)</f>
        <v>0</v>
      </c>
      <c r="T164">
        <f>IFERROR(INDEX(UWS!$G$10:$Z$41,MATCH($C164,UWS!$B$10:$B$41,0),MATCH(T$4,UWS!$G$3:$Z$3,0)),0)</f>
        <v>0</v>
      </c>
      <c r="U164">
        <f>IFERROR(INDEX(UWS!$G$10:$Z$41,MATCH($C164,UWS!$B$10:$B$41,0),MATCH(U$4,UWS!$G$3:$Z$3,0)),0)</f>
        <v>0</v>
      </c>
      <c r="V164">
        <f>IFERROR(INDEX(UWS!$G$10:$Z$41,MATCH($C164,UWS!$B$10:$B$41,0),MATCH(V$4,UWS!$G$3:$Z$3,0)),0)</f>
        <v>0</v>
      </c>
      <c r="W164">
        <f>IFERROR(INDEX(UWS!$G$10:$Z$41,MATCH($C164,UWS!$B$10:$B$41,0),MATCH(W$4,UWS!$G$3:$Z$3,0)),0)</f>
        <v>0</v>
      </c>
      <c r="X164">
        <f>IFERROR(INDEX(UWS!$G$10:$Z$41,MATCH($C164,UWS!$B$10:$B$41,0),MATCH(X$4,UWS!$G$3:$Z$3,0)),0)</f>
        <v>0</v>
      </c>
      <c r="Y164">
        <f>IFERROR(INDEX(UWS!$G$10:$Z$41,MATCH($C164,UWS!$B$10:$B$41,0),MATCH(Y$4,UWS!$G$3:$Z$3,0)),0)</f>
        <v>0</v>
      </c>
      <c r="Z164">
        <f>IFERROR(INDEX(UWS!$G$10:$Z$41,MATCH($C164,UWS!$B$10:$B$41,0),MATCH(Z$4,UWS!$G$3:$Z$3,0)),0)</f>
        <v>0</v>
      </c>
      <c r="AA164">
        <f>IFERROR(INDEX(UWS!$G$10:$Z$41,MATCH($C164,UWS!$B$10:$B$41,0),MATCH(AA$4,UWS!$G$3:$Z$3,0)),0)</f>
        <v>0</v>
      </c>
      <c r="AB164">
        <f>IFERROR(INDEX(UWS!$G$10:$Z$41,MATCH($C164,UWS!$B$10:$B$41,0),MATCH(AB$4,UWS!$G$3:$Z$3,0)),0)</f>
        <v>0</v>
      </c>
      <c r="AC164">
        <f>IFERROR(INDEX(UWS!$G$10:$Z$41,MATCH($C164,UWS!$B$10:$B$41,0),MATCH(AC$4,UWS!$G$3:$Z$3,0)),0)</f>
        <v>0</v>
      </c>
      <c r="AD164">
        <f>IFERROR(INDEX(UWS!$G$10:$Z$41,MATCH($C164,UWS!$B$10:$B$41,0),MATCH(AD$4,UWS!$G$3:$Z$3,0)),0)</f>
        <v>0</v>
      </c>
      <c r="AE164">
        <f>IFERROR(INDEX(UWS!$G$10:$Z$41,MATCH($C164,UWS!$B$10:$B$41,0),MATCH(AE$4,UWS!$G$3:$Z$3,0)),0)</f>
        <v>0</v>
      </c>
      <c r="AF164">
        <f>IFERROR(INDEX(UWS!$G$10:$Z$41,MATCH($C164,UWS!$B$10:$B$41,0),MATCH(AF$4,UWS!$G$3:$Z$3,0)),0)</f>
        <v>0</v>
      </c>
      <c r="AG164">
        <f>IFERROR(INDEX(UWS!$G$10:$Z$41,MATCH($C164,UWS!$B$10:$B$41,0),MATCH(AG$4,UWS!$G$3:$Z$3,0)),0)</f>
        <v>0</v>
      </c>
      <c r="AH164">
        <f>IFERROR(INDEX(UWS!$G$10:$Z$41,MATCH($C164,UWS!$B$10:$B$41,0),MATCH(AH$4,UWS!$G$3:$Z$3,0)),0)</f>
        <v>0</v>
      </c>
      <c r="AI164">
        <f>IFERROR(INDEX(UWS!$G$10:$Z$41,MATCH($C164,UWS!$B$10:$B$41,0),MATCH(AI$4,UWS!$G$3:$Z$3,0)),0)</f>
        <v>0</v>
      </c>
      <c r="AK164" t="e">
        <f>IF(OR($J164=0,COUNTIFS($A$4:$A163,"&gt;="&amp;$A164-1,$A$4:$A163,"&lt;="&amp;$A164,$B$4:$B163,$B164)&gt;0,MIN(AK$1,IF($A164=$A163,AK163,1))-P164&lt;0),-1,MIN(1,IF($A164=$A163,AK163,1)-P164+$D$3))</f>
        <v>#N/A</v>
      </c>
      <c r="AL164" t="e">
        <f>IF(OR($J164=0,COUNTIFS($A$4:$A163,"&gt;="&amp;$A164-1,$A$4:$A163,"&lt;="&amp;$A164,$B$4:$B163,$B164)&gt;0,MIN(AL$1,IF($A164=$A163,AL163,1))-Q164&lt;0),-1,MIN(1,IF($A164=$A163,AL163,1)-Q164+$D$3))</f>
        <v>#N/A</v>
      </c>
      <c r="AM164" t="e">
        <f>IF(OR($J164=0,COUNTIFS($A$4:$A163,"&gt;="&amp;$A164-1,$A$4:$A163,"&lt;="&amp;$A164,$B$4:$B163,$B164)&gt;0,MIN(AM$1,IF($A164=$A163,AM163,1))-R164&lt;0),-1,MIN(1,IF($A164=$A163,AM163,1)-R164+$D$3))</f>
        <v>#N/A</v>
      </c>
      <c r="AN164" t="e">
        <f>IF(OR($J164=0,COUNTIFS($A$4:$A163,"&gt;="&amp;$A164-1,$A$4:$A163,"&lt;="&amp;$A164,$B$4:$B163,$B164)&gt;0,MIN(AN$1,IF($A164=$A163,AN163,1))-S164&lt;0),-1,MIN(1,IF($A164=$A163,AN163,1)-S164+$D$3))</f>
        <v>#N/A</v>
      </c>
      <c r="AO164" t="e">
        <f>IF(OR($J164=0,COUNTIFS($A$4:$A163,"&gt;="&amp;$A164-1,$A$4:$A163,"&lt;="&amp;$A164,$B$4:$B163,$B164)&gt;0,MIN(AO$1,IF($A164=$A163,AO163,1))-T164&lt;0),-1,MIN(1,IF($A164=$A163,AO163,1)-T164+$D$3))</f>
        <v>#N/A</v>
      </c>
      <c r="AP164" t="e">
        <f>IF(OR($J164=0,COUNTIFS($A$4:$A163,"&gt;="&amp;$A164-1,$A$4:$A163,"&lt;="&amp;$A164,$B$4:$B163,$B164)&gt;0,MIN(AP$1,IF($A164=$A163,AP163,1))-U164&lt;0),-1,MIN(1,IF($A164=$A163,AP163,1)-U164+$D$3))</f>
        <v>#N/A</v>
      </c>
      <c r="AQ164" t="e">
        <f>IF(OR($J164=0,COUNTIFS($A$4:$A163,"&gt;="&amp;$A164-1,$A$4:$A163,"&lt;="&amp;$A164,$B$4:$B163,$B164)&gt;0,MIN(AQ$1,IF($A164=$A163,AQ163,1))-V164&lt;0),-1,MIN(1,IF($A164=$A163,AQ163,1)-V164+$D$3))</f>
        <v>#N/A</v>
      </c>
      <c r="AR164" t="e">
        <f>IF(OR($J164=0,COUNTIFS($A$4:$A163,"&gt;="&amp;$A164-1,$A$4:$A163,"&lt;="&amp;$A164,$B$4:$B163,$B164)&gt;0,MIN(AR$1,IF($A164=$A163,AR163,1))-W164&lt;0),-1,MIN(1,IF($A164=$A163,AR163,1)-W164+$D$3))</f>
        <v>#N/A</v>
      </c>
      <c r="AS164" t="e">
        <f>IF(OR($J164=0,COUNTIFS($A$4:$A163,"&gt;="&amp;$A164-1,$A$4:$A163,"&lt;="&amp;$A164,$B$4:$B163,$B164)&gt;0,MIN(AS$1,IF($A164=$A163,AS163,1))-X164&lt;0),-1,MIN(1,IF($A164=$A163,AS163,1)-X164+$D$3))</f>
        <v>#N/A</v>
      </c>
      <c r="AT164" t="e">
        <f>IF(OR($J164=0,COUNTIFS($A$4:$A163,"&gt;="&amp;$A164-1,$A$4:$A163,"&lt;="&amp;$A164,$B$4:$B163,$B164)&gt;0,MIN(AT$1,IF($A164=$A163,AT163,1))-Y164&lt;0),-1,MIN(1,IF($A164=$A163,AT163,1)-Y164+$D$3))</f>
        <v>#N/A</v>
      </c>
      <c r="AU164" t="e">
        <f>IF(OR($J164=0,COUNTIFS($A$4:$A163,"&gt;="&amp;$A164-1,$A$4:$A163,"&lt;="&amp;$A164,$B$4:$B163,$B164)&gt;0,MIN(AU$1,IF($A164=$A163,AU163,1))-Z164&lt;0),-1,MIN(1,IF($A164=$A163,AU163,1)-Z164+$D$3))</f>
        <v>#N/A</v>
      </c>
      <c r="AV164" t="e">
        <f>IF(OR($J164=0,COUNTIFS($A$4:$A163,"&gt;="&amp;$A164-1,$A$4:$A163,"&lt;="&amp;$A164,$B$4:$B163,$B164)&gt;0,MIN(AV$1,IF($A164=$A163,AV163,1))-AA164&lt;0),-1,MIN(1,IF($A164=$A163,AV163,1)-AA164+$D$3))</f>
        <v>#N/A</v>
      </c>
      <c r="AW164" t="e">
        <f>IF(OR($J164=0,COUNTIFS($A$4:$A163,"&gt;="&amp;$A164-1,$A$4:$A163,"&lt;="&amp;$A164,$B$4:$B163,$B164)&gt;0,MIN(AW$1,IF($A164=$A163,AW163,1))-AB164&lt;0),-1,MIN(1,IF($A164=$A163,AW163,1)-AB164+$D$3))</f>
        <v>#N/A</v>
      </c>
      <c r="AX164" t="e">
        <f>IF(OR($J164=0,COUNTIFS($A$4:$A163,"&gt;="&amp;$A164-1,$A$4:$A163,"&lt;="&amp;$A164,$B$4:$B163,$B164)&gt;0,MIN(AX$1,IF($A164=$A163,AX163,1))-AC164&lt;0),-1,MIN(1,IF($A164=$A163,AX163,1)-AC164+$D$3))</f>
        <v>#N/A</v>
      </c>
      <c r="AY164" t="e">
        <f>IF(OR($J164=0,COUNTIFS($A$4:$A163,"&gt;="&amp;$A164-1,$A$4:$A163,"&lt;="&amp;$A164,$B$4:$B163,$B164)&gt;0,MIN(AY$1,IF($A164=$A163,AY163,1))-AD164&lt;0),-1,MIN(1,IF($A164=$A163,AY163,1)-AD164+$D$3))</f>
        <v>#N/A</v>
      </c>
      <c r="AZ164" t="e">
        <f>IF(OR($J164=0,COUNTIFS($A$4:$A163,"&gt;="&amp;$A164-1,$A$4:$A163,"&lt;="&amp;$A164,$B$4:$B163,$B164)&gt;0,MIN(AZ$1,IF($A164=$A163,AZ163,1))-AE164&lt;0),-1,MIN(1,IF($A164=$A163,AZ163,1)-AE164+$D$3))</f>
        <v>#N/A</v>
      </c>
      <c r="BA164" t="e">
        <f>IF(OR($J164=0,COUNTIFS($A$4:$A163,"&gt;="&amp;$A164-1,$A$4:$A163,"&lt;="&amp;$A164,$B$4:$B163,$B164)&gt;0,MIN(BA$1,IF($A164=$A163,BA163,1))-AF164&lt;0),-1,MIN(1,IF($A164=$A163,BA163,1)-AF164+$D$3))</f>
        <v>#N/A</v>
      </c>
      <c r="BB164" t="e">
        <f>IF(OR($J164=0,COUNTIFS($A$4:$A163,"&gt;="&amp;$A164-1,$A$4:$A163,"&lt;="&amp;$A164,$B$4:$B163,$B164)&gt;0,MIN(BB$1,IF($A164=$A163,BB163,1))-AG164&lt;0),-1,MIN(1,IF($A164=$A163,BB163,1)-AG164+$D$3))</f>
        <v>#N/A</v>
      </c>
      <c r="BC164" t="e">
        <f>IF(OR($J164=0,COUNTIFS($A$4:$A163,"&gt;="&amp;$A164-1,$A$4:$A163,"&lt;="&amp;$A164,$B$4:$B163,$B164)&gt;0,MIN(BC$1,IF($A164=$A163,BC163,1))-AH164&lt;0),-1,MIN(1,IF($A164=$A163,BC163,1)-AH164+$D$3))</f>
        <v>#N/A</v>
      </c>
      <c r="BD164" t="e">
        <f>IF(OR($J164=0,COUNTIFS($A$4:$A163,"&gt;="&amp;$A164-1,$A$4:$A163,"&lt;="&amp;$A164,$B$4:$B163,$B164)&gt;0,MIN(BD$1,IF($A164=$A163,BD163,1))-AI164&lt;0),-1,MIN(1,IF($A164=$A163,BD163,1)-AI164+$D$3))</f>
        <v>#N/A</v>
      </c>
      <c r="BF164" s="44">
        <f t="shared" si="223"/>
        <v>5.7820619434743935E-4</v>
      </c>
      <c r="BG164" s="44">
        <f t="shared" si="224"/>
        <v>1.4219721908536214E-3</v>
      </c>
      <c r="BH164" s="44">
        <f t="shared" si="225"/>
        <v>1.457371918799399E-3</v>
      </c>
      <c r="BI164" s="44">
        <f t="shared" si="226"/>
        <v>1.3462070307377842E-3</v>
      </c>
      <c r="BJ164" s="44">
        <f t="shared" si="227"/>
        <v>1.3914327697240481E-3</v>
      </c>
      <c r="BK164" s="44">
        <f t="shared" si="228"/>
        <v>5.9753311080626794E-4</v>
      </c>
      <c r="BL164" s="44">
        <f t="shared" si="229"/>
        <v>3.2279678708404776E-4</v>
      </c>
      <c r="BM164" s="44">
        <f t="shared" si="230"/>
        <v>8.2115733173546428E-4</v>
      </c>
      <c r="BN164" s="44">
        <f t="shared" si="231"/>
        <v>8.5406762221449555E-4</v>
      </c>
      <c r="BO164" s="44">
        <f t="shared" si="232"/>
        <v>4.0024849591628131E-4</v>
      </c>
      <c r="BP164" s="44">
        <f t="shared" si="233"/>
        <v>1.345826649902589E-3</v>
      </c>
      <c r="BQ164" s="44">
        <f t="shared" si="234"/>
        <v>3.6318290189820069E-4</v>
      </c>
      <c r="BR164" s="44">
        <f t="shared" si="235"/>
        <v>1.0729332063953165E-3</v>
      </c>
      <c r="BS164" s="44">
        <f t="shared" si="236"/>
        <v>5.7864711615478626E-4</v>
      </c>
      <c r="BT164" s="44">
        <f t="shared" si="237"/>
        <v>2.2898840382018643E-3</v>
      </c>
      <c r="BU164" s="44">
        <f t="shared" si="238"/>
        <v>2.1875283089254232E-3</v>
      </c>
      <c r="BV164" s="44">
        <f t="shared" si="239"/>
        <v>2.1008298151060103E-3</v>
      </c>
      <c r="BW164" s="44">
        <f t="shared" si="240"/>
        <v>1.3740583086205658E-3</v>
      </c>
      <c r="BX164" s="44">
        <f t="shared" si="241"/>
        <v>1.0151293265373671E-3</v>
      </c>
      <c r="BY164" s="44">
        <f t="shared" si="242"/>
        <v>8.7160520270017144E-4</v>
      </c>
      <c r="CA164" s="44" t="str">
        <f t="shared" si="243"/>
        <v/>
      </c>
      <c r="CB164" s="44" t="str">
        <f t="shared" si="244"/>
        <v/>
      </c>
      <c r="CC164" s="44" t="str">
        <f t="shared" si="245"/>
        <v/>
      </c>
      <c r="CD164" s="44" t="str">
        <f t="shared" si="246"/>
        <v/>
      </c>
      <c r="CE164" s="44" t="str">
        <f t="shared" si="247"/>
        <v/>
      </c>
      <c r="CF164" s="44" t="str">
        <f t="shared" si="248"/>
        <v/>
      </c>
      <c r="CG164" s="44" t="str">
        <f t="shared" si="249"/>
        <v/>
      </c>
      <c r="CH164" s="44" t="str">
        <f t="shared" si="250"/>
        <v/>
      </c>
      <c r="CI164" s="44" t="str">
        <f t="shared" si="251"/>
        <v/>
      </c>
      <c r="CJ164" s="44" t="str">
        <f t="shared" si="252"/>
        <v/>
      </c>
      <c r="CK164" s="44" t="str">
        <f t="shared" si="253"/>
        <v/>
      </c>
      <c r="CL164" s="44" t="str">
        <f t="shared" si="254"/>
        <v/>
      </c>
      <c r="CM164" s="44" t="str">
        <f t="shared" si="255"/>
        <v/>
      </c>
      <c r="CN164" s="44" t="str">
        <f t="shared" si="256"/>
        <v/>
      </c>
      <c r="CO164" s="44" t="str">
        <f t="shared" si="257"/>
        <v/>
      </c>
      <c r="CP164" s="44" t="str">
        <f t="shared" si="258"/>
        <v/>
      </c>
      <c r="CQ164" s="44" t="str">
        <f t="shared" si="259"/>
        <v/>
      </c>
      <c r="CR164" s="44" t="str">
        <f t="shared" si="260"/>
        <v/>
      </c>
      <c r="CS164" s="44" t="str">
        <f t="shared" si="261"/>
        <v/>
      </c>
      <c r="CT164" s="44" t="str">
        <f t="shared" si="262"/>
        <v/>
      </c>
      <c r="CV164" s="44">
        <f t="shared" si="263"/>
        <v>0</v>
      </c>
    </row>
    <row r="165" spans="1:100" x14ac:dyDescent="0.25">
      <c r="A165" s="49"/>
      <c r="B165" s="50"/>
      <c r="C165" s="51" t="str" cm="1">
        <f t="array" ref="C165">IF(B165="","",INDEX(UWS!$B$10:$B$41,B165))</f>
        <v/>
      </c>
      <c r="D165" s="45" t="str">
        <f t="shared" si="220"/>
        <v/>
      </c>
      <c r="E165" s="70" t="str">
        <f t="shared" si="221"/>
        <v/>
      </c>
      <c r="F165" s="52" cm="1">
        <f t="array" ref="F165">0.1+IFERROR(INDEX($F$5:$F164,SUMPRODUCT(MAX(ROW($C$5:$C164)*($C165=$C$5:$C164))-ROW($A$4)))*0.9^($A165-INDEX($A$5:A164,SUMPRODUCT(MAX(ROW($C$5:$C164)*($C165=$C$5:$C164))-ROW($A$4)))),0)</f>
        <v>9.9999999999999805</v>
      </c>
      <c r="G165" s="56" t="e">
        <f>INDEX(UWS!$AB$10:$AB$41,MATCH(C165,UWS!$B$10:$B$41,0))</f>
        <v>#N/A</v>
      </c>
      <c r="H165" s="52" t="e">
        <f>INDEX(UWS!$C$10:$C$41,MATCH(C165,UWS!$B$10:$B$41,0))</f>
        <v>#N/A</v>
      </c>
      <c r="I165" s="46">
        <f t="shared" si="222"/>
        <v>5</v>
      </c>
      <c r="J165" s="46" t="e">
        <f>INDEX(UWS!$E$10:$E$41,MATCH(C165,UWS!$B$10:$B$41,0))</f>
        <v>#N/A</v>
      </c>
      <c r="K165" s="46"/>
      <c r="L165" s="109" t="str" cm="1">
        <f t="array" ref="L165">IF(K165="","",INDEX(UWS!$B$10:$B$41,K165))</f>
        <v/>
      </c>
      <c r="M165" s="46"/>
      <c r="N165" s="109" t="str" cm="1">
        <f t="array" ref="N165">IF(M165="","",INDEX(UWS!$B$10:$B$41,M165))</f>
        <v/>
      </c>
      <c r="O165" s="47"/>
      <c r="P165" s="47">
        <f>IFERROR(INDEX(UWS!$G$10:$Z$41,MATCH($C165,UWS!$B$10:$B$41,0),MATCH(P$4,UWS!$G$3:$Z$3,0)),0)</f>
        <v>0</v>
      </c>
      <c r="Q165" s="47">
        <f>IFERROR(INDEX(UWS!$G$10:$Z$41,MATCH($C165,UWS!$B$10:$B$41,0),MATCH(Q$4,UWS!$G$3:$Z$3,0)),0)</f>
        <v>0</v>
      </c>
      <c r="R165" s="47">
        <f>IFERROR(INDEX(UWS!$G$10:$Z$41,MATCH($C165,UWS!$B$10:$B$41,0),MATCH(R$4,UWS!$G$3:$Z$3,0)),0)</f>
        <v>0</v>
      </c>
      <c r="S165" s="47">
        <f>IFERROR(INDEX(UWS!$G$10:$Z$41,MATCH($C165,UWS!$B$10:$B$41,0),MATCH(S$4,UWS!$G$3:$Z$3,0)),0)</f>
        <v>0</v>
      </c>
      <c r="T165" s="47">
        <f>IFERROR(INDEX(UWS!$G$10:$Z$41,MATCH($C165,UWS!$B$10:$B$41,0),MATCH(T$4,UWS!$G$3:$Z$3,0)),0)</f>
        <v>0</v>
      </c>
      <c r="U165" s="47">
        <f>IFERROR(INDEX(UWS!$G$10:$Z$41,MATCH($C165,UWS!$B$10:$B$41,0),MATCH(U$4,UWS!$G$3:$Z$3,0)),0)</f>
        <v>0</v>
      </c>
      <c r="V165" s="47">
        <f>IFERROR(INDEX(UWS!$G$10:$Z$41,MATCH($C165,UWS!$B$10:$B$41,0),MATCH(V$4,UWS!$G$3:$Z$3,0)),0)</f>
        <v>0</v>
      </c>
      <c r="W165" s="47">
        <f>IFERROR(INDEX(UWS!$G$10:$Z$41,MATCH($C165,UWS!$B$10:$B$41,0),MATCH(W$4,UWS!$G$3:$Z$3,0)),0)</f>
        <v>0</v>
      </c>
      <c r="X165" s="47">
        <f>IFERROR(INDEX(UWS!$G$10:$Z$41,MATCH($C165,UWS!$B$10:$B$41,0),MATCH(X$4,UWS!$G$3:$Z$3,0)),0)</f>
        <v>0</v>
      </c>
      <c r="Y165" s="47">
        <f>IFERROR(INDEX(UWS!$G$10:$Z$41,MATCH($C165,UWS!$B$10:$B$41,0),MATCH(Y$4,UWS!$G$3:$Z$3,0)),0)</f>
        <v>0</v>
      </c>
      <c r="Z165" s="47">
        <f>IFERROR(INDEX(UWS!$G$10:$Z$41,MATCH($C165,UWS!$B$10:$B$41,0),MATCH(Z$4,UWS!$G$3:$Z$3,0)),0)</f>
        <v>0</v>
      </c>
      <c r="AA165" s="47">
        <f>IFERROR(INDEX(UWS!$G$10:$Z$41,MATCH($C165,UWS!$B$10:$B$41,0),MATCH(AA$4,UWS!$G$3:$Z$3,0)),0)</f>
        <v>0</v>
      </c>
      <c r="AB165" s="47">
        <f>IFERROR(INDEX(UWS!$G$10:$Z$41,MATCH($C165,UWS!$B$10:$B$41,0),MATCH(AB$4,UWS!$G$3:$Z$3,0)),0)</f>
        <v>0</v>
      </c>
      <c r="AC165" s="47">
        <f>IFERROR(INDEX(UWS!$G$10:$Z$41,MATCH($C165,UWS!$B$10:$B$41,0),MATCH(AC$4,UWS!$G$3:$Z$3,0)),0)</f>
        <v>0</v>
      </c>
      <c r="AD165" s="47">
        <f>IFERROR(INDEX(UWS!$G$10:$Z$41,MATCH($C165,UWS!$B$10:$B$41,0),MATCH(AD$4,UWS!$G$3:$Z$3,0)),0)</f>
        <v>0</v>
      </c>
      <c r="AE165" s="47">
        <f>IFERROR(INDEX(UWS!$G$10:$Z$41,MATCH($C165,UWS!$B$10:$B$41,0),MATCH(AE$4,UWS!$G$3:$Z$3,0)),0)</f>
        <v>0</v>
      </c>
      <c r="AF165" s="47">
        <f>IFERROR(INDEX(UWS!$G$10:$Z$41,MATCH($C165,UWS!$B$10:$B$41,0),MATCH(AF$4,UWS!$G$3:$Z$3,0)),0)</f>
        <v>0</v>
      </c>
      <c r="AG165" s="47">
        <f>IFERROR(INDEX(UWS!$G$10:$Z$41,MATCH($C165,UWS!$B$10:$B$41,0),MATCH(AG$4,UWS!$G$3:$Z$3,0)),0)</f>
        <v>0</v>
      </c>
      <c r="AH165" s="47">
        <f>IFERROR(INDEX(UWS!$G$10:$Z$41,MATCH($C165,UWS!$B$10:$B$41,0),MATCH(AH$4,UWS!$G$3:$Z$3,0)),0)</f>
        <v>0</v>
      </c>
      <c r="AI165" s="47">
        <f>IFERROR(INDEX(UWS!$G$10:$Z$41,MATCH($C165,UWS!$B$10:$B$41,0),MATCH(AI$4,UWS!$G$3:$Z$3,0)),0)</f>
        <v>0</v>
      </c>
      <c r="AJ165" s="47"/>
      <c r="AK165" s="47" t="e">
        <f>IF(OR($J165=0,COUNTIFS($A$4:$A164,"&gt;="&amp;$A165-1,$A$4:$A164,"&lt;="&amp;$A165,$B$4:$B164,$B165)&gt;0,MIN(AK$1,IF($A165=$A164,AK164,1))-P165&lt;0),-1,MIN(1,IF($A165=$A164,AK164,1)-P165+$D$3))</f>
        <v>#N/A</v>
      </c>
      <c r="AL165" s="47" t="e">
        <f>IF(OR($J165=0,COUNTIFS($A$4:$A164,"&gt;="&amp;$A165-1,$A$4:$A164,"&lt;="&amp;$A165,$B$4:$B164,$B165)&gt;0,MIN(AL$1,IF($A165=$A164,AL164,1))-Q165&lt;0),-1,MIN(1,IF($A165=$A164,AL164,1)-Q165+$D$3))</f>
        <v>#N/A</v>
      </c>
      <c r="AM165" s="47" t="e">
        <f>IF(OR($J165=0,COUNTIFS($A$4:$A164,"&gt;="&amp;$A165-1,$A$4:$A164,"&lt;="&amp;$A165,$B$4:$B164,$B165)&gt;0,MIN(AM$1,IF($A165=$A164,AM164,1))-R165&lt;0),-1,MIN(1,IF($A165=$A164,AM164,1)-R165+$D$3))</f>
        <v>#N/A</v>
      </c>
      <c r="AN165" s="47" t="e">
        <f>IF(OR($J165=0,COUNTIFS($A$4:$A164,"&gt;="&amp;$A165-1,$A$4:$A164,"&lt;="&amp;$A165,$B$4:$B164,$B165)&gt;0,MIN(AN$1,IF($A165=$A164,AN164,1))-S165&lt;0),-1,MIN(1,IF($A165=$A164,AN164,1)-S165+$D$3))</f>
        <v>#N/A</v>
      </c>
      <c r="AO165" s="47" t="e">
        <f>IF(OR($J165=0,COUNTIFS($A$4:$A164,"&gt;="&amp;$A165-1,$A$4:$A164,"&lt;="&amp;$A165,$B$4:$B164,$B165)&gt;0,MIN(AO$1,IF($A165=$A164,AO164,1))-T165&lt;0),-1,MIN(1,IF($A165=$A164,AO164,1)-T165+$D$3))</f>
        <v>#N/A</v>
      </c>
      <c r="AP165" s="47" t="e">
        <f>IF(OR($J165=0,COUNTIFS($A$4:$A164,"&gt;="&amp;$A165-1,$A$4:$A164,"&lt;="&amp;$A165,$B$4:$B164,$B165)&gt;0,MIN(AP$1,IF($A165=$A164,AP164,1))-U165&lt;0),-1,MIN(1,IF($A165=$A164,AP164,1)-U165+$D$3))</f>
        <v>#N/A</v>
      </c>
      <c r="AQ165" s="47" t="e">
        <f>IF(OR($J165=0,COUNTIFS($A$4:$A164,"&gt;="&amp;$A165-1,$A$4:$A164,"&lt;="&amp;$A165,$B$4:$B164,$B165)&gt;0,MIN(AQ$1,IF($A165=$A164,AQ164,1))-V165&lt;0),-1,MIN(1,IF($A165=$A164,AQ164,1)-V165+$D$3))</f>
        <v>#N/A</v>
      </c>
      <c r="AR165" s="47" t="e">
        <f>IF(OR($J165=0,COUNTIFS($A$4:$A164,"&gt;="&amp;$A165-1,$A$4:$A164,"&lt;="&amp;$A165,$B$4:$B164,$B165)&gt;0,MIN(AR$1,IF($A165=$A164,AR164,1))-W165&lt;0),-1,MIN(1,IF($A165=$A164,AR164,1)-W165+$D$3))</f>
        <v>#N/A</v>
      </c>
      <c r="AS165" s="47" t="e">
        <f>IF(OR($J165=0,COUNTIFS($A$4:$A164,"&gt;="&amp;$A165-1,$A$4:$A164,"&lt;="&amp;$A165,$B$4:$B164,$B165)&gt;0,MIN(AS$1,IF($A165=$A164,AS164,1))-X165&lt;0),-1,MIN(1,IF($A165=$A164,AS164,1)-X165+$D$3))</f>
        <v>#N/A</v>
      </c>
      <c r="AT165" s="47" t="e">
        <f>IF(OR($J165=0,COUNTIFS($A$4:$A164,"&gt;="&amp;$A165-1,$A$4:$A164,"&lt;="&amp;$A165,$B$4:$B164,$B165)&gt;0,MIN(AT$1,IF($A165=$A164,AT164,1))-Y165&lt;0),-1,MIN(1,IF($A165=$A164,AT164,1)-Y165+$D$3))</f>
        <v>#N/A</v>
      </c>
      <c r="AU165" s="47" t="e">
        <f>IF(OR($J165=0,COUNTIFS($A$4:$A164,"&gt;="&amp;$A165-1,$A$4:$A164,"&lt;="&amp;$A165,$B$4:$B164,$B165)&gt;0,MIN(AU$1,IF($A165=$A164,AU164,1))-Z165&lt;0),-1,MIN(1,IF($A165=$A164,AU164,1)-Z165+$D$3))</f>
        <v>#N/A</v>
      </c>
      <c r="AV165" s="47" t="e">
        <f>IF(OR($J165=0,COUNTIFS($A$4:$A164,"&gt;="&amp;$A165-1,$A$4:$A164,"&lt;="&amp;$A165,$B$4:$B164,$B165)&gt;0,MIN(AV$1,IF($A165=$A164,AV164,1))-AA165&lt;0),-1,MIN(1,IF($A165=$A164,AV164,1)-AA165+$D$3))</f>
        <v>#N/A</v>
      </c>
      <c r="AW165" s="47" t="e">
        <f>IF(OR($J165=0,COUNTIFS($A$4:$A164,"&gt;="&amp;$A165-1,$A$4:$A164,"&lt;="&amp;$A165,$B$4:$B164,$B165)&gt;0,MIN(AW$1,IF($A165=$A164,AW164,1))-AB165&lt;0),-1,MIN(1,IF($A165=$A164,AW164,1)-AB165+$D$3))</f>
        <v>#N/A</v>
      </c>
      <c r="AX165" s="47" t="e">
        <f>IF(OR($J165=0,COUNTIFS($A$4:$A164,"&gt;="&amp;$A165-1,$A$4:$A164,"&lt;="&amp;$A165,$B$4:$B164,$B165)&gt;0,MIN(AX$1,IF($A165=$A164,AX164,1))-AC165&lt;0),-1,MIN(1,IF($A165=$A164,AX164,1)-AC165+$D$3))</f>
        <v>#N/A</v>
      </c>
      <c r="AY165" s="47" t="e">
        <f>IF(OR($J165=0,COUNTIFS($A$4:$A164,"&gt;="&amp;$A165-1,$A$4:$A164,"&lt;="&amp;$A165,$B$4:$B164,$B165)&gt;0,MIN(AY$1,IF($A165=$A164,AY164,1))-AD165&lt;0),-1,MIN(1,IF($A165=$A164,AY164,1)-AD165+$D$3))</f>
        <v>#N/A</v>
      </c>
      <c r="AZ165" s="47" t="e">
        <f>IF(OR($J165=0,COUNTIFS($A$4:$A164,"&gt;="&amp;$A165-1,$A$4:$A164,"&lt;="&amp;$A165,$B$4:$B164,$B165)&gt;0,MIN(AZ$1,IF($A165=$A164,AZ164,1))-AE165&lt;0),-1,MIN(1,IF($A165=$A164,AZ164,1)-AE165+$D$3))</f>
        <v>#N/A</v>
      </c>
      <c r="BA165" s="47" t="e">
        <f>IF(OR($J165=0,COUNTIFS($A$4:$A164,"&gt;="&amp;$A165-1,$A$4:$A164,"&lt;="&amp;$A165,$B$4:$B164,$B165)&gt;0,MIN(BA$1,IF($A165=$A164,BA164,1))-AF165&lt;0),-1,MIN(1,IF($A165=$A164,BA164,1)-AF165+$D$3))</f>
        <v>#N/A</v>
      </c>
      <c r="BB165" s="47" t="e">
        <f>IF(OR($J165=0,COUNTIFS($A$4:$A164,"&gt;="&amp;$A165-1,$A$4:$A164,"&lt;="&amp;$A165,$B$4:$B164,$B165)&gt;0,MIN(BB$1,IF($A165=$A164,BB164,1))-AG165&lt;0),-1,MIN(1,IF($A165=$A164,BB164,1)-AG165+$D$3))</f>
        <v>#N/A</v>
      </c>
      <c r="BC165" s="47" t="e">
        <f>IF(OR($J165=0,COUNTIFS($A$4:$A164,"&gt;="&amp;$A165-1,$A$4:$A164,"&lt;="&amp;$A165,$B$4:$B164,$B165)&gt;0,MIN(BC$1,IF($A165=$A164,BC164,1))-AH165&lt;0),-1,MIN(1,IF($A165=$A164,BC164,1)-AH165+$D$3))</f>
        <v>#N/A</v>
      </c>
      <c r="BD165" s="47" t="e">
        <f>IF(OR($J165=0,COUNTIFS($A$4:$A164,"&gt;="&amp;$A165-1,$A$4:$A164,"&lt;="&amp;$A165,$B$4:$B164,$B165)&gt;0,MIN(BD$1,IF($A165=$A164,BD164,1))-AI165&lt;0),-1,MIN(1,IF($A165=$A164,BD164,1)-AI165+$D$3))</f>
        <v>#N/A</v>
      </c>
      <c r="BE165" s="47"/>
      <c r="BF165" s="53">
        <f t="shared" si="223"/>
        <v>5.4929588463006732E-4</v>
      </c>
      <c r="BG165" s="53">
        <f t="shared" si="224"/>
        <v>1.3508735813109402E-3</v>
      </c>
      <c r="BH165" s="53">
        <f t="shared" si="225"/>
        <v>1.3845033228594291E-3</v>
      </c>
      <c r="BI165" s="53">
        <f t="shared" si="226"/>
        <v>1.2788966792008948E-3</v>
      </c>
      <c r="BJ165" s="53">
        <f t="shared" si="227"/>
        <v>1.3218611312378456E-3</v>
      </c>
      <c r="BK165" s="53">
        <f t="shared" si="228"/>
        <v>5.6765645526595453E-4</v>
      </c>
      <c r="BL165" s="53">
        <f t="shared" si="229"/>
        <v>3.0665694772984538E-4</v>
      </c>
      <c r="BM165" s="53">
        <f t="shared" si="230"/>
        <v>7.8009946514869108E-4</v>
      </c>
      <c r="BN165" s="53">
        <f t="shared" si="231"/>
        <v>8.113642411037707E-4</v>
      </c>
      <c r="BO165" s="53">
        <f t="shared" si="232"/>
        <v>3.802360711204672E-4</v>
      </c>
      <c r="BP165" s="53">
        <f t="shared" si="233"/>
        <v>1.2785353174074596E-3</v>
      </c>
      <c r="BQ165" s="53">
        <f t="shared" si="234"/>
        <v>3.4502375680329063E-4</v>
      </c>
      <c r="BR165" s="53">
        <f t="shared" si="235"/>
        <v>1.0192865460755506E-3</v>
      </c>
      <c r="BS165" s="53">
        <f t="shared" si="236"/>
        <v>5.4971476034704691E-4</v>
      </c>
      <c r="BT165" s="53">
        <f t="shared" si="237"/>
        <v>2.1753898362917709E-3</v>
      </c>
      <c r="BU165" s="53">
        <f t="shared" si="238"/>
        <v>2.0781518934791521E-3</v>
      </c>
      <c r="BV165" s="53">
        <f t="shared" si="239"/>
        <v>1.9957883243507096E-3</v>
      </c>
      <c r="BW165" s="53">
        <f t="shared" si="240"/>
        <v>1.3053553931895374E-3</v>
      </c>
      <c r="BX165" s="53">
        <f t="shared" si="241"/>
        <v>9.6437286021049866E-4</v>
      </c>
      <c r="BY165" s="53">
        <f t="shared" si="242"/>
        <v>8.2802494256516287E-4</v>
      </c>
      <c r="BZ165" s="47"/>
      <c r="CA165" s="53" t="str">
        <f t="shared" si="243"/>
        <v/>
      </c>
      <c r="CB165" s="53" t="str">
        <f t="shared" si="244"/>
        <v/>
      </c>
      <c r="CC165" s="53" t="str">
        <f t="shared" si="245"/>
        <v/>
      </c>
      <c r="CD165" s="53" t="str">
        <f t="shared" si="246"/>
        <v/>
      </c>
      <c r="CE165" s="53" t="str">
        <f t="shared" si="247"/>
        <v/>
      </c>
      <c r="CF165" s="53" t="str">
        <f t="shared" si="248"/>
        <v/>
      </c>
      <c r="CG165" s="53" t="str">
        <f t="shared" si="249"/>
        <v/>
      </c>
      <c r="CH165" s="53" t="str">
        <f t="shared" si="250"/>
        <v/>
      </c>
      <c r="CI165" s="53" t="str">
        <f t="shared" si="251"/>
        <v/>
      </c>
      <c r="CJ165" s="53" t="str">
        <f t="shared" si="252"/>
        <v/>
      </c>
      <c r="CK165" s="53" t="str">
        <f t="shared" si="253"/>
        <v/>
      </c>
      <c r="CL165" s="53" t="str">
        <f t="shared" si="254"/>
        <v/>
      </c>
      <c r="CM165" s="53" t="str">
        <f t="shared" si="255"/>
        <v/>
      </c>
      <c r="CN165" s="53" t="str">
        <f t="shared" si="256"/>
        <v/>
      </c>
      <c r="CO165" s="53" t="str">
        <f t="shared" si="257"/>
        <v/>
      </c>
      <c r="CP165" s="53" t="str">
        <f t="shared" si="258"/>
        <v/>
      </c>
      <c r="CQ165" s="53" t="str">
        <f t="shared" si="259"/>
        <v/>
      </c>
      <c r="CR165" s="53" t="str">
        <f t="shared" si="260"/>
        <v/>
      </c>
      <c r="CS165" s="53" t="str">
        <f t="shared" si="261"/>
        <v/>
      </c>
      <c r="CT165" s="53" t="str">
        <f t="shared" si="262"/>
        <v/>
      </c>
      <c r="CU165" s="47"/>
      <c r="CV165" s="53">
        <f t="shared" si="263"/>
        <v>0</v>
      </c>
    </row>
    <row r="166" spans="1:100" x14ac:dyDescent="0.25">
      <c r="A166" s="41"/>
      <c r="B166" s="42"/>
      <c r="C166" s="43" t="str" cm="1">
        <f t="array" ref="C166">IF(B166="","",INDEX(UWS!$B$10:$B$41,B166))</f>
        <v/>
      </c>
      <c r="D166" s="40" t="str">
        <f t="shared" si="220"/>
        <v/>
      </c>
      <c r="E166" s="69" t="str">
        <f t="shared" si="221"/>
        <v/>
      </c>
      <c r="F166" s="48" cm="1">
        <f t="array" ref="F166">0.1+IFERROR(INDEX($F$5:$F165,SUMPRODUCT(MAX(ROW($C$5:$C165)*($C166=$C$5:$C165))-ROW($A$4)))*0.9^($A166-INDEX($A$5:A165,SUMPRODUCT(MAX(ROW($C$5:$C165)*($C166=$C$5:$C165))-ROW($A$4)))),0)</f>
        <v>10.09999999999998</v>
      </c>
      <c r="G166" s="55" t="e">
        <f>INDEX(UWS!$AB$10:$AB$41,MATCH(C166,UWS!$B$10:$B$41,0))</f>
        <v>#N/A</v>
      </c>
      <c r="H166" s="48" t="e">
        <f>INDEX(UWS!$C$10:$C$41,MATCH(C166,UWS!$B$10:$B$41,0))</f>
        <v>#N/A</v>
      </c>
      <c r="I166" s="82">
        <f t="shared" si="222"/>
        <v>5</v>
      </c>
      <c r="J166" s="27" t="e">
        <f>INDEX(UWS!$E$10:$E$41,MATCH(C166,UWS!$B$10:$B$41,0))</f>
        <v>#N/A</v>
      </c>
      <c r="L166" s="108" t="str" cm="1">
        <f t="array" ref="L166">IF(K166="","",INDEX(UWS!$B$10:$B$41,K166))</f>
        <v/>
      </c>
      <c r="N166" s="108" t="str" cm="1">
        <f t="array" ref="N166">IF(M166="","",INDEX(UWS!$B$10:$B$41,M166))</f>
        <v/>
      </c>
      <c r="P166">
        <f>IFERROR(INDEX(UWS!$G$10:$Z$41,MATCH($C166,UWS!$B$10:$B$41,0),MATCH(P$4,UWS!$G$3:$Z$3,0)),0)</f>
        <v>0</v>
      </c>
      <c r="Q166">
        <f>IFERROR(INDEX(UWS!$G$10:$Z$41,MATCH($C166,UWS!$B$10:$B$41,0),MATCH(Q$4,UWS!$G$3:$Z$3,0)),0)</f>
        <v>0</v>
      </c>
      <c r="R166">
        <f>IFERROR(INDEX(UWS!$G$10:$Z$41,MATCH($C166,UWS!$B$10:$B$41,0),MATCH(R$4,UWS!$G$3:$Z$3,0)),0)</f>
        <v>0</v>
      </c>
      <c r="S166">
        <f>IFERROR(INDEX(UWS!$G$10:$Z$41,MATCH($C166,UWS!$B$10:$B$41,0),MATCH(S$4,UWS!$G$3:$Z$3,0)),0)</f>
        <v>0</v>
      </c>
      <c r="T166">
        <f>IFERROR(INDEX(UWS!$G$10:$Z$41,MATCH($C166,UWS!$B$10:$B$41,0),MATCH(T$4,UWS!$G$3:$Z$3,0)),0)</f>
        <v>0</v>
      </c>
      <c r="U166">
        <f>IFERROR(INDEX(UWS!$G$10:$Z$41,MATCH($C166,UWS!$B$10:$B$41,0),MATCH(U$4,UWS!$G$3:$Z$3,0)),0)</f>
        <v>0</v>
      </c>
      <c r="V166">
        <f>IFERROR(INDEX(UWS!$G$10:$Z$41,MATCH($C166,UWS!$B$10:$B$41,0),MATCH(V$4,UWS!$G$3:$Z$3,0)),0)</f>
        <v>0</v>
      </c>
      <c r="W166">
        <f>IFERROR(INDEX(UWS!$G$10:$Z$41,MATCH($C166,UWS!$B$10:$B$41,0),MATCH(W$4,UWS!$G$3:$Z$3,0)),0)</f>
        <v>0</v>
      </c>
      <c r="X166">
        <f>IFERROR(INDEX(UWS!$G$10:$Z$41,MATCH($C166,UWS!$B$10:$B$41,0),MATCH(X$4,UWS!$G$3:$Z$3,0)),0)</f>
        <v>0</v>
      </c>
      <c r="Y166">
        <f>IFERROR(INDEX(UWS!$G$10:$Z$41,MATCH($C166,UWS!$B$10:$B$41,0),MATCH(Y$4,UWS!$G$3:$Z$3,0)),0)</f>
        <v>0</v>
      </c>
      <c r="Z166">
        <f>IFERROR(INDEX(UWS!$G$10:$Z$41,MATCH($C166,UWS!$B$10:$B$41,0),MATCH(Z$4,UWS!$G$3:$Z$3,0)),0)</f>
        <v>0</v>
      </c>
      <c r="AA166">
        <f>IFERROR(INDEX(UWS!$G$10:$Z$41,MATCH($C166,UWS!$B$10:$B$41,0),MATCH(AA$4,UWS!$G$3:$Z$3,0)),0)</f>
        <v>0</v>
      </c>
      <c r="AB166">
        <f>IFERROR(INDEX(UWS!$G$10:$Z$41,MATCH($C166,UWS!$B$10:$B$41,0),MATCH(AB$4,UWS!$G$3:$Z$3,0)),0)</f>
        <v>0</v>
      </c>
      <c r="AC166">
        <f>IFERROR(INDEX(UWS!$G$10:$Z$41,MATCH($C166,UWS!$B$10:$B$41,0),MATCH(AC$4,UWS!$G$3:$Z$3,0)),0)</f>
        <v>0</v>
      </c>
      <c r="AD166">
        <f>IFERROR(INDEX(UWS!$G$10:$Z$41,MATCH($C166,UWS!$B$10:$B$41,0),MATCH(AD$4,UWS!$G$3:$Z$3,0)),0)</f>
        <v>0</v>
      </c>
      <c r="AE166">
        <f>IFERROR(INDEX(UWS!$G$10:$Z$41,MATCH($C166,UWS!$B$10:$B$41,0),MATCH(AE$4,UWS!$G$3:$Z$3,0)),0)</f>
        <v>0</v>
      </c>
      <c r="AF166">
        <f>IFERROR(INDEX(UWS!$G$10:$Z$41,MATCH($C166,UWS!$B$10:$B$41,0),MATCH(AF$4,UWS!$G$3:$Z$3,0)),0)</f>
        <v>0</v>
      </c>
      <c r="AG166">
        <f>IFERROR(INDEX(UWS!$G$10:$Z$41,MATCH($C166,UWS!$B$10:$B$41,0),MATCH(AG$4,UWS!$G$3:$Z$3,0)),0)</f>
        <v>0</v>
      </c>
      <c r="AH166">
        <f>IFERROR(INDEX(UWS!$G$10:$Z$41,MATCH($C166,UWS!$B$10:$B$41,0),MATCH(AH$4,UWS!$G$3:$Z$3,0)),0)</f>
        <v>0</v>
      </c>
      <c r="AI166">
        <f>IFERROR(INDEX(UWS!$G$10:$Z$41,MATCH($C166,UWS!$B$10:$B$41,0),MATCH(AI$4,UWS!$G$3:$Z$3,0)),0)</f>
        <v>0</v>
      </c>
      <c r="AK166" t="e">
        <f>IF(OR($J166=0,COUNTIFS($A$4:$A165,"&gt;="&amp;$A166-1,$A$4:$A165,"&lt;="&amp;$A166,$B$4:$B165,$B166)&gt;0,MIN(AK$1,IF($A166=$A165,AK165,1))-P166&lt;0),-1,MIN(1,IF($A166=$A165,AK165,1)-P166+$D$3))</f>
        <v>#N/A</v>
      </c>
      <c r="AL166" t="e">
        <f>IF(OR($J166=0,COUNTIFS($A$4:$A165,"&gt;="&amp;$A166-1,$A$4:$A165,"&lt;="&amp;$A166,$B$4:$B165,$B166)&gt;0,MIN(AL$1,IF($A166=$A165,AL165,1))-Q166&lt;0),-1,MIN(1,IF($A166=$A165,AL165,1)-Q166+$D$3))</f>
        <v>#N/A</v>
      </c>
      <c r="AM166" t="e">
        <f>IF(OR($J166=0,COUNTIFS($A$4:$A165,"&gt;="&amp;$A166-1,$A$4:$A165,"&lt;="&amp;$A166,$B$4:$B165,$B166)&gt;0,MIN(AM$1,IF($A166=$A165,AM165,1))-R166&lt;0),-1,MIN(1,IF($A166=$A165,AM165,1)-R166+$D$3))</f>
        <v>#N/A</v>
      </c>
      <c r="AN166" t="e">
        <f>IF(OR($J166=0,COUNTIFS($A$4:$A165,"&gt;="&amp;$A166-1,$A$4:$A165,"&lt;="&amp;$A166,$B$4:$B165,$B166)&gt;0,MIN(AN$1,IF($A166=$A165,AN165,1))-S166&lt;0),-1,MIN(1,IF($A166=$A165,AN165,1)-S166+$D$3))</f>
        <v>#N/A</v>
      </c>
      <c r="AO166" t="e">
        <f>IF(OR($J166=0,COUNTIFS($A$4:$A165,"&gt;="&amp;$A166-1,$A$4:$A165,"&lt;="&amp;$A166,$B$4:$B165,$B166)&gt;0,MIN(AO$1,IF($A166=$A165,AO165,1))-T166&lt;0),-1,MIN(1,IF($A166=$A165,AO165,1)-T166+$D$3))</f>
        <v>#N/A</v>
      </c>
      <c r="AP166" t="e">
        <f>IF(OR($J166=0,COUNTIFS($A$4:$A165,"&gt;="&amp;$A166-1,$A$4:$A165,"&lt;="&amp;$A166,$B$4:$B165,$B166)&gt;0,MIN(AP$1,IF($A166=$A165,AP165,1))-U166&lt;0),-1,MIN(1,IF($A166=$A165,AP165,1)-U166+$D$3))</f>
        <v>#N/A</v>
      </c>
      <c r="AQ166" t="e">
        <f>IF(OR($J166=0,COUNTIFS($A$4:$A165,"&gt;="&amp;$A166-1,$A$4:$A165,"&lt;="&amp;$A166,$B$4:$B165,$B166)&gt;0,MIN(AQ$1,IF($A166=$A165,AQ165,1))-V166&lt;0),-1,MIN(1,IF($A166=$A165,AQ165,1)-V166+$D$3))</f>
        <v>#N/A</v>
      </c>
      <c r="AR166" t="e">
        <f>IF(OR($J166=0,COUNTIFS($A$4:$A165,"&gt;="&amp;$A166-1,$A$4:$A165,"&lt;="&amp;$A166,$B$4:$B165,$B166)&gt;0,MIN(AR$1,IF($A166=$A165,AR165,1))-W166&lt;0),-1,MIN(1,IF($A166=$A165,AR165,1)-W166+$D$3))</f>
        <v>#N/A</v>
      </c>
      <c r="AS166" t="e">
        <f>IF(OR($J166=0,COUNTIFS($A$4:$A165,"&gt;="&amp;$A166-1,$A$4:$A165,"&lt;="&amp;$A166,$B$4:$B165,$B166)&gt;0,MIN(AS$1,IF($A166=$A165,AS165,1))-X166&lt;0),-1,MIN(1,IF($A166=$A165,AS165,1)-X166+$D$3))</f>
        <v>#N/A</v>
      </c>
      <c r="AT166" t="e">
        <f>IF(OR($J166=0,COUNTIFS($A$4:$A165,"&gt;="&amp;$A166-1,$A$4:$A165,"&lt;="&amp;$A166,$B$4:$B165,$B166)&gt;0,MIN(AT$1,IF($A166=$A165,AT165,1))-Y166&lt;0),-1,MIN(1,IF($A166=$A165,AT165,1)-Y166+$D$3))</f>
        <v>#N/A</v>
      </c>
      <c r="AU166" t="e">
        <f>IF(OR($J166=0,COUNTIFS($A$4:$A165,"&gt;="&amp;$A166-1,$A$4:$A165,"&lt;="&amp;$A166,$B$4:$B165,$B166)&gt;0,MIN(AU$1,IF($A166=$A165,AU165,1))-Z166&lt;0),-1,MIN(1,IF($A166=$A165,AU165,1)-Z166+$D$3))</f>
        <v>#N/A</v>
      </c>
      <c r="AV166" t="e">
        <f>IF(OR($J166=0,COUNTIFS($A$4:$A165,"&gt;="&amp;$A166-1,$A$4:$A165,"&lt;="&amp;$A166,$B$4:$B165,$B166)&gt;0,MIN(AV$1,IF($A166=$A165,AV165,1))-AA166&lt;0),-1,MIN(1,IF($A166=$A165,AV165,1)-AA166+$D$3))</f>
        <v>#N/A</v>
      </c>
      <c r="AW166" t="e">
        <f>IF(OR($J166=0,COUNTIFS($A$4:$A165,"&gt;="&amp;$A166-1,$A$4:$A165,"&lt;="&amp;$A166,$B$4:$B165,$B166)&gt;0,MIN(AW$1,IF($A166=$A165,AW165,1))-AB166&lt;0),-1,MIN(1,IF($A166=$A165,AW165,1)-AB166+$D$3))</f>
        <v>#N/A</v>
      </c>
      <c r="AX166" t="e">
        <f>IF(OR($J166=0,COUNTIFS($A$4:$A165,"&gt;="&amp;$A166-1,$A$4:$A165,"&lt;="&amp;$A166,$B$4:$B165,$B166)&gt;0,MIN(AX$1,IF($A166=$A165,AX165,1))-AC166&lt;0),-1,MIN(1,IF($A166=$A165,AX165,1)-AC166+$D$3))</f>
        <v>#N/A</v>
      </c>
      <c r="AY166" t="e">
        <f>IF(OR($J166=0,COUNTIFS($A$4:$A165,"&gt;="&amp;$A166-1,$A$4:$A165,"&lt;="&amp;$A166,$B$4:$B165,$B166)&gt;0,MIN(AY$1,IF($A166=$A165,AY165,1))-AD166&lt;0),-1,MIN(1,IF($A166=$A165,AY165,1)-AD166+$D$3))</f>
        <v>#N/A</v>
      </c>
      <c r="AZ166" t="e">
        <f>IF(OR($J166=0,COUNTIFS($A$4:$A165,"&gt;="&amp;$A166-1,$A$4:$A165,"&lt;="&amp;$A166,$B$4:$B165,$B166)&gt;0,MIN(AZ$1,IF($A166=$A165,AZ165,1))-AE166&lt;0),-1,MIN(1,IF($A166=$A165,AZ165,1)-AE166+$D$3))</f>
        <v>#N/A</v>
      </c>
      <c r="BA166" t="e">
        <f>IF(OR($J166=0,COUNTIFS($A$4:$A165,"&gt;="&amp;$A166-1,$A$4:$A165,"&lt;="&amp;$A166,$B$4:$B165,$B166)&gt;0,MIN(BA$1,IF($A166=$A165,BA165,1))-AF166&lt;0),-1,MIN(1,IF($A166=$A165,BA165,1)-AF166+$D$3))</f>
        <v>#N/A</v>
      </c>
      <c r="BB166" t="e">
        <f>IF(OR($J166=0,COUNTIFS($A$4:$A165,"&gt;="&amp;$A166-1,$A$4:$A165,"&lt;="&amp;$A166,$B$4:$B165,$B166)&gt;0,MIN(BB$1,IF($A166=$A165,BB165,1))-AG166&lt;0),-1,MIN(1,IF($A166=$A165,BB165,1)-AG166+$D$3))</f>
        <v>#N/A</v>
      </c>
      <c r="BC166" t="e">
        <f>IF(OR($J166=0,COUNTIFS($A$4:$A165,"&gt;="&amp;$A166-1,$A$4:$A165,"&lt;="&amp;$A166,$B$4:$B165,$B166)&gt;0,MIN(BC$1,IF($A166=$A165,BC165,1))-AH166&lt;0),-1,MIN(1,IF($A166=$A165,BC165,1)-AH166+$D$3))</f>
        <v>#N/A</v>
      </c>
      <c r="BD166" t="e">
        <f>IF(OR($J166=0,COUNTIFS($A$4:$A165,"&gt;="&amp;$A166-1,$A$4:$A165,"&lt;="&amp;$A166,$B$4:$B165,$B166)&gt;0,MIN(BD$1,IF($A166=$A165,BD165,1))-AI166&lt;0),-1,MIN(1,IF($A166=$A165,BD165,1)-AI166+$D$3))</f>
        <v>#N/A</v>
      </c>
      <c r="BF166" s="44">
        <f t="shared" si="223"/>
        <v>5.218310903985639E-4</v>
      </c>
      <c r="BG166" s="44">
        <f t="shared" si="224"/>
        <v>1.2833299022453931E-3</v>
      </c>
      <c r="BH166" s="44">
        <f t="shared" si="225"/>
        <v>1.3152781567164575E-3</v>
      </c>
      <c r="BI166" s="44">
        <f t="shared" si="226"/>
        <v>1.2149518452408501E-3</v>
      </c>
      <c r="BJ166" s="44">
        <f t="shared" si="227"/>
        <v>1.2557680746759533E-3</v>
      </c>
      <c r="BK166" s="44">
        <f t="shared" si="228"/>
        <v>5.3927363250265675E-4</v>
      </c>
      <c r="BL166" s="44">
        <f t="shared" si="229"/>
        <v>2.9132410034335307E-4</v>
      </c>
      <c r="BM166" s="44">
        <f t="shared" si="230"/>
        <v>7.4109449189125644E-4</v>
      </c>
      <c r="BN166" s="44">
        <f t="shared" si="231"/>
        <v>7.7079602904858214E-4</v>
      </c>
      <c r="BO166" s="44">
        <f t="shared" si="232"/>
        <v>3.6122426756444385E-4</v>
      </c>
      <c r="BP166" s="44">
        <f t="shared" si="233"/>
        <v>1.2146085515370867E-3</v>
      </c>
      <c r="BQ166" s="44">
        <f t="shared" si="234"/>
        <v>3.2777256896312606E-4</v>
      </c>
      <c r="BR166" s="44">
        <f t="shared" si="235"/>
        <v>9.6832221877177303E-4</v>
      </c>
      <c r="BS166" s="44">
        <f t="shared" si="236"/>
        <v>5.2222902232969455E-4</v>
      </c>
      <c r="BT166" s="44">
        <f t="shared" si="237"/>
        <v>2.0666203444771824E-3</v>
      </c>
      <c r="BU166" s="44">
        <f t="shared" si="238"/>
        <v>1.9742442988051946E-3</v>
      </c>
      <c r="BV166" s="44">
        <f t="shared" si="239"/>
        <v>1.895998908133174E-3</v>
      </c>
      <c r="BW166" s="44">
        <f t="shared" si="240"/>
        <v>1.2400876235300604E-3</v>
      </c>
      <c r="BX166" s="44">
        <f t="shared" si="241"/>
        <v>9.1615421719997369E-4</v>
      </c>
      <c r="BY166" s="44">
        <f t="shared" si="242"/>
        <v>7.8662369543690464E-4</v>
      </c>
      <c r="CA166" s="44" t="str">
        <f t="shared" si="243"/>
        <v/>
      </c>
      <c r="CB166" s="44" t="str">
        <f t="shared" si="244"/>
        <v/>
      </c>
      <c r="CC166" s="44" t="str">
        <f t="shared" si="245"/>
        <v/>
      </c>
      <c r="CD166" s="44" t="str">
        <f t="shared" si="246"/>
        <v/>
      </c>
      <c r="CE166" s="44" t="str">
        <f t="shared" si="247"/>
        <v/>
      </c>
      <c r="CF166" s="44" t="str">
        <f t="shared" si="248"/>
        <v/>
      </c>
      <c r="CG166" s="44" t="str">
        <f t="shared" si="249"/>
        <v/>
      </c>
      <c r="CH166" s="44" t="str">
        <f t="shared" si="250"/>
        <v/>
      </c>
      <c r="CI166" s="44" t="str">
        <f t="shared" si="251"/>
        <v/>
      </c>
      <c r="CJ166" s="44" t="str">
        <f t="shared" si="252"/>
        <v/>
      </c>
      <c r="CK166" s="44" t="str">
        <f t="shared" si="253"/>
        <v/>
      </c>
      <c r="CL166" s="44" t="str">
        <f t="shared" si="254"/>
        <v/>
      </c>
      <c r="CM166" s="44" t="str">
        <f t="shared" si="255"/>
        <v/>
      </c>
      <c r="CN166" s="44" t="str">
        <f t="shared" si="256"/>
        <v/>
      </c>
      <c r="CO166" s="44" t="str">
        <f t="shared" si="257"/>
        <v/>
      </c>
      <c r="CP166" s="44" t="str">
        <f t="shared" si="258"/>
        <v/>
      </c>
      <c r="CQ166" s="44" t="str">
        <f t="shared" si="259"/>
        <v/>
      </c>
      <c r="CR166" s="44" t="str">
        <f t="shared" si="260"/>
        <v/>
      </c>
      <c r="CS166" s="44" t="str">
        <f t="shared" si="261"/>
        <v/>
      </c>
      <c r="CT166" s="44" t="str">
        <f t="shared" si="262"/>
        <v/>
      </c>
      <c r="CV166" s="44">
        <f t="shared" si="263"/>
        <v>0</v>
      </c>
    </row>
    <row r="167" spans="1:100" x14ac:dyDescent="0.25">
      <c r="A167" s="41"/>
      <c r="B167" s="42"/>
      <c r="C167" s="43" t="str" cm="1">
        <f t="array" ref="C167">IF(B167="","",INDEX(UWS!$B$10:$B$41,B167))</f>
        <v/>
      </c>
      <c r="D167" s="40" t="str">
        <f t="shared" si="220"/>
        <v/>
      </c>
      <c r="E167" s="69" t="str">
        <f t="shared" si="221"/>
        <v/>
      </c>
      <c r="F167" s="48" cm="1">
        <f t="array" ref="F167">0.1+IFERROR(INDEX($F$5:$F166,SUMPRODUCT(MAX(ROW($C$5:$C166)*($C167=$C$5:$C166))-ROW($A$4)))*0.9^($A167-INDEX($A$5:A166,SUMPRODUCT(MAX(ROW($C$5:$C166)*($C167=$C$5:$C166))-ROW($A$4)))),0)</f>
        <v>10.19999999999998</v>
      </c>
      <c r="G167" s="55" t="e">
        <f>INDEX(UWS!$AB$10:$AB$41,MATCH(C167,UWS!$B$10:$B$41,0))</f>
        <v>#N/A</v>
      </c>
      <c r="H167" s="48" t="e">
        <f>INDEX(UWS!$C$10:$C$41,MATCH(C167,UWS!$B$10:$B$41,0))</f>
        <v>#N/A</v>
      </c>
      <c r="I167" s="27">
        <f t="shared" si="222"/>
        <v>5</v>
      </c>
      <c r="J167" s="27" t="e">
        <f>INDEX(UWS!$E$10:$E$41,MATCH(C167,UWS!$B$10:$B$41,0))</f>
        <v>#N/A</v>
      </c>
      <c r="L167" s="108" t="str" cm="1">
        <f t="array" ref="L167">IF(K167="","",INDEX(UWS!$B$10:$B$41,K167))</f>
        <v/>
      </c>
      <c r="N167" s="108" t="str" cm="1">
        <f t="array" ref="N167">IF(M167="","",INDEX(UWS!$B$10:$B$41,M167))</f>
        <v/>
      </c>
      <c r="P167">
        <f>IFERROR(INDEX(UWS!$G$10:$Z$41,MATCH($C167,UWS!$B$10:$B$41,0),MATCH(P$4,UWS!$G$3:$Z$3,0)),0)</f>
        <v>0</v>
      </c>
      <c r="Q167">
        <f>IFERROR(INDEX(UWS!$G$10:$Z$41,MATCH($C167,UWS!$B$10:$B$41,0),MATCH(Q$4,UWS!$G$3:$Z$3,0)),0)</f>
        <v>0</v>
      </c>
      <c r="R167">
        <f>IFERROR(INDEX(UWS!$G$10:$Z$41,MATCH($C167,UWS!$B$10:$B$41,0),MATCH(R$4,UWS!$G$3:$Z$3,0)),0)</f>
        <v>0</v>
      </c>
      <c r="S167">
        <f>IFERROR(INDEX(UWS!$G$10:$Z$41,MATCH($C167,UWS!$B$10:$B$41,0),MATCH(S$4,UWS!$G$3:$Z$3,0)),0)</f>
        <v>0</v>
      </c>
      <c r="T167">
        <f>IFERROR(INDEX(UWS!$G$10:$Z$41,MATCH($C167,UWS!$B$10:$B$41,0),MATCH(T$4,UWS!$G$3:$Z$3,0)),0)</f>
        <v>0</v>
      </c>
      <c r="U167">
        <f>IFERROR(INDEX(UWS!$G$10:$Z$41,MATCH($C167,UWS!$B$10:$B$41,0),MATCH(U$4,UWS!$G$3:$Z$3,0)),0)</f>
        <v>0</v>
      </c>
      <c r="V167">
        <f>IFERROR(INDEX(UWS!$G$10:$Z$41,MATCH($C167,UWS!$B$10:$B$41,0),MATCH(V$4,UWS!$G$3:$Z$3,0)),0)</f>
        <v>0</v>
      </c>
      <c r="W167">
        <f>IFERROR(INDEX(UWS!$G$10:$Z$41,MATCH($C167,UWS!$B$10:$B$41,0),MATCH(W$4,UWS!$G$3:$Z$3,0)),0)</f>
        <v>0</v>
      </c>
      <c r="X167">
        <f>IFERROR(INDEX(UWS!$G$10:$Z$41,MATCH($C167,UWS!$B$10:$B$41,0),MATCH(X$4,UWS!$G$3:$Z$3,0)),0)</f>
        <v>0</v>
      </c>
      <c r="Y167">
        <f>IFERROR(INDEX(UWS!$G$10:$Z$41,MATCH($C167,UWS!$B$10:$B$41,0),MATCH(Y$4,UWS!$G$3:$Z$3,0)),0)</f>
        <v>0</v>
      </c>
      <c r="Z167">
        <f>IFERROR(INDEX(UWS!$G$10:$Z$41,MATCH($C167,UWS!$B$10:$B$41,0),MATCH(Z$4,UWS!$G$3:$Z$3,0)),0)</f>
        <v>0</v>
      </c>
      <c r="AA167">
        <f>IFERROR(INDEX(UWS!$G$10:$Z$41,MATCH($C167,UWS!$B$10:$B$41,0),MATCH(AA$4,UWS!$G$3:$Z$3,0)),0)</f>
        <v>0</v>
      </c>
      <c r="AB167">
        <f>IFERROR(INDEX(UWS!$G$10:$Z$41,MATCH($C167,UWS!$B$10:$B$41,0),MATCH(AB$4,UWS!$G$3:$Z$3,0)),0)</f>
        <v>0</v>
      </c>
      <c r="AC167">
        <f>IFERROR(INDEX(UWS!$G$10:$Z$41,MATCH($C167,UWS!$B$10:$B$41,0),MATCH(AC$4,UWS!$G$3:$Z$3,0)),0)</f>
        <v>0</v>
      </c>
      <c r="AD167">
        <f>IFERROR(INDEX(UWS!$G$10:$Z$41,MATCH($C167,UWS!$B$10:$B$41,0),MATCH(AD$4,UWS!$G$3:$Z$3,0)),0)</f>
        <v>0</v>
      </c>
      <c r="AE167">
        <f>IFERROR(INDEX(UWS!$G$10:$Z$41,MATCH($C167,UWS!$B$10:$B$41,0),MATCH(AE$4,UWS!$G$3:$Z$3,0)),0)</f>
        <v>0</v>
      </c>
      <c r="AF167">
        <f>IFERROR(INDEX(UWS!$G$10:$Z$41,MATCH($C167,UWS!$B$10:$B$41,0),MATCH(AF$4,UWS!$G$3:$Z$3,0)),0)</f>
        <v>0</v>
      </c>
      <c r="AG167">
        <f>IFERROR(INDEX(UWS!$G$10:$Z$41,MATCH($C167,UWS!$B$10:$B$41,0),MATCH(AG$4,UWS!$G$3:$Z$3,0)),0)</f>
        <v>0</v>
      </c>
      <c r="AH167">
        <f>IFERROR(INDEX(UWS!$G$10:$Z$41,MATCH($C167,UWS!$B$10:$B$41,0),MATCH(AH$4,UWS!$G$3:$Z$3,0)),0)</f>
        <v>0</v>
      </c>
      <c r="AI167">
        <f>IFERROR(INDEX(UWS!$G$10:$Z$41,MATCH($C167,UWS!$B$10:$B$41,0),MATCH(AI$4,UWS!$G$3:$Z$3,0)),0)</f>
        <v>0</v>
      </c>
      <c r="AK167" t="e">
        <f>IF(OR($J167=0,COUNTIFS($A$4:$A166,"&gt;="&amp;$A167-1,$A$4:$A166,"&lt;="&amp;$A167,$B$4:$B166,$B167)&gt;0,MIN(AK$1,IF($A167=$A166,AK166,1))-P167&lt;0),-1,MIN(1,IF($A167=$A166,AK166,1)-P167+$D$3))</f>
        <v>#N/A</v>
      </c>
      <c r="AL167" t="e">
        <f>IF(OR($J167=0,COUNTIFS($A$4:$A166,"&gt;="&amp;$A167-1,$A$4:$A166,"&lt;="&amp;$A167,$B$4:$B166,$B167)&gt;0,MIN(AL$1,IF($A167=$A166,AL166,1))-Q167&lt;0),-1,MIN(1,IF($A167=$A166,AL166,1)-Q167+$D$3))</f>
        <v>#N/A</v>
      </c>
      <c r="AM167" t="e">
        <f>IF(OR($J167=0,COUNTIFS($A$4:$A166,"&gt;="&amp;$A167-1,$A$4:$A166,"&lt;="&amp;$A167,$B$4:$B166,$B167)&gt;0,MIN(AM$1,IF($A167=$A166,AM166,1))-R167&lt;0),-1,MIN(1,IF($A167=$A166,AM166,1)-R167+$D$3))</f>
        <v>#N/A</v>
      </c>
      <c r="AN167" t="e">
        <f>IF(OR($J167=0,COUNTIFS($A$4:$A166,"&gt;="&amp;$A167-1,$A$4:$A166,"&lt;="&amp;$A167,$B$4:$B166,$B167)&gt;0,MIN(AN$1,IF($A167=$A166,AN166,1))-S167&lt;0),-1,MIN(1,IF($A167=$A166,AN166,1)-S167+$D$3))</f>
        <v>#N/A</v>
      </c>
      <c r="AO167" t="e">
        <f>IF(OR($J167=0,COUNTIFS($A$4:$A166,"&gt;="&amp;$A167-1,$A$4:$A166,"&lt;="&amp;$A167,$B$4:$B166,$B167)&gt;0,MIN(AO$1,IF($A167=$A166,AO166,1))-T167&lt;0),-1,MIN(1,IF($A167=$A166,AO166,1)-T167+$D$3))</f>
        <v>#N/A</v>
      </c>
      <c r="AP167" t="e">
        <f>IF(OR($J167=0,COUNTIFS($A$4:$A166,"&gt;="&amp;$A167-1,$A$4:$A166,"&lt;="&amp;$A167,$B$4:$B166,$B167)&gt;0,MIN(AP$1,IF($A167=$A166,AP166,1))-U167&lt;0),-1,MIN(1,IF($A167=$A166,AP166,1)-U167+$D$3))</f>
        <v>#N/A</v>
      </c>
      <c r="AQ167" t="e">
        <f>IF(OR($J167=0,COUNTIFS($A$4:$A166,"&gt;="&amp;$A167-1,$A$4:$A166,"&lt;="&amp;$A167,$B$4:$B166,$B167)&gt;0,MIN(AQ$1,IF($A167=$A166,AQ166,1))-V167&lt;0),-1,MIN(1,IF($A167=$A166,AQ166,1)-V167+$D$3))</f>
        <v>#N/A</v>
      </c>
      <c r="AR167" t="e">
        <f>IF(OR($J167=0,COUNTIFS($A$4:$A166,"&gt;="&amp;$A167-1,$A$4:$A166,"&lt;="&amp;$A167,$B$4:$B166,$B167)&gt;0,MIN(AR$1,IF($A167=$A166,AR166,1))-W167&lt;0),-1,MIN(1,IF($A167=$A166,AR166,1)-W167+$D$3))</f>
        <v>#N/A</v>
      </c>
      <c r="AS167" t="e">
        <f>IF(OR($J167=0,COUNTIFS($A$4:$A166,"&gt;="&amp;$A167-1,$A$4:$A166,"&lt;="&amp;$A167,$B$4:$B166,$B167)&gt;0,MIN(AS$1,IF($A167=$A166,AS166,1))-X167&lt;0),-1,MIN(1,IF($A167=$A166,AS166,1)-X167+$D$3))</f>
        <v>#N/A</v>
      </c>
      <c r="AT167" t="e">
        <f>IF(OR($J167=0,COUNTIFS($A$4:$A166,"&gt;="&amp;$A167-1,$A$4:$A166,"&lt;="&amp;$A167,$B$4:$B166,$B167)&gt;0,MIN(AT$1,IF($A167=$A166,AT166,1))-Y167&lt;0),-1,MIN(1,IF($A167=$A166,AT166,1)-Y167+$D$3))</f>
        <v>#N/A</v>
      </c>
      <c r="AU167" t="e">
        <f>IF(OR($J167=0,COUNTIFS($A$4:$A166,"&gt;="&amp;$A167-1,$A$4:$A166,"&lt;="&amp;$A167,$B$4:$B166,$B167)&gt;0,MIN(AU$1,IF($A167=$A166,AU166,1))-Z167&lt;0),-1,MIN(1,IF($A167=$A166,AU166,1)-Z167+$D$3))</f>
        <v>#N/A</v>
      </c>
      <c r="AV167" t="e">
        <f>IF(OR($J167=0,COUNTIFS($A$4:$A166,"&gt;="&amp;$A167-1,$A$4:$A166,"&lt;="&amp;$A167,$B$4:$B166,$B167)&gt;0,MIN(AV$1,IF($A167=$A166,AV166,1))-AA167&lt;0),-1,MIN(1,IF($A167=$A166,AV166,1)-AA167+$D$3))</f>
        <v>#N/A</v>
      </c>
      <c r="AW167" t="e">
        <f>IF(OR($J167=0,COUNTIFS($A$4:$A166,"&gt;="&amp;$A167-1,$A$4:$A166,"&lt;="&amp;$A167,$B$4:$B166,$B167)&gt;0,MIN(AW$1,IF($A167=$A166,AW166,1))-AB167&lt;0),-1,MIN(1,IF($A167=$A166,AW166,1)-AB167+$D$3))</f>
        <v>#N/A</v>
      </c>
      <c r="AX167" t="e">
        <f>IF(OR($J167=0,COUNTIFS($A$4:$A166,"&gt;="&amp;$A167-1,$A$4:$A166,"&lt;="&amp;$A167,$B$4:$B166,$B167)&gt;0,MIN(AX$1,IF($A167=$A166,AX166,1))-AC167&lt;0),-1,MIN(1,IF($A167=$A166,AX166,1)-AC167+$D$3))</f>
        <v>#N/A</v>
      </c>
      <c r="AY167" t="e">
        <f>IF(OR($J167=0,COUNTIFS($A$4:$A166,"&gt;="&amp;$A167-1,$A$4:$A166,"&lt;="&amp;$A167,$B$4:$B166,$B167)&gt;0,MIN(AY$1,IF($A167=$A166,AY166,1))-AD167&lt;0),-1,MIN(1,IF($A167=$A166,AY166,1)-AD167+$D$3))</f>
        <v>#N/A</v>
      </c>
      <c r="AZ167" t="e">
        <f>IF(OR($J167=0,COUNTIFS($A$4:$A166,"&gt;="&amp;$A167-1,$A$4:$A166,"&lt;="&amp;$A167,$B$4:$B166,$B167)&gt;0,MIN(AZ$1,IF($A167=$A166,AZ166,1))-AE167&lt;0),-1,MIN(1,IF($A167=$A166,AZ166,1)-AE167+$D$3))</f>
        <v>#N/A</v>
      </c>
      <c r="BA167" t="e">
        <f>IF(OR($J167=0,COUNTIFS($A$4:$A166,"&gt;="&amp;$A167-1,$A$4:$A166,"&lt;="&amp;$A167,$B$4:$B166,$B167)&gt;0,MIN(BA$1,IF($A167=$A166,BA166,1))-AF167&lt;0),-1,MIN(1,IF($A167=$A166,BA166,1)-AF167+$D$3))</f>
        <v>#N/A</v>
      </c>
      <c r="BB167" t="e">
        <f>IF(OR($J167=0,COUNTIFS($A$4:$A166,"&gt;="&amp;$A167-1,$A$4:$A166,"&lt;="&amp;$A167,$B$4:$B166,$B167)&gt;0,MIN(BB$1,IF($A167=$A166,BB166,1))-AG167&lt;0),-1,MIN(1,IF($A167=$A166,BB166,1)-AG167+$D$3))</f>
        <v>#N/A</v>
      </c>
      <c r="BC167" t="e">
        <f>IF(OR($J167=0,COUNTIFS($A$4:$A166,"&gt;="&amp;$A167-1,$A$4:$A166,"&lt;="&amp;$A167,$B$4:$B166,$B167)&gt;0,MIN(BC$1,IF($A167=$A166,BC166,1))-AH167&lt;0),-1,MIN(1,IF($A167=$A166,BC166,1)-AH167+$D$3))</f>
        <v>#N/A</v>
      </c>
      <c r="BD167" t="e">
        <f>IF(OR($J167=0,COUNTIFS($A$4:$A166,"&gt;="&amp;$A167-1,$A$4:$A166,"&lt;="&amp;$A167,$B$4:$B166,$B167)&gt;0,MIN(BD$1,IF($A167=$A166,BD166,1))-AI167&lt;0),-1,MIN(1,IF($A167=$A166,BD166,1)-AI167+$D$3))</f>
        <v>#N/A</v>
      </c>
      <c r="BF167" s="44">
        <f t="shared" si="223"/>
        <v>4.9573953587863566E-4</v>
      </c>
      <c r="BG167" s="44">
        <f t="shared" si="224"/>
        <v>1.2191634071331233E-3</v>
      </c>
      <c r="BH167" s="44">
        <f t="shared" si="225"/>
        <v>1.2495142488806346E-3</v>
      </c>
      <c r="BI167" s="44">
        <f t="shared" si="226"/>
        <v>1.1542042529788076E-3</v>
      </c>
      <c r="BJ167" s="44">
        <f t="shared" si="227"/>
        <v>1.1929796709421556E-3</v>
      </c>
      <c r="BK167" s="44">
        <f t="shared" si="228"/>
        <v>5.1230995087752393E-4</v>
      </c>
      <c r="BL167" s="44">
        <f t="shared" si="229"/>
        <v>2.767578953261854E-4</v>
      </c>
      <c r="BM167" s="44">
        <f t="shared" si="230"/>
        <v>7.0403976729669358E-4</v>
      </c>
      <c r="BN167" s="44">
        <f t="shared" si="231"/>
        <v>7.32256227596153E-4</v>
      </c>
      <c r="BO167" s="44">
        <f t="shared" si="232"/>
        <v>3.4316305418622165E-4</v>
      </c>
      <c r="BP167" s="44">
        <f t="shared" si="233"/>
        <v>1.1538781239602324E-3</v>
      </c>
      <c r="BQ167" s="44">
        <f t="shared" si="234"/>
        <v>3.1138394051496976E-4</v>
      </c>
      <c r="BR167" s="44">
        <f t="shared" si="235"/>
        <v>9.1990610783318429E-4</v>
      </c>
      <c r="BS167" s="44">
        <f t="shared" si="236"/>
        <v>4.9611757121320978E-4</v>
      </c>
      <c r="BT167" s="44">
        <f t="shared" si="237"/>
        <v>1.963289327253323E-3</v>
      </c>
      <c r="BU167" s="44">
        <f t="shared" si="238"/>
        <v>1.8755320838649348E-3</v>
      </c>
      <c r="BV167" s="44">
        <f t="shared" si="239"/>
        <v>1.8011989627265152E-3</v>
      </c>
      <c r="BW167" s="44">
        <f t="shared" si="240"/>
        <v>1.1780832423535573E-3</v>
      </c>
      <c r="BX167" s="44">
        <f t="shared" si="241"/>
        <v>8.7034650633997497E-4</v>
      </c>
      <c r="BY167" s="44">
        <f t="shared" si="242"/>
        <v>7.4729251066505938E-4</v>
      </c>
      <c r="CA167" s="44" t="str">
        <f t="shared" si="243"/>
        <v/>
      </c>
      <c r="CB167" s="44" t="str">
        <f t="shared" si="244"/>
        <v/>
      </c>
      <c r="CC167" s="44" t="str">
        <f t="shared" si="245"/>
        <v/>
      </c>
      <c r="CD167" s="44" t="str">
        <f t="shared" si="246"/>
        <v/>
      </c>
      <c r="CE167" s="44" t="str">
        <f t="shared" si="247"/>
        <v/>
      </c>
      <c r="CF167" s="44" t="str">
        <f t="shared" si="248"/>
        <v/>
      </c>
      <c r="CG167" s="44" t="str">
        <f t="shared" si="249"/>
        <v/>
      </c>
      <c r="CH167" s="44" t="str">
        <f t="shared" si="250"/>
        <v/>
      </c>
      <c r="CI167" s="44" t="str">
        <f t="shared" si="251"/>
        <v/>
      </c>
      <c r="CJ167" s="44" t="str">
        <f t="shared" si="252"/>
        <v/>
      </c>
      <c r="CK167" s="44" t="str">
        <f t="shared" si="253"/>
        <v/>
      </c>
      <c r="CL167" s="44" t="str">
        <f t="shared" si="254"/>
        <v/>
      </c>
      <c r="CM167" s="44" t="str">
        <f t="shared" si="255"/>
        <v/>
      </c>
      <c r="CN167" s="44" t="str">
        <f t="shared" si="256"/>
        <v/>
      </c>
      <c r="CO167" s="44" t="str">
        <f t="shared" si="257"/>
        <v/>
      </c>
      <c r="CP167" s="44" t="str">
        <f t="shared" si="258"/>
        <v/>
      </c>
      <c r="CQ167" s="44" t="str">
        <f t="shared" si="259"/>
        <v/>
      </c>
      <c r="CR167" s="44" t="str">
        <f t="shared" si="260"/>
        <v/>
      </c>
      <c r="CS167" s="44" t="str">
        <f t="shared" si="261"/>
        <v/>
      </c>
      <c r="CT167" s="44" t="str">
        <f t="shared" si="262"/>
        <v/>
      </c>
      <c r="CV167" s="44">
        <f t="shared" si="263"/>
        <v>0</v>
      </c>
    </row>
    <row r="168" spans="1:100" x14ac:dyDescent="0.25">
      <c r="A168" s="41"/>
      <c r="B168" s="42"/>
      <c r="C168" s="43" t="str" cm="1">
        <f t="array" ref="C168">IF(B168="","",INDEX(UWS!$B$10:$B$41,B168))</f>
        <v/>
      </c>
      <c r="D168" s="40" t="str">
        <f t="shared" si="220"/>
        <v/>
      </c>
      <c r="E168" s="69" t="str">
        <f t="shared" si="221"/>
        <v/>
      </c>
      <c r="F168" s="48" cm="1">
        <f t="array" ref="F168">0.1+IFERROR(INDEX($F$5:$F167,SUMPRODUCT(MAX(ROW($C$5:$C167)*($C168=$C$5:$C167))-ROW($A$4)))*0.9^($A168-INDEX($A$5:A167,SUMPRODUCT(MAX(ROW($C$5:$C167)*($C168=$C$5:$C167))-ROW($A$4)))),0)</f>
        <v>10.299999999999979</v>
      </c>
      <c r="G168" s="55" t="e">
        <f>INDEX(UWS!$AB$10:$AB$41,MATCH(C168,UWS!$B$10:$B$41,0))</f>
        <v>#N/A</v>
      </c>
      <c r="H168" s="48" t="e">
        <f>INDEX(UWS!$C$10:$C$41,MATCH(C168,UWS!$B$10:$B$41,0))</f>
        <v>#N/A</v>
      </c>
      <c r="I168" s="27">
        <f t="shared" si="222"/>
        <v>5</v>
      </c>
      <c r="J168" s="27" t="e">
        <f>INDEX(UWS!$E$10:$E$41,MATCH(C168,UWS!$B$10:$B$41,0))</f>
        <v>#N/A</v>
      </c>
      <c r="L168" s="108" t="str" cm="1">
        <f t="array" ref="L168">IF(K168="","",INDEX(UWS!$B$10:$B$41,K168))</f>
        <v/>
      </c>
      <c r="N168" s="108" t="str" cm="1">
        <f t="array" ref="N168">IF(M168="","",INDEX(UWS!$B$10:$B$41,M168))</f>
        <v/>
      </c>
      <c r="P168">
        <f>IFERROR(INDEX(UWS!$G$10:$Z$41,MATCH($C168,UWS!$B$10:$B$41,0),MATCH(P$4,UWS!$G$3:$Z$3,0)),0)</f>
        <v>0</v>
      </c>
      <c r="Q168">
        <f>IFERROR(INDEX(UWS!$G$10:$Z$41,MATCH($C168,UWS!$B$10:$B$41,0),MATCH(Q$4,UWS!$G$3:$Z$3,0)),0)</f>
        <v>0</v>
      </c>
      <c r="R168">
        <f>IFERROR(INDEX(UWS!$G$10:$Z$41,MATCH($C168,UWS!$B$10:$B$41,0),MATCH(R$4,UWS!$G$3:$Z$3,0)),0)</f>
        <v>0</v>
      </c>
      <c r="S168">
        <f>IFERROR(INDEX(UWS!$G$10:$Z$41,MATCH($C168,UWS!$B$10:$B$41,0),MATCH(S$4,UWS!$G$3:$Z$3,0)),0)</f>
        <v>0</v>
      </c>
      <c r="T168">
        <f>IFERROR(INDEX(UWS!$G$10:$Z$41,MATCH($C168,UWS!$B$10:$B$41,0),MATCH(T$4,UWS!$G$3:$Z$3,0)),0)</f>
        <v>0</v>
      </c>
      <c r="U168">
        <f>IFERROR(INDEX(UWS!$G$10:$Z$41,MATCH($C168,UWS!$B$10:$B$41,0),MATCH(U$4,UWS!$G$3:$Z$3,0)),0)</f>
        <v>0</v>
      </c>
      <c r="V168">
        <f>IFERROR(INDEX(UWS!$G$10:$Z$41,MATCH($C168,UWS!$B$10:$B$41,0),MATCH(V$4,UWS!$G$3:$Z$3,0)),0)</f>
        <v>0</v>
      </c>
      <c r="W168">
        <f>IFERROR(INDEX(UWS!$G$10:$Z$41,MATCH($C168,UWS!$B$10:$B$41,0),MATCH(W$4,UWS!$G$3:$Z$3,0)),0)</f>
        <v>0</v>
      </c>
      <c r="X168">
        <f>IFERROR(INDEX(UWS!$G$10:$Z$41,MATCH($C168,UWS!$B$10:$B$41,0),MATCH(X$4,UWS!$G$3:$Z$3,0)),0)</f>
        <v>0</v>
      </c>
      <c r="Y168">
        <f>IFERROR(INDEX(UWS!$G$10:$Z$41,MATCH($C168,UWS!$B$10:$B$41,0),MATCH(Y$4,UWS!$G$3:$Z$3,0)),0)</f>
        <v>0</v>
      </c>
      <c r="Z168">
        <f>IFERROR(INDEX(UWS!$G$10:$Z$41,MATCH($C168,UWS!$B$10:$B$41,0),MATCH(Z$4,UWS!$G$3:$Z$3,0)),0)</f>
        <v>0</v>
      </c>
      <c r="AA168">
        <f>IFERROR(INDEX(UWS!$G$10:$Z$41,MATCH($C168,UWS!$B$10:$B$41,0),MATCH(AA$4,UWS!$G$3:$Z$3,0)),0)</f>
        <v>0</v>
      </c>
      <c r="AB168">
        <f>IFERROR(INDEX(UWS!$G$10:$Z$41,MATCH($C168,UWS!$B$10:$B$41,0),MATCH(AB$4,UWS!$G$3:$Z$3,0)),0)</f>
        <v>0</v>
      </c>
      <c r="AC168">
        <f>IFERROR(INDEX(UWS!$G$10:$Z$41,MATCH($C168,UWS!$B$10:$B$41,0),MATCH(AC$4,UWS!$G$3:$Z$3,0)),0)</f>
        <v>0</v>
      </c>
      <c r="AD168">
        <f>IFERROR(INDEX(UWS!$G$10:$Z$41,MATCH($C168,UWS!$B$10:$B$41,0),MATCH(AD$4,UWS!$G$3:$Z$3,0)),0)</f>
        <v>0</v>
      </c>
      <c r="AE168">
        <f>IFERROR(INDEX(UWS!$G$10:$Z$41,MATCH($C168,UWS!$B$10:$B$41,0),MATCH(AE$4,UWS!$G$3:$Z$3,0)),0)</f>
        <v>0</v>
      </c>
      <c r="AF168">
        <f>IFERROR(INDEX(UWS!$G$10:$Z$41,MATCH($C168,UWS!$B$10:$B$41,0),MATCH(AF$4,UWS!$G$3:$Z$3,0)),0)</f>
        <v>0</v>
      </c>
      <c r="AG168">
        <f>IFERROR(INDEX(UWS!$G$10:$Z$41,MATCH($C168,UWS!$B$10:$B$41,0),MATCH(AG$4,UWS!$G$3:$Z$3,0)),0)</f>
        <v>0</v>
      </c>
      <c r="AH168">
        <f>IFERROR(INDEX(UWS!$G$10:$Z$41,MATCH($C168,UWS!$B$10:$B$41,0),MATCH(AH$4,UWS!$G$3:$Z$3,0)),0)</f>
        <v>0</v>
      </c>
      <c r="AI168">
        <f>IFERROR(INDEX(UWS!$G$10:$Z$41,MATCH($C168,UWS!$B$10:$B$41,0),MATCH(AI$4,UWS!$G$3:$Z$3,0)),0)</f>
        <v>0</v>
      </c>
      <c r="AK168" t="e">
        <f>IF(OR($J168=0,COUNTIFS($A$4:$A167,"&gt;="&amp;$A168-1,$A$4:$A167,"&lt;="&amp;$A168,$B$4:$B167,$B168)&gt;0,MIN(AK$1,IF($A168=$A167,AK167,1))-P168&lt;0),-1,MIN(1,IF($A168=$A167,AK167,1)-P168+$D$3))</f>
        <v>#N/A</v>
      </c>
      <c r="AL168" t="e">
        <f>IF(OR($J168=0,COUNTIFS($A$4:$A167,"&gt;="&amp;$A168-1,$A$4:$A167,"&lt;="&amp;$A168,$B$4:$B167,$B168)&gt;0,MIN(AL$1,IF($A168=$A167,AL167,1))-Q168&lt;0),-1,MIN(1,IF($A168=$A167,AL167,1)-Q168+$D$3))</f>
        <v>#N/A</v>
      </c>
      <c r="AM168" t="e">
        <f>IF(OR($J168=0,COUNTIFS($A$4:$A167,"&gt;="&amp;$A168-1,$A$4:$A167,"&lt;="&amp;$A168,$B$4:$B167,$B168)&gt;0,MIN(AM$1,IF($A168=$A167,AM167,1))-R168&lt;0),-1,MIN(1,IF($A168=$A167,AM167,1)-R168+$D$3))</f>
        <v>#N/A</v>
      </c>
      <c r="AN168" t="e">
        <f>IF(OR($J168=0,COUNTIFS($A$4:$A167,"&gt;="&amp;$A168-1,$A$4:$A167,"&lt;="&amp;$A168,$B$4:$B167,$B168)&gt;0,MIN(AN$1,IF($A168=$A167,AN167,1))-S168&lt;0),-1,MIN(1,IF($A168=$A167,AN167,1)-S168+$D$3))</f>
        <v>#N/A</v>
      </c>
      <c r="AO168" t="e">
        <f>IF(OR($J168=0,COUNTIFS($A$4:$A167,"&gt;="&amp;$A168-1,$A$4:$A167,"&lt;="&amp;$A168,$B$4:$B167,$B168)&gt;0,MIN(AO$1,IF($A168=$A167,AO167,1))-T168&lt;0),-1,MIN(1,IF($A168=$A167,AO167,1)-T168+$D$3))</f>
        <v>#N/A</v>
      </c>
      <c r="AP168" t="e">
        <f>IF(OR($J168=0,COUNTIFS($A$4:$A167,"&gt;="&amp;$A168-1,$A$4:$A167,"&lt;="&amp;$A168,$B$4:$B167,$B168)&gt;0,MIN(AP$1,IF($A168=$A167,AP167,1))-U168&lt;0),-1,MIN(1,IF($A168=$A167,AP167,1)-U168+$D$3))</f>
        <v>#N/A</v>
      </c>
      <c r="AQ168" t="e">
        <f>IF(OR($J168=0,COUNTIFS($A$4:$A167,"&gt;="&amp;$A168-1,$A$4:$A167,"&lt;="&amp;$A168,$B$4:$B167,$B168)&gt;0,MIN(AQ$1,IF($A168=$A167,AQ167,1))-V168&lt;0),-1,MIN(1,IF($A168=$A167,AQ167,1)-V168+$D$3))</f>
        <v>#N/A</v>
      </c>
      <c r="AR168" t="e">
        <f>IF(OR($J168=0,COUNTIFS($A$4:$A167,"&gt;="&amp;$A168-1,$A$4:$A167,"&lt;="&amp;$A168,$B$4:$B167,$B168)&gt;0,MIN(AR$1,IF($A168=$A167,AR167,1))-W168&lt;0),-1,MIN(1,IF($A168=$A167,AR167,1)-W168+$D$3))</f>
        <v>#N/A</v>
      </c>
      <c r="AS168" t="e">
        <f>IF(OR($J168=0,COUNTIFS($A$4:$A167,"&gt;="&amp;$A168-1,$A$4:$A167,"&lt;="&amp;$A168,$B$4:$B167,$B168)&gt;0,MIN(AS$1,IF($A168=$A167,AS167,1))-X168&lt;0),-1,MIN(1,IF($A168=$A167,AS167,1)-X168+$D$3))</f>
        <v>#N/A</v>
      </c>
      <c r="AT168" t="e">
        <f>IF(OR($J168=0,COUNTIFS($A$4:$A167,"&gt;="&amp;$A168-1,$A$4:$A167,"&lt;="&amp;$A168,$B$4:$B167,$B168)&gt;0,MIN(AT$1,IF($A168=$A167,AT167,1))-Y168&lt;0),-1,MIN(1,IF($A168=$A167,AT167,1)-Y168+$D$3))</f>
        <v>#N/A</v>
      </c>
      <c r="AU168" t="e">
        <f>IF(OR($J168=0,COUNTIFS($A$4:$A167,"&gt;="&amp;$A168-1,$A$4:$A167,"&lt;="&amp;$A168,$B$4:$B167,$B168)&gt;0,MIN(AU$1,IF($A168=$A167,AU167,1))-Z168&lt;0),-1,MIN(1,IF($A168=$A167,AU167,1)-Z168+$D$3))</f>
        <v>#N/A</v>
      </c>
      <c r="AV168" t="e">
        <f>IF(OR($J168=0,COUNTIFS($A$4:$A167,"&gt;="&amp;$A168-1,$A$4:$A167,"&lt;="&amp;$A168,$B$4:$B167,$B168)&gt;0,MIN(AV$1,IF($A168=$A167,AV167,1))-AA168&lt;0),-1,MIN(1,IF($A168=$A167,AV167,1)-AA168+$D$3))</f>
        <v>#N/A</v>
      </c>
      <c r="AW168" t="e">
        <f>IF(OR($J168=0,COUNTIFS($A$4:$A167,"&gt;="&amp;$A168-1,$A$4:$A167,"&lt;="&amp;$A168,$B$4:$B167,$B168)&gt;0,MIN(AW$1,IF($A168=$A167,AW167,1))-AB168&lt;0),-1,MIN(1,IF($A168=$A167,AW167,1)-AB168+$D$3))</f>
        <v>#N/A</v>
      </c>
      <c r="AX168" t="e">
        <f>IF(OR($J168=0,COUNTIFS($A$4:$A167,"&gt;="&amp;$A168-1,$A$4:$A167,"&lt;="&amp;$A168,$B$4:$B167,$B168)&gt;0,MIN(AX$1,IF($A168=$A167,AX167,1))-AC168&lt;0),-1,MIN(1,IF($A168=$A167,AX167,1)-AC168+$D$3))</f>
        <v>#N/A</v>
      </c>
      <c r="AY168" t="e">
        <f>IF(OR($J168=0,COUNTIFS($A$4:$A167,"&gt;="&amp;$A168-1,$A$4:$A167,"&lt;="&amp;$A168,$B$4:$B167,$B168)&gt;0,MIN(AY$1,IF($A168=$A167,AY167,1))-AD168&lt;0),-1,MIN(1,IF($A168=$A167,AY167,1)-AD168+$D$3))</f>
        <v>#N/A</v>
      </c>
      <c r="AZ168" t="e">
        <f>IF(OR($J168=0,COUNTIFS($A$4:$A167,"&gt;="&amp;$A168-1,$A$4:$A167,"&lt;="&amp;$A168,$B$4:$B167,$B168)&gt;0,MIN(AZ$1,IF($A168=$A167,AZ167,1))-AE168&lt;0),-1,MIN(1,IF($A168=$A167,AZ167,1)-AE168+$D$3))</f>
        <v>#N/A</v>
      </c>
      <c r="BA168" t="e">
        <f>IF(OR($J168=0,COUNTIFS($A$4:$A167,"&gt;="&amp;$A168-1,$A$4:$A167,"&lt;="&amp;$A168,$B$4:$B167,$B168)&gt;0,MIN(BA$1,IF($A168=$A167,BA167,1))-AF168&lt;0),-1,MIN(1,IF($A168=$A167,BA167,1)-AF168+$D$3))</f>
        <v>#N/A</v>
      </c>
      <c r="BB168" t="e">
        <f>IF(OR($J168=0,COUNTIFS($A$4:$A167,"&gt;="&amp;$A168-1,$A$4:$A167,"&lt;="&amp;$A168,$B$4:$B167,$B168)&gt;0,MIN(BB$1,IF($A168=$A167,BB167,1))-AG168&lt;0),-1,MIN(1,IF($A168=$A167,BB167,1)-AG168+$D$3))</f>
        <v>#N/A</v>
      </c>
      <c r="BC168" t="e">
        <f>IF(OR($J168=0,COUNTIFS($A$4:$A167,"&gt;="&amp;$A168-1,$A$4:$A167,"&lt;="&amp;$A168,$B$4:$B167,$B168)&gt;0,MIN(BC$1,IF($A168=$A167,BC167,1))-AH168&lt;0),-1,MIN(1,IF($A168=$A167,BC167,1)-AH168+$D$3))</f>
        <v>#N/A</v>
      </c>
      <c r="BD168" t="e">
        <f>IF(OR($J168=0,COUNTIFS($A$4:$A167,"&gt;="&amp;$A168-1,$A$4:$A167,"&lt;="&amp;$A168,$B$4:$B167,$B168)&gt;0,MIN(BD$1,IF($A168=$A167,BD167,1))-AI168&lt;0),-1,MIN(1,IF($A168=$A167,BD167,1)-AI168+$D$3))</f>
        <v>#N/A</v>
      </c>
      <c r="BF168" s="44">
        <f t="shared" si="223"/>
        <v>4.7095255908470384E-4</v>
      </c>
      <c r="BG168" s="44">
        <f t="shared" si="224"/>
        <v>1.1582052367764672E-3</v>
      </c>
      <c r="BH168" s="44">
        <f t="shared" si="225"/>
        <v>1.1870385364366029E-3</v>
      </c>
      <c r="BI168" s="44">
        <f t="shared" si="226"/>
        <v>1.0964940403298672E-3</v>
      </c>
      <c r="BJ168" s="44">
        <f t="shared" si="227"/>
        <v>1.1333306873950479E-3</v>
      </c>
      <c r="BK168" s="44">
        <f t="shared" si="228"/>
        <v>4.8669445333364772E-4</v>
      </c>
      <c r="BL168" s="44">
        <f t="shared" si="229"/>
        <v>2.6292000055987613E-4</v>
      </c>
      <c r="BM168" s="44">
        <f t="shared" si="230"/>
        <v>6.6883777893185883E-4</v>
      </c>
      <c r="BN168" s="44">
        <f t="shared" si="231"/>
        <v>6.9564341621634537E-4</v>
      </c>
      <c r="BO168" s="44">
        <f t="shared" si="232"/>
        <v>3.2600490147691055E-4</v>
      </c>
      <c r="BP168" s="44">
        <f t="shared" si="233"/>
        <v>1.0961842177622206E-3</v>
      </c>
      <c r="BQ168" s="44">
        <f t="shared" si="234"/>
        <v>2.9581474348922124E-4</v>
      </c>
      <c r="BR168" s="44">
        <f t="shared" si="235"/>
        <v>8.73910802441525E-4</v>
      </c>
      <c r="BS168" s="44">
        <f t="shared" si="236"/>
        <v>4.7131169265254928E-4</v>
      </c>
      <c r="BT168" s="44">
        <f t="shared" si="237"/>
        <v>1.8651248608906566E-3</v>
      </c>
      <c r="BU168" s="44">
        <f t="shared" si="238"/>
        <v>1.7817554796716879E-3</v>
      </c>
      <c r="BV168" s="44">
        <f t="shared" si="239"/>
        <v>1.7111390145901893E-3</v>
      </c>
      <c r="BW168" s="44">
        <f t="shared" si="240"/>
        <v>1.1191790802358794E-3</v>
      </c>
      <c r="BX168" s="44">
        <f t="shared" si="241"/>
        <v>8.2682918102297619E-4</v>
      </c>
      <c r="BY168" s="44">
        <f t="shared" si="242"/>
        <v>7.0992788513180635E-4</v>
      </c>
      <c r="CA168" s="44" t="str">
        <f t="shared" si="243"/>
        <v/>
      </c>
      <c r="CB168" s="44" t="str">
        <f t="shared" si="244"/>
        <v/>
      </c>
      <c r="CC168" s="44" t="str">
        <f t="shared" si="245"/>
        <v/>
      </c>
      <c r="CD168" s="44" t="str">
        <f t="shared" si="246"/>
        <v/>
      </c>
      <c r="CE168" s="44" t="str">
        <f t="shared" si="247"/>
        <v/>
      </c>
      <c r="CF168" s="44" t="str">
        <f t="shared" si="248"/>
        <v/>
      </c>
      <c r="CG168" s="44" t="str">
        <f t="shared" si="249"/>
        <v/>
      </c>
      <c r="CH168" s="44" t="str">
        <f t="shared" si="250"/>
        <v/>
      </c>
      <c r="CI168" s="44" t="str">
        <f t="shared" si="251"/>
        <v/>
      </c>
      <c r="CJ168" s="44" t="str">
        <f t="shared" si="252"/>
        <v/>
      </c>
      <c r="CK168" s="44" t="str">
        <f t="shared" si="253"/>
        <v/>
      </c>
      <c r="CL168" s="44" t="str">
        <f t="shared" si="254"/>
        <v/>
      </c>
      <c r="CM168" s="44" t="str">
        <f t="shared" si="255"/>
        <v/>
      </c>
      <c r="CN168" s="44" t="str">
        <f t="shared" si="256"/>
        <v/>
      </c>
      <c r="CO168" s="44" t="str">
        <f t="shared" si="257"/>
        <v/>
      </c>
      <c r="CP168" s="44" t="str">
        <f t="shared" si="258"/>
        <v/>
      </c>
      <c r="CQ168" s="44" t="str">
        <f t="shared" si="259"/>
        <v/>
      </c>
      <c r="CR168" s="44" t="str">
        <f t="shared" si="260"/>
        <v/>
      </c>
      <c r="CS168" s="44" t="str">
        <f t="shared" si="261"/>
        <v/>
      </c>
      <c r="CT168" s="44" t="str">
        <f t="shared" si="262"/>
        <v/>
      </c>
      <c r="CV168" s="44">
        <f t="shared" si="263"/>
        <v>0</v>
      </c>
    </row>
    <row r="169" spans="1:100" x14ac:dyDescent="0.25">
      <c r="A169" s="41"/>
      <c r="B169" s="42"/>
      <c r="C169" s="43" t="str" cm="1">
        <f t="array" ref="C169">IF(B169="","",INDEX(UWS!$B$10:$B$41,B169))</f>
        <v/>
      </c>
      <c r="D169" s="40" t="str">
        <f t="shared" si="220"/>
        <v/>
      </c>
      <c r="E169" s="69" t="str">
        <f t="shared" si="221"/>
        <v/>
      </c>
      <c r="F169" s="48" cm="1">
        <f t="array" ref="F169">0.1+IFERROR(INDEX($F$5:$F168,SUMPRODUCT(MAX(ROW($C$5:$C168)*($C169=$C$5:$C168))-ROW($A$4)))*0.9^($A169-INDEX($A$5:A168,SUMPRODUCT(MAX(ROW($C$5:$C168)*($C169=$C$5:$C168))-ROW($A$4)))),0)</f>
        <v>10.399999999999979</v>
      </c>
      <c r="G169" s="55" t="e">
        <f>INDEX(UWS!$AB$10:$AB$41,MATCH(C169,UWS!$B$10:$B$41,0))</f>
        <v>#N/A</v>
      </c>
      <c r="H169" s="48" t="e">
        <f>INDEX(UWS!$C$10:$C$41,MATCH(C169,UWS!$B$10:$B$41,0))</f>
        <v>#N/A</v>
      </c>
      <c r="I169" s="27">
        <f t="shared" si="222"/>
        <v>5</v>
      </c>
      <c r="J169" s="27" t="e">
        <f>INDEX(UWS!$E$10:$E$41,MATCH(C169,UWS!$B$10:$B$41,0))</f>
        <v>#N/A</v>
      </c>
      <c r="L169" s="108" t="str" cm="1">
        <f t="array" ref="L169">IF(K169="","",INDEX(UWS!$B$10:$B$41,K169))</f>
        <v/>
      </c>
      <c r="N169" s="108" t="str" cm="1">
        <f t="array" ref="N169">IF(M169="","",INDEX(UWS!$B$10:$B$41,M169))</f>
        <v/>
      </c>
      <c r="P169">
        <f>IFERROR(INDEX(UWS!$G$10:$Z$41,MATCH($C169,UWS!$B$10:$B$41,0),MATCH(P$4,UWS!$G$3:$Z$3,0)),0)</f>
        <v>0</v>
      </c>
      <c r="Q169">
        <f>IFERROR(INDEX(UWS!$G$10:$Z$41,MATCH($C169,UWS!$B$10:$B$41,0),MATCH(Q$4,UWS!$G$3:$Z$3,0)),0)</f>
        <v>0</v>
      </c>
      <c r="R169">
        <f>IFERROR(INDEX(UWS!$G$10:$Z$41,MATCH($C169,UWS!$B$10:$B$41,0),MATCH(R$4,UWS!$G$3:$Z$3,0)),0)</f>
        <v>0</v>
      </c>
      <c r="S169">
        <f>IFERROR(INDEX(UWS!$G$10:$Z$41,MATCH($C169,UWS!$B$10:$B$41,0),MATCH(S$4,UWS!$G$3:$Z$3,0)),0)</f>
        <v>0</v>
      </c>
      <c r="T169">
        <f>IFERROR(INDEX(UWS!$G$10:$Z$41,MATCH($C169,UWS!$B$10:$B$41,0),MATCH(T$4,UWS!$G$3:$Z$3,0)),0)</f>
        <v>0</v>
      </c>
      <c r="U169">
        <f>IFERROR(INDEX(UWS!$G$10:$Z$41,MATCH($C169,UWS!$B$10:$B$41,0),MATCH(U$4,UWS!$G$3:$Z$3,0)),0)</f>
        <v>0</v>
      </c>
      <c r="V169">
        <f>IFERROR(INDEX(UWS!$G$10:$Z$41,MATCH($C169,UWS!$B$10:$B$41,0),MATCH(V$4,UWS!$G$3:$Z$3,0)),0)</f>
        <v>0</v>
      </c>
      <c r="W169">
        <f>IFERROR(INDEX(UWS!$G$10:$Z$41,MATCH($C169,UWS!$B$10:$B$41,0),MATCH(W$4,UWS!$G$3:$Z$3,0)),0)</f>
        <v>0</v>
      </c>
      <c r="X169">
        <f>IFERROR(INDEX(UWS!$G$10:$Z$41,MATCH($C169,UWS!$B$10:$B$41,0),MATCH(X$4,UWS!$G$3:$Z$3,0)),0)</f>
        <v>0</v>
      </c>
      <c r="Y169">
        <f>IFERROR(INDEX(UWS!$G$10:$Z$41,MATCH($C169,UWS!$B$10:$B$41,0),MATCH(Y$4,UWS!$G$3:$Z$3,0)),0)</f>
        <v>0</v>
      </c>
      <c r="Z169">
        <f>IFERROR(INDEX(UWS!$G$10:$Z$41,MATCH($C169,UWS!$B$10:$B$41,0),MATCH(Z$4,UWS!$G$3:$Z$3,0)),0)</f>
        <v>0</v>
      </c>
      <c r="AA169">
        <f>IFERROR(INDEX(UWS!$G$10:$Z$41,MATCH($C169,UWS!$B$10:$B$41,0),MATCH(AA$4,UWS!$G$3:$Z$3,0)),0)</f>
        <v>0</v>
      </c>
      <c r="AB169">
        <f>IFERROR(INDEX(UWS!$G$10:$Z$41,MATCH($C169,UWS!$B$10:$B$41,0),MATCH(AB$4,UWS!$G$3:$Z$3,0)),0)</f>
        <v>0</v>
      </c>
      <c r="AC169">
        <f>IFERROR(INDEX(UWS!$G$10:$Z$41,MATCH($C169,UWS!$B$10:$B$41,0),MATCH(AC$4,UWS!$G$3:$Z$3,0)),0)</f>
        <v>0</v>
      </c>
      <c r="AD169">
        <f>IFERROR(INDEX(UWS!$G$10:$Z$41,MATCH($C169,UWS!$B$10:$B$41,0),MATCH(AD$4,UWS!$G$3:$Z$3,0)),0)</f>
        <v>0</v>
      </c>
      <c r="AE169">
        <f>IFERROR(INDEX(UWS!$G$10:$Z$41,MATCH($C169,UWS!$B$10:$B$41,0),MATCH(AE$4,UWS!$G$3:$Z$3,0)),0)</f>
        <v>0</v>
      </c>
      <c r="AF169">
        <f>IFERROR(INDEX(UWS!$G$10:$Z$41,MATCH($C169,UWS!$B$10:$B$41,0),MATCH(AF$4,UWS!$G$3:$Z$3,0)),0)</f>
        <v>0</v>
      </c>
      <c r="AG169">
        <f>IFERROR(INDEX(UWS!$G$10:$Z$41,MATCH($C169,UWS!$B$10:$B$41,0),MATCH(AG$4,UWS!$G$3:$Z$3,0)),0)</f>
        <v>0</v>
      </c>
      <c r="AH169">
        <f>IFERROR(INDEX(UWS!$G$10:$Z$41,MATCH($C169,UWS!$B$10:$B$41,0),MATCH(AH$4,UWS!$G$3:$Z$3,0)),0)</f>
        <v>0</v>
      </c>
      <c r="AI169">
        <f>IFERROR(INDEX(UWS!$G$10:$Z$41,MATCH($C169,UWS!$B$10:$B$41,0),MATCH(AI$4,UWS!$G$3:$Z$3,0)),0)</f>
        <v>0</v>
      </c>
      <c r="AK169" t="e">
        <f>IF(OR($J169=0,COUNTIFS($A$4:$A168,"&gt;="&amp;$A169-1,$A$4:$A168,"&lt;="&amp;$A169,$B$4:$B168,$B169)&gt;0,MIN(AK$1,IF($A169=$A168,AK168,1))-P169&lt;0),-1,MIN(1,IF($A169=$A168,AK168,1)-P169+$D$3))</f>
        <v>#N/A</v>
      </c>
      <c r="AL169" t="e">
        <f>IF(OR($J169=0,COUNTIFS($A$4:$A168,"&gt;="&amp;$A169-1,$A$4:$A168,"&lt;="&amp;$A169,$B$4:$B168,$B169)&gt;0,MIN(AL$1,IF($A169=$A168,AL168,1))-Q169&lt;0),-1,MIN(1,IF($A169=$A168,AL168,1)-Q169+$D$3))</f>
        <v>#N/A</v>
      </c>
      <c r="AM169" t="e">
        <f>IF(OR($J169=0,COUNTIFS($A$4:$A168,"&gt;="&amp;$A169-1,$A$4:$A168,"&lt;="&amp;$A169,$B$4:$B168,$B169)&gt;0,MIN(AM$1,IF($A169=$A168,AM168,1))-R169&lt;0),-1,MIN(1,IF($A169=$A168,AM168,1)-R169+$D$3))</f>
        <v>#N/A</v>
      </c>
      <c r="AN169" t="e">
        <f>IF(OR($J169=0,COUNTIFS($A$4:$A168,"&gt;="&amp;$A169-1,$A$4:$A168,"&lt;="&amp;$A169,$B$4:$B168,$B169)&gt;0,MIN(AN$1,IF($A169=$A168,AN168,1))-S169&lt;0),-1,MIN(1,IF($A169=$A168,AN168,1)-S169+$D$3))</f>
        <v>#N/A</v>
      </c>
      <c r="AO169" t="e">
        <f>IF(OR($J169=0,COUNTIFS($A$4:$A168,"&gt;="&amp;$A169-1,$A$4:$A168,"&lt;="&amp;$A169,$B$4:$B168,$B169)&gt;0,MIN(AO$1,IF($A169=$A168,AO168,1))-T169&lt;0),-1,MIN(1,IF($A169=$A168,AO168,1)-T169+$D$3))</f>
        <v>#N/A</v>
      </c>
      <c r="AP169" t="e">
        <f>IF(OR($J169=0,COUNTIFS($A$4:$A168,"&gt;="&amp;$A169-1,$A$4:$A168,"&lt;="&amp;$A169,$B$4:$B168,$B169)&gt;0,MIN(AP$1,IF($A169=$A168,AP168,1))-U169&lt;0),-1,MIN(1,IF($A169=$A168,AP168,1)-U169+$D$3))</f>
        <v>#N/A</v>
      </c>
      <c r="AQ169" t="e">
        <f>IF(OR($J169=0,COUNTIFS($A$4:$A168,"&gt;="&amp;$A169-1,$A$4:$A168,"&lt;="&amp;$A169,$B$4:$B168,$B169)&gt;0,MIN(AQ$1,IF($A169=$A168,AQ168,1))-V169&lt;0),-1,MIN(1,IF($A169=$A168,AQ168,1)-V169+$D$3))</f>
        <v>#N/A</v>
      </c>
      <c r="AR169" t="e">
        <f>IF(OR($J169=0,COUNTIFS($A$4:$A168,"&gt;="&amp;$A169-1,$A$4:$A168,"&lt;="&amp;$A169,$B$4:$B168,$B169)&gt;0,MIN(AR$1,IF($A169=$A168,AR168,1))-W169&lt;0),-1,MIN(1,IF($A169=$A168,AR168,1)-W169+$D$3))</f>
        <v>#N/A</v>
      </c>
      <c r="AS169" t="e">
        <f>IF(OR($J169=0,COUNTIFS($A$4:$A168,"&gt;="&amp;$A169-1,$A$4:$A168,"&lt;="&amp;$A169,$B$4:$B168,$B169)&gt;0,MIN(AS$1,IF($A169=$A168,AS168,1))-X169&lt;0),-1,MIN(1,IF($A169=$A168,AS168,1)-X169+$D$3))</f>
        <v>#N/A</v>
      </c>
      <c r="AT169" t="e">
        <f>IF(OR($J169=0,COUNTIFS($A$4:$A168,"&gt;="&amp;$A169-1,$A$4:$A168,"&lt;="&amp;$A169,$B$4:$B168,$B169)&gt;0,MIN(AT$1,IF($A169=$A168,AT168,1))-Y169&lt;0),-1,MIN(1,IF($A169=$A168,AT168,1)-Y169+$D$3))</f>
        <v>#N/A</v>
      </c>
      <c r="AU169" t="e">
        <f>IF(OR($J169=0,COUNTIFS($A$4:$A168,"&gt;="&amp;$A169-1,$A$4:$A168,"&lt;="&amp;$A169,$B$4:$B168,$B169)&gt;0,MIN(AU$1,IF($A169=$A168,AU168,1))-Z169&lt;0),-1,MIN(1,IF($A169=$A168,AU168,1)-Z169+$D$3))</f>
        <v>#N/A</v>
      </c>
      <c r="AV169" t="e">
        <f>IF(OR($J169=0,COUNTIFS($A$4:$A168,"&gt;="&amp;$A169-1,$A$4:$A168,"&lt;="&amp;$A169,$B$4:$B168,$B169)&gt;0,MIN(AV$1,IF($A169=$A168,AV168,1))-AA169&lt;0),-1,MIN(1,IF($A169=$A168,AV168,1)-AA169+$D$3))</f>
        <v>#N/A</v>
      </c>
      <c r="AW169" t="e">
        <f>IF(OR($J169=0,COUNTIFS($A$4:$A168,"&gt;="&amp;$A169-1,$A$4:$A168,"&lt;="&amp;$A169,$B$4:$B168,$B169)&gt;0,MIN(AW$1,IF($A169=$A168,AW168,1))-AB169&lt;0),-1,MIN(1,IF($A169=$A168,AW168,1)-AB169+$D$3))</f>
        <v>#N/A</v>
      </c>
      <c r="AX169" t="e">
        <f>IF(OR($J169=0,COUNTIFS($A$4:$A168,"&gt;="&amp;$A169-1,$A$4:$A168,"&lt;="&amp;$A169,$B$4:$B168,$B169)&gt;0,MIN(AX$1,IF($A169=$A168,AX168,1))-AC169&lt;0),-1,MIN(1,IF($A169=$A168,AX168,1)-AC169+$D$3))</f>
        <v>#N/A</v>
      </c>
      <c r="AY169" t="e">
        <f>IF(OR($J169=0,COUNTIFS($A$4:$A168,"&gt;="&amp;$A169-1,$A$4:$A168,"&lt;="&amp;$A169,$B$4:$B168,$B169)&gt;0,MIN(AY$1,IF($A169=$A168,AY168,1))-AD169&lt;0),-1,MIN(1,IF($A169=$A168,AY168,1)-AD169+$D$3))</f>
        <v>#N/A</v>
      </c>
      <c r="AZ169" t="e">
        <f>IF(OR($J169=0,COUNTIFS($A$4:$A168,"&gt;="&amp;$A169-1,$A$4:$A168,"&lt;="&amp;$A169,$B$4:$B168,$B169)&gt;0,MIN(AZ$1,IF($A169=$A168,AZ168,1))-AE169&lt;0),-1,MIN(1,IF($A169=$A168,AZ168,1)-AE169+$D$3))</f>
        <v>#N/A</v>
      </c>
      <c r="BA169" t="e">
        <f>IF(OR($J169=0,COUNTIFS($A$4:$A168,"&gt;="&amp;$A169-1,$A$4:$A168,"&lt;="&amp;$A169,$B$4:$B168,$B169)&gt;0,MIN(BA$1,IF($A169=$A168,BA168,1))-AF169&lt;0),-1,MIN(1,IF($A169=$A168,BA168,1)-AF169+$D$3))</f>
        <v>#N/A</v>
      </c>
      <c r="BB169" t="e">
        <f>IF(OR($J169=0,COUNTIFS($A$4:$A168,"&gt;="&amp;$A169-1,$A$4:$A168,"&lt;="&amp;$A169,$B$4:$B168,$B169)&gt;0,MIN(BB$1,IF($A169=$A168,BB168,1))-AG169&lt;0),-1,MIN(1,IF($A169=$A168,BB168,1)-AG169+$D$3))</f>
        <v>#N/A</v>
      </c>
      <c r="BC169" t="e">
        <f>IF(OR($J169=0,COUNTIFS($A$4:$A168,"&gt;="&amp;$A169-1,$A$4:$A168,"&lt;="&amp;$A169,$B$4:$B168,$B169)&gt;0,MIN(BC$1,IF($A169=$A168,BC168,1))-AH169&lt;0),-1,MIN(1,IF($A169=$A168,BC168,1)-AH169+$D$3))</f>
        <v>#N/A</v>
      </c>
      <c r="BD169" t="e">
        <f>IF(OR($J169=0,COUNTIFS($A$4:$A168,"&gt;="&amp;$A169-1,$A$4:$A168,"&lt;="&amp;$A169,$B$4:$B168,$B169)&gt;0,MIN(BD$1,IF($A169=$A168,BD168,1))-AI169&lt;0),-1,MIN(1,IF($A169=$A168,BD168,1)-AI169+$D$3))</f>
        <v>#N/A</v>
      </c>
      <c r="BF169" s="44">
        <f t="shared" si="223"/>
        <v>4.4740493113046861E-4</v>
      </c>
      <c r="BG169" s="44">
        <f t="shared" si="224"/>
        <v>1.1002949749376438E-3</v>
      </c>
      <c r="BH169" s="44">
        <f t="shared" si="225"/>
        <v>1.1276866096147726E-3</v>
      </c>
      <c r="BI169" s="44">
        <f t="shared" si="226"/>
        <v>1.0416693383133739E-3</v>
      </c>
      <c r="BJ169" s="44">
        <f t="shared" si="227"/>
        <v>1.0766641530252955E-3</v>
      </c>
      <c r="BK169" s="44">
        <f t="shared" si="228"/>
        <v>4.6235973066696532E-4</v>
      </c>
      <c r="BL169" s="44">
        <f t="shared" si="229"/>
        <v>2.4977400053188229E-4</v>
      </c>
      <c r="BM169" s="44">
        <f t="shared" si="230"/>
        <v>6.353958899852659E-4</v>
      </c>
      <c r="BN169" s="44">
        <f t="shared" si="231"/>
        <v>6.6086124540552804E-4</v>
      </c>
      <c r="BO169" s="44">
        <f t="shared" si="232"/>
        <v>3.0970465640306499E-4</v>
      </c>
      <c r="BP169" s="44">
        <f t="shared" si="233"/>
        <v>1.0413750068741096E-3</v>
      </c>
      <c r="BQ169" s="44">
        <f t="shared" si="234"/>
        <v>2.8102400631476018E-4</v>
      </c>
      <c r="BR169" s="44">
        <f t="shared" si="235"/>
        <v>8.3021526231944875E-4</v>
      </c>
      <c r="BS169" s="44">
        <f t="shared" si="236"/>
        <v>4.4774610801992179E-4</v>
      </c>
      <c r="BT169" s="44">
        <f t="shared" si="237"/>
        <v>1.7718686178461237E-3</v>
      </c>
      <c r="BU169" s="44">
        <f t="shared" si="238"/>
        <v>1.6926677056881034E-3</v>
      </c>
      <c r="BV169" s="44">
        <f t="shared" si="239"/>
        <v>1.6255820638606797E-3</v>
      </c>
      <c r="BW169" s="44">
        <f t="shared" si="240"/>
        <v>1.0632201262240854E-3</v>
      </c>
      <c r="BX169" s="44">
        <f t="shared" si="241"/>
        <v>7.8548772197182734E-4</v>
      </c>
      <c r="BY169" s="44">
        <f t="shared" si="242"/>
        <v>6.7443149087521598E-4</v>
      </c>
      <c r="CA169" s="44" t="str">
        <f t="shared" si="243"/>
        <v/>
      </c>
      <c r="CB169" s="44" t="str">
        <f t="shared" si="244"/>
        <v/>
      </c>
      <c r="CC169" s="44" t="str">
        <f t="shared" si="245"/>
        <v/>
      </c>
      <c r="CD169" s="44" t="str">
        <f t="shared" si="246"/>
        <v/>
      </c>
      <c r="CE169" s="44" t="str">
        <f t="shared" si="247"/>
        <v/>
      </c>
      <c r="CF169" s="44" t="str">
        <f t="shared" si="248"/>
        <v/>
      </c>
      <c r="CG169" s="44" t="str">
        <f t="shared" si="249"/>
        <v/>
      </c>
      <c r="CH169" s="44" t="str">
        <f t="shared" si="250"/>
        <v/>
      </c>
      <c r="CI169" s="44" t="str">
        <f t="shared" si="251"/>
        <v/>
      </c>
      <c r="CJ169" s="44" t="str">
        <f t="shared" si="252"/>
        <v/>
      </c>
      <c r="CK169" s="44" t="str">
        <f t="shared" si="253"/>
        <v/>
      </c>
      <c r="CL169" s="44" t="str">
        <f t="shared" si="254"/>
        <v/>
      </c>
      <c r="CM169" s="44" t="str">
        <f t="shared" si="255"/>
        <v/>
      </c>
      <c r="CN169" s="44" t="str">
        <f t="shared" si="256"/>
        <v/>
      </c>
      <c r="CO169" s="44" t="str">
        <f t="shared" si="257"/>
        <v/>
      </c>
      <c r="CP169" s="44" t="str">
        <f t="shared" si="258"/>
        <v/>
      </c>
      <c r="CQ169" s="44" t="str">
        <f t="shared" si="259"/>
        <v/>
      </c>
      <c r="CR169" s="44" t="str">
        <f t="shared" si="260"/>
        <v/>
      </c>
      <c r="CS169" s="44" t="str">
        <f t="shared" si="261"/>
        <v/>
      </c>
      <c r="CT169" s="44" t="str">
        <f t="shared" si="262"/>
        <v/>
      </c>
      <c r="CV169" s="44">
        <f t="shared" si="263"/>
        <v>0</v>
      </c>
    </row>
    <row r="170" spans="1:100" x14ac:dyDescent="0.25">
      <c r="A170" s="49"/>
      <c r="B170" s="50"/>
      <c r="C170" s="51" t="str" cm="1">
        <f t="array" ref="C170">IF(B170="","",INDEX(UWS!$B$10:$B$41,B170))</f>
        <v/>
      </c>
      <c r="D170" s="45" t="str">
        <f t="shared" si="220"/>
        <v/>
      </c>
      <c r="E170" s="70" t="str">
        <f t="shared" si="221"/>
        <v/>
      </c>
      <c r="F170" s="52" cm="1">
        <f t="array" ref="F170">0.1+IFERROR(INDEX($F$5:$F169,SUMPRODUCT(MAX(ROW($C$5:$C169)*($C170=$C$5:$C169))-ROW($A$4)))*0.9^($A170-INDEX($A$5:A169,SUMPRODUCT(MAX(ROW($C$5:$C169)*($C170=$C$5:$C169))-ROW($A$4)))),0)</f>
        <v>10.499999999999979</v>
      </c>
      <c r="G170" s="56" t="e">
        <f>INDEX(UWS!$AB$10:$AB$41,MATCH(C170,UWS!$B$10:$B$41,0))</f>
        <v>#N/A</v>
      </c>
      <c r="H170" s="52" t="e">
        <f>INDEX(UWS!$C$10:$C$41,MATCH(C170,UWS!$B$10:$B$41,0))</f>
        <v>#N/A</v>
      </c>
      <c r="I170" s="46">
        <f t="shared" si="222"/>
        <v>5</v>
      </c>
      <c r="J170" s="46" t="e">
        <f>INDEX(UWS!$E$10:$E$41,MATCH(C170,UWS!$B$10:$B$41,0))</f>
        <v>#N/A</v>
      </c>
      <c r="K170" s="46"/>
      <c r="L170" s="109" t="str" cm="1">
        <f t="array" ref="L170">IF(K170="","",INDEX(UWS!$B$10:$B$41,K170))</f>
        <v/>
      </c>
      <c r="M170" s="46"/>
      <c r="N170" s="109" t="str" cm="1">
        <f t="array" ref="N170">IF(M170="","",INDEX(UWS!$B$10:$B$41,M170))</f>
        <v/>
      </c>
      <c r="O170" s="47"/>
      <c r="P170" s="47">
        <f>IFERROR(INDEX(UWS!$G$10:$Z$41,MATCH($C170,UWS!$B$10:$B$41,0),MATCH(P$4,UWS!$G$3:$Z$3,0)),0)</f>
        <v>0</v>
      </c>
      <c r="Q170" s="47">
        <f>IFERROR(INDEX(UWS!$G$10:$Z$41,MATCH($C170,UWS!$B$10:$B$41,0),MATCH(Q$4,UWS!$G$3:$Z$3,0)),0)</f>
        <v>0</v>
      </c>
      <c r="R170" s="47">
        <f>IFERROR(INDEX(UWS!$G$10:$Z$41,MATCH($C170,UWS!$B$10:$B$41,0),MATCH(R$4,UWS!$G$3:$Z$3,0)),0)</f>
        <v>0</v>
      </c>
      <c r="S170" s="47">
        <f>IFERROR(INDEX(UWS!$G$10:$Z$41,MATCH($C170,UWS!$B$10:$B$41,0),MATCH(S$4,UWS!$G$3:$Z$3,0)),0)</f>
        <v>0</v>
      </c>
      <c r="T170" s="47">
        <f>IFERROR(INDEX(UWS!$G$10:$Z$41,MATCH($C170,UWS!$B$10:$B$41,0),MATCH(T$4,UWS!$G$3:$Z$3,0)),0)</f>
        <v>0</v>
      </c>
      <c r="U170" s="47">
        <f>IFERROR(INDEX(UWS!$G$10:$Z$41,MATCH($C170,UWS!$B$10:$B$41,0),MATCH(U$4,UWS!$G$3:$Z$3,0)),0)</f>
        <v>0</v>
      </c>
      <c r="V170" s="47">
        <f>IFERROR(INDEX(UWS!$G$10:$Z$41,MATCH($C170,UWS!$B$10:$B$41,0),MATCH(V$4,UWS!$G$3:$Z$3,0)),0)</f>
        <v>0</v>
      </c>
      <c r="W170" s="47">
        <f>IFERROR(INDEX(UWS!$G$10:$Z$41,MATCH($C170,UWS!$B$10:$B$41,0),MATCH(W$4,UWS!$G$3:$Z$3,0)),0)</f>
        <v>0</v>
      </c>
      <c r="X170" s="47">
        <f>IFERROR(INDEX(UWS!$G$10:$Z$41,MATCH($C170,UWS!$B$10:$B$41,0),MATCH(X$4,UWS!$G$3:$Z$3,0)),0)</f>
        <v>0</v>
      </c>
      <c r="Y170" s="47">
        <f>IFERROR(INDEX(UWS!$G$10:$Z$41,MATCH($C170,UWS!$B$10:$B$41,0),MATCH(Y$4,UWS!$G$3:$Z$3,0)),0)</f>
        <v>0</v>
      </c>
      <c r="Z170" s="47">
        <f>IFERROR(INDEX(UWS!$G$10:$Z$41,MATCH($C170,UWS!$B$10:$B$41,0),MATCH(Z$4,UWS!$G$3:$Z$3,0)),0)</f>
        <v>0</v>
      </c>
      <c r="AA170" s="47">
        <f>IFERROR(INDEX(UWS!$G$10:$Z$41,MATCH($C170,UWS!$B$10:$B$41,0),MATCH(AA$4,UWS!$G$3:$Z$3,0)),0)</f>
        <v>0</v>
      </c>
      <c r="AB170" s="47">
        <f>IFERROR(INDEX(UWS!$G$10:$Z$41,MATCH($C170,UWS!$B$10:$B$41,0),MATCH(AB$4,UWS!$G$3:$Z$3,0)),0)</f>
        <v>0</v>
      </c>
      <c r="AC170" s="47">
        <f>IFERROR(INDEX(UWS!$G$10:$Z$41,MATCH($C170,UWS!$B$10:$B$41,0),MATCH(AC$4,UWS!$G$3:$Z$3,0)),0)</f>
        <v>0</v>
      </c>
      <c r="AD170" s="47">
        <f>IFERROR(INDEX(UWS!$G$10:$Z$41,MATCH($C170,UWS!$B$10:$B$41,0),MATCH(AD$4,UWS!$G$3:$Z$3,0)),0)</f>
        <v>0</v>
      </c>
      <c r="AE170" s="47">
        <f>IFERROR(INDEX(UWS!$G$10:$Z$41,MATCH($C170,UWS!$B$10:$B$41,0),MATCH(AE$4,UWS!$G$3:$Z$3,0)),0)</f>
        <v>0</v>
      </c>
      <c r="AF170" s="47">
        <f>IFERROR(INDEX(UWS!$G$10:$Z$41,MATCH($C170,UWS!$B$10:$B$41,0),MATCH(AF$4,UWS!$G$3:$Z$3,0)),0)</f>
        <v>0</v>
      </c>
      <c r="AG170" s="47">
        <f>IFERROR(INDEX(UWS!$G$10:$Z$41,MATCH($C170,UWS!$B$10:$B$41,0),MATCH(AG$4,UWS!$G$3:$Z$3,0)),0)</f>
        <v>0</v>
      </c>
      <c r="AH170" s="47">
        <f>IFERROR(INDEX(UWS!$G$10:$Z$41,MATCH($C170,UWS!$B$10:$B$41,0),MATCH(AH$4,UWS!$G$3:$Z$3,0)),0)</f>
        <v>0</v>
      </c>
      <c r="AI170" s="47">
        <f>IFERROR(INDEX(UWS!$G$10:$Z$41,MATCH($C170,UWS!$B$10:$B$41,0),MATCH(AI$4,UWS!$G$3:$Z$3,0)),0)</f>
        <v>0</v>
      </c>
      <c r="AJ170" s="47"/>
      <c r="AK170" s="47" t="e">
        <f>IF(OR($J170=0,COUNTIFS($A$4:$A169,"&gt;="&amp;$A170-1,$A$4:$A169,"&lt;="&amp;$A170,$B$4:$B169,$B170)&gt;0,MIN(AK$1,IF($A170=$A169,AK169,1))-P170&lt;0),-1,MIN(1,IF($A170=$A169,AK169,1)-P170+$D$3))</f>
        <v>#N/A</v>
      </c>
      <c r="AL170" s="47" t="e">
        <f>IF(OR($J170=0,COUNTIFS($A$4:$A169,"&gt;="&amp;$A170-1,$A$4:$A169,"&lt;="&amp;$A170,$B$4:$B169,$B170)&gt;0,MIN(AL$1,IF($A170=$A169,AL169,1))-Q170&lt;0),-1,MIN(1,IF($A170=$A169,AL169,1)-Q170+$D$3))</f>
        <v>#N/A</v>
      </c>
      <c r="AM170" s="47" t="e">
        <f>IF(OR($J170=0,COUNTIFS($A$4:$A169,"&gt;="&amp;$A170-1,$A$4:$A169,"&lt;="&amp;$A170,$B$4:$B169,$B170)&gt;0,MIN(AM$1,IF($A170=$A169,AM169,1))-R170&lt;0),-1,MIN(1,IF($A170=$A169,AM169,1)-R170+$D$3))</f>
        <v>#N/A</v>
      </c>
      <c r="AN170" s="47" t="e">
        <f>IF(OR($J170=0,COUNTIFS($A$4:$A169,"&gt;="&amp;$A170-1,$A$4:$A169,"&lt;="&amp;$A170,$B$4:$B169,$B170)&gt;0,MIN(AN$1,IF($A170=$A169,AN169,1))-S170&lt;0),-1,MIN(1,IF($A170=$A169,AN169,1)-S170+$D$3))</f>
        <v>#N/A</v>
      </c>
      <c r="AO170" s="47" t="e">
        <f>IF(OR($J170=0,COUNTIFS($A$4:$A169,"&gt;="&amp;$A170-1,$A$4:$A169,"&lt;="&amp;$A170,$B$4:$B169,$B170)&gt;0,MIN(AO$1,IF($A170=$A169,AO169,1))-T170&lt;0),-1,MIN(1,IF($A170=$A169,AO169,1)-T170+$D$3))</f>
        <v>#N/A</v>
      </c>
      <c r="AP170" s="47" t="e">
        <f>IF(OR($J170=0,COUNTIFS($A$4:$A169,"&gt;="&amp;$A170-1,$A$4:$A169,"&lt;="&amp;$A170,$B$4:$B169,$B170)&gt;0,MIN(AP$1,IF($A170=$A169,AP169,1))-U170&lt;0),-1,MIN(1,IF($A170=$A169,AP169,1)-U170+$D$3))</f>
        <v>#N/A</v>
      </c>
      <c r="AQ170" s="47" t="e">
        <f>IF(OR($J170=0,COUNTIFS($A$4:$A169,"&gt;="&amp;$A170-1,$A$4:$A169,"&lt;="&amp;$A170,$B$4:$B169,$B170)&gt;0,MIN(AQ$1,IF($A170=$A169,AQ169,1))-V170&lt;0),-1,MIN(1,IF($A170=$A169,AQ169,1)-V170+$D$3))</f>
        <v>#N/A</v>
      </c>
      <c r="AR170" s="47" t="e">
        <f>IF(OR($J170=0,COUNTIFS($A$4:$A169,"&gt;="&amp;$A170-1,$A$4:$A169,"&lt;="&amp;$A170,$B$4:$B169,$B170)&gt;0,MIN(AR$1,IF($A170=$A169,AR169,1))-W170&lt;0),-1,MIN(1,IF($A170=$A169,AR169,1)-W170+$D$3))</f>
        <v>#N/A</v>
      </c>
      <c r="AS170" s="47" t="e">
        <f>IF(OR($J170=0,COUNTIFS($A$4:$A169,"&gt;="&amp;$A170-1,$A$4:$A169,"&lt;="&amp;$A170,$B$4:$B169,$B170)&gt;0,MIN(AS$1,IF($A170=$A169,AS169,1))-X170&lt;0),-1,MIN(1,IF($A170=$A169,AS169,1)-X170+$D$3))</f>
        <v>#N/A</v>
      </c>
      <c r="AT170" s="47" t="e">
        <f>IF(OR($J170=0,COUNTIFS($A$4:$A169,"&gt;="&amp;$A170-1,$A$4:$A169,"&lt;="&amp;$A170,$B$4:$B169,$B170)&gt;0,MIN(AT$1,IF($A170=$A169,AT169,1))-Y170&lt;0),-1,MIN(1,IF($A170=$A169,AT169,1)-Y170+$D$3))</f>
        <v>#N/A</v>
      </c>
      <c r="AU170" s="47" t="e">
        <f>IF(OR($J170=0,COUNTIFS($A$4:$A169,"&gt;="&amp;$A170-1,$A$4:$A169,"&lt;="&amp;$A170,$B$4:$B169,$B170)&gt;0,MIN(AU$1,IF($A170=$A169,AU169,1))-Z170&lt;0),-1,MIN(1,IF($A170=$A169,AU169,1)-Z170+$D$3))</f>
        <v>#N/A</v>
      </c>
      <c r="AV170" s="47" t="e">
        <f>IF(OR($J170=0,COUNTIFS($A$4:$A169,"&gt;="&amp;$A170-1,$A$4:$A169,"&lt;="&amp;$A170,$B$4:$B169,$B170)&gt;0,MIN(AV$1,IF($A170=$A169,AV169,1))-AA170&lt;0),-1,MIN(1,IF($A170=$A169,AV169,1)-AA170+$D$3))</f>
        <v>#N/A</v>
      </c>
      <c r="AW170" s="47" t="e">
        <f>IF(OR($J170=0,COUNTIFS($A$4:$A169,"&gt;="&amp;$A170-1,$A$4:$A169,"&lt;="&amp;$A170,$B$4:$B169,$B170)&gt;0,MIN(AW$1,IF($A170=$A169,AW169,1))-AB170&lt;0),-1,MIN(1,IF($A170=$A169,AW169,1)-AB170+$D$3))</f>
        <v>#N/A</v>
      </c>
      <c r="AX170" s="47" t="e">
        <f>IF(OR($J170=0,COUNTIFS($A$4:$A169,"&gt;="&amp;$A170-1,$A$4:$A169,"&lt;="&amp;$A170,$B$4:$B169,$B170)&gt;0,MIN(AX$1,IF($A170=$A169,AX169,1))-AC170&lt;0),-1,MIN(1,IF($A170=$A169,AX169,1)-AC170+$D$3))</f>
        <v>#N/A</v>
      </c>
      <c r="AY170" s="47" t="e">
        <f>IF(OR($J170=0,COUNTIFS($A$4:$A169,"&gt;="&amp;$A170-1,$A$4:$A169,"&lt;="&amp;$A170,$B$4:$B169,$B170)&gt;0,MIN(AY$1,IF($A170=$A169,AY169,1))-AD170&lt;0),-1,MIN(1,IF($A170=$A169,AY169,1)-AD170+$D$3))</f>
        <v>#N/A</v>
      </c>
      <c r="AZ170" s="47" t="e">
        <f>IF(OR($J170=0,COUNTIFS($A$4:$A169,"&gt;="&amp;$A170-1,$A$4:$A169,"&lt;="&amp;$A170,$B$4:$B169,$B170)&gt;0,MIN(AZ$1,IF($A170=$A169,AZ169,1))-AE170&lt;0),-1,MIN(1,IF($A170=$A169,AZ169,1)-AE170+$D$3))</f>
        <v>#N/A</v>
      </c>
      <c r="BA170" s="47" t="e">
        <f>IF(OR($J170=0,COUNTIFS($A$4:$A169,"&gt;="&amp;$A170-1,$A$4:$A169,"&lt;="&amp;$A170,$B$4:$B169,$B170)&gt;0,MIN(BA$1,IF($A170=$A169,BA169,1))-AF170&lt;0),-1,MIN(1,IF($A170=$A169,BA169,1)-AF170+$D$3))</f>
        <v>#N/A</v>
      </c>
      <c r="BB170" s="47" t="e">
        <f>IF(OR($J170=0,COUNTIFS($A$4:$A169,"&gt;="&amp;$A170-1,$A$4:$A169,"&lt;="&amp;$A170,$B$4:$B169,$B170)&gt;0,MIN(BB$1,IF($A170=$A169,BB169,1))-AG170&lt;0),-1,MIN(1,IF($A170=$A169,BB169,1)-AG170+$D$3))</f>
        <v>#N/A</v>
      </c>
      <c r="BC170" s="47" t="e">
        <f>IF(OR($J170=0,COUNTIFS($A$4:$A169,"&gt;="&amp;$A170-1,$A$4:$A169,"&lt;="&amp;$A170,$B$4:$B169,$B170)&gt;0,MIN(BC$1,IF($A170=$A169,BC169,1))-AH170&lt;0),-1,MIN(1,IF($A170=$A169,BC169,1)-AH170+$D$3))</f>
        <v>#N/A</v>
      </c>
      <c r="BD170" s="47" t="e">
        <f>IF(OR($J170=0,COUNTIFS($A$4:$A169,"&gt;="&amp;$A170-1,$A$4:$A169,"&lt;="&amp;$A170,$B$4:$B169,$B170)&gt;0,MIN(BD$1,IF($A170=$A169,BD169,1))-AI170&lt;0),-1,MIN(1,IF($A170=$A169,BD169,1)-AI170+$D$3))</f>
        <v>#N/A</v>
      </c>
      <c r="BE170" s="47"/>
      <c r="BF170" s="53">
        <f t="shared" si="223"/>
        <v>4.2503468457394519E-4</v>
      </c>
      <c r="BG170" s="53">
        <f t="shared" si="224"/>
        <v>1.0452802261907616E-3</v>
      </c>
      <c r="BH170" s="53">
        <f t="shared" si="225"/>
        <v>1.0713022791340339E-3</v>
      </c>
      <c r="BI170" s="53">
        <f t="shared" si="226"/>
        <v>9.8958587139770515E-4</v>
      </c>
      <c r="BJ170" s="53">
        <f t="shared" si="227"/>
        <v>1.0228309453740308E-3</v>
      </c>
      <c r="BK170" s="53">
        <f t="shared" si="228"/>
        <v>4.3924174413361702E-4</v>
      </c>
      <c r="BL170" s="53">
        <f t="shared" si="229"/>
        <v>2.3728530050528816E-4</v>
      </c>
      <c r="BM170" s="53">
        <f t="shared" si="230"/>
        <v>6.0362609548600258E-4</v>
      </c>
      <c r="BN170" s="53">
        <f t="shared" si="231"/>
        <v>6.2781818313525158E-4</v>
      </c>
      <c r="BO170" s="53">
        <f t="shared" si="232"/>
        <v>2.9421942358291172E-4</v>
      </c>
      <c r="BP170" s="53">
        <f t="shared" si="233"/>
        <v>9.8930625653040403E-4</v>
      </c>
      <c r="BQ170" s="53">
        <f t="shared" si="234"/>
        <v>2.6697280599902217E-4</v>
      </c>
      <c r="BR170" s="53">
        <f t="shared" si="235"/>
        <v>7.8870449920347629E-4</v>
      </c>
      <c r="BS170" s="53">
        <f t="shared" si="236"/>
        <v>4.2535880261892567E-4</v>
      </c>
      <c r="BT170" s="53">
        <f t="shared" si="237"/>
        <v>1.6832751869538174E-3</v>
      </c>
      <c r="BU170" s="53">
        <f t="shared" si="238"/>
        <v>1.6080343204036981E-3</v>
      </c>
      <c r="BV170" s="53">
        <f t="shared" si="239"/>
        <v>1.5443029606676457E-3</v>
      </c>
      <c r="BW170" s="53">
        <f t="shared" si="240"/>
        <v>1.0100591199128811E-3</v>
      </c>
      <c r="BX170" s="53">
        <f t="shared" si="241"/>
        <v>7.4621333587323593E-4</v>
      </c>
      <c r="BY170" s="53">
        <f t="shared" si="242"/>
        <v>6.4070991633145521E-4</v>
      </c>
      <c r="BZ170" s="47"/>
      <c r="CA170" s="53" t="str">
        <f t="shared" si="243"/>
        <v/>
      </c>
      <c r="CB170" s="53" t="str">
        <f t="shared" si="244"/>
        <v/>
      </c>
      <c r="CC170" s="53" t="str">
        <f t="shared" si="245"/>
        <v/>
      </c>
      <c r="CD170" s="53" t="str">
        <f t="shared" si="246"/>
        <v/>
      </c>
      <c r="CE170" s="53" t="str">
        <f t="shared" si="247"/>
        <v/>
      </c>
      <c r="CF170" s="53" t="str">
        <f t="shared" si="248"/>
        <v/>
      </c>
      <c r="CG170" s="53" t="str">
        <f t="shared" si="249"/>
        <v/>
      </c>
      <c r="CH170" s="53" t="str">
        <f t="shared" si="250"/>
        <v/>
      </c>
      <c r="CI170" s="53" t="str">
        <f t="shared" si="251"/>
        <v/>
      </c>
      <c r="CJ170" s="53" t="str">
        <f t="shared" si="252"/>
        <v/>
      </c>
      <c r="CK170" s="53" t="str">
        <f t="shared" si="253"/>
        <v/>
      </c>
      <c r="CL170" s="53" t="str">
        <f t="shared" si="254"/>
        <v/>
      </c>
      <c r="CM170" s="53" t="str">
        <f t="shared" si="255"/>
        <v/>
      </c>
      <c r="CN170" s="53" t="str">
        <f t="shared" si="256"/>
        <v/>
      </c>
      <c r="CO170" s="53" t="str">
        <f t="shared" si="257"/>
        <v/>
      </c>
      <c r="CP170" s="53" t="str">
        <f t="shared" si="258"/>
        <v/>
      </c>
      <c r="CQ170" s="53" t="str">
        <f t="shared" si="259"/>
        <v/>
      </c>
      <c r="CR170" s="53" t="str">
        <f t="shared" si="260"/>
        <v/>
      </c>
      <c r="CS170" s="53" t="str">
        <f t="shared" si="261"/>
        <v/>
      </c>
      <c r="CT170" s="53" t="str">
        <f t="shared" si="262"/>
        <v/>
      </c>
      <c r="CU170" s="47"/>
      <c r="CV170" s="53">
        <f t="shared" si="263"/>
        <v>0</v>
      </c>
    </row>
    <row r="171" spans="1:100" x14ac:dyDescent="0.25">
      <c r="A171" s="41"/>
      <c r="B171" s="42"/>
      <c r="C171" s="43" t="str" cm="1">
        <f t="array" ref="C171">IF(B171="","",INDEX(UWS!$B$10:$B$41,B171))</f>
        <v/>
      </c>
      <c r="D171" s="40" t="str">
        <f t="shared" si="220"/>
        <v/>
      </c>
      <c r="E171" s="69" t="str">
        <f t="shared" si="221"/>
        <v/>
      </c>
      <c r="F171" s="48" cm="1">
        <f t="array" ref="F171">0.1+IFERROR(INDEX($F$5:$F170,SUMPRODUCT(MAX(ROW($C$5:$C170)*($C171=$C$5:$C170))-ROW($A$4)))*0.9^($A171-INDEX($A$5:A170,SUMPRODUCT(MAX(ROW($C$5:$C170)*($C171=$C$5:$C170))-ROW($A$4)))),0)</f>
        <v>10.599999999999978</v>
      </c>
      <c r="G171" s="55" t="e">
        <f>INDEX(UWS!$AB$10:$AB$41,MATCH(C171,UWS!$B$10:$B$41,0))</f>
        <v>#N/A</v>
      </c>
      <c r="H171" s="48" t="e">
        <f>INDEX(UWS!$C$10:$C$41,MATCH(C171,UWS!$B$10:$B$41,0))</f>
        <v>#N/A</v>
      </c>
      <c r="I171" s="82">
        <f t="shared" si="222"/>
        <v>5</v>
      </c>
      <c r="J171" s="27" t="e">
        <f>INDEX(UWS!$E$10:$E$41,MATCH(C171,UWS!$B$10:$B$41,0))</f>
        <v>#N/A</v>
      </c>
      <c r="L171" s="108" t="str" cm="1">
        <f t="array" ref="L171">IF(K171="","",INDEX(UWS!$B$10:$B$41,K171))</f>
        <v/>
      </c>
      <c r="N171" s="108" t="str" cm="1">
        <f t="array" ref="N171">IF(M171="","",INDEX(UWS!$B$10:$B$41,M171))</f>
        <v/>
      </c>
      <c r="P171">
        <f>IFERROR(INDEX(UWS!$G$10:$Z$41,MATCH($C171,UWS!$B$10:$B$41,0),MATCH(P$4,UWS!$G$3:$Z$3,0)),0)</f>
        <v>0</v>
      </c>
      <c r="Q171">
        <f>IFERROR(INDEX(UWS!$G$10:$Z$41,MATCH($C171,UWS!$B$10:$B$41,0),MATCH(Q$4,UWS!$G$3:$Z$3,0)),0)</f>
        <v>0</v>
      </c>
      <c r="R171">
        <f>IFERROR(INDEX(UWS!$G$10:$Z$41,MATCH($C171,UWS!$B$10:$B$41,0),MATCH(R$4,UWS!$G$3:$Z$3,0)),0)</f>
        <v>0</v>
      </c>
      <c r="S171">
        <f>IFERROR(INDEX(UWS!$G$10:$Z$41,MATCH($C171,UWS!$B$10:$B$41,0),MATCH(S$4,UWS!$G$3:$Z$3,0)),0)</f>
        <v>0</v>
      </c>
      <c r="T171">
        <f>IFERROR(INDEX(UWS!$G$10:$Z$41,MATCH($C171,UWS!$B$10:$B$41,0),MATCH(T$4,UWS!$G$3:$Z$3,0)),0)</f>
        <v>0</v>
      </c>
      <c r="U171">
        <f>IFERROR(INDEX(UWS!$G$10:$Z$41,MATCH($C171,UWS!$B$10:$B$41,0),MATCH(U$4,UWS!$G$3:$Z$3,0)),0)</f>
        <v>0</v>
      </c>
      <c r="V171">
        <f>IFERROR(INDEX(UWS!$G$10:$Z$41,MATCH($C171,UWS!$B$10:$B$41,0),MATCH(V$4,UWS!$G$3:$Z$3,0)),0)</f>
        <v>0</v>
      </c>
      <c r="W171">
        <f>IFERROR(INDEX(UWS!$G$10:$Z$41,MATCH($C171,UWS!$B$10:$B$41,0),MATCH(W$4,UWS!$G$3:$Z$3,0)),0)</f>
        <v>0</v>
      </c>
      <c r="X171">
        <f>IFERROR(INDEX(UWS!$G$10:$Z$41,MATCH($C171,UWS!$B$10:$B$41,0),MATCH(X$4,UWS!$G$3:$Z$3,0)),0)</f>
        <v>0</v>
      </c>
      <c r="Y171">
        <f>IFERROR(INDEX(UWS!$G$10:$Z$41,MATCH($C171,UWS!$B$10:$B$41,0),MATCH(Y$4,UWS!$G$3:$Z$3,0)),0)</f>
        <v>0</v>
      </c>
      <c r="Z171">
        <f>IFERROR(INDEX(UWS!$G$10:$Z$41,MATCH($C171,UWS!$B$10:$B$41,0),MATCH(Z$4,UWS!$G$3:$Z$3,0)),0)</f>
        <v>0</v>
      </c>
      <c r="AA171">
        <f>IFERROR(INDEX(UWS!$G$10:$Z$41,MATCH($C171,UWS!$B$10:$B$41,0),MATCH(AA$4,UWS!$G$3:$Z$3,0)),0)</f>
        <v>0</v>
      </c>
      <c r="AB171">
        <f>IFERROR(INDEX(UWS!$G$10:$Z$41,MATCH($C171,UWS!$B$10:$B$41,0),MATCH(AB$4,UWS!$G$3:$Z$3,0)),0)</f>
        <v>0</v>
      </c>
      <c r="AC171">
        <f>IFERROR(INDEX(UWS!$G$10:$Z$41,MATCH($C171,UWS!$B$10:$B$41,0),MATCH(AC$4,UWS!$G$3:$Z$3,0)),0)</f>
        <v>0</v>
      </c>
      <c r="AD171">
        <f>IFERROR(INDEX(UWS!$G$10:$Z$41,MATCH($C171,UWS!$B$10:$B$41,0),MATCH(AD$4,UWS!$G$3:$Z$3,0)),0)</f>
        <v>0</v>
      </c>
      <c r="AE171">
        <f>IFERROR(INDEX(UWS!$G$10:$Z$41,MATCH($C171,UWS!$B$10:$B$41,0),MATCH(AE$4,UWS!$G$3:$Z$3,0)),0)</f>
        <v>0</v>
      </c>
      <c r="AF171">
        <f>IFERROR(INDEX(UWS!$G$10:$Z$41,MATCH($C171,UWS!$B$10:$B$41,0),MATCH(AF$4,UWS!$G$3:$Z$3,0)),0)</f>
        <v>0</v>
      </c>
      <c r="AG171">
        <f>IFERROR(INDEX(UWS!$G$10:$Z$41,MATCH($C171,UWS!$B$10:$B$41,0),MATCH(AG$4,UWS!$G$3:$Z$3,0)),0)</f>
        <v>0</v>
      </c>
      <c r="AH171">
        <f>IFERROR(INDEX(UWS!$G$10:$Z$41,MATCH($C171,UWS!$B$10:$B$41,0),MATCH(AH$4,UWS!$G$3:$Z$3,0)),0)</f>
        <v>0</v>
      </c>
      <c r="AI171">
        <f>IFERROR(INDEX(UWS!$G$10:$Z$41,MATCH($C171,UWS!$B$10:$B$41,0),MATCH(AI$4,UWS!$G$3:$Z$3,0)),0)</f>
        <v>0</v>
      </c>
      <c r="AK171" t="e">
        <f>IF(OR($J171=0,COUNTIFS($A$4:$A170,"&gt;="&amp;$A171-1,$A$4:$A170,"&lt;="&amp;$A171,$B$4:$B170,$B171)&gt;0,MIN(AK$1,IF($A171=$A170,AK170,1))-P171&lt;0),-1,MIN(1,IF($A171=$A170,AK170,1)-P171+$D$3))</f>
        <v>#N/A</v>
      </c>
      <c r="AL171" t="e">
        <f>IF(OR($J171=0,COUNTIFS($A$4:$A170,"&gt;="&amp;$A171-1,$A$4:$A170,"&lt;="&amp;$A171,$B$4:$B170,$B171)&gt;0,MIN(AL$1,IF($A171=$A170,AL170,1))-Q171&lt;0),-1,MIN(1,IF($A171=$A170,AL170,1)-Q171+$D$3))</f>
        <v>#N/A</v>
      </c>
      <c r="AM171" t="e">
        <f>IF(OR($J171=0,COUNTIFS($A$4:$A170,"&gt;="&amp;$A171-1,$A$4:$A170,"&lt;="&amp;$A171,$B$4:$B170,$B171)&gt;0,MIN(AM$1,IF($A171=$A170,AM170,1))-R171&lt;0),-1,MIN(1,IF($A171=$A170,AM170,1)-R171+$D$3))</f>
        <v>#N/A</v>
      </c>
      <c r="AN171" t="e">
        <f>IF(OR($J171=0,COUNTIFS($A$4:$A170,"&gt;="&amp;$A171-1,$A$4:$A170,"&lt;="&amp;$A171,$B$4:$B170,$B171)&gt;0,MIN(AN$1,IF($A171=$A170,AN170,1))-S171&lt;0),-1,MIN(1,IF($A171=$A170,AN170,1)-S171+$D$3))</f>
        <v>#N/A</v>
      </c>
      <c r="AO171" t="e">
        <f>IF(OR($J171=0,COUNTIFS($A$4:$A170,"&gt;="&amp;$A171-1,$A$4:$A170,"&lt;="&amp;$A171,$B$4:$B170,$B171)&gt;0,MIN(AO$1,IF($A171=$A170,AO170,1))-T171&lt;0),-1,MIN(1,IF($A171=$A170,AO170,1)-T171+$D$3))</f>
        <v>#N/A</v>
      </c>
      <c r="AP171" t="e">
        <f>IF(OR($J171=0,COUNTIFS($A$4:$A170,"&gt;="&amp;$A171-1,$A$4:$A170,"&lt;="&amp;$A171,$B$4:$B170,$B171)&gt;0,MIN(AP$1,IF($A171=$A170,AP170,1))-U171&lt;0),-1,MIN(1,IF($A171=$A170,AP170,1)-U171+$D$3))</f>
        <v>#N/A</v>
      </c>
      <c r="AQ171" t="e">
        <f>IF(OR($J171=0,COUNTIFS($A$4:$A170,"&gt;="&amp;$A171-1,$A$4:$A170,"&lt;="&amp;$A171,$B$4:$B170,$B171)&gt;0,MIN(AQ$1,IF($A171=$A170,AQ170,1))-V171&lt;0),-1,MIN(1,IF($A171=$A170,AQ170,1)-V171+$D$3))</f>
        <v>#N/A</v>
      </c>
      <c r="AR171" t="e">
        <f>IF(OR($J171=0,COUNTIFS($A$4:$A170,"&gt;="&amp;$A171-1,$A$4:$A170,"&lt;="&amp;$A171,$B$4:$B170,$B171)&gt;0,MIN(AR$1,IF($A171=$A170,AR170,1))-W171&lt;0),-1,MIN(1,IF($A171=$A170,AR170,1)-W171+$D$3))</f>
        <v>#N/A</v>
      </c>
      <c r="AS171" t="e">
        <f>IF(OR($J171=0,COUNTIFS($A$4:$A170,"&gt;="&amp;$A171-1,$A$4:$A170,"&lt;="&amp;$A171,$B$4:$B170,$B171)&gt;0,MIN(AS$1,IF($A171=$A170,AS170,1))-X171&lt;0),-1,MIN(1,IF($A171=$A170,AS170,1)-X171+$D$3))</f>
        <v>#N/A</v>
      </c>
      <c r="AT171" t="e">
        <f>IF(OR($J171=0,COUNTIFS($A$4:$A170,"&gt;="&amp;$A171-1,$A$4:$A170,"&lt;="&amp;$A171,$B$4:$B170,$B171)&gt;0,MIN(AT$1,IF($A171=$A170,AT170,1))-Y171&lt;0),-1,MIN(1,IF($A171=$A170,AT170,1)-Y171+$D$3))</f>
        <v>#N/A</v>
      </c>
      <c r="AU171" t="e">
        <f>IF(OR($J171=0,COUNTIFS($A$4:$A170,"&gt;="&amp;$A171-1,$A$4:$A170,"&lt;="&amp;$A171,$B$4:$B170,$B171)&gt;0,MIN(AU$1,IF($A171=$A170,AU170,1))-Z171&lt;0),-1,MIN(1,IF($A171=$A170,AU170,1)-Z171+$D$3))</f>
        <v>#N/A</v>
      </c>
      <c r="AV171" t="e">
        <f>IF(OR($J171=0,COUNTIFS($A$4:$A170,"&gt;="&amp;$A171-1,$A$4:$A170,"&lt;="&amp;$A171,$B$4:$B170,$B171)&gt;0,MIN(AV$1,IF($A171=$A170,AV170,1))-AA171&lt;0),-1,MIN(1,IF($A171=$A170,AV170,1)-AA171+$D$3))</f>
        <v>#N/A</v>
      </c>
      <c r="AW171" t="e">
        <f>IF(OR($J171=0,COUNTIFS($A$4:$A170,"&gt;="&amp;$A171-1,$A$4:$A170,"&lt;="&amp;$A171,$B$4:$B170,$B171)&gt;0,MIN(AW$1,IF($A171=$A170,AW170,1))-AB171&lt;0),-1,MIN(1,IF($A171=$A170,AW170,1)-AB171+$D$3))</f>
        <v>#N/A</v>
      </c>
      <c r="AX171" t="e">
        <f>IF(OR($J171=0,COUNTIFS($A$4:$A170,"&gt;="&amp;$A171-1,$A$4:$A170,"&lt;="&amp;$A171,$B$4:$B170,$B171)&gt;0,MIN(AX$1,IF($A171=$A170,AX170,1))-AC171&lt;0),-1,MIN(1,IF($A171=$A170,AX170,1)-AC171+$D$3))</f>
        <v>#N/A</v>
      </c>
      <c r="AY171" t="e">
        <f>IF(OR($J171=0,COUNTIFS($A$4:$A170,"&gt;="&amp;$A171-1,$A$4:$A170,"&lt;="&amp;$A171,$B$4:$B170,$B171)&gt;0,MIN(AY$1,IF($A171=$A170,AY170,1))-AD171&lt;0),-1,MIN(1,IF($A171=$A170,AY170,1)-AD171+$D$3))</f>
        <v>#N/A</v>
      </c>
      <c r="AZ171" t="e">
        <f>IF(OR($J171=0,COUNTIFS($A$4:$A170,"&gt;="&amp;$A171-1,$A$4:$A170,"&lt;="&amp;$A171,$B$4:$B170,$B171)&gt;0,MIN(AZ$1,IF($A171=$A170,AZ170,1))-AE171&lt;0),-1,MIN(1,IF($A171=$A170,AZ170,1)-AE171+$D$3))</f>
        <v>#N/A</v>
      </c>
      <c r="BA171" t="e">
        <f>IF(OR($J171=0,COUNTIFS($A$4:$A170,"&gt;="&amp;$A171-1,$A$4:$A170,"&lt;="&amp;$A171,$B$4:$B170,$B171)&gt;0,MIN(BA$1,IF($A171=$A170,BA170,1))-AF171&lt;0),-1,MIN(1,IF($A171=$A170,BA170,1)-AF171+$D$3))</f>
        <v>#N/A</v>
      </c>
      <c r="BB171" t="e">
        <f>IF(OR($J171=0,COUNTIFS($A$4:$A170,"&gt;="&amp;$A171-1,$A$4:$A170,"&lt;="&amp;$A171,$B$4:$B170,$B171)&gt;0,MIN(BB$1,IF($A171=$A170,BB170,1))-AG171&lt;0),-1,MIN(1,IF($A171=$A170,BB170,1)-AG171+$D$3))</f>
        <v>#N/A</v>
      </c>
      <c r="BC171" t="e">
        <f>IF(OR($J171=0,COUNTIFS($A$4:$A170,"&gt;="&amp;$A171-1,$A$4:$A170,"&lt;="&amp;$A171,$B$4:$B170,$B171)&gt;0,MIN(BC$1,IF($A171=$A170,BC170,1))-AH171&lt;0),-1,MIN(1,IF($A171=$A170,BC170,1)-AH171+$D$3))</f>
        <v>#N/A</v>
      </c>
      <c r="BD171" t="e">
        <f>IF(OR($J171=0,COUNTIFS($A$4:$A170,"&gt;="&amp;$A171-1,$A$4:$A170,"&lt;="&amp;$A171,$B$4:$B170,$B171)&gt;0,MIN(BD$1,IF($A171=$A170,BD170,1))-AI171&lt;0),-1,MIN(1,IF($A171=$A170,BD170,1)-AI171+$D$3))</f>
        <v>#N/A</v>
      </c>
      <c r="BF171" s="44">
        <f t="shared" si="223"/>
        <v>4.0378295034524791E-4</v>
      </c>
      <c r="BG171" s="44">
        <f t="shared" si="224"/>
        <v>9.9301621488122349E-4</v>
      </c>
      <c r="BH171" s="44">
        <f t="shared" si="225"/>
        <v>1.0177371651773322E-3</v>
      </c>
      <c r="BI171" s="44">
        <f t="shared" si="226"/>
        <v>9.4010657782781989E-4</v>
      </c>
      <c r="BJ171" s="44">
        <f t="shared" si="227"/>
        <v>9.7168939810532917E-4</v>
      </c>
      <c r="BK171" s="44">
        <f t="shared" si="228"/>
        <v>4.1727965692693614E-4</v>
      </c>
      <c r="BL171" s="44">
        <f t="shared" si="229"/>
        <v>2.2542103548002374E-4</v>
      </c>
      <c r="BM171" s="44">
        <f t="shared" si="230"/>
        <v>5.7344479071170238E-4</v>
      </c>
      <c r="BN171" s="44">
        <f t="shared" si="231"/>
        <v>5.9642727397848894E-4</v>
      </c>
      <c r="BO171" s="44">
        <f t="shared" si="232"/>
        <v>2.7950845240376612E-4</v>
      </c>
      <c r="BP171" s="44">
        <f t="shared" si="233"/>
        <v>9.3984094370388376E-4</v>
      </c>
      <c r="BQ171" s="44">
        <f t="shared" si="234"/>
        <v>2.5362416569907104E-4</v>
      </c>
      <c r="BR171" s="44">
        <f t="shared" si="235"/>
        <v>7.4926927424330244E-4</v>
      </c>
      <c r="BS171" s="44">
        <f t="shared" si="236"/>
        <v>4.0409086248797938E-4</v>
      </c>
      <c r="BT171" s="44">
        <f t="shared" si="237"/>
        <v>1.5991114276061264E-3</v>
      </c>
      <c r="BU171" s="44">
        <f t="shared" si="238"/>
        <v>1.5276326043835132E-3</v>
      </c>
      <c r="BV171" s="44">
        <f t="shared" si="239"/>
        <v>1.4670878126342634E-3</v>
      </c>
      <c r="BW171" s="44">
        <f t="shared" si="240"/>
        <v>9.5955616391723696E-4</v>
      </c>
      <c r="BX171" s="44">
        <f t="shared" si="241"/>
        <v>7.0890266907957405E-4</v>
      </c>
      <c r="BY171" s="44">
        <f t="shared" si="242"/>
        <v>6.0867442051488238E-4</v>
      </c>
      <c r="CA171" s="44" t="str">
        <f t="shared" si="243"/>
        <v/>
      </c>
      <c r="CB171" s="44" t="str">
        <f t="shared" si="244"/>
        <v/>
      </c>
      <c r="CC171" s="44" t="str">
        <f t="shared" si="245"/>
        <v/>
      </c>
      <c r="CD171" s="44" t="str">
        <f t="shared" si="246"/>
        <v/>
      </c>
      <c r="CE171" s="44" t="str">
        <f t="shared" si="247"/>
        <v/>
      </c>
      <c r="CF171" s="44" t="str">
        <f t="shared" si="248"/>
        <v/>
      </c>
      <c r="CG171" s="44" t="str">
        <f t="shared" si="249"/>
        <v/>
      </c>
      <c r="CH171" s="44" t="str">
        <f t="shared" si="250"/>
        <v/>
      </c>
      <c r="CI171" s="44" t="str">
        <f t="shared" si="251"/>
        <v/>
      </c>
      <c r="CJ171" s="44" t="str">
        <f t="shared" si="252"/>
        <v/>
      </c>
      <c r="CK171" s="44" t="str">
        <f t="shared" si="253"/>
        <v/>
      </c>
      <c r="CL171" s="44" t="str">
        <f t="shared" si="254"/>
        <v/>
      </c>
      <c r="CM171" s="44" t="str">
        <f t="shared" si="255"/>
        <v/>
      </c>
      <c r="CN171" s="44" t="str">
        <f t="shared" si="256"/>
        <v/>
      </c>
      <c r="CO171" s="44" t="str">
        <f t="shared" si="257"/>
        <v/>
      </c>
      <c r="CP171" s="44" t="str">
        <f t="shared" si="258"/>
        <v/>
      </c>
      <c r="CQ171" s="44" t="str">
        <f t="shared" si="259"/>
        <v/>
      </c>
      <c r="CR171" s="44" t="str">
        <f t="shared" si="260"/>
        <v/>
      </c>
      <c r="CS171" s="44" t="str">
        <f t="shared" si="261"/>
        <v/>
      </c>
      <c r="CT171" s="44" t="str">
        <f t="shared" si="262"/>
        <v/>
      </c>
      <c r="CV171" s="44">
        <f t="shared" si="263"/>
        <v>0</v>
      </c>
    </row>
    <row r="172" spans="1:100" x14ac:dyDescent="0.25">
      <c r="A172" s="41"/>
      <c r="B172" s="42"/>
      <c r="C172" s="43" t="str" cm="1">
        <f t="array" ref="C172">IF(B172="","",INDEX(UWS!$B$10:$B$41,B172))</f>
        <v/>
      </c>
      <c r="D172" s="40" t="str">
        <f t="shared" si="220"/>
        <v/>
      </c>
      <c r="E172" s="69" t="str">
        <f t="shared" si="221"/>
        <v/>
      </c>
      <c r="F172" s="48" cm="1">
        <f t="array" ref="F172">0.1+IFERROR(INDEX($F$5:$F171,SUMPRODUCT(MAX(ROW($C$5:$C171)*($C172=$C$5:$C171))-ROW($A$4)))*0.9^($A172-INDEX($A$5:A171,SUMPRODUCT(MAX(ROW($C$5:$C171)*($C172=$C$5:$C171))-ROW($A$4)))),0)</f>
        <v>10.699999999999978</v>
      </c>
      <c r="G172" s="55" t="e">
        <f>INDEX(UWS!$AB$10:$AB$41,MATCH(C172,UWS!$B$10:$B$41,0))</f>
        <v>#N/A</v>
      </c>
      <c r="H172" s="48" t="e">
        <f>INDEX(UWS!$C$10:$C$41,MATCH(C172,UWS!$B$10:$B$41,0))</f>
        <v>#N/A</v>
      </c>
      <c r="I172" s="27">
        <f t="shared" si="222"/>
        <v>5</v>
      </c>
      <c r="J172" s="27" t="e">
        <f>INDEX(UWS!$E$10:$E$41,MATCH(C172,UWS!$B$10:$B$41,0))</f>
        <v>#N/A</v>
      </c>
      <c r="L172" s="108" t="str" cm="1">
        <f t="array" ref="L172">IF(K172="","",INDEX(UWS!$B$10:$B$41,K172))</f>
        <v/>
      </c>
      <c r="N172" s="108" t="str" cm="1">
        <f t="array" ref="N172">IF(M172="","",INDEX(UWS!$B$10:$B$41,M172))</f>
        <v/>
      </c>
      <c r="P172">
        <f>IFERROR(INDEX(UWS!$G$10:$Z$41,MATCH($C172,UWS!$B$10:$B$41,0),MATCH(P$4,UWS!$G$3:$Z$3,0)),0)</f>
        <v>0</v>
      </c>
      <c r="Q172">
        <f>IFERROR(INDEX(UWS!$G$10:$Z$41,MATCH($C172,UWS!$B$10:$B$41,0),MATCH(Q$4,UWS!$G$3:$Z$3,0)),0)</f>
        <v>0</v>
      </c>
      <c r="R172">
        <f>IFERROR(INDEX(UWS!$G$10:$Z$41,MATCH($C172,UWS!$B$10:$B$41,0),MATCH(R$4,UWS!$G$3:$Z$3,0)),0)</f>
        <v>0</v>
      </c>
      <c r="S172">
        <f>IFERROR(INDEX(UWS!$G$10:$Z$41,MATCH($C172,UWS!$B$10:$B$41,0),MATCH(S$4,UWS!$G$3:$Z$3,0)),0)</f>
        <v>0</v>
      </c>
      <c r="T172">
        <f>IFERROR(INDEX(UWS!$G$10:$Z$41,MATCH($C172,UWS!$B$10:$B$41,0),MATCH(T$4,UWS!$G$3:$Z$3,0)),0)</f>
        <v>0</v>
      </c>
      <c r="U172">
        <f>IFERROR(INDEX(UWS!$G$10:$Z$41,MATCH($C172,UWS!$B$10:$B$41,0),MATCH(U$4,UWS!$G$3:$Z$3,0)),0)</f>
        <v>0</v>
      </c>
      <c r="V172">
        <f>IFERROR(INDEX(UWS!$G$10:$Z$41,MATCH($C172,UWS!$B$10:$B$41,0),MATCH(V$4,UWS!$G$3:$Z$3,0)),0)</f>
        <v>0</v>
      </c>
      <c r="W172">
        <f>IFERROR(INDEX(UWS!$G$10:$Z$41,MATCH($C172,UWS!$B$10:$B$41,0),MATCH(W$4,UWS!$G$3:$Z$3,0)),0)</f>
        <v>0</v>
      </c>
      <c r="X172">
        <f>IFERROR(INDEX(UWS!$G$10:$Z$41,MATCH($C172,UWS!$B$10:$B$41,0),MATCH(X$4,UWS!$G$3:$Z$3,0)),0)</f>
        <v>0</v>
      </c>
      <c r="Y172">
        <f>IFERROR(INDEX(UWS!$G$10:$Z$41,MATCH($C172,UWS!$B$10:$B$41,0),MATCH(Y$4,UWS!$G$3:$Z$3,0)),0)</f>
        <v>0</v>
      </c>
      <c r="Z172">
        <f>IFERROR(INDEX(UWS!$G$10:$Z$41,MATCH($C172,UWS!$B$10:$B$41,0),MATCH(Z$4,UWS!$G$3:$Z$3,0)),0)</f>
        <v>0</v>
      </c>
      <c r="AA172">
        <f>IFERROR(INDEX(UWS!$G$10:$Z$41,MATCH($C172,UWS!$B$10:$B$41,0),MATCH(AA$4,UWS!$G$3:$Z$3,0)),0)</f>
        <v>0</v>
      </c>
      <c r="AB172">
        <f>IFERROR(INDEX(UWS!$G$10:$Z$41,MATCH($C172,UWS!$B$10:$B$41,0),MATCH(AB$4,UWS!$G$3:$Z$3,0)),0)</f>
        <v>0</v>
      </c>
      <c r="AC172">
        <f>IFERROR(INDEX(UWS!$G$10:$Z$41,MATCH($C172,UWS!$B$10:$B$41,0),MATCH(AC$4,UWS!$G$3:$Z$3,0)),0)</f>
        <v>0</v>
      </c>
      <c r="AD172">
        <f>IFERROR(INDEX(UWS!$G$10:$Z$41,MATCH($C172,UWS!$B$10:$B$41,0),MATCH(AD$4,UWS!$G$3:$Z$3,0)),0)</f>
        <v>0</v>
      </c>
      <c r="AE172">
        <f>IFERROR(INDEX(UWS!$G$10:$Z$41,MATCH($C172,UWS!$B$10:$B$41,0),MATCH(AE$4,UWS!$G$3:$Z$3,0)),0)</f>
        <v>0</v>
      </c>
      <c r="AF172">
        <f>IFERROR(INDEX(UWS!$G$10:$Z$41,MATCH($C172,UWS!$B$10:$B$41,0),MATCH(AF$4,UWS!$G$3:$Z$3,0)),0)</f>
        <v>0</v>
      </c>
      <c r="AG172">
        <f>IFERROR(INDEX(UWS!$G$10:$Z$41,MATCH($C172,UWS!$B$10:$B$41,0),MATCH(AG$4,UWS!$G$3:$Z$3,0)),0)</f>
        <v>0</v>
      </c>
      <c r="AH172">
        <f>IFERROR(INDEX(UWS!$G$10:$Z$41,MATCH($C172,UWS!$B$10:$B$41,0),MATCH(AH$4,UWS!$G$3:$Z$3,0)),0)</f>
        <v>0</v>
      </c>
      <c r="AI172">
        <f>IFERROR(INDEX(UWS!$G$10:$Z$41,MATCH($C172,UWS!$B$10:$B$41,0),MATCH(AI$4,UWS!$G$3:$Z$3,0)),0)</f>
        <v>0</v>
      </c>
      <c r="AK172" t="e">
        <f>IF(OR($J172=0,COUNTIFS($A$4:$A171,"&gt;="&amp;$A172-1,$A$4:$A171,"&lt;="&amp;$A172,$B$4:$B171,$B172)&gt;0,MIN(AK$1,IF($A172=$A171,AK171,1))-P172&lt;0),-1,MIN(1,IF($A172=$A171,AK171,1)-P172+$D$3))</f>
        <v>#N/A</v>
      </c>
      <c r="AL172" t="e">
        <f>IF(OR($J172=0,COUNTIFS($A$4:$A171,"&gt;="&amp;$A172-1,$A$4:$A171,"&lt;="&amp;$A172,$B$4:$B171,$B172)&gt;0,MIN(AL$1,IF($A172=$A171,AL171,1))-Q172&lt;0),-1,MIN(1,IF($A172=$A171,AL171,1)-Q172+$D$3))</f>
        <v>#N/A</v>
      </c>
      <c r="AM172" t="e">
        <f>IF(OR($J172=0,COUNTIFS($A$4:$A171,"&gt;="&amp;$A172-1,$A$4:$A171,"&lt;="&amp;$A172,$B$4:$B171,$B172)&gt;0,MIN(AM$1,IF($A172=$A171,AM171,1))-R172&lt;0),-1,MIN(1,IF($A172=$A171,AM171,1)-R172+$D$3))</f>
        <v>#N/A</v>
      </c>
      <c r="AN172" t="e">
        <f>IF(OR($J172=0,COUNTIFS($A$4:$A171,"&gt;="&amp;$A172-1,$A$4:$A171,"&lt;="&amp;$A172,$B$4:$B171,$B172)&gt;0,MIN(AN$1,IF($A172=$A171,AN171,1))-S172&lt;0),-1,MIN(1,IF($A172=$A171,AN171,1)-S172+$D$3))</f>
        <v>#N/A</v>
      </c>
      <c r="AO172" t="e">
        <f>IF(OR($J172=0,COUNTIFS($A$4:$A171,"&gt;="&amp;$A172-1,$A$4:$A171,"&lt;="&amp;$A172,$B$4:$B171,$B172)&gt;0,MIN(AO$1,IF($A172=$A171,AO171,1))-T172&lt;0),-1,MIN(1,IF($A172=$A171,AO171,1)-T172+$D$3))</f>
        <v>#N/A</v>
      </c>
      <c r="AP172" t="e">
        <f>IF(OR($J172=0,COUNTIFS($A$4:$A171,"&gt;="&amp;$A172-1,$A$4:$A171,"&lt;="&amp;$A172,$B$4:$B171,$B172)&gt;0,MIN(AP$1,IF($A172=$A171,AP171,1))-U172&lt;0),-1,MIN(1,IF($A172=$A171,AP171,1)-U172+$D$3))</f>
        <v>#N/A</v>
      </c>
      <c r="AQ172" t="e">
        <f>IF(OR($J172=0,COUNTIFS($A$4:$A171,"&gt;="&amp;$A172-1,$A$4:$A171,"&lt;="&amp;$A172,$B$4:$B171,$B172)&gt;0,MIN(AQ$1,IF($A172=$A171,AQ171,1))-V172&lt;0),-1,MIN(1,IF($A172=$A171,AQ171,1)-V172+$D$3))</f>
        <v>#N/A</v>
      </c>
      <c r="AR172" t="e">
        <f>IF(OR($J172=0,COUNTIFS($A$4:$A171,"&gt;="&amp;$A172-1,$A$4:$A171,"&lt;="&amp;$A172,$B$4:$B171,$B172)&gt;0,MIN(AR$1,IF($A172=$A171,AR171,1))-W172&lt;0),-1,MIN(1,IF($A172=$A171,AR171,1)-W172+$D$3))</f>
        <v>#N/A</v>
      </c>
      <c r="AS172" t="e">
        <f>IF(OR($J172=0,COUNTIFS($A$4:$A171,"&gt;="&amp;$A172-1,$A$4:$A171,"&lt;="&amp;$A172,$B$4:$B171,$B172)&gt;0,MIN(AS$1,IF($A172=$A171,AS171,1))-X172&lt;0),-1,MIN(1,IF($A172=$A171,AS171,1)-X172+$D$3))</f>
        <v>#N/A</v>
      </c>
      <c r="AT172" t="e">
        <f>IF(OR($J172=0,COUNTIFS($A$4:$A171,"&gt;="&amp;$A172-1,$A$4:$A171,"&lt;="&amp;$A172,$B$4:$B171,$B172)&gt;0,MIN(AT$1,IF($A172=$A171,AT171,1))-Y172&lt;0),-1,MIN(1,IF($A172=$A171,AT171,1)-Y172+$D$3))</f>
        <v>#N/A</v>
      </c>
      <c r="AU172" t="e">
        <f>IF(OR($J172=0,COUNTIFS($A$4:$A171,"&gt;="&amp;$A172-1,$A$4:$A171,"&lt;="&amp;$A172,$B$4:$B171,$B172)&gt;0,MIN(AU$1,IF($A172=$A171,AU171,1))-Z172&lt;0),-1,MIN(1,IF($A172=$A171,AU171,1)-Z172+$D$3))</f>
        <v>#N/A</v>
      </c>
      <c r="AV172" t="e">
        <f>IF(OR($J172=0,COUNTIFS($A$4:$A171,"&gt;="&amp;$A172-1,$A$4:$A171,"&lt;="&amp;$A172,$B$4:$B171,$B172)&gt;0,MIN(AV$1,IF($A172=$A171,AV171,1))-AA172&lt;0),-1,MIN(1,IF($A172=$A171,AV171,1)-AA172+$D$3))</f>
        <v>#N/A</v>
      </c>
      <c r="AW172" t="e">
        <f>IF(OR($J172=0,COUNTIFS($A$4:$A171,"&gt;="&amp;$A172-1,$A$4:$A171,"&lt;="&amp;$A172,$B$4:$B171,$B172)&gt;0,MIN(AW$1,IF($A172=$A171,AW171,1))-AB172&lt;0),-1,MIN(1,IF($A172=$A171,AW171,1)-AB172+$D$3))</f>
        <v>#N/A</v>
      </c>
      <c r="AX172" t="e">
        <f>IF(OR($J172=0,COUNTIFS($A$4:$A171,"&gt;="&amp;$A172-1,$A$4:$A171,"&lt;="&amp;$A172,$B$4:$B171,$B172)&gt;0,MIN(AX$1,IF($A172=$A171,AX171,1))-AC172&lt;0),-1,MIN(1,IF($A172=$A171,AX171,1)-AC172+$D$3))</f>
        <v>#N/A</v>
      </c>
      <c r="AY172" t="e">
        <f>IF(OR($J172=0,COUNTIFS($A$4:$A171,"&gt;="&amp;$A172-1,$A$4:$A171,"&lt;="&amp;$A172,$B$4:$B171,$B172)&gt;0,MIN(AY$1,IF($A172=$A171,AY171,1))-AD172&lt;0),-1,MIN(1,IF($A172=$A171,AY171,1)-AD172+$D$3))</f>
        <v>#N/A</v>
      </c>
      <c r="AZ172" t="e">
        <f>IF(OR($J172=0,COUNTIFS($A$4:$A171,"&gt;="&amp;$A172-1,$A$4:$A171,"&lt;="&amp;$A172,$B$4:$B171,$B172)&gt;0,MIN(AZ$1,IF($A172=$A171,AZ171,1))-AE172&lt;0),-1,MIN(1,IF($A172=$A171,AZ171,1)-AE172+$D$3))</f>
        <v>#N/A</v>
      </c>
      <c r="BA172" t="e">
        <f>IF(OR($J172=0,COUNTIFS($A$4:$A171,"&gt;="&amp;$A172-1,$A$4:$A171,"&lt;="&amp;$A172,$B$4:$B171,$B172)&gt;0,MIN(BA$1,IF($A172=$A171,BA171,1))-AF172&lt;0),-1,MIN(1,IF($A172=$A171,BA171,1)-AF172+$D$3))</f>
        <v>#N/A</v>
      </c>
      <c r="BB172" t="e">
        <f>IF(OR($J172=0,COUNTIFS($A$4:$A171,"&gt;="&amp;$A172-1,$A$4:$A171,"&lt;="&amp;$A172,$B$4:$B171,$B172)&gt;0,MIN(BB$1,IF($A172=$A171,BB171,1))-AG172&lt;0),-1,MIN(1,IF($A172=$A171,BB171,1)-AG172+$D$3))</f>
        <v>#N/A</v>
      </c>
      <c r="BC172" t="e">
        <f>IF(OR($J172=0,COUNTIFS($A$4:$A171,"&gt;="&amp;$A172-1,$A$4:$A171,"&lt;="&amp;$A172,$B$4:$B171,$B172)&gt;0,MIN(BC$1,IF($A172=$A171,BC171,1))-AH172&lt;0),-1,MIN(1,IF($A172=$A171,BC171,1)-AH172+$D$3))</f>
        <v>#N/A</v>
      </c>
      <c r="BD172" t="e">
        <f>IF(OR($J172=0,COUNTIFS($A$4:$A171,"&gt;="&amp;$A172-1,$A$4:$A171,"&lt;="&amp;$A172,$B$4:$B171,$B172)&gt;0,MIN(BD$1,IF($A172=$A171,BD171,1))-AI172&lt;0),-1,MIN(1,IF($A172=$A171,BD171,1)-AI172+$D$3))</f>
        <v>#N/A</v>
      </c>
      <c r="BF172" s="44">
        <f t="shared" si="223"/>
        <v>3.8359380282798551E-4</v>
      </c>
      <c r="BG172" s="44">
        <f t="shared" si="224"/>
        <v>9.4336540413716226E-4</v>
      </c>
      <c r="BH172" s="44">
        <f t="shared" si="225"/>
        <v>9.6685030691846558E-4</v>
      </c>
      <c r="BI172" s="44">
        <f t="shared" si="226"/>
        <v>8.9310124893642886E-4</v>
      </c>
      <c r="BJ172" s="44">
        <f t="shared" si="227"/>
        <v>9.2310492820006271E-4</v>
      </c>
      <c r="BK172" s="44">
        <f t="shared" si="228"/>
        <v>3.9641567408058931E-4</v>
      </c>
      <c r="BL172" s="44">
        <f t="shared" si="229"/>
        <v>2.1414998370602255E-4</v>
      </c>
      <c r="BM172" s="44">
        <f t="shared" si="230"/>
        <v>5.4477255117611723E-4</v>
      </c>
      <c r="BN172" s="44">
        <f t="shared" si="231"/>
        <v>5.6660591027956448E-4</v>
      </c>
      <c r="BO172" s="44">
        <f t="shared" si="232"/>
        <v>2.6553302978357782E-4</v>
      </c>
      <c r="BP172" s="44">
        <f t="shared" si="233"/>
        <v>8.9284889651868949E-4</v>
      </c>
      <c r="BQ172" s="44">
        <f t="shared" si="234"/>
        <v>2.4094295741411748E-4</v>
      </c>
      <c r="BR172" s="44">
        <f t="shared" si="235"/>
        <v>7.1180581053113725E-4</v>
      </c>
      <c r="BS172" s="44">
        <f t="shared" si="236"/>
        <v>3.838863193635804E-4</v>
      </c>
      <c r="BT172" s="44">
        <f t="shared" si="237"/>
        <v>1.51915585622582E-3</v>
      </c>
      <c r="BU172" s="44">
        <f t="shared" si="238"/>
        <v>1.4512509741643374E-3</v>
      </c>
      <c r="BV172" s="44">
        <f t="shared" si="239"/>
        <v>1.3937334220025502E-3</v>
      </c>
      <c r="BW172" s="44">
        <f t="shared" si="240"/>
        <v>9.1157835572137512E-4</v>
      </c>
      <c r="BX172" s="44">
        <f t="shared" si="241"/>
        <v>6.7345753562559534E-4</v>
      </c>
      <c r="BY172" s="44">
        <f t="shared" si="242"/>
        <v>5.7824069948913821E-4</v>
      </c>
      <c r="CA172" s="44" t="str">
        <f t="shared" si="243"/>
        <v/>
      </c>
      <c r="CB172" s="44" t="str">
        <f t="shared" si="244"/>
        <v/>
      </c>
      <c r="CC172" s="44" t="str">
        <f t="shared" si="245"/>
        <v/>
      </c>
      <c r="CD172" s="44" t="str">
        <f t="shared" si="246"/>
        <v/>
      </c>
      <c r="CE172" s="44" t="str">
        <f t="shared" si="247"/>
        <v/>
      </c>
      <c r="CF172" s="44" t="str">
        <f t="shared" si="248"/>
        <v/>
      </c>
      <c r="CG172" s="44" t="str">
        <f t="shared" si="249"/>
        <v/>
      </c>
      <c r="CH172" s="44" t="str">
        <f t="shared" si="250"/>
        <v/>
      </c>
      <c r="CI172" s="44" t="str">
        <f t="shared" si="251"/>
        <v/>
      </c>
      <c r="CJ172" s="44" t="str">
        <f t="shared" si="252"/>
        <v/>
      </c>
      <c r="CK172" s="44" t="str">
        <f t="shared" si="253"/>
        <v/>
      </c>
      <c r="CL172" s="44" t="str">
        <f t="shared" si="254"/>
        <v/>
      </c>
      <c r="CM172" s="44" t="str">
        <f t="shared" si="255"/>
        <v/>
      </c>
      <c r="CN172" s="44" t="str">
        <f t="shared" si="256"/>
        <v/>
      </c>
      <c r="CO172" s="44" t="str">
        <f t="shared" si="257"/>
        <v/>
      </c>
      <c r="CP172" s="44" t="str">
        <f t="shared" si="258"/>
        <v/>
      </c>
      <c r="CQ172" s="44" t="str">
        <f t="shared" si="259"/>
        <v/>
      </c>
      <c r="CR172" s="44" t="str">
        <f t="shared" si="260"/>
        <v/>
      </c>
      <c r="CS172" s="44" t="str">
        <f t="shared" si="261"/>
        <v/>
      </c>
      <c r="CT172" s="44" t="str">
        <f t="shared" si="262"/>
        <v/>
      </c>
      <c r="CV172" s="44">
        <f t="shared" si="263"/>
        <v>0</v>
      </c>
    </row>
    <row r="173" spans="1:100" x14ac:dyDescent="0.25">
      <c r="A173" s="41"/>
      <c r="B173" s="42"/>
      <c r="C173" s="43" t="str" cm="1">
        <f t="array" ref="C173">IF(B173="","",INDEX(UWS!$B$10:$B$41,B173))</f>
        <v/>
      </c>
      <c r="D173" s="40" t="str">
        <f t="shared" si="220"/>
        <v/>
      </c>
      <c r="E173" s="69" t="str">
        <f t="shared" si="221"/>
        <v/>
      </c>
      <c r="F173" s="48" cm="1">
        <f t="array" ref="F173">0.1+IFERROR(INDEX($F$5:$F172,SUMPRODUCT(MAX(ROW($C$5:$C172)*($C173=$C$5:$C172))-ROW($A$4)))*0.9^($A173-INDEX($A$5:A172,SUMPRODUCT(MAX(ROW($C$5:$C172)*($C173=$C$5:$C172))-ROW($A$4)))),0)</f>
        <v>10.799999999999978</v>
      </c>
      <c r="G173" s="55" t="e">
        <f>INDEX(UWS!$AB$10:$AB$41,MATCH(C173,UWS!$B$10:$B$41,0))</f>
        <v>#N/A</v>
      </c>
      <c r="H173" s="48" t="e">
        <f>INDEX(UWS!$C$10:$C$41,MATCH(C173,UWS!$B$10:$B$41,0))</f>
        <v>#N/A</v>
      </c>
      <c r="I173" s="27">
        <f t="shared" si="222"/>
        <v>5</v>
      </c>
      <c r="J173" s="27" t="e">
        <f>INDEX(UWS!$E$10:$E$41,MATCH(C173,UWS!$B$10:$B$41,0))</f>
        <v>#N/A</v>
      </c>
      <c r="L173" s="108" t="str" cm="1">
        <f t="array" ref="L173">IF(K173="","",INDEX(UWS!$B$10:$B$41,K173))</f>
        <v/>
      </c>
      <c r="N173" s="108" t="str" cm="1">
        <f t="array" ref="N173">IF(M173="","",INDEX(UWS!$B$10:$B$41,M173))</f>
        <v/>
      </c>
      <c r="P173">
        <f>IFERROR(INDEX(UWS!$G$10:$Z$41,MATCH($C173,UWS!$B$10:$B$41,0),MATCH(P$4,UWS!$G$3:$Z$3,0)),0)</f>
        <v>0</v>
      </c>
      <c r="Q173">
        <f>IFERROR(INDEX(UWS!$G$10:$Z$41,MATCH($C173,UWS!$B$10:$B$41,0),MATCH(Q$4,UWS!$G$3:$Z$3,0)),0)</f>
        <v>0</v>
      </c>
      <c r="R173">
        <f>IFERROR(INDEX(UWS!$G$10:$Z$41,MATCH($C173,UWS!$B$10:$B$41,0),MATCH(R$4,UWS!$G$3:$Z$3,0)),0)</f>
        <v>0</v>
      </c>
      <c r="S173">
        <f>IFERROR(INDEX(UWS!$G$10:$Z$41,MATCH($C173,UWS!$B$10:$B$41,0),MATCH(S$4,UWS!$G$3:$Z$3,0)),0)</f>
        <v>0</v>
      </c>
      <c r="T173">
        <f>IFERROR(INDEX(UWS!$G$10:$Z$41,MATCH($C173,UWS!$B$10:$B$41,0),MATCH(T$4,UWS!$G$3:$Z$3,0)),0)</f>
        <v>0</v>
      </c>
      <c r="U173">
        <f>IFERROR(INDEX(UWS!$G$10:$Z$41,MATCH($C173,UWS!$B$10:$B$41,0),MATCH(U$4,UWS!$G$3:$Z$3,0)),0)</f>
        <v>0</v>
      </c>
      <c r="V173">
        <f>IFERROR(INDEX(UWS!$G$10:$Z$41,MATCH($C173,UWS!$B$10:$B$41,0),MATCH(V$4,UWS!$G$3:$Z$3,0)),0)</f>
        <v>0</v>
      </c>
      <c r="W173">
        <f>IFERROR(INDEX(UWS!$G$10:$Z$41,MATCH($C173,UWS!$B$10:$B$41,0),MATCH(W$4,UWS!$G$3:$Z$3,0)),0)</f>
        <v>0</v>
      </c>
      <c r="X173">
        <f>IFERROR(INDEX(UWS!$G$10:$Z$41,MATCH($C173,UWS!$B$10:$B$41,0),MATCH(X$4,UWS!$G$3:$Z$3,0)),0)</f>
        <v>0</v>
      </c>
      <c r="Y173">
        <f>IFERROR(INDEX(UWS!$G$10:$Z$41,MATCH($C173,UWS!$B$10:$B$41,0),MATCH(Y$4,UWS!$G$3:$Z$3,0)),0)</f>
        <v>0</v>
      </c>
      <c r="Z173">
        <f>IFERROR(INDEX(UWS!$G$10:$Z$41,MATCH($C173,UWS!$B$10:$B$41,0),MATCH(Z$4,UWS!$G$3:$Z$3,0)),0)</f>
        <v>0</v>
      </c>
      <c r="AA173">
        <f>IFERROR(INDEX(UWS!$G$10:$Z$41,MATCH($C173,UWS!$B$10:$B$41,0),MATCH(AA$4,UWS!$G$3:$Z$3,0)),0)</f>
        <v>0</v>
      </c>
      <c r="AB173">
        <f>IFERROR(INDEX(UWS!$G$10:$Z$41,MATCH($C173,UWS!$B$10:$B$41,0),MATCH(AB$4,UWS!$G$3:$Z$3,0)),0)</f>
        <v>0</v>
      </c>
      <c r="AC173">
        <f>IFERROR(INDEX(UWS!$G$10:$Z$41,MATCH($C173,UWS!$B$10:$B$41,0),MATCH(AC$4,UWS!$G$3:$Z$3,0)),0)</f>
        <v>0</v>
      </c>
      <c r="AD173">
        <f>IFERROR(INDEX(UWS!$G$10:$Z$41,MATCH($C173,UWS!$B$10:$B$41,0),MATCH(AD$4,UWS!$G$3:$Z$3,0)),0)</f>
        <v>0</v>
      </c>
      <c r="AE173">
        <f>IFERROR(INDEX(UWS!$G$10:$Z$41,MATCH($C173,UWS!$B$10:$B$41,0),MATCH(AE$4,UWS!$G$3:$Z$3,0)),0)</f>
        <v>0</v>
      </c>
      <c r="AF173">
        <f>IFERROR(INDEX(UWS!$G$10:$Z$41,MATCH($C173,UWS!$B$10:$B$41,0),MATCH(AF$4,UWS!$G$3:$Z$3,0)),0)</f>
        <v>0</v>
      </c>
      <c r="AG173">
        <f>IFERROR(INDEX(UWS!$G$10:$Z$41,MATCH($C173,UWS!$B$10:$B$41,0),MATCH(AG$4,UWS!$G$3:$Z$3,0)),0)</f>
        <v>0</v>
      </c>
      <c r="AH173">
        <f>IFERROR(INDEX(UWS!$G$10:$Z$41,MATCH($C173,UWS!$B$10:$B$41,0),MATCH(AH$4,UWS!$G$3:$Z$3,0)),0)</f>
        <v>0</v>
      </c>
      <c r="AI173">
        <f>IFERROR(INDEX(UWS!$G$10:$Z$41,MATCH($C173,UWS!$B$10:$B$41,0),MATCH(AI$4,UWS!$G$3:$Z$3,0)),0)</f>
        <v>0</v>
      </c>
      <c r="AK173" t="e">
        <f>IF(OR($J173=0,COUNTIFS($A$4:$A172,"&gt;="&amp;$A173-1,$A$4:$A172,"&lt;="&amp;$A173,$B$4:$B172,$B173)&gt;0,MIN(AK$1,IF($A173=$A172,AK172,1))-P173&lt;0),-1,MIN(1,IF($A173=$A172,AK172,1)-P173+$D$3))</f>
        <v>#N/A</v>
      </c>
      <c r="AL173" t="e">
        <f>IF(OR($J173=0,COUNTIFS($A$4:$A172,"&gt;="&amp;$A173-1,$A$4:$A172,"&lt;="&amp;$A173,$B$4:$B172,$B173)&gt;0,MIN(AL$1,IF($A173=$A172,AL172,1))-Q173&lt;0),-1,MIN(1,IF($A173=$A172,AL172,1)-Q173+$D$3))</f>
        <v>#N/A</v>
      </c>
      <c r="AM173" t="e">
        <f>IF(OR($J173=0,COUNTIFS($A$4:$A172,"&gt;="&amp;$A173-1,$A$4:$A172,"&lt;="&amp;$A173,$B$4:$B172,$B173)&gt;0,MIN(AM$1,IF($A173=$A172,AM172,1))-R173&lt;0),-1,MIN(1,IF($A173=$A172,AM172,1)-R173+$D$3))</f>
        <v>#N/A</v>
      </c>
      <c r="AN173" t="e">
        <f>IF(OR($J173=0,COUNTIFS($A$4:$A172,"&gt;="&amp;$A173-1,$A$4:$A172,"&lt;="&amp;$A173,$B$4:$B172,$B173)&gt;0,MIN(AN$1,IF($A173=$A172,AN172,1))-S173&lt;0),-1,MIN(1,IF($A173=$A172,AN172,1)-S173+$D$3))</f>
        <v>#N/A</v>
      </c>
      <c r="AO173" t="e">
        <f>IF(OR($J173=0,COUNTIFS($A$4:$A172,"&gt;="&amp;$A173-1,$A$4:$A172,"&lt;="&amp;$A173,$B$4:$B172,$B173)&gt;0,MIN(AO$1,IF($A173=$A172,AO172,1))-T173&lt;0),-1,MIN(1,IF($A173=$A172,AO172,1)-T173+$D$3))</f>
        <v>#N/A</v>
      </c>
      <c r="AP173" t="e">
        <f>IF(OR($J173=0,COUNTIFS($A$4:$A172,"&gt;="&amp;$A173-1,$A$4:$A172,"&lt;="&amp;$A173,$B$4:$B172,$B173)&gt;0,MIN(AP$1,IF($A173=$A172,AP172,1))-U173&lt;0),-1,MIN(1,IF($A173=$A172,AP172,1)-U173+$D$3))</f>
        <v>#N/A</v>
      </c>
      <c r="AQ173" t="e">
        <f>IF(OR($J173=0,COUNTIFS($A$4:$A172,"&gt;="&amp;$A173-1,$A$4:$A172,"&lt;="&amp;$A173,$B$4:$B172,$B173)&gt;0,MIN(AQ$1,IF($A173=$A172,AQ172,1))-V173&lt;0),-1,MIN(1,IF($A173=$A172,AQ172,1)-V173+$D$3))</f>
        <v>#N/A</v>
      </c>
      <c r="AR173" t="e">
        <f>IF(OR($J173=0,COUNTIFS($A$4:$A172,"&gt;="&amp;$A173-1,$A$4:$A172,"&lt;="&amp;$A173,$B$4:$B172,$B173)&gt;0,MIN(AR$1,IF($A173=$A172,AR172,1))-W173&lt;0),-1,MIN(1,IF($A173=$A172,AR172,1)-W173+$D$3))</f>
        <v>#N/A</v>
      </c>
      <c r="AS173" t="e">
        <f>IF(OR($J173=0,COUNTIFS($A$4:$A172,"&gt;="&amp;$A173-1,$A$4:$A172,"&lt;="&amp;$A173,$B$4:$B172,$B173)&gt;0,MIN(AS$1,IF($A173=$A172,AS172,1))-X173&lt;0),-1,MIN(1,IF($A173=$A172,AS172,1)-X173+$D$3))</f>
        <v>#N/A</v>
      </c>
      <c r="AT173" t="e">
        <f>IF(OR($J173=0,COUNTIFS($A$4:$A172,"&gt;="&amp;$A173-1,$A$4:$A172,"&lt;="&amp;$A173,$B$4:$B172,$B173)&gt;0,MIN(AT$1,IF($A173=$A172,AT172,1))-Y173&lt;0),-1,MIN(1,IF($A173=$A172,AT172,1)-Y173+$D$3))</f>
        <v>#N/A</v>
      </c>
      <c r="AU173" t="e">
        <f>IF(OR($J173=0,COUNTIFS($A$4:$A172,"&gt;="&amp;$A173-1,$A$4:$A172,"&lt;="&amp;$A173,$B$4:$B172,$B173)&gt;0,MIN(AU$1,IF($A173=$A172,AU172,1))-Z173&lt;0),-1,MIN(1,IF($A173=$A172,AU172,1)-Z173+$D$3))</f>
        <v>#N/A</v>
      </c>
      <c r="AV173" t="e">
        <f>IF(OR($J173=0,COUNTIFS($A$4:$A172,"&gt;="&amp;$A173-1,$A$4:$A172,"&lt;="&amp;$A173,$B$4:$B172,$B173)&gt;0,MIN(AV$1,IF($A173=$A172,AV172,1))-AA173&lt;0),-1,MIN(1,IF($A173=$A172,AV172,1)-AA173+$D$3))</f>
        <v>#N/A</v>
      </c>
      <c r="AW173" t="e">
        <f>IF(OR($J173=0,COUNTIFS($A$4:$A172,"&gt;="&amp;$A173-1,$A$4:$A172,"&lt;="&amp;$A173,$B$4:$B172,$B173)&gt;0,MIN(AW$1,IF($A173=$A172,AW172,1))-AB173&lt;0),-1,MIN(1,IF($A173=$A172,AW172,1)-AB173+$D$3))</f>
        <v>#N/A</v>
      </c>
      <c r="AX173" t="e">
        <f>IF(OR($J173=0,COUNTIFS($A$4:$A172,"&gt;="&amp;$A173-1,$A$4:$A172,"&lt;="&amp;$A173,$B$4:$B172,$B173)&gt;0,MIN(AX$1,IF($A173=$A172,AX172,1))-AC173&lt;0),-1,MIN(1,IF($A173=$A172,AX172,1)-AC173+$D$3))</f>
        <v>#N/A</v>
      </c>
      <c r="AY173" t="e">
        <f>IF(OR($J173=0,COUNTIFS($A$4:$A172,"&gt;="&amp;$A173-1,$A$4:$A172,"&lt;="&amp;$A173,$B$4:$B172,$B173)&gt;0,MIN(AY$1,IF($A173=$A172,AY172,1))-AD173&lt;0),-1,MIN(1,IF($A173=$A172,AY172,1)-AD173+$D$3))</f>
        <v>#N/A</v>
      </c>
      <c r="AZ173" t="e">
        <f>IF(OR($J173=0,COUNTIFS($A$4:$A172,"&gt;="&amp;$A173-1,$A$4:$A172,"&lt;="&amp;$A173,$B$4:$B172,$B173)&gt;0,MIN(AZ$1,IF($A173=$A172,AZ172,1))-AE173&lt;0),-1,MIN(1,IF($A173=$A172,AZ172,1)-AE173+$D$3))</f>
        <v>#N/A</v>
      </c>
      <c r="BA173" t="e">
        <f>IF(OR($J173=0,COUNTIFS($A$4:$A172,"&gt;="&amp;$A173-1,$A$4:$A172,"&lt;="&amp;$A173,$B$4:$B172,$B173)&gt;0,MIN(BA$1,IF($A173=$A172,BA172,1))-AF173&lt;0),-1,MIN(1,IF($A173=$A172,BA172,1)-AF173+$D$3))</f>
        <v>#N/A</v>
      </c>
      <c r="BB173" t="e">
        <f>IF(OR($J173=0,COUNTIFS($A$4:$A172,"&gt;="&amp;$A173-1,$A$4:$A172,"&lt;="&amp;$A173,$B$4:$B172,$B173)&gt;0,MIN(BB$1,IF($A173=$A172,BB172,1))-AG173&lt;0),-1,MIN(1,IF($A173=$A172,BB172,1)-AG173+$D$3))</f>
        <v>#N/A</v>
      </c>
      <c r="BC173" t="e">
        <f>IF(OR($J173=0,COUNTIFS($A$4:$A172,"&gt;="&amp;$A173-1,$A$4:$A172,"&lt;="&amp;$A173,$B$4:$B172,$B173)&gt;0,MIN(BC$1,IF($A173=$A172,BC172,1))-AH173&lt;0),-1,MIN(1,IF($A173=$A172,BC172,1)-AH173+$D$3))</f>
        <v>#N/A</v>
      </c>
      <c r="BD173" t="e">
        <f>IF(OR($J173=0,COUNTIFS($A$4:$A172,"&gt;="&amp;$A173-1,$A$4:$A172,"&lt;="&amp;$A173,$B$4:$B172,$B173)&gt;0,MIN(BD$1,IF($A173=$A172,BD172,1))-AI173&lt;0),-1,MIN(1,IF($A173=$A172,BD172,1)-AI173+$D$3))</f>
        <v>#N/A</v>
      </c>
      <c r="BF173" s="44">
        <f t="shared" si="223"/>
        <v>3.6441411268658622E-4</v>
      </c>
      <c r="BG173" s="44">
        <f t="shared" si="224"/>
        <v>8.9619713393030407E-4</v>
      </c>
      <c r="BH173" s="44">
        <f t="shared" si="225"/>
        <v>9.1850779157254226E-4</v>
      </c>
      <c r="BI173" s="44">
        <f t="shared" si="226"/>
        <v>8.4844618648960738E-4</v>
      </c>
      <c r="BJ173" s="44">
        <f t="shared" si="227"/>
        <v>8.7694968179005954E-4</v>
      </c>
      <c r="BK173" s="44">
        <f t="shared" si="228"/>
        <v>3.7659489037655981E-4</v>
      </c>
      <c r="BL173" s="44">
        <f t="shared" si="229"/>
        <v>2.0344248452072142E-4</v>
      </c>
      <c r="BM173" s="44">
        <f t="shared" si="230"/>
        <v>5.1753392361731136E-4</v>
      </c>
      <c r="BN173" s="44">
        <f t="shared" si="231"/>
        <v>5.3827561476558626E-4</v>
      </c>
      <c r="BO173" s="44">
        <f t="shared" si="232"/>
        <v>2.5225637829439892E-4</v>
      </c>
      <c r="BP173" s="44">
        <f t="shared" si="233"/>
        <v>8.4820645169275493E-4</v>
      </c>
      <c r="BQ173" s="44">
        <f t="shared" si="234"/>
        <v>2.2889580954341159E-4</v>
      </c>
      <c r="BR173" s="44">
        <f t="shared" si="235"/>
        <v>6.7621552000458039E-4</v>
      </c>
      <c r="BS173" s="44">
        <f t="shared" si="236"/>
        <v>3.6469200339540138E-4</v>
      </c>
      <c r="BT173" s="44">
        <f t="shared" si="237"/>
        <v>1.443198063414529E-3</v>
      </c>
      <c r="BU173" s="44">
        <f t="shared" si="238"/>
        <v>1.3786884254561205E-3</v>
      </c>
      <c r="BV173" s="44">
        <f t="shared" si="239"/>
        <v>1.3240467509024227E-3</v>
      </c>
      <c r="BW173" s="44">
        <f t="shared" si="240"/>
        <v>8.6599943793530629E-4</v>
      </c>
      <c r="BX173" s="44">
        <f t="shared" si="241"/>
        <v>6.3978465884431549E-4</v>
      </c>
      <c r="BY173" s="44">
        <f t="shared" si="242"/>
        <v>5.4932866451468131E-4</v>
      </c>
      <c r="CA173" s="44" t="str">
        <f t="shared" si="243"/>
        <v/>
      </c>
      <c r="CB173" s="44" t="str">
        <f t="shared" si="244"/>
        <v/>
      </c>
      <c r="CC173" s="44" t="str">
        <f t="shared" si="245"/>
        <v/>
      </c>
      <c r="CD173" s="44" t="str">
        <f t="shared" si="246"/>
        <v/>
      </c>
      <c r="CE173" s="44" t="str">
        <f t="shared" si="247"/>
        <v/>
      </c>
      <c r="CF173" s="44" t="str">
        <f t="shared" si="248"/>
        <v/>
      </c>
      <c r="CG173" s="44" t="str">
        <f t="shared" si="249"/>
        <v/>
      </c>
      <c r="CH173" s="44" t="str">
        <f t="shared" si="250"/>
        <v/>
      </c>
      <c r="CI173" s="44" t="str">
        <f t="shared" si="251"/>
        <v/>
      </c>
      <c r="CJ173" s="44" t="str">
        <f t="shared" si="252"/>
        <v/>
      </c>
      <c r="CK173" s="44" t="str">
        <f t="shared" si="253"/>
        <v/>
      </c>
      <c r="CL173" s="44" t="str">
        <f t="shared" si="254"/>
        <v/>
      </c>
      <c r="CM173" s="44" t="str">
        <f t="shared" si="255"/>
        <v/>
      </c>
      <c r="CN173" s="44" t="str">
        <f t="shared" si="256"/>
        <v/>
      </c>
      <c r="CO173" s="44" t="str">
        <f t="shared" si="257"/>
        <v/>
      </c>
      <c r="CP173" s="44" t="str">
        <f t="shared" si="258"/>
        <v/>
      </c>
      <c r="CQ173" s="44" t="str">
        <f t="shared" si="259"/>
        <v/>
      </c>
      <c r="CR173" s="44" t="str">
        <f t="shared" si="260"/>
        <v/>
      </c>
      <c r="CS173" s="44" t="str">
        <f t="shared" si="261"/>
        <v/>
      </c>
      <c r="CT173" s="44" t="str">
        <f t="shared" si="262"/>
        <v/>
      </c>
      <c r="CV173" s="44">
        <f t="shared" si="263"/>
        <v>0</v>
      </c>
    </row>
    <row r="174" spans="1:100" x14ac:dyDescent="0.25">
      <c r="A174" s="41"/>
      <c r="B174" s="42"/>
      <c r="C174" s="43" t="str" cm="1">
        <f t="array" ref="C174">IF(B174="","",INDEX(UWS!$B$10:$B$41,B174))</f>
        <v/>
      </c>
      <c r="D174" s="40" t="str">
        <f t="shared" si="220"/>
        <v/>
      </c>
      <c r="E174" s="69" t="str">
        <f t="shared" si="221"/>
        <v/>
      </c>
      <c r="F174" s="48" cm="1">
        <f t="array" ref="F174">0.1+IFERROR(INDEX($F$5:$F173,SUMPRODUCT(MAX(ROW($C$5:$C173)*($C174=$C$5:$C173))-ROW($A$4)))*0.9^($A174-INDEX($A$5:A173,SUMPRODUCT(MAX(ROW($C$5:$C173)*($C174=$C$5:$C173))-ROW($A$4)))),0)</f>
        <v>10.899999999999977</v>
      </c>
      <c r="G174" s="55" t="e">
        <f>INDEX(UWS!$AB$10:$AB$41,MATCH(C174,UWS!$B$10:$B$41,0))</f>
        <v>#N/A</v>
      </c>
      <c r="H174" s="48" t="e">
        <f>INDEX(UWS!$C$10:$C$41,MATCH(C174,UWS!$B$10:$B$41,0))</f>
        <v>#N/A</v>
      </c>
      <c r="I174" s="27">
        <f t="shared" si="222"/>
        <v>5</v>
      </c>
      <c r="J174" s="27" t="e">
        <f>INDEX(UWS!$E$10:$E$41,MATCH(C174,UWS!$B$10:$B$41,0))</f>
        <v>#N/A</v>
      </c>
      <c r="L174" s="108" t="str" cm="1">
        <f t="array" ref="L174">IF(K174="","",INDEX(UWS!$B$10:$B$41,K174))</f>
        <v/>
      </c>
      <c r="N174" s="108" t="str" cm="1">
        <f t="array" ref="N174">IF(M174="","",INDEX(UWS!$B$10:$B$41,M174))</f>
        <v/>
      </c>
      <c r="P174">
        <f>IFERROR(INDEX(UWS!$G$10:$Z$41,MATCH($C174,UWS!$B$10:$B$41,0),MATCH(P$4,UWS!$G$3:$Z$3,0)),0)</f>
        <v>0</v>
      </c>
      <c r="Q174">
        <f>IFERROR(INDEX(UWS!$G$10:$Z$41,MATCH($C174,UWS!$B$10:$B$41,0),MATCH(Q$4,UWS!$G$3:$Z$3,0)),0)</f>
        <v>0</v>
      </c>
      <c r="R174">
        <f>IFERROR(INDEX(UWS!$G$10:$Z$41,MATCH($C174,UWS!$B$10:$B$41,0),MATCH(R$4,UWS!$G$3:$Z$3,0)),0)</f>
        <v>0</v>
      </c>
      <c r="S174">
        <f>IFERROR(INDEX(UWS!$G$10:$Z$41,MATCH($C174,UWS!$B$10:$B$41,0),MATCH(S$4,UWS!$G$3:$Z$3,0)),0)</f>
        <v>0</v>
      </c>
      <c r="T174">
        <f>IFERROR(INDEX(UWS!$G$10:$Z$41,MATCH($C174,UWS!$B$10:$B$41,0),MATCH(T$4,UWS!$G$3:$Z$3,0)),0)</f>
        <v>0</v>
      </c>
      <c r="U174">
        <f>IFERROR(INDEX(UWS!$G$10:$Z$41,MATCH($C174,UWS!$B$10:$B$41,0),MATCH(U$4,UWS!$G$3:$Z$3,0)),0)</f>
        <v>0</v>
      </c>
      <c r="V174">
        <f>IFERROR(INDEX(UWS!$G$10:$Z$41,MATCH($C174,UWS!$B$10:$B$41,0),MATCH(V$4,UWS!$G$3:$Z$3,0)),0)</f>
        <v>0</v>
      </c>
      <c r="W174">
        <f>IFERROR(INDEX(UWS!$G$10:$Z$41,MATCH($C174,UWS!$B$10:$B$41,0),MATCH(W$4,UWS!$G$3:$Z$3,0)),0)</f>
        <v>0</v>
      </c>
      <c r="X174">
        <f>IFERROR(INDEX(UWS!$G$10:$Z$41,MATCH($C174,UWS!$B$10:$B$41,0),MATCH(X$4,UWS!$G$3:$Z$3,0)),0)</f>
        <v>0</v>
      </c>
      <c r="Y174">
        <f>IFERROR(INDEX(UWS!$G$10:$Z$41,MATCH($C174,UWS!$B$10:$B$41,0),MATCH(Y$4,UWS!$G$3:$Z$3,0)),0)</f>
        <v>0</v>
      </c>
      <c r="Z174">
        <f>IFERROR(INDEX(UWS!$G$10:$Z$41,MATCH($C174,UWS!$B$10:$B$41,0),MATCH(Z$4,UWS!$G$3:$Z$3,0)),0)</f>
        <v>0</v>
      </c>
      <c r="AA174">
        <f>IFERROR(INDEX(UWS!$G$10:$Z$41,MATCH($C174,UWS!$B$10:$B$41,0),MATCH(AA$4,UWS!$G$3:$Z$3,0)),0)</f>
        <v>0</v>
      </c>
      <c r="AB174">
        <f>IFERROR(INDEX(UWS!$G$10:$Z$41,MATCH($C174,UWS!$B$10:$B$41,0),MATCH(AB$4,UWS!$G$3:$Z$3,0)),0)</f>
        <v>0</v>
      </c>
      <c r="AC174">
        <f>IFERROR(INDEX(UWS!$G$10:$Z$41,MATCH($C174,UWS!$B$10:$B$41,0),MATCH(AC$4,UWS!$G$3:$Z$3,0)),0)</f>
        <v>0</v>
      </c>
      <c r="AD174">
        <f>IFERROR(INDEX(UWS!$G$10:$Z$41,MATCH($C174,UWS!$B$10:$B$41,0),MATCH(AD$4,UWS!$G$3:$Z$3,0)),0)</f>
        <v>0</v>
      </c>
      <c r="AE174">
        <f>IFERROR(INDEX(UWS!$G$10:$Z$41,MATCH($C174,UWS!$B$10:$B$41,0),MATCH(AE$4,UWS!$G$3:$Z$3,0)),0)</f>
        <v>0</v>
      </c>
      <c r="AF174">
        <f>IFERROR(INDEX(UWS!$G$10:$Z$41,MATCH($C174,UWS!$B$10:$B$41,0),MATCH(AF$4,UWS!$G$3:$Z$3,0)),0)</f>
        <v>0</v>
      </c>
      <c r="AG174">
        <f>IFERROR(INDEX(UWS!$G$10:$Z$41,MATCH($C174,UWS!$B$10:$B$41,0),MATCH(AG$4,UWS!$G$3:$Z$3,0)),0)</f>
        <v>0</v>
      </c>
      <c r="AH174">
        <f>IFERROR(INDEX(UWS!$G$10:$Z$41,MATCH($C174,UWS!$B$10:$B$41,0),MATCH(AH$4,UWS!$G$3:$Z$3,0)),0)</f>
        <v>0</v>
      </c>
      <c r="AI174">
        <f>IFERROR(INDEX(UWS!$G$10:$Z$41,MATCH($C174,UWS!$B$10:$B$41,0),MATCH(AI$4,UWS!$G$3:$Z$3,0)),0)</f>
        <v>0</v>
      </c>
      <c r="AK174" t="e">
        <f>IF(OR($J174=0,COUNTIFS($A$4:$A173,"&gt;="&amp;$A174-1,$A$4:$A173,"&lt;="&amp;$A174,$B$4:$B173,$B174)&gt;0,MIN(AK$1,IF($A174=$A173,AK173,1))-P174&lt;0),-1,MIN(1,IF($A174=$A173,AK173,1)-P174+$D$3))</f>
        <v>#N/A</v>
      </c>
      <c r="AL174" t="e">
        <f>IF(OR($J174=0,COUNTIFS($A$4:$A173,"&gt;="&amp;$A174-1,$A$4:$A173,"&lt;="&amp;$A174,$B$4:$B173,$B174)&gt;0,MIN(AL$1,IF($A174=$A173,AL173,1))-Q174&lt;0),-1,MIN(1,IF($A174=$A173,AL173,1)-Q174+$D$3))</f>
        <v>#N/A</v>
      </c>
      <c r="AM174" t="e">
        <f>IF(OR($J174=0,COUNTIFS($A$4:$A173,"&gt;="&amp;$A174-1,$A$4:$A173,"&lt;="&amp;$A174,$B$4:$B173,$B174)&gt;0,MIN(AM$1,IF($A174=$A173,AM173,1))-R174&lt;0),-1,MIN(1,IF($A174=$A173,AM173,1)-R174+$D$3))</f>
        <v>#N/A</v>
      </c>
      <c r="AN174" t="e">
        <f>IF(OR($J174=0,COUNTIFS($A$4:$A173,"&gt;="&amp;$A174-1,$A$4:$A173,"&lt;="&amp;$A174,$B$4:$B173,$B174)&gt;0,MIN(AN$1,IF($A174=$A173,AN173,1))-S174&lt;0),-1,MIN(1,IF($A174=$A173,AN173,1)-S174+$D$3))</f>
        <v>#N/A</v>
      </c>
      <c r="AO174" t="e">
        <f>IF(OR($J174=0,COUNTIFS($A$4:$A173,"&gt;="&amp;$A174-1,$A$4:$A173,"&lt;="&amp;$A174,$B$4:$B173,$B174)&gt;0,MIN(AO$1,IF($A174=$A173,AO173,1))-T174&lt;0),-1,MIN(1,IF($A174=$A173,AO173,1)-T174+$D$3))</f>
        <v>#N/A</v>
      </c>
      <c r="AP174" t="e">
        <f>IF(OR($J174=0,COUNTIFS($A$4:$A173,"&gt;="&amp;$A174-1,$A$4:$A173,"&lt;="&amp;$A174,$B$4:$B173,$B174)&gt;0,MIN(AP$1,IF($A174=$A173,AP173,1))-U174&lt;0),-1,MIN(1,IF($A174=$A173,AP173,1)-U174+$D$3))</f>
        <v>#N/A</v>
      </c>
      <c r="AQ174" t="e">
        <f>IF(OR($J174=0,COUNTIFS($A$4:$A173,"&gt;="&amp;$A174-1,$A$4:$A173,"&lt;="&amp;$A174,$B$4:$B173,$B174)&gt;0,MIN(AQ$1,IF($A174=$A173,AQ173,1))-V174&lt;0),-1,MIN(1,IF($A174=$A173,AQ173,1)-V174+$D$3))</f>
        <v>#N/A</v>
      </c>
      <c r="AR174" t="e">
        <f>IF(OR($J174=0,COUNTIFS($A$4:$A173,"&gt;="&amp;$A174-1,$A$4:$A173,"&lt;="&amp;$A174,$B$4:$B173,$B174)&gt;0,MIN(AR$1,IF($A174=$A173,AR173,1))-W174&lt;0),-1,MIN(1,IF($A174=$A173,AR173,1)-W174+$D$3))</f>
        <v>#N/A</v>
      </c>
      <c r="AS174" t="e">
        <f>IF(OR($J174=0,COUNTIFS($A$4:$A173,"&gt;="&amp;$A174-1,$A$4:$A173,"&lt;="&amp;$A174,$B$4:$B173,$B174)&gt;0,MIN(AS$1,IF($A174=$A173,AS173,1))-X174&lt;0),-1,MIN(1,IF($A174=$A173,AS173,1)-X174+$D$3))</f>
        <v>#N/A</v>
      </c>
      <c r="AT174" t="e">
        <f>IF(OR($J174=0,COUNTIFS($A$4:$A173,"&gt;="&amp;$A174-1,$A$4:$A173,"&lt;="&amp;$A174,$B$4:$B173,$B174)&gt;0,MIN(AT$1,IF($A174=$A173,AT173,1))-Y174&lt;0),-1,MIN(1,IF($A174=$A173,AT173,1)-Y174+$D$3))</f>
        <v>#N/A</v>
      </c>
      <c r="AU174" t="e">
        <f>IF(OR($J174=0,COUNTIFS($A$4:$A173,"&gt;="&amp;$A174-1,$A$4:$A173,"&lt;="&amp;$A174,$B$4:$B173,$B174)&gt;0,MIN(AU$1,IF($A174=$A173,AU173,1))-Z174&lt;0),-1,MIN(1,IF($A174=$A173,AU173,1)-Z174+$D$3))</f>
        <v>#N/A</v>
      </c>
      <c r="AV174" t="e">
        <f>IF(OR($J174=0,COUNTIFS($A$4:$A173,"&gt;="&amp;$A174-1,$A$4:$A173,"&lt;="&amp;$A174,$B$4:$B173,$B174)&gt;0,MIN(AV$1,IF($A174=$A173,AV173,1))-AA174&lt;0),-1,MIN(1,IF($A174=$A173,AV173,1)-AA174+$D$3))</f>
        <v>#N/A</v>
      </c>
      <c r="AW174" t="e">
        <f>IF(OR($J174=0,COUNTIFS($A$4:$A173,"&gt;="&amp;$A174-1,$A$4:$A173,"&lt;="&amp;$A174,$B$4:$B173,$B174)&gt;0,MIN(AW$1,IF($A174=$A173,AW173,1))-AB174&lt;0),-1,MIN(1,IF($A174=$A173,AW173,1)-AB174+$D$3))</f>
        <v>#N/A</v>
      </c>
      <c r="AX174" t="e">
        <f>IF(OR($J174=0,COUNTIFS($A$4:$A173,"&gt;="&amp;$A174-1,$A$4:$A173,"&lt;="&amp;$A174,$B$4:$B173,$B174)&gt;0,MIN(AX$1,IF($A174=$A173,AX173,1))-AC174&lt;0),-1,MIN(1,IF($A174=$A173,AX173,1)-AC174+$D$3))</f>
        <v>#N/A</v>
      </c>
      <c r="AY174" t="e">
        <f>IF(OR($J174=0,COUNTIFS($A$4:$A173,"&gt;="&amp;$A174-1,$A$4:$A173,"&lt;="&amp;$A174,$B$4:$B173,$B174)&gt;0,MIN(AY$1,IF($A174=$A173,AY173,1))-AD174&lt;0),-1,MIN(1,IF($A174=$A173,AY173,1)-AD174+$D$3))</f>
        <v>#N/A</v>
      </c>
      <c r="AZ174" t="e">
        <f>IF(OR($J174=0,COUNTIFS($A$4:$A173,"&gt;="&amp;$A174-1,$A$4:$A173,"&lt;="&amp;$A174,$B$4:$B173,$B174)&gt;0,MIN(AZ$1,IF($A174=$A173,AZ173,1))-AE174&lt;0),-1,MIN(1,IF($A174=$A173,AZ173,1)-AE174+$D$3))</f>
        <v>#N/A</v>
      </c>
      <c r="BA174" t="e">
        <f>IF(OR($J174=0,COUNTIFS($A$4:$A173,"&gt;="&amp;$A174-1,$A$4:$A173,"&lt;="&amp;$A174,$B$4:$B173,$B174)&gt;0,MIN(BA$1,IF($A174=$A173,BA173,1))-AF174&lt;0),-1,MIN(1,IF($A174=$A173,BA173,1)-AF174+$D$3))</f>
        <v>#N/A</v>
      </c>
      <c r="BB174" t="e">
        <f>IF(OR($J174=0,COUNTIFS($A$4:$A173,"&gt;="&amp;$A174-1,$A$4:$A173,"&lt;="&amp;$A174,$B$4:$B173,$B174)&gt;0,MIN(BB$1,IF($A174=$A173,BB173,1))-AG174&lt;0),-1,MIN(1,IF($A174=$A173,BB173,1)-AG174+$D$3))</f>
        <v>#N/A</v>
      </c>
      <c r="BC174" t="e">
        <f>IF(OR($J174=0,COUNTIFS($A$4:$A173,"&gt;="&amp;$A174-1,$A$4:$A173,"&lt;="&amp;$A174,$B$4:$B173,$B174)&gt;0,MIN(BC$1,IF($A174=$A173,BC173,1))-AH174&lt;0),-1,MIN(1,IF($A174=$A173,BC173,1)-AH174+$D$3))</f>
        <v>#N/A</v>
      </c>
      <c r="BD174" t="e">
        <f>IF(OR($J174=0,COUNTIFS($A$4:$A173,"&gt;="&amp;$A174-1,$A$4:$A173,"&lt;="&amp;$A174,$B$4:$B173,$B174)&gt;0,MIN(BD$1,IF($A174=$A173,BD173,1))-AI174&lt;0),-1,MIN(1,IF($A174=$A173,BD173,1)-AI174+$D$3))</f>
        <v>#N/A</v>
      </c>
      <c r="BF174" s="44">
        <f t="shared" si="223"/>
        <v>3.4619340705225687E-4</v>
      </c>
      <c r="BG174" s="44">
        <f t="shared" si="224"/>
        <v>8.5138727723378888E-4</v>
      </c>
      <c r="BH174" s="44">
        <f t="shared" si="225"/>
        <v>8.7258240199391515E-4</v>
      </c>
      <c r="BI174" s="44">
        <f t="shared" si="226"/>
        <v>8.06023877165127E-4</v>
      </c>
      <c r="BJ174" s="44">
        <f t="shared" si="227"/>
        <v>8.3310219770055651E-4</v>
      </c>
      <c r="BK174" s="44">
        <f t="shared" si="228"/>
        <v>3.5776514585773183E-4</v>
      </c>
      <c r="BL174" s="44">
        <f t="shared" si="229"/>
        <v>1.9327036029468533E-4</v>
      </c>
      <c r="BM174" s="44">
        <f t="shared" si="230"/>
        <v>4.9165722743644581E-4</v>
      </c>
      <c r="BN174" s="44">
        <f t="shared" si="231"/>
        <v>5.1136183402730696E-4</v>
      </c>
      <c r="BO174" s="44">
        <f t="shared" si="232"/>
        <v>2.3964355937967897E-4</v>
      </c>
      <c r="BP174" s="44">
        <f t="shared" si="233"/>
        <v>8.0579612910811711E-4</v>
      </c>
      <c r="BQ174" s="44">
        <f t="shared" si="234"/>
        <v>2.1745101906624101E-4</v>
      </c>
      <c r="BR174" s="44">
        <f t="shared" si="235"/>
        <v>6.4240474400435136E-4</v>
      </c>
      <c r="BS174" s="44">
        <f t="shared" si="236"/>
        <v>3.4645740322563132E-4</v>
      </c>
      <c r="BT174" s="44">
        <f t="shared" si="237"/>
        <v>1.3710381602438024E-3</v>
      </c>
      <c r="BU174" s="44">
        <f t="shared" si="238"/>
        <v>1.3097540041833145E-3</v>
      </c>
      <c r="BV174" s="44">
        <f t="shared" si="239"/>
        <v>1.2578444133573014E-3</v>
      </c>
      <c r="BW174" s="44">
        <f t="shared" si="240"/>
        <v>8.2269946603854096E-4</v>
      </c>
      <c r="BX174" s="44">
        <f t="shared" si="241"/>
        <v>6.0779542590209967E-4</v>
      </c>
      <c r="BY174" s="44">
        <f t="shared" si="242"/>
        <v>5.2186223128894719E-4</v>
      </c>
      <c r="CA174" s="44" t="str">
        <f t="shared" si="243"/>
        <v/>
      </c>
      <c r="CB174" s="44" t="str">
        <f t="shared" si="244"/>
        <v/>
      </c>
      <c r="CC174" s="44" t="str">
        <f t="shared" si="245"/>
        <v/>
      </c>
      <c r="CD174" s="44" t="str">
        <f t="shared" si="246"/>
        <v/>
      </c>
      <c r="CE174" s="44" t="str">
        <f t="shared" si="247"/>
        <v/>
      </c>
      <c r="CF174" s="44" t="str">
        <f t="shared" si="248"/>
        <v/>
      </c>
      <c r="CG174" s="44" t="str">
        <f t="shared" si="249"/>
        <v/>
      </c>
      <c r="CH174" s="44" t="str">
        <f t="shared" si="250"/>
        <v/>
      </c>
      <c r="CI174" s="44" t="str">
        <f t="shared" si="251"/>
        <v/>
      </c>
      <c r="CJ174" s="44" t="str">
        <f t="shared" si="252"/>
        <v/>
      </c>
      <c r="CK174" s="44" t="str">
        <f t="shared" si="253"/>
        <v/>
      </c>
      <c r="CL174" s="44" t="str">
        <f t="shared" si="254"/>
        <v/>
      </c>
      <c r="CM174" s="44" t="str">
        <f t="shared" si="255"/>
        <v/>
      </c>
      <c r="CN174" s="44" t="str">
        <f t="shared" si="256"/>
        <v/>
      </c>
      <c r="CO174" s="44" t="str">
        <f t="shared" si="257"/>
        <v/>
      </c>
      <c r="CP174" s="44" t="str">
        <f t="shared" si="258"/>
        <v/>
      </c>
      <c r="CQ174" s="44" t="str">
        <f t="shared" si="259"/>
        <v/>
      </c>
      <c r="CR174" s="44" t="str">
        <f t="shared" si="260"/>
        <v/>
      </c>
      <c r="CS174" s="44" t="str">
        <f t="shared" si="261"/>
        <v/>
      </c>
      <c r="CT174" s="44" t="str">
        <f t="shared" si="262"/>
        <v/>
      </c>
      <c r="CV174" s="44">
        <f t="shared" si="263"/>
        <v>0</v>
      </c>
    </row>
    <row r="175" spans="1:100" x14ac:dyDescent="0.25">
      <c r="A175" s="49"/>
      <c r="B175" s="50"/>
      <c r="C175" s="51" t="str" cm="1">
        <f t="array" ref="C175">IF(B175="","",INDEX(UWS!$B$10:$B$41,B175))</f>
        <v/>
      </c>
      <c r="D175" s="45" t="str">
        <f t="shared" si="220"/>
        <v/>
      </c>
      <c r="E175" s="70" t="str">
        <f t="shared" si="221"/>
        <v/>
      </c>
      <c r="F175" s="52" cm="1">
        <f t="array" ref="F175">0.1+IFERROR(INDEX($F$5:$F174,SUMPRODUCT(MAX(ROW($C$5:$C174)*($C175=$C$5:$C174))-ROW($A$4)))*0.9^($A175-INDEX($A$5:A174,SUMPRODUCT(MAX(ROW($C$5:$C174)*($C175=$C$5:$C174))-ROW($A$4)))),0)</f>
        <v>10.999999999999977</v>
      </c>
      <c r="G175" s="56" t="e">
        <f>INDEX(UWS!$AB$10:$AB$41,MATCH(C175,UWS!$B$10:$B$41,0))</f>
        <v>#N/A</v>
      </c>
      <c r="H175" s="52" t="e">
        <f>INDEX(UWS!$C$10:$C$41,MATCH(C175,UWS!$B$10:$B$41,0))</f>
        <v>#N/A</v>
      </c>
      <c r="I175" s="46">
        <f t="shared" si="222"/>
        <v>5</v>
      </c>
      <c r="J175" s="46" t="e">
        <f>INDEX(UWS!$E$10:$E$41,MATCH(C175,UWS!$B$10:$B$41,0))</f>
        <v>#N/A</v>
      </c>
      <c r="K175" s="46"/>
      <c r="L175" s="109" t="str" cm="1">
        <f t="array" ref="L175">IF(K175="","",INDEX(UWS!$B$10:$B$41,K175))</f>
        <v/>
      </c>
      <c r="M175" s="46"/>
      <c r="N175" s="109" t="str" cm="1">
        <f t="array" ref="N175">IF(M175="","",INDEX(UWS!$B$10:$B$41,M175))</f>
        <v/>
      </c>
      <c r="O175" s="47"/>
      <c r="P175" s="47">
        <f>IFERROR(INDEX(UWS!$G$10:$Z$41,MATCH($C175,UWS!$B$10:$B$41,0),MATCH(P$4,UWS!$G$3:$Z$3,0)),0)</f>
        <v>0</v>
      </c>
      <c r="Q175" s="47">
        <f>IFERROR(INDEX(UWS!$G$10:$Z$41,MATCH($C175,UWS!$B$10:$B$41,0),MATCH(Q$4,UWS!$G$3:$Z$3,0)),0)</f>
        <v>0</v>
      </c>
      <c r="R175" s="47">
        <f>IFERROR(INDEX(UWS!$G$10:$Z$41,MATCH($C175,UWS!$B$10:$B$41,0),MATCH(R$4,UWS!$G$3:$Z$3,0)),0)</f>
        <v>0</v>
      </c>
      <c r="S175" s="47">
        <f>IFERROR(INDEX(UWS!$G$10:$Z$41,MATCH($C175,UWS!$B$10:$B$41,0),MATCH(S$4,UWS!$G$3:$Z$3,0)),0)</f>
        <v>0</v>
      </c>
      <c r="T175" s="47">
        <f>IFERROR(INDEX(UWS!$G$10:$Z$41,MATCH($C175,UWS!$B$10:$B$41,0),MATCH(T$4,UWS!$G$3:$Z$3,0)),0)</f>
        <v>0</v>
      </c>
      <c r="U175" s="47">
        <f>IFERROR(INDEX(UWS!$G$10:$Z$41,MATCH($C175,UWS!$B$10:$B$41,0),MATCH(U$4,UWS!$G$3:$Z$3,0)),0)</f>
        <v>0</v>
      </c>
      <c r="V175" s="47">
        <f>IFERROR(INDEX(UWS!$G$10:$Z$41,MATCH($C175,UWS!$B$10:$B$41,0),MATCH(V$4,UWS!$G$3:$Z$3,0)),0)</f>
        <v>0</v>
      </c>
      <c r="W175" s="47">
        <f>IFERROR(INDEX(UWS!$G$10:$Z$41,MATCH($C175,UWS!$B$10:$B$41,0),MATCH(W$4,UWS!$G$3:$Z$3,0)),0)</f>
        <v>0</v>
      </c>
      <c r="X175" s="47">
        <f>IFERROR(INDEX(UWS!$G$10:$Z$41,MATCH($C175,UWS!$B$10:$B$41,0),MATCH(X$4,UWS!$G$3:$Z$3,0)),0)</f>
        <v>0</v>
      </c>
      <c r="Y175" s="47">
        <f>IFERROR(INDEX(UWS!$G$10:$Z$41,MATCH($C175,UWS!$B$10:$B$41,0),MATCH(Y$4,UWS!$G$3:$Z$3,0)),0)</f>
        <v>0</v>
      </c>
      <c r="Z175" s="47">
        <f>IFERROR(INDEX(UWS!$G$10:$Z$41,MATCH($C175,UWS!$B$10:$B$41,0),MATCH(Z$4,UWS!$G$3:$Z$3,0)),0)</f>
        <v>0</v>
      </c>
      <c r="AA175" s="47">
        <f>IFERROR(INDEX(UWS!$G$10:$Z$41,MATCH($C175,UWS!$B$10:$B$41,0),MATCH(AA$4,UWS!$G$3:$Z$3,0)),0)</f>
        <v>0</v>
      </c>
      <c r="AB175" s="47">
        <f>IFERROR(INDEX(UWS!$G$10:$Z$41,MATCH($C175,UWS!$B$10:$B$41,0),MATCH(AB$4,UWS!$G$3:$Z$3,0)),0)</f>
        <v>0</v>
      </c>
      <c r="AC175" s="47">
        <f>IFERROR(INDEX(UWS!$G$10:$Z$41,MATCH($C175,UWS!$B$10:$B$41,0),MATCH(AC$4,UWS!$G$3:$Z$3,0)),0)</f>
        <v>0</v>
      </c>
      <c r="AD175" s="47">
        <f>IFERROR(INDEX(UWS!$G$10:$Z$41,MATCH($C175,UWS!$B$10:$B$41,0),MATCH(AD$4,UWS!$G$3:$Z$3,0)),0)</f>
        <v>0</v>
      </c>
      <c r="AE175" s="47">
        <f>IFERROR(INDEX(UWS!$G$10:$Z$41,MATCH($C175,UWS!$B$10:$B$41,0),MATCH(AE$4,UWS!$G$3:$Z$3,0)),0)</f>
        <v>0</v>
      </c>
      <c r="AF175" s="47">
        <f>IFERROR(INDEX(UWS!$G$10:$Z$41,MATCH($C175,UWS!$B$10:$B$41,0),MATCH(AF$4,UWS!$G$3:$Z$3,0)),0)</f>
        <v>0</v>
      </c>
      <c r="AG175" s="47">
        <f>IFERROR(INDEX(UWS!$G$10:$Z$41,MATCH($C175,UWS!$B$10:$B$41,0),MATCH(AG$4,UWS!$G$3:$Z$3,0)),0)</f>
        <v>0</v>
      </c>
      <c r="AH175" s="47">
        <f>IFERROR(INDEX(UWS!$G$10:$Z$41,MATCH($C175,UWS!$B$10:$B$41,0),MATCH(AH$4,UWS!$G$3:$Z$3,0)),0)</f>
        <v>0</v>
      </c>
      <c r="AI175" s="47">
        <f>IFERROR(INDEX(UWS!$G$10:$Z$41,MATCH($C175,UWS!$B$10:$B$41,0),MATCH(AI$4,UWS!$G$3:$Z$3,0)),0)</f>
        <v>0</v>
      </c>
      <c r="AJ175" s="47"/>
      <c r="AK175" s="47" t="e">
        <f>IF(OR($J175=0,COUNTIFS($A$4:$A174,"&gt;="&amp;$A175-1,$A$4:$A174,"&lt;="&amp;$A175,$B$4:$B174,$B175)&gt;0,MIN(AK$1,IF($A175=$A174,AK174,1))-P175&lt;0),-1,MIN(1,IF($A175=$A174,AK174,1)-P175+$D$3))</f>
        <v>#N/A</v>
      </c>
      <c r="AL175" s="47" t="e">
        <f>IF(OR($J175=0,COUNTIFS($A$4:$A174,"&gt;="&amp;$A175-1,$A$4:$A174,"&lt;="&amp;$A175,$B$4:$B174,$B175)&gt;0,MIN(AL$1,IF($A175=$A174,AL174,1))-Q175&lt;0),-1,MIN(1,IF($A175=$A174,AL174,1)-Q175+$D$3))</f>
        <v>#N/A</v>
      </c>
      <c r="AM175" s="47" t="e">
        <f>IF(OR($J175=0,COUNTIFS($A$4:$A174,"&gt;="&amp;$A175-1,$A$4:$A174,"&lt;="&amp;$A175,$B$4:$B174,$B175)&gt;0,MIN(AM$1,IF($A175=$A174,AM174,1))-R175&lt;0),-1,MIN(1,IF($A175=$A174,AM174,1)-R175+$D$3))</f>
        <v>#N/A</v>
      </c>
      <c r="AN175" s="47" t="e">
        <f>IF(OR($J175=0,COUNTIFS($A$4:$A174,"&gt;="&amp;$A175-1,$A$4:$A174,"&lt;="&amp;$A175,$B$4:$B174,$B175)&gt;0,MIN(AN$1,IF($A175=$A174,AN174,1))-S175&lt;0),-1,MIN(1,IF($A175=$A174,AN174,1)-S175+$D$3))</f>
        <v>#N/A</v>
      </c>
      <c r="AO175" s="47" t="e">
        <f>IF(OR($J175=0,COUNTIFS($A$4:$A174,"&gt;="&amp;$A175-1,$A$4:$A174,"&lt;="&amp;$A175,$B$4:$B174,$B175)&gt;0,MIN(AO$1,IF($A175=$A174,AO174,1))-T175&lt;0),-1,MIN(1,IF($A175=$A174,AO174,1)-T175+$D$3))</f>
        <v>#N/A</v>
      </c>
      <c r="AP175" s="47" t="e">
        <f>IF(OR($J175=0,COUNTIFS($A$4:$A174,"&gt;="&amp;$A175-1,$A$4:$A174,"&lt;="&amp;$A175,$B$4:$B174,$B175)&gt;0,MIN(AP$1,IF($A175=$A174,AP174,1))-U175&lt;0),-1,MIN(1,IF($A175=$A174,AP174,1)-U175+$D$3))</f>
        <v>#N/A</v>
      </c>
      <c r="AQ175" s="47" t="e">
        <f>IF(OR($J175=0,COUNTIFS($A$4:$A174,"&gt;="&amp;$A175-1,$A$4:$A174,"&lt;="&amp;$A175,$B$4:$B174,$B175)&gt;0,MIN(AQ$1,IF($A175=$A174,AQ174,1))-V175&lt;0),-1,MIN(1,IF($A175=$A174,AQ174,1)-V175+$D$3))</f>
        <v>#N/A</v>
      </c>
      <c r="AR175" s="47" t="e">
        <f>IF(OR($J175=0,COUNTIFS($A$4:$A174,"&gt;="&amp;$A175-1,$A$4:$A174,"&lt;="&amp;$A175,$B$4:$B174,$B175)&gt;0,MIN(AR$1,IF($A175=$A174,AR174,1))-W175&lt;0),-1,MIN(1,IF($A175=$A174,AR174,1)-W175+$D$3))</f>
        <v>#N/A</v>
      </c>
      <c r="AS175" s="47" t="e">
        <f>IF(OR($J175=0,COUNTIFS($A$4:$A174,"&gt;="&amp;$A175-1,$A$4:$A174,"&lt;="&amp;$A175,$B$4:$B174,$B175)&gt;0,MIN(AS$1,IF($A175=$A174,AS174,1))-X175&lt;0),-1,MIN(1,IF($A175=$A174,AS174,1)-X175+$D$3))</f>
        <v>#N/A</v>
      </c>
      <c r="AT175" s="47" t="e">
        <f>IF(OR($J175=0,COUNTIFS($A$4:$A174,"&gt;="&amp;$A175-1,$A$4:$A174,"&lt;="&amp;$A175,$B$4:$B174,$B175)&gt;0,MIN(AT$1,IF($A175=$A174,AT174,1))-Y175&lt;0),-1,MIN(1,IF($A175=$A174,AT174,1)-Y175+$D$3))</f>
        <v>#N/A</v>
      </c>
      <c r="AU175" s="47" t="e">
        <f>IF(OR($J175=0,COUNTIFS($A$4:$A174,"&gt;="&amp;$A175-1,$A$4:$A174,"&lt;="&amp;$A175,$B$4:$B174,$B175)&gt;0,MIN(AU$1,IF($A175=$A174,AU174,1))-Z175&lt;0),-1,MIN(1,IF($A175=$A174,AU174,1)-Z175+$D$3))</f>
        <v>#N/A</v>
      </c>
      <c r="AV175" s="47" t="e">
        <f>IF(OR($J175=0,COUNTIFS($A$4:$A174,"&gt;="&amp;$A175-1,$A$4:$A174,"&lt;="&amp;$A175,$B$4:$B174,$B175)&gt;0,MIN(AV$1,IF($A175=$A174,AV174,1))-AA175&lt;0),-1,MIN(1,IF($A175=$A174,AV174,1)-AA175+$D$3))</f>
        <v>#N/A</v>
      </c>
      <c r="AW175" s="47" t="e">
        <f>IF(OR($J175=0,COUNTIFS($A$4:$A174,"&gt;="&amp;$A175-1,$A$4:$A174,"&lt;="&amp;$A175,$B$4:$B174,$B175)&gt;0,MIN(AW$1,IF($A175=$A174,AW174,1))-AB175&lt;0),-1,MIN(1,IF($A175=$A174,AW174,1)-AB175+$D$3))</f>
        <v>#N/A</v>
      </c>
      <c r="AX175" s="47" t="e">
        <f>IF(OR($J175=0,COUNTIFS($A$4:$A174,"&gt;="&amp;$A175-1,$A$4:$A174,"&lt;="&amp;$A175,$B$4:$B174,$B175)&gt;0,MIN(AX$1,IF($A175=$A174,AX174,1))-AC175&lt;0),-1,MIN(1,IF($A175=$A174,AX174,1)-AC175+$D$3))</f>
        <v>#N/A</v>
      </c>
      <c r="AY175" s="47" t="e">
        <f>IF(OR($J175=0,COUNTIFS($A$4:$A174,"&gt;="&amp;$A175-1,$A$4:$A174,"&lt;="&amp;$A175,$B$4:$B174,$B175)&gt;0,MIN(AY$1,IF($A175=$A174,AY174,1))-AD175&lt;0),-1,MIN(1,IF($A175=$A174,AY174,1)-AD175+$D$3))</f>
        <v>#N/A</v>
      </c>
      <c r="AZ175" s="47" t="e">
        <f>IF(OR($J175=0,COUNTIFS($A$4:$A174,"&gt;="&amp;$A175-1,$A$4:$A174,"&lt;="&amp;$A175,$B$4:$B174,$B175)&gt;0,MIN(AZ$1,IF($A175=$A174,AZ174,1))-AE175&lt;0),-1,MIN(1,IF($A175=$A174,AZ174,1)-AE175+$D$3))</f>
        <v>#N/A</v>
      </c>
      <c r="BA175" s="47" t="e">
        <f>IF(OR($J175=0,COUNTIFS($A$4:$A174,"&gt;="&amp;$A175-1,$A$4:$A174,"&lt;="&amp;$A175,$B$4:$B174,$B175)&gt;0,MIN(BA$1,IF($A175=$A174,BA174,1))-AF175&lt;0),-1,MIN(1,IF($A175=$A174,BA174,1)-AF175+$D$3))</f>
        <v>#N/A</v>
      </c>
      <c r="BB175" s="47" t="e">
        <f>IF(OR($J175=0,COUNTIFS($A$4:$A174,"&gt;="&amp;$A175-1,$A$4:$A174,"&lt;="&amp;$A175,$B$4:$B174,$B175)&gt;0,MIN(BB$1,IF($A175=$A174,BB174,1))-AG175&lt;0),-1,MIN(1,IF($A175=$A174,BB174,1)-AG175+$D$3))</f>
        <v>#N/A</v>
      </c>
      <c r="BC175" s="47" t="e">
        <f>IF(OR($J175=0,COUNTIFS($A$4:$A174,"&gt;="&amp;$A175-1,$A$4:$A174,"&lt;="&amp;$A175,$B$4:$B174,$B175)&gt;0,MIN(BC$1,IF($A175=$A174,BC174,1))-AH175&lt;0),-1,MIN(1,IF($A175=$A174,BC174,1)-AH175+$D$3))</f>
        <v>#N/A</v>
      </c>
      <c r="BD175" s="47" t="e">
        <f>IF(OR($J175=0,COUNTIFS($A$4:$A174,"&gt;="&amp;$A175-1,$A$4:$A174,"&lt;="&amp;$A175,$B$4:$B174,$B175)&gt;0,MIN(BD$1,IF($A175=$A174,BD174,1))-AI175&lt;0),-1,MIN(1,IF($A175=$A174,BD174,1)-AI175+$D$3))</f>
        <v>#N/A</v>
      </c>
      <c r="BE175" s="47"/>
      <c r="BF175" s="53">
        <f t="shared" si="223"/>
        <v>3.2888373669964403E-4</v>
      </c>
      <c r="BG175" s="53">
        <f t="shared" si="224"/>
        <v>8.0881791337209939E-4</v>
      </c>
      <c r="BH175" s="53">
        <f t="shared" si="225"/>
        <v>8.2895328189421934E-4</v>
      </c>
      <c r="BI175" s="53">
        <f t="shared" si="226"/>
        <v>7.6572268330687065E-4</v>
      </c>
      <c r="BJ175" s="53">
        <f t="shared" si="227"/>
        <v>7.9144708781552864E-4</v>
      </c>
      <c r="BK175" s="53">
        <f t="shared" si="228"/>
        <v>3.3987688856484521E-4</v>
      </c>
      <c r="BL175" s="53">
        <f t="shared" si="229"/>
        <v>1.8360684227995106E-4</v>
      </c>
      <c r="BM175" s="53">
        <f t="shared" si="230"/>
        <v>4.6707436606462349E-4</v>
      </c>
      <c r="BN175" s="53">
        <f t="shared" si="231"/>
        <v>4.8579374232594159E-4</v>
      </c>
      <c r="BO175" s="53">
        <f t="shared" si="232"/>
        <v>2.2766138141069501E-4</v>
      </c>
      <c r="BP175" s="53">
        <f t="shared" si="233"/>
        <v>7.6550632265271119E-4</v>
      </c>
      <c r="BQ175" s="53">
        <f t="shared" si="234"/>
        <v>2.0657846811292894E-4</v>
      </c>
      <c r="BR175" s="53">
        <f t="shared" si="235"/>
        <v>6.1028450680413371E-4</v>
      </c>
      <c r="BS175" s="53">
        <f t="shared" si="236"/>
        <v>3.2913453306434974E-4</v>
      </c>
      <c r="BT175" s="53">
        <f t="shared" si="237"/>
        <v>1.3024862522316122E-3</v>
      </c>
      <c r="BU175" s="53">
        <f t="shared" si="238"/>
        <v>1.2442663039741488E-3</v>
      </c>
      <c r="BV175" s="53">
        <f t="shared" si="239"/>
        <v>1.1949521926894362E-3</v>
      </c>
      <c r="BW175" s="53">
        <f t="shared" si="240"/>
        <v>7.8156449273661388E-4</v>
      </c>
      <c r="BX175" s="53">
        <f t="shared" si="241"/>
        <v>5.7740565460699471E-4</v>
      </c>
      <c r="BY175" s="53">
        <f t="shared" si="242"/>
        <v>4.9576911972449981E-4</v>
      </c>
      <c r="BZ175" s="47"/>
      <c r="CA175" s="53" t="str">
        <f t="shared" si="243"/>
        <v/>
      </c>
      <c r="CB175" s="53" t="str">
        <f t="shared" si="244"/>
        <v/>
      </c>
      <c r="CC175" s="53" t="str">
        <f t="shared" si="245"/>
        <v/>
      </c>
      <c r="CD175" s="53" t="str">
        <f t="shared" si="246"/>
        <v/>
      </c>
      <c r="CE175" s="53" t="str">
        <f t="shared" si="247"/>
        <v/>
      </c>
      <c r="CF175" s="53" t="str">
        <f t="shared" si="248"/>
        <v/>
      </c>
      <c r="CG175" s="53" t="str">
        <f t="shared" si="249"/>
        <v/>
      </c>
      <c r="CH175" s="53" t="str">
        <f t="shared" si="250"/>
        <v/>
      </c>
      <c r="CI175" s="53" t="str">
        <f t="shared" si="251"/>
        <v/>
      </c>
      <c r="CJ175" s="53" t="str">
        <f t="shared" si="252"/>
        <v/>
      </c>
      <c r="CK175" s="53" t="str">
        <f t="shared" si="253"/>
        <v/>
      </c>
      <c r="CL175" s="53" t="str">
        <f t="shared" si="254"/>
        <v/>
      </c>
      <c r="CM175" s="53" t="str">
        <f t="shared" si="255"/>
        <v/>
      </c>
      <c r="CN175" s="53" t="str">
        <f t="shared" si="256"/>
        <v/>
      </c>
      <c r="CO175" s="53" t="str">
        <f t="shared" si="257"/>
        <v/>
      </c>
      <c r="CP175" s="53" t="str">
        <f t="shared" si="258"/>
        <v/>
      </c>
      <c r="CQ175" s="53" t="str">
        <f t="shared" si="259"/>
        <v/>
      </c>
      <c r="CR175" s="53" t="str">
        <f t="shared" si="260"/>
        <v/>
      </c>
      <c r="CS175" s="53" t="str">
        <f t="shared" si="261"/>
        <v/>
      </c>
      <c r="CT175" s="53" t="str">
        <f t="shared" si="262"/>
        <v/>
      </c>
      <c r="CU175" s="47"/>
      <c r="CV175" s="53">
        <f t="shared" si="263"/>
        <v>0</v>
      </c>
    </row>
    <row r="176" spans="1:100" x14ac:dyDescent="0.25">
      <c r="A176" s="41"/>
      <c r="B176" s="42"/>
      <c r="C176" s="43" t="str" cm="1">
        <f t="array" ref="C176">IF(B176="","",INDEX(UWS!$B$10:$B$41,B176))</f>
        <v/>
      </c>
      <c r="D176" s="40" t="str">
        <f t="shared" si="220"/>
        <v/>
      </c>
      <c r="E176" s="69" t="str">
        <f t="shared" si="221"/>
        <v/>
      </c>
      <c r="F176" s="48" cm="1">
        <f t="array" ref="F176">0.1+IFERROR(INDEX($F$5:$F175,SUMPRODUCT(MAX(ROW($C$5:$C175)*($C176=$C$5:$C175))-ROW($A$4)))*0.9^($A176-INDEX($A$5:A175,SUMPRODUCT(MAX(ROW($C$5:$C175)*($C176=$C$5:$C175))-ROW($A$4)))),0)</f>
        <v>11.099999999999977</v>
      </c>
      <c r="G176" s="55" t="e">
        <f>INDEX(UWS!$AB$10:$AB$41,MATCH(C176,UWS!$B$10:$B$41,0))</f>
        <v>#N/A</v>
      </c>
      <c r="H176" s="48" t="e">
        <f>INDEX(UWS!$C$10:$C$41,MATCH(C176,UWS!$B$10:$B$41,0))</f>
        <v>#N/A</v>
      </c>
      <c r="I176" s="82">
        <f t="shared" si="222"/>
        <v>5</v>
      </c>
      <c r="J176" s="27" t="e">
        <f>INDEX(UWS!$E$10:$E$41,MATCH(C176,UWS!$B$10:$B$41,0))</f>
        <v>#N/A</v>
      </c>
      <c r="L176" s="108" t="str" cm="1">
        <f t="array" ref="L176">IF(K176="","",INDEX(UWS!$B$10:$B$41,K176))</f>
        <v/>
      </c>
      <c r="N176" s="108" t="str" cm="1">
        <f t="array" ref="N176">IF(M176="","",INDEX(UWS!$B$10:$B$41,M176))</f>
        <v/>
      </c>
      <c r="P176">
        <f>IFERROR(INDEX(UWS!$G$10:$Z$41,MATCH($C176,UWS!$B$10:$B$41,0),MATCH(P$4,UWS!$G$3:$Z$3,0)),0)</f>
        <v>0</v>
      </c>
      <c r="Q176">
        <f>IFERROR(INDEX(UWS!$G$10:$Z$41,MATCH($C176,UWS!$B$10:$B$41,0),MATCH(Q$4,UWS!$G$3:$Z$3,0)),0)</f>
        <v>0</v>
      </c>
      <c r="R176">
        <f>IFERROR(INDEX(UWS!$G$10:$Z$41,MATCH($C176,UWS!$B$10:$B$41,0),MATCH(R$4,UWS!$G$3:$Z$3,0)),0)</f>
        <v>0</v>
      </c>
      <c r="S176">
        <f>IFERROR(INDEX(UWS!$G$10:$Z$41,MATCH($C176,UWS!$B$10:$B$41,0),MATCH(S$4,UWS!$G$3:$Z$3,0)),0)</f>
        <v>0</v>
      </c>
      <c r="T176">
        <f>IFERROR(INDEX(UWS!$G$10:$Z$41,MATCH($C176,UWS!$B$10:$B$41,0),MATCH(T$4,UWS!$G$3:$Z$3,0)),0)</f>
        <v>0</v>
      </c>
      <c r="U176">
        <f>IFERROR(INDEX(UWS!$G$10:$Z$41,MATCH($C176,UWS!$B$10:$B$41,0),MATCH(U$4,UWS!$G$3:$Z$3,0)),0)</f>
        <v>0</v>
      </c>
      <c r="V176">
        <f>IFERROR(INDEX(UWS!$G$10:$Z$41,MATCH($C176,UWS!$B$10:$B$41,0),MATCH(V$4,UWS!$G$3:$Z$3,0)),0)</f>
        <v>0</v>
      </c>
      <c r="W176">
        <f>IFERROR(INDEX(UWS!$G$10:$Z$41,MATCH($C176,UWS!$B$10:$B$41,0),MATCH(W$4,UWS!$G$3:$Z$3,0)),0)</f>
        <v>0</v>
      </c>
      <c r="X176">
        <f>IFERROR(INDEX(UWS!$G$10:$Z$41,MATCH($C176,UWS!$B$10:$B$41,0),MATCH(X$4,UWS!$G$3:$Z$3,0)),0)</f>
        <v>0</v>
      </c>
      <c r="Y176">
        <f>IFERROR(INDEX(UWS!$G$10:$Z$41,MATCH($C176,UWS!$B$10:$B$41,0),MATCH(Y$4,UWS!$G$3:$Z$3,0)),0)</f>
        <v>0</v>
      </c>
      <c r="Z176">
        <f>IFERROR(INDEX(UWS!$G$10:$Z$41,MATCH($C176,UWS!$B$10:$B$41,0),MATCH(Z$4,UWS!$G$3:$Z$3,0)),0)</f>
        <v>0</v>
      </c>
      <c r="AA176">
        <f>IFERROR(INDEX(UWS!$G$10:$Z$41,MATCH($C176,UWS!$B$10:$B$41,0),MATCH(AA$4,UWS!$G$3:$Z$3,0)),0)</f>
        <v>0</v>
      </c>
      <c r="AB176">
        <f>IFERROR(INDEX(UWS!$G$10:$Z$41,MATCH($C176,UWS!$B$10:$B$41,0),MATCH(AB$4,UWS!$G$3:$Z$3,0)),0)</f>
        <v>0</v>
      </c>
      <c r="AC176">
        <f>IFERROR(INDEX(UWS!$G$10:$Z$41,MATCH($C176,UWS!$B$10:$B$41,0),MATCH(AC$4,UWS!$G$3:$Z$3,0)),0)</f>
        <v>0</v>
      </c>
      <c r="AD176">
        <f>IFERROR(INDEX(UWS!$G$10:$Z$41,MATCH($C176,UWS!$B$10:$B$41,0),MATCH(AD$4,UWS!$G$3:$Z$3,0)),0)</f>
        <v>0</v>
      </c>
      <c r="AE176">
        <f>IFERROR(INDEX(UWS!$G$10:$Z$41,MATCH($C176,UWS!$B$10:$B$41,0),MATCH(AE$4,UWS!$G$3:$Z$3,0)),0)</f>
        <v>0</v>
      </c>
      <c r="AF176">
        <f>IFERROR(INDEX(UWS!$G$10:$Z$41,MATCH($C176,UWS!$B$10:$B$41,0),MATCH(AF$4,UWS!$G$3:$Z$3,0)),0)</f>
        <v>0</v>
      </c>
      <c r="AG176">
        <f>IFERROR(INDEX(UWS!$G$10:$Z$41,MATCH($C176,UWS!$B$10:$B$41,0),MATCH(AG$4,UWS!$G$3:$Z$3,0)),0)</f>
        <v>0</v>
      </c>
      <c r="AH176">
        <f>IFERROR(INDEX(UWS!$G$10:$Z$41,MATCH($C176,UWS!$B$10:$B$41,0),MATCH(AH$4,UWS!$G$3:$Z$3,0)),0)</f>
        <v>0</v>
      </c>
      <c r="AI176">
        <f>IFERROR(INDEX(UWS!$G$10:$Z$41,MATCH($C176,UWS!$B$10:$B$41,0),MATCH(AI$4,UWS!$G$3:$Z$3,0)),0)</f>
        <v>0</v>
      </c>
      <c r="AK176" t="e">
        <f>IF(OR($J176=0,COUNTIFS($A$4:$A175,"&gt;="&amp;$A176-1,$A$4:$A175,"&lt;="&amp;$A176,$B$4:$B175,$B176)&gt;0,MIN(AK$1,IF($A176=$A175,AK175,1))-P176&lt;0),-1,MIN(1,IF($A176=$A175,AK175,1)-P176+$D$3))</f>
        <v>#N/A</v>
      </c>
      <c r="AL176" t="e">
        <f>IF(OR($J176=0,COUNTIFS($A$4:$A175,"&gt;="&amp;$A176-1,$A$4:$A175,"&lt;="&amp;$A176,$B$4:$B175,$B176)&gt;0,MIN(AL$1,IF($A176=$A175,AL175,1))-Q176&lt;0),-1,MIN(1,IF($A176=$A175,AL175,1)-Q176+$D$3))</f>
        <v>#N/A</v>
      </c>
      <c r="AM176" t="e">
        <f>IF(OR($J176=0,COUNTIFS($A$4:$A175,"&gt;="&amp;$A176-1,$A$4:$A175,"&lt;="&amp;$A176,$B$4:$B175,$B176)&gt;0,MIN(AM$1,IF($A176=$A175,AM175,1))-R176&lt;0),-1,MIN(1,IF($A176=$A175,AM175,1)-R176+$D$3))</f>
        <v>#N/A</v>
      </c>
      <c r="AN176" t="e">
        <f>IF(OR($J176=0,COUNTIFS($A$4:$A175,"&gt;="&amp;$A176-1,$A$4:$A175,"&lt;="&amp;$A176,$B$4:$B175,$B176)&gt;0,MIN(AN$1,IF($A176=$A175,AN175,1))-S176&lt;0),-1,MIN(1,IF($A176=$A175,AN175,1)-S176+$D$3))</f>
        <v>#N/A</v>
      </c>
      <c r="AO176" t="e">
        <f>IF(OR($J176=0,COUNTIFS($A$4:$A175,"&gt;="&amp;$A176-1,$A$4:$A175,"&lt;="&amp;$A176,$B$4:$B175,$B176)&gt;0,MIN(AO$1,IF($A176=$A175,AO175,1))-T176&lt;0),-1,MIN(1,IF($A176=$A175,AO175,1)-T176+$D$3))</f>
        <v>#N/A</v>
      </c>
      <c r="AP176" t="e">
        <f>IF(OR($J176=0,COUNTIFS($A$4:$A175,"&gt;="&amp;$A176-1,$A$4:$A175,"&lt;="&amp;$A176,$B$4:$B175,$B176)&gt;0,MIN(AP$1,IF($A176=$A175,AP175,1))-U176&lt;0),-1,MIN(1,IF($A176=$A175,AP175,1)-U176+$D$3))</f>
        <v>#N/A</v>
      </c>
      <c r="AQ176" t="e">
        <f>IF(OR($J176=0,COUNTIFS($A$4:$A175,"&gt;="&amp;$A176-1,$A$4:$A175,"&lt;="&amp;$A176,$B$4:$B175,$B176)&gt;0,MIN(AQ$1,IF($A176=$A175,AQ175,1))-V176&lt;0),-1,MIN(1,IF($A176=$A175,AQ175,1)-V176+$D$3))</f>
        <v>#N/A</v>
      </c>
      <c r="AR176" t="e">
        <f>IF(OR($J176=0,COUNTIFS($A$4:$A175,"&gt;="&amp;$A176-1,$A$4:$A175,"&lt;="&amp;$A176,$B$4:$B175,$B176)&gt;0,MIN(AR$1,IF($A176=$A175,AR175,1))-W176&lt;0),-1,MIN(1,IF($A176=$A175,AR175,1)-W176+$D$3))</f>
        <v>#N/A</v>
      </c>
      <c r="AS176" t="e">
        <f>IF(OR($J176=0,COUNTIFS($A$4:$A175,"&gt;="&amp;$A176-1,$A$4:$A175,"&lt;="&amp;$A176,$B$4:$B175,$B176)&gt;0,MIN(AS$1,IF($A176=$A175,AS175,1))-X176&lt;0),-1,MIN(1,IF($A176=$A175,AS175,1)-X176+$D$3))</f>
        <v>#N/A</v>
      </c>
      <c r="AT176" t="e">
        <f>IF(OR($J176=0,COUNTIFS($A$4:$A175,"&gt;="&amp;$A176-1,$A$4:$A175,"&lt;="&amp;$A176,$B$4:$B175,$B176)&gt;0,MIN(AT$1,IF($A176=$A175,AT175,1))-Y176&lt;0),-1,MIN(1,IF($A176=$A175,AT175,1)-Y176+$D$3))</f>
        <v>#N/A</v>
      </c>
      <c r="AU176" t="e">
        <f>IF(OR($J176=0,COUNTIFS($A$4:$A175,"&gt;="&amp;$A176-1,$A$4:$A175,"&lt;="&amp;$A176,$B$4:$B175,$B176)&gt;0,MIN(AU$1,IF($A176=$A175,AU175,1))-Z176&lt;0),-1,MIN(1,IF($A176=$A175,AU175,1)-Z176+$D$3))</f>
        <v>#N/A</v>
      </c>
      <c r="AV176" t="e">
        <f>IF(OR($J176=0,COUNTIFS($A$4:$A175,"&gt;="&amp;$A176-1,$A$4:$A175,"&lt;="&amp;$A176,$B$4:$B175,$B176)&gt;0,MIN(AV$1,IF($A176=$A175,AV175,1))-AA176&lt;0),-1,MIN(1,IF($A176=$A175,AV175,1)-AA176+$D$3))</f>
        <v>#N/A</v>
      </c>
      <c r="AW176" t="e">
        <f>IF(OR($J176=0,COUNTIFS($A$4:$A175,"&gt;="&amp;$A176-1,$A$4:$A175,"&lt;="&amp;$A176,$B$4:$B175,$B176)&gt;0,MIN(AW$1,IF($A176=$A175,AW175,1))-AB176&lt;0),-1,MIN(1,IF($A176=$A175,AW175,1)-AB176+$D$3))</f>
        <v>#N/A</v>
      </c>
      <c r="AX176" t="e">
        <f>IF(OR($J176=0,COUNTIFS($A$4:$A175,"&gt;="&amp;$A176-1,$A$4:$A175,"&lt;="&amp;$A176,$B$4:$B175,$B176)&gt;0,MIN(AX$1,IF($A176=$A175,AX175,1))-AC176&lt;0),-1,MIN(1,IF($A176=$A175,AX175,1)-AC176+$D$3))</f>
        <v>#N/A</v>
      </c>
      <c r="AY176" t="e">
        <f>IF(OR($J176=0,COUNTIFS($A$4:$A175,"&gt;="&amp;$A176-1,$A$4:$A175,"&lt;="&amp;$A176,$B$4:$B175,$B176)&gt;0,MIN(AY$1,IF($A176=$A175,AY175,1))-AD176&lt;0),-1,MIN(1,IF($A176=$A175,AY175,1)-AD176+$D$3))</f>
        <v>#N/A</v>
      </c>
      <c r="AZ176" t="e">
        <f>IF(OR($J176=0,COUNTIFS($A$4:$A175,"&gt;="&amp;$A176-1,$A$4:$A175,"&lt;="&amp;$A176,$B$4:$B175,$B176)&gt;0,MIN(AZ$1,IF($A176=$A175,AZ175,1))-AE176&lt;0),-1,MIN(1,IF($A176=$A175,AZ175,1)-AE176+$D$3))</f>
        <v>#N/A</v>
      </c>
      <c r="BA176" t="e">
        <f>IF(OR($J176=0,COUNTIFS($A$4:$A175,"&gt;="&amp;$A176-1,$A$4:$A175,"&lt;="&amp;$A176,$B$4:$B175,$B176)&gt;0,MIN(BA$1,IF($A176=$A175,BA175,1))-AF176&lt;0),-1,MIN(1,IF($A176=$A175,BA175,1)-AF176+$D$3))</f>
        <v>#N/A</v>
      </c>
      <c r="BB176" t="e">
        <f>IF(OR($J176=0,COUNTIFS($A$4:$A175,"&gt;="&amp;$A176-1,$A$4:$A175,"&lt;="&amp;$A176,$B$4:$B175,$B176)&gt;0,MIN(BB$1,IF($A176=$A175,BB175,1))-AG176&lt;0),-1,MIN(1,IF($A176=$A175,BB175,1)-AG176+$D$3))</f>
        <v>#N/A</v>
      </c>
      <c r="BC176" t="e">
        <f>IF(OR($J176=0,COUNTIFS($A$4:$A175,"&gt;="&amp;$A176-1,$A$4:$A175,"&lt;="&amp;$A176,$B$4:$B175,$B176)&gt;0,MIN(BC$1,IF($A176=$A175,BC175,1))-AH176&lt;0),-1,MIN(1,IF($A176=$A175,BC175,1)-AH176+$D$3))</f>
        <v>#N/A</v>
      </c>
      <c r="BD176" t="e">
        <f>IF(OR($J176=0,COUNTIFS($A$4:$A175,"&gt;="&amp;$A176-1,$A$4:$A175,"&lt;="&amp;$A176,$B$4:$B175,$B176)&gt;0,MIN(BD$1,IF($A176=$A175,BD175,1))-AI176&lt;0),-1,MIN(1,IF($A176=$A175,BD175,1)-AI176+$D$3))</f>
        <v>#N/A</v>
      </c>
      <c r="BF176" s="44">
        <f t="shared" si="223"/>
        <v>3.124395498646618E-4</v>
      </c>
      <c r="BG176" s="44">
        <f t="shared" si="224"/>
        <v>7.6837701770349437E-4</v>
      </c>
      <c r="BH176" s="44">
        <f t="shared" si="225"/>
        <v>7.8750561779950836E-4</v>
      </c>
      <c r="BI176" s="44">
        <f t="shared" si="226"/>
        <v>7.274365491415271E-4</v>
      </c>
      <c r="BJ176" s="44">
        <f t="shared" si="227"/>
        <v>7.5187473342475217E-4</v>
      </c>
      <c r="BK176" s="44">
        <f t="shared" si="228"/>
        <v>3.2288304413660295E-4</v>
      </c>
      <c r="BL176" s="44">
        <f t="shared" si="229"/>
        <v>1.7442650016595351E-4</v>
      </c>
      <c r="BM176" s="44">
        <f t="shared" si="230"/>
        <v>4.4372064776139231E-4</v>
      </c>
      <c r="BN176" s="44">
        <f t="shared" si="231"/>
        <v>4.6150405520964448E-4</v>
      </c>
      <c r="BO176" s="44">
        <f t="shared" si="232"/>
        <v>2.1627831234016025E-4</v>
      </c>
      <c r="BP176" s="44">
        <f t="shared" si="233"/>
        <v>7.2723100652007555E-4</v>
      </c>
      <c r="BQ176" s="44">
        <f t="shared" si="234"/>
        <v>1.9624954470728249E-4</v>
      </c>
      <c r="BR176" s="44">
        <f t="shared" si="235"/>
        <v>5.79770281463927E-4</v>
      </c>
      <c r="BS176" s="44">
        <f t="shared" si="236"/>
        <v>3.1267780641113223E-4</v>
      </c>
      <c r="BT176" s="44">
        <f t="shared" si="237"/>
        <v>1.2373619396200315E-3</v>
      </c>
      <c r="BU176" s="44">
        <f t="shared" si="238"/>
        <v>1.1820529887754414E-3</v>
      </c>
      <c r="BV176" s="44">
        <f t="shared" si="239"/>
        <v>1.1352045830549645E-3</v>
      </c>
      <c r="BW176" s="44">
        <f t="shared" si="240"/>
        <v>7.4248626809978314E-4</v>
      </c>
      <c r="BX176" s="44">
        <f t="shared" si="241"/>
        <v>5.4853537187664499E-4</v>
      </c>
      <c r="BY176" s="44">
        <f t="shared" si="242"/>
        <v>4.7098066373827481E-4</v>
      </c>
      <c r="CA176" s="44" t="str">
        <f t="shared" si="243"/>
        <v/>
      </c>
      <c r="CB176" s="44" t="str">
        <f t="shared" si="244"/>
        <v/>
      </c>
      <c r="CC176" s="44" t="str">
        <f t="shared" si="245"/>
        <v/>
      </c>
      <c r="CD176" s="44" t="str">
        <f t="shared" si="246"/>
        <v/>
      </c>
      <c r="CE176" s="44" t="str">
        <f t="shared" si="247"/>
        <v/>
      </c>
      <c r="CF176" s="44" t="str">
        <f t="shared" si="248"/>
        <v/>
      </c>
      <c r="CG176" s="44" t="str">
        <f t="shared" si="249"/>
        <v/>
      </c>
      <c r="CH176" s="44" t="str">
        <f t="shared" si="250"/>
        <v/>
      </c>
      <c r="CI176" s="44" t="str">
        <f t="shared" si="251"/>
        <v/>
      </c>
      <c r="CJ176" s="44" t="str">
        <f t="shared" si="252"/>
        <v/>
      </c>
      <c r="CK176" s="44" t="str">
        <f t="shared" si="253"/>
        <v/>
      </c>
      <c r="CL176" s="44" t="str">
        <f t="shared" si="254"/>
        <v/>
      </c>
      <c r="CM176" s="44" t="str">
        <f t="shared" si="255"/>
        <v/>
      </c>
      <c r="CN176" s="44" t="str">
        <f t="shared" si="256"/>
        <v/>
      </c>
      <c r="CO176" s="44" t="str">
        <f t="shared" si="257"/>
        <v/>
      </c>
      <c r="CP176" s="44" t="str">
        <f t="shared" si="258"/>
        <v/>
      </c>
      <c r="CQ176" s="44" t="str">
        <f t="shared" si="259"/>
        <v/>
      </c>
      <c r="CR176" s="44" t="str">
        <f t="shared" si="260"/>
        <v/>
      </c>
      <c r="CS176" s="44" t="str">
        <f t="shared" si="261"/>
        <v/>
      </c>
      <c r="CT176" s="44" t="str">
        <f t="shared" si="262"/>
        <v/>
      </c>
      <c r="CV176" s="44">
        <f t="shared" si="263"/>
        <v>0</v>
      </c>
    </row>
    <row r="177" spans="1:100" x14ac:dyDescent="0.25">
      <c r="A177" s="41"/>
      <c r="B177" s="42"/>
      <c r="C177" s="43" t="str" cm="1">
        <f t="array" ref="C177">IF(B177="","",INDEX(UWS!$B$10:$B$41,B177))</f>
        <v/>
      </c>
      <c r="D177" s="40" t="str">
        <f t="shared" si="220"/>
        <v/>
      </c>
      <c r="E177" s="69" t="str">
        <f t="shared" si="221"/>
        <v/>
      </c>
      <c r="F177" s="48" cm="1">
        <f t="array" ref="F177">0.1+IFERROR(INDEX($F$5:$F176,SUMPRODUCT(MAX(ROW($C$5:$C176)*($C177=$C$5:$C176))-ROW($A$4)))*0.9^($A177-INDEX($A$5:A176,SUMPRODUCT(MAX(ROW($C$5:$C176)*($C177=$C$5:$C176))-ROW($A$4)))),0)</f>
        <v>11.199999999999976</v>
      </c>
      <c r="G177" s="55" t="e">
        <f>INDEX(UWS!$AB$10:$AB$41,MATCH(C177,UWS!$B$10:$B$41,0))</f>
        <v>#N/A</v>
      </c>
      <c r="H177" s="48" t="e">
        <f>INDEX(UWS!$C$10:$C$41,MATCH(C177,UWS!$B$10:$B$41,0))</f>
        <v>#N/A</v>
      </c>
      <c r="I177" s="27">
        <f t="shared" si="222"/>
        <v>5</v>
      </c>
      <c r="J177" s="27" t="e">
        <f>INDEX(UWS!$E$10:$E$41,MATCH(C177,UWS!$B$10:$B$41,0))</f>
        <v>#N/A</v>
      </c>
      <c r="L177" s="108" t="str" cm="1">
        <f t="array" ref="L177">IF(K177="","",INDEX(UWS!$B$10:$B$41,K177))</f>
        <v/>
      </c>
      <c r="N177" s="108" t="str" cm="1">
        <f t="array" ref="N177">IF(M177="","",INDEX(UWS!$B$10:$B$41,M177))</f>
        <v/>
      </c>
      <c r="P177">
        <f>IFERROR(INDEX(UWS!$G$10:$Z$41,MATCH($C177,UWS!$B$10:$B$41,0),MATCH(P$4,UWS!$G$3:$Z$3,0)),0)</f>
        <v>0</v>
      </c>
      <c r="Q177">
        <f>IFERROR(INDEX(UWS!$G$10:$Z$41,MATCH($C177,UWS!$B$10:$B$41,0),MATCH(Q$4,UWS!$G$3:$Z$3,0)),0)</f>
        <v>0</v>
      </c>
      <c r="R177">
        <f>IFERROR(INDEX(UWS!$G$10:$Z$41,MATCH($C177,UWS!$B$10:$B$41,0),MATCH(R$4,UWS!$G$3:$Z$3,0)),0)</f>
        <v>0</v>
      </c>
      <c r="S177">
        <f>IFERROR(INDEX(UWS!$G$10:$Z$41,MATCH($C177,UWS!$B$10:$B$41,0),MATCH(S$4,UWS!$G$3:$Z$3,0)),0)</f>
        <v>0</v>
      </c>
      <c r="T177">
        <f>IFERROR(INDEX(UWS!$G$10:$Z$41,MATCH($C177,UWS!$B$10:$B$41,0),MATCH(T$4,UWS!$G$3:$Z$3,0)),0)</f>
        <v>0</v>
      </c>
      <c r="U177">
        <f>IFERROR(INDEX(UWS!$G$10:$Z$41,MATCH($C177,UWS!$B$10:$B$41,0),MATCH(U$4,UWS!$G$3:$Z$3,0)),0)</f>
        <v>0</v>
      </c>
      <c r="V177">
        <f>IFERROR(INDEX(UWS!$G$10:$Z$41,MATCH($C177,UWS!$B$10:$B$41,0),MATCH(V$4,UWS!$G$3:$Z$3,0)),0)</f>
        <v>0</v>
      </c>
      <c r="W177">
        <f>IFERROR(INDEX(UWS!$G$10:$Z$41,MATCH($C177,UWS!$B$10:$B$41,0),MATCH(W$4,UWS!$G$3:$Z$3,0)),0)</f>
        <v>0</v>
      </c>
      <c r="X177">
        <f>IFERROR(INDEX(UWS!$G$10:$Z$41,MATCH($C177,UWS!$B$10:$B$41,0),MATCH(X$4,UWS!$G$3:$Z$3,0)),0)</f>
        <v>0</v>
      </c>
      <c r="Y177">
        <f>IFERROR(INDEX(UWS!$G$10:$Z$41,MATCH($C177,UWS!$B$10:$B$41,0),MATCH(Y$4,UWS!$G$3:$Z$3,0)),0)</f>
        <v>0</v>
      </c>
      <c r="Z177">
        <f>IFERROR(INDEX(UWS!$G$10:$Z$41,MATCH($C177,UWS!$B$10:$B$41,0),MATCH(Z$4,UWS!$G$3:$Z$3,0)),0)</f>
        <v>0</v>
      </c>
      <c r="AA177">
        <f>IFERROR(INDEX(UWS!$G$10:$Z$41,MATCH($C177,UWS!$B$10:$B$41,0),MATCH(AA$4,UWS!$G$3:$Z$3,0)),0)</f>
        <v>0</v>
      </c>
      <c r="AB177">
        <f>IFERROR(INDEX(UWS!$G$10:$Z$41,MATCH($C177,UWS!$B$10:$B$41,0),MATCH(AB$4,UWS!$G$3:$Z$3,0)),0)</f>
        <v>0</v>
      </c>
      <c r="AC177">
        <f>IFERROR(INDEX(UWS!$G$10:$Z$41,MATCH($C177,UWS!$B$10:$B$41,0),MATCH(AC$4,UWS!$G$3:$Z$3,0)),0)</f>
        <v>0</v>
      </c>
      <c r="AD177">
        <f>IFERROR(INDEX(UWS!$G$10:$Z$41,MATCH($C177,UWS!$B$10:$B$41,0),MATCH(AD$4,UWS!$G$3:$Z$3,0)),0)</f>
        <v>0</v>
      </c>
      <c r="AE177">
        <f>IFERROR(INDEX(UWS!$G$10:$Z$41,MATCH($C177,UWS!$B$10:$B$41,0),MATCH(AE$4,UWS!$G$3:$Z$3,0)),0)</f>
        <v>0</v>
      </c>
      <c r="AF177">
        <f>IFERROR(INDEX(UWS!$G$10:$Z$41,MATCH($C177,UWS!$B$10:$B$41,0),MATCH(AF$4,UWS!$G$3:$Z$3,0)),0)</f>
        <v>0</v>
      </c>
      <c r="AG177">
        <f>IFERROR(INDEX(UWS!$G$10:$Z$41,MATCH($C177,UWS!$B$10:$B$41,0),MATCH(AG$4,UWS!$G$3:$Z$3,0)),0)</f>
        <v>0</v>
      </c>
      <c r="AH177">
        <f>IFERROR(INDEX(UWS!$G$10:$Z$41,MATCH($C177,UWS!$B$10:$B$41,0),MATCH(AH$4,UWS!$G$3:$Z$3,0)),0)</f>
        <v>0</v>
      </c>
      <c r="AI177">
        <f>IFERROR(INDEX(UWS!$G$10:$Z$41,MATCH($C177,UWS!$B$10:$B$41,0),MATCH(AI$4,UWS!$G$3:$Z$3,0)),0)</f>
        <v>0</v>
      </c>
      <c r="AK177" t="e">
        <f>IF(OR($J177=0,COUNTIFS($A$4:$A176,"&gt;="&amp;$A177-1,$A$4:$A176,"&lt;="&amp;$A177,$B$4:$B176,$B177)&gt;0,MIN(AK$1,IF($A177=$A176,AK176,1))-P177&lt;0),-1,MIN(1,IF($A177=$A176,AK176,1)-P177+$D$3))</f>
        <v>#N/A</v>
      </c>
      <c r="AL177" t="e">
        <f>IF(OR($J177=0,COUNTIFS($A$4:$A176,"&gt;="&amp;$A177-1,$A$4:$A176,"&lt;="&amp;$A177,$B$4:$B176,$B177)&gt;0,MIN(AL$1,IF($A177=$A176,AL176,1))-Q177&lt;0),-1,MIN(1,IF($A177=$A176,AL176,1)-Q177+$D$3))</f>
        <v>#N/A</v>
      </c>
      <c r="AM177" t="e">
        <f>IF(OR($J177=0,COUNTIFS($A$4:$A176,"&gt;="&amp;$A177-1,$A$4:$A176,"&lt;="&amp;$A177,$B$4:$B176,$B177)&gt;0,MIN(AM$1,IF($A177=$A176,AM176,1))-R177&lt;0),-1,MIN(1,IF($A177=$A176,AM176,1)-R177+$D$3))</f>
        <v>#N/A</v>
      </c>
      <c r="AN177" t="e">
        <f>IF(OR($J177=0,COUNTIFS($A$4:$A176,"&gt;="&amp;$A177-1,$A$4:$A176,"&lt;="&amp;$A177,$B$4:$B176,$B177)&gt;0,MIN(AN$1,IF($A177=$A176,AN176,1))-S177&lt;0),-1,MIN(1,IF($A177=$A176,AN176,1)-S177+$D$3))</f>
        <v>#N/A</v>
      </c>
      <c r="AO177" t="e">
        <f>IF(OR($J177=0,COUNTIFS($A$4:$A176,"&gt;="&amp;$A177-1,$A$4:$A176,"&lt;="&amp;$A177,$B$4:$B176,$B177)&gt;0,MIN(AO$1,IF($A177=$A176,AO176,1))-T177&lt;0),-1,MIN(1,IF($A177=$A176,AO176,1)-T177+$D$3))</f>
        <v>#N/A</v>
      </c>
      <c r="AP177" t="e">
        <f>IF(OR($J177=0,COUNTIFS($A$4:$A176,"&gt;="&amp;$A177-1,$A$4:$A176,"&lt;="&amp;$A177,$B$4:$B176,$B177)&gt;0,MIN(AP$1,IF($A177=$A176,AP176,1))-U177&lt;0),-1,MIN(1,IF($A177=$A176,AP176,1)-U177+$D$3))</f>
        <v>#N/A</v>
      </c>
      <c r="AQ177" t="e">
        <f>IF(OR($J177=0,COUNTIFS($A$4:$A176,"&gt;="&amp;$A177-1,$A$4:$A176,"&lt;="&amp;$A177,$B$4:$B176,$B177)&gt;0,MIN(AQ$1,IF($A177=$A176,AQ176,1))-V177&lt;0),-1,MIN(1,IF($A177=$A176,AQ176,1)-V177+$D$3))</f>
        <v>#N/A</v>
      </c>
      <c r="AR177" t="e">
        <f>IF(OR($J177=0,COUNTIFS($A$4:$A176,"&gt;="&amp;$A177-1,$A$4:$A176,"&lt;="&amp;$A177,$B$4:$B176,$B177)&gt;0,MIN(AR$1,IF($A177=$A176,AR176,1))-W177&lt;0),-1,MIN(1,IF($A177=$A176,AR176,1)-W177+$D$3))</f>
        <v>#N/A</v>
      </c>
      <c r="AS177" t="e">
        <f>IF(OR($J177=0,COUNTIFS($A$4:$A176,"&gt;="&amp;$A177-1,$A$4:$A176,"&lt;="&amp;$A177,$B$4:$B176,$B177)&gt;0,MIN(AS$1,IF($A177=$A176,AS176,1))-X177&lt;0),-1,MIN(1,IF($A177=$A176,AS176,1)-X177+$D$3))</f>
        <v>#N/A</v>
      </c>
      <c r="AT177" t="e">
        <f>IF(OR($J177=0,COUNTIFS($A$4:$A176,"&gt;="&amp;$A177-1,$A$4:$A176,"&lt;="&amp;$A177,$B$4:$B176,$B177)&gt;0,MIN(AT$1,IF($A177=$A176,AT176,1))-Y177&lt;0),-1,MIN(1,IF($A177=$A176,AT176,1)-Y177+$D$3))</f>
        <v>#N/A</v>
      </c>
      <c r="AU177" t="e">
        <f>IF(OR($J177=0,COUNTIFS($A$4:$A176,"&gt;="&amp;$A177-1,$A$4:$A176,"&lt;="&amp;$A177,$B$4:$B176,$B177)&gt;0,MIN(AU$1,IF($A177=$A176,AU176,1))-Z177&lt;0),-1,MIN(1,IF($A177=$A176,AU176,1)-Z177+$D$3))</f>
        <v>#N/A</v>
      </c>
      <c r="AV177" t="e">
        <f>IF(OR($J177=0,COUNTIFS($A$4:$A176,"&gt;="&amp;$A177-1,$A$4:$A176,"&lt;="&amp;$A177,$B$4:$B176,$B177)&gt;0,MIN(AV$1,IF($A177=$A176,AV176,1))-AA177&lt;0),-1,MIN(1,IF($A177=$A176,AV176,1)-AA177+$D$3))</f>
        <v>#N/A</v>
      </c>
      <c r="AW177" t="e">
        <f>IF(OR($J177=0,COUNTIFS($A$4:$A176,"&gt;="&amp;$A177-1,$A$4:$A176,"&lt;="&amp;$A177,$B$4:$B176,$B177)&gt;0,MIN(AW$1,IF($A177=$A176,AW176,1))-AB177&lt;0),-1,MIN(1,IF($A177=$A176,AW176,1)-AB177+$D$3))</f>
        <v>#N/A</v>
      </c>
      <c r="AX177" t="e">
        <f>IF(OR($J177=0,COUNTIFS($A$4:$A176,"&gt;="&amp;$A177-1,$A$4:$A176,"&lt;="&amp;$A177,$B$4:$B176,$B177)&gt;0,MIN(AX$1,IF($A177=$A176,AX176,1))-AC177&lt;0),-1,MIN(1,IF($A177=$A176,AX176,1)-AC177+$D$3))</f>
        <v>#N/A</v>
      </c>
      <c r="AY177" t="e">
        <f>IF(OR($J177=0,COUNTIFS($A$4:$A176,"&gt;="&amp;$A177-1,$A$4:$A176,"&lt;="&amp;$A177,$B$4:$B176,$B177)&gt;0,MIN(AY$1,IF($A177=$A176,AY176,1))-AD177&lt;0),-1,MIN(1,IF($A177=$A176,AY176,1)-AD177+$D$3))</f>
        <v>#N/A</v>
      </c>
      <c r="AZ177" t="e">
        <f>IF(OR($J177=0,COUNTIFS($A$4:$A176,"&gt;="&amp;$A177-1,$A$4:$A176,"&lt;="&amp;$A177,$B$4:$B176,$B177)&gt;0,MIN(AZ$1,IF($A177=$A176,AZ176,1))-AE177&lt;0),-1,MIN(1,IF($A177=$A176,AZ176,1)-AE177+$D$3))</f>
        <v>#N/A</v>
      </c>
      <c r="BA177" t="e">
        <f>IF(OR($J177=0,COUNTIFS($A$4:$A176,"&gt;="&amp;$A177-1,$A$4:$A176,"&lt;="&amp;$A177,$B$4:$B176,$B177)&gt;0,MIN(BA$1,IF($A177=$A176,BA176,1))-AF177&lt;0),-1,MIN(1,IF($A177=$A176,BA176,1)-AF177+$D$3))</f>
        <v>#N/A</v>
      </c>
      <c r="BB177" t="e">
        <f>IF(OR($J177=0,COUNTIFS($A$4:$A176,"&gt;="&amp;$A177-1,$A$4:$A176,"&lt;="&amp;$A177,$B$4:$B176,$B177)&gt;0,MIN(BB$1,IF($A177=$A176,BB176,1))-AG177&lt;0),-1,MIN(1,IF($A177=$A176,BB176,1)-AG177+$D$3))</f>
        <v>#N/A</v>
      </c>
      <c r="BC177" t="e">
        <f>IF(OR($J177=0,COUNTIFS($A$4:$A176,"&gt;="&amp;$A177-1,$A$4:$A176,"&lt;="&amp;$A177,$B$4:$B176,$B177)&gt;0,MIN(BC$1,IF($A177=$A176,BC176,1))-AH177&lt;0),-1,MIN(1,IF($A177=$A176,BC176,1)-AH177+$D$3))</f>
        <v>#N/A</v>
      </c>
      <c r="BD177" t="e">
        <f>IF(OR($J177=0,COUNTIFS($A$4:$A176,"&gt;="&amp;$A177-1,$A$4:$A176,"&lt;="&amp;$A177,$B$4:$B176,$B177)&gt;0,MIN(BD$1,IF($A177=$A176,BD176,1))-AI177&lt;0),-1,MIN(1,IF($A177=$A176,BD176,1)-AI177+$D$3))</f>
        <v>#N/A</v>
      </c>
      <c r="BF177" s="44">
        <f t="shared" si="223"/>
        <v>2.9681757237142868E-4</v>
      </c>
      <c r="BG177" s="44">
        <f t="shared" si="224"/>
        <v>7.2995816681831964E-4</v>
      </c>
      <c r="BH177" s="44">
        <f t="shared" si="225"/>
        <v>7.4813033690953289E-4</v>
      </c>
      <c r="BI177" s="44">
        <f t="shared" si="226"/>
        <v>6.9106472168445072E-4</v>
      </c>
      <c r="BJ177" s="44">
        <f t="shared" si="227"/>
        <v>7.1428099675351455E-4</v>
      </c>
      <c r="BK177" s="44">
        <f t="shared" si="228"/>
        <v>3.067388919297728E-4</v>
      </c>
      <c r="BL177" s="44">
        <f t="shared" si="229"/>
        <v>1.6570517515765584E-4</v>
      </c>
      <c r="BM177" s="44">
        <f t="shared" si="230"/>
        <v>4.2153461537332266E-4</v>
      </c>
      <c r="BN177" s="44">
        <f t="shared" si="231"/>
        <v>4.3842885244916224E-4</v>
      </c>
      <c r="BO177" s="44">
        <f t="shared" si="232"/>
        <v>2.0546439672315222E-4</v>
      </c>
      <c r="BP177" s="44">
        <f t="shared" si="233"/>
        <v>6.9086945619407176E-4</v>
      </c>
      <c r="BQ177" s="44">
        <f t="shared" si="234"/>
        <v>1.8643706747191837E-4</v>
      </c>
      <c r="BR177" s="44">
        <f t="shared" si="235"/>
        <v>5.5078176739073057E-4</v>
      </c>
      <c r="BS177" s="44">
        <f t="shared" si="236"/>
        <v>2.9704391609057561E-4</v>
      </c>
      <c r="BT177" s="44">
        <f t="shared" si="237"/>
        <v>1.1754938426390298E-3</v>
      </c>
      <c r="BU177" s="44">
        <f t="shared" si="238"/>
        <v>1.1229503393366692E-3</v>
      </c>
      <c r="BV177" s="44">
        <f t="shared" si="239"/>
        <v>1.0784443539022161E-3</v>
      </c>
      <c r="BW177" s="44">
        <f t="shared" si="240"/>
        <v>7.0536195469479398E-4</v>
      </c>
      <c r="BX177" s="44">
        <f t="shared" si="241"/>
        <v>5.2110860328281276E-4</v>
      </c>
      <c r="BY177" s="44">
        <f t="shared" si="242"/>
        <v>4.4743163055136105E-4</v>
      </c>
      <c r="CA177" s="44" t="str">
        <f t="shared" si="243"/>
        <v/>
      </c>
      <c r="CB177" s="44" t="str">
        <f t="shared" si="244"/>
        <v/>
      </c>
      <c r="CC177" s="44" t="str">
        <f t="shared" si="245"/>
        <v/>
      </c>
      <c r="CD177" s="44" t="str">
        <f t="shared" si="246"/>
        <v/>
      </c>
      <c r="CE177" s="44" t="str">
        <f t="shared" si="247"/>
        <v/>
      </c>
      <c r="CF177" s="44" t="str">
        <f t="shared" si="248"/>
        <v/>
      </c>
      <c r="CG177" s="44" t="str">
        <f t="shared" si="249"/>
        <v/>
      </c>
      <c r="CH177" s="44" t="str">
        <f t="shared" si="250"/>
        <v/>
      </c>
      <c r="CI177" s="44" t="str">
        <f t="shared" si="251"/>
        <v/>
      </c>
      <c r="CJ177" s="44" t="str">
        <f t="shared" si="252"/>
        <v/>
      </c>
      <c r="CK177" s="44" t="str">
        <f t="shared" si="253"/>
        <v/>
      </c>
      <c r="CL177" s="44" t="str">
        <f t="shared" si="254"/>
        <v/>
      </c>
      <c r="CM177" s="44" t="str">
        <f t="shared" si="255"/>
        <v/>
      </c>
      <c r="CN177" s="44" t="str">
        <f t="shared" si="256"/>
        <v/>
      </c>
      <c r="CO177" s="44" t="str">
        <f t="shared" si="257"/>
        <v/>
      </c>
      <c r="CP177" s="44" t="str">
        <f t="shared" si="258"/>
        <v/>
      </c>
      <c r="CQ177" s="44" t="str">
        <f t="shared" si="259"/>
        <v/>
      </c>
      <c r="CR177" s="44" t="str">
        <f t="shared" si="260"/>
        <v/>
      </c>
      <c r="CS177" s="44" t="str">
        <f t="shared" si="261"/>
        <v/>
      </c>
      <c r="CT177" s="44" t="str">
        <f t="shared" si="262"/>
        <v/>
      </c>
      <c r="CV177" s="44">
        <f t="shared" si="263"/>
        <v>0</v>
      </c>
    </row>
    <row r="178" spans="1:100" x14ac:dyDescent="0.25">
      <c r="A178" s="41"/>
      <c r="B178" s="42"/>
      <c r="C178" s="43" t="str" cm="1">
        <f t="array" ref="C178">IF(B178="","",INDEX(UWS!$B$10:$B$41,B178))</f>
        <v/>
      </c>
      <c r="D178" s="40" t="str">
        <f t="shared" si="220"/>
        <v/>
      </c>
      <c r="E178" s="69" t="str">
        <f t="shared" si="221"/>
        <v/>
      </c>
      <c r="F178" s="48" cm="1">
        <f t="array" ref="F178">0.1+IFERROR(INDEX($F$5:$F177,SUMPRODUCT(MAX(ROW($C$5:$C177)*($C178=$C$5:$C177))-ROW($A$4)))*0.9^($A178-INDEX($A$5:A177,SUMPRODUCT(MAX(ROW($C$5:$C177)*($C178=$C$5:$C177))-ROW($A$4)))),0)</f>
        <v>11.299999999999976</v>
      </c>
      <c r="G178" s="55" t="e">
        <f>INDEX(UWS!$AB$10:$AB$41,MATCH(C178,UWS!$B$10:$B$41,0))</f>
        <v>#N/A</v>
      </c>
      <c r="H178" s="48" t="e">
        <f>INDEX(UWS!$C$10:$C$41,MATCH(C178,UWS!$B$10:$B$41,0))</f>
        <v>#N/A</v>
      </c>
      <c r="I178" s="27">
        <f t="shared" si="222"/>
        <v>5</v>
      </c>
      <c r="J178" s="27" t="e">
        <f>INDEX(UWS!$E$10:$E$41,MATCH(C178,UWS!$B$10:$B$41,0))</f>
        <v>#N/A</v>
      </c>
      <c r="L178" s="108" t="str" cm="1">
        <f t="array" ref="L178">IF(K178="","",INDEX(UWS!$B$10:$B$41,K178))</f>
        <v/>
      </c>
      <c r="N178" s="108" t="str" cm="1">
        <f t="array" ref="N178">IF(M178="","",INDEX(UWS!$B$10:$B$41,M178))</f>
        <v/>
      </c>
      <c r="P178">
        <f>IFERROR(INDEX(UWS!$G$10:$Z$41,MATCH($C178,UWS!$B$10:$B$41,0),MATCH(P$4,UWS!$G$3:$Z$3,0)),0)</f>
        <v>0</v>
      </c>
      <c r="Q178">
        <f>IFERROR(INDEX(UWS!$G$10:$Z$41,MATCH($C178,UWS!$B$10:$B$41,0),MATCH(Q$4,UWS!$G$3:$Z$3,0)),0)</f>
        <v>0</v>
      </c>
      <c r="R178">
        <f>IFERROR(INDEX(UWS!$G$10:$Z$41,MATCH($C178,UWS!$B$10:$B$41,0),MATCH(R$4,UWS!$G$3:$Z$3,0)),0)</f>
        <v>0</v>
      </c>
      <c r="S178">
        <f>IFERROR(INDEX(UWS!$G$10:$Z$41,MATCH($C178,UWS!$B$10:$B$41,0),MATCH(S$4,UWS!$G$3:$Z$3,0)),0)</f>
        <v>0</v>
      </c>
      <c r="T178">
        <f>IFERROR(INDEX(UWS!$G$10:$Z$41,MATCH($C178,UWS!$B$10:$B$41,0),MATCH(T$4,UWS!$G$3:$Z$3,0)),0)</f>
        <v>0</v>
      </c>
      <c r="U178">
        <f>IFERROR(INDEX(UWS!$G$10:$Z$41,MATCH($C178,UWS!$B$10:$B$41,0),MATCH(U$4,UWS!$G$3:$Z$3,0)),0)</f>
        <v>0</v>
      </c>
      <c r="V178">
        <f>IFERROR(INDEX(UWS!$G$10:$Z$41,MATCH($C178,UWS!$B$10:$B$41,0),MATCH(V$4,UWS!$G$3:$Z$3,0)),0)</f>
        <v>0</v>
      </c>
      <c r="W178">
        <f>IFERROR(INDEX(UWS!$G$10:$Z$41,MATCH($C178,UWS!$B$10:$B$41,0),MATCH(W$4,UWS!$G$3:$Z$3,0)),0)</f>
        <v>0</v>
      </c>
      <c r="X178">
        <f>IFERROR(INDEX(UWS!$G$10:$Z$41,MATCH($C178,UWS!$B$10:$B$41,0),MATCH(X$4,UWS!$G$3:$Z$3,0)),0)</f>
        <v>0</v>
      </c>
      <c r="Y178">
        <f>IFERROR(INDEX(UWS!$G$10:$Z$41,MATCH($C178,UWS!$B$10:$B$41,0),MATCH(Y$4,UWS!$G$3:$Z$3,0)),0)</f>
        <v>0</v>
      </c>
      <c r="Z178">
        <f>IFERROR(INDEX(UWS!$G$10:$Z$41,MATCH($C178,UWS!$B$10:$B$41,0),MATCH(Z$4,UWS!$G$3:$Z$3,0)),0)</f>
        <v>0</v>
      </c>
      <c r="AA178">
        <f>IFERROR(INDEX(UWS!$G$10:$Z$41,MATCH($C178,UWS!$B$10:$B$41,0),MATCH(AA$4,UWS!$G$3:$Z$3,0)),0)</f>
        <v>0</v>
      </c>
      <c r="AB178">
        <f>IFERROR(INDEX(UWS!$G$10:$Z$41,MATCH($C178,UWS!$B$10:$B$41,0),MATCH(AB$4,UWS!$G$3:$Z$3,0)),0)</f>
        <v>0</v>
      </c>
      <c r="AC178">
        <f>IFERROR(INDEX(UWS!$G$10:$Z$41,MATCH($C178,UWS!$B$10:$B$41,0),MATCH(AC$4,UWS!$G$3:$Z$3,0)),0)</f>
        <v>0</v>
      </c>
      <c r="AD178">
        <f>IFERROR(INDEX(UWS!$G$10:$Z$41,MATCH($C178,UWS!$B$10:$B$41,0),MATCH(AD$4,UWS!$G$3:$Z$3,0)),0)</f>
        <v>0</v>
      </c>
      <c r="AE178">
        <f>IFERROR(INDEX(UWS!$G$10:$Z$41,MATCH($C178,UWS!$B$10:$B$41,0),MATCH(AE$4,UWS!$G$3:$Z$3,0)),0)</f>
        <v>0</v>
      </c>
      <c r="AF178">
        <f>IFERROR(INDEX(UWS!$G$10:$Z$41,MATCH($C178,UWS!$B$10:$B$41,0),MATCH(AF$4,UWS!$G$3:$Z$3,0)),0)</f>
        <v>0</v>
      </c>
      <c r="AG178">
        <f>IFERROR(INDEX(UWS!$G$10:$Z$41,MATCH($C178,UWS!$B$10:$B$41,0),MATCH(AG$4,UWS!$G$3:$Z$3,0)),0)</f>
        <v>0</v>
      </c>
      <c r="AH178">
        <f>IFERROR(INDEX(UWS!$G$10:$Z$41,MATCH($C178,UWS!$B$10:$B$41,0),MATCH(AH$4,UWS!$G$3:$Z$3,0)),0)</f>
        <v>0</v>
      </c>
      <c r="AI178">
        <f>IFERROR(INDEX(UWS!$G$10:$Z$41,MATCH($C178,UWS!$B$10:$B$41,0),MATCH(AI$4,UWS!$G$3:$Z$3,0)),0)</f>
        <v>0</v>
      </c>
      <c r="AK178" t="e">
        <f>IF(OR($J178=0,COUNTIFS($A$4:$A177,"&gt;="&amp;$A178-1,$A$4:$A177,"&lt;="&amp;$A178,$B$4:$B177,$B178)&gt;0,MIN(AK$1,IF($A178=$A177,AK177,1))-P178&lt;0),-1,MIN(1,IF($A178=$A177,AK177,1)-P178+$D$3))</f>
        <v>#N/A</v>
      </c>
      <c r="AL178" t="e">
        <f>IF(OR($J178=0,COUNTIFS($A$4:$A177,"&gt;="&amp;$A178-1,$A$4:$A177,"&lt;="&amp;$A178,$B$4:$B177,$B178)&gt;0,MIN(AL$1,IF($A178=$A177,AL177,1))-Q178&lt;0),-1,MIN(1,IF($A178=$A177,AL177,1)-Q178+$D$3))</f>
        <v>#N/A</v>
      </c>
      <c r="AM178" t="e">
        <f>IF(OR($J178=0,COUNTIFS($A$4:$A177,"&gt;="&amp;$A178-1,$A$4:$A177,"&lt;="&amp;$A178,$B$4:$B177,$B178)&gt;0,MIN(AM$1,IF($A178=$A177,AM177,1))-R178&lt;0),-1,MIN(1,IF($A178=$A177,AM177,1)-R178+$D$3))</f>
        <v>#N/A</v>
      </c>
      <c r="AN178" t="e">
        <f>IF(OR($J178=0,COUNTIFS($A$4:$A177,"&gt;="&amp;$A178-1,$A$4:$A177,"&lt;="&amp;$A178,$B$4:$B177,$B178)&gt;0,MIN(AN$1,IF($A178=$A177,AN177,1))-S178&lt;0),-1,MIN(1,IF($A178=$A177,AN177,1)-S178+$D$3))</f>
        <v>#N/A</v>
      </c>
      <c r="AO178" t="e">
        <f>IF(OR($J178=0,COUNTIFS($A$4:$A177,"&gt;="&amp;$A178-1,$A$4:$A177,"&lt;="&amp;$A178,$B$4:$B177,$B178)&gt;0,MIN(AO$1,IF($A178=$A177,AO177,1))-T178&lt;0),-1,MIN(1,IF($A178=$A177,AO177,1)-T178+$D$3))</f>
        <v>#N/A</v>
      </c>
      <c r="AP178" t="e">
        <f>IF(OR($J178=0,COUNTIFS($A$4:$A177,"&gt;="&amp;$A178-1,$A$4:$A177,"&lt;="&amp;$A178,$B$4:$B177,$B178)&gt;0,MIN(AP$1,IF($A178=$A177,AP177,1))-U178&lt;0),-1,MIN(1,IF($A178=$A177,AP177,1)-U178+$D$3))</f>
        <v>#N/A</v>
      </c>
      <c r="AQ178" t="e">
        <f>IF(OR($J178=0,COUNTIFS($A$4:$A177,"&gt;="&amp;$A178-1,$A$4:$A177,"&lt;="&amp;$A178,$B$4:$B177,$B178)&gt;0,MIN(AQ$1,IF($A178=$A177,AQ177,1))-V178&lt;0),-1,MIN(1,IF($A178=$A177,AQ177,1)-V178+$D$3))</f>
        <v>#N/A</v>
      </c>
      <c r="AR178" t="e">
        <f>IF(OR($J178=0,COUNTIFS($A$4:$A177,"&gt;="&amp;$A178-1,$A$4:$A177,"&lt;="&amp;$A178,$B$4:$B177,$B178)&gt;0,MIN(AR$1,IF($A178=$A177,AR177,1))-W178&lt;0),-1,MIN(1,IF($A178=$A177,AR177,1)-W178+$D$3))</f>
        <v>#N/A</v>
      </c>
      <c r="AS178" t="e">
        <f>IF(OR($J178=0,COUNTIFS($A$4:$A177,"&gt;="&amp;$A178-1,$A$4:$A177,"&lt;="&amp;$A178,$B$4:$B177,$B178)&gt;0,MIN(AS$1,IF($A178=$A177,AS177,1))-X178&lt;0),-1,MIN(1,IF($A178=$A177,AS177,1)-X178+$D$3))</f>
        <v>#N/A</v>
      </c>
      <c r="AT178" t="e">
        <f>IF(OR($J178=0,COUNTIFS($A$4:$A177,"&gt;="&amp;$A178-1,$A$4:$A177,"&lt;="&amp;$A178,$B$4:$B177,$B178)&gt;0,MIN(AT$1,IF($A178=$A177,AT177,1))-Y178&lt;0),-1,MIN(1,IF($A178=$A177,AT177,1)-Y178+$D$3))</f>
        <v>#N/A</v>
      </c>
      <c r="AU178" t="e">
        <f>IF(OR($J178=0,COUNTIFS($A$4:$A177,"&gt;="&amp;$A178-1,$A$4:$A177,"&lt;="&amp;$A178,$B$4:$B177,$B178)&gt;0,MIN(AU$1,IF($A178=$A177,AU177,1))-Z178&lt;0),-1,MIN(1,IF($A178=$A177,AU177,1)-Z178+$D$3))</f>
        <v>#N/A</v>
      </c>
      <c r="AV178" t="e">
        <f>IF(OR($J178=0,COUNTIFS($A$4:$A177,"&gt;="&amp;$A178-1,$A$4:$A177,"&lt;="&amp;$A178,$B$4:$B177,$B178)&gt;0,MIN(AV$1,IF($A178=$A177,AV177,1))-AA178&lt;0),-1,MIN(1,IF($A178=$A177,AV177,1)-AA178+$D$3))</f>
        <v>#N/A</v>
      </c>
      <c r="AW178" t="e">
        <f>IF(OR($J178=0,COUNTIFS($A$4:$A177,"&gt;="&amp;$A178-1,$A$4:$A177,"&lt;="&amp;$A178,$B$4:$B177,$B178)&gt;0,MIN(AW$1,IF($A178=$A177,AW177,1))-AB178&lt;0),-1,MIN(1,IF($A178=$A177,AW177,1)-AB178+$D$3))</f>
        <v>#N/A</v>
      </c>
      <c r="AX178" t="e">
        <f>IF(OR($J178=0,COUNTIFS($A$4:$A177,"&gt;="&amp;$A178-1,$A$4:$A177,"&lt;="&amp;$A178,$B$4:$B177,$B178)&gt;0,MIN(AX$1,IF($A178=$A177,AX177,1))-AC178&lt;0),-1,MIN(1,IF($A178=$A177,AX177,1)-AC178+$D$3))</f>
        <v>#N/A</v>
      </c>
      <c r="AY178" t="e">
        <f>IF(OR($J178=0,COUNTIFS($A$4:$A177,"&gt;="&amp;$A178-1,$A$4:$A177,"&lt;="&amp;$A178,$B$4:$B177,$B178)&gt;0,MIN(AY$1,IF($A178=$A177,AY177,1))-AD178&lt;0),-1,MIN(1,IF($A178=$A177,AY177,1)-AD178+$D$3))</f>
        <v>#N/A</v>
      </c>
      <c r="AZ178" t="e">
        <f>IF(OR($J178=0,COUNTIFS($A$4:$A177,"&gt;="&amp;$A178-1,$A$4:$A177,"&lt;="&amp;$A178,$B$4:$B177,$B178)&gt;0,MIN(AZ$1,IF($A178=$A177,AZ177,1))-AE178&lt;0),-1,MIN(1,IF($A178=$A177,AZ177,1)-AE178+$D$3))</f>
        <v>#N/A</v>
      </c>
      <c r="BA178" t="e">
        <f>IF(OR($J178=0,COUNTIFS($A$4:$A177,"&gt;="&amp;$A178-1,$A$4:$A177,"&lt;="&amp;$A178,$B$4:$B177,$B178)&gt;0,MIN(BA$1,IF($A178=$A177,BA177,1))-AF178&lt;0),-1,MIN(1,IF($A178=$A177,BA177,1)-AF178+$D$3))</f>
        <v>#N/A</v>
      </c>
      <c r="BB178" t="e">
        <f>IF(OR($J178=0,COUNTIFS($A$4:$A177,"&gt;="&amp;$A178-1,$A$4:$A177,"&lt;="&amp;$A178,$B$4:$B177,$B178)&gt;0,MIN(BB$1,IF($A178=$A177,BB177,1))-AG178&lt;0),-1,MIN(1,IF($A178=$A177,BB177,1)-AG178+$D$3))</f>
        <v>#N/A</v>
      </c>
      <c r="BC178" t="e">
        <f>IF(OR($J178=0,COUNTIFS($A$4:$A177,"&gt;="&amp;$A178-1,$A$4:$A177,"&lt;="&amp;$A178,$B$4:$B177,$B178)&gt;0,MIN(BC$1,IF($A178=$A177,BC177,1))-AH178&lt;0),-1,MIN(1,IF($A178=$A177,BC177,1)-AH178+$D$3))</f>
        <v>#N/A</v>
      </c>
      <c r="BD178" t="e">
        <f>IF(OR($J178=0,COUNTIFS($A$4:$A177,"&gt;="&amp;$A178-1,$A$4:$A177,"&lt;="&amp;$A178,$B$4:$B177,$B178)&gt;0,MIN(BD$1,IF($A178=$A177,BD177,1))-AI178&lt;0),-1,MIN(1,IF($A178=$A177,BD177,1)-AI178+$D$3))</f>
        <v>#N/A</v>
      </c>
      <c r="BF178" s="44">
        <f t="shared" si="223"/>
        <v>2.8197669375285722E-4</v>
      </c>
      <c r="BG178" s="44">
        <f t="shared" si="224"/>
        <v>6.9346025847740367E-4</v>
      </c>
      <c r="BH178" s="44">
        <f t="shared" si="225"/>
        <v>7.1072382006405618E-4</v>
      </c>
      <c r="BI178" s="44">
        <f t="shared" si="226"/>
        <v>6.5651148560022814E-4</v>
      </c>
      <c r="BJ178" s="44">
        <f t="shared" si="227"/>
        <v>6.7856694691583884E-4</v>
      </c>
      <c r="BK178" s="44">
        <f t="shared" si="228"/>
        <v>2.9140194733328414E-4</v>
      </c>
      <c r="BL178" s="44">
        <f t="shared" si="229"/>
        <v>1.5741991639977305E-4</v>
      </c>
      <c r="BM178" s="44">
        <f t="shared" si="230"/>
        <v>4.0045788460465651E-4</v>
      </c>
      <c r="BN178" s="44">
        <f t="shared" si="231"/>
        <v>4.1650740982670408E-4</v>
      </c>
      <c r="BO178" s="44">
        <f t="shared" si="232"/>
        <v>1.951911768869946E-4</v>
      </c>
      <c r="BP178" s="44">
        <f t="shared" si="233"/>
        <v>6.5632598338436811E-4</v>
      </c>
      <c r="BQ178" s="44">
        <f t="shared" si="234"/>
        <v>1.7711521409832245E-4</v>
      </c>
      <c r="BR178" s="44">
        <f t="shared" si="235"/>
        <v>5.2324267902119402E-4</v>
      </c>
      <c r="BS178" s="44">
        <f t="shared" si="236"/>
        <v>2.8219172028604684E-4</v>
      </c>
      <c r="BT178" s="44">
        <f t="shared" si="237"/>
        <v>1.1167191505070783E-3</v>
      </c>
      <c r="BU178" s="44">
        <f t="shared" si="238"/>
        <v>1.0668028223698356E-3</v>
      </c>
      <c r="BV178" s="44">
        <f t="shared" si="239"/>
        <v>1.0245221362071052E-3</v>
      </c>
      <c r="BW178" s="44">
        <f t="shared" si="240"/>
        <v>6.7009385696005421E-4</v>
      </c>
      <c r="BX178" s="44">
        <f t="shared" si="241"/>
        <v>4.9505317311867214E-4</v>
      </c>
      <c r="BY178" s="44">
        <f t="shared" si="242"/>
        <v>4.25060049023793E-4</v>
      </c>
      <c r="CA178" s="44" t="str">
        <f t="shared" si="243"/>
        <v/>
      </c>
      <c r="CB178" s="44" t="str">
        <f t="shared" si="244"/>
        <v/>
      </c>
      <c r="CC178" s="44" t="str">
        <f t="shared" si="245"/>
        <v/>
      </c>
      <c r="CD178" s="44" t="str">
        <f t="shared" si="246"/>
        <v/>
      </c>
      <c r="CE178" s="44" t="str">
        <f t="shared" si="247"/>
        <v/>
      </c>
      <c r="CF178" s="44" t="str">
        <f t="shared" si="248"/>
        <v/>
      </c>
      <c r="CG178" s="44" t="str">
        <f t="shared" si="249"/>
        <v/>
      </c>
      <c r="CH178" s="44" t="str">
        <f t="shared" si="250"/>
        <v/>
      </c>
      <c r="CI178" s="44" t="str">
        <f t="shared" si="251"/>
        <v/>
      </c>
      <c r="CJ178" s="44" t="str">
        <f t="shared" si="252"/>
        <v/>
      </c>
      <c r="CK178" s="44" t="str">
        <f t="shared" si="253"/>
        <v/>
      </c>
      <c r="CL178" s="44" t="str">
        <f t="shared" si="254"/>
        <v/>
      </c>
      <c r="CM178" s="44" t="str">
        <f t="shared" si="255"/>
        <v/>
      </c>
      <c r="CN178" s="44" t="str">
        <f t="shared" si="256"/>
        <v/>
      </c>
      <c r="CO178" s="44" t="str">
        <f t="shared" si="257"/>
        <v/>
      </c>
      <c r="CP178" s="44" t="str">
        <f t="shared" si="258"/>
        <v/>
      </c>
      <c r="CQ178" s="44" t="str">
        <f t="shared" si="259"/>
        <v/>
      </c>
      <c r="CR178" s="44" t="str">
        <f t="shared" si="260"/>
        <v/>
      </c>
      <c r="CS178" s="44" t="str">
        <f t="shared" si="261"/>
        <v/>
      </c>
      <c r="CT178" s="44" t="str">
        <f t="shared" si="262"/>
        <v/>
      </c>
      <c r="CV178" s="44">
        <f t="shared" si="263"/>
        <v>0</v>
      </c>
    </row>
    <row r="179" spans="1:100" x14ac:dyDescent="0.25">
      <c r="A179" s="41"/>
      <c r="B179" s="42"/>
      <c r="C179" s="43" t="str" cm="1">
        <f t="array" ref="C179">IF(B179="","",INDEX(UWS!$B$10:$B$41,B179))</f>
        <v/>
      </c>
      <c r="D179" s="40" t="str">
        <f t="shared" ref="D179:D242" si="264">IF(C179="","",MIN(AK179:BD179))</f>
        <v/>
      </c>
      <c r="E179" s="69" t="str">
        <f t="shared" ref="E179:E242" si="265">IF(C179="","",IFERROR((H179/$H$2)^$H$1*(CV179/$CV178)^$CV$1*(F179/$F$2)^$F$1*(G179/$G$2)^IF(B179&lt;=5,0,($G$1-$G$3*(I179-1))),0))</f>
        <v/>
      </c>
      <c r="F179" s="48" cm="1">
        <f t="array" ref="F179">0.1+IFERROR(INDEX($F$5:$F178,SUMPRODUCT(MAX(ROW($C$5:$C178)*($C179=$C$5:$C178))-ROW($A$4)))*0.9^($A179-INDEX($A$5:A178,SUMPRODUCT(MAX(ROW($C$5:$C178)*($C179=$C$5:$C178))-ROW($A$4)))),0)</f>
        <v>11.399999999999975</v>
      </c>
      <c r="G179" s="55" t="e">
        <f>INDEX(UWS!$AB$10:$AB$41,MATCH(C179,UWS!$B$10:$B$41,0))</f>
        <v>#N/A</v>
      </c>
      <c r="H179" s="48" t="e">
        <f>INDEX(UWS!$C$10:$C$41,MATCH(C179,UWS!$B$10:$B$41,0))</f>
        <v>#N/A</v>
      </c>
      <c r="I179" s="27">
        <f t="shared" ref="I179:I242" si="266">IF(A179&gt;A178,1,IF(A179&gt;A177,2,IF(A179&gt;A176,3,IF(A179&gt;A175,4,5))))</f>
        <v>5</v>
      </c>
      <c r="J179" s="27" t="e">
        <f>INDEX(UWS!$E$10:$E$41,MATCH(C179,UWS!$B$10:$B$41,0))</f>
        <v>#N/A</v>
      </c>
      <c r="L179" s="108" t="str" cm="1">
        <f t="array" ref="L179">IF(K179="","",INDEX(UWS!$B$10:$B$41,K179))</f>
        <v/>
      </c>
      <c r="N179" s="108" t="str" cm="1">
        <f t="array" ref="N179">IF(M179="","",INDEX(UWS!$B$10:$B$41,M179))</f>
        <v/>
      </c>
      <c r="P179">
        <f>IFERROR(INDEX(UWS!$G$10:$Z$41,MATCH($C179,UWS!$B$10:$B$41,0),MATCH(P$4,UWS!$G$3:$Z$3,0)),0)</f>
        <v>0</v>
      </c>
      <c r="Q179">
        <f>IFERROR(INDEX(UWS!$G$10:$Z$41,MATCH($C179,UWS!$B$10:$B$41,0),MATCH(Q$4,UWS!$G$3:$Z$3,0)),0)</f>
        <v>0</v>
      </c>
      <c r="R179">
        <f>IFERROR(INDEX(UWS!$G$10:$Z$41,MATCH($C179,UWS!$B$10:$B$41,0),MATCH(R$4,UWS!$G$3:$Z$3,0)),0)</f>
        <v>0</v>
      </c>
      <c r="S179">
        <f>IFERROR(INDEX(UWS!$G$10:$Z$41,MATCH($C179,UWS!$B$10:$B$41,0),MATCH(S$4,UWS!$G$3:$Z$3,0)),0)</f>
        <v>0</v>
      </c>
      <c r="T179">
        <f>IFERROR(INDEX(UWS!$G$10:$Z$41,MATCH($C179,UWS!$B$10:$B$41,0),MATCH(T$4,UWS!$G$3:$Z$3,0)),0)</f>
        <v>0</v>
      </c>
      <c r="U179">
        <f>IFERROR(INDEX(UWS!$G$10:$Z$41,MATCH($C179,UWS!$B$10:$B$41,0),MATCH(U$4,UWS!$G$3:$Z$3,0)),0)</f>
        <v>0</v>
      </c>
      <c r="V179">
        <f>IFERROR(INDEX(UWS!$G$10:$Z$41,MATCH($C179,UWS!$B$10:$B$41,0),MATCH(V$4,UWS!$G$3:$Z$3,0)),0)</f>
        <v>0</v>
      </c>
      <c r="W179">
        <f>IFERROR(INDEX(UWS!$G$10:$Z$41,MATCH($C179,UWS!$B$10:$B$41,0),MATCH(W$4,UWS!$G$3:$Z$3,0)),0)</f>
        <v>0</v>
      </c>
      <c r="X179">
        <f>IFERROR(INDEX(UWS!$G$10:$Z$41,MATCH($C179,UWS!$B$10:$B$41,0),MATCH(X$4,UWS!$G$3:$Z$3,0)),0)</f>
        <v>0</v>
      </c>
      <c r="Y179">
        <f>IFERROR(INDEX(UWS!$G$10:$Z$41,MATCH($C179,UWS!$B$10:$B$41,0),MATCH(Y$4,UWS!$G$3:$Z$3,0)),0)</f>
        <v>0</v>
      </c>
      <c r="Z179">
        <f>IFERROR(INDEX(UWS!$G$10:$Z$41,MATCH($C179,UWS!$B$10:$B$41,0),MATCH(Z$4,UWS!$G$3:$Z$3,0)),0)</f>
        <v>0</v>
      </c>
      <c r="AA179">
        <f>IFERROR(INDEX(UWS!$G$10:$Z$41,MATCH($C179,UWS!$B$10:$B$41,0),MATCH(AA$4,UWS!$G$3:$Z$3,0)),0)</f>
        <v>0</v>
      </c>
      <c r="AB179">
        <f>IFERROR(INDEX(UWS!$G$10:$Z$41,MATCH($C179,UWS!$B$10:$B$41,0),MATCH(AB$4,UWS!$G$3:$Z$3,0)),0)</f>
        <v>0</v>
      </c>
      <c r="AC179">
        <f>IFERROR(INDEX(UWS!$G$10:$Z$41,MATCH($C179,UWS!$B$10:$B$41,0),MATCH(AC$4,UWS!$G$3:$Z$3,0)),0)</f>
        <v>0</v>
      </c>
      <c r="AD179">
        <f>IFERROR(INDEX(UWS!$G$10:$Z$41,MATCH($C179,UWS!$B$10:$B$41,0),MATCH(AD$4,UWS!$G$3:$Z$3,0)),0)</f>
        <v>0</v>
      </c>
      <c r="AE179">
        <f>IFERROR(INDEX(UWS!$G$10:$Z$41,MATCH($C179,UWS!$B$10:$B$41,0),MATCH(AE$4,UWS!$G$3:$Z$3,0)),0)</f>
        <v>0</v>
      </c>
      <c r="AF179">
        <f>IFERROR(INDEX(UWS!$G$10:$Z$41,MATCH($C179,UWS!$B$10:$B$41,0),MATCH(AF$4,UWS!$G$3:$Z$3,0)),0)</f>
        <v>0</v>
      </c>
      <c r="AG179">
        <f>IFERROR(INDEX(UWS!$G$10:$Z$41,MATCH($C179,UWS!$B$10:$B$41,0),MATCH(AG$4,UWS!$G$3:$Z$3,0)),0)</f>
        <v>0</v>
      </c>
      <c r="AH179">
        <f>IFERROR(INDEX(UWS!$G$10:$Z$41,MATCH($C179,UWS!$B$10:$B$41,0),MATCH(AH$4,UWS!$G$3:$Z$3,0)),0)</f>
        <v>0</v>
      </c>
      <c r="AI179">
        <f>IFERROR(INDEX(UWS!$G$10:$Z$41,MATCH($C179,UWS!$B$10:$B$41,0),MATCH(AI$4,UWS!$G$3:$Z$3,0)),0)</f>
        <v>0</v>
      </c>
      <c r="AK179" t="e">
        <f>IF(OR($J179=0,COUNTIFS($A$4:$A178,"&gt;="&amp;$A179-1,$A$4:$A178,"&lt;="&amp;$A179,$B$4:$B178,$B179)&gt;0,MIN(AK$1,IF($A179=$A178,AK178,1))-P179&lt;0),-1,MIN(1,IF($A179=$A178,AK178,1)-P179+$D$3))</f>
        <v>#N/A</v>
      </c>
      <c r="AL179" t="e">
        <f>IF(OR($J179=0,COUNTIFS($A$4:$A178,"&gt;="&amp;$A179-1,$A$4:$A178,"&lt;="&amp;$A179,$B$4:$B178,$B179)&gt;0,MIN(AL$1,IF($A179=$A178,AL178,1))-Q179&lt;0),-1,MIN(1,IF($A179=$A178,AL178,1)-Q179+$D$3))</f>
        <v>#N/A</v>
      </c>
      <c r="AM179" t="e">
        <f>IF(OR($J179=0,COUNTIFS($A$4:$A178,"&gt;="&amp;$A179-1,$A$4:$A178,"&lt;="&amp;$A179,$B$4:$B178,$B179)&gt;0,MIN(AM$1,IF($A179=$A178,AM178,1))-R179&lt;0),-1,MIN(1,IF($A179=$A178,AM178,1)-R179+$D$3))</f>
        <v>#N/A</v>
      </c>
      <c r="AN179" t="e">
        <f>IF(OR($J179=0,COUNTIFS($A$4:$A178,"&gt;="&amp;$A179-1,$A$4:$A178,"&lt;="&amp;$A179,$B$4:$B178,$B179)&gt;0,MIN(AN$1,IF($A179=$A178,AN178,1))-S179&lt;0),-1,MIN(1,IF($A179=$A178,AN178,1)-S179+$D$3))</f>
        <v>#N/A</v>
      </c>
      <c r="AO179" t="e">
        <f>IF(OR($J179=0,COUNTIFS($A$4:$A178,"&gt;="&amp;$A179-1,$A$4:$A178,"&lt;="&amp;$A179,$B$4:$B178,$B179)&gt;0,MIN(AO$1,IF($A179=$A178,AO178,1))-T179&lt;0),-1,MIN(1,IF($A179=$A178,AO178,1)-T179+$D$3))</f>
        <v>#N/A</v>
      </c>
      <c r="AP179" t="e">
        <f>IF(OR($J179=0,COUNTIFS($A$4:$A178,"&gt;="&amp;$A179-1,$A$4:$A178,"&lt;="&amp;$A179,$B$4:$B178,$B179)&gt;0,MIN(AP$1,IF($A179=$A178,AP178,1))-U179&lt;0),-1,MIN(1,IF($A179=$A178,AP178,1)-U179+$D$3))</f>
        <v>#N/A</v>
      </c>
      <c r="AQ179" t="e">
        <f>IF(OR($J179=0,COUNTIFS($A$4:$A178,"&gt;="&amp;$A179-1,$A$4:$A178,"&lt;="&amp;$A179,$B$4:$B178,$B179)&gt;0,MIN(AQ$1,IF($A179=$A178,AQ178,1))-V179&lt;0),-1,MIN(1,IF($A179=$A178,AQ178,1)-V179+$D$3))</f>
        <v>#N/A</v>
      </c>
      <c r="AR179" t="e">
        <f>IF(OR($J179=0,COUNTIFS($A$4:$A178,"&gt;="&amp;$A179-1,$A$4:$A178,"&lt;="&amp;$A179,$B$4:$B178,$B179)&gt;0,MIN(AR$1,IF($A179=$A178,AR178,1))-W179&lt;0),-1,MIN(1,IF($A179=$A178,AR178,1)-W179+$D$3))</f>
        <v>#N/A</v>
      </c>
      <c r="AS179" t="e">
        <f>IF(OR($J179=0,COUNTIFS($A$4:$A178,"&gt;="&amp;$A179-1,$A$4:$A178,"&lt;="&amp;$A179,$B$4:$B178,$B179)&gt;0,MIN(AS$1,IF($A179=$A178,AS178,1))-X179&lt;0),-1,MIN(1,IF($A179=$A178,AS178,1)-X179+$D$3))</f>
        <v>#N/A</v>
      </c>
      <c r="AT179" t="e">
        <f>IF(OR($J179=0,COUNTIFS($A$4:$A178,"&gt;="&amp;$A179-1,$A$4:$A178,"&lt;="&amp;$A179,$B$4:$B178,$B179)&gt;0,MIN(AT$1,IF($A179=$A178,AT178,1))-Y179&lt;0),-1,MIN(1,IF($A179=$A178,AT178,1)-Y179+$D$3))</f>
        <v>#N/A</v>
      </c>
      <c r="AU179" t="e">
        <f>IF(OR($J179=0,COUNTIFS($A$4:$A178,"&gt;="&amp;$A179-1,$A$4:$A178,"&lt;="&amp;$A179,$B$4:$B178,$B179)&gt;0,MIN(AU$1,IF($A179=$A178,AU178,1))-Z179&lt;0),-1,MIN(1,IF($A179=$A178,AU178,1)-Z179+$D$3))</f>
        <v>#N/A</v>
      </c>
      <c r="AV179" t="e">
        <f>IF(OR($J179=0,COUNTIFS($A$4:$A178,"&gt;="&amp;$A179-1,$A$4:$A178,"&lt;="&amp;$A179,$B$4:$B178,$B179)&gt;0,MIN(AV$1,IF($A179=$A178,AV178,1))-AA179&lt;0),-1,MIN(1,IF($A179=$A178,AV178,1)-AA179+$D$3))</f>
        <v>#N/A</v>
      </c>
      <c r="AW179" t="e">
        <f>IF(OR($J179=0,COUNTIFS($A$4:$A178,"&gt;="&amp;$A179-1,$A$4:$A178,"&lt;="&amp;$A179,$B$4:$B178,$B179)&gt;0,MIN(AW$1,IF($A179=$A178,AW178,1))-AB179&lt;0),-1,MIN(1,IF($A179=$A178,AW178,1)-AB179+$D$3))</f>
        <v>#N/A</v>
      </c>
      <c r="AX179" t="e">
        <f>IF(OR($J179=0,COUNTIFS($A$4:$A178,"&gt;="&amp;$A179-1,$A$4:$A178,"&lt;="&amp;$A179,$B$4:$B178,$B179)&gt;0,MIN(AX$1,IF($A179=$A178,AX178,1))-AC179&lt;0),-1,MIN(1,IF($A179=$A178,AX178,1)-AC179+$D$3))</f>
        <v>#N/A</v>
      </c>
      <c r="AY179" t="e">
        <f>IF(OR($J179=0,COUNTIFS($A$4:$A178,"&gt;="&amp;$A179-1,$A$4:$A178,"&lt;="&amp;$A179,$B$4:$B178,$B179)&gt;0,MIN(AY$1,IF($A179=$A178,AY178,1))-AD179&lt;0),-1,MIN(1,IF($A179=$A178,AY178,1)-AD179+$D$3))</f>
        <v>#N/A</v>
      </c>
      <c r="AZ179" t="e">
        <f>IF(OR($J179=0,COUNTIFS($A$4:$A178,"&gt;="&amp;$A179-1,$A$4:$A178,"&lt;="&amp;$A179,$B$4:$B178,$B179)&gt;0,MIN(AZ$1,IF($A179=$A178,AZ178,1))-AE179&lt;0),-1,MIN(1,IF($A179=$A178,AZ178,1)-AE179+$D$3))</f>
        <v>#N/A</v>
      </c>
      <c r="BA179" t="e">
        <f>IF(OR($J179=0,COUNTIFS($A$4:$A178,"&gt;="&amp;$A179-1,$A$4:$A178,"&lt;="&amp;$A179,$B$4:$B178,$B179)&gt;0,MIN(BA$1,IF($A179=$A178,BA178,1))-AF179&lt;0),-1,MIN(1,IF($A179=$A178,BA178,1)-AF179+$D$3))</f>
        <v>#N/A</v>
      </c>
      <c r="BB179" t="e">
        <f>IF(OR($J179=0,COUNTIFS($A$4:$A178,"&gt;="&amp;$A179-1,$A$4:$A178,"&lt;="&amp;$A179,$B$4:$B178,$B179)&gt;0,MIN(BB$1,IF($A179=$A178,BB178,1))-AG179&lt;0),-1,MIN(1,IF($A179=$A178,BB178,1)-AG179+$D$3))</f>
        <v>#N/A</v>
      </c>
      <c r="BC179" t="e">
        <f>IF(OR($J179=0,COUNTIFS($A$4:$A178,"&gt;="&amp;$A179-1,$A$4:$A178,"&lt;="&amp;$A179,$B$4:$B178,$B179)&gt;0,MIN(BC$1,IF($A179=$A178,BC178,1))-AH179&lt;0),-1,MIN(1,IF($A179=$A178,BC178,1)-AH179+$D$3))</f>
        <v>#N/A</v>
      </c>
      <c r="BD179" t="e">
        <f>IF(OR($J179=0,COUNTIFS($A$4:$A178,"&gt;="&amp;$A179-1,$A$4:$A178,"&lt;="&amp;$A179,$B$4:$B178,$B179)&gt;0,MIN(BD$1,IF($A179=$A178,BD178,1))-AI179&lt;0),-1,MIN(1,IF($A179=$A178,BD178,1)-AI179+$D$3))</f>
        <v>#N/A</v>
      </c>
      <c r="BF179" s="44">
        <f t="shared" ref="BF179:BF242" si="267">$AN$2*P179+(1-$AN$2)*BF178</f>
        <v>2.6787785906521433E-4</v>
      </c>
      <c r="BG179" s="44">
        <f t="shared" ref="BG179:BG242" si="268">$AN$2*Q179+(1-$AN$2)*BG178</f>
        <v>6.5878724555353343E-4</v>
      </c>
      <c r="BH179" s="44">
        <f t="shared" ref="BH179:BH242" si="269">$AN$2*R179+(1-$AN$2)*BH178</f>
        <v>6.7518762906085337E-4</v>
      </c>
      <c r="BI179" s="44">
        <f t="shared" ref="BI179:BI242" si="270">$AN$2*S179+(1-$AN$2)*BI178</f>
        <v>6.2368591132021668E-4</v>
      </c>
      <c r="BJ179" s="44">
        <f t="shared" ref="BJ179:BJ242" si="271">$AN$2*T179+(1-$AN$2)*BJ178</f>
        <v>6.4463859957004683E-4</v>
      </c>
      <c r="BK179" s="44">
        <f t="shared" ref="BK179:BK242" si="272">$AN$2*U179+(1-$AN$2)*BK178</f>
        <v>2.7683184996661993E-4</v>
      </c>
      <c r="BL179" s="44">
        <f t="shared" ref="BL179:BL242" si="273">$AN$2*V179+(1-$AN$2)*BL178</f>
        <v>1.4954892057978438E-4</v>
      </c>
      <c r="BM179" s="44">
        <f t="shared" ref="BM179:BM242" si="274">$AN$2*W179+(1-$AN$2)*BM178</f>
        <v>3.8043499037442366E-4</v>
      </c>
      <c r="BN179" s="44">
        <f t="shared" ref="BN179:BN242" si="275">$AN$2*X179+(1-$AN$2)*BN178</f>
        <v>3.9568203933536885E-4</v>
      </c>
      <c r="BO179" s="44">
        <f t="shared" ref="BO179:BO242" si="276">$AN$2*Y179+(1-$AN$2)*BO178</f>
        <v>1.8543161804264487E-4</v>
      </c>
      <c r="BP179" s="44">
        <f t="shared" ref="BP179:BP242" si="277">$AN$2*Z179+(1-$AN$2)*BP178</f>
        <v>6.2350968421514966E-4</v>
      </c>
      <c r="BQ179" s="44">
        <f t="shared" ref="BQ179:BQ242" si="278">$AN$2*AA179+(1-$AN$2)*BQ178</f>
        <v>1.6825945339340632E-4</v>
      </c>
      <c r="BR179" s="44">
        <f t="shared" ref="BR179:BR242" si="279">$AN$2*AB179+(1-$AN$2)*BR178</f>
        <v>4.9708054507013432E-4</v>
      </c>
      <c r="BS179" s="44">
        <f t="shared" ref="BS179:BS242" si="280">$AN$2*AC179+(1-$AN$2)*BS178</f>
        <v>2.6808213427174449E-4</v>
      </c>
      <c r="BT179" s="44">
        <f t="shared" ref="BT179:BT242" si="281">$AN$2*AD179+(1-$AN$2)*BT178</f>
        <v>1.0608831929817244E-3</v>
      </c>
      <c r="BU179" s="44">
        <f t="shared" ref="BU179:BU242" si="282">$AN$2*AE179+(1-$AN$2)*BU178</f>
        <v>1.0134626812513437E-3</v>
      </c>
      <c r="BV179" s="44">
        <f t="shared" ref="BV179:BV242" si="283">$AN$2*AF179+(1-$AN$2)*BV178</f>
        <v>9.7329602939674991E-4</v>
      </c>
      <c r="BW179" s="44">
        <f t="shared" ref="BW179:BW242" si="284">$AN$2*AG179+(1-$AN$2)*BW178</f>
        <v>6.3658916411205144E-4</v>
      </c>
      <c r="BX179" s="44">
        <f t="shared" ref="BX179:BX242" si="285">$AN$2*AH179+(1-$AN$2)*BX178</f>
        <v>4.7030051446273852E-4</v>
      </c>
      <c r="BY179" s="44">
        <f t="shared" ref="BY179:BY242" si="286">$AN$2*AI179+(1-$AN$2)*BY178</f>
        <v>4.0380704657260331E-4</v>
      </c>
      <c r="CA179" s="44" t="str">
        <f t="shared" ref="CA179:CA242" si="287">IF($A179="","",BF179/SUM($BF179:$BY179)/CA$2-1)</f>
        <v/>
      </c>
      <c r="CB179" s="44" t="str">
        <f t="shared" ref="CB179:CB242" si="288">IF($A179="","",BG179/SUM($BF179:$BY179)/CB$2-1)</f>
        <v/>
      </c>
      <c r="CC179" s="44" t="str">
        <f t="shared" ref="CC179:CC242" si="289">IF($A179="","",BH179/SUM($BF179:$BY179)/CC$2-1)</f>
        <v/>
      </c>
      <c r="CD179" s="44" t="str">
        <f t="shared" ref="CD179:CD242" si="290">IF($A179="","",BI179/SUM($BF179:$BY179)/CD$2-1)</f>
        <v/>
      </c>
      <c r="CE179" s="44" t="str">
        <f t="shared" ref="CE179:CE242" si="291">IF($A179="","",BJ179/SUM($BF179:$BY179)/CE$2-1)</f>
        <v/>
      </c>
      <c r="CF179" s="44" t="str">
        <f t="shared" ref="CF179:CF242" si="292">IF($A179="","",BK179/SUM($BF179:$BY179)/CF$2-1)</f>
        <v/>
      </c>
      <c r="CG179" s="44" t="str">
        <f t="shared" ref="CG179:CG242" si="293">IF($A179="","",BL179/SUM($BF179:$BY179)/CG$2-1)</f>
        <v/>
      </c>
      <c r="CH179" s="44" t="str">
        <f t="shared" ref="CH179:CH242" si="294">IF($A179="","",BM179/SUM($BF179:$BY179)/CH$2-1)</f>
        <v/>
      </c>
      <c r="CI179" s="44" t="str">
        <f t="shared" ref="CI179:CI242" si="295">IF($A179="","",BN179/SUM($BF179:$BY179)/CI$2-1)</f>
        <v/>
      </c>
      <c r="CJ179" s="44" t="str">
        <f t="shared" ref="CJ179:CJ242" si="296">IF($A179="","",BO179/SUM($BF179:$BY179)/CJ$2-1)</f>
        <v/>
      </c>
      <c r="CK179" s="44" t="str">
        <f t="shared" ref="CK179:CK242" si="297">IF($A179="","",BP179/SUM($BF179:$BY179)/CK$2-1)</f>
        <v/>
      </c>
      <c r="CL179" s="44" t="str">
        <f t="shared" ref="CL179:CL242" si="298">IF($A179="","",BQ179/SUM($BF179:$BY179)/CL$2-1)</f>
        <v/>
      </c>
      <c r="CM179" s="44" t="str">
        <f t="shared" ref="CM179:CM242" si="299">IF($A179="","",BR179/SUM($BF179:$BY179)/CM$2-1)</f>
        <v/>
      </c>
      <c r="CN179" s="44" t="str">
        <f t="shared" ref="CN179:CN242" si="300">IF($A179="","",BS179/SUM($BF179:$BY179)/CN$2-1)</f>
        <v/>
      </c>
      <c r="CO179" s="44" t="str">
        <f t="shared" ref="CO179:CO242" si="301">IF($A179="","",BT179/SUM($BF179:$BY179)/CO$2-1)</f>
        <v/>
      </c>
      <c r="CP179" s="44" t="str">
        <f t="shared" ref="CP179:CP242" si="302">IF($A179="","",BU179/SUM($BF179:$BY179)/CP$2-1)</f>
        <v/>
      </c>
      <c r="CQ179" s="44" t="str">
        <f t="shared" ref="CQ179:CQ242" si="303">IF($A179="","",BV179/SUM($BF179:$BY179)/CQ$2-1)</f>
        <v/>
      </c>
      <c r="CR179" s="44" t="str">
        <f t="shared" ref="CR179:CR242" si="304">IF($A179="","",BW179/SUM($BF179:$BY179)/CR$2-1)</f>
        <v/>
      </c>
      <c r="CS179" s="44" t="str">
        <f t="shared" ref="CS179:CS242" si="305">IF($A179="","",BX179/SUM($BF179:$BY179)/CS$2-1)</f>
        <v/>
      </c>
      <c r="CT179" s="44" t="str">
        <f t="shared" ref="CT179:CT242" si="306">IF($A179="","",BY179/SUM($BF179:$BY179)/CT$2-1)</f>
        <v/>
      </c>
      <c r="CV179" s="44">
        <f t="shared" ref="CV179:CV242" si="307">SQRT(SUMPRODUCT(CA179:CT179,CA179:CT179)/20)</f>
        <v>0</v>
      </c>
    </row>
    <row r="180" spans="1:100" x14ac:dyDescent="0.25">
      <c r="A180" s="49"/>
      <c r="B180" s="50"/>
      <c r="C180" s="51" t="str" cm="1">
        <f t="array" ref="C180">IF(B180="","",INDEX(UWS!$B$10:$B$41,B180))</f>
        <v/>
      </c>
      <c r="D180" s="45" t="str">
        <f t="shared" si="264"/>
        <v/>
      </c>
      <c r="E180" s="70" t="str">
        <f t="shared" si="265"/>
        <v/>
      </c>
      <c r="F180" s="52" cm="1">
        <f t="array" ref="F180">0.1+IFERROR(INDEX($F$5:$F179,SUMPRODUCT(MAX(ROW($C$5:$C179)*($C180=$C$5:$C179))-ROW($A$4)))*0.9^($A180-INDEX($A$5:A179,SUMPRODUCT(MAX(ROW($C$5:$C179)*($C180=$C$5:$C179))-ROW($A$4)))),0)</f>
        <v>11.499999999999975</v>
      </c>
      <c r="G180" s="56" t="e">
        <f>INDEX(UWS!$AB$10:$AB$41,MATCH(C180,UWS!$B$10:$B$41,0))</f>
        <v>#N/A</v>
      </c>
      <c r="H180" s="52" t="e">
        <f>INDEX(UWS!$C$10:$C$41,MATCH(C180,UWS!$B$10:$B$41,0))</f>
        <v>#N/A</v>
      </c>
      <c r="I180" s="46">
        <f t="shared" si="266"/>
        <v>5</v>
      </c>
      <c r="J180" s="46" t="e">
        <f>INDEX(UWS!$E$10:$E$41,MATCH(C180,UWS!$B$10:$B$41,0))</f>
        <v>#N/A</v>
      </c>
      <c r="K180" s="46"/>
      <c r="L180" s="109" t="str" cm="1">
        <f t="array" ref="L180">IF(K180="","",INDEX(UWS!$B$10:$B$41,K180))</f>
        <v/>
      </c>
      <c r="M180" s="46"/>
      <c r="N180" s="109" t="str" cm="1">
        <f t="array" ref="N180">IF(M180="","",INDEX(UWS!$B$10:$B$41,M180))</f>
        <v/>
      </c>
      <c r="O180" s="47"/>
      <c r="P180" s="47">
        <f>IFERROR(INDEX(UWS!$G$10:$Z$41,MATCH($C180,UWS!$B$10:$B$41,0),MATCH(P$4,UWS!$G$3:$Z$3,0)),0)</f>
        <v>0</v>
      </c>
      <c r="Q180" s="47">
        <f>IFERROR(INDEX(UWS!$G$10:$Z$41,MATCH($C180,UWS!$B$10:$B$41,0),MATCH(Q$4,UWS!$G$3:$Z$3,0)),0)</f>
        <v>0</v>
      </c>
      <c r="R180" s="47">
        <f>IFERROR(INDEX(UWS!$G$10:$Z$41,MATCH($C180,UWS!$B$10:$B$41,0),MATCH(R$4,UWS!$G$3:$Z$3,0)),0)</f>
        <v>0</v>
      </c>
      <c r="S180" s="47">
        <f>IFERROR(INDEX(UWS!$G$10:$Z$41,MATCH($C180,UWS!$B$10:$B$41,0),MATCH(S$4,UWS!$G$3:$Z$3,0)),0)</f>
        <v>0</v>
      </c>
      <c r="T180" s="47">
        <f>IFERROR(INDEX(UWS!$G$10:$Z$41,MATCH($C180,UWS!$B$10:$B$41,0),MATCH(T$4,UWS!$G$3:$Z$3,0)),0)</f>
        <v>0</v>
      </c>
      <c r="U180" s="47">
        <f>IFERROR(INDEX(UWS!$G$10:$Z$41,MATCH($C180,UWS!$B$10:$B$41,0),MATCH(U$4,UWS!$G$3:$Z$3,0)),0)</f>
        <v>0</v>
      </c>
      <c r="V180" s="47">
        <f>IFERROR(INDEX(UWS!$G$10:$Z$41,MATCH($C180,UWS!$B$10:$B$41,0),MATCH(V$4,UWS!$G$3:$Z$3,0)),0)</f>
        <v>0</v>
      </c>
      <c r="W180" s="47">
        <f>IFERROR(INDEX(UWS!$G$10:$Z$41,MATCH($C180,UWS!$B$10:$B$41,0),MATCH(W$4,UWS!$G$3:$Z$3,0)),0)</f>
        <v>0</v>
      </c>
      <c r="X180" s="47">
        <f>IFERROR(INDEX(UWS!$G$10:$Z$41,MATCH($C180,UWS!$B$10:$B$41,0),MATCH(X$4,UWS!$G$3:$Z$3,0)),0)</f>
        <v>0</v>
      </c>
      <c r="Y180" s="47">
        <f>IFERROR(INDEX(UWS!$G$10:$Z$41,MATCH($C180,UWS!$B$10:$B$41,0),MATCH(Y$4,UWS!$G$3:$Z$3,0)),0)</f>
        <v>0</v>
      </c>
      <c r="Z180" s="47">
        <f>IFERROR(INDEX(UWS!$G$10:$Z$41,MATCH($C180,UWS!$B$10:$B$41,0),MATCH(Z$4,UWS!$G$3:$Z$3,0)),0)</f>
        <v>0</v>
      </c>
      <c r="AA180" s="47">
        <f>IFERROR(INDEX(UWS!$G$10:$Z$41,MATCH($C180,UWS!$B$10:$B$41,0),MATCH(AA$4,UWS!$G$3:$Z$3,0)),0)</f>
        <v>0</v>
      </c>
      <c r="AB180" s="47">
        <f>IFERROR(INDEX(UWS!$G$10:$Z$41,MATCH($C180,UWS!$B$10:$B$41,0),MATCH(AB$4,UWS!$G$3:$Z$3,0)),0)</f>
        <v>0</v>
      </c>
      <c r="AC180" s="47">
        <f>IFERROR(INDEX(UWS!$G$10:$Z$41,MATCH($C180,UWS!$B$10:$B$41,0),MATCH(AC$4,UWS!$G$3:$Z$3,0)),0)</f>
        <v>0</v>
      </c>
      <c r="AD180" s="47">
        <f>IFERROR(INDEX(UWS!$G$10:$Z$41,MATCH($C180,UWS!$B$10:$B$41,0),MATCH(AD$4,UWS!$G$3:$Z$3,0)),0)</f>
        <v>0</v>
      </c>
      <c r="AE180" s="47">
        <f>IFERROR(INDEX(UWS!$G$10:$Z$41,MATCH($C180,UWS!$B$10:$B$41,0),MATCH(AE$4,UWS!$G$3:$Z$3,0)),0)</f>
        <v>0</v>
      </c>
      <c r="AF180" s="47">
        <f>IFERROR(INDEX(UWS!$G$10:$Z$41,MATCH($C180,UWS!$B$10:$B$41,0),MATCH(AF$4,UWS!$G$3:$Z$3,0)),0)</f>
        <v>0</v>
      </c>
      <c r="AG180" s="47">
        <f>IFERROR(INDEX(UWS!$G$10:$Z$41,MATCH($C180,UWS!$B$10:$B$41,0),MATCH(AG$4,UWS!$G$3:$Z$3,0)),0)</f>
        <v>0</v>
      </c>
      <c r="AH180" s="47">
        <f>IFERROR(INDEX(UWS!$G$10:$Z$41,MATCH($C180,UWS!$B$10:$B$41,0),MATCH(AH$4,UWS!$G$3:$Z$3,0)),0)</f>
        <v>0</v>
      </c>
      <c r="AI180" s="47">
        <f>IFERROR(INDEX(UWS!$G$10:$Z$41,MATCH($C180,UWS!$B$10:$B$41,0),MATCH(AI$4,UWS!$G$3:$Z$3,0)),0)</f>
        <v>0</v>
      </c>
      <c r="AJ180" s="47"/>
      <c r="AK180" s="47" t="e">
        <f>IF(OR($J180=0,COUNTIFS($A$4:$A179,"&gt;="&amp;$A180-1,$A$4:$A179,"&lt;="&amp;$A180,$B$4:$B179,$B180)&gt;0,MIN(AK$1,IF($A180=$A179,AK179,1))-P180&lt;0),-1,MIN(1,IF($A180=$A179,AK179,1)-P180+$D$3))</f>
        <v>#N/A</v>
      </c>
      <c r="AL180" s="47" t="e">
        <f>IF(OR($J180=0,COUNTIFS($A$4:$A179,"&gt;="&amp;$A180-1,$A$4:$A179,"&lt;="&amp;$A180,$B$4:$B179,$B180)&gt;0,MIN(AL$1,IF($A180=$A179,AL179,1))-Q180&lt;0),-1,MIN(1,IF($A180=$A179,AL179,1)-Q180+$D$3))</f>
        <v>#N/A</v>
      </c>
      <c r="AM180" s="47" t="e">
        <f>IF(OR($J180=0,COUNTIFS($A$4:$A179,"&gt;="&amp;$A180-1,$A$4:$A179,"&lt;="&amp;$A180,$B$4:$B179,$B180)&gt;0,MIN(AM$1,IF($A180=$A179,AM179,1))-R180&lt;0),-1,MIN(1,IF($A180=$A179,AM179,1)-R180+$D$3))</f>
        <v>#N/A</v>
      </c>
      <c r="AN180" s="47" t="e">
        <f>IF(OR($J180=0,COUNTIFS($A$4:$A179,"&gt;="&amp;$A180-1,$A$4:$A179,"&lt;="&amp;$A180,$B$4:$B179,$B180)&gt;0,MIN(AN$1,IF($A180=$A179,AN179,1))-S180&lt;0),-1,MIN(1,IF($A180=$A179,AN179,1)-S180+$D$3))</f>
        <v>#N/A</v>
      </c>
      <c r="AO180" s="47" t="e">
        <f>IF(OR($J180=0,COUNTIFS($A$4:$A179,"&gt;="&amp;$A180-1,$A$4:$A179,"&lt;="&amp;$A180,$B$4:$B179,$B180)&gt;0,MIN(AO$1,IF($A180=$A179,AO179,1))-T180&lt;0),-1,MIN(1,IF($A180=$A179,AO179,1)-T180+$D$3))</f>
        <v>#N/A</v>
      </c>
      <c r="AP180" s="47" t="e">
        <f>IF(OR($J180=0,COUNTIFS($A$4:$A179,"&gt;="&amp;$A180-1,$A$4:$A179,"&lt;="&amp;$A180,$B$4:$B179,$B180)&gt;0,MIN(AP$1,IF($A180=$A179,AP179,1))-U180&lt;0),-1,MIN(1,IF($A180=$A179,AP179,1)-U180+$D$3))</f>
        <v>#N/A</v>
      </c>
      <c r="AQ180" s="47" t="e">
        <f>IF(OR($J180=0,COUNTIFS($A$4:$A179,"&gt;="&amp;$A180-1,$A$4:$A179,"&lt;="&amp;$A180,$B$4:$B179,$B180)&gt;0,MIN(AQ$1,IF($A180=$A179,AQ179,1))-V180&lt;0),-1,MIN(1,IF($A180=$A179,AQ179,1)-V180+$D$3))</f>
        <v>#N/A</v>
      </c>
      <c r="AR180" s="47" t="e">
        <f>IF(OR($J180=0,COUNTIFS($A$4:$A179,"&gt;="&amp;$A180-1,$A$4:$A179,"&lt;="&amp;$A180,$B$4:$B179,$B180)&gt;0,MIN(AR$1,IF($A180=$A179,AR179,1))-W180&lt;0),-1,MIN(1,IF($A180=$A179,AR179,1)-W180+$D$3))</f>
        <v>#N/A</v>
      </c>
      <c r="AS180" s="47" t="e">
        <f>IF(OR($J180=0,COUNTIFS($A$4:$A179,"&gt;="&amp;$A180-1,$A$4:$A179,"&lt;="&amp;$A180,$B$4:$B179,$B180)&gt;0,MIN(AS$1,IF($A180=$A179,AS179,1))-X180&lt;0),-1,MIN(1,IF($A180=$A179,AS179,1)-X180+$D$3))</f>
        <v>#N/A</v>
      </c>
      <c r="AT180" s="47" t="e">
        <f>IF(OR($J180=0,COUNTIFS($A$4:$A179,"&gt;="&amp;$A180-1,$A$4:$A179,"&lt;="&amp;$A180,$B$4:$B179,$B180)&gt;0,MIN(AT$1,IF($A180=$A179,AT179,1))-Y180&lt;0),-1,MIN(1,IF($A180=$A179,AT179,1)-Y180+$D$3))</f>
        <v>#N/A</v>
      </c>
      <c r="AU180" s="47" t="e">
        <f>IF(OR($J180=0,COUNTIFS($A$4:$A179,"&gt;="&amp;$A180-1,$A$4:$A179,"&lt;="&amp;$A180,$B$4:$B179,$B180)&gt;0,MIN(AU$1,IF($A180=$A179,AU179,1))-Z180&lt;0),-1,MIN(1,IF($A180=$A179,AU179,1)-Z180+$D$3))</f>
        <v>#N/A</v>
      </c>
      <c r="AV180" s="47" t="e">
        <f>IF(OR($J180=0,COUNTIFS($A$4:$A179,"&gt;="&amp;$A180-1,$A$4:$A179,"&lt;="&amp;$A180,$B$4:$B179,$B180)&gt;0,MIN(AV$1,IF($A180=$A179,AV179,1))-AA180&lt;0),-1,MIN(1,IF($A180=$A179,AV179,1)-AA180+$D$3))</f>
        <v>#N/A</v>
      </c>
      <c r="AW180" s="47" t="e">
        <f>IF(OR($J180=0,COUNTIFS($A$4:$A179,"&gt;="&amp;$A180-1,$A$4:$A179,"&lt;="&amp;$A180,$B$4:$B179,$B180)&gt;0,MIN(AW$1,IF($A180=$A179,AW179,1))-AB180&lt;0),-1,MIN(1,IF($A180=$A179,AW179,1)-AB180+$D$3))</f>
        <v>#N/A</v>
      </c>
      <c r="AX180" s="47" t="e">
        <f>IF(OR($J180=0,COUNTIFS($A$4:$A179,"&gt;="&amp;$A180-1,$A$4:$A179,"&lt;="&amp;$A180,$B$4:$B179,$B180)&gt;0,MIN(AX$1,IF($A180=$A179,AX179,1))-AC180&lt;0),-1,MIN(1,IF($A180=$A179,AX179,1)-AC180+$D$3))</f>
        <v>#N/A</v>
      </c>
      <c r="AY180" s="47" t="e">
        <f>IF(OR($J180=0,COUNTIFS($A$4:$A179,"&gt;="&amp;$A180-1,$A$4:$A179,"&lt;="&amp;$A180,$B$4:$B179,$B180)&gt;0,MIN(AY$1,IF($A180=$A179,AY179,1))-AD180&lt;0),-1,MIN(1,IF($A180=$A179,AY179,1)-AD180+$D$3))</f>
        <v>#N/A</v>
      </c>
      <c r="AZ180" s="47" t="e">
        <f>IF(OR($J180=0,COUNTIFS($A$4:$A179,"&gt;="&amp;$A180-1,$A$4:$A179,"&lt;="&amp;$A180,$B$4:$B179,$B180)&gt;0,MIN(AZ$1,IF($A180=$A179,AZ179,1))-AE180&lt;0),-1,MIN(1,IF($A180=$A179,AZ179,1)-AE180+$D$3))</f>
        <v>#N/A</v>
      </c>
      <c r="BA180" s="47" t="e">
        <f>IF(OR($J180=0,COUNTIFS($A$4:$A179,"&gt;="&amp;$A180-1,$A$4:$A179,"&lt;="&amp;$A180,$B$4:$B179,$B180)&gt;0,MIN(BA$1,IF($A180=$A179,BA179,1))-AF180&lt;0),-1,MIN(1,IF($A180=$A179,BA179,1)-AF180+$D$3))</f>
        <v>#N/A</v>
      </c>
      <c r="BB180" s="47" t="e">
        <f>IF(OR($J180=0,COUNTIFS($A$4:$A179,"&gt;="&amp;$A180-1,$A$4:$A179,"&lt;="&amp;$A180,$B$4:$B179,$B180)&gt;0,MIN(BB$1,IF($A180=$A179,BB179,1))-AG180&lt;0),-1,MIN(1,IF($A180=$A179,BB179,1)-AG180+$D$3))</f>
        <v>#N/A</v>
      </c>
      <c r="BC180" s="47" t="e">
        <f>IF(OR($J180=0,COUNTIFS($A$4:$A179,"&gt;="&amp;$A180-1,$A$4:$A179,"&lt;="&amp;$A180,$B$4:$B179,$B180)&gt;0,MIN(BC$1,IF($A180=$A179,BC179,1))-AH180&lt;0),-1,MIN(1,IF($A180=$A179,BC179,1)-AH180+$D$3))</f>
        <v>#N/A</v>
      </c>
      <c r="BD180" s="47" t="e">
        <f>IF(OR($J180=0,COUNTIFS($A$4:$A179,"&gt;="&amp;$A180-1,$A$4:$A179,"&lt;="&amp;$A180,$B$4:$B179,$B180)&gt;0,MIN(BD$1,IF($A180=$A179,BD179,1))-AI180&lt;0),-1,MIN(1,IF($A180=$A179,BD179,1)-AI180+$D$3))</f>
        <v>#N/A</v>
      </c>
      <c r="BE180" s="47"/>
      <c r="BF180" s="53">
        <f t="shared" si="267"/>
        <v>2.5448396611195363E-4</v>
      </c>
      <c r="BG180" s="53">
        <f t="shared" si="268"/>
        <v>6.2584788327585677E-4</v>
      </c>
      <c r="BH180" s="53">
        <f t="shared" si="269"/>
        <v>6.4142824760781065E-4</v>
      </c>
      <c r="BI180" s="53">
        <f t="shared" si="270"/>
        <v>5.9250161575420581E-4</v>
      </c>
      <c r="BJ180" s="53">
        <f t="shared" si="271"/>
        <v>6.1240666959154445E-4</v>
      </c>
      <c r="BK180" s="53">
        <f t="shared" si="272"/>
        <v>2.6299025746828893E-4</v>
      </c>
      <c r="BL180" s="53">
        <f t="shared" si="273"/>
        <v>1.4207147455079516E-4</v>
      </c>
      <c r="BM180" s="53">
        <f t="shared" si="274"/>
        <v>3.6141324085570245E-4</v>
      </c>
      <c r="BN180" s="53">
        <f t="shared" si="275"/>
        <v>3.7589793736860037E-4</v>
      </c>
      <c r="BO180" s="53">
        <f t="shared" si="276"/>
        <v>1.7616003714051261E-4</v>
      </c>
      <c r="BP180" s="53">
        <f t="shared" si="277"/>
        <v>5.923342000043922E-4</v>
      </c>
      <c r="BQ180" s="53">
        <f t="shared" si="278"/>
        <v>1.5984648072373599E-4</v>
      </c>
      <c r="BR180" s="53">
        <f t="shared" si="279"/>
        <v>4.7222651781662759E-4</v>
      </c>
      <c r="BS180" s="53">
        <f t="shared" si="280"/>
        <v>2.5467802755815724E-4</v>
      </c>
      <c r="BT180" s="53">
        <f t="shared" si="281"/>
        <v>1.0078390333326383E-3</v>
      </c>
      <c r="BU180" s="53">
        <f t="shared" si="282"/>
        <v>9.6278954718877641E-4</v>
      </c>
      <c r="BV180" s="53">
        <f t="shared" si="283"/>
        <v>9.2463122792691235E-4</v>
      </c>
      <c r="BW180" s="53">
        <f t="shared" si="284"/>
        <v>6.0475970590644882E-4</v>
      </c>
      <c r="BX180" s="53">
        <f t="shared" si="285"/>
        <v>4.4678548873960158E-4</v>
      </c>
      <c r="BY180" s="53">
        <f t="shared" si="286"/>
        <v>3.8361669424397311E-4</v>
      </c>
      <c r="BZ180" s="47"/>
      <c r="CA180" s="53" t="str">
        <f t="shared" si="287"/>
        <v/>
      </c>
      <c r="CB180" s="53" t="str">
        <f t="shared" si="288"/>
        <v/>
      </c>
      <c r="CC180" s="53" t="str">
        <f t="shared" si="289"/>
        <v/>
      </c>
      <c r="CD180" s="53" t="str">
        <f t="shared" si="290"/>
        <v/>
      </c>
      <c r="CE180" s="53" t="str">
        <f t="shared" si="291"/>
        <v/>
      </c>
      <c r="CF180" s="53" t="str">
        <f t="shared" si="292"/>
        <v/>
      </c>
      <c r="CG180" s="53" t="str">
        <f t="shared" si="293"/>
        <v/>
      </c>
      <c r="CH180" s="53" t="str">
        <f t="shared" si="294"/>
        <v/>
      </c>
      <c r="CI180" s="53" t="str">
        <f t="shared" si="295"/>
        <v/>
      </c>
      <c r="CJ180" s="53" t="str">
        <f t="shared" si="296"/>
        <v/>
      </c>
      <c r="CK180" s="53" t="str">
        <f t="shared" si="297"/>
        <v/>
      </c>
      <c r="CL180" s="53" t="str">
        <f t="shared" si="298"/>
        <v/>
      </c>
      <c r="CM180" s="53" t="str">
        <f t="shared" si="299"/>
        <v/>
      </c>
      <c r="CN180" s="53" t="str">
        <f t="shared" si="300"/>
        <v/>
      </c>
      <c r="CO180" s="53" t="str">
        <f t="shared" si="301"/>
        <v/>
      </c>
      <c r="CP180" s="53" t="str">
        <f t="shared" si="302"/>
        <v/>
      </c>
      <c r="CQ180" s="53" t="str">
        <f t="shared" si="303"/>
        <v/>
      </c>
      <c r="CR180" s="53" t="str">
        <f t="shared" si="304"/>
        <v/>
      </c>
      <c r="CS180" s="53" t="str">
        <f t="shared" si="305"/>
        <v/>
      </c>
      <c r="CT180" s="53" t="str">
        <f t="shared" si="306"/>
        <v/>
      </c>
      <c r="CU180" s="47"/>
      <c r="CV180" s="53">
        <f t="shared" si="307"/>
        <v>0</v>
      </c>
    </row>
    <row r="181" spans="1:100" x14ac:dyDescent="0.25">
      <c r="A181" s="41"/>
      <c r="B181" s="42"/>
      <c r="C181" s="43" t="str" cm="1">
        <f t="array" ref="C181">IF(B181="","",INDEX(UWS!$B$10:$B$41,B181))</f>
        <v/>
      </c>
      <c r="D181" s="40" t="str">
        <f t="shared" si="264"/>
        <v/>
      </c>
      <c r="E181" s="69" t="str">
        <f t="shared" si="265"/>
        <v/>
      </c>
      <c r="F181" s="48" cm="1">
        <f t="array" ref="F181">0.1+IFERROR(INDEX($F$5:$F180,SUMPRODUCT(MAX(ROW($C$5:$C180)*($C181=$C$5:$C180))-ROW($A$4)))*0.9^($A181-INDEX($A$5:A180,SUMPRODUCT(MAX(ROW($C$5:$C180)*($C181=$C$5:$C180))-ROW($A$4)))),0)</f>
        <v>11.599999999999975</v>
      </c>
      <c r="G181" s="55" t="e">
        <f>INDEX(UWS!$AB$10:$AB$41,MATCH(C181,UWS!$B$10:$B$41,0))</f>
        <v>#N/A</v>
      </c>
      <c r="H181" s="48" t="e">
        <f>INDEX(UWS!$C$10:$C$41,MATCH(C181,UWS!$B$10:$B$41,0))</f>
        <v>#N/A</v>
      </c>
      <c r="I181" s="82">
        <f t="shared" si="266"/>
        <v>5</v>
      </c>
      <c r="J181" s="27" t="e">
        <f>INDEX(UWS!$E$10:$E$41,MATCH(C181,UWS!$B$10:$B$41,0))</f>
        <v>#N/A</v>
      </c>
      <c r="L181" s="108" t="str" cm="1">
        <f t="array" ref="L181">IF(K181="","",INDEX(UWS!$B$10:$B$41,K181))</f>
        <v/>
      </c>
      <c r="N181" s="108" t="str" cm="1">
        <f t="array" ref="N181">IF(M181="","",INDEX(UWS!$B$10:$B$41,M181))</f>
        <v/>
      </c>
      <c r="P181">
        <f>IFERROR(INDEX(UWS!$G$10:$Z$41,MATCH($C181,UWS!$B$10:$B$41,0),MATCH(P$4,UWS!$G$3:$Z$3,0)),0)</f>
        <v>0</v>
      </c>
      <c r="Q181">
        <f>IFERROR(INDEX(UWS!$G$10:$Z$41,MATCH($C181,UWS!$B$10:$B$41,0),MATCH(Q$4,UWS!$G$3:$Z$3,0)),0)</f>
        <v>0</v>
      </c>
      <c r="R181">
        <f>IFERROR(INDEX(UWS!$G$10:$Z$41,MATCH($C181,UWS!$B$10:$B$41,0),MATCH(R$4,UWS!$G$3:$Z$3,0)),0)</f>
        <v>0</v>
      </c>
      <c r="S181">
        <f>IFERROR(INDEX(UWS!$G$10:$Z$41,MATCH($C181,UWS!$B$10:$B$41,0),MATCH(S$4,UWS!$G$3:$Z$3,0)),0)</f>
        <v>0</v>
      </c>
      <c r="T181">
        <f>IFERROR(INDEX(UWS!$G$10:$Z$41,MATCH($C181,UWS!$B$10:$B$41,0),MATCH(T$4,UWS!$G$3:$Z$3,0)),0)</f>
        <v>0</v>
      </c>
      <c r="U181">
        <f>IFERROR(INDEX(UWS!$G$10:$Z$41,MATCH($C181,UWS!$B$10:$B$41,0),MATCH(U$4,UWS!$G$3:$Z$3,0)),0)</f>
        <v>0</v>
      </c>
      <c r="V181">
        <f>IFERROR(INDEX(UWS!$G$10:$Z$41,MATCH($C181,UWS!$B$10:$B$41,0),MATCH(V$4,UWS!$G$3:$Z$3,0)),0)</f>
        <v>0</v>
      </c>
      <c r="W181">
        <f>IFERROR(INDEX(UWS!$G$10:$Z$41,MATCH($C181,UWS!$B$10:$B$41,0),MATCH(W$4,UWS!$G$3:$Z$3,0)),0)</f>
        <v>0</v>
      </c>
      <c r="X181">
        <f>IFERROR(INDEX(UWS!$G$10:$Z$41,MATCH($C181,UWS!$B$10:$B$41,0),MATCH(X$4,UWS!$G$3:$Z$3,0)),0)</f>
        <v>0</v>
      </c>
      <c r="Y181">
        <f>IFERROR(INDEX(UWS!$G$10:$Z$41,MATCH($C181,UWS!$B$10:$B$41,0),MATCH(Y$4,UWS!$G$3:$Z$3,0)),0)</f>
        <v>0</v>
      </c>
      <c r="Z181">
        <f>IFERROR(INDEX(UWS!$G$10:$Z$41,MATCH($C181,UWS!$B$10:$B$41,0),MATCH(Z$4,UWS!$G$3:$Z$3,0)),0)</f>
        <v>0</v>
      </c>
      <c r="AA181">
        <f>IFERROR(INDEX(UWS!$G$10:$Z$41,MATCH($C181,UWS!$B$10:$B$41,0),MATCH(AA$4,UWS!$G$3:$Z$3,0)),0)</f>
        <v>0</v>
      </c>
      <c r="AB181">
        <f>IFERROR(INDEX(UWS!$G$10:$Z$41,MATCH($C181,UWS!$B$10:$B$41,0),MATCH(AB$4,UWS!$G$3:$Z$3,0)),0)</f>
        <v>0</v>
      </c>
      <c r="AC181">
        <f>IFERROR(INDEX(UWS!$G$10:$Z$41,MATCH($C181,UWS!$B$10:$B$41,0),MATCH(AC$4,UWS!$G$3:$Z$3,0)),0)</f>
        <v>0</v>
      </c>
      <c r="AD181">
        <f>IFERROR(INDEX(UWS!$G$10:$Z$41,MATCH($C181,UWS!$B$10:$B$41,0),MATCH(AD$4,UWS!$G$3:$Z$3,0)),0)</f>
        <v>0</v>
      </c>
      <c r="AE181">
        <f>IFERROR(INDEX(UWS!$G$10:$Z$41,MATCH($C181,UWS!$B$10:$B$41,0),MATCH(AE$4,UWS!$G$3:$Z$3,0)),0)</f>
        <v>0</v>
      </c>
      <c r="AF181">
        <f>IFERROR(INDEX(UWS!$G$10:$Z$41,MATCH($C181,UWS!$B$10:$B$41,0),MATCH(AF$4,UWS!$G$3:$Z$3,0)),0)</f>
        <v>0</v>
      </c>
      <c r="AG181">
        <f>IFERROR(INDEX(UWS!$G$10:$Z$41,MATCH($C181,UWS!$B$10:$B$41,0),MATCH(AG$4,UWS!$G$3:$Z$3,0)),0)</f>
        <v>0</v>
      </c>
      <c r="AH181">
        <f>IFERROR(INDEX(UWS!$G$10:$Z$41,MATCH($C181,UWS!$B$10:$B$41,0),MATCH(AH$4,UWS!$G$3:$Z$3,0)),0)</f>
        <v>0</v>
      </c>
      <c r="AI181">
        <f>IFERROR(INDEX(UWS!$G$10:$Z$41,MATCH($C181,UWS!$B$10:$B$41,0),MATCH(AI$4,UWS!$G$3:$Z$3,0)),0)</f>
        <v>0</v>
      </c>
      <c r="AK181" t="e">
        <f>IF(OR($J181=0,COUNTIFS($A$4:$A180,"&gt;="&amp;$A181-1,$A$4:$A180,"&lt;="&amp;$A181,$B$4:$B180,$B181)&gt;0,MIN(AK$1,IF($A181=$A180,AK180,1))-P181&lt;0),-1,MIN(1,IF($A181=$A180,AK180,1)-P181+$D$3))</f>
        <v>#N/A</v>
      </c>
      <c r="AL181" t="e">
        <f>IF(OR($J181=0,COUNTIFS($A$4:$A180,"&gt;="&amp;$A181-1,$A$4:$A180,"&lt;="&amp;$A181,$B$4:$B180,$B181)&gt;0,MIN(AL$1,IF($A181=$A180,AL180,1))-Q181&lt;0),-1,MIN(1,IF($A181=$A180,AL180,1)-Q181+$D$3))</f>
        <v>#N/A</v>
      </c>
      <c r="AM181" t="e">
        <f>IF(OR($J181=0,COUNTIFS($A$4:$A180,"&gt;="&amp;$A181-1,$A$4:$A180,"&lt;="&amp;$A181,$B$4:$B180,$B181)&gt;0,MIN(AM$1,IF($A181=$A180,AM180,1))-R181&lt;0),-1,MIN(1,IF($A181=$A180,AM180,1)-R181+$D$3))</f>
        <v>#N/A</v>
      </c>
      <c r="AN181" t="e">
        <f>IF(OR($J181=0,COUNTIFS($A$4:$A180,"&gt;="&amp;$A181-1,$A$4:$A180,"&lt;="&amp;$A181,$B$4:$B180,$B181)&gt;0,MIN(AN$1,IF($A181=$A180,AN180,1))-S181&lt;0),-1,MIN(1,IF($A181=$A180,AN180,1)-S181+$D$3))</f>
        <v>#N/A</v>
      </c>
      <c r="AO181" t="e">
        <f>IF(OR($J181=0,COUNTIFS($A$4:$A180,"&gt;="&amp;$A181-1,$A$4:$A180,"&lt;="&amp;$A181,$B$4:$B180,$B181)&gt;0,MIN(AO$1,IF($A181=$A180,AO180,1))-T181&lt;0),-1,MIN(1,IF($A181=$A180,AO180,1)-T181+$D$3))</f>
        <v>#N/A</v>
      </c>
      <c r="AP181" t="e">
        <f>IF(OR($J181=0,COUNTIFS($A$4:$A180,"&gt;="&amp;$A181-1,$A$4:$A180,"&lt;="&amp;$A181,$B$4:$B180,$B181)&gt;0,MIN(AP$1,IF($A181=$A180,AP180,1))-U181&lt;0),-1,MIN(1,IF($A181=$A180,AP180,1)-U181+$D$3))</f>
        <v>#N/A</v>
      </c>
      <c r="AQ181" t="e">
        <f>IF(OR($J181=0,COUNTIFS($A$4:$A180,"&gt;="&amp;$A181-1,$A$4:$A180,"&lt;="&amp;$A181,$B$4:$B180,$B181)&gt;0,MIN(AQ$1,IF($A181=$A180,AQ180,1))-V181&lt;0),-1,MIN(1,IF($A181=$A180,AQ180,1)-V181+$D$3))</f>
        <v>#N/A</v>
      </c>
      <c r="AR181" t="e">
        <f>IF(OR($J181=0,COUNTIFS($A$4:$A180,"&gt;="&amp;$A181-1,$A$4:$A180,"&lt;="&amp;$A181,$B$4:$B180,$B181)&gt;0,MIN(AR$1,IF($A181=$A180,AR180,1))-W181&lt;0),-1,MIN(1,IF($A181=$A180,AR180,1)-W181+$D$3))</f>
        <v>#N/A</v>
      </c>
      <c r="AS181" t="e">
        <f>IF(OR($J181=0,COUNTIFS($A$4:$A180,"&gt;="&amp;$A181-1,$A$4:$A180,"&lt;="&amp;$A181,$B$4:$B180,$B181)&gt;0,MIN(AS$1,IF($A181=$A180,AS180,1))-X181&lt;0),-1,MIN(1,IF($A181=$A180,AS180,1)-X181+$D$3))</f>
        <v>#N/A</v>
      </c>
      <c r="AT181" t="e">
        <f>IF(OR($J181=0,COUNTIFS($A$4:$A180,"&gt;="&amp;$A181-1,$A$4:$A180,"&lt;="&amp;$A181,$B$4:$B180,$B181)&gt;0,MIN(AT$1,IF($A181=$A180,AT180,1))-Y181&lt;0),-1,MIN(1,IF($A181=$A180,AT180,1)-Y181+$D$3))</f>
        <v>#N/A</v>
      </c>
      <c r="AU181" t="e">
        <f>IF(OR($J181=0,COUNTIFS($A$4:$A180,"&gt;="&amp;$A181-1,$A$4:$A180,"&lt;="&amp;$A181,$B$4:$B180,$B181)&gt;0,MIN(AU$1,IF($A181=$A180,AU180,1))-Z181&lt;0),-1,MIN(1,IF($A181=$A180,AU180,1)-Z181+$D$3))</f>
        <v>#N/A</v>
      </c>
      <c r="AV181" t="e">
        <f>IF(OR($J181=0,COUNTIFS($A$4:$A180,"&gt;="&amp;$A181-1,$A$4:$A180,"&lt;="&amp;$A181,$B$4:$B180,$B181)&gt;0,MIN(AV$1,IF($A181=$A180,AV180,1))-AA181&lt;0),-1,MIN(1,IF($A181=$A180,AV180,1)-AA181+$D$3))</f>
        <v>#N/A</v>
      </c>
      <c r="AW181" t="e">
        <f>IF(OR($J181=0,COUNTIFS($A$4:$A180,"&gt;="&amp;$A181-1,$A$4:$A180,"&lt;="&amp;$A181,$B$4:$B180,$B181)&gt;0,MIN(AW$1,IF($A181=$A180,AW180,1))-AB181&lt;0),-1,MIN(1,IF($A181=$A180,AW180,1)-AB181+$D$3))</f>
        <v>#N/A</v>
      </c>
      <c r="AX181" t="e">
        <f>IF(OR($J181=0,COUNTIFS($A$4:$A180,"&gt;="&amp;$A181-1,$A$4:$A180,"&lt;="&amp;$A181,$B$4:$B180,$B181)&gt;0,MIN(AX$1,IF($A181=$A180,AX180,1))-AC181&lt;0),-1,MIN(1,IF($A181=$A180,AX180,1)-AC181+$D$3))</f>
        <v>#N/A</v>
      </c>
      <c r="AY181" t="e">
        <f>IF(OR($J181=0,COUNTIFS($A$4:$A180,"&gt;="&amp;$A181-1,$A$4:$A180,"&lt;="&amp;$A181,$B$4:$B180,$B181)&gt;0,MIN(AY$1,IF($A181=$A180,AY180,1))-AD181&lt;0),-1,MIN(1,IF($A181=$A180,AY180,1)-AD181+$D$3))</f>
        <v>#N/A</v>
      </c>
      <c r="AZ181" t="e">
        <f>IF(OR($J181=0,COUNTIFS($A$4:$A180,"&gt;="&amp;$A181-1,$A$4:$A180,"&lt;="&amp;$A181,$B$4:$B180,$B181)&gt;0,MIN(AZ$1,IF($A181=$A180,AZ180,1))-AE181&lt;0),-1,MIN(1,IF($A181=$A180,AZ180,1)-AE181+$D$3))</f>
        <v>#N/A</v>
      </c>
      <c r="BA181" t="e">
        <f>IF(OR($J181=0,COUNTIFS($A$4:$A180,"&gt;="&amp;$A181-1,$A$4:$A180,"&lt;="&amp;$A181,$B$4:$B180,$B181)&gt;0,MIN(BA$1,IF($A181=$A180,BA180,1))-AF181&lt;0),-1,MIN(1,IF($A181=$A180,BA180,1)-AF181+$D$3))</f>
        <v>#N/A</v>
      </c>
      <c r="BB181" t="e">
        <f>IF(OR($J181=0,COUNTIFS($A$4:$A180,"&gt;="&amp;$A181-1,$A$4:$A180,"&lt;="&amp;$A181,$B$4:$B180,$B181)&gt;0,MIN(BB$1,IF($A181=$A180,BB180,1))-AG181&lt;0),-1,MIN(1,IF($A181=$A180,BB180,1)-AG181+$D$3))</f>
        <v>#N/A</v>
      </c>
      <c r="BC181" t="e">
        <f>IF(OR($J181=0,COUNTIFS($A$4:$A180,"&gt;="&amp;$A181-1,$A$4:$A180,"&lt;="&amp;$A181,$B$4:$B180,$B181)&gt;0,MIN(BC$1,IF($A181=$A180,BC180,1))-AH181&lt;0),-1,MIN(1,IF($A181=$A180,BC180,1)-AH181+$D$3))</f>
        <v>#N/A</v>
      </c>
      <c r="BD181" t="e">
        <f>IF(OR($J181=0,COUNTIFS($A$4:$A180,"&gt;="&amp;$A181-1,$A$4:$A180,"&lt;="&amp;$A181,$B$4:$B180,$B181)&gt;0,MIN(BD$1,IF($A181=$A180,BD180,1))-AI181&lt;0),-1,MIN(1,IF($A181=$A180,BD180,1)-AI181+$D$3))</f>
        <v>#N/A</v>
      </c>
      <c r="BF181" s="44">
        <f t="shared" si="267"/>
        <v>2.4175976780635593E-4</v>
      </c>
      <c r="BG181" s="44">
        <f t="shared" si="268"/>
        <v>5.9455548911206387E-4</v>
      </c>
      <c r="BH181" s="44">
        <f t="shared" si="269"/>
        <v>6.0935683522742013E-4</v>
      </c>
      <c r="BI181" s="44">
        <f t="shared" si="270"/>
        <v>5.628765349664955E-4</v>
      </c>
      <c r="BJ181" s="44">
        <f t="shared" si="271"/>
        <v>5.8178633611196719E-4</v>
      </c>
      <c r="BK181" s="44">
        <f t="shared" si="272"/>
        <v>2.4984074459487445E-4</v>
      </c>
      <c r="BL181" s="44">
        <f t="shared" si="273"/>
        <v>1.349679008232554E-4</v>
      </c>
      <c r="BM181" s="44">
        <f t="shared" si="274"/>
        <v>3.4334257881291731E-4</v>
      </c>
      <c r="BN181" s="44">
        <f t="shared" si="275"/>
        <v>3.5710304050017033E-4</v>
      </c>
      <c r="BO181" s="44">
        <f t="shared" si="276"/>
        <v>1.6735203528348697E-4</v>
      </c>
      <c r="BP181" s="44">
        <f t="shared" si="277"/>
        <v>5.6271749000417256E-4</v>
      </c>
      <c r="BQ181" s="44">
        <f t="shared" si="278"/>
        <v>1.5185415668754918E-4</v>
      </c>
      <c r="BR181" s="44">
        <f t="shared" si="279"/>
        <v>4.4861519192579619E-4</v>
      </c>
      <c r="BS181" s="44">
        <f t="shared" si="280"/>
        <v>2.4194412618024937E-4</v>
      </c>
      <c r="BT181" s="44">
        <f t="shared" si="281"/>
        <v>9.5744708166600626E-4</v>
      </c>
      <c r="BU181" s="44">
        <f t="shared" si="282"/>
        <v>9.1465006982933755E-4</v>
      </c>
      <c r="BV181" s="44">
        <f t="shared" si="283"/>
        <v>8.7839966653056672E-4</v>
      </c>
      <c r="BW181" s="44">
        <f t="shared" si="284"/>
        <v>5.7452172061112636E-4</v>
      </c>
      <c r="BX181" s="44">
        <f t="shared" si="285"/>
        <v>4.2444621430262147E-4</v>
      </c>
      <c r="BY181" s="44">
        <f t="shared" si="286"/>
        <v>3.6443585953177445E-4</v>
      </c>
      <c r="CA181" s="44" t="str">
        <f t="shared" si="287"/>
        <v/>
      </c>
      <c r="CB181" s="44" t="str">
        <f t="shared" si="288"/>
        <v/>
      </c>
      <c r="CC181" s="44" t="str">
        <f t="shared" si="289"/>
        <v/>
      </c>
      <c r="CD181" s="44" t="str">
        <f t="shared" si="290"/>
        <v/>
      </c>
      <c r="CE181" s="44" t="str">
        <f t="shared" si="291"/>
        <v/>
      </c>
      <c r="CF181" s="44" t="str">
        <f t="shared" si="292"/>
        <v/>
      </c>
      <c r="CG181" s="44" t="str">
        <f t="shared" si="293"/>
        <v/>
      </c>
      <c r="CH181" s="44" t="str">
        <f t="shared" si="294"/>
        <v/>
      </c>
      <c r="CI181" s="44" t="str">
        <f t="shared" si="295"/>
        <v/>
      </c>
      <c r="CJ181" s="44" t="str">
        <f t="shared" si="296"/>
        <v/>
      </c>
      <c r="CK181" s="44" t="str">
        <f t="shared" si="297"/>
        <v/>
      </c>
      <c r="CL181" s="44" t="str">
        <f t="shared" si="298"/>
        <v/>
      </c>
      <c r="CM181" s="44" t="str">
        <f t="shared" si="299"/>
        <v/>
      </c>
      <c r="CN181" s="44" t="str">
        <f t="shared" si="300"/>
        <v/>
      </c>
      <c r="CO181" s="44" t="str">
        <f t="shared" si="301"/>
        <v/>
      </c>
      <c r="CP181" s="44" t="str">
        <f t="shared" si="302"/>
        <v/>
      </c>
      <c r="CQ181" s="44" t="str">
        <f t="shared" si="303"/>
        <v/>
      </c>
      <c r="CR181" s="44" t="str">
        <f t="shared" si="304"/>
        <v/>
      </c>
      <c r="CS181" s="44" t="str">
        <f t="shared" si="305"/>
        <v/>
      </c>
      <c r="CT181" s="44" t="str">
        <f t="shared" si="306"/>
        <v/>
      </c>
      <c r="CV181" s="44">
        <f t="shared" si="307"/>
        <v>0</v>
      </c>
    </row>
    <row r="182" spans="1:100" x14ac:dyDescent="0.25">
      <c r="A182" s="41"/>
      <c r="B182" s="42"/>
      <c r="C182" s="43" t="str" cm="1">
        <f t="array" ref="C182">IF(B182="","",INDEX(UWS!$B$10:$B$41,B182))</f>
        <v/>
      </c>
      <c r="D182" s="40" t="str">
        <f t="shared" si="264"/>
        <v/>
      </c>
      <c r="E182" s="69" t="str">
        <f t="shared" si="265"/>
        <v/>
      </c>
      <c r="F182" s="48" cm="1">
        <f t="array" ref="F182">0.1+IFERROR(INDEX($F$5:$F181,SUMPRODUCT(MAX(ROW($C$5:$C181)*($C182=$C$5:$C181))-ROW($A$4)))*0.9^($A182-INDEX($A$5:A181,SUMPRODUCT(MAX(ROW($C$5:$C181)*($C182=$C$5:$C181))-ROW($A$4)))),0)</f>
        <v>11.699999999999974</v>
      </c>
      <c r="G182" s="55" t="e">
        <f>INDEX(UWS!$AB$10:$AB$41,MATCH(C182,UWS!$B$10:$B$41,0))</f>
        <v>#N/A</v>
      </c>
      <c r="H182" s="48" t="e">
        <f>INDEX(UWS!$C$10:$C$41,MATCH(C182,UWS!$B$10:$B$41,0))</f>
        <v>#N/A</v>
      </c>
      <c r="I182" s="27">
        <f t="shared" si="266"/>
        <v>5</v>
      </c>
      <c r="J182" s="27" t="e">
        <f>INDEX(UWS!$E$10:$E$41,MATCH(C182,UWS!$B$10:$B$41,0))</f>
        <v>#N/A</v>
      </c>
      <c r="L182" s="108" t="str" cm="1">
        <f t="array" ref="L182">IF(K182="","",INDEX(UWS!$B$10:$B$41,K182))</f>
        <v/>
      </c>
      <c r="N182" s="108" t="str" cm="1">
        <f t="array" ref="N182">IF(M182="","",INDEX(UWS!$B$10:$B$41,M182))</f>
        <v/>
      </c>
      <c r="P182">
        <f>IFERROR(INDEX(UWS!$G$10:$Z$41,MATCH($C182,UWS!$B$10:$B$41,0),MATCH(P$4,UWS!$G$3:$Z$3,0)),0)</f>
        <v>0</v>
      </c>
      <c r="Q182">
        <f>IFERROR(INDEX(UWS!$G$10:$Z$41,MATCH($C182,UWS!$B$10:$B$41,0),MATCH(Q$4,UWS!$G$3:$Z$3,0)),0)</f>
        <v>0</v>
      </c>
      <c r="R182">
        <f>IFERROR(INDEX(UWS!$G$10:$Z$41,MATCH($C182,UWS!$B$10:$B$41,0),MATCH(R$4,UWS!$G$3:$Z$3,0)),0)</f>
        <v>0</v>
      </c>
      <c r="S182">
        <f>IFERROR(INDEX(UWS!$G$10:$Z$41,MATCH($C182,UWS!$B$10:$B$41,0),MATCH(S$4,UWS!$G$3:$Z$3,0)),0)</f>
        <v>0</v>
      </c>
      <c r="T182">
        <f>IFERROR(INDEX(UWS!$G$10:$Z$41,MATCH($C182,UWS!$B$10:$B$41,0),MATCH(T$4,UWS!$G$3:$Z$3,0)),0)</f>
        <v>0</v>
      </c>
      <c r="U182">
        <f>IFERROR(INDEX(UWS!$G$10:$Z$41,MATCH($C182,UWS!$B$10:$B$41,0),MATCH(U$4,UWS!$G$3:$Z$3,0)),0)</f>
        <v>0</v>
      </c>
      <c r="V182">
        <f>IFERROR(INDEX(UWS!$G$10:$Z$41,MATCH($C182,UWS!$B$10:$B$41,0),MATCH(V$4,UWS!$G$3:$Z$3,0)),0)</f>
        <v>0</v>
      </c>
      <c r="W182">
        <f>IFERROR(INDEX(UWS!$G$10:$Z$41,MATCH($C182,UWS!$B$10:$B$41,0),MATCH(W$4,UWS!$G$3:$Z$3,0)),0)</f>
        <v>0</v>
      </c>
      <c r="X182">
        <f>IFERROR(INDEX(UWS!$G$10:$Z$41,MATCH($C182,UWS!$B$10:$B$41,0),MATCH(X$4,UWS!$G$3:$Z$3,0)),0)</f>
        <v>0</v>
      </c>
      <c r="Y182">
        <f>IFERROR(INDEX(UWS!$G$10:$Z$41,MATCH($C182,UWS!$B$10:$B$41,0),MATCH(Y$4,UWS!$G$3:$Z$3,0)),0)</f>
        <v>0</v>
      </c>
      <c r="Z182">
        <f>IFERROR(INDEX(UWS!$G$10:$Z$41,MATCH($C182,UWS!$B$10:$B$41,0),MATCH(Z$4,UWS!$G$3:$Z$3,0)),0)</f>
        <v>0</v>
      </c>
      <c r="AA182">
        <f>IFERROR(INDEX(UWS!$G$10:$Z$41,MATCH($C182,UWS!$B$10:$B$41,0),MATCH(AA$4,UWS!$G$3:$Z$3,0)),0)</f>
        <v>0</v>
      </c>
      <c r="AB182">
        <f>IFERROR(INDEX(UWS!$G$10:$Z$41,MATCH($C182,UWS!$B$10:$B$41,0),MATCH(AB$4,UWS!$G$3:$Z$3,0)),0)</f>
        <v>0</v>
      </c>
      <c r="AC182">
        <f>IFERROR(INDEX(UWS!$G$10:$Z$41,MATCH($C182,UWS!$B$10:$B$41,0),MATCH(AC$4,UWS!$G$3:$Z$3,0)),0)</f>
        <v>0</v>
      </c>
      <c r="AD182">
        <f>IFERROR(INDEX(UWS!$G$10:$Z$41,MATCH($C182,UWS!$B$10:$B$41,0),MATCH(AD$4,UWS!$G$3:$Z$3,0)),0)</f>
        <v>0</v>
      </c>
      <c r="AE182">
        <f>IFERROR(INDEX(UWS!$G$10:$Z$41,MATCH($C182,UWS!$B$10:$B$41,0),MATCH(AE$4,UWS!$G$3:$Z$3,0)),0)</f>
        <v>0</v>
      </c>
      <c r="AF182">
        <f>IFERROR(INDEX(UWS!$G$10:$Z$41,MATCH($C182,UWS!$B$10:$B$41,0),MATCH(AF$4,UWS!$G$3:$Z$3,0)),0)</f>
        <v>0</v>
      </c>
      <c r="AG182">
        <f>IFERROR(INDEX(UWS!$G$10:$Z$41,MATCH($C182,UWS!$B$10:$B$41,0),MATCH(AG$4,UWS!$G$3:$Z$3,0)),0)</f>
        <v>0</v>
      </c>
      <c r="AH182">
        <f>IFERROR(INDEX(UWS!$G$10:$Z$41,MATCH($C182,UWS!$B$10:$B$41,0),MATCH(AH$4,UWS!$G$3:$Z$3,0)),0)</f>
        <v>0</v>
      </c>
      <c r="AI182">
        <f>IFERROR(INDEX(UWS!$G$10:$Z$41,MATCH($C182,UWS!$B$10:$B$41,0),MATCH(AI$4,UWS!$G$3:$Z$3,0)),0)</f>
        <v>0</v>
      </c>
      <c r="AK182" t="e">
        <f>IF(OR($J182=0,COUNTIFS($A$4:$A181,"&gt;="&amp;$A182-1,$A$4:$A181,"&lt;="&amp;$A182,$B$4:$B181,$B182)&gt;0,MIN(AK$1,IF($A182=$A181,AK181,1))-P182&lt;0),-1,MIN(1,IF($A182=$A181,AK181,1)-P182+$D$3))</f>
        <v>#N/A</v>
      </c>
      <c r="AL182" t="e">
        <f>IF(OR($J182=0,COUNTIFS($A$4:$A181,"&gt;="&amp;$A182-1,$A$4:$A181,"&lt;="&amp;$A182,$B$4:$B181,$B182)&gt;0,MIN(AL$1,IF($A182=$A181,AL181,1))-Q182&lt;0),-1,MIN(1,IF($A182=$A181,AL181,1)-Q182+$D$3))</f>
        <v>#N/A</v>
      </c>
      <c r="AM182" t="e">
        <f>IF(OR($J182=0,COUNTIFS($A$4:$A181,"&gt;="&amp;$A182-1,$A$4:$A181,"&lt;="&amp;$A182,$B$4:$B181,$B182)&gt;0,MIN(AM$1,IF($A182=$A181,AM181,1))-R182&lt;0),-1,MIN(1,IF($A182=$A181,AM181,1)-R182+$D$3))</f>
        <v>#N/A</v>
      </c>
      <c r="AN182" t="e">
        <f>IF(OR($J182=0,COUNTIFS($A$4:$A181,"&gt;="&amp;$A182-1,$A$4:$A181,"&lt;="&amp;$A182,$B$4:$B181,$B182)&gt;0,MIN(AN$1,IF($A182=$A181,AN181,1))-S182&lt;0),-1,MIN(1,IF($A182=$A181,AN181,1)-S182+$D$3))</f>
        <v>#N/A</v>
      </c>
      <c r="AO182" t="e">
        <f>IF(OR($J182=0,COUNTIFS($A$4:$A181,"&gt;="&amp;$A182-1,$A$4:$A181,"&lt;="&amp;$A182,$B$4:$B181,$B182)&gt;0,MIN(AO$1,IF($A182=$A181,AO181,1))-T182&lt;0),-1,MIN(1,IF($A182=$A181,AO181,1)-T182+$D$3))</f>
        <v>#N/A</v>
      </c>
      <c r="AP182" t="e">
        <f>IF(OR($J182=0,COUNTIFS($A$4:$A181,"&gt;="&amp;$A182-1,$A$4:$A181,"&lt;="&amp;$A182,$B$4:$B181,$B182)&gt;0,MIN(AP$1,IF($A182=$A181,AP181,1))-U182&lt;0),-1,MIN(1,IF($A182=$A181,AP181,1)-U182+$D$3))</f>
        <v>#N/A</v>
      </c>
      <c r="AQ182" t="e">
        <f>IF(OR($J182=0,COUNTIFS($A$4:$A181,"&gt;="&amp;$A182-1,$A$4:$A181,"&lt;="&amp;$A182,$B$4:$B181,$B182)&gt;0,MIN(AQ$1,IF($A182=$A181,AQ181,1))-V182&lt;0),-1,MIN(1,IF($A182=$A181,AQ181,1)-V182+$D$3))</f>
        <v>#N/A</v>
      </c>
      <c r="AR182" t="e">
        <f>IF(OR($J182=0,COUNTIFS($A$4:$A181,"&gt;="&amp;$A182-1,$A$4:$A181,"&lt;="&amp;$A182,$B$4:$B181,$B182)&gt;0,MIN(AR$1,IF($A182=$A181,AR181,1))-W182&lt;0),-1,MIN(1,IF($A182=$A181,AR181,1)-W182+$D$3))</f>
        <v>#N/A</v>
      </c>
      <c r="AS182" t="e">
        <f>IF(OR($J182=0,COUNTIFS($A$4:$A181,"&gt;="&amp;$A182-1,$A$4:$A181,"&lt;="&amp;$A182,$B$4:$B181,$B182)&gt;0,MIN(AS$1,IF($A182=$A181,AS181,1))-X182&lt;0),-1,MIN(1,IF($A182=$A181,AS181,1)-X182+$D$3))</f>
        <v>#N/A</v>
      </c>
      <c r="AT182" t="e">
        <f>IF(OR($J182=0,COUNTIFS($A$4:$A181,"&gt;="&amp;$A182-1,$A$4:$A181,"&lt;="&amp;$A182,$B$4:$B181,$B182)&gt;0,MIN(AT$1,IF($A182=$A181,AT181,1))-Y182&lt;0),-1,MIN(1,IF($A182=$A181,AT181,1)-Y182+$D$3))</f>
        <v>#N/A</v>
      </c>
      <c r="AU182" t="e">
        <f>IF(OR($J182=0,COUNTIFS($A$4:$A181,"&gt;="&amp;$A182-1,$A$4:$A181,"&lt;="&amp;$A182,$B$4:$B181,$B182)&gt;0,MIN(AU$1,IF($A182=$A181,AU181,1))-Z182&lt;0),-1,MIN(1,IF($A182=$A181,AU181,1)-Z182+$D$3))</f>
        <v>#N/A</v>
      </c>
      <c r="AV182" t="e">
        <f>IF(OR($J182=0,COUNTIFS($A$4:$A181,"&gt;="&amp;$A182-1,$A$4:$A181,"&lt;="&amp;$A182,$B$4:$B181,$B182)&gt;0,MIN(AV$1,IF($A182=$A181,AV181,1))-AA182&lt;0),-1,MIN(1,IF($A182=$A181,AV181,1)-AA182+$D$3))</f>
        <v>#N/A</v>
      </c>
      <c r="AW182" t="e">
        <f>IF(OR($J182=0,COUNTIFS($A$4:$A181,"&gt;="&amp;$A182-1,$A$4:$A181,"&lt;="&amp;$A182,$B$4:$B181,$B182)&gt;0,MIN(AW$1,IF($A182=$A181,AW181,1))-AB182&lt;0),-1,MIN(1,IF($A182=$A181,AW181,1)-AB182+$D$3))</f>
        <v>#N/A</v>
      </c>
      <c r="AX182" t="e">
        <f>IF(OR($J182=0,COUNTIFS($A$4:$A181,"&gt;="&amp;$A182-1,$A$4:$A181,"&lt;="&amp;$A182,$B$4:$B181,$B182)&gt;0,MIN(AX$1,IF($A182=$A181,AX181,1))-AC182&lt;0),-1,MIN(1,IF($A182=$A181,AX181,1)-AC182+$D$3))</f>
        <v>#N/A</v>
      </c>
      <c r="AY182" t="e">
        <f>IF(OR($J182=0,COUNTIFS($A$4:$A181,"&gt;="&amp;$A182-1,$A$4:$A181,"&lt;="&amp;$A182,$B$4:$B181,$B182)&gt;0,MIN(AY$1,IF($A182=$A181,AY181,1))-AD182&lt;0),-1,MIN(1,IF($A182=$A181,AY181,1)-AD182+$D$3))</f>
        <v>#N/A</v>
      </c>
      <c r="AZ182" t="e">
        <f>IF(OR($J182=0,COUNTIFS($A$4:$A181,"&gt;="&amp;$A182-1,$A$4:$A181,"&lt;="&amp;$A182,$B$4:$B181,$B182)&gt;0,MIN(AZ$1,IF($A182=$A181,AZ181,1))-AE182&lt;0),-1,MIN(1,IF($A182=$A181,AZ181,1)-AE182+$D$3))</f>
        <v>#N/A</v>
      </c>
      <c r="BA182" t="e">
        <f>IF(OR($J182=0,COUNTIFS($A$4:$A181,"&gt;="&amp;$A182-1,$A$4:$A181,"&lt;="&amp;$A182,$B$4:$B181,$B182)&gt;0,MIN(BA$1,IF($A182=$A181,BA181,1))-AF182&lt;0),-1,MIN(1,IF($A182=$A181,BA181,1)-AF182+$D$3))</f>
        <v>#N/A</v>
      </c>
      <c r="BB182" t="e">
        <f>IF(OR($J182=0,COUNTIFS($A$4:$A181,"&gt;="&amp;$A182-1,$A$4:$A181,"&lt;="&amp;$A182,$B$4:$B181,$B182)&gt;0,MIN(BB$1,IF($A182=$A181,BB181,1))-AG182&lt;0),-1,MIN(1,IF($A182=$A181,BB181,1)-AG182+$D$3))</f>
        <v>#N/A</v>
      </c>
      <c r="BC182" t="e">
        <f>IF(OR($J182=0,COUNTIFS($A$4:$A181,"&gt;="&amp;$A182-1,$A$4:$A181,"&lt;="&amp;$A182,$B$4:$B181,$B182)&gt;0,MIN(BC$1,IF($A182=$A181,BC181,1))-AH182&lt;0),-1,MIN(1,IF($A182=$A181,BC181,1)-AH182+$D$3))</f>
        <v>#N/A</v>
      </c>
      <c r="BD182" t="e">
        <f>IF(OR($J182=0,COUNTIFS($A$4:$A181,"&gt;="&amp;$A182-1,$A$4:$A181,"&lt;="&amp;$A182,$B$4:$B181,$B182)&gt;0,MIN(BD$1,IF($A182=$A181,BD181,1))-AI182&lt;0),-1,MIN(1,IF($A182=$A181,BD181,1)-AI182+$D$3))</f>
        <v>#N/A</v>
      </c>
      <c r="BF182" s="44">
        <f t="shared" si="267"/>
        <v>2.2967177941603812E-4</v>
      </c>
      <c r="BG182" s="44">
        <f t="shared" si="268"/>
        <v>5.648277146564607E-4</v>
      </c>
      <c r="BH182" s="44">
        <f t="shared" si="269"/>
        <v>5.7888899346604907E-4</v>
      </c>
      <c r="BI182" s="44">
        <f t="shared" si="270"/>
        <v>5.3473270821817074E-4</v>
      </c>
      <c r="BJ182" s="44">
        <f t="shared" si="271"/>
        <v>5.5269701930636878E-4</v>
      </c>
      <c r="BK182" s="44">
        <f t="shared" si="272"/>
        <v>2.3734870736513071E-4</v>
      </c>
      <c r="BL182" s="44">
        <f t="shared" si="273"/>
        <v>1.2821950578209261E-4</v>
      </c>
      <c r="BM182" s="44">
        <f t="shared" si="274"/>
        <v>3.2617544987227143E-4</v>
      </c>
      <c r="BN182" s="44">
        <f t="shared" si="275"/>
        <v>3.3924788847516181E-4</v>
      </c>
      <c r="BO182" s="44">
        <f t="shared" si="276"/>
        <v>1.5898443351931261E-4</v>
      </c>
      <c r="BP182" s="44">
        <f t="shared" si="277"/>
        <v>5.3458161550396389E-4</v>
      </c>
      <c r="BQ182" s="44">
        <f t="shared" si="278"/>
        <v>1.4426144885317172E-4</v>
      </c>
      <c r="BR182" s="44">
        <f t="shared" si="279"/>
        <v>4.2618443232950637E-4</v>
      </c>
      <c r="BS182" s="44">
        <f t="shared" si="280"/>
        <v>2.298469198712369E-4</v>
      </c>
      <c r="BT182" s="44">
        <f t="shared" si="281"/>
        <v>9.0957472758270591E-4</v>
      </c>
      <c r="BU182" s="44">
        <f t="shared" si="282"/>
        <v>8.6891756633787067E-4</v>
      </c>
      <c r="BV182" s="44">
        <f t="shared" si="283"/>
        <v>8.3447968320403832E-4</v>
      </c>
      <c r="BW182" s="44">
        <f t="shared" si="284"/>
        <v>5.4579563458057002E-4</v>
      </c>
      <c r="BX182" s="44">
        <f t="shared" si="285"/>
        <v>4.0322390358749039E-4</v>
      </c>
      <c r="BY182" s="44">
        <f t="shared" si="286"/>
        <v>3.462140665551857E-4</v>
      </c>
      <c r="CA182" s="44" t="str">
        <f t="shared" si="287"/>
        <v/>
      </c>
      <c r="CB182" s="44" t="str">
        <f t="shared" si="288"/>
        <v/>
      </c>
      <c r="CC182" s="44" t="str">
        <f t="shared" si="289"/>
        <v/>
      </c>
      <c r="CD182" s="44" t="str">
        <f t="shared" si="290"/>
        <v/>
      </c>
      <c r="CE182" s="44" t="str">
        <f t="shared" si="291"/>
        <v/>
      </c>
      <c r="CF182" s="44" t="str">
        <f t="shared" si="292"/>
        <v/>
      </c>
      <c r="CG182" s="44" t="str">
        <f t="shared" si="293"/>
        <v/>
      </c>
      <c r="CH182" s="44" t="str">
        <f t="shared" si="294"/>
        <v/>
      </c>
      <c r="CI182" s="44" t="str">
        <f t="shared" si="295"/>
        <v/>
      </c>
      <c r="CJ182" s="44" t="str">
        <f t="shared" si="296"/>
        <v/>
      </c>
      <c r="CK182" s="44" t="str">
        <f t="shared" si="297"/>
        <v/>
      </c>
      <c r="CL182" s="44" t="str">
        <f t="shared" si="298"/>
        <v/>
      </c>
      <c r="CM182" s="44" t="str">
        <f t="shared" si="299"/>
        <v/>
      </c>
      <c r="CN182" s="44" t="str">
        <f t="shared" si="300"/>
        <v/>
      </c>
      <c r="CO182" s="44" t="str">
        <f t="shared" si="301"/>
        <v/>
      </c>
      <c r="CP182" s="44" t="str">
        <f t="shared" si="302"/>
        <v/>
      </c>
      <c r="CQ182" s="44" t="str">
        <f t="shared" si="303"/>
        <v/>
      </c>
      <c r="CR182" s="44" t="str">
        <f t="shared" si="304"/>
        <v/>
      </c>
      <c r="CS182" s="44" t="str">
        <f t="shared" si="305"/>
        <v/>
      </c>
      <c r="CT182" s="44" t="str">
        <f t="shared" si="306"/>
        <v/>
      </c>
      <c r="CV182" s="44">
        <f t="shared" si="307"/>
        <v>0</v>
      </c>
    </row>
    <row r="183" spans="1:100" x14ac:dyDescent="0.25">
      <c r="A183" s="41"/>
      <c r="B183" s="42"/>
      <c r="C183" s="43" t="str" cm="1">
        <f t="array" ref="C183">IF(B183="","",INDEX(UWS!$B$10:$B$41,B183))</f>
        <v/>
      </c>
      <c r="D183" s="40" t="str">
        <f t="shared" si="264"/>
        <v/>
      </c>
      <c r="E183" s="69" t="str">
        <f t="shared" si="265"/>
        <v/>
      </c>
      <c r="F183" s="48" cm="1">
        <f t="array" ref="F183">0.1+IFERROR(INDEX($F$5:$F182,SUMPRODUCT(MAX(ROW($C$5:$C182)*($C183=$C$5:$C182))-ROW($A$4)))*0.9^($A183-INDEX($A$5:A182,SUMPRODUCT(MAX(ROW($C$5:$C182)*($C183=$C$5:$C182))-ROW($A$4)))),0)</f>
        <v>11.799999999999974</v>
      </c>
      <c r="G183" s="55" t="e">
        <f>INDEX(UWS!$AB$10:$AB$41,MATCH(C183,UWS!$B$10:$B$41,0))</f>
        <v>#N/A</v>
      </c>
      <c r="H183" s="48" t="e">
        <f>INDEX(UWS!$C$10:$C$41,MATCH(C183,UWS!$B$10:$B$41,0))</f>
        <v>#N/A</v>
      </c>
      <c r="I183" s="27">
        <f t="shared" si="266"/>
        <v>5</v>
      </c>
      <c r="J183" s="27" t="e">
        <f>INDEX(UWS!$E$10:$E$41,MATCH(C183,UWS!$B$10:$B$41,0))</f>
        <v>#N/A</v>
      </c>
      <c r="L183" s="108" t="str" cm="1">
        <f t="array" ref="L183">IF(K183="","",INDEX(UWS!$B$10:$B$41,K183))</f>
        <v/>
      </c>
      <c r="N183" s="108" t="str" cm="1">
        <f t="array" ref="N183">IF(M183="","",INDEX(UWS!$B$10:$B$41,M183))</f>
        <v/>
      </c>
      <c r="P183">
        <f>IFERROR(INDEX(UWS!$G$10:$Z$41,MATCH($C183,UWS!$B$10:$B$41,0),MATCH(P$4,UWS!$G$3:$Z$3,0)),0)</f>
        <v>0</v>
      </c>
      <c r="Q183">
        <f>IFERROR(INDEX(UWS!$G$10:$Z$41,MATCH($C183,UWS!$B$10:$B$41,0),MATCH(Q$4,UWS!$G$3:$Z$3,0)),0)</f>
        <v>0</v>
      </c>
      <c r="R183">
        <f>IFERROR(INDEX(UWS!$G$10:$Z$41,MATCH($C183,UWS!$B$10:$B$41,0),MATCH(R$4,UWS!$G$3:$Z$3,0)),0)</f>
        <v>0</v>
      </c>
      <c r="S183">
        <f>IFERROR(INDEX(UWS!$G$10:$Z$41,MATCH($C183,UWS!$B$10:$B$41,0),MATCH(S$4,UWS!$G$3:$Z$3,0)),0)</f>
        <v>0</v>
      </c>
      <c r="T183">
        <f>IFERROR(INDEX(UWS!$G$10:$Z$41,MATCH($C183,UWS!$B$10:$B$41,0),MATCH(T$4,UWS!$G$3:$Z$3,0)),0)</f>
        <v>0</v>
      </c>
      <c r="U183">
        <f>IFERROR(INDEX(UWS!$G$10:$Z$41,MATCH($C183,UWS!$B$10:$B$41,0),MATCH(U$4,UWS!$G$3:$Z$3,0)),0)</f>
        <v>0</v>
      </c>
      <c r="V183">
        <f>IFERROR(INDEX(UWS!$G$10:$Z$41,MATCH($C183,UWS!$B$10:$B$41,0),MATCH(V$4,UWS!$G$3:$Z$3,0)),0)</f>
        <v>0</v>
      </c>
      <c r="W183">
        <f>IFERROR(INDEX(UWS!$G$10:$Z$41,MATCH($C183,UWS!$B$10:$B$41,0),MATCH(W$4,UWS!$G$3:$Z$3,0)),0)</f>
        <v>0</v>
      </c>
      <c r="X183">
        <f>IFERROR(INDEX(UWS!$G$10:$Z$41,MATCH($C183,UWS!$B$10:$B$41,0),MATCH(X$4,UWS!$G$3:$Z$3,0)),0)</f>
        <v>0</v>
      </c>
      <c r="Y183">
        <f>IFERROR(INDEX(UWS!$G$10:$Z$41,MATCH($C183,UWS!$B$10:$B$41,0),MATCH(Y$4,UWS!$G$3:$Z$3,0)),0)</f>
        <v>0</v>
      </c>
      <c r="Z183">
        <f>IFERROR(INDEX(UWS!$G$10:$Z$41,MATCH($C183,UWS!$B$10:$B$41,0),MATCH(Z$4,UWS!$G$3:$Z$3,0)),0)</f>
        <v>0</v>
      </c>
      <c r="AA183">
        <f>IFERROR(INDEX(UWS!$G$10:$Z$41,MATCH($C183,UWS!$B$10:$B$41,0),MATCH(AA$4,UWS!$G$3:$Z$3,0)),0)</f>
        <v>0</v>
      </c>
      <c r="AB183">
        <f>IFERROR(INDEX(UWS!$G$10:$Z$41,MATCH($C183,UWS!$B$10:$B$41,0),MATCH(AB$4,UWS!$G$3:$Z$3,0)),0)</f>
        <v>0</v>
      </c>
      <c r="AC183">
        <f>IFERROR(INDEX(UWS!$G$10:$Z$41,MATCH($C183,UWS!$B$10:$B$41,0),MATCH(AC$4,UWS!$G$3:$Z$3,0)),0)</f>
        <v>0</v>
      </c>
      <c r="AD183">
        <f>IFERROR(INDEX(UWS!$G$10:$Z$41,MATCH($C183,UWS!$B$10:$B$41,0),MATCH(AD$4,UWS!$G$3:$Z$3,0)),0)</f>
        <v>0</v>
      </c>
      <c r="AE183">
        <f>IFERROR(INDEX(UWS!$G$10:$Z$41,MATCH($C183,UWS!$B$10:$B$41,0),MATCH(AE$4,UWS!$G$3:$Z$3,0)),0)</f>
        <v>0</v>
      </c>
      <c r="AF183">
        <f>IFERROR(INDEX(UWS!$G$10:$Z$41,MATCH($C183,UWS!$B$10:$B$41,0),MATCH(AF$4,UWS!$G$3:$Z$3,0)),0)</f>
        <v>0</v>
      </c>
      <c r="AG183">
        <f>IFERROR(INDEX(UWS!$G$10:$Z$41,MATCH($C183,UWS!$B$10:$B$41,0),MATCH(AG$4,UWS!$G$3:$Z$3,0)),0)</f>
        <v>0</v>
      </c>
      <c r="AH183">
        <f>IFERROR(INDEX(UWS!$G$10:$Z$41,MATCH($C183,UWS!$B$10:$B$41,0),MATCH(AH$4,UWS!$G$3:$Z$3,0)),0)</f>
        <v>0</v>
      </c>
      <c r="AI183">
        <f>IFERROR(INDEX(UWS!$G$10:$Z$41,MATCH($C183,UWS!$B$10:$B$41,0),MATCH(AI$4,UWS!$G$3:$Z$3,0)),0)</f>
        <v>0</v>
      </c>
      <c r="AK183" t="e">
        <f>IF(OR($J183=0,COUNTIFS($A$4:$A182,"&gt;="&amp;$A183-1,$A$4:$A182,"&lt;="&amp;$A183,$B$4:$B182,$B183)&gt;0,MIN(AK$1,IF($A183=$A182,AK182,1))-P183&lt;0),-1,MIN(1,IF($A183=$A182,AK182,1)-P183+$D$3))</f>
        <v>#N/A</v>
      </c>
      <c r="AL183" t="e">
        <f>IF(OR($J183=0,COUNTIFS($A$4:$A182,"&gt;="&amp;$A183-1,$A$4:$A182,"&lt;="&amp;$A183,$B$4:$B182,$B183)&gt;0,MIN(AL$1,IF($A183=$A182,AL182,1))-Q183&lt;0),-1,MIN(1,IF($A183=$A182,AL182,1)-Q183+$D$3))</f>
        <v>#N/A</v>
      </c>
      <c r="AM183" t="e">
        <f>IF(OR($J183=0,COUNTIFS($A$4:$A182,"&gt;="&amp;$A183-1,$A$4:$A182,"&lt;="&amp;$A183,$B$4:$B182,$B183)&gt;0,MIN(AM$1,IF($A183=$A182,AM182,1))-R183&lt;0),-1,MIN(1,IF($A183=$A182,AM182,1)-R183+$D$3))</f>
        <v>#N/A</v>
      </c>
      <c r="AN183" t="e">
        <f>IF(OR($J183=0,COUNTIFS($A$4:$A182,"&gt;="&amp;$A183-1,$A$4:$A182,"&lt;="&amp;$A183,$B$4:$B182,$B183)&gt;0,MIN(AN$1,IF($A183=$A182,AN182,1))-S183&lt;0),-1,MIN(1,IF($A183=$A182,AN182,1)-S183+$D$3))</f>
        <v>#N/A</v>
      </c>
      <c r="AO183" t="e">
        <f>IF(OR($J183=0,COUNTIFS($A$4:$A182,"&gt;="&amp;$A183-1,$A$4:$A182,"&lt;="&amp;$A183,$B$4:$B182,$B183)&gt;0,MIN(AO$1,IF($A183=$A182,AO182,1))-T183&lt;0),-1,MIN(1,IF($A183=$A182,AO182,1)-T183+$D$3))</f>
        <v>#N/A</v>
      </c>
      <c r="AP183" t="e">
        <f>IF(OR($J183=0,COUNTIFS($A$4:$A182,"&gt;="&amp;$A183-1,$A$4:$A182,"&lt;="&amp;$A183,$B$4:$B182,$B183)&gt;0,MIN(AP$1,IF($A183=$A182,AP182,1))-U183&lt;0),-1,MIN(1,IF($A183=$A182,AP182,1)-U183+$D$3))</f>
        <v>#N/A</v>
      </c>
      <c r="AQ183" t="e">
        <f>IF(OR($J183=0,COUNTIFS($A$4:$A182,"&gt;="&amp;$A183-1,$A$4:$A182,"&lt;="&amp;$A183,$B$4:$B182,$B183)&gt;0,MIN(AQ$1,IF($A183=$A182,AQ182,1))-V183&lt;0),-1,MIN(1,IF($A183=$A182,AQ182,1)-V183+$D$3))</f>
        <v>#N/A</v>
      </c>
      <c r="AR183" t="e">
        <f>IF(OR($J183=0,COUNTIFS($A$4:$A182,"&gt;="&amp;$A183-1,$A$4:$A182,"&lt;="&amp;$A183,$B$4:$B182,$B183)&gt;0,MIN(AR$1,IF($A183=$A182,AR182,1))-W183&lt;0),-1,MIN(1,IF($A183=$A182,AR182,1)-W183+$D$3))</f>
        <v>#N/A</v>
      </c>
      <c r="AS183" t="e">
        <f>IF(OR($J183=0,COUNTIFS($A$4:$A182,"&gt;="&amp;$A183-1,$A$4:$A182,"&lt;="&amp;$A183,$B$4:$B182,$B183)&gt;0,MIN(AS$1,IF($A183=$A182,AS182,1))-X183&lt;0),-1,MIN(1,IF($A183=$A182,AS182,1)-X183+$D$3))</f>
        <v>#N/A</v>
      </c>
      <c r="AT183" t="e">
        <f>IF(OR($J183=0,COUNTIFS($A$4:$A182,"&gt;="&amp;$A183-1,$A$4:$A182,"&lt;="&amp;$A183,$B$4:$B182,$B183)&gt;0,MIN(AT$1,IF($A183=$A182,AT182,1))-Y183&lt;0),-1,MIN(1,IF($A183=$A182,AT182,1)-Y183+$D$3))</f>
        <v>#N/A</v>
      </c>
      <c r="AU183" t="e">
        <f>IF(OR($J183=0,COUNTIFS($A$4:$A182,"&gt;="&amp;$A183-1,$A$4:$A182,"&lt;="&amp;$A183,$B$4:$B182,$B183)&gt;0,MIN(AU$1,IF($A183=$A182,AU182,1))-Z183&lt;0),-1,MIN(1,IF($A183=$A182,AU182,1)-Z183+$D$3))</f>
        <v>#N/A</v>
      </c>
      <c r="AV183" t="e">
        <f>IF(OR($J183=0,COUNTIFS($A$4:$A182,"&gt;="&amp;$A183-1,$A$4:$A182,"&lt;="&amp;$A183,$B$4:$B182,$B183)&gt;0,MIN(AV$1,IF($A183=$A182,AV182,1))-AA183&lt;0),-1,MIN(1,IF($A183=$A182,AV182,1)-AA183+$D$3))</f>
        <v>#N/A</v>
      </c>
      <c r="AW183" t="e">
        <f>IF(OR($J183=0,COUNTIFS($A$4:$A182,"&gt;="&amp;$A183-1,$A$4:$A182,"&lt;="&amp;$A183,$B$4:$B182,$B183)&gt;0,MIN(AW$1,IF($A183=$A182,AW182,1))-AB183&lt;0),-1,MIN(1,IF($A183=$A182,AW182,1)-AB183+$D$3))</f>
        <v>#N/A</v>
      </c>
      <c r="AX183" t="e">
        <f>IF(OR($J183=0,COUNTIFS($A$4:$A182,"&gt;="&amp;$A183-1,$A$4:$A182,"&lt;="&amp;$A183,$B$4:$B182,$B183)&gt;0,MIN(AX$1,IF($A183=$A182,AX182,1))-AC183&lt;0),-1,MIN(1,IF($A183=$A182,AX182,1)-AC183+$D$3))</f>
        <v>#N/A</v>
      </c>
      <c r="AY183" t="e">
        <f>IF(OR($J183=0,COUNTIFS($A$4:$A182,"&gt;="&amp;$A183-1,$A$4:$A182,"&lt;="&amp;$A183,$B$4:$B182,$B183)&gt;0,MIN(AY$1,IF($A183=$A182,AY182,1))-AD183&lt;0),-1,MIN(1,IF($A183=$A182,AY182,1)-AD183+$D$3))</f>
        <v>#N/A</v>
      </c>
      <c r="AZ183" t="e">
        <f>IF(OR($J183=0,COUNTIFS($A$4:$A182,"&gt;="&amp;$A183-1,$A$4:$A182,"&lt;="&amp;$A183,$B$4:$B182,$B183)&gt;0,MIN(AZ$1,IF($A183=$A182,AZ182,1))-AE183&lt;0),-1,MIN(1,IF($A183=$A182,AZ182,1)-AE183+$D$3))</f>
        <v>#N/A</v>
      </c>
      <c r="BA183" t="e">
        <f>IF(OR($J183=0,COUNTIFS($A$4:$A182,"&gt;="&amp;$A183-1,$A$4:$A182,"&lt;="&amp;$A183,$B$4:$B182,$B183)&gt;0,MIN(BA$1,IF($A183=$A182,BA182,1))-AF183&lt;0),-1,MIN(1,IF($A183=$A182,BA182,1)-AF183+$D$3))</f>
        <v>#N/A</v>
      </c>
      <c r="BB183" t="e">
        <f>IF(OR($J183=0,COUNTIFS($A$4:$A182,"&gt;="&amp;$A183-1,$A$4:$A182,"&lt;="&amp;$A183,$B$4:$B182,$B183)&gt;0,MIN(BB$1,IF($A183=$A182,BB182,1))-AG183&lt;0),-1,MIN(1,IF($A183=$A182,BB182,1)-AG183+$D$3))</f>
        <v>#N/A</v>
      </c>
      <c r="BC183" t="e">
        <f>IF(OR($J183=0,COUNTIFS($A$4:$A182,"&gt;="&amp;$A183-1,$A$4:$A182,"&lt;="&amp;$A183,$B$4:$B182,$B183)&gt;0,MIN(BC$1,IF($A183=$A182,BC182,1))-AH183&lt;0),-1,MIN(1,IF($A183=$A182,BC182,1)-AH183+$D$3))</f>
        <v>#N/A</v>
      </c>
      <c r="BD183" t="e">
        <f>IF(OR($J183=0,COUNTIFS($A$4:$A182,"&gt;="&amp;$A183-1,$A$4:$A182,"&lt;="&amp;$A183,$B$4:$B182,$B183)&gt;0,MIN(BD$1,IF($A183=$A182,BD182,1))-AI183&lt;0),-1,MIN(1,IF($A183=$A182,BD182,1)-AI183+$D$3))</f>
        <v>#N/A</v>
      </c>
      <c r="BF183" s="44">
        <f t="shared" si="267"/>
        <v>2.1818819044523621E-4</v>
      </c>
      <c r="BG183" s="44">
        <f t="shared" si="268"/>
        <v>5.365863289236376E-4</v>
      </c>
      <c r="BH183" s="44">
        <f t="shared" si="269"/>
        <v>5.4994454379274664E-4</v>
      </c>
      <c r="BI183" s="44">
        <f t="shared" si="270"/>
        <v>5.0799607280726221E-4</v>
      </c>
      <c r="BJ183" s="44">
        <f t="shared" si="271"/>
        <v>5.2506216834105027E-4</v>
      </c>
      <c r="BK183" s="44">
        <f t="shared" si="272"/>
        <v>2.2548127199687417E-4</v>
      </c>
      <c r="BL183" s="44">
        <f t="shared" si="273"/>
        <v>1.2180853049298798E-4</v>
      </c>
      <c r="BM183" s="44">
        <f t="shared" si="274"/>
        <v>3.0986667737865784E-4</v>
      </c>
      <c r="BN183" s="44">
        <f t="shared" si="275"/>
        <v>3.2228549405140369E-4</v>
      </c>
      <c r="BO183" s="44">
        <f t="shared" si="276"/>
        <v>1.5103521184334698E-4</v>
      </c>
      <c r="BP183" s="44">
        <f t="shared" si="277"/>
        <v>5.0785253472876565E-4</v>
      </c>
      <c r="BQ183" s="44">
        <f t="shared" si="278"/>
        <v>1.3704837641051313E-4</v>
      </c>
      <c r="BR183" s="44">
        <f t="shared" si="279"/>
        <v>4.0487521071303102E-4</v>
      </c>
      <c r="BS183" s="44">
        <f t="shared" si="280"/>
        <v>2.1835457387767504E-4</v>
      </c>
      <c r="BT183" s="44">
        <f t="shared" si="281"/>
        <v>8.6409599120357056E-4</v>
      </c>
      <c r="BU183" s="44">
        <f t="shared" si="282"/>
        <v>8.2547168802097714E-4</v>
      </c>
      <c r="BV183" s="44">
        <f t="shared" si="283"/>
        <v>7.927556990438364E-4</v>
      </c>
      <c r="BW183" s="44">
        <f t="shared" si="284"/>
        <v>5.185058528515415E-4</v>
      </c>
      <c r="BX183" s="44">
        <f t="shared" si="285"/>
        <v>3.8306270840811585E-4</v>
      </c>
      <c r="BY183" s="44">
        <f t="shared" si="286"/>
        <v>3.289033632274264E-4</v>
      </c>
      <c r="CA183" s="44" t="str">
        <f t="shared" si="287"/>
        <v/>
      </c>
      <c r="CB183" s="44" t="str">
        <f t="shared" si="288"/>
        <v/>
      </c>
      <c r="CC183" s="44" t="str">
        <f t="shared" si="289"/>
        <v/>
      </c>
      <c r="CD183" s="44" t="str">
        <f t="shared" si="290"/>
        <v/>
      </c>
      <c r="CE183" s="44" t="str">
        <f t="shared" si="291"/>
        <v/>
      </c>
      <c r="CF183" s="44" t="str">
        <f t="shared" si="292"/>
        <v/>
      </c>
      <c r="CG183" s="44" t="str">
        <f t="shared" si="293"/>
        <v/>
      </c>
      <c r="CH183" s="44" t="str">
        <f t="shared" si="294"/>
        <v/>
      </c>
      <c r="CI183" s="44" t="str">
        <f t="shared" si="295"/>
        <v/>
      </c>
      <c r="CJ183" s="44" t="str">
        <f t="shared" si="296"/>
        <v/>
      </c>
      <c r="CK183" s="44" t="str">
        <f t="shared" si="297"/>
        <v/>
      </c>
      <c r="CL183" s="44" t="str">
        <f t="shared" si="298"/>
        <v/>
      </c>
      <c r="CM183" s="44" t="str">
        <f t="shared" si="299"/>
        <v/>
      </c>
      <c r="CN183" s="44" t="str">
        <f t="shared" si="300"/>
        <v/>
      </c>
      <c r="CO183" s="44" t="str">
        <f t="shared" si="301"/>
        <v/>
      </c>
      <c r="CP183" s="44" t="str">
        <f t="shared" si="302"/>
        <v/>
      </c>
      <c r="CQ183" s="44" t="str">
        <f t="shared" si="303"/>
        <v/>
      </c>
      <c r="CR183" s="44" t="str">
        <f t="shared" si="304"/>
        <v/>
      </c>
      <c r="CS183" s="44" t="str">
        <f t="shared" si="305"/>
        <v/>
      </c>
      <c r="CT183" s="44" t="str">
        <f t="shared" si="306"/>
        <v/>
      </c>
      <c r="CV183" s="44">
        <f t="shared" si="307"/>
        <v>0</v>
      </c>
    </row>
    <row r="184" spans="1:100" x14ac:dyDescent="0.25">
      <c r="A184" s="41"/>
      <c r="B184" s="42"/>
      <c r="C184" s="43" t="str" cm="1">
        <f t="array" ref="C184">IF(B184="","",INDEX(UWS!$B$10:$B$41,B184))</f>
        <v/>
      </c>
      <c r="D184" s="40" t="str">
        <f t="shared" si="264"/>
        <v/>
      </c>
      <c r="E184" s="69" t="str">
        <f t="shared" si="265"/>
        <v/>
      </c>
      <c r="F184" s="48" cm="1">
        <f t="array" ref="F184">0.1+IFERROR(INDEX($F$5:$F183,SUMPRODUCT(MAX(ROW($C$5:$C183)*($C184=$C$5:$C183))-ROW($A$4)))*0.9^($A184-INDEX($A$5:A183,SUMPRODUCT(MAX(ROW($C$5:$C183)*($C184=$C$5:$C183))-ROW($A$4)))),0)</f>
        <v>11.899999999999974</v>
      </c>
      <c r="G184" s="55" t="e">
        <f>INDEX(UWS!$AB$10:$AB$41,MATCH(C184,UWS!$B$10:$B$41,0))</f>
        <v>#N/A</v>
      </c>
      <c r="H184" s="48" t="e">
        <f>INDEX(UWS!$C$10:$C$41,MATCH(C184,UWS!$B$10:$B$41,0))</f>
        <v>#N/A</v>
      </c>
      <c r="I184" s="27">
        <f t="shared" si="266"/>
        <v>5</v>
      </c>
      <c r="J184" s="27" t="e">
        <f>INDEX(UWS!$E$10:$E$41,MATCH(C184,UWS!$B$10:$B$41,0))</f>
        <v>#N/A</v>
      </c>
      <c r="L184" s="108" t="str" cm="1">
        <f t="array" ref="L184">IF(K184="","",INDEX(UWS!$B$10:$B$41,K184))</f>
        <v/>
      </c>
      <c r="N184" s="108" t="str" cm="1">
        <f t="array" ref="N184">IF(M184="","",INDEX(UWS!$B$10:$B$41,M184))</f>
        <v/>
      </c>
      <c r="P184">
        <f>IFERROR(INDEX(UWS!$G$10:$Z$41,MATCH($C184,UWS!$B$10:$B$41,0),MATCH(P$4,UWS!$G$3:$Z$3,0)),0)</f>
        <v>0</v>
      </c>
      <c r="Q184">
        <f>IFERROR(INDEX(UWS!$G$10:$Z$41,MATCH($C184,UWS!$B$10:$B$41,0),MATCH(Q$4,UWS!$G$3:$Z$3,0)),0)</f>
        <v>0</v>
      </c>
      <c r="R184">
        <f>IFERROR(INDEX(UWS!$G$10:$Z$41,MATCH($C184,UWS!$B$10:$B$41,0),MATCH(R$4,UWS!$G$3:$Z$3,0)),0)</f>
        <v>0</v>
      </c>
      <c r="S184">
        <f>IFERROR(INDEX(UWS!$G$10:$Z$41,MATCH($C184,UWS!$B$10:$B$41,0),MATCH(S$4,UWS!$G$3:$Z$3,0)),0)</f>
        <v>0</v>
      </c>
      <c r="T184">
        <f>IFERROR(INDEX(UWS!$G$10:$Z$41,MATCH($C184,UWS!$B$10:$B$41,0),MATCH(T$4,UWS!$G$3:$Z$3,0)),0)</f>
        <v>0</v>
      </c>
      <c r="U184">
        <f>IFERROR(INDEX(UWS!$G$10:$Z$41,MATCH($C184,UWS!$B$10:$B$41,0),MATCH(U$4,UWS!$G$3:$Z$3,0)),0)</f>
        <v>0</v>
      </c>
      <c r="V184">
        <f>IFERROR(INDEX(UWS!$G$10:$Z$41,MATCH($C184,UWS!$B$10:$B$41,0),MATCH(V$4,UWS!$G$3:$Z$3,0)),0)</f>
        <v>0</v>
      </c>
      <c r="W184">
        <f>IFERROR(INDEX(UWS!$G$10:$Z$41,MATCH($C184,UWS!$B$10:$B$41,0),MATCH(W$4,UWS!$G$3:$Z$3,0)),0)</f>
        <v>0</v>
      </c>
      <c r="X184">
        <f>IFERROR(INDEX(UWS!$G$10:$Z$41,MATCH($C184,UWS!$B$10:$B$41,0),MATCH(X$4,UWS!$G$3:$Z$3,0)),0)</f>
        <v>0</v>
      </c>
      <c r="Y184">
        <f>IFERROR(INDEX(UWS!$G$10:$Z$41,MATCH($C184,UWS!$B$10:$B$41,0),MATCH(Y$4,UWS!$G$3:$Z$3,0)),0)</f>
        <v>0</v>
      </c>
      <c r="Z184">
        <f>IFERROR(INDEX(UWS!$G$10:$Z$41,MATCH($C184,UWS!$B$10:$B$41,0),MATCH(Z$4,UWS!$G$3:$Z$3,0)),0)</f>
        <v>0</v>
      </c>
      <c r="AA184">
        <f>IFERROR(INDEX(UWS!$G$10:$Z$41,MATCH($C184,UWS!$B$10:$B$41,0),MATCH(AA$4,UWS!$G$3:$Z$3,0)),0)</f>
        <v>0</v>
      </c>
      <c r="AB184">
        <f>IFERROR(INDEX(UWS!$G$10:$Z$41,MATCH($C184,UWS!$B$10:$B$41,0),MATCH(AB$4,UWS!$G$3:$Z$3,0)),0)</f>
        <v>0</v>
      </c>
      <c r="AC184">
        <f>IFERROR(INDEX(UWS!$G$10:$Z$41,MATCH($C184,UWS!$B$10:$B$41,0),MATCH(AC$4,UWS!$G$3:$Z$3,0)),0)</f>
        <v>0</v>
      </c>
      <c r="AD184">
        <f>IFERROR(INDEX(UWS!$G$10:$Z$41,MATCH($C184,UWS!$B$10:$B$41,0),MATCH(AD$4,UWS!$G$3:$Z$3,0)),0)</f>
        <v>0</v>
      </c>
      <c r="AE184">
        <f>IFERROR(INDEX(UWS!$G$10:$Z$41,MATCH($C184,UWS!$B$10:$B$41,0),MATCH(AE$4,UWS!$G$3:$Z$3,0)),0)</f>
        <v>0</v>
      </c>
      <c r="AF184">
        <f>IFERROR(INDEX(UWS!$G$10:$Z$41,MATCH($C184,UWS!$B$10:$B$41,0),MATCH(AF$4,UWS!$G$3:$Z$3,0)),0)</f>
        <v>0</v>
      </c>
      <c r="AG184">
        <f>IFERROR(INDEX(UWS!$G$10:$Z$41,MATCH($C184,UWS!$B$10:$B$41,0),MATCH(AG$4,UWS!$G$3:$Z$3,0)),0)</f>
        <v>0</v>
      </c>
      <c r="AH184">
        <f>IFERROR(INDEX(UWS!$G$10:$Z$41,MATCH($C184,UWS!$B$10:$B$41,0),MATCH(AH$4,UWS!$G$3:$Z$3,0)),0)</f>
        <v>0</v>
      </c>
      <c r="AI184">
        <f>IFERROR(INDEX(UWS!$G$10:$Z$41,MATCH($C184,UWS!$B$10:$B$41,0),MATCH(AI$4,UWS!$G$3:$Z$3,0)),0)</f>
        <v>0</v>
      </c>
      <c r="AK184" t="e">
        <f>IF(OR($J184=0,COUNTIFS($A$4:$A183,"&gt;="&amp;$A184-1,$A$4:$A183,"&lt;="&amp;$A184,$B$4:$B183,$B184)&gt;0,MIN(AK$1,IF($A184=$A183,AK183,1))-P184&lt;0),-1,MIN(1,IF($A184=$A183,AK183,1)-P184+$D$3))</f>
        <v>#N/A</v>
      </c>
      <c r="AL184" t="e">
        <f>IF(OR($J184=0,COUNTIFS($A$4:$A183,"&gt;="&amp;$A184-1,$A$4:$A183,"&lt;="&amp;$A184,$B$4:$B183,$B184)&gt;0,MIN(AL$1,IF($A184=$A183,AL183,1))-Q184&lt;0),-1,MIN(1,IF($A184=$A183,AL183,1)-Q184+$D$3))</f>
        <v>#N/A</v>
      </c>
      <c r="AM184" t="e">
        <f>IF(OR($J184=0,COUNTIFS($A$4:$A183,"&gt;="&amp;$A184-1,$A$4:$A183,"&lt;="&amp;$A184,$B$4:$B183,$B184)&gt;0,MIN(AM$1,IF($A184=$A183,AM183,1))-R184&lt;0),-1,MIN(1,IF($A184=$A183,AM183,1)-R184+$D$3))</f>
        <v>#N/A</v>
      </c>
      <c r="AN184" t="e">
        <f>IF(OR($J184=0,COUNTIFS($A$4:$A183,"&gt;="&amp;$A184-1,$A$4:$A183,"&lt;="&amp;$A184,$B$4:$B183,$B184)&gt;0,MIN(AN$1,IF($A184=$A183,AN183,1))-S184&lt;0),-1,MIN(1,IF($A184=$A183,AN183,1)-S184+$D$3))</f>
        <v>#N/A</v>
      </c>
      <c r="AO184" t="e">
        <f>IF(OR($J184=0,COUNTIFS($A$4:$A183,"&gt;="&amp;$A184-1,$A$4:$A183,"&lt;="&amp;$A184,$B$4:$B183,$B184)&gt;0,MIN(AO$1,IF($A184=$A183,AO183,1))-T184&lt;0),-1,MIN(1,IF($A184=$A183,AO183,1)-T184+$D$3))</f>
        <v>#N/A</v>
      </c>
      <c r="AP184" t="e">
        <f>IF(OR($J184=0,COUNTIFS($A$4:$A183,"&gt;="&amp;$A184-1,$A$4:$A183,"&lt;="&amp;$A184,$B$4:$B183,$B184)&gt;0,MIN(AP$1,IF($A184=$A183,AP183,1))-U184&lt;0),-1,MIN(1,IF($A184=$A183,AP183,1)-U184+$D$3))</f>
        <v>#N/A</v>
      </c>
      <c r="AQ184" t="e">
        <f>IF(OR($J184=0,COUNTIFS($A$4:$A183,"&gt;="&amp;$A184-1,$A$4:$A183,"&lt;="&amp;$A184,$B$4:$B183,$B184)&gt;0,MIN(AQ$1,IF($A184=$A183,AQ183,1))-V184&lt;0),-1,MIN(1,IF($A184=$A183,AQ183,1)-V184+$D$3))</f>
        <v>#N/A</v>
      </c>
      <c r="AR184" t="e">
        <f>IF(OR($J184=0,COUNTIFS($A$4:$A183,"&gt;="&amp;$A184-1,$A$4:$A183,"&lt;="&amp;$A184,$B$4:$B183,$B184)&gt;0,MIN(AR$1,IF($A184=$A183,AR183,1))-W184&lt;0),-1,MIN(1,IF($A184=$A183,AR183,1)-W184+$D$3))</f>
        <v>#N/A</v>
      </c>
      <c r="AS184" t="e">
        <f>IF(OR($J184=0,COUNTIFS($A$4:$A183,"&gt;="&amp;$A184-1,$A$4:$A183,"&lt;="&amp;$A184,$B$4:$B183,$B184)&gt;0,MIN(AS$1,IF($A184=$A183,AS183,1))-X184&lt;0),-1,MIN(1,IF($A184=$A183,AS183,1)-X184+$D$3))</f>
        <v>#N/A</v>
      </c>
      <c r="AT184" t="e">
        <f>IF(OR($J184=0,COUNTIFS($A$4:$A183,"&gt;="&amp;$A184-1,$A$4:$A183,"&lt;="&amp;$A184,$B$4:$B183,$B184)&gt;0,MIN(AT$1,IF($A184=$A183,AT183,1))-Y184&lt;0),-1,MIN(1,IF($A184=$A183,AT183,1)-Y184+$D$3))</f>
        <v>#N/A</v>
      </c>
      <c r="AU184" t="e">
        <f>IF(OR($J184=0,COUNTIFS($A$4:$A183,"&gt;="&amp;$A184-1,$A$4:$A183,"&lt;="&amp;$A184,$B$4:$B183,$B184)&gt;0,MIN(AU$1,IF($A184=$A183,AU183,1))-Z184&lt;0),-1,MIN(1,IF($A184=$A183,AU183,1)-Z184+$D$3))</f>
        <v>#N/A</v>
      </c>
      <c r="AV184" t="e">
        <f>IF(OR($J184=0,COUNTIFS($A$4:$A183,"&gt;="&amp;$A184-1,$A$4:$A183,"&lt;="&amp;$A184,$B$4:$B183,$B184)&gt;0,MIN(AV$1,IF($A184=$A183,AV183,1))-AA184&lt;0),-1,MIN(1,IF($A184=$A183,AV183,1)-AA184+$D$3))</f>
        <v>#N/A</v>
      </c>
      <c r="AW184" t="e">
        <f>IF(OR($J184=0,COUNTIFS($A$4:$A183,"&gt;="&amp;$A184-1,$A$4:$A183,"&lt;="&amp;$A184,$B$4:$B183,$B184)&gt;0,MIN(AW$1,IF($A184=$A183,AW183,1))-AB184&lt;0),-1,MIN(1,IF($A184=$A183,AW183,1)-AB184+$D$3))</f>
        <v>#N/A</v>
      </c>
      <c r="AX184" t="e">
        <f>IF(OR($J184=0,COUNTIFS($A$4:$A183,"&gt;="&amp;$A184-1,$A$4:$A183,"&lt;="&amp;$A184,$B$4:$B183,$B184)&gt;0,MIN(AX$1,IF($A184=$A183,AX183,1))-AC184&lt;0),-1,MIN(1,IF($A184=$A183,AX183,1)-AC184+$D$3))</f>
        <v>#N/A</v>
      </c>
      <c r="AY184" t="e">
        <f>IF(OR($J184=0,COUNTIFS($A$4:$A183,"&gt;="&amp;$A184-1,$A$4:$A183,"&lt;="&amp;$A184,$B$4:$B183,$B184)&gt;0,MIN(AY$1,IF($A184=$A183,AY183,1))-AD184&lt;0),-1,MIN(1,IF($A184=$A183,AY183,1)-AD184+$D$3))</f>
        <v>#N/A</v>
      </c>
      <c r="AZ184" t="e">
        <f>IF(OR($J184=0,COUNTIFS($A$4:$A183,"&gt;="&amp;$A184-1,$A$4:$A183,"&lt;="&amp;$A184,$B$4:$B183,$B184)&gt;0,MIN(AZ$1,IF($A184=$A183,AZ183,1))-AE184&lt;0),-1,MIN(1,IF($A184=$A183,AZ183,1)-AE184+$D$3))</f>
        <v>#N/A</v>
      </c>
      <c r="BA184" t="e">
        <f>IF(OR($J184=0,COUNTIFS($A$4:$A183,"&gt;="&amp;$A184-1,$A$4:$A183,"&lt;="&amp;$A184,$B$4:$B183,$B184)&gt;0,MIN(BA$1,IF($A184=$A183,BA183,1))-AF184&lt;0),-1,MIN(1,IF($A184=$A183,BA183,1)-AF184+$D$3))</f>
        <v>#N/A</v>
      </c>
      <c r="BB184" t="e">
        <f>IF(OR($J184=0,COUNTIFS($A$4:$A183,"&gt;="&amp;$A184-1,$A$4:$A183,"&lt;="&amp;$A184,$B$4:$B183,$B184)&gt;0,MIN(BB$1,IF($A184=$A183,BB183,1))-AG184&lt;0),-1,MIN(1,IF($A184=$A183,BB183,1)-AG184+$D$3))</f>
        <v>#N/A</v>
      </c>
      <c r="BC184" t="e">
        <f>IF(OR($J184=0,COUNTIFS($A$4:$A183,"&gt;="&amp;$A184-1,$A$4:$A183,"&lt;="&amp;$A184,$B$4:$B183,$B184)&gt;0,MIN(BC$1,IF($A184=$A183,BC183,1))-AH184&lt;0),-1,MIN(1,IF($A184=$A183,BC183,1)-AH184+$D$3))</f>
        <v>#N/A</v>
      </c>
      <c r="BD184" t="e">
        <f>IF(OR($J184=0,COUNTIFS($A$4:$A183,"&gt;="&amp;$A184-1,$A$4:$A183,"&lt;="&amp;$A184,$B$4:$B183,$B184)&gt;0,MIN(BD$1,IF($A184=$A183,BD183,1))-AI184&lt;0),-1,MIN(1,IF($A184=$A183,BD183,1)-AI184+$D$3))</f>
        <v>#N/A</v>
      </c>
      <c r="BF184" s="44">
        <f t="shared" si="267"/>
        <v>2.0727878092297437E-4</v>
      </c>
      <c r="BG184" s="44">
        <f t="shared" si="268"/>
        <v>5.0975701247745571E-4</v>
      </c>
      <c r="BH184" s="44">
        <f t="shared" si="269"/>
        <v>5.2244731660310928E-4</v>
      </c>
      <c r="BI184" s="44">
        <f t="shared" si="270"/>
        <v>4.8259626916689907E-4</v>
      </c>
      <c r="BJ184" s="44">
        <f t="shared" si="271"/>
        <v>4.9880905992399774E-4</v>
      </c>
      <c r="BK184" s="44">
        <f t="shared" si="272"/>
        <v>2.1420720839703046E-4</v>
      </c>
      <c r="BL184" s="44">
        <f t="shared" si="273"/>
        <v>1.1571810396833858E-4</v>
      </c>
      <c r="BM184" s="44">
        <f t="shared" si="274"/>
        <v>2.9437334350972491E-4</v>
      </c>
      <c r="BN184" s="44">
        <f t="shared" si="275"/>
        <v>3.0617121934883347E-4</v>
      </c>
      <c r="BO184" s="44">
        <f t="shared" si="276"/>
        <v>1.4348345125117962E-4</v>
      </c>
      <c r="BP184" s="44">
        <f t="shared" si="277"/>
        <v>4.8245990799232735E-4</v>
      </c>
      <c r="BQ184" s="44">
        <f t="shared" si="278"/>
        <v>1.3019595758998747E-4</v>
      </c>
      <c r="BR184" s="44">
        <f t="shared" si="279"/>
        <v>3.8463145017737945E-4</v>
      </c>
      <c r="BS184" s="44">
        <f t="shared" si="280"/>
        <v>2.0743684518379128E-4</v>
      </c>
      <c r="BT184" s="44">
        <f t="shared" si="281"/>
        <v>8.2089119164339194E-4</v>
      </c>
      <c r="BU184" s="44">
        <f t="shared" si="282"/>
        <v>7.8419810361992823E-4</v>
      </c>
      <c r="BV184" s="44">
        <f t="shared" si="283"/>
        <v>7.5311791409164459E-4</v>
      </c>
      <c r="BW184" s="44">
        <f t="shared" si="284"/>
        <v>4.9258056020896445E-4</v>
      </c>
      <c r="BX184" s="44">
        <f t="shared" si="285"/>
        <v>3.6390957298771006E-4</v>
      </c>
      <c r="BY184" s="44">
        <f t="shared" si="286"/>
        <v>3.1245819506605505E-4</v>
      </c>
      <c r="CA184" s="44" t="str">
        <f t="shared" si="287"/>
        <v/>
      </c>
      <c r="CB184" s="44" t="str">
        <f t="shared" si="288"/>
        <v/>
      </c>
      <c r="CC184" s="44" t="str">
        <f t="shared" si="289"/>
        <v/>
      </c>
      <c r="CD184" s="44" t="str">
        <f t="shared" si="290"/>
        <v/>
      </c>
      <c r="CE184" s="44" t="str">
        <f t="shared" si="291"/>
        <v/>
      </c>
      <c r="CF184" s="44" t="str">
        <f t="shared" si="292"/>
        <v/>
      </c>
      <c r="CG184" s="44" t="str">
        <f t="shared" si="293"/>
        <v/>
      </c>
      <c r="CH184" s="44" t="str">
        <f t="shared" si="294"/>
        <v/>
      </c>
      <c r="CI184" s="44" t="str">
        <f t="shared" si="295"/>
        <v/>
      </c>
      <c r="CJ184" s="44" t="str">
        <f t="shared" si="296"/>
        <v/>
      </c>
      <c r="CK184" s="44" t="str">
        <f t="shared" si="297"/>
        <v/>
      </c>
      <c r="CL184" s="44" t="str">
        <f t="shared" si="298"/>
        <v/>
      </c>
      <c r="CM184" s="44" t="str">
        <f t="shared" si="299"/>
        <v/>
      </c>
      <c r="CN184" s="44" t="str">
        <f t="shared" si="300"/>
        <v/>
      </c>
      <c r="CO184" s="44" t="str">
        <f t="shared" si="301"/>
        <v/>
      </c>
      <c r="CP184" s="44" t="str">
        <f t="shared" si="302"/>
        <v/>
      </c>
      <c r="CQ184" s="44" t="str">
        <f t="shared" si="303"/>
        <v/>
      </c>
      <c r="CR184" s="44" t="str">
        <f t="shared" si="304"/>
        <v/>
      </c>
      <c r="CS184" s="44" t="str">
        <f t="shared" si="305"/>
        <v/>
      </c>
      <c r="CT184" s="44" t="str">
        <f t="shared" si="306"/>
        <v/>
      </c>
      <c r="CV184" s="44">
        <f t="shared" si="307"/>
        <v>0</v>
      </c>
    </row>
    <row r="185" spans="1:100" x14ac:dyDescent="0.25">
      <c r="A185" s="49"/>
      <c r="B185" s="50"/>
      <c r="C185" s="51" t="str" cm="1">
        <f t="array" ref="C185">IF(B185="","",INDEX(UWS!$B$10:$B$41,B185))</f>
        <v/>
      </c>
      <c r="D185" s="45" t="str">
        <f t="shared" si="264"/>
        <v/>
      </c>
      <c r="E185" s="70" t="str">
        <f t="shared" si="265"/>
        <v/>
      </c>
      <c r="F185" s="52" cm="1">
        <f t="array" ref="F185">0.1+IFERROR(INDEX($F$5:$F184,SUMPRODUCT(MAX(ROW($C$5:$C184)*($C185=$C$5:$C184))-ROW($A$4)))*0.9^($A185-INDEX($A$5:A184,SUMPRODUCT(MAX(ROW($C$5:$C184)*($C185=$C$5:$C184))-ROW($A$4)))),0)</f>
        <v>11.999999999999973</v>
      </c>
      <c r="G185" s="56" t="e">
        <f>INDEX(UWS!$AB$10:$AB$41,MATCH(C185,UWS!$B$10:$B$41,0))</f>
        <v>#N/A</v>
      </c>
      <c r="H185" s="52" t="e">
        <f>INDEX(UWS!$C$10:$C$41,MATCH(C185,UWS!$B$10:$B$41,0))</f>
        <v>#N/A</v>
      </c>
      <c r="I185" s="46">
        <f t="shared" si="266"/>
        <v>5</v>
      </c>
      <c r="J185" s="46" t="e">
        <f>INDEX(UWS!$E$10:$E$41,MATCH(C185,UWS!$B$10:$B$41,0))</f>
        <v>#N/A</v>
      </c>
      <c r="K185" s="46"/>
      <c r="L185" s="109" t="str" cm="1">
        <f t="array" ref="L185">IF(K185="","",INDEX(UWS!$B$10:$B$41,K185))</f>
        <v/>
      </c>
      <c r="M185" s="46"/>
      <c r="N185" s="109" t="str" cm="1">
        <f t="array" ref="N185">IF(M185="","",INDEX(UWS!$B$10:$B$41,M185))</f>
        <v/>
      </c>
      <c r="O185" s="47"/>
      <c r="P185" s="47">
        <f>IFERROR(INDEX(UWS!$G$10:$Z$41,MATCH($C185,UWS!$B$10:$B$41,0),MATCH(P$4,UWS!$G$3:$Z$3,0)),0)</f>
        <v>0</v>
      </c>
      <c r="Q185" s="47">
        <f>IFERROR(INDEX(UWS!$G$10:$Z$41,MATCH($C185,UWS!$B$10:$B$41,0),MATCH(Q$4,UWS!$G$3:$Z$3,0)),0)</f>
        <v>0</v>
      </c>
      <c r="R185" s="47">
        <f>IFERROR(INDEX(UWS!$G$10:$Z$41,MATCH($C185,UWS!$B$10:$B$41,0),MATCH(R$4,UWS!$G$3:$Z$3,0)),0)</f>
        <v>0</v>
      </c>
      <c r="S185" s="47">
        <f>IFERROR(INDEX(UWS!$G$10:$Z$41,MATCH($C185,UWS!$B$10:$B$41,0),MATCH(S$4,UWS!$G$3:$Z$3,0)),0)</f>
        <v>0</v>
      </c>
      <c r="T185" s="47">
        <f>IFERROR(INDEX(UWS!$G$10:$Z$41,MATCH($C185,UWS!$B$10:$B$41,0),MATCH(T$4,UWS!$G$3:$Z$3,0)),0)</f>
        <v>0</v>
      </c>
      <c r="U185" s="47">
        <f>IFERROR(INDEX(UWS!$G$10:$Z$41,MATCH($C185,UWS!$B$10:$B$41,0),MATCH(U$4,UWS!$G$3:$Z$3,0)),0)</f>
        <v>0</v>
      </c>
      <c r="V185" s="47">
        <f>IFERROR(INDEX(UWS!$G$10:$Z$41,MATCH($C185,UWS!$B$10:$B$41,0),MATCH(V$4,UWS!$G$3:$Z$3,0)),0)</f>
        <v>0</v>
      </c>
      <c r="W185" s="47">
        <f>IFERROR(INDEX(UWS!$G$10:$Z$41,MATCH($C185,UWS!$B$10:$B$41,0),MATCH(W$4,UWS!$G$3:$Z$3,0)),0)</f>
        <v>0</v>
      </c>
      <c r="X185" s="47">
        <f>IFERROR(INDEX(UWS!$G$10:$Z$41,MATCH($C185,UWS!$B$10:$B$41,0),MATCH(X$4,UWS!$G$3:$Z$3,0)),0)</f>
        <v>0</v>
      </c>
      <c r="Y185" s="47">
        <f>IFERROR(INDEX(UWS!$G$10:$Z$41,MATCH($C185,UWS!$B$10:$B$41,0),MATCH(Y$4,UWS!$G$3:$Z$3,0)),0)</f>
        <v>0</v>
      </c>
      <c r="Z185" s="47">
        <f>IFERROR(INDEX(UWS!$G$10:$Z$41,MATCH($C185,UWS!$B$10:$B$41,0),MATCH(Z$4,UWS!$G$3:$Z$3,0)),0)</f>
        <v>0</v>
      </c>
      <c r="AA185" s="47">
        <f>IFERROR(INDEX(UWS!$G$10:$Z$41,MATCH($C185,UWS!$B$10:$B$41,0),MATCH(AA$4,UWS!$G$3:$Z$3,0)),0)</f>
        <v>0</v>
      </c>
      <c r="AB185" s="47">
        <f>IFERROR(INDEX(UWS!$G$10:$Z$41,MATCH($C185,UWS!$B$10:$B$41,0),MATCH(AB$4,UWS!$G$3:$Z$3,0)),0)</f>
        <v>0</v>
      </c>
      <c r="AC185" s="47">
        <f>IFERROR(INDEX(UWS!$G$10:$Z$41,MATCH($C185,UWS!$B$10:$B$41,0),MATCH(AC$4,UWS!$G$3:$Z$3,0)),0)</f>
        <v>0</v>
      </c>
      <c r="AD185" s="47">
        <f>IFERROR(INDEX(UWS!$G$10:$Z$41,MATCH($C185,UWS!$B$10:$B$41,0),MATCH(AD$4,UWS!$G$3:$Z$3,0)),0)</f>
        <v>0</v>
      </c>
      <c r="AE185" s="47">
        <f>IFERROR(INDEX(UWS!$G$10:$Z$41,MATCH($C185,UWS!$B$10:$B$41,0),MATCH(AE$4,UWS!$G$3:$Z$3,0)),0)</f>
        <v>0</v>
      </c>
      <c r="AF185" s="47">
        <f>IFERROR(INDEX(UWS!$G$10:$Z$41,MATCH($C185,UWS!$B$10:$B$41,0),MATCH(AF$4,UWS!$G$3:$Z$3,0)),0)</f>
        <v>0</v>
      </c>
      <c r="AG185" s="47">
        <f>IFERROR(INDEX(UWS!$G$10:$Z$41,MATCH($C185,UWS!$B$10:$B$41,0),MATCH(AG$4,UWS!$G$3:$Z$3,0)),0)</f>
        <v>0</v>
      </c>
      <c r="AH185" s="47">
        <f>IFERROR(INDEX(UWS!$G$10:$Z$41,MATCH($C185,UWS!$B$10:$B$41,0),MATCH(AH$4,UWS!$G$3:$Z$3,0)),0)</f>
        <v>0</v>
      </c>
      <c r="AI185" s="47">
        <f>IFERROR(INDEX(UWS!$G$10:$Z$41,MATCH($C185,UWS!$B$10:$B$41,0),MATCH(AI$4,UWS!$G$3:$Z$3,0)),0)</f>
        <v>0</v>
      </c>
      <c r="AJ185" s="47"/>
      <c r="AK185" s="47" t="e">
        <f>IF(OR($J185=0,COUNTIFS($A$4:$A184,"&gt;="&amp;$A185-1,$A$4:$A184,"&lt;="&amp;$A185,$B$4:$B184,$B185)&gt;0,MIN(AK$1,IF($A185=$A184,AK184,1))-P185&lt;0),-1,MIN(1,IF($A185=$A184,AK184,1)-P185+$D$3))</f>
        <v>#N/A</v>
      </c>
      <c r="AL185" s="47" t="e">
        <f>IF(OR($J185=0,COUNTIFS($A$4:$A184,"&gt;="&amp;$A185-1,$A$4:$A184,"&lt;="&amp;$A185,$B$4:$B184,$B185)&gt;0,MIN(AL$1,IF($A185=$A184,AL184,1))-Q185&lt;0),-1,MIN(1,IF($A185=$A184,AL184,1)-Q185+$D$3))</f>
        <v>#N/A</v>
      </c>
      <c r="AM185" s="47" t="e">
        <f>IF(OR($J185=0,COUNTIFS($A$4:$A184,"&gt;="&amp;$A185-1,$A$4:$A184,"&lt;="&amp;$A185,$B$4:$B184,$B185)&gt;0,MIN(AM$1,IF($A185=$A184,AM184,1))-R185&lt;0),-1,MIN(1,IF($A185=$A184,AM184,1)-R185+$D$3))</f>
        <v>#N/A</v>
      </c>
      <c r="AN185" s="47" t="e">
        <f>IF(OR($J185=0,COUNTIFS($A$4:$A184,"&gt;="&amp;$A185-1,$A$4:$A184,"&lt;="&amp;$A185,$B$4:$B184,$B185)&gt;0,MIN(AN$1,IF($A185=$A184,AN184,1))-S185&lt;0),-1,MIN(1,IF($A185=$A184,AN184,1)-S185+$D$3))</f>
        <v>#N/A</v>
      </c>
      <c r="AO185" s="47" t="e">
        <f>IF(OR($J185=0,COUNTIFS($A$4:$A184,"&gt;="&amp;$A185-1,$A$4:$A184,"&lt;="&amp;$A185,$B$4:$B184,$B185)&gt;0,MIN(AO$1,IF($A185=$A184,AO184,1))-T185&lt;0),-1,MIN(1,IF($A185=$A184,AO184,1)-T185+$D$3))</f>
        <v>#N/A</v>
      </c>
      <c r="AP185" s="47" t="e">
        <f>IF(OR($J185=0,COUNTIFS($A$4:$A184,"&gt;="&amp;$A185-1,$A$4:$A184,"&lt;="&amp;$A185,$B$4:$B184,$B185)&gt;0,MIN(AP$1,IF($A185=$A184,AP184,1))-U185&lt;0),-1,MIN(1,IF($A185=$A184,AP184,1)-U185+$D$3))</f>
        <v>#N/A</v>
      </c>
      <c r="AQ185" s="47" t="e">
        <f>IF(OR($J185=0,COUNTIFS($A$4:$A184,"&gt;="&amp;$A185-1,$A$4:$A184,"&lt;="&amp;$A185,$B$4:$B184,$B185)&gt;0,MIN(AQ$1,IF($A185=$A184,AQ184,1))-V185&lt;0),-1,MIN(1,IF($A185=$A184,AQ184,1)-V185+$D$3))</f>
        <v>#N/A</v>
      </c>
      <c r="AR185" s="47" t="e">
        <f>IF(OR($J185=0,COUNTIFS($A$4:$A184,"&gt;="&amp;$A185-1,$A$4:$A184,"&lt;="&amp;$A185,$B$4:$B184,$B185)&gt;0,MIN(AR$1,IF($A185=$A184,AR184,1))-W185&lt;0),-1,MIN(1,IF($A185=$A184,AR184,1)-W185+$D$3))</f>
        <v>#N/A</v>
      </c>
      <c r="AS185" s="47" t="e">
        <f>IF(OR($J185=0,COUNTIFS($A$4:$A184,"&gt;="&amp;$A185-1,$A$4:$A184,"&lt;="&amp;$A185,$B$4:$B184,$B185)&gt;0,MIN(AS$1,IF($A185=$A184,AS184,1))-X185&lt;0),-1,MIN(1,IF($A185=$A184,AS184,1)-X185+$D$3))</f>
        <v>#N/A</v>
      </c>
      <c r="AT185" s="47" t="e">
        <f>IF(OR($J185=0,COUNTIFS($A$4:$A184,"&gt;="&amp;$A185-1,$A$4:$A184,"&lt;="&amp;$A185,$B$4:$B184,$B185)&gt;0,MIN(AT$1,IF($A185=$A184,AT184,1))-Y185&lt;0),-1,MIN(1,IF($A185=$A184,AT184,1)-Y185+$D$3))</f>
        <v>#N/A</v>
      </c>
      <c r="AU185" s="47" t="e">
        <f>IF(OR($J185=0,COUNTIFS($A$4:$A184,"&gt;="&amp;$A185-1,$A$4:$A184,"&lt;="&amp;$A185,$B$4:$B184,$B185)&gt;0,MIN(AU$1,IF($A185=$A184,AU184,1))-Z185&lt;0),-1,MIN(1,IF($A185=$A184,AU184,1)-Z185+$D$3))</f>
        <v>#N/A</v>
      </c>
      <c r="AV185" s="47" t="e">
        <f>IF(OR($J185=0,COUNTIFS($A$4:$A184,"&gt;="&amp;$A185-1,$A$4:$A184,"&lt;="&amp;$A185,$B$4:$B184,$B185)&gt;0,MIN(AV$1,IF($A185=$A184,AV184,1))-AA185&lt;0),-1,MIN(1,IF($A185=$A184,AV184,1)-AA185+$D$3))</f>
        <v>#N/A</v>
      </c>
      <c r="AW185" s="47" t="e">
        <f>IF(OR($J185=0,COUNTIFS($A$4:$A184,"&gt;="&amp;$A185-1,$A$4:$A184,"&lt;="&amp;$A185,$B$4:$B184,$B185)&gt;0,MIN(AW$1,IF($A185=$A184,AW184,1))-AB185&lt;0),-1,MIN(1,IF($A185=$A184,AW184,1)-AB185+$D$3))</f>
        <v>#N/A</v>
      </c>
      <c r="AX185" s="47" t="e">
        <f>IF(OR($J185=0,COUNTIFS($A$4:$A184,"&gt;="&amp;$A185-1,$A$4:$A184,"&lt;="&amp;$A185,$B$4:$B184,$B185)&gt;0,MIN(AX$1,IF($A185=$A184,AX184,1))-AC185&lt;0),-1,MIN(1,IF($A185=$A184,AX184,1)-AC185+$D$3))</f>
        <v>#N/A</v>
      </c>
      <c r="AY185" s="47" t="e">
        <f>IF(OR($J185=0,COUNTIFS($A$4:$A184,"&gt;="&amp;$A185-1,$A$4:$A184,"&lt;="&amp;$A185,$B$4:$B184,$B185)&gt;0,MIN(AY$1,IF($A185=$A184,AY184,1))-AD185&lt;0),-1,MIN(1,IF($A185=$A184,AY184,1)-AD185+$D$3))</f>
        <v>#N/A</v>
      </c>
      <c r="AZ185" s="47" t="e">
        <f>IF(OR($J185=0,COUNTIFS($A$4:$A184,"&gt;="&amp;$A185-1,$A$4:$A184,"&lt;="&amp;$A185,$B$4:$B184,$B185)&gt;0,MIN(AZ$1,IF($A185=$A184,AZ184,1))-AE185&lt;0),-1,MIN(1,IF($A185=$A184,AZ184,1)-AE185+$D$3))</f>
        <v>#N/A</v>
      </c>
      <c r="BA185" s="47" t="e">
        <f>IF(OR($J185=0,COUNTIFS($A$4:$A184,"&gt;="&amp;$A185-1,$A$4:$A184,"&lt;="&amp;$A185,$B$4:$B184,$B185)&gt;0,MIN(BA$1,IF($A185=$A184,BA184,1))-AF185&lt;0),-1,MIN(1,IF($A185=$A184,BA184,1)-AF185+$D$3))</f>
        <v>#N/A</v>
      </c>
      <c r="BB185" s="47" t="e">
        <f>IF(OR($J185=0,COUNTIFS($A$4:$A184,"&gt;="&amp;$A185-1,$A$4:$A184,"&lt;="&amp;$A185,$B$4:$B184,$B185)&gt;0,MIN(BB$1,IF($A185=$A184,BB184,1))-AG185&lt;0),-1,MIN(1,IF($A185=$A184,BB184,1)-AG185+$D$3))</f>
        <v>#N/A</v>
      </c>
      <c r="BC185" s="47" t="e">
        <f>IF(OR($J185=0,COUNTIFS($A$4:$A184,"&gt;="&amp;$A185-1,$A$4:$A184,"&lt;="&amp;$A185,$B$4:$B184,$B185)&gt;0,MIN(BC$1,IF($A185=$A184,BC184,1))-AH185&lt;0),-1,MIN(1,IF($A185=$A184,BC184,1)-AH185+$D$3))</f>
        <v>#N/A</v>
      </c>
      <c r="BD185" s="47" t="e">
        <f>IF(OR($J185=0,COUNTIFS($A$4:$A184,"&gt;="&amp;$A185-1,$A$4:$A184,"&lt;="&amp;$A185,$B$4:$B184,$B185)&gt;0,MIN(BD$1,IF($A185=$A184,BD184,1))-AI185&lt;0),-1,MIN(1,IF($A185=$A184,BD184,1)-AI185+$D$3))</f>
        <v>#N/A</v>
      </c>
      <c r="BE185" s="47"/>
      <c r="BF185" s="53">
        <f t="shared" si="267"/>
        <v>1.9691484187682565E-4</v>
      </c>
      <c r="BG185" s="53">
        <f t="shared" si="268"/>
        <v>4.842691618535829E-4</v>
      </c>
      <c r="BH185" s="53">
        <f t="shared" si="269"/>
        <v>4.9632495077295378E-4</v>
      </c>
      <c r="BI185" s="53">
        <f t="shared" si="270"/>
        <v>4.584664557085541E-4</v>
      </c>
      <c r="BJ185" s="53">
        <f t="shared" si="271"/>
        <v>4.7386860692779785E-4</v>
      </c>
      <c r="BK185" s="53">
        <f t="shared" si="272"/>
        <v>2.0349684797717893E-4</v>
      </c>
      <c r="BL185" s="53">
        <f t="shared" si="273"/>
        <v>1.0993219876992166E-4</v>
      </c>
      <c r="BM185" s="53">
        <f t="shared" si="274"/>
        <v>2.7965467633423867E-4</v>
      </c>
      <c r="BN185" s="53">
        <f t="shared" si="275"/>
        <v>2.908626583813918E-4</v>
      </c>
      <c r="BO185" s="53">
        <f t="shared" si="276"/>
        <v>1.3630927868862064E-4</v>
      </c>
      <c r="BP185" s="53">
        <f t="shared" si="277"/>
        <v>4.5833691259271098E-4</v>
      </c>
      <c r="BQ185" s="53">
        <f t="shared" si="278"/>
        <v>1.236861597104881E-4</v>
      </c>
      <c r="BR185" s="53">
        <f t="shared" si="279"/>
        <v>3.6539987766851044E-4</v>
      </c>
      <c r="BS185" s="53">
        <f t="shared" si="280"/>
        <v>1.9706500292460171E-4</v>
      </c>
      <c r="BT185" s="53">
        <f t="shared" si="281"/>
        <v>7.7984663206122232E-4</v>
      </c>
      <c r="BU185" s="53">
        <f t="shared" si="282"/>
        <v>7.4498819843893177E-4</v>
      </c>
      <c r="BV185" s="53">
        <f t="shared" si="283"/>
        <v>7.1546201838706231E-4</v>
      </c>
      <c r="BW185" s="53">
        <f t="shared" si="284"/>
        <v>4.6795153219851619E-4</v>
      </c>
      <c r="BX185" s="53">
        <f t="shared" si="285"/>
        <v>3.4571409433832454E-4</v>
      </c>
      <c r="BY185" s="53">
        <f t="shared" si="286"/>
        <v>2.9683528531275228E-4</v>
      </c>
      <c r="BZ185" s="47"/>
      <c r="CA185" s="53" t="str">
        <f t="shared" si="287"/>
        <v/>
      </c>
      <c r="CB185" s="53" t="str">
        <f t="shared" si="288"/>
        <v/>
      </c>
      <c r="CC185" s="53" t="str">
        <f t="shared" si="289"/>
        <v/>
      </c>
      <c r="CD185" s="53" t="str">
        <f t="shared" si="290"/>
        <v/>
      </c>
      <c r="CE185" s="53" t="str">
        <f t="shared" si="291"/>
        <v/>
      </c>
      <c r="CF185" s="53" t="str">
        <f t="shared" si="292"/>
        <v/>
      </c>
      <c r="CG185" s="53" t="str">
        <f t="shared" si="293"/>
        <v/>
      </c>
      <c r="CH185" s="53" t="str">
        <f t="shared" si="294"/>
        <v/>
      </c>
      <c r="CI185" s="53" t="str">
        <f t="shared" si="295"/>
        <v/>
      </c>
      <c r="CJ185" s="53" t="str">
        <f t="shared" si="296"/>
        <v/>
      </c>
      <c r="CK185" s="53" t="str">
        <f t="shared" si="297"/>
        <v/>
      </c>
      <c r="CL185" s="53" t="str">
        <f t="shared" si="298"/>
        <v/>
      </c>
      <c r="CM185" s="53" t="str">
        <f t="shared" si="299"/>
        <v/>
      </c>
      <c r="CN185" s="53" t="str">
        <f t="shared" si="300"/>
        <v/>
      </c>
      <c r="CO185" s="53" t="str">
        <f t="shared" si="301"/>
        <v/>
      </c>
      <c r="CP185" s="53" t="str">
        <f t="shared" si="302"/>
        <v/>
      </c>
      <c r="CQ185" s="53" t="str">
        <f t="shared" si="303"/>
        <v/>
      </c>
      <c r="CR185" s="53" t="str">
        <f t="shared" si="304"/>
        <v/>
      </c>
      <c r="CS185" s="53" t="str">
        <f t="shared" si="305"/>
        <v/>
      </c>
      <c r="CT185" s="53" t="str">
        <f t="shared" si="306"/>
        <v/>
      </c>
      <c r="CU185" s="47"/>
      <c r="CV185" s="53">
        <f t="shared" si="307"/>
        <v>0</v>
      </c>
    </row>
    <row r="186" spans="1:100" x14ac:dyDescent="0.25">
      <c r="A186" s="41"/>
      <c r="B186" s="42"/>
      <c r="C186" s="43" t="str" cm="1">
        <f t="array" ref="C186">IF(B186="","",INDEX(UWS!$B$10:$B$41,B186))</f>
        <v/>
      </c>
      <c r="D186" s="40" t="str">
        <f t="shared" si="264"/>
        <v/>
      </c>
      <c r="E186" s="69" t="str">
        <f t="shared" si="265"/>
        <v/>
      </c>
      <c r="F186" s="48" cm="1">
        <f t="array" ref="F186">0.1+IFERROR(INDEX($F$5:$F185,SUMPRODUCT(MAX(ROW($C$5:$C185)*($C186=$C$5:$C185))-ROW($A$4)))*0.9^($A186-INDEX($A$5:A185,SUMPRODUCT(MAX(ROW($C$5:$C185)*($C186=$C$5:$C185))-ROW($A$4)))),0)</f>
        <v>12.099999999999973</v>
      </c>
      <c r="G186" s="55" t="e">
        <f>INDEX(UWS!$AB$10:$AB$41,MATCH(C186,UWS!$B$10:$B$41,0))</f>
        <v>#N/A</v>
      </c>
      <c r="H186" s="48" t="e">
        <f>INDEX(UWS!$C$10:$C$41,MATCH(C186,UWS!$B$10:$B$41,0))</f>
        <v>#N/A</v>
      </c>
      <c r="I186" s="82">
        <f t="shared" si="266"/>
        <v>5</v>
      </c>
      <c r="J186" s="27" t="e">
        <f>INDEX(UWS!$E$10:$E$41,MATCH(C186,UWS!$B$10:$B$41,0))</f>
        <v>#N/A</v>
      </c>
      <c r="L186" s="108" t="str" cm="1">
        <f t="array" ref="L186">IF(K186="","",INDEX(UWS!$B$10:$B$41,K186))</f>
        <v/>
      </c>
      <c r="N186" s="108" t="str" cm="1">
        <f t="array" ref="N186">IF(M186="","",INDEX(UWS!$B$10:$B$41,M186))</f>
        <v/>
      </c>
      <c r="P186">
        <f>IFERROR(INDEX(UWS!$G$10:$Z$41,MATCH($C186,UWS!$B$10:$B$41,0),MATCH(P$4,UWS!$G$3:$Z$3,0)),0)</f>
        <v>0</v>
      </c>
      <c r="Q186">
        <f>IFERROR(INDEX(UWS!$G$10:$Z$41,MATCH($C186,UWS!$B$10:$B$41,0),MATCH(Q$4,UWS!$G$3:$Z$3,0)),0)</f>
        <v>0</v>
      </c>
      <c r="R186">
        <f>IFERROR(INDEX(UWS!$G$10:$Z$41,MATCH($C186,UWS!$B$10:$B$41,0),MATCH(R$4,UWS!$G$3:$Z$3,0)),0)</f>
        <v>0</v>
      </c>
      <c r="S186">
        <f>IFERROR(INDEX(UWS!$G$10:$Z$41,MATCH($C186,UWS!$B$10:$B$41,0),MATCH(S$4,UWS!$G$3:$Z$3,0)),0)</f>
        <v>0</v>
      </c>
      <c r="T186">
        <f>IFERROR(INDEX(UWS!$G$10:$Z$41,MATCH($C186,UWS!$B$10:$B$41,0),MATCH(T$4,UWS!$G$3:$Z$3,0)),0)</f>
        <v>0</v>
      </c>
      <c r="U186">
        <f>IFERROR(INDEX(UWS!$G$10:$Z$41,MATCH($C186,UWS!$B$10:$B$41,0),MATCH(U$4,UWS!$G$3:$Z$3,0)),0)</f>
        <v>0</v>
      </c>
      <c r="V186">
        <f>IFERROR(INDEX(UWS!$G$10:$Z$41,MATCH($C186,UWS!$B$10:$B$41,0),MATCH(V$4,UWS!$G$3:$Z$3,0)),0)</f>
        <v>0</v>
      </c>
      <c r="W186">
        <f>IFERROR(INDEX(UWS!$G$10:$Z$41,MATCH($C186,UWS!$B$10:$B$41,0),MATCH(W$4,UWS!$G$3:$Z$3,0)),0)</f>
        <v>0</v>
      </c>
      <c r="X186">
        <f>IFERROR(INDEX(UWS!$G$10:$Z$41,MATCH($C186,UWS!$B$10:$B$41,0),MATCH(X$4,UWS!$G$3:$Z$3,0)),0)</f>
        <v>0</v>
      </c>
      <c r="Y186">
        <f>IFERROR(INDEX(UWS!$G$10:$Z$41,MATCH($C186,UWS!$B$10:$B$41,0),MATCH(Y$4,UWS!$G$3:$Z$3,0)),0)</f>
        <v>0</v>
      </c>
      <c r="Z186">
        <f>IFERROR(INDEX(UWS!$G$10:$Z$41,MATCH($C186,UWS!$B$10:$B$41,0),MATCH(Z$4,UWS!$G$3:$Z$3,0)),0)</f>
        <v>0</v>
      </c>
      <c r="AA186">
        <f>IFERROR(INDEX(UWS!$G$10:$Z$41,MATCH($C186,UWS!$B$10:$B$41,0),MATCH(AA$4,UWS!$G$3:$Z$3,0)),0)</f>
        <v>0</v>
      </c>
      <c r="AB186">
        <f>IFERROR(INDEX(UWS!$G$10:$Z$41,MATCH($C186,UWS!$B$10:$B$41,0),MATCH(AB$4,UWS!$G$3:$Z$3,0)),0)</f>
        <v>0</v>
      </c>
      <c r="AC186">
        <f>IFERROR(INDEX(UWS!$G$10:$Z$41,MATCH($C186,UWS!$B$10:$B$41,0),MATCH(AC$4,UWS!$G$3:$Z$3,0)),0)</f>
        <v>0</v>
      </c>
      <c r="AD186">
        <f>IFERROR(INDEX(UWS!$G$10:$Z$41,MATCH($C186,UWS!$B$10:$B$41,0),MATCH(AD$4,UWS!$G$3:$Z$3,0)),0)</f>
        <v>0</v>
      </c>
      <c r="AE186">
        <f>IFERROR(INDEX(UWS!$G$10:$Z$41,MATCH($C186,UWS!$B$10:$B$41,0),MATCH(AE$4,UWS!$G$3:$Z$3,0)),0)</f>
        <v>0</v>
      </c>
      <c r="AF186">
        <f>IFERROR(INDEX(UWS!$G$10:$Z$41,MATCH($C186,UWS!$B$10:$B$41,0),MATCH(AF$4,UWS!$G$3:$Z$3,0)),0)</f>
        <v>0</v>
      </c>
      <c r="AG186">
        <f>IFERROR(INDEX(UWS!$G$10:$Z$41,MATCH($C186,UWS!$B$10:$B$41,0),MATCH(AG$4,UWS!$G$3:$Z$3,0)),0)</f>
        <v>0</v>
      </c>
      <c r="AH186">
        <f>IFERROR(INDEX(UWS!$G$10:$Z$41,MATCH($C186,UWS!$B$10:$B$41,0),MATCH(AH$4,UWS!$G$3:$Z$3,0)),0)</f>
        <v>0</v>
      </c>
      <c r="AI186">
        <f>IFERROR(INDEX(UWS!$G$10:$Z$41,MATCH($C186,UWS!$B$10:$B$41,0),MATCH(AI$4,UWS!$G$3:$Z$3,0)),0)</f>
        <v>0</v>
      </c>
      <c r="AK186" t="e">
        <f>IF(OR($J186=0,COUNTIFS($A$4:$A185,"&gt;="&amp;$A186-1,$A$4:$A185,"&lt;="&amp;$A186,$B$4:$B185,$B186)&gt;0,MIN(AK$1,IF($A186=$A185,AK185,1))-P186&lt;0),-1,MIN(1,IF($A186=$A185,AK185,1)-P186+$D$3))</f>
        <v>#N/A</v>
      </c>
      <c r="AL186" t="e">
        <f>IF(OR($J186=0,COUNTIFS($A$4:$A185,"&gt;="&amp;$A186-1,$A$4:$A185,"&lt;="&amp;$A186,$B$4:$B185,$B186)&gt;0,MIN(AL$1,IF($A186=$A185,AL185,1))-Q186&lt;0),-1,MIN(1,IF($A186=$A185,AL185,1)-Q186+$D$3))</f>
        <v>#N/A</v>
      </c>
      <c r="AM186" t="e">
        <f>IF(OR($J186=0,COUNTIFS($A$4:$A185,"&gt;="&amp;$A186-1,$A$4:$A185,"&lt;="&amp;$A186,$B$4:$B185,$B186)&gt;0,MIN(AM$1,IF($A186=$A185,AM185,1))-R186&lt;0),-1,MIN(1,IF($A186=$A185,AM185,1)-R186+$D$3))</f>
        <v>#N/A</v>
      </c>
      <c r="AN186" t="e">
        <f>IF(OR($J186=0,COUNTIFS($A$4:$A185,"&gt;="&amp;$A186-1,$A$4:$A185,"&lt;="&amp;$A186,$B$4:$B185,$B186)&gt;0,MIN(AN$1,IF($A186=$A185,AN185,1))-S186&lt;0),-1,MIN(1,IF($A186=$A185,AN185,1)-S186+$D$3))</f>
        <v>#N/A</v>
      </c>
      <c r="AO186" t="e">
        <f>IF(OR($J186=0,COUNTIFS($A$4:$A185,"&gt;="&amp;$A186-1,$A$4:$A185,"&lt;="&amp;$A186,$B$4:$B185,$B186)&gt;0,MIN(AO$1,IF($A186=$A185,AO185,1))-T186&lt;0),-1,MIN(1,IF($A186=$A185,AO185,1)-T186+$D$3))</f>
        <v>#N/A</v>
      </c>
      <c r="AP186" t="e">
        <f>IF(OR($J186=0,COUNTIFS($A$4:$A185,"&gt;="&amp;$A186-1,$A$4:$A185,"&lt;="&amp;$A186,$B$4:$B185,$B186)&gt;0,MIN(AP$1,IF($A186=$A185,AP185,1))-U186&lt;0),-1,MIN(1,IF($A186=$A185,AP185,1)-U186+$D$3))</f>
        <v>#N/A</v>
      </c>
      <c r="AQ186" t="e">
        <f>IF(OR($J186=0,COUNTIFS($A$4:$A185,"&gt;="&amp;$A186-1,$A$4:$A185,"&lt;="&amp;$A186,$B$4:$B185,$B186)&gt;0,MIN(AQ$1,IF($A186=$A185,AQ185,1))-V186&lt;0),-1,MIN(1,IF($A186=$A185,AQ185,1)-V186+$D$3))</f>
        <v>#N/A</v>
      </c>
      <c r="AR186" t="e">
        <f>IF(OR($J186=0,COUNTIFS($A$4:$A185,"&gt;="&amp;$A186-1,$A$4:$A185,"&lt;="&amp;$A186,$B$4:$B185,$B186)&gt;0,MIN(AR$1,IF($A186=$A185,AR185,1))-W186&lt;0),-1,MIN(1,IF($A186=$A185,AR185,1)-W186+$D$3))</f>
        <v>#N/A</v>
      </c>
      <c r="AS186" t="e">
        <f>IF(OR($J186=0,COUNTIFS($A$4:$A185,"&gt;="&amp;$A186-1,$A$4:$A185,"&lt;="&amp;$A186,$B$4:$B185,$B186)&gt;0,MIN(AS$1,IF($A186=$A185,AS185,1))-X186&lt;0),-1,MIN(1,IF($A186=$A185,AS185,1)-X186+$D$3))</f>
        <v>#N/A</v>
      </c>
      <c r="AT186" t="e">
        <f>IF(OR($J186=0,COUNTIFS($A$4:$A185,"&gt;="&amp;$A186-1,$A$4:$A185,"&lt;="&amp;$A186,$B$4:$B185,$B186)&gt;0,MIN(AT$1,IF($A186=$A185,AT185,1))-Y186&lt;0),-1,MIN(1,IF($A186=$A185,AT185,1)-Y186+$D$3))</f>
        <v>#N/A</v>
      </c>
      <c r="AU186" t="e">
        <f>IF(OR($J186=0,COUNTIFS($A$4:$A185,"&gt;="&amp;$A186-1,$A$4:$A185,"&lt;="&amp;$A186,$B$4:$B185,$B186)&gt;0,MIN(AU$1,IF($A186=$A185,AU185,1))-Z186&lt;0),-1,MIN(1,IF($A186=$A185,AU185,1)-Z186+$D$3))</f>
        <v>#N/A</v>
      </c>
      <c r="AV186" t="e">
        <f>IF(OR($J186=0,COUNTIFS($A$4:$A185,"&gt;="&amp;$A186-1,$A$4:$A185,"&lt;="&amp;$A186,$B$4:$B185,$B186)&gt;0,MIN(AV$1,IF($A186=$A185,AV185,1))-AA186&lt;0),-1,MIN(1,IF($A186=$A185,AV185,1)-AA186+$D$3))</f>
        <v>#N/A</v>
      </c>
      <c r="AW186" t="e">
        <f>IF(OR($J186=0,COUNTIFS($A$4:$A185,"&gt;="&amp;$A186-1,$A$4:$A185,"&lt;="&amp;$A186,$B$4:$B185,$B186)&gt;0,MIN(AW$1,IF($A186=$A185,AW185,1))-AB186&lt;0),-1,MIN(1,IF($A186=$A185,AW185,1)-AB186+$D$3))</f>
        <v>#N/A</v>
      </c>
      <c r="AX186" t="e">
        <f>IF(OR($J186=0,COUNTIFS($A$4:$A185,"&gt;="&amp;$A186-1,$A$4:$A185,"&lt;="&amp;$A186,$B$4:$B185,$B186)&gt;0,MIN(AX$1,IF($A186=$A185,AX185,1))-AC186&lt;0),-1,MIN(1,IF($A186=$A185,AX185,1)-AC186+$D$3))</f>
        <v>#N/A</v>
      </c>
      <c r="AY186" t="e">
        <f>IF(OR($J186=0,COUNTIFS($A$4:$A185,"&gt;="&amp;$A186-1,$A$4:$A185,"&lt;="&amp;$A186,$B$4:$B185,$B186)&gt;0,MIN(AY$1,IF($A186=$A185,AY185,1))-AD186&lt;0),-1,MIN(1,IF($A186=$A185,AY185,1)-AD186+$D$3))</f>
        <v>#N/A</v>
      </c>
      <c r="AZ186" t="e">
        <f>IF(OR($J186=0,COUNTIFS($A$4:$A185,"&gt;="&amp;$A186-1,$A$4:$A185,"&lt;="&amp;$A186,$B$4:$B185,$B186)&gt;0,MIN(AZ$1,IF($A186=$A185,AZ185,1))-AE186&lt;0),-1,MIN(1,IF($A186=$A185,AZ185,1)-AE186+$D$3))</f>
        <v>#N/A</v>
      </c>
      <c r="BA186" t="e">
        <f>IF(OR($J186=0,COUNTIFS($A$4:$A185,"&gt;="&amp;$A186-1,$A$4:$A185,"&lt;="&amp;$A186,$B$4:$B185,$B186)&gt;0,MIN(BA$1,IF($A186=$A185,BA185,1))-AF186&lt;0),-1,MIN(1,IF($A186=$A185,BA185,1)-AF186+$D$3))</f>
        <v>#N/A</v>
      </c>
      <c r="BB186" t="e">
        <f>IF(OR($J186=0,COUNTIFS($A$4:$A185,"&gt;="&amp;$A186-1,$A$4:$A185,"&lt;="&amp;$A186,$B$4:$B185,$B186)&gt;0,MIN(BB$1,IF($A186=$A185,BB185,1))-AG186&lt;0),-1,MIN(1,IF($A186=$A185,BB185,1)-AG186+$D$3))</f>
        <v>#N/A</v>
      </c>
      <c r="BC186" t="e">
        <f>IF(OR($J186=0,COUNTIFS($A$4:$A185,"&gt;="&amp;$A186-1,$A$4:$A185,"&lt;="&amp;$A186,$B$4:$B185,$B186)&gt;0,MIN(BC$1,IF($A186=$A185,BC185,1))-AH186&lt;0),-1,MIN(1,IF($A186=$A185,BC185,1)-AH186+$D$3))</f>
        <v>#N/A</v>
      </c>
      <c r="BD186" t="e">
        <f>IF(OR($J186=0,COUNTIFS($A$4:$A185,"&gt;="&amp;$A186-1,$A$4:$A185,"&lt;="&amp;$A186,$B$4:$B185,$B186)&gt;0,MIN(BD$1,IF($A186=$A185,BD185,1))-AI186&lt;0),-1,MIN(1,IF($A186=$A185,BD185,1)-AI186+$D$3))</f>
        <v>#N/A</v>
      </c>
      <c r="BF186" s="44">
        <f t="shared" si="267"/>
        <v>1.8706909978298436E-4</v>
      </c>
      <c r="BG186" s="44">
        <f t="shared" si="268"/>
        <v>4.6005570376090373E-4</v>
      </c>
      <c r="BH186" s="44">
        <f t="shared" si="269"/>
        <v>4.7150870323430606E-4</v>
      </c>
      <c r="BI186" s="44">
        <f t="shared" si="270"/>
        <v>4.3554313292312638E-4</v>
      </c>
      <c r="BJ186" s="44">
        <f t="shared" si="271"/>
        <v>4.5017517658140795E-4</v>
      </c>
      <c r="BK186" s="44">
        <f t="shared" si="272"/>
        <v>1.9332200557831998E-4</v>
      </c>
      <c r="BL186" s="44">
        <f t="shared" si="273"/>
        <v>1.0443558883142557E-4</v>
      </c>
      <c r="BM186" s="44">
        <f t="shared" si="274"/>
        <v>2.6567194251752674E-4</v>
      </c>
      <c r="BN186" s="44">
        <f t="shared" si="275"/>
        <v>2.7631952546232222E-4</v>
      </c>
      <c r="BO186" s="44">
        <f t="shared" si="276"/>
        <v>1.294938147541896E-4</v>
      </c>
      <c r="BP186" s="44">
        <f t="shared" si="277"/>
        <v>4.3542006696307539E-4</v>
      </c>
      <c r="BQ186" s="44">
        <f t="shared" si="278"/>
        <v>1.175018517249637E-4</v>
      </c>
      <c r="BR186" s="44">
        <f t="shared" si="279"/>
        <v>3.4712988378508489E-4</v>
      </c>
      <c r="BS186" s="44">
        <f t="shared" si="280"/>
        <v>1.872117527783716E-4</v>
      </c>
      <c r="BT186" s="44">
        <f t="shared" si="281"/>
        <v>7.4085430045816116E-4</v>
      </c>
      <c r="BU186" s="44">
        <f t="shared" si="282"/>
        <v>7.0773878851698518E-4</v>
      </c>
      <c r="BV186" s="44">
        <f t="shared" si="283"/>
        <v>6.7968891746770913E-4</v>
      </c>
      <c r="BW186" s="44">
        <f t="shared" si="284"/>
        <v>4.4455395558859034E-4</v>
      </c>
      <c r="BX186" s="44">
        <f t="shared" si="285"/>
        <v>3.2842838962140829E-4</v>
      </c>
      <c r="BY186" s="44">
        <f t="shared" si="286"/>
        <v>2.8199352104711466E-4</v>
      </c>
      <c r="CA186" s="44" t="str">
        <f t="shared" si="287"/>
        <v/>
      </c>
      <c r="CB186" s="44" t="str">
        <f t="shared" si="288"/>
        <v/>
      </c>
      <c r="CC186" s="44" t="str">
        <f t="shared" si="289"/>
        <v/>
      </c>
      <c r="CD186" s="44" t="str">
        <f t="shared" si="290"/>
        <v/>
      </c>
      <c r="CE186" s="44" t="str">
        <f t="shared" si="291"/>
        <v/>
      </c>
      <c r="CF186" s="44" t="str">
        <f t="shared" si="292"/>
        <v/>
      </c>
      <c r="CG186" s="44" t="str">
        <f t="shared" si="293"/>
        <v/>
      </c>
      <c r="CH186" s="44" t="str">
        <f t="shared" si="294"/>
        <v/>
      </c>
      <c r="CI186" s="44" t="str">
        <f t="shared" si="295"/>
        <v/>
      </c>
      <c r="CJ186" s="44" t="str">
        <f t="shared" si="296"/>
        <v/>
      </c>
      <c r="CK186" s="44" t="str">
        <f t="shared" si="297"/>
        <v/>
      </c>
      <c r="CL186" s="44" t="str">
        <f t="shared" si="298"/>
        <v/>
      </c>
      <c r="CM186" s="44" t="str">
        <f t="shared" si="299"/>
        <v/>
      </c>
      <c r="CN186" s="44" t="str">
        <f t="shared" si="300"/>
        <v/>
      </c>
      <c r="CO186" s="44" t="str">
        <f t="shared" si="301"/>
        <v/>
      </c>
      <c r="CP186" s="44" t="str">
        <f t="shared" si="302"/>
        <v/>
      </c>
      <c r="CQ186" s="44" t="str">
        <f t="shared" si="303"/>
        <v/>
      </c>
      <c r="CR186" s="44" t="str">
        <f t="shared" si="304"/>
        <v/>
      </c>
      <c r="CS186" s="44" t="str">
        <f t="shared" si="305"/>
        <v/>
      </c>
      <c r="CT186" s="44" t="str">
        <f t="shared" si="306"/>
        <v/>
      </c>
      <c r="CV186" s="44">
        <f t="shared" si="307"/>
        <v>0</v>
      </c>
    </row>
    <row r="187" spans="1:100" x14ac:dyDescent="0.25">
      <c r="A187" s="41"/>
      <c r="B187" s="42"/>
      <c r="C187" s="43" t="str" cm="1">
        <f t="array" ref="C187">IF(B187="","",INDEX(UWS!$B$10:$B$41,B187))</f>
        <v/>
      </c>
      <c r="D187" s="40" t="str">
        <f t="shared" si="264"/>
        <v/>
      </c>
      <c r="E187" s="69" t="str">
        <f t="shared" si="265"/>
        <v/>
      </c>
      <c r="F187" s="48" cm="1">
        <f t="array" ref="F187">0.1+IFERROR(INDEX($F$5:$F186,SUMPRODUCT(MAX(ROW($C$5:$C186)*($C187=$C$5:$C186))-ROW($A$4)))*0.9^($A187-INDEX($A$5:A186,SUMPRODUCT(MAX(ROW($C$5:$C186)*($C187=$C$5:$C186))-ROW($A$4)))),0)</f>
        <v>12.199999999999973</v>
      </c>
      <c r="G187" s="55" t="e">
        <f>INDEX(UWS!$AB$10:$AB$41,MATCH(C187,UWS!$B$10:$B$41,0))</f>
        <v>#N/A</v>
      </c>
      <c r="H187" s="48" t="e">
        <f>INDEX(UWS!$C$10:$C$41,MATCH(C187,UWS!$B$10:$B$41,0))</f>
        <v>#N/A</v>
      </c>
      <c r="I187" s="27">
        <f t="shared" si="266"/>
        <v>5</v>
      </c>
      <c r="J187" s="27" t="e">
        <f>INDEX(UWS!$E$10:$E$41,MATCH(C187,UWS!$B$10:$B$41,0))</f>
        <v>#N/A</v>
      </c>
      <c r="L187" s="108" t="str" cm="1">
        <f t="array" ref="L187">IF(K187="","",INDEX(UWS!$B$10:$B$41,K187))</f>
        <v/>
      </c>
      <c r="N187" s="108" t="str" cm="1">
        <f t="array" ref="N187">IF(M187="","",INDEX(UWS!$B$10:$B$41,M187))</f>
        <v/>
      </c>
      <c r="P187">
        <f>IFERROR(INDEX(UWS!$G$10:$Z$41,MATCH($C187,UWS!$B$10:$B$41,0),MATCH(P$4,UWS!$G$3:$Z$3,0)),0)</f>
        <v>0</v>
      </c>
      <c r="Q187">
        <f>IFERROR(INDEX(UWS!$G$10:$Z$41,MATCH($C187,UWS!$B$10:$B$41,0),MATCH(Q$4,UWS!$G$3:$Z$3,0)),0)</f>
        <v>0</v>
      </c>
      <c r="R187">
        <f>IFERROR(INDEX(UWS!$G$10:$Z$41,MATCH($C187,UWS!$B$10:$B$41,0),MATCH(R$4,UWS!$G$3:$Z$3,0)),0)</f>
        <v>0</v>
      </c>
      <c r="S187">
        <f>IFERROR(INDEX(UWS!$G$10:$Z$41,MATCH($C187,UWS!$B$10:$B$41,0),MATCH(S$4,UWS!$G$3:$Z$3,0)),0)</f>
        <v>0</v>
      </c>
      <c r="T187">
        <f>IFERROR(INDEX(UWS!$G$10:$Z$41,MATCH($C187,UWS!$B$10:$B$41,0),MATCH(T$4,UWS!$G$3:$Z$3,0)),0)</f>
        <v>0</v>
      </c>
      <c r="U187">
        <f>IFERROR(INDEX(UWS!$G$10:$Z$41,MATCH($C187,UWS!$B$10:$B$41,0),MATCH(U$4,UWS!$G$3:$Z$3,0)),0)</f>
        <v>0</v>
      </c>
      <c r="V187">
        <f>IFERROR(INDEX(UWS!$G$10:$Z$41,MATCH($C187,UWS!$B$10:$B$41,0),MATCH(V$4,UWS!$G$3:$Z$3,0)),0)</f>
        <v>0</v>
      </c>
      <c r="W187">
        <f>IFERROR(INDEX(UWS!$G$10:$Z$41,MATCH($C187,UWS!$B$10:$B$41,0),MATCH(W$4,UWS!$G$3:$Z$3,0)),0)</f>
        <v>0</v>
      </c>
      <c r="X187">
        <f>IFERROR(INDEX(UWS!$G$10:$Z$41,MATCH($C187,UWS!$B$10:$B$41,0),MATCH(X$4,UWS!$G$3:$Z$3,0)),0)</f>
        <v>0</v>
      </c>
      <c r="Y187">
        <f>IFERROR(INDEX(UWS!$G$10:$Z$41,MATCH($C187,UWS!$B$10:$B$41,0),MATCH(Y$4,UWS!$G$3:$Z$3,0)),0)</f>
        <v>0</v>
      </c>
      <c r="Z187">
        <f>IFERROR(INDEX(UWS!$G$10:$Z$41,MATCH($C187,UWS!$B$10:$B$41,0),MATCH(Z$4,UWS!$G$3:$Z$3,0)),0)</f>
        <v>0</v>
      </c>
      <c r="AA187">
        <f>IFERROR(INDEX(UWS!$G$10:$Z$41,MATCH($C187,UWS!$B$10:$B$41,0),MATCH(AA$4,UWS!$G$3:$Z$3,0)),0)</f>
        <v>0</v>
      </c>
      <c r="AB187">
        <f>IFERROR(INDEX(UWS!$G$10:$Z$41,MATCH($C187,UWS!$B$10:$B$41,0),MATCH(AB$4,UWS!$G$3:$Z$3,0)),0)</f>
        <v>0</v>
      </c>
      <c r="AC187">
        <f>IFERROR(INDEX(UWS!$G$10:$Z$41,MATCH($C187,UWS!$B$10:$B$41,0),MATCH(AC$4,UWS!$G$3:$Z$3,0)),0)</f>
        <v>0</v>
      </c>
      <c r="AD187">
        <f>IFERROR(INDEX(UWS!$G$10:$Z$41,MATCH($C187,UWS!$B$10:$B$41,0),MATCH(AD$4,UWS!$G$3:$Z$3,0)),0)</f>
        <v>0</v>
      </c>
      <c r="AE187">
        <f>IFERROR(INDEX(UWS!$G$10:$Z$41,MATCH($C187,UWS!$B$10:$B$41,0),MATCH(AE$4,UWS!$G$3:$Z$3,0)),0)</f>
        <v>0</v>
      </c>
      <c r="AF187">
        <f>IFERROR(INDEX(UWS!$G$10:$Z$41,MATCH($C187,UWS!$B$10:$B$41,0),MATCH(AF$4,UWS!$G$3:$Z$3,0)),0)</f>
        <v>0</v>
      </c>
      <c r="AG187">
        <f>IFERROR(INDEX(UWS!$G$10:$Z$41,MATCH($C187,UWS!$B$10:$B$41,0),MATCH(AG$4,UWS!$G$3:$Z$3,0)),0)</f>
        <v>0</v>
      </c>
      <c r="AH187">
        <f>IFERROR(INDEX(UWS!$G$10:$Z$41,MATCH($C187,UWS!$B$10:$B$41,0),MATCH(AH$4,UWS!$G$3:$Z$3,0)),0)</f>
        <v>0</v>
      </c>
      <c r="AI187">
        <f>IFERROR(INDEX(UWS!$G$10:$Z$41,MATCH($C187,UWS!$B$10:$B$41,0),MATCH(AI$4,UWS!$G$3:$Z$3,0)),0)</f>
        <v>0</v>
      </c>
      <c r="AK187" t="e">
        <f>IF(OR($J187=0,COUNTIFS($A$4:$A186,"&gt;="&amp;$A187-1,$A$4:$A186,"&lt;="&amp;$A187,$B$4:$B186,$B187)&gt;0,MIN(AK$1,IF($A187=$A186,AK186,1))-P187&lt;0),-1,MIN(1,IF($A187=$A186,AK186,1)-P187+$D$3))</f>
        <v>#N/A</v>
      </c>
      <c r="AL187" t="e">
        <f>IF(OR($J187=0,COUNTIFS($A$4:$A186,"&gt;="&amp;$A187-1,$A$4:$A186,"&lt;="&amp;$A187,$B$4:$B186,$B187)&gt;0,MIN(AL$1,IF($A187=$A186,AL186,1))-Q187&lt;0),-1,MIN(1,IF($A187=$A186,AL186,1)-Q187+$D$3))</f>
        <v>#N/A</v>
      </c>
      <c r="AM187" t="e">
        <f>IF(OR($J187=0,COUNTIFS($A$4:$A186,"&gt;="&amp;$A187-1,$A$4:$A186,"&lt;="&amp;$A187,$B$4:$B186,$B187)&gt;0,MIN(AM$1,IF($A187=$A186,AM186,1))-R187&lt;0),-1,MIN(1,IF($A187=$A186,AM186,1)-R187+$D$3))</f>
        <v>#N/A</v>
      </c>
      <c r="AN187" t="e">
        <f>IF(OR($J187=0,COUNTIFS($A$4:$A186,"&gt;="&amp;$A187-1,$A$4:$A186,"&lt;="&amp;$A187,$B$4:$B186,$B187)&gt;0,MIN(AN$1,IF($A187=$A186,AN186,1))-S187&lt;0),-1,MIN(1,IF($A187=$A186,AN186,1)-S187+$D$3))</f>
        <v>#N/A</v>
      </c>
      <c r="AO187" t="e">
        <f>IF(OR($J187=0,COUNTIFS($A$4:$A186,"&gt;="&amp;$A187-1,$A$4:$A186,"&lt;="&amp;$A187,$B$4:$B186,$B187)&gt;0,MIN(AO$1,IF($A187=$A186,AO186,1))-T187&lt;0),-1,MIN(1,IF($A187=$A186,AO186,1)-T187+$D$3))</f>
        <v>#N/A</v>
      </c>
      <c r="AP187" t="e">
        <f>IF(OR($J187=0,COUNTIFS($A$4:$A186,"&gt;="&amp;$A187-1,$A$4:$A186,"&lt;="&amp;$A187,$B$4:$B186,$B187)&gt;0,MIN(AP$1,IF($A187=$A186,AP186,1))-U187&lt;0),-1,MIN(1,IF($A187=$A186,AP186,1)-U187+$D$3))</f>
        <v>#N/A</v>
      </c>
      <c r="AQ187" t="e">
        <f>IF(OR($J187=0,COUNTIFS($A$4:$A186,"&gt;="&amp;$A187-1,$A$4:$A186,"&lt;="&amp;$A187,$B$4:$B186,$B187)&gt;0,MIN(AQ$1,IF($A187=$A186,AQ186,1))-V187&lt;0),-1,MIN(1,IF($A187=$A186,AQ186,1)-V187+$D$3))</f>
        <v>#N/A</v>
      </c>
      <c r="AR187" t="e">
        <f>IF(OR($J187=0,COUNTIFS($A$4:$A186,"&gt;="&amp;$A187-1,$A$4:$A186,"&lt;="&amp;$A187,$B$4:$B186,$B187)&gt;0,MIN(AR$1,IF($A187=$A186,AR186,1))-W187&lt;0),-1,MIN(1,IF($A187=$A186,AR186,1)-W187+$D$3))</f>
        <v>#N/A</v>
      </c>
      <c r="AS187" t="e">
        <f>IF(OR($J187=0,COUNTIFS($A$4:$A186,"&gt;="&amp;$A187-1,$A$4:$A186,"&lt;="&amp;$A187,$B$4:$B186,$B187)&gt;0,MIN(AS$1,IF($A187=$A186,AS186,1))-X187&lt;0),-1,MIN(1,IF($A187=$A186,AS186,1)-X187+$D$3))</f>
        <v>#N/A</v>
      </c>
      <c r="AT187" t="e">
        <f>IF(OR($J187=0,COUNTIFS($A$4:$A186,"&gt;="&amp;$A187-1,$A$4:$A186,"&lt;="&amp;$A187,$B$4:$B186,$B187)&gt;0,MIN(AT$1,IF($A187=$A186,AT186,1))-Y187&lt;0),-1,MIN(1,IF($A187=$A186,AT186,1)-Y187+$D$3))</f>
        <v>#N/A</v>
      </c>
      <c r="AU187" t="e">
        <f>IF(OR($J187=0,COUNTIFS($A$4:$A186,"&gt;="&amp;$A187-1,$A$4:$A186,"&lt;="&amp;$A187,$B$4:$B186,$B187)&gt;0,MIN(AU$1,IF($A187=$A186,AU186,1))-Z187&lt;0),-1,MIN(1,IF($A187=$A186,AU186,1)-Z187+$D$3))</f>
        <v>#N/A</v>
      </c>
      <c r="AV187" t="e">
        <f>IF(OR($J187=0,COUNTIFS($A$4:$A186,"&gt;="&amp;$A187-1,$A$4:$A186,"&lt;="&amp;$A187,$B$4:$B186,$B187)&gt;0,MIN(AV$1,IF($A187=$A186,AV186,1))-AA187&lt;0),-1,MIN(1,IF($A187=$A186,AV186,1)-AA187+$D$3))</f>
        <v>#N/A</v>
      </c>
      <c r="AW187" t="e">
        <f>IF(OR($J187=0,COUNTIFS($A$4:$A186,"&gt;="&amp;$A187-1,$A$4:$A186,"&lt;="&amp;$A187,$B$4:$B186,$B187)&gt;0,MIN(AW$1,IF($A187=$A186,AW186,1))-AB187&lt;0),-1,MIN(1,IF($A187=$A186,AW186,1)-AB187+$D$3))</f>
        <v>#N/A</v>
      </c>
      <c r="AX187" t="e">
        <f>IF(OR($J187=0,COUNTIFS($A$4:$A186,"&gt;="&amp;$A187-1,$A$4:$A186,"&lt;="&amp;$A187,$B$4:$B186,$B187)&gt;0,MIN(AX$1,IF($A187=$A186,AX186,1))-AC187&lt;0),-1,MIN(1,IF($A187=$A186,AX186,1)-AC187+$D$3))</f>
        <v>#N/A</v>
      </c>
      <c r="AY187" t="e">
        <f>IF(OR($J187=0,COUNTIFS($A$4:$A186,"&gt;="&amp;$A187-1,$A$4:$A186,"&lt;="&amp;$A187,$B$4:$B186,$B187)&gt;0,MIN(AY$1,IF($A187=$A186,AY186,1))-AD187&lt;0),-1,MIN(1,IF($A187=$A186,AY186,1)-AD187+$D$3))</f>
        <v>#N/A</v>
      </c>
      <c r="AZ187" t="e">
        <f>IF(OR($J187=0,COUNTIFS($A$4:$A186,"&gt;="&amp;$A187-1,$A$4:$A186,"&lt;="&amp;$A187,$B$4:$B186,$B187)&gt;0,MIN(AZ$1,IF($A187=$A186,AZ186,1))-AE187&lt;0),-1,MIN(1,IF($A187=$A186,AZ186,1)-AE187+$D$3))</f>
        <v>#N/A</v>
      </c>
      <c r="BA187" t="e">
        <f>IF(OR($J187=0,COUNTIFS($A$4:$A186,"&gt;="&amp;$A187-1,$A$4:$A186,"&lt;="&amp;$A187,$B$4:$B186,$B187)&gt;0,MIN(BA$1,IF($A187=$A186,BA186,1))-AF187&lt;0),-1,MIN(1,IF($A187=$A186,BA186,1)-AF187+$D$3))</f>
        <v>#N/A</v>
      </c>
      <c r="BB187" t="e">
        <f>IF(OR($J187=0,COUNTIFS($A$4:$A186,"&gt;="&amp;$A187-1,$A$4:$A186,"&lt;="&amp;$A187,$B$4:$B186,$B187)&gt;0,MIN(BB$1,IF($A187=$A186,BB186,1))-AG187&lt;0),-1,MIN(1,IF($A187=$A186,BB186,1)-AG187+$D$3))</f>
        <v>#N/A</v>
      </c>
      <c r="BC187" t="e">
        <f>IF(OR($J187=0,COUNTIFS($A$4:$A186,"&gt;="&amp;$A187-1,$A$4:$A186,"&lt;="&amp;$A187,$B$4:$B186,$B187)&gt;0,MIN(BC$1,IF($A187=$A186,BC186,1))-AH187&lt;0),-1,MIN(1,IF($A187=$A186,BC186,1)-AH187+$D$3))</f>
        <v>#N/A</v>
      </c>
      <c r="BD187" t="e">
        <f>IF(OR($J187=0,COUNTIFS($A$4:$A186,"&gt;="&amp;$A187-1,$A$4:$A186,"&lt;="&amp;$A187,$B$4:$B186,$B187)&gt;0,MIN(BD$1,IF($A187=$A186,BD186,1))-AI187&lt;0),-1,MIN(1,IF($A187=$A186,BD186,1)-AI187+$D$3))</f>
        <v>#N/A</v>
      </c>
      <c r="BF187" s="44">
        <f t="shared" si="267"/>
        <v>1.7771564479383513E-4</v>
      </c>
      <c r="BG187" s="44">
        <f t="shared" si="268"/>
        <v>4.3705291857285851E-4</v>
      </c>
      <c r="BH187" s="44">
        <f t="shared" si="269"/>
        <v>4.4793326807259073E-4</v>
      </c>
      <c r="BI187" s="44">
        <f t="shared" si="270"/>
        <v>4.1376597627697004E-4</v>
      </c>
      <c r="BJ187" s="44">
        <f t="shared" si="271"/>
        <v>4.2766641775233755E-4</v>
      </c>
      <c r="BK187" s="44">
        <f t="shared" si="272"/>
        <v>1.8365590529940398E-4</v>
      </c>
      <c r="BL187" s="44">
        <f t="shared" si="273"/>
        <v>9.921380938985428E-5</v>
      </c>
      <c r="BM187" s="44">
        <f t="shared" si="274"/>
        <v>2.5238834539165038E-4</v>
      </c>
      <c r="BN187" s="44">
        <f t="shared" si="275"/>
        <v>2.6250354918920608E-4</v>
      </c>
      <c r="BO187" s="44">
        <f t="shared" si="276"/>
        <v>1.2301912401648012E-4</v>
      </c>
      <c r="BP187" s="44">
        <f t="shared" si="277"/>
        <v>4.1364906361492158E-4</v>
      </c>
      <c r="BQ187" s="44">
        <f t="shared" si="278"/>
        <v>1.116267591387155E-4</v>
      </c>
      <c r="BR187" s="44">
        <f t="shared" si="279"/>
        <v>3.2977338959583064E-4</v>
      </c>
      <c r="BS187" s="44">
        <f t="shared" si="280"/>
        <v>1.77851165139453E-4</v>
      </c>
      <c r="BT187" s="44">
        <f t="shared" si="281"/>
        <v>7.0381158543525305E-4</v>
      </c>
      <c r="BU187" s="44">
        <f t="shared" si="282"/>
        <v>6.723518490911359E-4</v>
      </c>
      <c r="BV187" s="44">
        <f t="shared" si="283"/>
        <v>6.4570447159432369E-4</v>
      </c>
      <c r="BW187" s="44">
        <f t="shared" si="284"/>
        <v>4.2232625780916079E-4</v>
      </c>
      <c r="BX187" s="44">
        <f t="shared" si="285"/>
        <v>3.1200697014033784E-4</v>
      </c>
      <c r="BY187" s="44">
        <f t="shared" si="286"/>
        <v>2.678938449947589E-4</v>
      </c>
      <c r="CA187" s="44" t="str">
        <f t="shared" si="287"/>
        <v/>
      </c>
      <c r="CB187" s="44" t="str">
        <f t="shared" si="288"/>
        <v/>
      </c>
      <c r="CC187" s="44" t="str">
        <f t="shared" si="289"/>
        <v/>
      </c>
      <c r="CD187" s="44" t="str">
        <f t="shared" si="290"/>
        <v/>
      </c>
      <c r="CE187" s="44" t="str">
        <f t="shared" si="291"/>
        <v/>
      </c>
      <c r="CF187" s="44" t="str">
        <f t="shared" si="292"/>
        <v/>
      </c>
      <c r="CG187" s="44" t="str">
        <f t="shared" si="293"/>
        <v/>
      </c>
      <c r="CH187" s="44" t="str">
        <f t="shared" si="294"/>
        <v/>
      </c>
      <c r="CI187" s="44" t="str">
        <f t="shared" si="295"/>
        <v/>
      </c>
      <c r="CJ187" s="44" t="str">
        <f t="shared" si="296"/>
        <v/>
      </c>
      <c r="CK187" s="44" t="str">
        <f t="shared" si="297"/>
        <v/>
      </c>
      <c r="CL187" s="44" t="str">
        <f t="shared" si="298"/>
        <v/>
      </c>
      <c r="CM187" s="44" t="str">
        <f t="shared" si="299"/>
        <v/>
      </c>
      <c r="CN187" s="44" t="str">
        <f t="shared" si="300"/>
        <v/>
      </c>
      <c r="CO187" s="44" t="str">
        <f t="shared" si="301"/>
        <v/>
      </c>
      <c r="CP187" s="44" t="str">
        <f t="shared" si="302"/>
        <v/>
      </c>
      <c r="CQ187" s="44" t="str">
        <f t="shared" si="303"/>
        <v/>
      </c>
      <c r="CR187" s="44" t="str">
        <f t="shared" si="304"/>
        <v/>
      </c>
      <c r="CS187" s="44" t="str">
        <f t="shared" si="305"/>
        <v/>
      </c>
      <c r="CT187" s="44" t="str">
        <f t="shared" si="306"/>
        <v/>
      </c>
      <c r="CV187" s="44">
        <f t="shared" si="307"/>
        <v>0</v>
      </c>
    </row>
    <row r="188" spans="1:100" x14ac:dyDescent="0.25">
      <c r="A188" s="41"/>
      <c r="B188" s="42"/>
      <c r="C188" s="43" t="str" cm="1">
        <f t="array" ref="C188">IF(B188="","",INDEX(UWS!$B$10:$B$41,B188))</f>
        <v/>
      </c>
      <c r="D188" s="40" t="str">
        <f t="shared" si="264"/>
        <v/>
      </c>
      <c r="E188" s="69" t="str">
        <f t="shared" si="265"/>
        <v/>
      </c>
      <c r="F188" s="48" cm="1">
        <f t="array" ref="F188">0.1+IFERROR(INDEX($F$5:$F187,SUMPRODUCT(MAX(ROW($C$5:$C187)*($C188=$C$5:$C187))-ROW($A$4)))*0.9^($A188-INDEX($A$5:A187,SUMPRODUCT(MAX(ROW($C$5:$C187)*($C188=$C$5:$C187))-ROW($A$4)))),0)</f>
        <v>12.299999999999972</v>
      </c>
      <c r="G188" s="55" t="e">
        <f>INDEX(UWS!$AB$10:$AB$41,MATCH(C188,UWS!$B$10:$B$41,0))</f>
        <v>#N/A</v>
      </c>
      <c r="H188" s="48" t="e">
        <f>INDEX(UWS!$C$10:$C$41,MATCH(C188,UWS!$B$10:$B$41,0))</f>
        <v>#N/A</v>
      </c>
      <c r="I188" s="27">
        <f t="shared" si="266"/>
        <v>5</v>
      </c>
      <c r="J188" s="27" t="e">
        <f>INDEX(UWS!$E$10:$E$41,MATCH(C188,UWS!$B$10:$B$41,0))</f>
        <v>#N/A</v>
      </c>
      <c r="L188" s="108" t="str" cm="1">
        <f t="array" ref="L188">IF(K188="","",INDEX(UWS!$B$10:$B$41,K188))</f>
        <v/>
      </c>
      <c r="N188" s="108" t="str" cm="1">
        <f t="array" ref="N188">IF(M188="","",INDEX(UWS!$B$10:$B$41,M188))</f>
        <v/>
      </c>
      <c r="P188">
        <f>IFERROR(INDEX(UWS!$G$10:$Z$41,MATCH($C188,UWS!$B$10:$B$41,0),MATCH(P$4,UWS!$G$3:$Z$3,0)),0)</f>
        <v>0</v>
      </c>
      <c r="Q188">
        <f>IFERROR(INDEX(UWS!$G$10:$Z$41,MATCH($C188,UWS!$B$10:$B$41,0),MATCH(Q$4,UWS!$G$3:$Z$3,0)),0)</f>
        <v>0</v>
      </c>
      <c r="R188">
        <f>IFERROR(INDEX(UWS!$G$10:$Z$41,MATCH($C188,UWS!$B$10:$B$41,0),MATCH(R$4,UWS!$G$3:$Z$3,0)),0)</f>
        <v>0</v>
      </c>
      <c r="S188">
        <f>IFERROR(INDEX(UWS!$G$10:$Z$41,MATCH($C188,UWS!$B$10:$B$41,0),MATCH(S$4,UWS!$G$3:$Z$3,0)),0)</f>
        <v>0</v>
      </c>
      <c r="T188">
        <f>IFERROR(INDEX(UWS!$G$10:$Z$41,MATCH($C188,UWS!$B$10:$B$41,0),MATCH(T$4,UWS!$G$3:$Z$3,0)),0)</f>
        <v>0</v>
      </c>
      <c r="U188">
        <f>IFERROR(INDEX(UWS!$G$10:$Z$41,MATCH($C188,UWS!$B$10:$B$41,0),MATCH(U$4,UWS!$G$3:$Z$3,0)),0)</f>
        <v>0</v>
      </c>
      <c r="V188">
        <f>IFERROR(INDEX(UWS!$G$10:$Z$41,MATCH($C188,UWS!$B$10:$B$41,0),MATCH(V$4,UWS!$G$3:$Z$3,0)),0)</f>
        <v>0</v>
      </c>
      <c r="W188">
        <f>IFERROR(INDEX(UWS!$G$10:$Z$41,MATCH($C188,UWS!$B$10:$B$41,0),MATCH(W$4,UWS!$G$3:$Z$3,0)),0)</f>
        <v>0</v>
      </c>
      <c r="X188">
        <f>IFERROR(INDEX(UWS!$G$10:$Z$41,MATCH($C188,UWS!$B$10:$B$41,0),MATCH(X$4,UWS!$G$3:$Z$3,0)),0)</f>
        <v>0</v>
      </c>
      <c r="Y188">
        <f>IFERROR(INDEX(UWS!$G$10:$Z$41,MATCH($C188,UWS!$B$10:$B$41,0),MATCH(Y$4,UWS!$G$3:$Z$3,0)),0)</f>
        <v>0</v>
      </c>
      <c r="Z188">
        <f>IFERROR(INDEX(UWS!$G$10:$Z$41,MATCH($C188,UWS!$B$10:$B$41,0),MATCH(Z$4,UWS!$G$3:$Z$3,0)),0)</f>
        <v>0</v>
      </c>
      <c r="AA188">
        <f>IFERROR(INDEX(UWS!$G$10:$Z$41,MATCH($C188,UWS!$B$10:$B$41,0),MATCH(AA$4,UWS!$G$3:$Z$3,0)),0)</f>
        <v>0</v>
      </c>
      <c r="AB188">
        <f>IFERROR(INDEX(UWS!$G$10:$Z$41,MATCH($C188,UWS!$B$10:$B$41,0),MATCH(AB$4,UWS!$G$3:$Z$3,0)),0)</f>
        <v>0</v>
      </c>
      <c r="AC188">
        <f>IFERROR(INDEX(UWS!$G$10:$Z$41,MATCH($C188,UWS!$B$10:$B$41,0),MATCH(AC$4,UWS!$G$3:$Z$3,0)),0)</f>
        <v>0</v>
      </c>
      <c r="AD188">
        <f>IFERROR(INDEX(UWS!$G$10:$Z$41,MATCH($C188,UWS!$B$10:$B$41,0),MATCH(AD$4,UWS!$G$3:$Z$3,0)),0)</f>
        <v>0</v>
      </c>
      <c r="AE188">
        <f>IFERROR(INDEX(UWS!$G$10:$Z$41,MATCH($C188,UWS!$B$10:$B$41,0),MATCH(AE$4,UWS!$G$3:$Z$3,0)),0)</f>
        <v>0</v>
      </c>
      <c r="AF188">
        <f>IFERROR(INDEX(UWS!$G$10:$Z$41,MATCH($C188,UWS!$B$10:$B$41,0),MATCH(AF$4,UWS!$G$3:$Z$3,0)),0)</f>
        <v>0</v>
      </c>
      <c r="AG188">
        <f>IFERROR(INDEX(UWS!$G$10:$Z$41,MATCH($C188,UWS!$B$10:$B$41,0),MATCH(AG$4,UWS!$G$3:$Z$3,0)),0)</f>
        <v>0</v>
      </c>
      <c r="AH188">
        <f>IFERROR(INDEX(UWS!$G$10:$Z$41,MATCH($C188,UWS!$B$10:$B$41,0),MATCH(AH$4,UWS!$G$3:$Z$3,0)),0)</f>
        <v>0</v>
      </c>
      <c r="AI188">
        <f>IFERROR(INDEX(UWS!$G$10:$Z$41,MATCH($C188,UWS!$B$10:$B$41,0),MATCH(AI$4,UWS!$G$3:$Z$3,0)),0)</f>
        <v>0</v>
      </c>
      <c r="AK188" t="e">
        <f>IF(OR($J188=0,COUNTIFS($A$4:$A187,"&gt;="&amp;$A188-1,$A$4:$A187,"&lt;="&amp;$A188,$B$4:$B187,$B188)&gt;0,MIN(AK$1,IF($A188=$A187,AK187,1))-P188&lt;0),-1,MIN(1,IF($A188=$A187,AK187,1)-P188+$D$3))</f>
        <v>#N/A</v>
      </c>
      <c r="AL188" t="e">
        <f>IF(OR($J188=0,COUNTIFS($A$4:$A187,"&gt;="&amp;$A188-1,$A$4:$A187,"&lt;="&amp;$A188,$B$4:$B187,$B188)&gt;0,MIN(AL$1,IF($A188=$A187,AL187,1))-Q188&lt;0),-1,MIN(1,IF($A188=$A187,AL187,1)-Q188+$D$3))</f>
        <v>#N/A</v>
      </c>
      <c r="AM188" t="e">
        <f>IF(OR($J188=0,COUNTIFS($A$4:$A187,"&gt;="&amp;$A188-1,$A$4:$A187,"&lt;="&amp;$A188,$B$4:$B187,$B188)&gt;0,MIN(AM$1,IF($A188=$A187,AM187,1))-R188&lt;0),-1,MIN(1,IF($A188=$A187,AM187,1)-R188+$D$3))</f>
        <v>#N/A</v>
      </c>
      <c r="AN188" t="e">
        <f>IF(OR($J188=0,COUNTIFS($A$4:$A187,"&gt;="&amp;$A188-1,$A$4:$A187,"&lt;="&amp;$A188,$B$4:$B187,$B188)&gt;0,MIN(AN$1,IF($A188=$A187,AN187,1))-S188&lt;0),-1,MIN(1,IF($A188=$A187,AN187,1)-S188+$D$3))</f>
        <v>#N/A</v>
      </c>
      <c r="AO188" t="e">
        <f>IF(OR($J188=0,COUNTIFS($A$4:$A187,"&gt;="&amp;$A188-1,$A$4:$A187,"&lt;="&amp;$A188,$B$4:$B187,$B188)&gt;0,MIN(AO$1,IF($A188=$A187,AO187,1))-T188&lt;0),-1,MIN(1,IF($A188=$A187,AO187,1)-T188+$D$3))</f>
        <v>#N/A</v>
      </c>
      <c r="AP188" t="e">
        <f>IF(OR($J188=0,COUNTIFS($A$4:$A187,"&gt;="&amp;$A188-1,$A$4:$A187,"&lt;="&amp;$A188,$B$4:$B187,$B188)&gt;0,MIN(AP$1,IF($A188=$A187,AP187,1))-U188&lt;0),-1,MIN(1,IF($A188=$A187,AP187,1)-U188+$D$3))</f>
        <v>#N/A</v>
      </c>
      <c r="AQ188" t="e">
        <f>IF(OR($J188=0,COUNTIFS($A$4:$A187,"&gt;="&amp;$A188-1,$A$4:$A187,"&lt;="&amp;$A188,$B$4:$B187,$B188)&gt;0,MIN(AQ$1,IF($A188=$A187,AQ187,1))-V188&lt;0),-1,MIN(1,IF($A188=$A187,AQ187,1)-V188+$D$3))</f>
        <v>#N/A</v>
      </c>
      <c r="AR188" t="e">
        <f>IF(OR($J188=0,COUNTIFS($A$4:$A187,"&gt;="&amp;$A188-1,$A$4:$A187,"&lt;="&amp;$A188,$B$4:$B187,$B188)&gt;0,MIN(AR$1,IF($A188=$A187,AR187,1))-W188&lt;0),-1,MIN(1,IF($A188=$A187,AR187,1)-W188+$D$3))</f>
        <v>#N/A</v>
      </c>
      <c r="AS188" t="e">
        <f>IF(OR($J188=0,COUNTIFS($A$4:$A187,"&gt;="&amp;$A188-1,$A$4:$A187,"&lt;="&amp;$A188,$B$4:$B187,$B188)&gt;0,MIN(AS$1,IF($A188=$A187,AS187,1))-X188&lt;0),-1,MIN(1,IF($A188=$A187,AS187,1)-X188+$D$3))</f>
        <v>#N/A</v>
      </c>
      <c r="AT188" t="e">
        <f>IF(OR($J188=0,COUNTIFS($A$4:$A187,"&gt;="&amp;$A188-1,$A$4:$A187,"&lt;="&amp;$A188,$B$4:$B187,$B188)&gt;0,MIN(AT$1,IF($A188=$A187,AT187,1))-Y188&lt;0),-1,MIN(1,IF($A188=$A187,AT187,1)-Y188+$D$3))</f>
        <v>#N/A</v>
      </c>
      <c r="AU188" t="e">
        <f>IF(OR($J188=0,COUNTIFS($A$4:$A187,"&gt;="&amp;$A188-1,$A$4:$A187,"&lt;="&amp;$A188,$B$4:$B187,$B188)&gt;0,MIN(AU$1,IF($A188=$A187,AU187,1))-Z188&lt;0),-1,MIN(1,IF($A188=$A187,AU187,1)-Z188+$D$3))</f>
        <v>#N/A</v>
      </c>
      <c r="AV188" t="e">
        <f>IF(OR($J188=0,COUNTIFS($A$4:$A187,"&gt;="&amp;$A188-1,$A$4:$A187,"&lt;="&amp;$A188,$B$4:$B187,$B188)&gt;0,MIN(AV$1,IF($A188=$A187,AV187,1))-AA188&lt;0),-1,MIN(1,IF($A188=$A187,AV187,1)-AA188+$D$3))</f>
        <v>#N/A</v>
      </c>
      <c r="AW188" t="e">
        <f>IF(OR($J188=0,COUNTIFS($A$4:$A187,"&gt;="&amp;$A188-1,$A$4:$A187,"&lt;="&amp;$A188,$B$4:$B187,$B188)&gt;0,MIN(AW$1,IF($A188=$A187,AW187,1))-AB188&lt;0),-1,MIN(1,IF($A188=$A187,AW187,1)-AB188+$D$3))</f>
        <v>#N/A</v>
      </c>
      <c r="AX188" t="e">
        <f>IF(OR($J188=0,COUNTIFS($A$4:$A187,"&gt;="&amp;$A188-1,$A$4:$A187,"&lt;="&amp;$A188,$B$4:$B187,$B188)&gt;0,MIN(AX$1,IF($A188=$A187,AX187,1))-AC188&lt;0),-1,MIN(1,IF($A188=$A187,AX187,1)-AC188+$D$3))</f>
        <v>#N/A</v>
      </c>
      <c r="AY188" t="e">
        <f>IF(OR($J188=0,COUNTIFS($A$4:$A187,"&gt;="&amp;$A188-1,$A$4:$A187,"&lt;="&amp;$A188,$B$4:$B187,$B188)&gt;0,MIN(AY$1,IF($A188=$A187,AY187,1))-AD188&lt;0),-1,MIN(1,IF($A188=$A187,AY187,1)-AD188+$D$3))</f>
        <v>#N/A</v>
      </c>
      <c r="AZ188" t="e">
        <f>IF(OR($J188=0,COUNTIFS($A$4:$A187,"&gt;="&amp;$A188-1,$A$4:$A187,"&lt;="&amp;$A188,$B$4:$B187,$B188)&gt;0,MIN(AZ$1,IF($A188=$A187,AZ187,1))-AE188&lt;0),-1,MIN(1,IF($A188=$A187,AZ187,1)-AE188+$D$3))</f>
        <v>#N/A</v>
      </c>
      <c r="BA188" t="e">
        <f>IF(OR($J188=0,COUNTIFS($A$4:$A187,"&gt;="&amp;$A188-1,$A$4:$A187,"&lt;="&amp;$A188,$B$4:$B187,$B188)&gt;0,MIN(BA$1,IF($A188=$A187,BA187,1))-AF188&lt;0),-1,MIN(1,IF($A188=$A187,BA187,1)-AF188+$D$3))</f>
        <v>#N/A</v>
      </c>
      <c r="BB188" t="e">
        <f>IF(OR($J188=0,COUNTIFS($A$4:$A187,"&gt;="&amp;$A188-1,$A$4:$A187,"&lt;="&amp;$A188,$B$4:$B187,$B188)&gt;0,MIN(BB$1,IF($A188=$A187,BB187,1))-AG188&lt;0),-1,MIN(1,IF($A188=$A187,BB187,1)-AG188+$D$3))</f>
        <v>#N/A</v>
      </c>
      <c r="BC188" t="e">
        <f>IF(OR($J188=0,COUNTIFS($A$4:$A187,"&gt;="&amp;$A188-1,$A$4:$A187,"&lt;="&amp;$A188,$B$4:$B187,$B188)&gt;0,MIN(BC$1,IF($A188=$A187,BC187,1))-AH188&lt;0),-1,MIN(1,IF($A188=$A187,BC187,1)-AH188+$D$3))</f>
        <v>#N/A</v>
      </c>
      <c r="BD188" t="e">
        <f>IF(OR($J188=0,COUNTIFS($A$4:$A187,"&gt;="&amp;$A188-1,$A$4:$A187,"&lt;="&amp;$A188,$B$4:$B187,$B188)&gt;0,MIN(BD$1,IF($A188=$A187,BD187,1))-AI188&lt;0),-1,MIN(1,IF($A188=$A187,BD187,1)-AI188+$D$3))</f>
        <v>#N/A</v>
      </c>
      <c r="BF188" s="44">
        <f t="shared" si="267"/>
        <v>1.6882986255414338E-4</v>
      </c>
      <c r="BG188" s="44">
        <f t="shared" si="268"/>
        <v>4.1520027264421559E-4</v>
      </c>
      <c r="BH188" s="44">
        <f t="shared" si="269"/>
        <v>4.2553660466896118E-4</v>
      </c>
      <c r="BI188" s="44">
        <f t="shared" si="270"/>
        <v>3.9307767746312149E-4</v>
      </c>
      <c r="BJ188" s="44">
        <f t="shared" si="271"/>
        <v>4.0628309686472063E-4</v>
      </c>
      <c r="BK188" s="44">
        <f t="shared" si="272"/>
        <v>1.7447311003443376E-4</v>
      </c>
      <c r="BL188" s="44">
        <f t="shared" si="273"/>
        <v>9.4253118920361562E-5</v>
      </c>
      <c r="BM188" s="44">
        <f t="shared" si="274"/>
        <v>2.3976892812206785E-4</v>
      </c>
      <c r="BN188" s="44">
        <f t="shared" si="275"/>
        <v>2.4937837172974575E-4</v>
      </c>
      <c r="BO188" s="44">
        <f t="shared" si="276"/>
        <v>1.1686816781565611E-4</v>
      </c>
      <c r="BP188" s="44">
        <f t="shared" si="277"/>
        <v>3.929666104341755E-4</v>
      </c>
      <c r="BQ188" s="44">
        <f t="shared" si="278"/>
        <v>1.0604542118177973E-4</v>
      </c>
      <c r="BR188" s="44">
        <f t="shared" si="279"/>
        <v>3.1328472011603911E-4</v>
      </c>
      <c r="BS188" s="44">
        <f t="shared" si="280"/>
        <v>1.6895860688248034E-4</v>
      </c>
      <c r="BT188" s="44">
        <f t="shared" si="281"/>
        <v>6.6862100616349039E-4</v>
      </c>
      <c r="BU188" s="44">
        <f t="shared" si="282"/>
        <v>6.3873425663657903E-4</v>
      </c>
      <c r="BV188" s="44">
        <f t="shared" si="283"/>
        <v>6.1341924801460747E-4</v>
      </c>
      <c r="BW188" s="44">
        <f t="shared" si="284"/>
        <v>4.0120994491870272E-4</v>
      </c>
      <c r="BX188" s="44">
        <f t="shared" si="285"/>
        <v>2.9640662163332092E-4</v>
      </c>
      <c r="BY188" s="44">
        <f t="shared" si="286"/>
        <v>2.5449915274502094E-4</v>
      </c>
      <c r="CA188" s="44" t="str">
        <f t="shared" si="287"/>
        <v/>
      </c>
      <c r="CB188" s="44" t="str">
        <f t="shared" si="288"/>
        <v/>
      </c>
      <c r="CC188" s="44" t="str">
        <f t="shared" si="289"/>
        <v/>
      </c>
      <c r="CD188" s="44" t="str">
        <f t="shared" si="290"/>
        <v/>
      </c>
      <c r="CE188" s="44" t="str">
        <f t="shared" si="291"/>
        <v/>
      </c>
      <c r="CF188" s="44" t="str">
        <f t="shared" si="292"/>
        <v/>
      </c>
      <c r="CG188" s="44" t="str">
        <f t="shared" si="293"/>
        <v/>
      </c>
      <c r="CH188" s="44" t="str">
        <f t="shared" si="294"/>
        <v/>
      </c>
      <c r="CI188" s="44" t="str">
        <f t="shared" si="295"/>
        <v/>
      </c>
      <c r="CJ188" s="44" t="str">
        <f t="shared" si="296"/>
        <v/>
      </c>
      <c r="CK188" s="44" t="str">
        <f t="shared" si="297"/>
        <v/>
      </c>
      <c r="CL188" s="44" t="str">
        <f t="shared" si="298"/>
        <v/>
      </c>
      <c r="CM188" s="44" t="str">
        <f t="shared" si="299"/>
        <v/>
      </c>
      <c r="CN188" s="44" t="str">
        <f t="shared" si="300"/>
        <v/>
      </c>
      <c r="CO188" s="44" t="str">
        <f t="shared" si="301"/>
        <v/>
      </c>
      <c r="CP188" s="44" t="str">
        <f t="shared" si="302"/>
        <v/>
      </c>
      <c r="CQ188" s="44" t="str">
        <f t="shared" si="303"/>
        <v/>
      </c>
      <c r="CR188" s="44" t="str">
        <f t="shared" si="304"/>
        <v/>
      </c>
      <c r="CS188" s="44" t="str">
        <f t="shared" si="305"/>
        <v/>
      </c>
      <c r="CT188" s="44" t="str">
        <f t="shared" si="306"/>
        <v/>
      </c>
      <c r="CV188" s="44">
        <f t="shared" si="307"/>
        <v>0</v>
      </c>
    </row>
    <row r="189" spans="1:100" x14ac:dyDescent="0.25">
      <c r="A189" s="41"/>
      <c r="B189" s="42"/>
      <c r="C189" s="43" t="str" cm="1">
        <f t="array" ref="C189">IF(B189="","",INDEX(UWS!$B$10:$B$41,B189))</f>
        <v/>
      </c>
      <c r="D189" s="40" t="str">
        <f t="shared" si="264"/>
        <v/>
      </c>
      <c r="E189" s="69" t="str">
        <f t="shared" si="265"/>
        <v/>
      </c>
      <c r="F189" s="48" cm="1">
        <f t="array" ref="F189">0.1+IFERROR(INDEX($F$5:$F188,SUMPRODUCT(MAX(ROW($C$5:$C188)*($C189=$C$5:$C188))-ROW($A$4)))*0.9^($A189-INDEX($A$5:A188,SUMPRODUCT(MAX(ROW($C$5:$C188)*($C189=$C$5:$C188))-ROW($A$4)))),0)</f>
        <v>12.399999999999972</v>
      </c>
      <c r="G189" s="55" t="e">
        <f>INDEX(UWS!$AB$10:$AB$41,MATCH(C189,UWS!$B$10:$B$41,0))</f>
        <v>#N/A</v>
      </c>
      <c r="H189" s="48" t="e">
        <f>INDEX(UWS!$C$10:$C$41,MATCH(C189,UWS!$B$10:$B$41,0))</f>
        <v>#N/A</v>
      </c>
      <c r="I189" s="27">
        <f t="shared" si="266"/>
        <v>5</v>
      </c>
      <c r="J189" s="27" t="e">
        <f>INDEX(UWS!$E$10:$E$41,MATCH(C189,UWS!$B$10:$B$41,0))</f>
        <v>#N/A</v>
      </c>
      <c r="L189" s="108" t="str" cm="1">
        <f t="array" ref="L189">IF(K189="","",INDEX(UWS!$B$10:$B$41,K189))</f>
        <v/>
      </c>
      <c r="N189" s="108" t="str" cm="1">
        <f t="array" ref="N189">IF(M189="","",INDEX(UWS!$B$10:$B$41,M189))</f>
        <v/>
      </c>
      <c r="P189">
        <f>IFERROR(INDEX(UWS!$G$10:$Z$41,MATCH($C189,UWS!$B$10:$B$41,0),MATCH(P$4,UWS!$G$3:$Z$3,0)),0)</f>
        <v>0</v>
      </c>
      <c r="Q189">
        <f>IFERROR(INDEX(UWS!$G$10:$Z$41,MATCH($C189,UWS!$B$10:$B$41,0),MATCH(Q$4,UWS!$G$3:$Z$3,0)),0)</f>
        <v>0</v>
      </c>
      <c r="R189">
        <f>IFERROR(INDEX(UWS!$G$10:$Z$41,MATCH($C189,UWS!$B$10:$B$41,0),MATCH(R$4,UWS!$G$3:$Z$3,0)),0)</f>
        <v>0</v>
      </c>
      <c r="S189">
        <f>IFERROR(INDEX(UWS!$G$10:$Z$41,MATCH($C189,UWS!$B$10:$B$41,0),MATCH(S$4,UWS!$G$3:$Z$3,0)),0)</f>
        <v>0</v>
      </c>
      <c r="T189">
        <f>IFERROR(INDEX(UWS!$G$10:$Z$41,MATCH($C189,UWS!$B$10:$B$41,0),MATCH(T$4,UWS!$G$3:$Z$3,0)),0)</f>
        <v>0</v>
      </c>
      <c r="U189">
        <f>IFERROR(INDEX(UWS!$G$10:$Z$41,MATCH($C189,UWS!$B$10:$B$41,0),MATCH(U$4,UWS!$G$3:$Z$3,0)),0)</f>
        <v>0</v>
      </c>
      <c r="V189">
        <f>IFERROR(INDEX(UWS!$G$10:$Z$41,MATCH($C189,UWS!$B$10:$B$41,0),MATCH(V$4,UWS!$G$3:$Z$3,0)),0)</f>
        <v>0</v>
      </c>
      <c r="W189">
        <f>IFERROR(INDEX(UWS!$G$10:$Z$41,MATCH($C189,UWS!$B$10:$B$41,0),MATCH(W$4,UWS!$G$3:$Z$3,0)),0)</f>
        <v>0</v>
      </c>
      <c r="X189">
        <f>IFERROR(INDEX(UWS!$G$10:$Z$41,MATCH($C189,UWS!$B$10:$B$41,0),MATCH(X$4,UWS!$G$3:$Z$3,0)),0)</f>
        <v>0</v>
      </c>
      <c r="Y189">
        <f>IFERROR(INDEX(UWS!$G$10:$Z$41,MATCH($C189,UWS!$B$10:$B$41,0),MATCH(Y$4,UWS!$G$3:$Z$3,0)),0)</f>
        <v>0</v>
      </c>
      <c r="Z189">
        <f>IFERROR(INDEX(UWS!$G$10:$Z$41,MATCH($C189,UWS!$B$10:$B$41,0),MATCH(Z$4,UWS!$G$3:$Z$3,0)),0)</f>
        <v>0</v>
      </c>
      <c r="AA189">
        <f>IFERROR(INDEX(UWS!$G$10:$Z$41,MATCH($C189,UWS!$B$10:$B$41,0),MATCH(AA$4,UWS!$G$3:$Z$3,0)),0)</f>
        <v>0</v>
      </c>
      <c r="AB189">
        <f>IFERROR(INDEX(UWS!$G$10:$Z$41,MATCH($C189,UWS!$B$10:$B$41,0),MATCH(AB$4,UWS!$G$3:$Z$3,0)),0)</f>
        <v>0</v>
      </c>
      <c r="AC189">
        <f>IFERROR(INDEX(UWS!$G$10:$Z$41,MATCH($C189,UWS!$B$10:$B$41,0),MATCH(AC$4,UWS!$G$3:$Z$3,0)),0)</f>
        <v>0</v>
      </c>
      <c r="AD189">
        <f>IFERROR(INDEX(UWS!$G$10:$Z$41,MATCH($C189,UWS!$B$10:$B$41,0),MATCH(AD$4,UWS!$G$3:$Z$3,0)),0)</f>
        <v>0</v>
      </c>
      <c r="AE189">
        <f>IFERROR(INDEX(UWS!$G$10:$Z$41,MATCH($C189,UWS!$B$10:$B$41,0),MATCH(AE$4,UWS!$G$3:$Z$3,0)),0)</f>
        <v>0</v>
      </c>
      <c r="AF189">
        <f>IFERROR(INDEX(UWS!$G$10:$Z$41,MATCH($C189,UWS!$B$10:$B$41,0),MATCH(AF$4,UWS!$G$3:$Z$3,0)),0)</f>
        <v>0</v>
      </c>
      <c r="AG189">
        <f>IFERROR(INDEX(UWS!$G$10:$Z$41,MATCH($C189,UWS!$B$10:$B$41,0),MATCH(AG$4,UWS!$G$3:$Z$3,0)),0)</f>
        <v>0</v>
      </c>
      <c r="AH189">
        <f>IFERROR(INDEX(UWS!$G$10:$Z$41,MATCH($C189,UWS!$B$10:$B$41,0),MATCH(AH$4,UWS!$G$3:$Z$3,0)),0)</f>
        <v>0</v>
      </c>
      <c r="AI189">
        <f>IFERROR(INDEX(UWS!$G$10:$Z$41,MATCH($C189,UWS!$B$10:$B$41,0),MATCH(AI$4,UWS!$G$3:$Z$3,0)),0)</f>
        <v>0</v>
      </c>
      <c r="AK189" t="e">
        <f>IF(OR($J189=0,COUNTIFS($A$4:$A188,"&gt;="&amp;$A189-1,$A$4:$A188,"&lt;="&amp;$A189,$B$4:$B188,$B189)&gt;0,MIN(AK$1,IF($A189=$A188,AK188,1))-P189&lt;0),-1,MIN(1,IF($A189=$A188,AK188,1)-P189+$D$3))</f>
        <v>#N/A</v>
      </c>
      <c r="AL189" t="e">
        <f>IF(OR($J189=0,COUNTIFS($A$4:$A188,"&gt;="&amp;$A189-1,$A$4:$A188,"&lt;="&amp;$A189,$B$4:$B188,$B189)&gt;0,MIN(AL$1,IF($A189=$A188,AL188,1))-Q189&lt;0),-1,MIN(1,IF($A189=$A188,AL188,1)-Q189+$D$3))</f>
        <v>#N/A</v>
      </c>
      <c r="AM189" t="e">
        <f>IF(OR($J189=0,COUNTIFS($A$4:$A188,"&gt;="&amp;$A189-1,$A$4:$A188,"&lt;="&amp;$A189,$B$4:$B188,$B189)&gt;0,MIN(AM$1,IF($A189=$A188,AM188,1))-R189&lt;0),-1,MIN(1,IF($A189=$A188,AM188,1)-R189+$D$3))</f>
        <v>#N/A</v>
      </c>
      <c r="AN189" t="e">
        <f>IF(OR($J189=0,COUNTIFS($A$4:$A188,"&gt;="&amp;$A189-1,$A$4:$A188,"&lt;="&amp;$A189,$B$4:$B188,$B189)&gt;0,MIN(AN$1,IF($A189=$A188,AN188,1))-S189&lt;0),-1,MIN(1,IF($A189=$A188,AN188,1)-S189+$D$3))</f>
        <v>#N/A</v>
      </c>
      <c r="AO189" t="e">
        <f>IF(OR($J189=0,COUNTIFS($A$4:$A188,"&gt;="&amp;$A189-1,$A$4:$A188,"&lt;="&amp;$A189,$B$4:$B188,$B189)&gt;0,MIN(AO$1,IF($A189=$A188,AO188,1))-T189&lt;0),-1,MIN(1,IF($A189=$A188,AO188,1)-T189+$D$3))</f>
        <v>#N/A</v>
      </c>
      <c r="AP189" t="e">
        <f>IF(OR($J189=0,COUNTIFS($A$4:$A188,"&gt;="&amp;$A189-1,$A$4:$A188,"&lt;="&amp;$A189,$B$4:$B188,$B189)&gt;0,MIN(AP$1,IF($A189=$A188,AP188,1))-U189&lt;0),-1,MIN(1,IF($A189=$A188,AP188,1)-U189+$D$3))</f>
        <v>#N/A</v>
      </c>
      <c r="AQ189" t="e">
        <f>IF(OR($J189=0,COUNTIFS($A$4:$A188,"&gt;="&amp;$A189-1,$A$4:$A188,"&lt;="&amp;$A189,$B$4:$B188,$B189)&gt;0,MIN(AQ$1,IF($A189=$A188,AQ188,1))-V189&lt;0),-1,MIN(1,IF($A189=$A188,AQ188,1)-V189+$D$3))</f>
        <v>#N/A</v>
      </c>
      <c r="AR189" t="e">
        <f>IF(OR($J189=0,COUNTIFS($A$4:$A188,"&gt;="&amp;$A189-1,$A$4:$A188,"&lt;="&amp;$A189,$B$4:$B188,$B189)&gt;0,MIN(AR$1,IF($A189=$A188,AR188,1))-W189&lt;0),-1,MIN(1,IF($A189=$A188,AR188,1)-W189+$D$3))</f>
        <v>#N/A</v>
      </c>
      <c r="AS189" t="e">
        <f>IF(OR($J189=0,COUNTIFS($A$4:$A188,"&gt;="&amp;$A189-1,$A$4:$A188,"&lt;="&amp;$A189,$B$4:$B188,$B189)&gt;0,MIN(AS$1,IF($A189=$A188,AS188,1))-X189&lt;0),-1,MIN(1,IF($A189=$A188,AS188,1)-X189+$D$3))</f>
        <v>#N/A</v>
      </c>
      <c r="AT189" t="e">
        <f>IF(OR($J189=0,COUNTIFS($A$4:$A188,"&gt;="&amp;$A189-1,$A$4:$A188,"&lt;="&amp;$A189,$B$4:$B188,$B189)&gt;0,MIN(AT$1,IF($A189=$A188,AT188,1))-Y189&lt;0),-1,MIN(1,IF($A189=$A188,AT188,1)-Y189+$D$3))</f>
        <v>#N/A</v>
      </c>
      <c r="AU189" t="e">
        <f>IF(OR($J189=0,COUNTIFS($A$4:$A188,"&gt;="&amp;$A189-1,$A$4:$A188,"&lt;="&amp;$A189,$B$4:$B188,$B189)&gt;0,MIN(AU$1,IF($A189=$A188,AU188,1))-Z189&lt;0),-1,MIN(1,IF($A189=$A188,AU188,1)-Z189+$D$3))</f>
        <v>#N/A</v>
      </c>
      <c r="AV189" t="e">
        <f>IF(OR($J189=0,COUNTIFS($A$4:$A188,"&gt;="&amp;$A189-1,$A$4:$A188,"&lt;="&amp;$A189,$B$4:$B188,$B189)&gt;0,MIN(AV$1,IF($A189=$A188,AV188,1))-AA189&lt;0),-1,MIN(1,IF($A189=$A188,AV188,1)-AA189+$D$3))</f>
        <v>#N/A</v>
      </c>
      <c r="AW189" t="e">
        <f>IF(OR($J189=0,COUNTIFS($A$4:$A188,"&gt;="&amp;$A189-1,$A$4:$A188,"&lt;="&amp;$A189,$B$4:$B188,$B189)&gt;0,MIN(AW$1,IF($A189=$A188,AW188,1))-AB189&lt;0),-1,MIN(1,IF($A189=$A188,AW188,1)-AB189+$D$3))</f>
        <v>#N/A</v>
      </c>
      <c r="AX189" t="e">
        <f>IF(OR($J189=0,COUNTIFS($A$4:$A188,"&gt;="&amp;$A189-1,$A$4:$A188,"&lt;="&amp;$A189,$B$4:$B188,$B189)&gt;0,MIN(AX$1,IF($A189=$A188,AX188,1))-AC189&lt;0),-1,MIN(1,IF($A189=$A188,AX188,1)-AC189+$D$3))</f>
        <v>#N/A</v>
      </c>
      <c r="AY189" t="e">
        <f>IF(OR($J189=0,COUNTIFS($A$4:$A188,"&gt;="&amp;$A189-1,$A$4:$A188,"&lt;="&amp;$A189,$B$4:$B188,$B189)&gt;0,MIN(AY$1,IF($A189=$A188,AY188,1))-AD189&lt;0),-1,MIN(1,IF($A189=$A188,AY188,1)-AD189+$D$3))</f>
        <v>#N/A</v>
      </c>
      <c r="AZ189" t="e">
        <f>IF(OR($J189=0,COUNTIFS($A$4:$A188,"&gt;="&amp;$A189-1,$A$4:$A188,"&lt;="&amp;$A189,$B$4:$B188,$B189)&gt;0,MIN(AZ$1,IF($A189=$A188,AZ188,1))-AE189&lt;0),-1,MIN(1,IF($A189=$A188,AZ188,1)-AE189+$D$3))</f>
        <v>#N/A</v>
      </c>
      <c r="BA189" t="e">
        <f>IF(OR($J189=0,COUNTIFS($A$4:$A188,"&gt;="&amp;$A189-1,$A$4:$A188,"&lt;="&amp;$A189,$B$4:$B188,$B189)&gt;0,MIN(BA$1,IF($A189=$A188,BA188,1))-AF189&lt;0),-1,MIN(1,IF($A189=$A188,BA188,1)-AF189+$D$3))</f>
        <v>#N/A</v>
      </c>
      <c r="BB189" t="e">
        <f>IF(OR($J189=0,COUNTIFS($A$4:$A188,"&gt;="&amp;$A189-1,$A$4:$A188,"&lt;="&amp;$A189,$B$4:$B188,$B189)&gt;0,MIN(BB$1,IF($A189=$A188,BB188,1))-AG189&lt;0),-1,MIN(1,IF($A189=$A188,BB188,1)-AG189+$D$3))</f>
        <v>#N/A</v>
      </c>
      <c r="BC189" t="e">
        <f>IF(OR($J189=0,COUNTIFS($A$4:$A188,"&gt;="&amp;$A189-1,$A$4:$A188,"&lt;="&amp;$A189,$B$4:$B188,$B189)&gt;0,MIN(BC$1,IF($A189=$A188,BC188,1))-AH189&lt;0),-1,MIN(1,IF($A189=$A188,BC188,1)-AH189+$D$3))</f>
        <v>#N/A</v>
      </c>
      <c r="BD189" t="e">
        <f>IF(OR($J189=0,COUNTIFS($A$4:$A188,"&gt;="&amp;$A189-1,$A$4:$A188,"&lt;="&amp;$A189,$B$4:$B188,$B189)&gt;0,MIN(BD$1,IF($A189=$A188,BD188,1))-AI189&lt;0),-1,MIN(1,IF($A189=$A188,BD188,1)-AI189+$D$3))</f>
        <v>#N/A</v>
      </c>
      <c r="BF189" s="44">
        <f t="shared" si="267"/>
        <v>1.6038836942643619E-4</v>
      </c>
      <c r="BG189" s="44">
        <f t="shared" si="268"/>
        <v>3.9444025901200479E-4</v>
      </c>
      <c r="BH189" s="44">
        <f t="shared" si="269"/>
        <v>4.0425977443551308E-4</v>
      </c>
      <c r="BI189" s="44">
        <f t="shared" si="270"/>
        <v>3.734237935899654E-4</v>
      </c>
      <c r="BJ189" s="44">
        <f t="shared" si="271"/>
        <v>3.8596894202148457E-4</v>
      </c>
      <c r="BK189" s="44">
        <f t="shared" si="272"/>
        <v>1.6574945453271206E-4</v>
      </c>
      <c r="BL189" s="44">
        <f t="shared" si="273"/>
        <v>8.9540462974343473E-5</v>
      </c>
      <c r="BM189" s="44">
        <f t="shared" si="274"/>
        <v>2.2778048171596444E-4</v>
      </c>
      <c r="BN189" s="44">
        <f t="shared" si="275"/>
        <v>2.3690945314325845E-4</v>
      </c>
      <c r="BO189" s="44">
        <f t="shared" si="276"/>
        <v>1.110247594248733E-4</v>
      </c>
      <c r="BP189" s="44">
        <f t="shared" si="277"/>
        <v>3.7331827991246672E-4</v>
      </c>
      <c r="BQ189" s="44">
        <f t="shared" si="278"/>
        <v>1.0074315012269073E-4</v>
      </c>
      <c r="BR189" s="44">
        <f t="shared" si="279"/>
        <v>2.9762048411023715E-4</v>
      </c>
      <c r="BS189" s="44">
        <f t="shared" si="280"/>
        <v>1.6051067653835631E-4</v>
      </c>
      <c r="BT189" s="44">
        <f t="shared" si="281"/>
        <v>6.3518995585531588E-4</v>
      </c>
      <c r="BU189" s="44">
        <f t="shared" si="282"/>
        <v>6.0679754380474999E-4</v>
      </c>
      <c r="BV189" s="44">
        <f t="shared" si="283"/>
        <v>5.8274828561387707E-4</v>
      </c>
      <c r="BW189" s="44">
        <f t="shared" si="284"/>
        <v>3.8114944767276757E-4</v>
      </c>
      <c r="BX189" s="44">
        <f t="shared" si="285"/>
        <v>2.8158629055165485E-4</v>
      </c>
      <c r="BY189" s="44">
        <f t="shared" si="286"/>
        <v>2.4177419510776989E-4</v>
      </c>
      <c r="CA189" s="44" t="str">
        <f t="shared" si="287"/>
        <v/>
      </c>
      <c r="CB189" s="44" t="str">
        <f t="shared" si="288"/>
        <v/>
      </c>
      <c r="CC189" s="44" t="str">
        <f t="shared" si="289"/>
        <v/>
      </c>
      <c r="CD189" s="44" t="str">
        <f t="shared" si="290"/>
        <v/>
      </c>
      <c r="CE189" s="44" t="str">
        <f t="shared" si="291"/>
        <v/>
      </c>
      <c r="CF189" s="44" t="str">
        <f t="shared" si="292"/>
        <v/>
      </c>
      <c r="CG189" s="44" t="str">
        <f t="shared" si="293"/>
        <v/>
      </c>
      <c r="CH189" s="44" t="str">
        <f t="shared" si="294"/>
        <v/>
      </c>
      <c r="CI189" s="44" t="str">
        <f t="shared" si="295"/>
        <v/>
      </c>
      <c r="CJ189" s="44" t="str">
        <f t="shared" si="296"/>
        <v/>
      </c>
      <c r="CK189" s="44" t="str">
        <f t="shared" si="297"/>
        <v/>
      </c>
      <c r="CL189" s="44" t="str">
        <f t="shared" si="298"/>
        <v/>
      </c>
      <c r="CM189" s="44" t="str">
        <f t="shared" si="299"/>
        <v/>
      </c>
      <c r="CN189" s="44" t="str">
        <f t="shared" si="300"/>
        <v/>
      </c>
      <c r="CO189" s="44" t="str">
        <f t="shared" si="301"/>
        <v/>
      </c>
      <c r="CP189" s="44" t="str">
        <f t="shared" si="302"/>
        <v/>
      </c>
      <c r="CQ189" s="44" t="str">
        <f t="shared" si="303"/>
        <v/>
      </c>
      <c r="CR189" s="44" t="str">
        <f t="shared" si="304"/>
        <v/>
      </c>
      <c r="CS189" s="44" t="str">
        <f t="shared" si="305"/>
        <v/>
      </c>
      <c r="CT189" s="44" t="str">
        <f t="shared" si="306"/>
        <v/>
      </c>
      <c r="CV189" s="44">
        <f t="shared" si="307"/>
        <v>0</v>
      </c>
    </row>
    <row r="190" spans="1:100" x14ac:dyDescent="0.25">
      <c r="A190" s="49"/>
      <c r="B190" s="50"/>
      <c r="C190" s="51" t="str" cm="1">
        <f t="array" ref="C190">IF(B190="","",INDEX(UWS!$B$10:$B$41,B190))</f>
        <v/>
      </c>
      <c r="D190" s="45" t="str">
        <f t="shared" si="264"/>
        <v/>
      </c>
      <c r="E190" s="70" t="str">
        <f t="shared" si="265"/>
        <v/>
      </c>
      <c r="F190" s="52" cm="1">
        <f t="array" ref="F190">0.1+IFERROR(INDEX($F$5:$F189,SUMPRODUCT(MAX(ROW($C$5:$C189)*($C190=$C$5:$C189))-ROW($A$4)))*0.9^($A190-INDEX($A$5:A189,SUMPRODUCT(MAX(ROW($C$5:$C189)*($C190=$C$5:$C189))-ROW($A$4)))),0)</f>
        <v>12.499999999999972</v>
      </c>
      <c r="G190" s="56" t="e">
        <f>INDEX(UWS!$AB$10:$AB$41,MATCH(C190,UWS!$B$10:$B$41,0))</f>
        <v>#N/A</v>
      </c>
      <c r="H190" s="52" t="e">
        <f>INDEX(UWS!$C$10:$C$41,MATCH(C190,UWS!$B$10:$B$41,0))</f>
        <v>#N/A</v>
      </c>
      <c r="I190" s="46">
        <f t="shared" si="266"/>
        <v>5</v>
      </c>
      <c r="J190" s="46" t="e">
        <f>INDEX(UWS!$E$10:$E$41,MATCH(C190,UWS!$B$10:$B$41,0))</f>
        <v>#N/A</v>
      </c>
      <c r="K190" s="46"/>
      <c r="L190" s="109" t="str" cm="1">
        <f t="array" ref="L190">IF(K190="","",INDEX(UWS!$B$10:$B$41,K190))</f>
        <v/>
      </c>
      <c r="M190" s="46"/>
      <c r="N190" s="109" t="str" cm="1">
        <f t="array" ref="N190">IF(M190="","",INDEX(UWS!$B$10:$B$41,M190))</f>
        <v/>
      </c>
      <c r="O190" s="47"/>
      <c r="P190" s="47">
        <f>IFERROR(INDEX(UWS!$G$10:$Z$41,MATCH($C190,UWS!$B$10:$B$41,0),MATCH(P$4,UWS!$G$3:$Z$3,0)),0)</f>
        <v>0</v>
      </c>
      <c r="Q190" s="47">
        <f>IFERROR(INDEX(UWS!$G$10:$Z$41,MATCH($C190,UWS!$B$10:$B$41,0),MATCH(Q$4,UWS!$G$3:$Z$3,0)),0)</f>
        <v>0</v>
      </c>
      <c r="R190" s="47">
        <f>IFERROR(INDEX(UWS!$G$10:$Z$41,MATCH($C190,UWS!$B$10:$B$41,0),MATCH(R$4,UWS!$G$3:$Z$3,0)),0)</f>
        <v>0</v>
      </c>
      <c r="S190" s="47">
        <f>IFERROR(INDEX(UWS!$G$10:$Z$41,MATCH($C190,UWS!$B$10:$B$41,0),MATCH(S$4,UWS!$G$3:$Z$3,0)),0)</f>
        <v>0</v>
      </c>
      <c r="T190" s="47">
        <f>IFERROR(INDEX(UWS!$G$10:$Z$41,MATCH($C190,UWS!$B$10:$B$41,0),MATCH(T$4,UWS!$G$3:$Z$3,0)),0)</f>
        <v>0</v>
      </c>
      <c r="U190" s="47">
        <f>IFERROR(INDEX(UWS!$G$10:$Z$41,MATCH($C190,UWS!$B$10:$B$41,0),MATCH(U$4,UWS!$G$3:$Z$3,0)),0)</f>
        <v>0</v>
      </c>
      <c r="V190" s="47">
        <f>IFERROR(INDEX(UWS!$G$10:$Z$41,MATCH($C190,UWS!$B$10:$B$41,0),MATCH(V$4,UWS!$G$3:$Z$3,0)),0)</f>
        <v>0</v>
      </c>
      <c r="W190" s="47">
        <f>IFERROR(INDEX(UWS!$G$10:$Z$41,MATCH($C190,UWS!$B$10:$B$41,0),MATCH(W$4,UWS!$G$3:$Z$3,0)),0)</f>
        <v>0</v>
      </c>
      <c r="X190" s="47">
        <f>IFERROR(INDEX(UWS!$G$10:$Z$41,MATCH($C190,UWS!$B$10:$B$41,0),MATCH(X$4,UWS!$G$3:$Z$3,0)),0)</f>
        <v>0</v>
      </c>
      <c r="Y190" s="47">
        <f>IFERROR(INDEX(UWS!$G$10:$Z$41,MATCH($C190,UWS!$B$10:$B$41,0),MATCH(Y$4,UWS!$G$3:$Z$3,0)),0)</f>
        <v>0</v>
      </c>
      <c r="Z190" s="47">
        <f>IFERROR(INDEX(UWS!$G$10:$Z$41,MATCH($C190,UWS!$B$10:$B$41,0),MATCH(Z$4,UWS!$G$3:$Z$3,0)),0)</f>
        <v>0</v>
      </c>
      <c r="AA190" s="47">
        <f>IFERROR(INDEX(UWS!$G$10:$Z$41,MATCH($C190,UWS!$B$10:$B$41,0),MATCH(AA$4,UWS!$G$3:$Z$3,0)),0)</f>
        <v>0</v>
      </c>
      <c r="AB190" s="47">
        <f>IFERROR(INDEX(UWS!$G$10:$Z$41,MATCH($C190,UWS!$B$10:$B$41,0),MATCH(AB$4,UWS!$G$3:$Z$3,0)),0)</f>
        <v>0</v>
      </c>
      <c r="AC190" s="47">
        <f>IFERROR(INDEX(UWS!$G$10:$Z$41,MATCH($C190,UWS!$B$10:$B$41,0),MATCH(AC$4,UWS!$G$3:$Z$3,0)),0)</f>
        <v>0</v>
      </c>
      <c r="AD190" s="47">
        <f>IFERROR(INDEX(UWS!$G$10:$Z$41,MATCH($C190,UWS!$B$10:$B$41,0),MATCH(AD$4,UWS!$G$3:$Z$3,0)),0)</f>
        <v>0</v>
      </c>
      <c r="AE190" s="47">
        <f>IFERROR(INDEX(UWS!$G$10:$Z$41,MATCH($C190,UWS!$B$10:$B$41,0),MATCH(AE$4,UWS!$G$3:$Z$3,0)),0)</f>
        <v>0</v>
      </c>
      <c r="AF190" s="47">
        <f>IFERROR(INDEX(UWS!$G$10:$Z$41,MATCH($C190,UWS!$B$10:$B$41,0),MATCH(AF$4,UWS!$G$3:$Z$3,0)),0)</f>
        <v>0</v>
      </c>
      <c r="AG190" s="47">
        <f>IFERROR(INDEX(UWS!$G$10:$Z$41,MATCH($C190,UWS!$B$10:$B$41,0),MATCH(AG$4,UWS!$G$3:$Z$3,0)),0)</f>
        <v>0</v>
      </c>
      <c r="AH190" s="47">
        <f>IFERROR(INDEX(UWS!$G$10:$Z$41,MATCH($C190,UWS!$B$10:$B$41,0),MATCH(AH$4,UWS!$G$3:$Z$3,0)),0)</f>
        <v>0</v>
      </c>
      <c r="AI190" s="47">
        <f>IFERROR(INDEX(UWS!$G$10:$Z$41,MATCH($C190,UWS!$B$10:$B$41,0),MATCH(AI$4,UWS!$G$3:$Z$3,0)),0)</f>
        <v>0</v>
      </c>
      <c r="AJ190" s="47"/>
      <c r="AK190" s="47" t="e">
        <f>IF(OR($J190=0,COUNTIFS($A$4:$A189,"&gt;="&amp;$A190-1,$A$4:$A189,"&lt;="&amp;$A190,$B$4:$B189,$B190)&gt;0,MIN(AK$1,IF($A190=$A189,AK189,1))-P190&lt;0),-1,MIN(1,IF($A190=$A189,AK189,1)-P190+$D$3))</f>
        <v>#N/A</v>
      </c>
      <c r="AL190" s="47" t="e">
        <f>IF(OR($J190=0,COUNTIFS($A$4:$A189,"&gt;="&amp;$A190-1,$A$4:$A189,"&lt;="&amp;$A190,$B$4:$B189,$B190)&gt;0,MIN(AL$1,IF($A190=$A189,AL189,1))-Q190&lt;0),-1,MIN(1,IF($A190=$A189,AL189,1)-Q190+$D$3))</f>
        <v>#N/A</v>
      </c>
      <c r="AM190" s="47" t="e">
        <f>IF(OR($J190=0,COUNTIFS($A$4:$A189,"&gt;="&amp;$A190-1,$A$4:$A189,"&lt;="&amp;$A190,$B$4:$B189,$B190)&gt;0,MIN(AM$1,IF($A190=$A189,AM189,1))-R190&lt;0),-1,MIN(1,IF($A190=$A189,AM189,1)-R190+$D$3))</f>
        <v>#N/A</v>
      </c>
      <c r="AN190" s="47" t="e">
        <f>IF(OR($J190=0,COUNTIFS($A$4:$A189,"&gt;="&amp;$A190-1,$A$4:$A189,"&lt;="&amp;$A190,$B$4:$B189,$B190)&gt;0,MIN(AN$1,IF($A190=$A189,AN189,1))-S190&lt;0),-1,MIN(1,IF($A190=$A189,AN189,1)-S190+$D$3))</f>
        <v>#N/A</v>
      </c>
      <c r="AO190" s="47" t="e">
        <f>IF(OR($J190=0,COUNTIFS($A$4:$A189,"&gt;="&amp;$A190-1,$A$4:$A189,"&lt;="&amp;$A190,$B$4:$B189,$B190)&gt;0,MIN(AO$1,IF($A190=$A189,AO189,1))-T190&lt;0),-1,MIN(1,IF($A190=$A189,AO189,1)-T190+$D$3))</f>
        <v>#N/A</v>
      </c>
      <c r="AP190" s="47" t="e">
        <f>IF(OR($J190=0,COUNTIFS($A$4:$A189,"&gt;="&amp;$A190-1,$A$4:$A189,"&lt;="&amp;$A190,$B$4:$B189,$B190)&gt;0,MIN(AP$1,IF($A190=$A189,AP189,1))-U190&lt;0),-1,MIN(1,IF($A190=$A189,AP189,1)-U190+$D$3))</f>
        <v>#N/A</v>
      </c>
      <c r="AQ190" s="47" t="e">
        <f>IF(OR($J190=0,COUNTIFS($A$4:$A189,"&gt;="&amp;$A190-1,$A$4:$A189,"&lt;="&amp;$A190,$B$4:$B189,$B190)&gt;0,MIN(AQ$1,IF($A190=$A189,AQ189,1))-V190&lt;0),-1,MIN(1,IF($A190=$A189,AQ189,1)-V190+$D$3))</f>
        <v>#N/A</v>
      </c>
      <c r="AR190" s="47" t="e">
        <f>IF(OR($J190=0,COUNTIFS($A$4:$A189,"&gt;="&amp;$A190-1,$A$4:$A189,"&lt;="&amp;$A190,$B$4:$B189,$B190)&gt;0,MIN(AR$1,IF($A190=$A189,AR189,1))-W190&lt;0),-1,MIN(1,IF($A190=$A189,AR189,1)-W190+$D$3))</f>
        <v>#N/A</v>
      </c>
      <c r="AS190" s="47" t="e">
        <f>IF(OR($J190=0,COUNTIFS($A$4:$A189,"&gt;="&amp;$A190-1,$A$4:$A189,"&lt;="&amp;$A190,$B$4:$B189,$B190)&gt;0,MIN(AS$1,IF($A190=$A189,AS189,1))-X190&lt;0),-1,MIN(1,IF($A190=$A189,AS189,1)-X190+$D$3))</f>
        <v>#N/A</v>
      </c>
      <c r="AT190" s="47" t="e">
        <f>IF(OR($J190=0,COUNTIFS($A$4:$A189,"&gt;="&amp;$A190-1,$A$4:$A189,"&lt;="&amp;$A190,$B$4:$B189,$B190)&gt;0,MIN(AT$1,IF($A190=$A189,AT189,1))-Y190&lt;0),-1,MIN(1,IF($A190=$A189,AT189,1)-Y190+$D$3))</f>
        <v>#N/A</v>
      </c>
      <c r="AU190" s="47" t="e">
        <f>IF(OR($J190=0,COUNTIFS($A$4:$A189,"&gt;="&amp;$A190-1,$A$4:$A189,"&lt;="&amp;$A190,$B$4:$B189,$B190)&gt;0,MIN(AU$1,IF($A190=$A189,AU189,1))-Z190&lt;0),-1,MIN(1,IF($A190=$A189,AU189,1)-Z190+$D$3))</f>
        <v>#N/A</v>
      </c>
      <c r="AV190" s="47" t="e">
        <f>IF(OR($J190=0,COUNTIFS($A$4:$A189,"&gt;="&amp;$A190-1,$A$4:$A189,"&lt;="&amp;$A190,$B$4:$B189,$B190)&gt;0,MIN(AV$1,IF($A190=$A189,AV189,1))-AA190&lt;0),-1,MIN(1,IF($A190=$A189,AV189,1)-AA190+$D$3))</f>
        <v>#N/A</v>
      </c>
      <c r="AW190" s="47" t="e">
        <f>IF(OR($J190=0,COUNTIFS($A$4:$A189,"&gt;="&amp;$A190-1,$A$4:$A189,"&lt;="&amp;$A190,$B$4:$B189,$B190)&gt;0,MIN(AW$1,IF($A190=$A189,AW189,1))-AB190&lt;0),-1,MIN(1,IF($A190=$A189,AW189,1)-AB190+$D$3))</f>
        <v>#N/A</v>
      </c>
      <c r="AX190" s="47" t="e">
        <f>IF(OR($J190=0,COUNTIFS($A$4:$A189,"&gt;="&amp;$A190-1,$A$4:$A189,"&lt;="&amp;$A190,$B$4:$B189,$B190)&gt;0,MIN(AX$1,IF($A190=$A189,AX189,1))-AC190&lt;0),-1,MIN(1,IF($A190=$A189,AX189,1)-AC190+$D$3))</f>
        <v>#N/A</v>
      </c>
      <c r="AY190" s="47" t="e">
        <f>IF(OR($J190=0,COUNTIFS($A$4:$A189,"&gt;="&amp;$A190-1,$A$4:$A189,"&lt;="&amp;$A190,$B$4:$B189,$B190)&gt;0,MIN(AY$1,IF($A190=$A189,AY189,1))-AD190&lt;0),-1,MIN(1,IF($A190=$A189,AY189,1)-AD190+$D$3))</f>
        <v>#N/A</v>
      </c>
      <c r="AZ190" s="47" t="e">
        <f>IF(OR($J190=0,COUNTIFS($A$4:$A189,"&gt;="&amp;$A190-1,$A$4:$A189,"&lt;="&amp;$A190,$B$4:$B189,$B190)&gt;0,MIN(AZ$1,IF($A190=$A189,AZ189,1))-AE190&lt;0),-1,MIN(1,IF($A190=$A189,AZ189,1)-AE190+$D$3))</f>
        <v>#N/A</v>
      </c>
      <c r="BA190" s="47" t="e">
        <f>IF(OR($J190=0,COUNTIFS($A$4:$A189,"&gt;="&amp;$A190-1,$A$4:$A189,"&lt;="&amp;$A190,$B$4:$B189,$B190)&gt;0,MIN(BA$1,IF($A190=$A189,BA189,1))-AF190&lt;0),-1,MIN(1,IF($A190=$A189,BA189,1)-AF190+$D$3))</f>
        <v>#N/A</v>
      </c>
      <c r="BB190" s="47" t="e">
        <f>IF(OR($J190=0,COUNTIFS($A$4:$A189,"&gt;="&amp;$A190-1,$A$4:$A189,"&lt;="&amp;$A190,$B$4:$B189,$B190)&gt;0,MIN(BB$1,IF($A190=$A189,BB189,1))-AG190&lt;0),-1,MIN(1,IF($A190=$A189,BB189,1)-AG190+$D$3))</f>
        <v>#N/A</v>
      </c>
      <c r="BC190" s="47" t="e">
        <f>IF(OR($J190=0,COUNTIFS($A$4:$A189,"&gt;="&amp;$A190-1,$A$4:$A189,"&lt;="&amp;$A190,$B$4:$B189,$B190)&gt;0,MIN(BC$1,IF($A190=$A189,BC189,1))-AH190&lt;0),-1,MIN(1,IF($A190=$A189,BC189,1)-AH190+$D$3))</f>
        <v>#N/A</v>
      </c>
      <c r="BD190" s="47" t="e">
        <f>IF(OR($J190=0,COUNTIFS($A$4:$A189,"&gt;="&amp;$A190-1,$A$4:$A189,"&lt;="&amp;$A190,$B$4:$B189,$B190)&gt;0,MIN(BD$1,IF($A190=$A189,BD189,1))-AI190&lt;0),-1,MIN(1,IF($A190=$A189,BD189,1)-AI190+$D$3))</f>
        <v>#N/A</v>
      </c>
      <c r="BE190" s="47"/>
      <c r="BF190" s="53">
        <f t="shared" si="267"/>
        <v>1.5236895095511438E-4</v>
      </c>
      <c r="BG190" s="53">
        <f t="shared" si="268"/>
        <v>3.7471824606140455E-4</v>
      </c>
      <c r="BH190" s="53">
        <f t="shared" si="269"/>
        <v>3.8404678571373743E-4</v>
      </c>
      <c r="BI190" s="53">
        <f t="shared" si="270"/>
        <v>3.5475260391046711E-4</v>
      </c>
      <c r="BJ190" s="53">
        <f t="shared" si="271"/>
        <v>3.666704949204103E-4</v>
      </c>
      <c r="BK190" s="53">
        <f t="shared" si="272"/>
        <v>1.5746198180607645E-4</v>
      </c>
      <c r="BL190" s="53">
        <f t="shared" si="273"/>
        <v>8.50634398256263E-5</v>
      </c>
      <c r="BM190" s="53">
        <f t="shared" si="274"/>
        <v>2.1639145763016621E-4</v>
      </c>
      <c r="BN190" s="53">
        <f t="shared" si="275"/>
        <v>2.2506398048609551E-4</v>
      </c>
      <c r="BO190" s="53">
        <f t="shared" si="276"/>
        <v>1.0547352145362964E-4</v>
      </c>
      <c r="BP190" s="53">
        <f t="shared" si="277"/>
        <v>3.5465236591684338E-4</v>
      </c>
      <c r="BQ190" s="53">
        <f t="shared" si="278"/>
        <v>9.570599261655619E-5</v>
      </c>
      <c r="BR190" s="53">
        <f t="shared" si="279"/>
        <v>2.8273945990472531E-4</v>
      </c>
      <c r="BS190" s="53">
        <f t="shared" si="280"/>
        <v>1.5248514271143848E-4</v>
      </c>
      <c r="BT190" s="53">
        <f t="shared" si="281"/>
        <v>6.0343045806255009E-4</v>
      </c>
      <c r="BU190" s="53">
        <f t="shared" si="282"/>
        <v>5.7645766661451245E-4</v>
      </c>
      <c r="BV190" s="53">
        <f t="shared" si="283"/>
        <v>5.5361087133318318E-4</v>
      </c>
      <c r="BW190" s="53">
        <f t="shared" si="284"/>
        <v>3.6209197528912917E-4</v>
      </c>
      <c r="BX190" s="53">
        <f t="shared" si="285"/>
        <v>2.6750697602407209E-4</v>
      </c>
      <c r="BY190" s="53">
        <f t="shared" si="286"/>
        <v>2.2968548535238139E-4</v>
      </c>
      <c r="BZ190" s="47"/>
      <c r="CA190" s="53" t="str">
        <f t="shared" si="287"/>
        <v/>
      </c>
      <c r="CB190" s="53" t="str">
        <f t="shared" si="288"/>
        <v/>
      </c>
      <c r="CC190" s="53" t="str">
        <f t="shared" si="289"/>
        <v/>
      </c>
      <c r="CD190" s="53" t="str">
        <f t="shared" si="290"/>
        <v/>
      </c>
      <c r="CE190" s="53" t="str">
        <f t="shared" si="291"/>
        <v/>
      </c>
      <c r="CF190" s="53" t="str">
        <f t="shared" si="292"/>
        <v/>
      </c>
      <c r="CG190" s="53" t="str">
        <f t="shared" si="293"/>
        <v/>
      </c>
      <c r="CH190" s="53" t="str">
        <f t="shared" si="294"/>
        <v/>
      </c>
      <c r="CI190" s="53" t="str">
        <f t="shared" si="295"/>
        <v/>
      </c>
      <c r="CJ190" s="53" t="str">
        <f t="shared" si="296"/>
        <v/>
      </c>
      <c r="CK190" s="53" t="str">
        <f t="shared" si="297"/>
        <v/>
      </c>
      <c r="CL190" s="53" t="str">
        <f t="shared" si="298"/>
        <v/>
      </c>
      <c r="CM190" s="53" t="str">
        <f t="shared" si="299"/>
        <v/>
      </c>
      <c r="CN190" s="53" t="str">
        <f t="shared" si="300"/>
        <v/>
      </c>
      <c r="CO190" s="53" t="str">
        <f t="shared" si="301"/>
        <v/>
      </c>
      <c r="CP190" s="53" t="str">
        <f t="shared" si="302"/>
        <v/>
      </c>
      <c r="CQ190" s="53" t="str">
        <f t="shared" si="303"/>
        <v/>
      </c>
      <c r="CR190" s="53" t="str">
        <f t="shared" si="304"/>
        <v/>
      </c>
      <c r="CS190" s="53" t="str">
        <f t="shared" si="305"/>
        <v/>
      </c>
      <c r="CT190" s="53" t="str">
        <f t="shared" si="306"/>
        <v/>
      </c>
      <c r="CU190" s="47"/>
      <c r="CV190" s="53">
        <f t="shared" si="307"/>
        <v>0</v>
      </c>
    </row>
    <row r="191" spans="1:100" x14ac:dyDescent="0.25">
      <c r="A191" s="41"/>
      <c r="B191" s="42"/>
      <c r="C191" s="43" t="str" cm="1">
        <f t="array" ref="C191">IF(B191="","",INDEX(UWS!$B$10:$B$41,B191))</f>
        <v/>
      </c>
      <c r="D191" s="40" t="str">
        <f t="shared" si="264"/>
        <v/>
      </c>
      <c r="E191" s="69" t="str">
        <f t="shared" si="265"/>
        <v/>
      </c>
      <c r="F191" s="48" cm="1">
        <f t="array" ref="F191">0.1+IFERROR(INDEX($F$5:$F190,SUMPRODUCT(MAX(ROW($C$5:$C190)*($C191=$C$5:$C190))-ROW($A$4)))*0.9^($A191-INDEX($A$5:A190,SUMPRODUCT(MAX(ROW($C$5:$C190)*($C191=$C$5:$C190))-ROW($A$4)))),0)</f>
        <v>12.599999999999971</v>
      </c>
      <c r="G191" s="55" t="e">
        <f>INDEX(UWS!$AB$10:$AB$41,MATCH(C191,UWS!$B$10:$B$41,0))</f>
        <v>#N/A</v>
      </c>
      <c r="H191" s="48" t="e">
        <f>INDEX(UWS!$C$10:$C$41,MATCH(C191,UWS!$B$10:$B$41,0))</f>
        <v>#N/A</v>
      </c>
      <c r="I191" s="82">
        <f t="shared" si="266"/>
        <v>5</v>
      </c>
      <c r="J191" s="27" t="e">
        <f>INDEX(UWS!$E$10:$E$41,MATCH(C191,UWS!$B$10:$B$41,0))</f>
        <v>#N/A</v>
      </c>
      <c r="L191" s="108" t="str" cm="1">
        <f t="array" ref="L191">IF(K191="","",INDEX(UWS!$B$10:$B$41,K191))</f>
        <v/>
      </c>
      <c r="N191" s="108" t="str" cm="1">
        <f t="array" ref="N191">IF(M191="","",INDEX(UWS!$B$10:$B$41,M191))</f>
        <v/>
      </c>
      <c r="P191">
        <f>IFERROR(INDEX(UWS!$G$10:$Z$41,MATCH($C191,UWS!$B$10:$B$41,0),MATCH(P$4,UWS!$G$3:$Z$3,0)),0)</f>
        <v>0</v>
      </c>
      <c r="Q191">
        <f>IFERROR(INDEX(UWS!$G$10:$Z$41,MATCH($C191,UWS!$B$10:$B$41,0),MATCH(Q$4,UWS!$G$3:$Z$3,0)),0)</f>
        <v>0</v>
      </c>
      <c r="R191">
        <f>IFERROR(INDEX(UWS!$G$10:$Z$41,MATCH($C191,UWS!$B$10:$B$41,0),MATCH(R$4,UWS!$G$3:$Z$3,0)),0)</f>
        <v>0</v>
      </c>
      <c r="S191">
        <f>IFERROR(INDEX(UWS!$G$10:$Z$41,MATCH($C191,UWS!$B$10:$B$41,0),MATCH(S$4,UWS!$G$3:$Z$3,0)),0)</f>
        <v>0</v>
      </c>
      <c r="T191">
        <f>IFERROR(INDEX(UWS!$G$10:$Z$41,MATCH($C191,UWS!$B$10:$B$41,0),MATCH(T$4,UWS!$G$3:$Z$3,0)),0)</f>
        <v>0</v>
      </c>
      <c r="U191">
        <f>IFERROR(INDEX(UWS!$G$10:$Z$41,MATCH($C191,UWS!$B$10:$B$41,0),MATCH(U$4,UWS!$G$3:$Z$3,0)),0)</f>
        <v>0</v>
      </c>
      <c r="V191">
        <f>IFERROR(INDEX(UWS!$G$10:$Z$41,MATCH($C191,UWS!$B$10:$B$41,0),MATCH(V$4,UWS!$G$3:$Z$3,0)),0)</f>
        <v>0</v>
      </c>
      <c r="W191">
        <f>IFERROR(INDEX(UWS!$G$10:$Z$41,MATCH($C191,UWS!$B$10:$B$41,0),MATCH(W$4,UWS!$G$3:$Z$3,0)),0)</f>
        <v>0</v>
      </c>
      <c r="X191">
        <f>IFERROR(INDEX(UWS!$G$10:$Z$41,MATCH($C191,UWS!$B$10:$B$41,0),MATCH(X$4,UWS!$G$3:$Z$3,0)),0)</f>
        <v>0</v>
      </c>
      <c r="Y191">
        <f>IFERROR(INDEX(UWS!$G$10:$Z$41,MATCH($C191,UWS!$B$10:$B$41,0),MATCH(Y$4,UWS!$G$3:$Z$3,0)),0)</f>
        <v>0</v>
      </c>
      <c r="Z191">
        <f>IFERROR(INDEX(UWS!$G$10:$Z$41,MATCH($C191,UWS!$B$10:$B$41,0),MATCH(Z$4,UWS!$G$3:$Z$3,0)),0)</f>
        <v>0</v>
      </c>
      <c r="AA191">
        <f>IFERROR(INDEX(UWS!$G$10:$Z$41,MATCH($C191,UWS!$B$10:$B$41,0),MATCH(AA$4,UWS!$G$3:$Z$3,0)),0)</f>
        <v>0</v>
      </c>
      <c r="AB191">
        <f>IFERROR(INDEX(UWS!$G$10:$Z$41,MATCH($C191,UWS!$B$10:$B$41,0),MATCH(AB$4,UWS!$G$3:$Z$3,0)),0)</f>
        <v>0</v>
      </c>
      <c r="AC191">
        <f>IFERROR(INDEX(UWS!$G$10:$Z$41,MATCH($C191,UWS!$B$10:$B$41,0),MATCH(AC$4,UWS!$G$3:$Z$3,0)),0)</f>
        <v>0</v>
      </c>
      <c r="AD191">
        <f>IFERROR(INDEX(UWS!$G$10:$Z$41,MATCH($C191,UWS!$B$10:$B$41,0),MATCH(AD$4,UWS!$G$3:$Z$3,0)),0)</f>
        <v>0</v>
      </c>
      <c r="AE191">
        <f>IFERROR(INDEX(UWS!$G$10:$Z$41,MATCH($C191,UWS!$B$10:$B$41,0),MATCH(AE$4,UWS!$G$3:$Z$3,0)),0)</f>
        <v>0</v>
      </c>
      <c r="AF191">
        <f>IFERROR(INDEX(UWS!$G$10:$Z$41,MATCH($C191,UWS!$B$10:$B$41,0),MATCH(AF$4,UWS!$G$3:$Z$3,0)),0)</f>
        <v>0</v>
      </c>
      <c r="AG191">
        <f>IFERROR(INDEX(UWS!$G$10:$Z$41,MATCH($C191,UWS!$B$10:$B$41,0),MATCH(AG$4,UWS!$G$3:$Z$3,0)),0)</f>
        <v>0</v>
      </c>
      <c r="AH191">
        <f>IFERROR(INDEX(UWS!$G$10:$Z$41,MATCH($C191,UWS!$B$10:$B$41,0),MATCH(AH$4,UWS!$G$3:$Z$3,0)),0)</f>
        <v>0</v>
      </c>
      <c r="AI191">
        <f>IFERROR(INDEX(UWS!$G$10:$Z$41,MATCH($C191,UWS!$B$10:$B$41,0),MATCH(AI$4,UWS!$G$3:$Z$3,0)),0)</f>
        <v>0</v>
      </c>
      <c r="AK191" t="e">
        <f>IF(OR($J191=0,COUNTIFS($A$4:$A190,"&gt;="&amp;$A191-1,$A$4:$A190,"&lt;="&amp;$A191,$B$4:$B190,$B191)&gt;0,MIN(AK$1,IF($A191=$A190,AK190,1))-P191&lt;0),-1,MIN(1,IF($A191=$A190,AK190,1)-P191+$D$3))</f>
        <v>#N/A</v>
      </c>
      <c r="AL191" t="e">
        <f>IF(OR($J191=0,COUNTIFS($A$4:$A190,"&gt;="&amp;$A191-1,$A$4:$A190,"&lt;="&amp;$A191,$B$4:$B190,$B191)&gt;0,MIN(AL$1,IF($A191=$A190,AL190,1))-Q191&lt;0),-1,MIN(1,IF($A191=$A190,AL190,1)-Q191+$D$3))</f>
        <v>#N/A</v>
      </c>
      <c r="AM191" t="e">
        <f>IF(OR($J191=0,COUNTIFS($A$4:$A190,"&gt;="&amp;$A191-1,$A$4:$A190,"&lt;="&amp;$A191,$B$4:$B190,$B191)&gt;0,MIN(AM$1,IF($A191=$A190,AM190,1))-R191&lt;0),-1,MIN(1,IF($A191=$A190,AM190,1)-R191+$D$3))</f>
        <v>#N/A</v>
      </c>
      <c r="AN191" t="e">
        <f>IF(OR($J191=0,COUNTIFS($A$4:$A190,"&gt;="&amp;$A191-1,$A$4:$A190,"&lt;="&amp;$A191,$B$4:$B190,$B191)&gt;0,MIN(AN$1,IF($A191=$A190,AN190,1))-S191&lt;0),-1,MIN(1,IF($A191=$A190,AN190,1)-S191+$D$3))</f>
        <v>#N/A</v>
      </c>
      <c r="AO191" t="e">
        <f>IF(OR($J191=0,COUNTIFS($A$4:$A190,"&gt;="&amp;$A191-1,$A$4:$A190,"&lt;="&amp;$A191,$B$4:$B190,$B191)&gt;0,MIN(AO$1,IF($A191=$A190,AO190,1))-T191&lt;0),-1,MIN(1,IF($A191=$A190,AO190,1)-T191+$D$3))</f>
        <v>#N/A</v>
      </c>
      <c r="AP191" t="e">
        <f>IF(OR($J191=0,COUNTIFS($A$4:$A190,"&gt;="&amp;$A191-1,$A$4:$A190,"&lt;="&amp;$A191,$B$4:$B190,$B191)&gt;0,MIN(AP$1,IF($A191=$A190,AP190,1))-U191&lt;0),-1,MIN(1,IF($A191=$A190,AP190,1)-U191+$D$3))</f>
        <v>#N/A</v>
      </c>
      <c r="AQ191" t="e">
        <f>IF(OR($J191=0,COUNTIFS($A$4:$A190,"&gt;="&amp;$A191-1,$A$4:$A190,"&lt;="&amp;$A191,$B$4:$B190,$B191)&gt;0,MIN(AQ$1,IF($A191=$A190,AQ190,1))-V191&lt;0),-1,MIN(1,IF($A191=$A190,AQ190,1)-V191+$D$3))</f>
        <v>#N/A</v>
      </c>
      <c r="AR191" t="e">
        <f>IF(OR($J191=0,COUNTIFS($A$4:$A190,"&gt;="&amp;$A191-1,$A$4:$A190,"&lt;="&amp;$A191,$B$4:$B190,$B191)&gt;0,MIN(AR$1,IF($A191=$A190,AR190,1))-W191&lt;0),-1,MIN(1,IF($A191=$A190,AR190,1)-W191+$D$3))</f>
        <v>#N/A</v>
      </c>
      <c r="AS191" t="e">
        <f>IF(OR($J191=0,COUNTIFS($A$4:$A190,"&gt;="&amp;$A191-1,$A$4:$A190,"&lt;="&amp;$A191,$B$4:$B190,$B191)&gt;0,MIN(AS$1,IF($A191=$A190,AS190,1))-X191&lt;0),-1,MIN(1,IF($A191=$A190,AS190,1)-X191+$D$3))</f>
        <v>#N/A</v>
      </c>
      <c r="AT191" t="e">
        <f>IF(OR($J191=0,COUNTIFS($A$4:$A190,"&gt;="&amp;$A191-1,$A$4:$A190,"&lt;="&amp;$A191,$B$4:$B190,$B191)&gt;0,MIN(AT$1,IF($A191=$A190,AT190,1))-Y191&lt;0),-1,MIN(1,IF($A191=$A190,AT190,1)-Y191+$D$3))</f>
        <v>#N/A</v>
      </c>
      <c r="AU191" t="e">
        <f>IF(OR($J191=0,COUNTIFS($A$4:$A190,"&gt;="&amp;$A191-1,$A$4:$A190,"&lt;="&amp;$A191,$B$4:$B190,$B191)&gt;0,MIN(AU$1,IF($A191=$A190,AU190,1))-Z191&lt;0),-1,MIN(1,IF($A191=$A190,AU190,1)-Z191+$D$3))</f>
        <v>#N/A</v>
      </c>
      <c r="AV191" t="e">
        <f>IF(OR($J191=0,COUNTIFS($A$4:$A190,"&gt;="&amp;$A191-1,$A$4:$A190,"&lt;="&amp;$A191,$B$4:$B190,$B191)&gt;0,MIN(AV$1,IF($A191=$A190,AV190,1))-AA191&lt;0),-1,MIN(1,IF($A191=$A190,AV190,1)-AA191+$D$3))</f>
        <v>#N/A</v>
      </c>
      <c r="AW191" t="e">
        <f>IF(OR($J191=0,COUNTIFS($A$4:$A190,"&gt;="&amp;$A191-1,$A$4:$A190,"&lt;="&amp;$A191,$B$4:$B190,$B191)&gt;0,MIN(AW$1,IF($A191=$A190,AW190,1))-AB191&lt;0),-1,MIN(1,IF($A191=$A190,AW190,1)-AB191+$D$3))</f>
        <v>#N/A</v>
      </c>
      <c r="AX191" t="e">
        <f>IF(OR($J191=0,COUNTIFS($A$4:$A190,"&gt;="&amp;$A191-1,$A$4:$A190,"&lt;="&amp;$A191,$B$4:$B190,$B191)&gt;0,MIN(AX$1,IF($A191=$A190,AX190,1))-AC191&lt;0),-1,MIN(1,IF($A191=$A190,AX190,1)-AC191+$D$3))</f>
        <v>#N/A</v>
      </c>
      <c r="AY191" t="e">
        <f>IF(OR($J191=0,COUNTIFS($A$4:$A190,"&gt;="&amp;$A191-1,$A$4:$A190,"&lt;="&amp;$A191,$B$4:$B190,$B191)&gt;0,MIN(AY$1,IF($A191=$A190,AY190,1))-AD191&lt;0),-1,MIN(1,IF($A191=$A190,AY190,1)-AD191+$D$3))</f>
        <v>#N/A</v>
      </c>
      <c r="AZ191" t="e">
        <f>IF(OR($J191=0,COUNTIFS($A$4:$A190,"&gt;="&amp;$A191-1,$A$4:$A190,"&lt;="&amp;$A191,$B$4:$B190,$B191)&gt;0,MIN(AZ$1,IF($A191=$A190,AZ190,1))-AE191&lt;0),-1,MIN(1,IF($A191=$A190,AZ190,1)-AE191+$D$3))</f>
        <v>#N/A</v>
      </c>
      <c r="BA191" t="e">
        <f>IF(OR($J191=0,COUNTIFS($A$4:$A190,"&gt;="&amp;$A191-1,$A$4:$A190,"&lt;="&amp;$A191,$B$4:$B190,$B191)&gt;0,MIN(BA$1,IF($A191=$A190,BA190,1))-AF191&lt;0),-1,MIN(1,IF($A191=$A190,BA190,1)-AF191+$D$3))</f>
        <v>#N/A</v>
      </c>
      <c r="BB191" t="e">
        <f>IF(OR($J191=0,COUNTIFS($A$4:$A190,"&gt;="&amp;$A191-1,$A$4:$A190,"&lt;="&amp;$A191,$B$4:$B190,$B191)&gt;0,MIN(BB$1,IF($A191=$A190,BB190,1))-AG191&lt;0),-1,MIN(1,IF($A191=$A190,BB190,1)-AG191+$D$3))</f>
        <v>#N/A</v>
      </c>
      <c r="BC191" t="e">
        <f>IF(OR($J191=0,COUNTIFS($A$4:$A190,"&gt;="&amp;$A191-1,$A$4:$A190,"&lt;="&amp;$A191,$B$4:$B190,$B191)&gt;0,MIN(BC$1,IF($A191=$A190,BC190,1))-AH191&lt;0),-1,MIN(1,IF($A191=$A190,BC190,1)-AH191+$D$3))</f>
        <v>#N/A</v>
      </c>
      <c r="BD191" t="e">
        <f>IF(OR($J191=0,COUNTIFS($A$4:$A190,"&gt;="&amp;$A191-1,$A$4:$A190,"&lt;="&amp;$A191,$B$4:$B190,$B191)&gt;0,MIN(BD$1,IF($A191=$A190,BD190,1))-AI191&lt;0),-1,MIN(1,IF($A191=$A190,BD190,1)-AI191+$D$3))</f>
        <v>#N/A</v>
      </c>
      <c r="BF191" s="44">
        <f t="shared" si="267"/>
        <v>1.4475050340735865E-4</v>
      </c>
      <c r="BG191" s="44">
        <f t="shared" si="268"/>
        <v>3.5598233375833431E-4</v>
      </c>
      <c r="BH191" s="44">
        <f t="shared" si="269"/>
        <v>3.6484444642805052E-4</v>
      </c>
      <c r="BI191" s="44">
        <f t="shared" si="270"/>
        <v>3.3701497371494375E-4</v>
      </c>
      <c r="BJ191" s="44">
        <f t="shared" si="271"/>
        <v>3.4833697017438975E-4</v>
      </c>
      <c r="BK191" s="44">
        <f t="shared" si="272"/>
        <v>1.4958888271577263E-4</v>
      </c>
      <c r="BL191" s="44">
        <f t="shared" si="273"/>
        <v>8.0810267834344987E-5</v>
      </c>
      <c r="BM191" s="44">
        <f t="shared" si="274"/>
        <v>2.055718847486579E-4</v>
      </c>
      <c r="BN191" s="44">
        <f t="shared" si="275"/>
        <v>2.1381078146179072E-4</v>
      </c>
      <c r="BO191" s="44">
        <f t="shared" si="276"/>
        <v>1.0019984538094815E-4</v>
      </c>
      <c r="BP191" s="44">
        <f t="shared" si="277"/>
        <v>3.3691974762100122E-4</v>
      </c>
      <c r="BQ191" s="44">
        <f t="shared" si="278"/>
        <v>9.0920692985728375E-5</v>
      </c>
      <c r="BR191" s="44">
        <f t="shared" si="279"/>
        <v>2.6860248690948902E-4</v>
      </c>
      <c r="BS191" s="44">
        <f t="shared" si="280"/>
        <v>1.4486088557586654E-4</v>
      </c>
      <c r="BT191" s="44">
        <f t="shared" si="281"/>
        <v>5.7325893515942255E-4</v>
      </c>
      <c r="BU191" s="44">
        <f t="shared" si="282"/>
        <v>5.4763478328378676E-4</v>
      </c>
      <c r="BV191" s="44">
        <f t="shared" si="283"/>
        <v>5.2593032776652397E-4</v>
      </c>
      <c r="BW191" s="44">
        <f t="shared" si="284"/>
        <v>3.4398737652467269E-4</v>
      </c>
      <c r="BX191" s="44">
        <f t="shared" si="285"/>
        <v>2.5413162722286848E-4</v>
      </c>
      <c r="BY191" s="44">
        <f t="shared" si="286"/>
        <v>2.1820121108476231E-4</v>
      </c>
      <c r="CA191" s="44" t="str">
        <f t="shared" si="287"/>
        <v/>
      </c>
      <c r="CB191" s="44" t="str">
        <f t="shared" si="288"/>
        <v/>
      </c>
      <c r="CC191" s="44" t="str">
        <f t="shared" si="289"/>
        <v/>
      </c>
      <c r="CD191" s="44" t="str">
        <f t="shared" si="290"/>
        <v/>
      </c>
      <c r="CE191" s="44" t="str">
        <f t="shared" si="291"/>
        <v/>
      </c>
      <c r="CF191" s="44" t="str">
        <f t="shared" si="292"/>
        <v/>
      </c>
      <c r="CG191" s="44" t="str">
        <f t="shared" si="293"/>
        <v/>
      </c>
      <c r="CH191" s="44" t="str">
        <f t="shared" si="294"/>
        <v/>
      </c>
      <c r="CI191" s="44" t="str">
        <f t="shared" si="295"/>
        <v/>
      </c>
      <c r="CJ191" s="44" t="str">
        <f t="shared" si="296"/>
        <v/>
      </c>
      <c r="CK191" s="44" t="str">
        <f t="shared" si="297"/>
        <v/>
      </c>
      <c r="CL191" s="44" t="str">
        <f t="shared" si="298"/>
        <v/>
      </c>
      <c r="CM191" s="44" t="str">
        <f t="shared" si="299"/>
        <v/>
      </c>
      <c r="CN191" s="44" t="str">
        <f t="shared" si="300"/>
        <v/>
      </c>
      <c r="CO191" s="44" t="str">
        <f t="shared" si="301"/>
        <v/>
      </c>
      <c r="CP191" s="44" t="str">
        <f t="shared" si="302"/>
        <v/>
      </c>
      <c r="CQ191" s="44" t="str">
        <f t="shared" si="303"/>
        <v/>
      </c>
      <c r="CR191" s="44" t="str">
        <f t="shared" si="304"/>
        <v/>
      </c>
      <c r="CS191" s="44" t="str">
        <f t="shared" si="305"/>
        <v/>
      </c>
      <c r="CT191" s="44" t="str">
        <f t="shared" si="306"/>
        <v/>
      </c>
      <c r="CV191" s="44">
        <f t="shared" si="307"/>
        <v>0</v>
      </c>
    </row>
    <row r="192" spans="1:100" x14ac:dyDescent="0.25">
      <c r="A192" s="41"/>
      <c r="B192" s="42"/>
      <c r="C192" s="43" t="str" cm="1">
        <f t="array" ref="C192">IF(B192="","",INDEX(UWS!$B$10:$B$41,B192))</f>
        <v/>
      </c>
      <c r="D192" s="40" t="str">
        <f t="shared" si="264"/>
        <v/>
      </c>
      <c r="E192" s="69" t="str">
        <f t="shared" si="265"/>
        <v/>
      </c>
      <c r="F192" s="48" cm="1">
        <f t="array" ref="F192">0.1+IFERROR(INDEX($F$5:$F191,SUMPRODUCT(MAX(ROW($C$5:$C191)*($C192=$C$5:$C191))-ROW($A$4)))*0.9^($A192-INDEX($A$5:A191,SUMPRODUCT(MAX(ROW($C$5:$C191)*($C192=$C$5:$C191))-ROW($A$4)))),0)</f>
        <v>12.699999999999971</v>
      </c>
      <c r="G192" s="55" t="e">
        <f>INDEX(UWS!$AB$10:$AB$41,MATCH(C192,UWS!$B$10:$B$41,0))</f>
        <v>#N/A</v>
      </c>
      <c r="H192" s="48" t="e">
        <f>INDEX(UWS!$C$10:$C$41,MATCH(C192,UWS!$B$10:$B$41,0))</f>
        <v>#N/A</v>
      </c>
      <c r="I192" s="27">
        <f t="shared" si="266"/>
        <v>5</v>
      </c>
      <c r="J192" s="27" t="e">
        <f>INDEX(UWS!$E$10:$E$41,MATCH(C192,UWS!$B$10:$B$41,0))</f>
        <v>#N/A</v>
      </c>
      <c r="L192" s="108" t="str" cm="1">
        <f t="array" ref="L192">IF(K192="","",INDEX(UWS!$B$10:$B$41,K192))</f>
        <v/>
      </c>
      <c r="N192" s="108" t="str" cm="1">
        <f t="array" ref="N192">IF(M192="","",INDEX(UWS!$B$10:$B$41,M192))</f>
        <v/>
      </c>
      <c r="P192">
        <f>IFERROR(INDEX(UWS!$G$10:$Z$41,MATCH($C192,UWS!$B$10:$B$41,0),MATCH(P$4,UWS!$G$3:$Z$3,0)),0)</f>
        <v>0</v>
      </c>
      <c r="Q192">
        <f>IFERROR(INDEX(UWS!$G$10:$Z$41,MATCH($C192,UWS!$B$10:$B$41,0),MATCH(Q$4,UWS!$G$3:$Z$3,0)),0)</f>
        <v>0</v>
      </c>
      <c r="R192">
        <f>IFERROR(INDEX(UWS!$G$10:$Z$41,MATCH($C192,UWS!$B$10:$B$41,0),MATCH(R$4,UWS!$G$3:$Z$3,0)),0)</f>
        <v>0</v>
      </c>
      <c r="S192">
        <f>IFERROR(INDEX(UWS!$G$10:$Z$41,MATCH($C192,UWS!$B$10:$B$41,0),MATCH(S$4,UWS!$G$3:$Z$3,0)),0)</f>
        <v>0</v>
      </c>
      <c r="T192">
        <f>IFERROR(INDEX(UWS!$G$10:$Z$41,MATCH($C192,UWS!$B$10:$B$41,0),MATCH(T$4,UWS!$G$3:$Z$3,0)),0)</f>
        <v>0</v>
      </c>
      <c r="U192">
        <f>IFERROR(INDEX(UWS!$G$10:$Z$41,MATCH($C192,UWS!$B$10:$B$41,0),MATCH(U$4,UWS!$G$3:$Z$3,0)),0)</f>
        <v>0</v>
      </c>
      <c r="V192">
        <f>IFERROR(INDEX(UWS!$G$10:$Z$41,MATCH($C192,UWS!$B$10:$B$41,0),MATCH(V$4,UWS!$G$3:$Z$3,0)),0)</f>
        <v>0</v>
      </c>
      <c r="W192">
        <f>IFERROR(INDEX(UWS!$G$10:$Z$41,MATCH($C192,UWS!$B$10:$B$41,0),MATCH(W$4,UWS!$G$3:$Z$3,0)),0)</f>
        <v>0</v>
      </c>
      <c r="X192">
        <f>IFERROR(INDEX(UWS!$G$10:$Z$41,MATCH($C192,UWS!$B$10:$B$41,0),MATCH(X$4,UWS!$G$3:$Z$3,0)),0)</f>
        <v>0</v>
      </c>
      <c r="Y192">
        <f>IFERROR(INDEX(UWS!$G$10:$Z$41,MATCH($C192,UWS!$B$10:$B$41,0),MATCH(Y$4,UWS!$G$3:$Z$3,0)),0)</f>
        <v>0</v>
      </c>
      <c r="Z192">
        <f>IFERROR(INDEX(UWS!$G$10:$Z$41,MATCH($C192,UWS!$B$10:$B$41,0),MATCH(Z$4,UWS!$G$3:$Z$3,0)),0)</f>
        <v>0</v>
      </c>
      <c r="AA192">
        <f>IFERROR(INDEX(UWS!$G$10:$Z$41,MATCH($C192,UWS!$B$10:$B$41,0),MATCH(AA$4,UWS!$G$3:$Z$3,0)),0)</f>
        <v>0</v>
      </c>
      <c r="AB192">
        <f>IFERROR(INDEX(UWS!$G$10:$Z$41,MATCH($C192,UWS!$B$10:$B$41,0),MATCH(AB$4,UWS!$G$3:$Z$3,0)),0)</f>
        <v>0</v>
      </c>
      <c r="AC192">
        <f>IFERROR(INDEX(UWS!$G$10:$Z$41,MATCH($C192,UWS!$B$10:$B$41,0),MATCH(AC$4,UWS!$G$3:$Z$3,0)),0)</f>
        <v>0</v>
      </c>
      <c r="AD192">
        <f>IFERROR(INDEX(UWS!$G$10:$Z$41,MATCH($C192,UWS!$B$10:$B$41,0),MATCH(AD$4,UWS!$G$3:$Z$3,0)),0)</f>
        <v>0</v>
      </c>
      <c r="AE192">
        <f>IFERROR(INDEX(UWS!$G$10:$Z$41,MATCH($C192,UWS!$B$10:$B$41,0),MATCH(AE$4,UWS!$G$3:$Z$3,0)),0)</f>
        <v>0</v>
      </c>
      <c r="AF192">
        <f>IFERROR(INDEX(UWS!$G$10:$Z$41,MATCH($C192,UWS!$B$10:$B$41,0),MATCH(AF$4,UWS!$G$3:$Z$3,0)),0)</f>
        <v>0</v>
      </c>
      <c r="AG192">
        <f>IFERROR(INDEX(UWS!$G$10:$Z$41,MATCH($C192,UWS!$B$10:$B$41,0),MATCH(AG$4,UWS!$G$3:$Z$3,0)),0)</f>
        <v>0</v>
      </c>
      <c r="AH192">
        <f>IFERROR(INDEX(UWS!$G$10:$Z$41,MATCH($C192,UWS!$B$10:$B$41,0),MATCH(AH$4,UWS!$G$3:$Z$3,0)),0)</f>
        <v>0</v>
      </c>
      <c r="AI192">
        <f>IFERROR(INDEX(UWS!$G$10:$Z$41,MATCH($C192,UWS!$B$10:$B$41,0),MATCH(AI$4,UWS!$G$3:$Z$3,0)),0)</f>
        <v>0</v>
      </c>
      <c r="AK192" t="e">
        <f>IF(OR($J192=0,COUNTIFS($A$4:$A191,"&gt;="&amp;$A192-1,$A$4:$A191,"&lt;="&amp;$A192,$B$4:$B191,$B192)&gt;0,MIN(AK$1,IF($A192=$A191,AK191,1))-P192&lt;0),-1,MIN(1,IF($A192=$A191,AK191,1)-P192+$D$3))</f>
        <v>#N/A</v>
      </c>
      <c r="AL192" t="e">
        <f>IF(OR($J192=0,COUNTIFS($A$4:$A191,"&gt;="&amp;$A192-1,$A$4:$A191,"&lt;="&amp;$A192,$B$4:$B191,$B192)&gt;0,MIN(AL$1,IF($A192=$A191,AL191,1))-Q192&lt;0),-1,MIN(1,IF($A192=$A191,AL191,1)-Q192+$D$3))</f>
        <v>#N/A</v>
      </c>
      <c r="AM192" t="e">
        <f>IF(OR($J192=0,COUNTIFS($A$4:$A191,"&gt;="&amp;$A192-1,$A$4:$A191,"&lt;="&amp;$A192,$B$4:$B191,$B192)&gt;0,MIN(AM$1,IF($A192=$A191,AM191,1))-R192&lt;0),-1,MIN(1,IF($A192=$A191,AM191,1)-R192+$D$3))</f>
        <v>#N/A</v>
      </c>
      <c r="AN192" t="e">
        <f>IF(OR($J192=0,COUNTIFS($A$4:$A191,"&gt;="&amp;$A192-1,$A$4:$A191,"&lt;="&amp;$A192,$B$4:$B191,$B192)&gt;0,MIN(AN$1,IF($A192=$A191,AN191,1))-S192&lt;0),-1,MIN(1,IF($A192=$A191,AN191,1)-S192+$D$3))</f>
        <v>#N/A</v>
      </c>
      <c r="AO192" t="e">
        <f>IF(OR($J192=0,COUNTIFS($A$4:$A191,"&gt;="&amp;$A192-1,$A$4:$A191,"&lt;="&amp;$A192,$B$4:$B191,$B192)&gt;0,MIN(AO$1,IF($A192=$A191,AO191,1))-T192&lt;0),-1,MIN(1,IF($A192=$A191,AO191,1)-T192+$D$3))</f>
        <v>#N/A</v>
      </c>
      <c r="AP192" t="e">
        <f>IF(OR($J192=0,COUNTIFS($A$4:$A191,"&gt;="&amp;$A192-1,$A$4:$A191,"&lt;="&amp;$A192,$B$4:$B191,$B192)&gt;0,MIN(AP$1,IF($A192=$A191,AP191,1))-U192&lt;0),-1,MIN(1,IF($A192=$A191,AP191,1)-U192+$D$3))</f>
        <v>#N/A</v>
      </c>
      <c r="AQ192" t="e">
        <f>IF(OR($J192=0,COUNTIFS($A$4:$A191,"&gt;="&amp;$A192-1,$A$4:$A191,"&lt;="&amp;$A192,$B$4:$B191,$B192)&gt;0,MIN(AQ$1,IF($A192=$A191,AQ191,1))-V192&lt;0),-1,MIN(1,IF($A192=$A191,AQ191,1)-V192+$D$3))</f>
        <v>#N/A</v>
      </c>
      <c r="AR192" t="e">
        <f>IF(OR($J192=0,COUNTIFS($A$4:$A191,"&gt;="&amp;$A192-1,$A$4:$A191,"&lt;="&amp;$A192,$B$4:$B191,$B192)&gt;0,MIN(AR$1,IF($A192=$A191,AR191,1))-W192&lt;0),-1,MIN(1,IF($A192=$A191,AR191,1)-W192+$D$3))</f>
        <v>#N/A</v>
      </c>
      <c r="AS192" t="e">
        <f>IF(OR($J192=0,COUNTIFS($A$4:$A191,"&gt;="&amp;$A192-1,$A$4:$A191,"&lt;="&amp;$A192,$B$4:$B191,$B192)&gt;0,MIN(AS$1,IF($A192=$A191,AS191,1))-X192&lt;0),-1,MIN(1,IF($A192=$A191,AS191,1)-X192+$D$3))</f>
        <v>#N/A</v>
      </c>
      <c r="AT192" t="e">
        <f>IF(OR($J192=0,COUNTIFS($A$4:$A191,"&gt;="&amp;$A192-1,$A$4:$A191,"&lt;="&amp;$A192,$B$4:$B191,$B192)&gt;0,MIN(AT$1,IF($A192=$A191,AT191,1))-Y192&lt;0),-1,MIN(1,IF($A192=$A191,AT191,1)-Y192+$D$3))</f>
        <v>#N/A</v>
      </c>
      <c r="AU192" t="e">
        <f>IF(OR($J192=0,COUNTIFS($A$4:$A191,"&gt;="&amp;$A192-1,$A$4:$A191,"&lt;="&amp;$A192,$B$4:$B191,$B192)&gt;0,MIN(AU$1,IF($A192=$A191,AU191,1))-Z192&lt;0),-1,MIN(1,IF($A192=$A191,AU191,1)-Z192+$D$3))</f>
        <v>#N/A</v>
      </c>
      <c r="AV192" t="e">
        <f>IF(OR($J192=0,COUNTIFS($A$4:$A191,"&gt;="&amp;$A192-1,$A$4:$A191,"&lt;="&amp;$A192,$B$4:$B191,$B192)&gt;0,MIN(AV$1,IF($A192=$A191,AV191,1))-AA192&lt;0),-1,MIN(1,IF($A192=$A191,AV191,1)-AA192+$D$3))</f>
        <v>#N/A</v>
      </c>
      <c r="AW192" t="e">
        <f>IF(OR($J192=0,COUNTIFS($A$4:$A191,"&gt;="&amp;$A192-1,$A$4:$A191,"&lt;="&amp;$A192,$B$4:$B191,$B192)&gt;0,MIN(AW$1,IF($A192=$A191,AW191,1))-AB192&lt;0),-1,MIN(1,IF($A192=$A191,AW191,1)-AB192+$D$3))</f>
        <v>#N/A</v>
      </c>
      <c r="AX192" t="e">
        <f>IF(OR($J192=0,COUNTIFS($A$4:$A191,"&gt;="&amp;$A192-1,$A$4:$A191,"&lt;="&amp;$A192,$B$4:$B191,$B192)&gt;0,MIN(AX$1,IF($A192=$A191,AX191,1))-AC192&lt;0),-1,MIN(1,IF($A192=$A191,AX191,1)-AC192+$D$3))</f>
        <v>#N/A</v>
      </c>
      <c r="AY192" t="e">
        <f>IF(OR($J192=0,COUNTIFS($A$4:$A191,"&gt;="&amp;$A192-1,$A$4:$A191,"&lt;="&amp;$A192,$B$4:$B191,$B192)&gt;0,MIN(AY$1,IF($A192=$A191,AY191,1))-AD192&lt;0),-1,MIN(1,IF($A192=$A191,AY191,1)-AD192+$D$3))</f>
        <v>#N/A</v>
      </c>
      <c r="AZ192" t="e">
        <f>IF(OR($J192=0,COUNTIFS($A$4:$A191,"&gt;="&amp;$A192-1,$A$4:$A191,"&lt;="&amp;$A192,$B$4:$B191,$B192)&gt;0,MIN(AZ$1,IF($A192=$A191,AZ191,1))-AE192&lt;0),-1,MIN(1,IF($A192=$A191,AZ191,1)-AE192+$D$3))</f>
        <v>#N/A</v>
      </c>
      <c r="BA192" t="e">
        <f>IF(OR($J192=0,COUNTIFS($A$4:$A191,"&gt;="&amp;$A192-1,$A$4:$A191,"&lt;="&amp;$A192,$B$4:$B191,$B192)&gt;0,MIN(BA$1,IF($A192=$A191,BA191,1))-AF192&lt;0),-1,MIN(1,IF($A192=$A191,BA191,1)-AF192+$D$3))</f>
        <v>#N/A</v>
      </c>
      <c r="BB192" t="e">
        <f>IF(OR($J192=0,COUNTIFS($A$4:$A191,"&gt;="&amp;$A192-1,$A$4:$A191,"&lt;="&amp;$A192,$B$4:$B191,$B192)&gt;0,MIN(BB$1,IF($A192=$A191,BB191,1))-AG192&lt;0),-1,MIN(1,IF($A192=$A191,BB191,1)-AG192+$D$3))</f>
        <v>#N/A</v>
      </c>
      <c r="BC192" t="e">
        <f>IF(OR($J192=0,COUNTIFS($A$4:$A191,"&gt;="&amp;$A192-1,$A$4:$A191,"&lt;="&amp;$A192,$B$4:$B191,$B192)&gt;0,MIN(BC$1,IF($A192=$A191,BC191,1))-AH192&lt;0),-1,MIN(1,IF($A192=$A191,BC191,1)-AH192+$D$3))</f>
        <v>#N/A</v>
      </c>
      <c r="BD192" t="e">
        <f>IF(OR($J192=0,COUNTIFS($A$4:$A191,"&gt;="&amp;$A192-1,$A$4:$A191,"&lt;="&amp;$A192,$B$4:$B191,$B192)&gt;0,MIN(BD$1,IF($A192=$A191,BD191,1))-AI192&lt;0),-1,MIN(1,IF($A192=$A191,BD191,1)-AI192+$D$3))</f>
        <v>#N/A</v>
      </c>
      <c r="BF192" s="44">
        <f t="shared" si="267"/>
        <v>1.3751297823699071E-4</v>
      </c>
      <c r="BG192" s="44">
        <f t="shared" si="268"/>
        <v>3.3818321707041756E-4</v>
      </c>
      <c r="BH192" s="44">
        <f t="shared" si="269"/>
        <v>3.4660222410664801E-4</v>
      </c>
      <c r="BI192" s="44">
        <f t="shared" si="270"/>
        <v>3.2016422502919656E-4</v>
      </c>
      <c r="BJ192" s="44">
        <f t="shared" si="271"/>
        <v>3.3092012166567022E-4</v>
      </c>
      <c r="BK192" s="44">
        <f t="shared" si="272"/>
        <v>1.4210943857998401E-4</v>
      </c>
      <c r="BL192" s="44">
        <f t="shared" si="273"/>
        <v>7.6769754442627738E-5</v>
      </c>
      <c r="BM192" s="44">
        <f t="shared" si="274"/>
        <v>1.95293290511225E-4</v>
      </c>
      <c r="BN192" s="44">
        <f t="shared" si="275"/>
        <v>2.0312024238870117E-4</v>
      </c>
      <c r="BO192" s="44">
        <f t="shared" si="276"/>
        <v>9.5189853111900743E-5</v>
      </c>
      <c r="BP192" s="44">
        <f t="shared" si="277"/>
        <v>3.2007376023995116E-4</v>
      </c>
      <c r="BQ192" s="44">
        <f t="shared" si="278"/>
        <v>8.6374658336441958E-5</v>
      </c>
      <c r="BR192" s="44">
        <f t="shared" si="279"/>
        <v>2.5517236256401458E-4</v>
      </c>
      <c r="BS192" s="44">
        <f t="shared" si="280"/>
        <v>1.3761784129707319E-4</v>
      </c>
      <c r="BT192" s="44">
        <f t="shared" si="281"/>
        <v>5.4459598840145144E-4</v>
      </c>
      <c r="BU192" s="44">
        <f t="shared" si="282"/>
        <v>5.2025304411959744E-4</v>
      </c>
      <c r="BV192" s="44">
        <f t="shared" si="283"/>
        <v>4.9963381137819779E-4</v>
      </c>
      <c r="BW192" s="44">
        <f t="shared" si="284"/>
        <v>3.2678800769843906E-4</v>
      </c>
      <c r="BX192" s="44">
        <f t="shared" si="285"/>
        <v>2.4142504586172504E-4</v>
      </c>
      <c r="BY192" s="44">
        <f t="shared" si="286"/>
        <v>2.0729115053052418E-4</v>
      </c>
      <c r="CA192" s="44" t="str">
        <f t="shared" si="287"/>
        <v/>
      </c>
      <c r="CB192" s="44" t="str">
        <f t="shared" si="288"/>
        <v/>
      </c>
      <c r="CC192" s="44" t="str">
        <f t="shared" si="289"/>
        <v/>
      </c>
      <c r="CD192" s="44" t="str">
        <f t="shared" si="290"/>
        <v/>
      </c>
      <c r="CE192" s="44" t="str">
        <f t="shared" si="291"/>
        <v/>
      </c>
      <c r="CF192" s="44" t="str">
        <f t="shared" si="292"/>
        <v/>
      </c>
      <c r="CG192" s="44" t="str">
        <f t="shared" si="293"/>
        <v/>
      </c>
      <c r="CH192" s="44" t="str">
        <f t="shared" si="294"/>
        <v/>
      </c>
      <c r="CI192" s="44" t="str">
        <f t="shared" si="295"/>
        <v/>
      </c>
      <c r="CJ192" s="44" t="str">
        <f t="shared" si="296"/>
        <v/>
      </c>
      <c r="CK192" s="44" t="str">
        <f t="shared" si="297"/>
        <v/>
      </c>
      <c r="CL192" s="44" t="str">
        <f t="shared" si="298"/>
        <v/>
      </c>
      <c r="CM192" s="44" t="str">
        <f t="shared" si="299"/>
        <v/>
      </c>
      <c r="CN192" s="44" t="str">
        <f t="shared" si="300"/>
        <v/>
      </c>
      <c r="CO192" s="44" t="str">
        <f t="shared" si="301"/>
        <v/>
      </c>
      <c r="CP192" s="44" t="str">
        <f t="shared" si="302"/>
        <v/>
      </c>
      <c r="CQ192" s="44" t="str">
        <f t="shared" si="303"/>
        <v/>
      </c>
      <c r="CR192" s="44" t="str">
        <f t="shared" si="304"/>
        <v/>
      </c>
      <c r="CS192" s="44" t="str">
        <f t="shared" si="305"/>
        <v/>
      </c>
      <c r="CT192" s="44" t="str">
        <f t="shared" si="306"/>
        <v/>
      </c>
      <c r="CV192" s="44">
        <f t="shared" si="307"/>
        <v>0</v>
      </c>
    </row>
    <row r="193" spans="1:100" x14ac:dyDescent="0.25">
      <c r="A193" s="41"/>
      <c r="B193" s="42"/>
      <c r="C193" s="43" t="str" cm="1">
        <f t="array" ref="C193">IF(B193="","",INDEX(UWS!$B$10:$B$41,B193))</f>
        <v/>
      </c>
      <c r="D193" s="40" t="str">
        <f t="shared" si="264"/>
        <v/>
      </c>
      <c r="E193" s="69" t="str">
        <f t="shared" si="265"/>
        <v/>
      </c>
      <c r="F193" s="48" cm="1">
        <f t="array" ref="F193">0.1+IFERROR(INDEX($F$5:$F192,SUMPRODUCT(MAX(ROW($C$5:$C192)*($C193=$C$5:$C192))-ROW($A$4)))*0.9^($A193-INDEX($A$5:A192,SUMPRODUCT(MAX(ROW($C$5:$C192)*($C193=$C$5:$C192))-ROW($A$4)))),0)</f>
        <v>12.799999999999971</v>
      </c>
      <c r="G193" s="55" t="e">
        <f>INDEX(UWS!$AB$10:$AB$41,MATCH(C193,UWS!$B$10:$B$41,0))</f>
        <v>#N/A</v>
      </c>
      <c r="H193" s="48" t="e">
        <f>INDEX(UWS!$C$10:$C$41,MATCH(C193,UWS!$B$10:$B$41,0))</f>
        <v>#N/A</v>
      </c>
      <c r="I193" s="27">
        <f t="shared" si="266"/>
        <v>5</v>
      </c>
      <c r="J193" s="27" t="e">
        <f>INDEX(UWS!$E$10:$E$41,MATCH(C193,UWS!$B$10:$B$41,0))</f>
        <v>#N/A</v>
      </c>
      <c r="L193" s="108" t="str" cm="1">
        <f t="array" ref="L193">IF(K193="","",INDEX(UWS!$B$10:$B$41,K193))</f>
        <v/>
      </c>
      <c r="N193" s="108" t="str" cm="1">
        <f t="array" ref="N193">IF(M193="","",INDEX(UWS!$B$10:$B$41,M193))</f>
        <v/>
      </c>
      <c r="P193">
        <f>IFERROR(INDEX(UWS!$G$10:$Z$41,MATCH($C193,UWS!$B$10:$B$41,0),MATCH(P$4,UWS!$G$3:$Z$3,0)),0)</f>
        <v>0</v>
      </c>
      <c r="Q193">
        <f>IFERROR(INDEX(UWS!$G$10:$Z$41,MATCH($C193,UWS!$B$10:$B$41,0),MATCH(Q$4,UWS!$G$3:$Z$3,0)),0)</f>
        <v>0</v>
      </c>
      <c r="R193">
        <f>IFERROR(INDEX(UWS!$G$10:$Z$41,MATCH($C193,UWS!$B$10:$B$41,0),MATCH(R$4,UWS!$G$3:$Z$3,0)),0)</f>
        <v>0</v>
      </c>
      <c r="S193">
        <f>IFERROR(INDEX(UWS!$G$10:$Z$41,MATCH($C193,UWS!$B$10:$B$41,0),MATCH(S$4,UWS!$G$3:$Z$3,0)),0)</f>
        <v>0</v>
      </c>
      <c r="T193">
        <f>IFERROR(INDEX(UWS!$G$10:$Z$41,MATCH($C193,UWS!$B$10:$B$41,0),MATCH(T$4,UWS!$G$3:$Z$3,0)),0)</f>
        <v>0</v>
      </c>
      <c r="U193">
        <f>IFERROR(INDEX(UWS!$G$10:$Z$41,MATCH($C193,UWS!$B$10:$B$41,0),MATCH(U$4,UWS!$G$3:$Z$3,0)),0)</f>
        <v>0</v>
      </c>
      <c r="V193">
        <f>IFERROR(INDEX(UWS!$G$10:$Z$41,MATCH($C193,UWS!$B$10:$B$41,0),MATCH(V$4,UWS!$G$3:$Z$3,0)),0)</f>
        <v>0</v>
      </c>
      <c r="W193">
        <f>IFERROR(INDEX(UWS!$G$10:$Z$41,MATCH($C193,UWS!$B$10:$B$41,0),MATCH(W$4,UWS!$G$3:$Z$3,0)),0)</f>
        <v>0</v>
      </c>
      <c r="X193">
        <f>IFERROR(INDEX(UWS!$G$10:$Z$41,MATCH($C193,UWS!$B$10:$B$41,0),MATCH(X$4,UWS!$G$3:$Z$3,0)),0)</f>
        <v>0</v>
      </c>
      <c r="Y193">
        <f>IFERROR(INDEX(UWS!$G$10:$Z$41,MATCH($C193,UWS!$B$10:$B$41,0),MATCH(Y$4,UWS!$G$3:$Z$3,0)),0)</f>
        <v>0</v>
      </c>
      <c r="Z193">
        <f>IFERROR(INDEX(UWS!$G$10:$Z$41,MATCH($C193,UWS!$B$10:$B$41,0),MATCH(Z$4,UWS!$G$3:$Z$3,0)),0)</f>
        <v>0</v>
      </c>
      <c r="AA193">
        <f>IFERROR(INDEX(UWS!$G$10:$Z$41,MATCH($C193,UWS!$B$10:$B$41,0),MATCH(AA$4,UWS!$G$3:$Z$3,0)),0)</f>
        <v>0</v>
      </c>
      <c r="AB193">
        <f>IFERROR(INDEX(UWS!$G$10:$Z$41,MATCH($C193,UWS!$B$10:$B$41,0),MATCH(AB$4,UWS!$G$3:$Z$3,0)),0)</f>
        <v>0</v>
      </c>
      <c r="AC193">
        <f>IFERROR(INDEX(UWS!$G$10:$Z$41,MATCH($C193,UWS!$B$10:$B$41,0),MATCH(AC$4,UWS!$G$3:$Z$3,0)),0)</f>
        <v>0</v>
      </c>
      <c r="AD193">
        <f>IFERROR(INDEX(UWS!$G$10:$Z$41,MATCH($C193,UWS!$B$10:$B$41,0),MATCH(AD$4,UWS!$G$3:$Z$3,0)),0)</f>
        <v>0</v>
      </c>
      <c r="AE193">
        <f>IFERROR(INDEX(UWS!$G$10:$Z$41,MATCH($C193,UWS!$B$10:$B$41,0),MATCH(AE$4,UWS!$G$3:$Z$3,0)),0)</f>
        <v>0</v>
      </c>
      <c r="AF193">
        <f>IFERROR(INDEX(UWS!$G$10:$Z$41,MATCH($C193,UWS!$B$10:$B$41,0),MATCH(AF$4,UWS!$G$3:$Z$3,0)),0)</f>
        <v>0</v>
      </c>
      <c r="AG193">
        <f>IFERROR(INDEX(UWS!$G$10:$Z$41,MATCH($C193,UWS!$B$10:$B$41,0),MATCH(AG$4,UWS!$G$3:$Z$3,0)),0)</f>
        <v>0</v>
      </c>
      <c r="AH193">
        <f>IFERROR(INDEX(UWS!$G$10:$Z$41,MATCH($C193,UWS!$B$10:$B$41,0),MATCH(AH$4,UWS!$G$3:$Z$3,0)),0)</f>
        <v>0</v>
      </c>
      <c r="AI193">
        <f>IFERROR(INDEX(UWS!$G$10:$Z$41,MATCH($C193,UWS!$B$10:$B$41,0),MATCH(AI$4,UWS!$G$3:$Z$3,0)),0)</f>
        <v>0</v>
      </c>
      <c r="AK193" t="e">
        <f>IF(OR($J193=0,COUNTIFS($A$4:$A192,"&gt;="&amp;$A193-1,$A$4:$A192,"&lt;="&amp;$A193,$B$4:$B192,$B193)&gt;0,MIN(AK$1,IF($A193=$A192,AK192,1))-P193&lt;0),-1,MIN(1,IF($A193=$A192,AK192,1)-P193+$D$3))</f>
        <v>#N/A</v>
      </c>
      <c r="AL193" t="e">
        <f>IF(OR($J193=0,COUNTIFS($A$4:$A192,"&gt;="&amp;$A193-1,$A$4:$A192,"&lt;="&amp;$A193,$B$4:$B192,$B193)&gt;0,MIN(AL$1,IF($A193=$A192,AL192,1))-Q193&lt;0),-1,MIN(1,IF($A193=$A192,AL192,1)-Q193+$D$3))</f>
        <v>#N/A</v>
      </c>
      <c r="AM193" t="e">
        <f>IF(OR($J193=0,COUNTIFS($A$4:$A192,"&gt;="&amp;$A193-1,$A$4:$A192,"&lt;="&amp;$A193,$B$4:$B192,$B193)&gt;0,MIN(AM$1,IF($A193=$A192,AM192,1))-R193&lt;0),-1,MIN(1,IF($A193=$A192,AM192,1)-R193+$D$3))</f>
        <v>#N/A</v>
      </c>
      <c r="AN193" t="e">
        <f>IF(OR($J193=0,COUNTIFS($A$4:$A192,"&gt;="&amp;$A193-1,$A$4:$A192,"&lt;="&amp;$A193,$B$4:$B192,$B193)&gt;0,MIN(AN$1,IF($A193=$A192,AN192,1))-S193&lt;0),-1,MIN(1,IF($A193=$A192,AN192,1)-S193+$D$3))</f>
        <v>#N/A</v>
      </c>
      <c r="AO193" t="e">
        <f>IF(OR($J193=0,COUNTIFS($A$4:$A192,"&gt;="&amp;$A193-1,$A$4:$A192,"&lt;="&amp;$A193,$B$4:$B192,$B193)&gt;0,MIN(AO$1,IF($A193=$A192,AO192,1))-T193&lt;0),-1,MIN(1,IF($A193=$A192,AO192,1)-T193+$D$3))</f>
        <v>#N/A</v>
      </c>
      <c r="AP193" t="e">
        <f>IF(OR($J193=0,COUNTIFS($A$4:$A192,"&gt;="&amp;$A193-1,$A$4:$A192,"&lt;="&amp;$A193,$B$4:$B192,$B193)&gt;0,MIN(AP$1,IF($A193=$A192,AP192,1))-U193&lt;0),-1,MIN(1,IF($A193=$A192,AP192,1)-U193+$D$3))</f>
        <v>#N/A</v>
      </c>
      <c r="AQ193" t="e">
        <f>IF(OR($J193=0,COUNTIFS($A$4:$A192,"&gt;="&amp;$A193-1,$A$4:$A192,"&lt;="&amp;$A193,$B$4:$B192,$B193)&gt;0,MIN(AQ$1,IF($A193=$A192,AQ192,1))-V193&lt;0),-1,MIN(1,IF($A193=$A192,AQ192,1)-V193+$D$3))</f>
        <v>#N/A</v>
      </c>
      <c r="AR193" t="e">
        <f>IF(OR($J193=0,COUNTIFS($A$4:$A192,"&gt;="&amp;$A193-1,$A$4:$A192,"&lt;="&amp;$A193,$B$4:$B192,$B193)&gt;0,MIN(AR$1,IF($A193=$A192,AR192,1))-W193&lt;0),-1,MIN(1,IF($A193=$A192,AR192,1)-W193+$D$3))</f>
        <v>#N/A</v>
      </c>
      <c r="AS193" t="e">
        <f>IF(OR($J193=0,COUNTIFS($A$4:$A192,"&gt;="&amp;$A193-1,$A$4:$A192,"&lt;="&amp;$A193,$B$4:$B192,$B193)&gt;0,MIN(AS$1,IF($A193=$A192,AS192,1))-X193&lt;0),-1,MIN(1,IF($A193=$A192,AS192,1)-X193+$D$3))</f>
        <v>#N/A</v>
      </c>
      <c r="AT193" t="e">
        <f>IF(OR($J193=0,COUNTIFS($A$4:$A192,"&gt;="&amp;$A193-1,$A$4:$A192,"&lt;="&amp;$A193,$B$4:$B192,$B193)&gt;0,MIN(AT$1,IF($A193=$A192,AT192,1))-Y193&lt;0),-1,MIN(1,IF($A193=$A192,AT192,1)-Y193+$D$3))</f>
        <v>#N/A</v>
      </c>
      <c r="AU193" t="e">
        <f>IF(OR($J193=0,COUNTIFS($A$4:$A192,"&gt;="&amp;$A193-1,$A$4:$A192,"&lt;="&amp;$A193,$B$4:$B192,$B193)&gt;0,MIN(AU$1,IF($A193=$A192,AU192,1))-Z193&lt;0),-1,MIN(1,IF($A193=$A192,AU192,1)-Z193+$D$3))</f>
        <v>#N/A</v>
      </c>
      <c r="AV193" t="e">
        <f>IF(OR($J193=0,COUNTIFS($A$4:$A192,"&gt;="&amp;$A193-1,$A$4:$A192,"&lt;="&amp;$A193,$B$4:$B192,$B193)&gt;0,MIN(AV$1,IF($A193=$A192,AV192,1))-AA193&lt;0),-1,MIN(1,IF($A193=$A192,AV192,1)-AA193+$D$3))</f>
        <v>#N/A</v>
      </c>
      <c r="AW193" t="e">
        <f>IF(OR($J193=0,COUNTIFS($A$4:$A192,"&gt;="&amp;$A193-1,$A$4:$A192,"&lt;="&amp;$A193,$B$4:$B192,$B193)&gt;0,MIN(AW$1,IF($A193=$A192,AW192,1))-AB193&lt;0),-1,MIN(1,IF($A193=$A192,AW192,1)-AB193+$D$3))</f>
        <v>#N/A</v>
      </c>
      <c r="AX193" t="e">
        <f>IF(OR($J193=0,COUNTIFS($A$4:$A192,"&gt;="&amp;$A193-1,$A$4:$A192,"&lt;="&amp;$A193,$B$4:$B192,$B193)&gt;0,MIN(AX$1,IF($A193=$A192,AX192,1))-AC193&lt;0),-1,MIN(1,IF($A193=$A192,AX192,1)-AC193+$D$3))</f>
        <v>#N/A</v>
      </c>
      <c r="AY193" t="e">
        <f>IF(OR($J193=0,COUNTIFS($A$4:$A192,"&gt;="&amp;$A193-1,$A$4:$A192,"&lt;="&amp;$A193,$B$4:$B192,$B193)&gt;0,MIN(AY$1,IF($A193=$A192,AY192,1))-AD193&lt;0),-1,MIN(1,IF($A193=$A192,AY192,1)-AD193+$D$3))</f>
        <v>#N/A</v>
      </c>
      <c r="AZ193" t="e">
        <f>IF(OR($J193=0,COUNTIFS($A$4:$A192,"&gt;="&amp;$A193-1,$A$4:$A192,"&lt;="&amp;$A193,$B$4:$B192,$B193)&gt;0,MIN(AZ$1,IF($A193=$A192,AZ192,1))-AE193&lt;0),-1,MIN(1,IF($A193=$A192,AZ192,1)-AE193+$D$3))</f>
        <v>#N/A</v>
      </c>
      <c r="BA193" t="e">
        <f>IF(OR($J193=0,COUNTIFS($A$4:$A192,"&gt;="&amp;$A193-1,$A$4:$A192,"&lt;="&amp;$A193,$B$4:$B192,$B193)&gt;0,MIN(BA$1,IF($A193=$A192,BA192,1))-AF193&lt;0),-1,MIN(1,IF($A193=$A192,BA192,1)-AF193+$D$3))</f>
        <v>#N/A</v>
      </c>
      <c r="BB193" t="e">
        <f>IF(OR($J193=0,COUNTIFS($A$4:$A192,"&gt;="&amp;$A193-1,$A$4:$A192,"&lt;="&amp;$A193,$B$4:$B192,$B193)&gt;0,MIN(BB$1,IF($A193=$A192,BB192,1))-AG193&lt;0),-1,MIN(1,IF($A193=$A192,BB192,1)-AG193+$D$3))</f>
        <v>#N/A</v>
      </c>
      <c r="BC193" t="e">
        <f>IF(OR($J193=0,COUNTIFS($A$4:$A192,"&gt;="&amp;$A193-1,$A$4:$A192,"&lt;="&amp;$A193,$B$4:$B192,$B193)&gt;0,MIN(BC$1,IF($A193=$A192,BC192,1))-AH193&lt;0),-1,MIN(1,IF($A193=$A192,BC192,1)-AH193+$D$3))</f>
        <v>#N/A</v>
      </c>
      <c r="BD193" t="e">
        <f>IF(OR($J193=0,COUNTIFS($A$4:$A192,"&gt;="&amp;$A193-1,$A$4:$A192,"&lt;="&amp;$A193,$B$4:$B192,$B193)&gt;0,MIN(BD$1,IF($A193=$A192,BD192,1))-AI193&lt;0),-1,MIN(1,IF($A193=$A192,BD192,1)-AI193+$D$3))</f>
        <v>#N/A</v>
      </c>
      <c r="BF193" s="44">
        <f t="shared" si="267"/>
        <v>1.3063732932514118E-4</v>
      </c>
      <c r="BG193" s="44">
        <f t="shared" si="268"/>
        <v>3.2127405621689667E-4</v>
      </c>
      <c r="BH193" s="44">
        <f t="shared" si="269"/>
        <v>3.292721129013156E-4</v>
      </c>
      <c r="BI193" s="44">
        <f t="shared" si="270"/>
        <v>3.0415601377773674E-4</v>
      </c>
      <c r="BJ193" s="44">
        <f t="shared" si="271"/>
        <v>3.1437411558238667E-4</v>
      </c>
      <c r="BK193" s="44">
        <f t="shared" si="272"/>
        <v>1.3500396665098481E-4</v>
      </c>
      <c r="BL193" s="44">
        <f t="shared" si="273"/>
        <v>7.2931266720496353E-5</v>
      </c>
      <c r="BM193" s="44">
        <f t="shared" si="274"/>
        <v>1.8552862598566374E-4</v>
      </c>
      <c r="BN193" s="44">
        <f t="shared" si="275"/>
        <v>1.9296423026926612E-4</v>
      </c>
      <c r="BO193" s="44">
        <f t="shared" si="276"/>
        <v>9.04303604563057E-5</v>
      </c>
      <c r="BP193" s="44">
        <f t="shared" si="277"/>
        <v>3.0407007222795358E-4</v>
      </c>
      <c r="BQ193" s="44">
        <f t="shared" si="278"/>
        <v>8.2055925419619854E-5</v>
      </c>
      <c r="BR193" s="44">
        <f t="shared" si="279"/>
        <v>2.4241374443581383E-4</v>
      </c>
      <c r="BS193" s="44">
        <f t="shared" si="280"/>
        <v>1.3073694923221952E-4</v>
      </c>
      <c r="BT193" s="44">
        <f t="shared" si="281"/>
        <v>5.1736618898137884E-4</v>
      </c>
      <c r="BU193" s="44">
        <f t="shared" si="282"/>
        <v>4.9424039191361751E-4</v>
      </c>
      <c r="BV193" s="44">
        <f t="shared" si="283"/>
        <v>4.7465212080928786E-4</v>
      </c>
      <c r="BW193" s="44">
        <f t="shared" si="284"/>
        <v>3.1044860731351708E-4</v>
      </c>
      <c r="BX193" s="44">
        <f t="shared" si="285"/>
        <v>2.2935379356863876E-4</v>
      </c>
      <c r="BY193" s="44">
        <f t="shared" si="286"/>
        <v>1.9692659300399798E-4</v>
      </c>
      <c r="CA193" s="44" t="str">
        <f t="shared" si="287"/>
        <v/>
      </c>
      <c r="CB193" s="44" t="str">
        <f t="shared" si="288"/>
        <v/>
      </c>
      <c r="CC193" s="44" t="str">
        <f t="shared" si="289"/>
        <v/>
      </c>
      <c r="CD193" s="44" t="str">
        <f t="shared" si="290"/>
        <v/>
      </c>
      <c r="CE193" s="44" t="str">
        <f t="shared" si="291"/>
        <v/>
      </c>
      <c r="CF193" s="44" t="str">
        <f t="shared" si="292"/>
        <v/>
      </c>
      <c r="CG193" s="44" t="str">
        <f t="shared" si="293"/>
        <v/>
      </c>
      <c r="CH193" s="44" t="str">
        <f t="shared" si="294"/>
        <v/>
      </c>
      <c r="CI193" s="44" t="str">
        <f t="shared" si="295"/>
        <v/>
      </c>
      <c r="CJ193" s="44" t="str">
        <f t="shared" si="296"/>
        <v/>
      </c>
      <c r="CK193" s="44" t="str">
        <f t="shared" si="297"/>
        <v/>
      </c>
      <c r="CL193" s="44" t="str">
        <f t="shared" si="298"/>
        <v/>
      </c>
      <c r="CM193" s="44" t="str">
        <f t="shared" si="299"/>
        <v/>
      </c>
      <c r="CN193" s="44" t="str">
        <f t="shared" si="300"/>
        <v/>
      </c>
      <c r="CO193" s="44" t="str">
        <f t="shared" si="301"/>
        <v/>
      </c>
      <c r="CP193" s="44" t="str">
        <f t="shared" si="302"/>
        <v/>
      </c>
      <c r="CQ193" s="44" t="str">
        <f t="shared" si="303"/>
        <v/>
      </c>
      <c r="CR193" s="44" t="str">
        <f t="shared" si="304"/>
        <v/>
      </c>
      <c r="CS193" s="44" t="str">
        <f t="shared" si="305"/>
        <v/>
      </c>
      <c r="CT193" s="44" t="str">
        <f t="shared" si="306"/>
        <v/>
      </c>
      <c r="CV193" s="44">
        <f t="shared" si="307"/>
        <v>0</v>
      </c>
    </row>
    <row r="194" spans="1:100" x14ac:dyDescent="0.25">
      <c r="A194" s="41"/>
      <c r="B194" s="42"/>
      <c r="C194" s="43" t="str" cm="1">
        <f t="array" ref="C194">IF(B194="","",INDEX(UWS!$B$10:$B$41,B194))</f>
        <v/>
      </c>
      <c r="D194" s="40" t="str">
        <f t="shared" si="264"/>
        <v/>
      </c>
      <c r="E194" s="69" t="str">
        <f t="shared" si="265"/>
        <v/>
      </c>
      <c r="F194" s="48" cm="1">
        <f t="array" ref="F194">0.1+IFERROR(INDEX($F$5:$F193,SUMPRODUCT(MAX(ROW($C$5:$C193)*($C194=$C$5:$C193))-ROW($A$4)))*0.9^($A194-INDEX($A$5:A193,SUMPRODUCT(MAX(ROW($C$5:$C193)*($C194=$C$5:$C193))-ROW($A$4)))),0)</f>
        <v>12.89999999999997</v>
      </c>
      <c r="G194" s="55" t="e">
        <f>INDEX(UWS!$AB$10:$AB$41,MATCH(C194,UWS!$B$10:$B$41,0))</f>
        <v>#N/A</v>
      </c>
      <c r="H194" s="48" t="e">
        <f>INDEX(UWS!$C$10:$C$41,MATCH(C194,UWS!$B$10:$B$41,0))</f>
        <v>#N/A</v>
      </c>
      <c r="I194" s="27">
        <f t="shared" si="266"/>
        <v>5</v>
      </c>
      <c r="J194" s="27" t="e">
        <f>INDEX(UWS!$E$10:$E$41,MATCH(C194,UWS!$B$10:$B$41,0))</f>
        <v>#N/A</v>
      </c>
      <c r="L194" s="108" t="str" cm="1">
        <f t="array" ref="L194">IF(K194="","",INDEX(UWS!$B$10:$B$41,K194))</f>
        <v/>
      </c>
      <c r="N194" s="108" t="str" cm="1">
        <f t="array" ref="N194">IF(M194="","",INDEX(UWS!$B$10:$B$41,M194))</f>
        <v/>
      </c>
      <c r="P194">
        <f>IFERROR(INDEX(UWS!$G$10:$Z$41,MATCH($C194,UWS!$B$10:$B$41,0),MATCH(P$4,UWS!$G$3:$Z$3,0)),0)</f>
        <v>0</v>
      </c>
      <c r="Q194">
        <f>IFERROR(INDEX(UWS!$G$10:$Z$41,MATCH($C194,UWS!$B$10:$B$41,0),MATCH(Q$4,UWS!$G$3:$Z$3,0)),0)</f>
        <v>0</v>
      </c>
      <c r="R194">
        <f>IFERROR(INDEX(UWS!$G$10:$Z$41,MATCH($C194,UWS!$B$10:$B$41,0),MATCH(R$4,UWS!$G$3:$Z$3,0)),0)</f>
        <v>0</v>
      </c>
      <c r="S194">
        <f>IFERROR(INDEX(UWS!$G$10:$Z$41,MATCH($C194,UWS!$B$10:$B$41,0),MATCH(S$4,UWS!$G$3:$Z$3,0)),0)</f>
        <v>0</v>
      </c>
      <c r="T194">
        <f>IFERROR(INDEX(UWS!$G$10:$Z$41,MATCH($C194,UWS!$B$10:$B$41,0),MATCH(T$4,UWS!$G$3:$Z$3,0)),0)</f>
        <v>0</v>
      </c>
      <c r="U194">
        <f>IFERROR(INDEX(UWS!$G$10:$Z$41,MATCH($C194,UWS!$B$10:$B$41,0),MATCH(U$4,UWS!$G$3:$Z$3,0)),0)</f>
        <v>0</v>
      </c>
      <c r="V194">
        <f>IFERROR(INDEX(UWS!$G$10:$Z$41,MATCH($C194,UWS!$B$10:$B$41,0),MATCH(V$4,UWS!$G$3:$Z$3,0)),0)</f>
        <v>0</v>
      </c>
      <c r="W194">
        <f>IFERROR(INDEX(UWS!$G$10:$Z$41,MATCH($C194,UWS!$B$10:$B$41,0),MATCH(W$4,UWS!$G$3:$Z$3,0)),0)</f>
        <v>0</v>
      </c>
      <c r="X194">
        <f>IFERROR(INDEX(UWS!$G$10:$Z$41,MATCH($C194,UWS!$B$10:$B$41,0),MATCH(X$4,UWS!$G$3:$Z$3,0)),0)</f>
        <v>0</v>
      </c>
      <c r="Y194">
        <f>IFERROR(INDEX(UWS!$G$10:$Z$41,MATCH($C194,UWS!$B$10:$B$41,0),MATCH(Y$4,UWS!$G$3:$Z$3,0)),0)</f>
        <v>0</v>
      </c>
      <c r="Z194">
        <f>IFERROR(INDEX(UWS!$G$10:$Z$41,MATCH($C194,UWS!$B$10:$B$41,0),MATCH(Z$4,UWS!$G$3:$Z$3,0)),0)</f>
        <v>0</v>
      </c>
      <c r="AA194">
        <f>IFERROR(INDEX(UWS!$G$10:$Z$41,MATCH($C194,UWS!$B$10:$B$41,0),MATCH(AA$4,UWS!$G$3:$Z$3,0)),0)</f>
        <v>0</v>
      </c>
      <c r="AB194">
        <f>IFERROR(INDEX(UWS!$G$10:$Z$41,MATCH($C194,UWS!$B$10:$B$41,0),MATCH(AB$4,UWS!$G$3:$Z$3,0)),0)</f>
        <v>0</v>
      </c>
      <c r="AC194">
        <f>IFERROR(INDEX(UWS!$G$10:$Z$41,MATCH($C194,UWS!$B$10:$B$41,0),MATCH(AC$4,UWS!$G$3:$Z$3,0)),0)</f>
        <v>0</v>
      </c>
      <c r="AD194">
        <f>IFERROR(INDEX(UWS!$G$10:$Z$41,MATCH($C194,UWS!$B$10:$B$41,0),MATCH(AD$4,UWS!$G$3:$Z$3,0)),0)</f>
        <v>0</v>
      </c>
      <c r="AE194">
        <f>IFERROR(INDEX(UWS!$G$10:$Z$41,MATCH($C194,UWS!$B$10:$B$41,0),MATCH(AE$4,UWS!$G$3:$Z$3,0)),0)</f>
        <v>0</v>
      </c>
      <c r="AF194">
        <f>IFERROR(INDEX(UWS!$G$10:$Z$41,MATCH($C194,UWS!$B$10:$B$41,0),MATCH(AF$4,UWS!$G$3:$Z$3,0)),0)</f>
        <v>0</v>
      </c>
      <c r="AG194">
        <f>IFERROR(INDEX(UWS!$G$10:$Z$41,MATCH($C194,UWS!$B$10:$B$41,0),MATCH(AG$4,UWS!$G$3:$Z$3,0)),0)</f>
        <v>0</v>
      </c>
      <c r="AH194">
        <f>IFERROR(INDEX(UWS!$G$10:$Z$41,MATCH($C194,UWS!$B$10:$B$41,0),MATCH(AH$4,UWS!$G$3:$Z$3,0)),0)</f>
        <v>0</v>
      </c>
      <c r="AI194">
        <f>IFERROR(INDEX(UWS!$G$10:$Z$41,MATCH($C194,UWS!$B$10:$B$41,0),MATCH(AI$4,UWS!$G$3:$Z$3,0)),0)</f>
        <v>0</v>
      </c>
      <c r="AK194" t="e">
        <f>IF(OR($J194=0,COUNTIFS($A$4:$A193,"&gt;="&amp;$A194-1,$A$4:$A193,"&lt;="&amp;$A194,$B$4:$B193,$B194)&gt;0,MIN(AK$1,IF($A194=$A193,AK193,1))-P194&lt;0),-1,MIN(1,IF($A194=$A193,AK193,1)-P194+$D$3))</f>
        <v>#N/A</v>
      </c>
      <c r="AL194" t="e">
        <f>IF(OR($J194=0,COUNTIFS($A$4:$A193,"&gt;="&amp;$A194-1,$A$4:$A193,"&lt;="&amp;$A194,$B$4:$B193,$B194)&gt;0,MIN(AL$1,IF($A194=$A193,AL193,1))-Q194&lt;0),-1,MIN(1,IF($A194=$A193,AL193,1)-Q194+$D$3))</f>
        <v>#N/A</v>
      </c>
      <c r="AM194" t="e">
        <f>IF(OR($J194=0,COUNTIFS($A$4:$A193,"&gt;="&amp;$A194-1,$A$4:$A193,"&lt;="&amp;$A194,$B$4:$B193,$B194)&gt;0,MIN(AM$1,IF($A194=$A193,AM193,1))-R194&lt;0),-1,MIN(1,IF($A194=$A193,AM193,1)-R194+$D$3))</f>
        <v>#N/A</v>
      </c>
      <c r="AN194" t="e">
        <f>IF(OR($J194=0,COUNTIFS($A$4:$A193,"&gt;="&amp;$A194-1,$A$4:$A193,"&lt;="&amp;$A194,$B$4:$B193,$B194)&gt;0,MIN(AN$1,IF($A194=$A193,AN193,1))-S194&lt;0),-1,MIN(1,IF($A194=$A193,AN193,1)-S194+$D$3))</f>
        <v>#N/A</v>
      </c>
      <c r="AO194" t="e">
        <f>IF(OR($J194=0,COUNTIFS($A$4:$A193,"&gt;="&amp;$A194-1,$A$4:$A193,"&lt;="&amp;$A194,$B$4:$B193,$B194)&gt;0,MIN(AO$1,IF($A194=$A193,AO193,1))-T194&lt;0),-1,MIN(1,IF($A194=$A193,AO193,1)-T194+$D$3))</f>
        <v>#N/A</v>
      </c>
      <c r="AP194" t="e">
        <f>IF(OR($J194=0,COUNTIFS($A$4:$A193,"&gt;="&amp;$A194-1,$A$4:$A193,"&lt;="&amp;$A194,$B$4:$B193,$B194)&gt;0,MIN(AP$1,IF($A194=$A193,AP193,1))-U194&lt;0),-1,MIN(1,IF($A194=$A193,AP193,1)-U194+$D$3))</f>
        <v>#N/A</v>
      </c>
      <c r="AQ194" t="e">
        <f>IF(OR($J194=0,COUNTIFS($A$4:$A193,"&gt;="&amp;$A194-1,$A$4:$A193,"&lt;="&amp;$A194,$B$4:$B193,$B194)&gt;0,MIN(AQ$1,IF($A194=$A193,AQ193,1))-V194&lt;0),-1,MIN(1,IF($A194=$A193,AQ193,1)-V194+$D$3))</f>
        <v>#N/A</v>
      </c>
      <c r="AR194" t="e">
        <f>IF(OR($J194=0,COUNTIFS($A$4:$A193,"&gt;="&amp;$A194-1,$A$4:$A193,"&lt;="&amp;$A194,$B$4:$B193,$B194)&gt;0,MIN(AR$1,IF($A194=$A193,AR193,1))-W194&lt;0),-1,MIN(1,IF($A194=$A193,AR193,1)-W194+$D$3))</f>
        <v>#N/A</v>
      </c>
      <c r="AS194" t="e">
        <f>IF(OR($J194=0,COUNTIFS($A$4:$A193,"&gt;="&amp;$A194-1,$A$4:$A193,"&lt;="&amp;$A194,$B$4:$B193,$B194)&gt;0,MIN(AS$1,IF($A194=$A193,AS193,1))-X194&lt;0),-1,MIN(1,IF($A194=$A193,AS193,1)-X194+$D$3))</f>
        <v>#N/A</v>
      </c>
      <c r="AT194" t="e">
        <f>IF(OR($J194=0,COUNTIFS($A$4:$A193,"&gt;="&amp;$A194-1,$A$4:$A193,"&lt;="&amp;$A194,$B$4:$B193,$B194)&gt;0,MIN(AT$1,IF($A194=$A193,AT193,1))-Y194&lt;0),-1,MIN(1,IF($A194=$A193,AT193,1)-Y194+$D$3))</f>
        <v>#N/A</v>
      </c>
      <c r="AU194" t="e">
        <f>IF(OR($J194=0,COUNTIFS($A$4:$A193,"&gt;="&amp;$A194-1,$A$4:$A193,"&lt;="&amp;$A194,$B$4:$B193,$B194)&gt;0,MIN(AU$1,IF($A194=$A193,AU193,1))-Z194&lt;0),-1,MIN(1,IF($A194=$A193,AU193,1)-Z194+$D$3))</f>
        <v>#N/A</v>
      </c>
      <c r="AV194" t="e">
        <f>IF(OR($J194=0,COUNTIFS($A$4:$A193,"&gt;="&amp;$A194-1,$A$4:$A193,"&lt;="&amp;$A194,$B$4:$B193,$B194)&gt;0,MIN(AV$1,IF($A194=$A193,AV193,1))-AA194&lt;0),-1,MIN(1,IF($A194=$A193,AV193,1)-AA194+$D$3))</f>
        <v>#N/A</v>
      </c>
      <c r="AW194" t="e">
        <f>IF(OR($J194=0,COUNTIFS($A$4:$A193,"&gt;="&amp;$A194-1,$A$4:$A193,"&lt;="&amp;$A194,$B$4:$B193,$B194)&gt;0,MIN(AW$1,IF($A194=$A193,AW193,1))-AB194&lt;0),-1,MIN(1,IF($A194=$A193,AW193,1)-AB194+$D$3))</f>
        <v>#N/A</v>
      </c>
      <c r="AX194" t="e">
        <f>IF(OR($J194=0,COUNTIFS($A$4:$A193,"&gt;="&amp;$A194-1,$A$4:$A193,"&lt;="&amp;$A194,$B$4:$B193,$B194)&gt;0,MIN(AX$1,IF($A194=$A193,AX193,1))-AC194&lt;0),-1,MIN(1,IF($A194=$A193,AX193,1)-AC194+$D$3))</f>
        <v>#N/A</v>
      </c>
      <c r="AY194" t="e">
        <f>IF(OR($J194=0,COUNTIFS($A$4:$A193,"&gt;="&amp;$A194-1,$A$4:$A193,"&lt;="&amp;$A194,$B$4:$B193,$B194)&gt;0,MIN(AY$1,IF($A194=$A193,AY193,1))-AD194&lt;0),-1,MIN(1,IF($A194=$A193,AY193,1)-AD194+$D$3))</f>
        <v>#N/A</v>
      </c>
      <c r="AZ194" t="e">
        <f>IF(OR($J194=0,COUNTIFS($A$4:$A193,"&gt;="&amp;$A194-1,$A$4:$A193,"&lt;="&amp;$A194,$B$4:$B193,$B194)&gt;0,MIN(AZ$1,IF($A194=$A193,AZ193,1))-AE194&lt;0),-1,MIN(1,IF($A194=$A193,AZ193,1)-AE194+$D$3))</f>
        <v>#N/A</v>
      </c>
      <c r="BA194" t="e">
        <f>IF(OR($J194=0,COUNTIFS($A$4:$A193,"&gt;="&amp;$A194-1,$A$4:$A193,"&lt;="&amp;$A194,$B$4:$B193,$B194)&gt;0,MIN(BA$1,IF($A194=$A193,BA193,1))-AF194&lt;0),-1,MIN(1,IF($A194=$A193,BA193,1)-AF194+$D$3))</f>
        <v>#N/A</v>
      </c>
      <c r="BB194" t="e">
        <f>IF(OR($J194=0,COUNTIFS($A$4:$A193,"&gt;="&amp;$A194-1,$A$4:$A193,"&lt;="&amp;$A194,$B$4:$B193,$B194)&gt;0,MIN(BB$1,IF($A194=$A193,BB193,1))-AG194&lt;0),-1,MIN(1,IF($A194=$A193,BB193,1)-AG194+$D$3))</f>
        <v>#N/A</v>
      </c>
      <c r="BC194" t="e">
        <f>IF(OR($J194=0,COUNTIFS($A$4:$A193,"&gt;="&amp;$A194-1,$A$4:$A193,"&lt;="&amp;$A194,$B$4:$B193,$B194)&gt;0,MIN(BC$1,IF($A194=$A193,BC193,1))-AH194&lt;0),-1,MIN(1,IF($A194=$A193,BC193,1)-AH194+$D$3))</f>
        <v>#N/A</v>
      </c>
      <c r="BD194" t="e">
        <f>IF(OR($J194=0,COUNTIFS($A$4:$A193,"&gt;="&amp;$A194-1,$A$4:$A193,"&lt;="&amp;$A194,$B$4:$B193,$B194)&gt;0,MIN(BD$1,IF($A194=$A193,BD193,1))-AI194&lt;0),-1,MIN(1,IF($A194=$A193,BD193,1)-AI194+$D$3))</f>
        <v>#N/A</v>
      </c>
      <c r="BF194" s="44">
        <f t="shared" si="267"/>
        <v>1.2410546285888412E-4</v>
      </c>
      <c r="BG194" s="44">
        <f t="shared" si="268"/>
        <v>3.0521035340605181E-4</v>
      </c>
      <c r="BH194" s="44">
        <f t="shared" si="269"/>
        <v>3.1280850725624979E-4</v>
      </c>
      <c r="BI194" s="44">
        <f t="shared" si="270"/>
        <v>2.8894821308884987E-4</v>
      </c>
      <c r="BJ194" s="44">
        <f t="shared" si="271"/>
        <v>2.9865540980326732E-4</v>
      </c>
      <c r="BK194" s="44">
        <f t="shared" si="272"/>
        <v>1.2825376831843556E-4</v>
      </c>
      <c r="BL194" s="44">
        <f t="shared" si="273"/>
        <v>6.9284703384471527E-5</v>
      </c>
      <c r="BM194" s="44">
        <f t="shared" si="274"/>
        <v>1.7625219468638055E-4</v>
      </c>
      <c r="BN194" s="44">
        <f t="shared" si="275"/>
        <v>1.8331601875580281E-4</v>
      </c>
      <c r="BO194" s="44">
        <f t="shared" si="276"/>
        <v>8.5908842433490417E-5</v>
      </c>
      <c r="BP194" s="44">
        <f t="shared" si="277"/>
        <v>2.8886656861655589E-4</v>
      </c>
      <c r="BQ194" s="44">
        <f t="shared" si="278"/>
        <v>7.7953129148638863E-5</v>
      </c>
      <c r="BR194" s="44">
        <f t="shared" si="279"/>
        <v>2.3029305721402314E-4</v>
      </c>
      <c r="BS194" s="44">
        <f t="shared" si="280"/>
        <v>1.2420010177060855E-4</v>
      </c>
      <c r="BT194" s="44">
        <f t="shared" si="281"/>
        <v>4.9149787953230986E-4</v>
      </c>
      <c r="BU194" s="44">
        <f t="shared" si="282"/>
        <v>4.6952837231793661E-4</v>
      </c>
      <c r="BV194" s="44">
        <f t="shared" si="283"/>
        <v>4.5091951476882347E-4</v>
      </c>
      <c r="BW194" s="44">
        <f t="shared" si="284"/>
        <v>2.9492617694784119E-4</v>
      </c>
      <c r="BX194" s="44">
        <f t="shared" si="285"/>
        <v>2.1788610389020683E-4</v>
      </c>
      <c r="BY194" s="44">
        <f t="shared" si="286"/>
        <v>1.8708026335379806E-4</v>
      </c>
      <c r="CA194" s="44" t="str">
        <f t="shared" si="287"/>
        <v/>
      </c>
      <c r="CB194" s="44" t="str">
        <f t="shared" si="288"/>
        <v/>
      </c>
      <c r="CC194" s="44" t="str">
        <f t="shared" si="289"/>
        <v/>
      </c>
      <c r="CD194" s="44" t="str">
        <f t="shared" si="290"/>
        <v/>
      </c>
      <c r="CE194" s="44" t="str">
        <f t="shared" si="291"/>
        <v/>
      </c>
      <c r="CF194" s="44" t="str">
        <f t="shared" si="292"/>
        <v/>
      </c>
      <c r="CG194" s="44" t="str">
        <f t="shared" si="293"/>
        <v/>
      </c>
      <c r="CH194" s="44" t="str">
        <f t="shared" si="294"/>
        <v/>
      </c>
      <c r="CI194" s="44" t="str">
        <f t="shared" si="295"/>
        <v/>
      </c>
      <c r="CJ194" s="44" t="str">
        <f t="shared" si="296"/>
        <v/>
      </c>
      <c r="CK194" s="44" t="str">
        <f t="shared" si="297"/>
        <v/>
      </c>
      <c r="CL194" s="44" t="str">
        <f t="shared" si="298"/>
        <v/>
      </c>
      <c r="CM194" s="44" t="str">
        <f t="shared" si="299"/>
        <v/>
      </c>
      <c r="CN194" s="44" t="str">
        <f t="shared" si="300"/>
        <v/>
      </c>
      <c r="CO194" s="44" t="str">
        <f t="shared" si="301"/>
        <v/>
      </c>
      <c r="CP194" s="44" t="str">
        <f t="shared" si="302"/>
        <v/>
      </c>
      <c r="CQ194" s="44" t="str">
        <f t="shared" si="303"/>
        <v/>
      </c>
      <c r="CR194" s="44" t="str">
        <f t="shared" si="304"/>
        <v/>
      </c>
      <c r="CS194" s="44" t="str">
        <f t="shared" si="305"/>
        <v/>
      </c>
      <c r="CT194" s="44" t="str">
        <f t="shared" si="306"/>
        <v/>
      </c>
      <c r="CV194" s="44">
        <f t="shared" si="307"/>
        <v>0</v>
      </c>
    </row>
    <row r="195" spans="1:100" x14ac:dyDescent="0.25">
      <c r="A195" s="49"/>
      <c r="B195" s="50"/>
      <c r="C195" s="51" t="str" cm="1">
        <f t="array" ref="C195">IF(B195="","",INDEX(UWS!$B$10:$B$41,B195))</f>
        <v/>
      </c>
      <c r="D195" s="45" t="str">
        <f t="shared" si="264"/>
        <v/>
      </c>
      <c r="E195" s="70" t="str">
        <f t="shared" si="265"/>
        <v/>
      </c>
      <c r="F195" s="52" cm="1">
        <f t="array" ref="F195">0.1+IFERROR(INDEX($F$5:$F194,SUMPRODUCT(MAX(ROW($C$5:$C194)*($C195=$C$5:$C194))-ROW($A$4)))*0.9^($A195-INDEX($A$5:A194,SUMPRODUCT(MAX(ROW($C$5:$C194)*($C195=$C$5:$C194))-ROW($A$4)))),0)</f>
        <v>12.99999999999997</v>
      </c>
      <c r="G195" s="56" t="e">
        <f>INDEX(UWS!$AB$10:$AB$41,MATCH(C195,UWS!$B$10:$B$41,0))</f>
        <v>#N/A</v>
      </c>
      <c r="H195" s="52" t="e">
        <f>INDEX(UWS!$C$10:$C$41,MATCH(C195,UWS!$B$10:$B$41,0))</f>
        <v>#N/A</v>
      </c>
      <c r="I195" s="46">
        <f t="shared" si="266"/>
        <v>5</v>
      </c>
      <c r="J195" s="46" t="e">
        <f>INDEX(UWS!$E$10:$E$41,MATCH(C195,UWS!$B$10:$B$41,0))</f>
        <v>#N/A</v>
      </c>
      <c r="K195" s="46"/>
      <c r="L195" s="109" t="str" cm="1">
        <f t="array" ref="L195">IF(K195="","",INDEX(UWS!$B$10:$B$41,K195))</f>
        <v/>
      </c>
      <c r="M195" s="46"/>
      <c r="N195" s="109" t="str" cm="1">
        <f t="array" ref="N195">IF(M195="","",INDEX(UWS!$B$10:$B$41,M195))</f>
        <v/>
      </c>
      <c r="O195" s="47"/>
      <c r="P195" s="47">
        <f>IFERROR(INDEX(UWS!$G$10:$Z$41,MATCH($C195,UWS!$B$10:$B$41,0),MATCH(P$4,UWS!$G$3:$Z$3,0)),0)</f>
        <v>0</v>
      </c>
      <c r="Q195" s="47">
        <f>IFERROR(INDEX(UWS!$G$10:$Z$41,MATCH($C195,UWS!$B$10:$B$41,0),MATCH(Q$4,UWS!$G$3:$Z$3,0)),0)</f>
        <v>0</v>
      </c>
      <c r="R195" s="47">
        <f>IFERROR(INDEX(UWS!$G$10:$Z$41,MATCH($C195,UWS!$B$10:$B$41,0),MATCH(R$4,UWS!$G$3:$Z$3,0)),0)</f>
        <v>0</v>
      </c>
      <c r="S195" s="47">
        <f>IFERROR(INDEX(UWS!$G$10:$Z$41,MATCH($C195,UWS!$B$10:$B$41,0),MATCH(S$4,UWS!$G$3:$Z$3,0)),0)</f>
        <v>0</v>
      </c>
      <c r="T195" s="47">
        <f>IFERROR(INDEX(UWS!$G$10:$Z$41,MATCH($C195,UWS!$B$10:$B$41,0),MATCH(T$4,UWS!$G$3:$Z$3,0)),0)</f>
        <v>0</v>
      </c>
      <c r="U195" s="47">
        <f>IFERROR(INDEX(UWS!$G$10:$Z$41,MATCH($C195,UWS!$B$10:$B$41,0),MATCH(U$4,UWS!$G$3:$Z$3,0)),0)</f>
        <v>0</v>
      </c>
      <c r="V195" s="47">
        <f>IFERROR(INDEX(UWS!$G$10:$Z$41,MATCH($C195,UWS!$B$10:$B$41,0),MATCH(V$4,UWS!$G$3:$Z$3,0)),0)</f>
        <v>0</v>
      </c>
      <c r="W195" s="47">
        <f>IFERROR(INDEX(UWS!$G$10:$Z$41,MATCH($C195,UWS!$B$10:$B$41,0),MATCH(W$4,UWS!$G$3:$Z$3,0)),0)</f>
        <v>0</v>
      </c>
      <c r="X195" s="47">
        <f>IFERROR(INDEX(UWS!$G$10:$Z$41,MATCH($C195,UWS!$B$10:$B$41,0),MATCH(X$4,UWS!$G$3:$Z$3,0)),0)</f>
        <v>0</v>
      </c>
      <c r="Y195" s="47">
        <f>IFERROR(INDEX(UWS!$G$10:$Z$41,MATCH($C195,UWS!$B$10:$B$41,0),MATCH(Y$4,UWS!$G$3:$Z$3,0)),0)</f>
        <v>0</v>
      </c>
      <c r="Z195" s="47">
        <f>IFERROR(INDEX(UWS!$G$10:$Z$41,MATCH($C195,UWS!$B$10:$B$41,0),MATCH(Z$4,UWS!$G$3:$Z$3,0)),0)</f>
        <v>0</v>
      </c>
      <c r="AA195" s="47">
        <f>IFERROR(INDEX(UWS!$G$10:$Z$41,MATCH($C195,UWS!$B$10:$B$41,0),MATCH(AA$4,UWS!$G$3:$Z$3,0)),0)</f>
        <v>0</v>
      </c>
      <c r="AB195" s="47">
        <f>IFERROR(INDEX(UWS!$G$10:$Z$41,MATCH($C195,UWS!$B$10:$B$41,0),MATCH(AB$4,UWS!$G$3:$Z$3,0)),0)</f>
        <v>0</v>
      </c>
      <c r="AC195" s="47">
        <f>IFERROR(INDEX(UWS!$G$10:$Z$41,MATCH($C195,UWS!$B$10:$B$41,0),MATCH(AC$4,UWS!$G$3:$Z$3,0)),0)</f>
        <v>0</v>
      </c>
      <c r="AD195" s="47">
        <f>IFERROR(INDEX(UWS!$G$10:$Z$41,MATCH($C195,UWS!$B$10:$B$41,0),MATCH(AD$4,UWS!$G$3:$Z$3,0)),0)</f>
        <v>0</v>
      </c>
      <c r="AE195" s="47">
        <f>IFERROR(INDEX(UWS!$G$10:$Z$41,MATCH($C195,UWS!$B$10:$B$41,0),MATCH(AE$4,UWS!$G$3:$Z$3,0)),0)</f>
        <v>0</v>
      </c>
      <c r="AF195" s="47">
        <f>IFERROR(INDEX(UWS!$G$10:$Z$41,MATCH($C195,UWS!$B$10:$B$41,0),MATCH(AF$4,UWS!$G$3:$Z$3,0)),0)</f>
        <v>0</v>
      </c>
      <c r="AG195" s="47">
        <f>IFERROR(INDEX(UWS!$G$10:$Z$41,MATCH($C195,UWS!$B$10:$B$41,0),MATCH(AG$4,UWS!$G$3:$Z$3,0)),0)</f>
        <v>0</v>
      </c>
      <c r="AH195" s="47">
        <f>IFERROR(INDEX(UWS!$G$10:$Z$41,MATCH($C195,UWS!$B$10:$B$41,0),MATCH(AH$4,UWS!$G$3:$Z$3,0)),0)</f>
        <v>0</v>
      </c>
      <c r="AI195" s="47">
        <f>IFERROR(INDEX(UWS!$G$10:$Z$41,MATCH($C195,UWS!$B$10:$B$41,0),MATCH(AI$4,UWS!$G$3:$Z$3,0)),0)</f>
        <v>0</v>
      </c>
      <c r="AJ195" s="47"/>
      <c r="AK195" s="47" t="e">
        <f>IF(OR($J195=0,COUNTIFS($A$4:$A194,"&gt;="&amp;$A195-1,$A$4:$A194,"&lt;="&amp;$A195,$B$4:$B194,$B195)&gt;0,MIN(AK$1,IF($A195=$A194,AK194,1))-P195&lt;0),-1,MIN(1,IF($A195=$A194,AK194,1)-P195+$D$3))</f>
        <v>#N/A</v>
      </c>
      <c r="AL195" s="47" t="e">
        <f>IF(OR($J195=0,COUNTIFS($A$4:$A194,"&gt;="&amp;$A195-1,$A$4:$A194,"&lt;="&amp;$A195,$B$4:$B194,$B195)&gt;0,MIN(AL$1,IF($A195=$A194,AL194,1))-Q195&lt;0),-1,MIN(1,IF($A195=$A194,AL194,1)-Q195+$D$3))</f>
        <v>#N/A</v>
      </c>
      <c r="AM195" s="47" t="e">
        <f>IF(OR($J195=0,COUNTIFS($A$4:$A194,"&gt;="&amp;$A195-1,$A$4:$A194,"&lt;="&amp;$A195,$B$4:$B194,$B195)&gt;0,MIN(AM$1,IF($A195=$A194,AM194,1))-R195&lt;0),-1,MIN(1,IF($A195=$A194,AM194,1)-R195+$D$3))</f>
        <v>#N/A</v>
      </c>
      <c r="AN195" s="47" t="e">
        <f>IF(OR($J195=0,COUNTIFS($A$4:$A194,"&gt;="&amp;$A195-1,$A$4:$A194,"&lt;="&amp;$A195,$B$4:$B194,$B195)&gt;0,MIN(AN$1,IF($A195=$A194,AN194,1))-S195&lt;0),-1,MIN(1,IF($A195=$A194,AN194,1)-S195+$D$3))</f>
        <v>#N/A</v>
      </c>
      <c r="AO195" s="47" t="e">
        <f>IF(OR($J195=0,COUNTIFS($A$4:$A194,"&gt;="&amp;$A195-1,$A$4:$A194,"&lt;="&amp;$A195,$B$4:$B194,$B195)&gt;0,MIN(AO$1,IF($A195=$A194,AO194,1))-T195&lt;0),-1,MIN(1,IF($A195=$A194,AO194,1)-T195+$D$3))</f>
        <v>#N/A</v>
      </c>
      <c r="AP195" s="47" t="e">
        <f>IF(OR($J195=0,COUNTIFS($A$4:$A194,"&gt;="&amp;$A195-1,$A$4:$A194,"&lt;="&amp;$A195,$B$4:$B194,$B195)&gt;0,MIN(AP$1,IF($A195=$A194,AP194,1))-U195&lt;0),-1,MIN(1,IF($A195=$A194,AP194,1)-U195+$D$3))</f>
        <v>#N/A</v>
      </c>
      <c r="AQ195" s="47" t="e">
        <f>IF(OR($J195=0,COUNTIFS($A$4:$A194,"&gt;="&amp;$A195-1,$A$4:$A194,"&lt;="&amp;$A195,$B$4:$B194,$B195)&gt;0,MIN(AQ$1,IF($A195=$A194,AQ194,1))-V195&lt;0),-1,MIN(1,IF($A195=$A194,AQ194,1)-V195+$D$3))</f>
        <v>#N/A</v>
      </c>
      <c r="AR195" s="47" t="e">
        <f>IF(OR($J195=0,COUNTIFS($A$4:$A194,"&gt;="&amp;$A195-1,$A$4:$A194,"&lt;="&amp;$A195,$B$4:$B194,$B195)&gt;0,MIN(AR$1,IF($A195=$A194,AR194,1))-W195&lt;0),-1,MIN(1,IF($A195=$A194,AR194,1)-W195+$D$3))</f>
        <v>#N/A</v>
      </c>
      <c r="AS195" s="47" t="e">
        <f>IF(OR($J195=0,COUNTIFS($A$4:$A194,"&gt;="&amp;$A195-1,$A$4:$A194,"&lt;="&amp;$A195,$B$4:$B194,$B195)&gt;0,MIN(AS$1,IF($A195=$A194,AS194,1))-X195&lt;0),-1,MIN(1,IF($A195=$A194,AS194,1)-X195+$D$3))</f>
        <v>#N/A</v>
      </c>
      <c r="AT195" s="47" t="e">
        <f>IF(OR($J195=0,COUNTIFS($A$4:$A194,"&gt;="&amp;$A195-1,$A$4:$A194,"&lt;="&amp;$A195,$B$4:$B194,$B195)&gt;0,MIN(AT$1,IF($A195=$A194,AT194,1))-Y195&lt;0),-1,MIN(1,IF($A195=$A194,AT194,1)-Y195+$D$3))</f>
        <v>#N/A</v>
      </c>
      <c r="AU195" s="47" t="e">
        <f>IF(OR($J195=0,COUNTIFS($A$4:$A194,"&gt;="&amp;$A195-1,$A$4:$A194,"&lt;="&amp;$A195,$B$4:$B194,$B195)&gt;0,MIN(AU$1,IF($A195=$A194,AU194,1))-Z195&lt;0),-1,MIN(1,IF($A195=$A194,AU194,1)-Z195+$D$3))</f>
        <v>#N/A</v>
      </c>
      <c r="AV195" s="47" t="e">
        <f>IF(OR($J195=0,COUNTIFS($A$4:$A194,"&gt;="&amp;$A195-1,$A$4:$A194,"&lt;="&amp;$A195,$B$4:$B194,$B195)&gt;0,MIN(AV$1,IF($A195=$A194,AV194,1))-AA195&lt;0),-1,MIN(1,IF($A195=$A194,AV194,1)-AA195+$D$3))</f>
        <v>#N/A</v>
      </c>
      <c r="AW195" s="47" t="e">
        <f>IF(OR($J195=0,COUNTIFS($A$4:$A194,"&gt;="&amp;$A195-1,$A$4:$A194,"&lt;="&amp;$A195,$B$4:$B194,$B195)&gt;0,MIN(AW$1,IF($A195=$A194,AW194,1))-AB195&lt;0),-1,MIN(1,IF($A195=$A194,AW194,1)-AB195+$D$3))</f>
        <v>#N/A</v>
      </c>
      <c r="AX195" s="47" t="e">
        <f>IF(OR($J195=0,COUNTIFS($A$4:$A194,"&gt;="&amp;$A195-1,$A$4:$A194,"&lt;="&amp;$A195,$B$4:$B194,$B195)&gt;0,MIN(AX$1,IF($A195=$A194,AX194,1))-AC195&lt;0),-1,MIN(1,IF($A195=$A194,AX194,1)-AC195+$D$3))</f>
        <v>#N/A</v>
      </c>
      <c r="AY195" s="47" t="e">
        <f>IF(OR($J195=0,COUNTIFS($A$4:$A194,"&gt;="&amp;$A195-1,$A$4:$A194,"&lt;="&amp;$A195,$B$4:$B194,$B195)&gt;0,MIN(AY$1,IF($A195=$A194,AY194,1))-AD195&lt;0),-1,MIN(1,IF($A195=$A194,AY194,1)-AD195+$D$3))</f>
        <v>#N/A</v>
      </c>
      <c r="AZ195" s="47" t="e">
        <f>IF(OR($J195=0,COUNTIFS($A$4:$A194,"&gt;="&amp;$A195-1,$A$4:$A194,"&lt;="&amp;$A195,$B$4:$B194,$B195)&gt;0,MIN(AZ$1,IF($A195=$A194,AZ194,1))-AE195&lt;0),-1,MIN(1,IF($A195=$A194,AZ194,1)-AE195+$D$3))</f>
        <v>#N/A</v>
      </c>
      <c r="BA195" s="47" t="e">
        <f>IF(OR($J195=0,COUNTIFS($A$4:$A194,"&gt;="&amp;$A195-1,$A$4:$A194,"&lt;="&amp;$A195,$B$4:$B194,$B195)&gt;0,MIN(BA$1,IF($A195=$A194,BA194,1))-AF195&lt;0),-1,MIN(1,IF($A195=$A194,BA194,1)-AF195+$D$3))</f>
        <v>#N/A</v>
      </c>
      <c r="BB195" s="47" t="e">
        <f>IF(OR($J195=0,COUNTIFS($A$4:$A194,"&gt;="&amp;$A195-1,$A$4:$A194,"&lt;="&amp;$A195,$B$4:$B194,$B195)&gt;0,MIN(BB$1,IF($A195=$A194,BB194,1))-AG195&lt;0),-1,MIN(1,IF($A195=$A194,BB194,1)-AG195+$D$3))</f>
        <v>#N/A</v>
      </c>
      <c r="BC195" s="47" t="e">
        <f>IF(OR($J195=0,COUNTIFS($A$4:$A194,"&gt;="&amp;$A195-1,$A$4:$A194,"&lt;="&amp;$A195,$B$4:$B194,$B195)&gt;0,MIN(BC$1,IF($A195=$A194,BC194,1))-AH195&lt;0),-1,MIN(1,IF($A195=$A194,BC194,1)-AH195+$D$3))</f>
        <v>#N/A</v>
      </c>
      <c r="BD195" s="47" t="e">
        <f>IF(OR($J195=0,COUNTIFS($A$4:$A194,"&gt;="&amp;$A195-1,$A$4:$A194,"&lt;="&amp;$A195,$B$4:$B194,$B195)&gt;0,MIN(BD$1,IF($A195=$A194,BD194,1))-AI195&lt;0),-1,MIN(1,IF($A195=$A194,BD194,1)-AI195+$D$3))</f>
        <v>#N/A</v>
      </c>
      <c r="BE195" s="47"/>
      <c r="BF195" s="53">
        <f t="shared" si="267"/>
        <v>1.179001897159399E-4</v>
      </c>
      <c r="BG195" s="53">
        <f t="shared" si="268"/>
        <v>2.8994983573574923E-4</v>
      </c>
      <c r="BH195" s="53">
        <f t="shared" si="269"/>
        <v>2.9716808189343729E-4</v>
      </c>
      <c r="BI195" s="53">
        <f t="shared" si="270"/>
        <v>2.7450080243440734E-4</v>
      </c>
      <c r="BJ195" s="53">
        <f t="shared" si="271"/>
        <v>2.8372263931310395E-4</v>
      </c>
      <c r="BK195" s="53">
        <f t="shared" si="272"/>
        <v>1.2184107990251378E-4</v>
      </c>
      <c r="BL195" s="53">
        <f t="shared" si="273"/>
        <v>6.5820468215247948E-5</v>
      </c>
      <c r="BM195" s="53">
        <f t="shared" si="274"/>
        <v>1.674395849520615E-4</v>
      </c>
      <c r="BN195" s="53">
        <f t="shared" si="275"/>
        <v>1.7415021781801265E-4</v>
      </c>
      <c r="BO195" s="53">
        <f t="shared" si="276"/>
        <v>8.1613400311815888E-5</v>
      </c>
      <c r="BP195" s="53">
        <f t="shared" si="277"/>
        <v>2.7442324018572806E-4</v>
      </c>
      <c r="BQ195" s="53">
        <f t="shared" si="278"/>
        <v>7.4055472691206918E-5</v>
      </c>
      <c r="BR195" s="53">
        <f t="shared" si="279"/>
        <v>2.1877840435332197E-4</v>
      </c>
      <c r="BS195" s="53">
        <f t="shared" si="280"/>
        <v>1.1799009668207812E-4</v>
      </c>
      <c r="BT195" s="53">
        <f t="shared" si="281"/>
        <v>4.6692298555569433E-4</v>
      </c>
      <c r="BU195" s="53">
        <f t="shared" si="282"/>
        <v>4.4605195370203975E-4</v>
      </c>
      <c r="BV195" s="53">
        <f t="shared" si="283"/>
        <v>4.283735390303823E-4</v>
      </c>
      <c r="BW195" s="53">
        <f t="shared" si="284"/>
        <v>2.8017986810044914E-4</v>
      </c>
      <c r="BX195" s="53">
        <f t="shared" si="285"/>
        <v>2.0699179869569648E-4</v>
      </c>
      <c r="BY195" s="53">
        <f t="shared" si="286"/>
        <v>1.7772625018610814E-4</v>
      </c>
      <c r="BZ195" s="47"/>
      <c r="CA195" s="53" t="str">
        <f t="shared" si="287"/>
        <v/>
      </c>
      <c r="CB195" s="53" t="str">
        <f t="shared" si="288"/>
        <v/>
      </c>
      <c r="CC195" s="53" t="str">
        <f t="shared" si="289"/>
        <v/>
      </c>
      <c r="CD195" s="53" t="str">
        <f t="shared" si="290"/>
        <v/>
      </c>
      <c r="CE195" s="53" t="str">
        <f t="shared" si="291"/>
        <v/>
      </c>
      <c r="CF195" s="53" t="str">
        <f t="shared" si="292"/>
        <v/>
      </c>
      <c r="CG195" s="53" t="str">
        <f t="shared" si="293"/>
        <v/>
      </c>
      <c r="CH195" s="53" t="str">
        <f t="shared" si="294"/>
        <v/>
      </c>
      <c r="CI195" s="53" t="str">
        <f t="shared" si="295"/>
        <v/>
      </c>
      <c r="CJ195" s="53" t="str">
        <f t="shared" si="296"/>
        <v/>
      </c>
      <c r="CK195" s="53" t="str">
        <f t="shared" si="297"/>
        <v/>
      </c>
      <c r="CL195" s="53" t="str">
        <f t="shared" si="298"/>
        <v/>
      </c>
      <c r="CM195" s="53" t="str">
        <f t="shared" si="299"/>
        <v/>
      </c>
      <c r="CN195" s="53" t="str">
        <f t="shared" si="300"/>
        <v/>
      </c>
      <c r="CO195" s="53" t="str">
        <f t="shared" si="301"/>
        <v/>
      </c>
      <c r="CP195" s="53" t="str">
        <f t="shared" si="302"/>
        <v/>
      </c>
      <c r="CQ195" s="53" t="str">
        <f t="shared" si="303"/>
        <v/>
      </c>
      <c r="CR195" s="53" t="str">
        <f t="shared" si="304"/>
        <v/>
      </c>
      <c r="CS195" s="53" t="str">
        <f t="shared" si="305"/>
        <v/>
      </c>
      <c r="CT195" s="53" t="str">
        <f t="shared" si="306"/>
        <v/>
      </c>
      <c r="CU195" s="47"/>
      <c r="CV195" s="53">
        <f t="shared" si="307"/>
        <v>0</v>
      </c>
    </row>
    <row r="196" spans="1:100" x14ac:dyDescent="0.25">
      <c r="A196" s="41"/>
      <c r="B196" s="42"/>
      <c r="C196" s="43" t="str" cm="1">
        <f t="array" ref="C196">IF(B196="","",INDEX(UWS!$B$10:$B$41,B196))</f>
        <v/>
      </c>
      <c r="D196" s="40" t="str">
        <f t="shared" si="264"/>
        <v/>
      </c>
      <c r="E196" s="69" t="str">
        <f t="shared" si="265"/>
        <v/>
      </c>
      <c r="F196" s="48" cm="1">
        <f t="array" ref="F196">0.1+IFERROR(INDEX($F$5:$F195,SUMPRODUCT(MAX(ROW($C$5:$C195)*($C196=$C$5:$C195))-ROW($A$4)))*0.9^($A196-INDEX($A$5:A195,SUMPRODUCT(MAX(ROW($C$5:$C195)*($C196=$C$5:$C195))-ROW($A$4)))),0)</f>
        <v>13.099999999999969</v>
      </c>
      <c r="G196" s="55" t="e">
        <f>INDEX(UWS!$AB$10:$AB$41,MATCH(C196,UWS!$B$10:$B$41,0))</f>
        <v>#N/A</v>
      </c>
      <c r="H196" s="48" t="e">
        <f>INDEX(UWS!$C$10:$C$41,MATCH(C196,UWS!$B$10:$B$41,0))</f>
        <v>#N/A</v>
      </c>
      <c r="I196" s="82">
        <f t="shared" si="266"/>
        <v>5</v>
      </c>
      <c r="J196" s="27" t="e">
        <f>INDEX(UWS!$E$10:$E$41,MATCH(C196,UWS!$B$10:$B$41,0))</f>
        <v>#N/A</v>
      </c>
      <c r="L196" s="108" t="str" cm="1">
        <f t="array" ref="L196">IF(K196="","",INDEX(UWS!$B$10:$B$41,K196))</f>
        <v/>
      </c>
      <c r="N196" s="108" t="str" cm="1">
        <f t="array" ref="N196">IF(M196="","",INDEX(UWS!$B$10:$B$41,M196))</f>
        <v/>
      </c>
      <c r="P196">
        <f>IFERROR(INDEX(UWS!$G$10:$Z$41,MATCH($C196,UWS!$B$10:$B$41,0),MATCH(P$4,UWS!$G$3:$Z$3,0)),0)</f>
        <v>0</v>
      </c>
      <c r="Q196">
        <f>IFERROR(INDEX(UWS!$G$10:$Z$41,MATCH($C196,UWS!$B$10:$B$41,0),MATCH(Q$4,UWS!$G$3:$Z$3,0)),0)</f>
        <v>0</v>
      </c>
      <c r="R196">
        <f>IFERROR(INDEX(UWS!$G$10:$Z$41,MATCH($C196,UWS!$B$10:$B$41,0),MATCH(R$4,UWS!$G$3:$Z$3,0)),0)</f>
        <v>0</v>
      </c>
      <c r="S196">
        <f>IFERROR(INDEX(UWS!$G$10:$Z$41,MATCH($C196,UWS!$B$10:$B$41,0),MATCH(S$4,UWS!$G$3:$Z$3,0)),0)</f>
        <v>0</v>
      </c>
      <c r="T196">
        <f>IFERROR(INDEX(UWS!$G$10:$Z$41,MATCH($C196,UWS!$B$10:$B$41,0),MATCH(T$4,UWS!$G$3:$Z$3,0)),0)</f>
        <v>0</v>
      </c>
      <c r="U196">
        <f>IFERROR(INDEX(UWS!$G$10:$Z$41,MATCH($C196,UWS!$B$10:$B$41,0),MATCH(U$4,UWS!$G$3:$Z$3,0)),0)</f>
        <v>0</v>
      </c>
      <c r="V196">
        <f>IFERROR(INDEX(UWS!$G$10:$Z$41,MATCH($C196,UWS!$B$10:$B$41,0),MATCH(V$4,UWS!$G$3:$Z$3,0)),0)</f>
        <v>0</v>
      </c>
      <c r="W196">
        <f>IFERROR(INDEX(UWS!$G$10:$Z$41,MATCH($C196,UWS!$B$10:$B$41,0),MATCH(W$4,UWS!$G$3:$Z$3,0)),0)</f>
        <v>0</v>
      </c>
      <c r="X196">
        <f>IFERROR(INDEX(UWS!$G$10:$Z$41,MATCH($C196,UWS!$B$10:$B$41,0),MATCH(X$4,UWS!$G$3:$Z$3,0)),0)</f>
        <v>0</v>
      </c>
      <c r="Y196">
        <f>IFERROR(INDEX(UWS!$G$10:$Z$41,MATCH($C196,UWS!$B$10:$B$41,0),MATCH(Y$4,UWS!$G$3:$Z$3,0)),0)</f>
        <v>0</v>
      </c>
      <c r="Z196">
        <f>IFERROR(INDEX(UWS!$G$10:$Z$41,MATCH($C196,UWS!$B$10:$B$41,0),MATCH(Z$4,UWS!$G$3:$Z$3,0)),0)</f>
        <v>0</v>
      </c>
      <c r="AA196">
        <f>IFERROR(INDEX(UWS!$G$10:$Z$41,MATCH($C196,UWS!$B$10:$B$41,0),MATCH(AA$4,UWS!$G$3:$Z$3,0)),0)</f>
        <v>0</v>
      </c>
      <c r="AB196">
        <f>IFERROR(INDEX(UWS!$G$10:$Z$41,MATCH($C196,UWS!$B$10:$B$41,0),MATCH(AB$4,UWS!$G$3:$Z$3,0)),0)</f>
        <v>0</v>
      </c>
      <c r="AC196">
        <f>IFERROR(INDEX(UWS!$G$10:$Z$41,MATCH($C196,UWS!$B$10:$B$41,0),MATCH(AC$4,UWS!$G$3:$Z$3,0)),0)</f>
        <v>0</v>
      </c>
      <c r="AD196">
        <f>IFERROR(INDEX(UWS!$G$10:$Z$41,MATCH($C196,UWS!$B$10:$B$41,0),MATCH(AD$4,UWS!$G$3:$Z$3,0)),0)</f>
        <v>0</v>
      </c>
      <c r="AE196">
        <f>IFERROR(INDEX(UWS!$G$10:$Z$41,MATCH($C196,UWS!$B$10:$B$41,0),MATCH(AE$4,UWS!$G$3:$Z$3,0)),0)</f>
        <v>0</v>
      </c>
      <c r="AF196">
        <f>IFERROR(INDEX(UWS!$G$10:$Z$41,MATCH($C196,UWS!$B$10:$B$41,0),MATCH(AF$4,UWS!$G$3:$Z$3,0)),0)</f>
        <v>0</v>
      </c>
      <c r="AG196">
        <f>IFERROR(INDEX(UWS!$G$10:$Z$41,MATCH($C196,UWS!$B$10:$B$41,0),MATCH(AG$4,UWS!$G$3:$Z$3,0)),0)</f>
        <v>0</v>
      </c>
      <c r="AH196">
        <f>IFERROR(INDEX(UWS!$G$10:$Z$41,MATCH($C196,UWS!$B$10:$B$41,0),MATCH(AH$4,UWS!$G$3:$Z$3,0)),0)</f>
        <v>0</v>
      </c>
      <c r="AI196">
        <f>IFERROR(INDEX(UWS!$G$10:$Z$41,MATCH($C196,UWS!$B$10:$B$41,0),MATCH(AI$4,UWS!$G$3:$Z$3,0)),0)</f>
        <v>0</v>
      </c>
      <c r="AK196" t="e">
        <f>IF(OR($J196=0,COUNTIFS($A$4:$A195,"&gt;="&amp;$A196-1,$A$4:$A195,"&lt;="&amp;$A196,$B$4:$B195,$B196)&gt;0,MIN(AK$1,IF($A196=$A195,AK195,1))-P196&lt;0),-1,MIN(1,IF($A196=$A195,AK195,1)-P196+$D$3))</f>
        <v>#N/A</v>
      </c>
      <c r="AL196" t="e">
        <f>IF(OR($J196=0,COUNTIFS($A$4:$A195,"&gt;="&amp;$A196-1,$A$4:$A195,"&lt;="&amp;$A196,$B$4:$B195,$B196)&gt;0,MIN(AL$1,IF($A196=$A195,AL195,1))-Q196&lt;0),-1,MIN(1,IF($A196=$A195,AL195,1)-Q196+$D$3))</f>
        <v>#N/A</v>
      </c>
      <c r="AM196" t="e">
        <f>IF(OR($J196=0,COUNTIFS($A$4:$A195,"&gt;="&amp;$A196-1,$A$4:$A195,"&lt;="&amp;$A196,$B$4:$B195,$B196)&gt;0,MIN(AM$1,IF($A196=$A195,AM195,1))-R196&lt;0),-1,MIN(1,IF($A196=$A195,AM195,1)-R196+$D$3))</f>
        <v>#N/A</v>
      </c>
      <c r="AN196" t="e">
        <f>IF(OR($J196=0,COUNTIFS($A$4:$A195,"&gt;="&amp;$A196-1,$A$4:$A195,"&lt;="&amp;$A196,$B$4:$B195,$B196)&gt;0,MIN(AN$1,IF($A196=$A195,AN195,1))-S196&lt;0),-1,MIN(1,IF($A196=$A195,AN195,1)-S196+$D$3))</f>
        <v>#N/A</v>
      </c>
      <c r="AO196" t="e">
        <f>IF(OR($J196=0,COUNTIFS($A$4:$A195,"&gt;="&amp;$A196-1,$A$4:$A195,"&lt;="&amp;$A196,$B$4:$B195,$B196)&gt;0,MIN(AO$1,IF($A196=$A195,AO195,1))-T196&lt;0),-1,MIN(1,IF($A196=$A195,AO195,1)-T196+$D$3))</f>
        <v>#N/A</v>
      </c>
      <c r="AP196" t="e">
        <f>IF(OR($J196=0,COUNTIFS($A$4:$A195,"&gt;="&amp;$A196-1,$A$4:$A195,"&lt;="&amp;$A196,$B$4:$B195,$B196)&gt;0,MIN(AP$1,IF($A196=$A195,AP195,1))-U196&lt;0),-1,MIN(1,IF($A196=$A195,AP195,1)-U196+$D$3))</f>
        <v>#N/A</v>
      </c>
      <c r="AQ196" t="e">
        <f>IF(OR($J196=0,COUNTIFS($A$4:$A195,"&gt;="&amp;$A196-1,$A$4:$A195,"&lt;="&amp;$A196,$B$4:$B195,$B196)&gt;0,MIN(AQ$1,IF($A196=$A195,AQ195,1))-V196&lt;0),-1,MIN(1,IF($A196=$A195,AQ195,1)-V196+$D$3))</f>
        <v>#N/A</v>
      </c>
      <c r="AR196" t="e">
        <f>IF(OR($J196=0,COUNTIFS($A$4:$A195,"&gt;="&amp;$A196-1,$A$4:$A195,"&lt;="&amp;$A196,$B$4:$B195,$B196)&gt;0,MIN(AR$1,IF($A196=$A195,AR195,1))-W196&lt;0),-1,MIN(1,IF($A196=$A195,AR195,1)-W196+$D$3))</f>
        <v>#N/A</v>
      </c>
      <c r="AS196" t="e">
        <f>IF(OR($J196=0,COUNTIFS($A$4:$A195,"&gt;="&amp;$A196-1,$A$4:$A195,"&lt;="&amp;$A196,$B$4:$B195,$B196)&gt;0,MIN(AS$1,IF($A196=$A195,AS195,1))-X196&lt;0),-1,MIN(1,IF($A196=$A195,AS195,1)-X196+$D$3))</f>
        <v>#N/A</v>
      </c>
      <c r="AT196" t="e">
        <f>IF(OR($J196=0,COUNTIFS($A$4:$A195,"&gt;="&amp;$A196-1,$A$4:$A195,"&lt;="&amp;$A196,$B$4:$B195,$B196)&gt;0,MIN(AT$1,IF($A196=$A195,AT195,1))-Y196&lt;0),-1,MIN(1,IF($A196=$A195,AT195,1)-Y196+$D$3))</f>
        <v>#N/A</v>
      </c>
      <c r="AU196" t="e">
        <f>IF(OR($J196=0,COUNTIFS($A$4:$A195,"&gt;="&amp;$A196-1,$A$4:$A195,"&lt;="&amp;$A196,$B$4:$B195,$B196)&gt;0,MIN(AU$1,IF($A196=$A195,AU195,1))-Z196&lt;0),-1,MIN(1,IF($A196=$A195,AU195,1)-Z196+$D$3))</f>
        <v>#N/A</v>
      </c>
      <c r="AV196" t="e">
        <f>IF(OR($J196=0,COUNTIFS($A$4:$A195,"&gt;="&amp;$A196-1,$A$4:$A195,"&lt;="&amp;$A196,$B$4:$B195,$B196)&gt;0,MIN(AV$1,IF($A196=$A195,AV195,1))-AA196&lt;0),-1,MIN(1,IF($A196=$A195,AV195,1)-AA196+$D$3))</f>
        <v>#N/A</v>
      </c>
      <c r="AW196" t="e">
        <f>IF(OR($J196=0,COUNTIFS($A$4:$A195,"&gt;="&amp;$A196-1,$A$4:$A195,"&lt;="&amp;$A196,$B$4:$B195,$B196)&gt;0,MIN(AW$1,IF($A196=$A195,AW195,1))-AB196&lt;0),-1,MIN(1,IF($A196=$A195,AW195,1)-AB196+$D$3))</f>
        <v>#N/A</v>
      </c>
      <c r="AX196" t="e">
        <f>IF(OR($J196=0,COUNTIFS($A$4:$A195,"&gt;="&amp;$A196-1,$A$4:$A195,"&lt;="&amp;$A196,$B$4:$B195,$B196)&gt;0,MIN(AX$1,IF($A196=$A195,AX195,1))-AC196&lt;0),-1,MIN(1,IF($A196=$A195,AX195,1)-AC196+$D$3))</f>
        <v>#N/A</v>
      </c>
      <c r="AY196" t="e">
        <f>IF(OR($J196=0,COUNTIFS($A$4:$A195,"&gt;="&amp;$A196-1,$A$4:$A195,"&lt;="&amp;$A196,$B$4:$B195,$B196)&gt;0,MIN(AY$1,IF($A196=$A195,AY195,1))-AD196&lt;0),-1,MIN(1,IF($A196=$A195,AY195,1)-AD196+$D$3))</f>
        <v>#N/A</v>
      </c>
      <c r="AZ196" t="e">
        <f>IF(OR($J196=0,COUNTIFS($A$4:$A195,"&gt;="&amp;$A196-1,$A$4:$A195,"&lt;="&amp;$A196,$B$4:$B195,$B196)&gt;0,MIN(AZ$1,IF($A196=$A195,AZ195,1))-AE196&lt;0),-1,MIN(1,IF($A196=$A195,AZ195,1)-AE196+$D$3))</f>
        <v>#N/A</v>
      </c>
      <c r="BA196" t="e">
        <f>IF(OR($J196=0,COUNTIFS($A$4:$A195,"&gt;="&amp;$A196-1,$A$4:$A195,"&lt;="&amp;$A196,$B$4:$B195,$B196)&gt;0,MIN(BA$1,IF($A196=$A195,BA195,1))-AF196&lt;0),-1,MIN(1,IF($A196=$A195,BA195,1)-AF196+$D$3))</f>
        <v>#N/A</v>
      </c>
      <c r="BB196" t="e">
        <f>IF(OR($J196=0,COUNTIFS($A$4:$A195,"&gt;="&amp;$A196-1,$A$4:$A195,"&lt;="&amp;$A196,$B$4:$B195,$B196)&gt;0,MIN(BB$1,IF($A196=$A195,BB195,1))-AG196&lt;0),-1,MIN(1,IF($A196=$A195,BB195,1)-AG196+$D$3))</f>
        <v>#N/A</v>
      </c>
      <c r="BC196" t="e">
        <f>IF(OR($J196=0,COUNTIFS($A$4:$A195,"&gt;="&amp;$A196-1,$A$4:$A195,"&lt;="&amp;$A196,$B$4:$B195,$B196)&gt;0,MIN(BC$1,IF($A196=$A195,BC195,1))-AH196&lt;0),-1,MIN(1,IF($A196=$A195,BC195,1)-AH196+$D$3))</f>
        <v>#N/A</v>
      </c>
      <c r="BD196" t="e">
        <f>IF(OR($J196=0,COUNTIFS($A$4:$A195,"&gt;="&amp;$A196-1,$A$4:$A195,"&lt;="&amp;$A196,$B$4:$B195,$B196)&gt;0,MIN(BD$1,IF($A196=$A195,BD195,1))-AI196&lt;0),-1,MIN(1,IF($A196=$A195,BD195,1)-AI196+$D$3))</f>
        <v>#N/A</v>
      </c>
      <c r="BF196" s="44">
        <f t="shared" si="267"/>
        <v>1.120051802301429E-4</v>
      </c>
      <c r="BG196" s="44">
        <f t="shared" si="268"/>
        <v>2.7545234394896174E-4</v>
      </c>
      <c r="BH196" s="44">
        <f t="shared" si="269"/>
        <v>2.8230967779876542E-4</v>
      </c>
      <c r="BI196" s="44">
        <f t="shared" si="270"/>
        <v>2.6077576231268697E-4</v>
      </c>
      <c r="BJ196" s="44">
        <f t="shared" si="271"/>
        <v>2.6953650734744874E-4</v>
      </c>
      <c r="BK196" s="44">
        <f t="shared" si="272"/>
        <v>1.1574902590738808E-4</v>
      </c>
      <c r="BL196" s="44">
        <f t="shared" si="273"/>
        <v>6.2529444804485546E-5</v>
      </c>
      <c r="BM196" s="44">
        <f t="shared" si="274"/>
        <v>1.5906760570445842E-4</v>
      </c>
      <c r="BN196" s="44">
        <f t="shared" si="275"/>
        <v>1.65442706927112E-4</v>
      </c>
      <c r="BO196" s="44">
        <f t="shared" si="276"/>
        <v>7.7532730296225093E-5</v>
      </c>
      <c r="BP196" s="44">
        <f t="shared" si="277"/>
        <v>2.6070207817644164E-4</v>
      </c>
      <c r="BQ196" s="44">
        <f t="shared" si="278"/>
        <v>7.0352699056646574E-5</v>
      </c>
      <c r="BR196" s="44">
        <f t="shared" si="279"/>
        <v>2.0783948413565585E-4</v>
      </c>
      <c r="BS196" s="44">
        <f t="shared" si="280"/>
        <v>1.120905918479742E-4</v>
      </c>
      <c r="BT196" s="44">
        <f t="shared" si="281"/>
        <v>4.435768362779096E-4</v>
      </c>
      <c r="BU196" s="44">
        <f t="shared" si="282"/>
        <v>4.2374935601693773E-4</v>
      </c>
      <c r="BV196" s="44">
        <f t="shared" si="283"/>
        <v>4.0695486207886316E-4</v>
      </c>
      <c r="BW196" s="44">
        <f t="shared" si="284"/>
        <v>2.6617087469542669E-4</v>
      </c>
      <c r="BX196" s="44">
        <f t="shared" si="285"/>
        <v>1.9664220876091165E-4</v>
      </c>
      <c r="BY196" s="44">
        <f t="shared" si="286"/>
        <v>1.6883993767680274E-4</v>
      </c>
      <c r="CA196" s="44" t="str">
        <f t="shared" si="287"/>
        <v/>
      </c>
      <c r="CB196" s="44" t="str">
        <f t="shared" si="288"/>
        <v/>
      </c>
      <c r="CC196" s="44" t="str">
        <f t="shared" si="289"/>
        <v/>
      </c>
      <c r="CD196" s="44" t="str">
        <f t="shared" si="290"/>
        <v/>
      </c>
      <c r="CE196" s="44" t="str">
        <f t="shared" si="291"/>
        <v/>
      </c>
      <c r="CF196" s="44" t="str">
        <f t="shared" si="292"/>
        <v/>
      </c>
      <c r="CG196" s="44" t="str">
        <f t="shared" si="293"/>
        <v/>
      </c>
      <c r="CH196" s="44" t="str">
        <f t="shared" si="294"/>
        <v/>
      </c>
      <c r="CI196" s="44" t="str">
        <f t="shared" si="295"/>
        <v/>
      </c>
      <c r="CJ196" s="44" t="str">
        <f t="shared" si="296"/>
        <v/>
      </c>
      <c r="CK196" s="44" t="str">
        <f t="shared" si="297"/>
        <v/>
      </c>
      <c r="CL196" s="44" t="str">
        <f t="shared" si="298"/>
        <v/>
      </c>
      <c r="CM196" s="44" t="str">
        <f t="shared" si="299"/>
        <v/>
      </c>
      <c r="CN196" s="44" t="str">
        <f t="shared" si="300"/>
        <v/>
      </c>
      <c r="CO196" s="44" t="str">
        <f t="shared" si="301"/>
        <v/>
      </c>
      <c r="CP196" s="44" t="str">
        <f t="shared" si="302"/>
        <v/>
      </c>
      <c r="CQ196" s="44" t="str">
        <f t="shared" si="303"/>
        <v/>
      </c>
      <c r="CR196" s="44" t="str">
        <f t="shared" si="304"/>
        <v/>
      </c>
      <c r="CS196" s="44" t="str">
        <f t="shared" si="305"/>
        <v/>
      </c>
      <c r="CT196" s="44" t="str">
        <f t="shared" si="306"/>
        <v/>
      </c>
      <c r="CV196" s="44">
        <f t="shared" si="307"/>
        <v>0</v>
      </c>
    </row>
    <row r="197" spans="1:100" x14ac:dyDescent="0.25">
      <c r="A197" s="41"/>
      <c r="B197" s="42"/>
      <c r="C197" s="43" t="str" cm="1">
        <f t="array" ref="C197">IF(B197="","",INDEX(UWS!$B$10:$B$41,B197))</f>
        <v/>
      </c>
      <c r="D197" s="40" t="str">
        <f t="shared" si="264"/>
        <v/>
      </c>
      <c r="E197" s="69" t="str">
        <f t="shared" si="265"/>
        <v/>
      </c>
      <c r="F197" s="48" cm="1">
        <f t="array" ref="F197">0.1+IFERROR(INDEX($F$5:$F196,SUMPRODUCT(MAX(ROW($C$5:$C196)*($C197=$C$5:$C196))-ROW($A$4)))*0.9^($A197-INDEX($A$5:A196,SUMPRODUCT(MAX(ROW($C$5:$C196)*($C197=$C$5:$C196))-ROW($A$4)))),0)</f>
        <v>13.199999999999969</v>
      </c>
      <c r="G197" s="55" t="e">
        <f>INDEX(UWS!$AB$10:$AB$41,MATCH(C197,UWS!$B$10:$B$41,0))</f>
        <v>#N/A</v>
      </c>
      <c r="H197" s="48" t="e">
        <f>INDEX(UWS!$C$10:$C$41,MATCH(C197,UWS!$B$10:$B$41,0))</f>
        <v>#N/A</v>
      </c>
      <c r="I197" s="27">
        <f t="shared" si="266"/>
        <v>5</v>
      </c>
      <c r="J197" s="27" t="e">
        <f>INDEX(UWS!$E$10:$E$41,MATCH(C197,UWS!$B$10:$B$41,0))</f>
        <v>#N/A</v>
      </c>
      <c r="L197" s="108" t="str" cm="1">
        <f t="array" ref="L197">IF(K197="","",INDEX(UWS!$B$10:$B$41,K197))</f>
        <v/>
      </c>
      <c r="N197" s="108" t="str" cm="1">
        <f t="array" ref="N197">IF(M197="","",INDEX(UWS!$B$10:$B$41,M197))</f>
        <v/>
      </c>
      <c r="P197">
        <f>IFERROR(INDEX(UWS!$G$10:$Z$41,MATCH($C197,UWS!$B$10:$B$41,0),MATCH(P$4,UWS!$G$3:$Z$3,0)),0)</f>
        <v>0</v>
      </c>
      <c r="Q197">
        <f>IFERROR(INDEX(UWS!$G$10:$Z$41,MATCH($C197,UWS!$B$10:$B$41,0),MATCH(Q$4,UWS!$G$3:$Z$3,0)),0)</f>
        <v>0</v>
      </c>
      <c r="R197">
        <f>IFERROR(INDEX(UWS!$G$10:$Z$41,MATCH($C197,UWS!$B$10:$B$41,0),MATCH(R$4,UWS!$G$3:$Z$3,0)),0)</f>
        <v>0</v>
      </c>
      <c r="S197">
        <f>IFERROR(INDEX(UWS!$G$10:$Z$41,MATCH($C197,UWS!$B$10:$B$41,0),MATCH(S$4,UWS!$G$3:$Z$3,0)),0)</f>
        <v>0</v>
      </c>
      <c r="T197">
        <f>IFERROR(INDEX(UWS!$G$10:$Z$41,MATCH($C197,UWS!$B$10:$B$41,0),MATCH(T$4,UWS!$G$3:$Z$3,0)),0)</f>
        <v>0</v>
      </c>
      <c r="U197">
        <f>IFERROR(INDEX(UWS!$G$10:$Z$41,MATCH($C197,UWS!$B$10:$B$41,0),MATCH(U$4,UWS!$G$3:$Z$3,0)),0)</f>
        <v>0</v>
      </c>
      <c r="V197">
        <f>IFERROR(INDEX(UWS!$G$10:$Z$41,MATCH($C197,UWS!$B$10:$B$41,0),MATCH(V$4,UWS!$G$3:$Z$3,0)),0)</f>
        <v>0</v>
      </c>
      <c r="W197">
        <f>IFERROR(INDEX(UWS!$G$10:$Z$41,MATCH($C197,UWS!$B$10:$B$41,0),MATCH(W$4,UWS!$G$3:$Z$3,0)),0)</f>
        <v>0</v>
      </c>
      <c r="X197">
        <f>IFERROR(INDEX(UWS!$G$10:$Z$41,MATCH($C197,UWS!$B$10:$B$41,0),MATCH(X$4,UWS!$G$3:$Z$3,0)),0)</f>
        <v>0</v>
      </c>
      <c r="Y197">
        <f>IFERROR(INDEX(UWS!$G$10:$Z$41,MATCH($C197,UWS!$B$10:$B$41,0),MATCH(Y$4,UWS!$G$3:$Z$3,0)),0)</f>
        <v>0</v>
      </c>
      <c r="Z197">
        <f>IFERROR(INDEX(UWS!$G$10:$Z$41,MATCH($C197,UWS!$B$10:$B$41,0),MATCH(Z$4,UWS!$G$3:$Z$3,0)),0)</f>
        <v>0</v>
      </c>
      <c r="AA197">
        <f>IFERROR(INDEX(UWS!$G$10:$Z$41,MATCH($C197,UWS!$B$10:$B$41,0),MATCH(AA$4,UWS!$G$3:$Z$3,0)),0)</f>
        <v>0</v>
      </c>
      <c r="AB197">
        <f>IFERROR(INDEX(UWS!$G$10:$Z$41,MATCH($C197,UWS!$B$10:$B$41,0),MATCH(AB$4,UWS!$G$3:$Z$3,0)),0)</f>
        <v>0</v>
      </c>
      <c r="AC197">
        <f>IFERROR(INDEX(UWS!$G$10:$Z$41,MATCH($C197,UWS!$B$10:$B$41,0),MATCH(AC$4,UWS!$G$3:$Z$3,0)),0)</f>
        <v>0</v>
      </c>
      <c r="AD197">
        <f>IFERROR(INDEX(UWS!$G$10:$Z$41,MATCH($C197,UWS!$B$10:$B$41,0),MATCH(AD$4,UWS!$G$3:$Z$3,0)),0)</f>
        <v>0</v>
      </c>
      <c r="AE197">
        <f>IFERROR(INDEX(UWS!$G$10:$Z$41,MATCH($C197,UWS!$B$10:$B$41,0),MATCH(AE$4,UWS!$G$3:$Z$3,0)),0)</f>
        <v>0</v>
      </c>
      <c r="AF197">
        <f>IFERROR(INDEX(UWS!$G$10:$Z$41,MATCH($C197,UWS!$B$10:$B$41,0),MATCH(AF$4,UWS!$G$3:$Z$3,0)),0)</f>
        <v>0</v>
      </c>
      <c r="AG197">
        <f>IFERROR(INDEX(UWS!$G$10:$Z$41,MATCH($C197,UWS!$B$10:$B$41,0),MATCH(AG$4,UWS!$G$3:$Z$3,0)),0)</f>
        <v>0</v>
      </c>
      <c r="AH197">
        <f>IFERROR(INDEX(UWS!$G$10:$Z$41,MATCH($C197,UWS!$B$10:$B$41,0),MATCH(AH$4,UWS!$G$3:$Z$3,0)),0)</f>
        <v>0</v>
      </c>
      <c r="AI197">
        <f>IFERROR(INDEX(UWS!$G$10:$Z$41,MATCH($C197,UWS!$B$10:$B$41,0),MATCH(AI$4,UWS!$G$3:$Z$3,0)),0)</f>
        <v>0</v>
      </c>
      <c r="AK197" t="e">
        <f>IF(OR($J197=0,COUNTIFS($A$4:$A196,"&gt;="&amp;$A197-1,$A$4:$A196,"&lt;="&amp;$A197,$B$4:$B196,$B197)&gt;0,MIN(AK$1,IF($A197=$A196,AK196,1))-P197&lt;0),-1,MIN(1,IF($A197=$A196,AK196,1)-P197+$D$3))</f>
        <v>#N/A</v>
      </c>
      <c r="AL197" t="e">
        <f>IF(OR($J197=0,COUNTIFS($A$4:$A196,"&gt;="&amp;$A197-1,$A$4:$A196,"&lt;="&amp;$A197,$B$4:$B196,$B197)&gt;0,MIN(AL$1,IF($A197=$A196,AL196,1))-Q197&lt;0),-1,MIN(1,IF($A197=$A196,AL196,1)-Q197+$D$3))</f>
        <v>#N/A</v>
      </c>
      <c r="AM197" t="e">
        <f>IF(OR($J197=0,COUNTIFS($A$4:$A196,"&gt;="&amp;$A197-1,$A$4:$A196,"&lt;="&amp;$A197,$B$4:$B196,$B197)&gt;0,MIN(AM$1,IF($A197=$A196,AM196,1))-R197&lt;0),-1,MIN(1,IF($A197=$A196,AM196,1)-R197+$D$3))</f>
        <v>#N/A</v>
      </c>
      <c r="AN197" t="e">
        <f>IF(OR($J197=0,COUNTIFS($A$4:$A196,"&gt;="&amp;$A197-1,$A$4:$A196,"&lt;="&amp;$A197,$B$4:$B196,$B197)&gt;0,MIN(AN$1,IF($A197=$A196,AN196,1))-S197&lt;0),-1,MIN(1,IF($A197=$A196,AN196,1)-S197+$D$3))</f>
        <v>#N/A</v>
      </c>
      <c r="AO197" t="e">
        <f>IF(OR($J197=0,COUNTIFS($A$4:$A196,"&gt;="&amp;$A197-1,$A$4:$A196,"&lt;="&amp;$A197,$B$4:$B196,$B197)&gt;0,MIN(AO$1,IF($A197=$A196,AO196,1))-T197&lt;0),-1,MIN(1,IF($A197=$A196,AO196,1)-T197+$D$3))</f>
        <v>#N/A</v>
      </c>
      <c r="AP197" t="e">
        <f>IF(OR($J197=0,COUNTIFS($A$4:$A196,"&gt;="&amp;$A197-1,$A$4:$A196,"&lt;="&amp;$A197,$B$4:$B196,$B197)&gt;0,MIN(AP$1,IF($A197=$A196,AP196,1))-U197&lt;0),-1,MIN(1,IF($A197=$A196,AP196,1)-U197+$D$3))</f>
        <v>#N/A</v>
      </c>
      <c r="AQ197" t="e">
        <f>IF(OR($J197=0,COUNTIFS($A$4:$A196,"&gt;="&amp;$A197-1,$A$4:$A196,"&lt;="&amp;$A197,$B$4:$B196,$B197)&gt;0,MIN(AQ$1,IF($A197=$A196,AQ196,1))-V197&lt;0),-1,MIN(1,IF($A197=$A196,AQ196,1)-V197+$D$3))</f>
        <v>#N/A</v>
      </c>
      <c r="AR197" t="e">
        <f>IF(OR($J197=0,COUNTIFS($A$4:$A196,"&gt;="&amp;$A197-1,$A$4:$A196,"&lt;="&amp;$A197,$B$4:$B196,$B197)&gt;0,MIN(AR$1,IF($A197=$A196,AR196,1))-W197&lt;0),-1,MIN(1,IF($A197=$A196,AR196,1)-W197+$D$3))</f>
        <v>#N/A</v>
      </c>
      <c r="AS197" t="e">
        <f>IF(OR($J197=0,COUNTIFS($A$4:$A196,"&gt;="&amp;$A197-1,$A$4:$A196,"&lt;="&amp;$A197,$B$4:$B196,$B197)&gt;0,MIN(AS$1,IF($A197=$A196,AS196,1))-X197&lt;0),-1,MIN(1,IF($A197=$A196,AS196,1)-X197+$D$3))</f>
        <v>#N/A</v>
      </c>
      <c r="AT197" t="e">
        <f>IF(OR($J197=0,COUNTIFS($A$4:$A196,"&gt;="&amp;$A197-1,$A$4:$A196,"&lt;="&amp;$A197,$B$4:$B196,$B197)&gt;0,MIN(AT$1,IF($A197=$A196,AT196,1))-Y197&lt;0),-1,MIN(1,IF($A197=$A196,AT196,1)-Y197+$D$3))</f>
        <v>#N/A</v>
      </c>
      <c r="AU197" t="e">
        <f>IF(OR($J197=0,COUNTIFS($A$4:$A196,"&gt;="&amp;$A197-1,$A$4:$A196,"&lt;="&amp;$A197,$B$4:$B196,$B197)&gt;0,MIN(AU$1,IF($A197=$A196,AU196,1))-Z197&lt;0),-1,MIN(1,IF($A197=$A196,AU196,1)-Z197+$D$3))</f>
        <v>#N/A</v>
      </c>
      <c r="AV197" t="e">
        <f>IF(OR($J197=0,COUNTIFS($A$4:$A196,"&gt;="&amp;$A197-1,$A$4:$A196,"&lt;="&amp;$A197,$B$4:$B196,$B197)&gt;0,MIN(AV$1,IF($A197=$A196,AV196,1))-AA197&lt;0),-1,MIN(1,IF($A197=$A196,AV196,1)-AA197+$D$3))</f>
        <v>#N/A</v>
      </c>
      <c r="AW197" t="e">
        <f>IF(OR($J197=0,COUNTIFS($A$4:$A196,"&gt;="&amp;$A197-1,$A$4:$A196,"&lt;="&amp;$A197,$B$4:$B196,$B197)&gt;0,MIN(AW$1,IF($A197=$A196,AW196,1))-AB197&lt;0),-1,MIN(1,IF($A197=$A196,AW196,1)-AB197+$D$3))</f>
        <v>#N/A</v>
      </c>
      <c r="AX197" t="e">
        <f>IF(OR($J197=0,COUNTIFS($A$4:$A196,"&gt;="&amp;$A197-1,$A$4:$A196,"&lt;="&amp;$A197,$B$4:$B196,$B197)&gt;0,MIN(AX$1,IF($A197=$A196,AX196,1))-AC197&lt;0),-1,MIN(1,IF($A197=$A196,AX196,1)-AC197+$D$3))</f>
        <v>#N/A</v>
      </c>
      <c r="AY197" t="e">
        <f>IF(OR($J197=0,COUNTIFS($A$4:$A196,"&gt;="&amp;$A197-1,$A$4:$A196,"&lt;="&amp;$A197,$B$4:$B196,$B197)&gt;0,MIN(AY$1,IF($A197=$A196,AY196,1))-AD197&lt;0),-1,MIN(1,IF($A197=$A196,AY196,1)-AD197+$D$3))</f>
        <v>#N/A</v>
      </c>
      <c r="AZ197" t="e">
        <f>IF(OR($J197=0,COUNTIFS($A$4:$A196,"&gt;="&amp;$A197-1,$A$4:$A196,"&lt;="&amp;$A197,$B$4:$B196,$B197)&gt;0,MIN(AZ$1,IF($A197=$A196,AZ196,1))-AE197&lt;0),-1,MIN(1,IF($A197=$A196,AZ196,1)-AE197+$D$3))</f>
        <v>#N/A</v>
      </c>
      <c r="BA197" t="e">
        <f>IF(OR($J197=0,COUNTIFS($A$4:$A196,"&gt;="&amp;$A197-1,$A$4:$A196,"&lt;="&amp;$A197,$B$4:$B196,$B197)&gt;0,MIN(BA$1,IF($A197=$A196,BA196,1))-AF197&lt;0),-1,MIN(1,IF($A197=$A196,BA196,1)-AF197+$D$3))</f>
        <v>#N/A</v>
      </c>
      <c r="BB197" t="e">
        <f>IF(OR($J197=0,COUNTIFS($A$4:$A196,"&gt;="&amp;$A197-1,$A$4:$A196,"&lt;="&amp;$A197,$B$4:$B196,$B197)&gt;0,MIN(BB$1,IF($A197=$A196,BB196,1))-AG197&lt;0),-1,MIN(1,IF($A197=$A196,BB196,1)-AG197+$D$3))</f>
        <v>#N/A</v>
      </c>
      <c r="BC197" t="e">
        <f>IF(OR($J197=0,COUNTIFS($A$4:$A196,"&gt;="&amp;$A197-1,$A$4:$A196,"&lt;="&amp;$A197,$B$4:$B196,$B197)&gt;0,MIN(BC$1,IF($A197=$A196,BC196,1))-AH197&lt;0),-1,MIN(1,IF($A197=$A196,BC196,1)-AH197+$D$3))</f>
        <v>#N/A</v>
      </c>
      <c r="BD197" t="e">
        <f>IF(OR($J197=0,COUNTIFS($A$4:$A196,"&gt;="&amp;$A197-1,$A$4:$A196,"&lt;="&amp;$A197,$B$4:$B196,$B197)&gt;0,MIN(BD$1,IF($A197=$A196,BD196,1))-AI197&lt;0),-1,MIN(1,IF($A197=$A196,BD196,1)-AI197+$D$3))</f>
        <v>#N/A</v>
      </c>
      <c r="BF197" s="44">
        <f t="shared" si="267"/>
        <v>1.0640492121863575E-4</v>
      </c>
      <c r="BG197" s="44">
        <f t="shared" si="268"/>
        <v>2.6167972675151364E-4</v>
      </c>
      <c r="BH197" s="44">
        <f t="shared" si="269"/>
        <v>2.6819419390882712E-4</v>
      </c>
      <c r="BI197" s="44">
        <f t="shared" si="270"/>
        <v>2.4773697419705259E-4</v>
      </c>
      <c r="BJ197" s="44">
        <f t="shared" si="271"/>
        <v>2.560596819800763E-4</v>
      </c>
      <c r="BK197" s="44">
        <f t="shared" si="272"/>
        <v>1.0996157461201868E-4</v>
      </c>
      <c r="BL197" s="44">
        <f t="shared" si="273"/>
        <v>5.9402972564261268E-5</v>
      </c>
      <c r="BM197" s="44">
        <f t="shared" si="274"/>
        <v>1.5111422541923549E-4</v>
      </c>
      <c r="BN197" s="44">
        <f t="shared" si="275"/>
        <v>1.571705715807564E-4</v>
      </c>
      <c r="BO197" s="44">
        <f t="shared" si="276"/>
        <v>7.3656093781413829E-5</v>
      </c>
      <c r="BP197" s="44">
        <f t="shared" si="277"/>
        <v>2.4766697426761955E-4</v>
      </c>
      <c r="BQ197" s="44">
        <f t="shared" si="278"/>
        <v>6.6835064103814236E-5</v>
      </c>
      <c r="BR197" s="44">
        <f t="shared" si="279"/>
        <v>1.9744750992887306E-4</v>
      </c>
      <c r="BS197" s="44">
        <f t="shared" si="280"/>
        <v>1.0648606225557549E-4</v>
      </c>
      <c r="BT197" s="44">
        <f t="shared" si="281"/>
        <v>4.2139799446401412E-4</v>
      </c>
      <c r="BU197" s="44">
        <f t="shared" si="282"/>
        <v>4.025618882160908E-4</v>
      </c>
      <c r="BV197" s="44">
        <f t="shared" si="283"/>
        <v>3.8660711897492E-4</v>
      </c>
      <c r="BW197" s="44">
        <f t="shared" si="284"/>
        <v>2.5286233096065533E-4</v>
      </c>
      <c r="BX197" s="44">
        <f t="shared" si="285"/>
        <v>1.8681009832286605E-4</v>
      </c>
      <c r="BY197" s="44">
        <f t="shared" si="286"/>
        <v>1.6039794079296261E-4</v>
      </c>
      <c r="CA197" s="44" t="str">
        <f t="shared" si="287"/>
        <v/>
      </c>
      <c r="CB197" s="44" t="str">
        <f t="shared" si="288"/>
        <v/>
      </c>
      <c r="CC197" s="44" t="str">
        <f t="shared" si="289"/>
        <v/>
      </c>
      <c r="CD197" s="44" t="str">
        <f t="shared" si="290"/>
        <v/>
      </c>
      <c r="CE197" s="44" t="str">
        <f t="shared" si="291"/>
        <v/>
      </c>
      <c r="CF197" s="44" t="str">
        <f t="shared" si="292"/>
        <v/>
      </c>
      <c r="CG197" s="44" t="str">
        <f t="shared" si="293"/>
        <v/>
      </c>
      <c r="CH197" s="44" t="str">
        <f t="shared" si="294"/>
        <v/>
      </c>
      <c r="CI197" s="44" t="str">
        <f t="shared" si="295"/>
        <v/>
      </c>
      <c r="CJ197" s="44" t="str">
        <f t="shared" si="296"/>
        <v/>
      </c>
      <c r="CK197" s="44" t="str">
        <f t="shared" si="297"/>
        <v/>
      </c>
      <c r="CL197" s="44" t="str">
        <f t="shared" si="298"/>
        <v/>
      </c>
      <c r="CM197" s="44" t="str">
        <f t="shared" si="299"/>
        <v/>
      </c>
      <c r="CN197" s="44" t="str">
        <f t="shared" si="300"/>
        <v/>
      </c>
      <c r="CO197" s="44" t="str">
        <f t="shared" si="301"/>
        <v/>
      </c>
      <c r="CP197" s="44" t="str">
        <f t="shared" si="302"/>
        <v/>
      </c>
      <c r="CQ197" s="44" t="str">
        <f t="shared" si="303"/>
        <v/>
      </c>
      <c r="CR197" s="44" t="str">
        <f t="shared" si="304"/>
        <v/>
      </c>
      <c r="CS197" s="44" t="str">
        <f t="shared" si="305"/>
        <v/>
      </c>
      <c r="CT197" s="44" t="str">
        <f t="shared" si="306"/>
        <v/>
      </c>
      <c r="CV197" s="44">
        <f t="shared" si="307"/>
        <v>0</v>
      </c>
    </row>
    <row r="198" spans="1:100" x14ac:dyDescent="0.25">
      <c r="A198" s="41"/>
      <c r="B198" s="42"/>
      <c r="C198" s="43" t="str" cm="1">
        <f t="array" ref="C198">IF(B198="","",INDEX(UWS!$B$10:$B$41,B198))</f>
        <v/>
      </c>
      <c r="D198" s="40" t="str">
        <f t="shared" si="264"/>
        <v/>
      </c>
      <c r="E198" s="69" t="str">
        <f t="shared" si="265"/>
        <v/>
      </c>
      <c r="F198" s="48" cm="1">
        <f t="array" ref="F198">0.1+IFERROR(INDEX($F$5:$F197,SUMPRODUCT(MAX(ROW($C$5:$C197)*($C198=$C$5:$C197))-ROW($A$4)))*0.9^($A198-INDEX($A$5:A197,SUMPRODUCT(MAX(ROW($C$5:$C197)*($C198=$C$5:$C197))-ROW($A$4)))),0)</f>
        <v>13.299999999999969</v>
      </c>
      <c r="G198" s="55" t="e">
        <f>INDEX(UWS!$AB$10:$AB$41,MATCH(C198,UWS!$B$10:$B$41,0))</f>
        <v>#N/A</v>
      </c>
      <c r="H198" s="48" t="e">
        <f>INDEX(UWS!$C$10:$C$41,MATCH(C198,UWS!$B$10:$B$41,0))</f>
        <v>#N/A</v>
      </c>
      <c r="I198" s="27">
        <f t="shared" si="266"/>
        <v>5</v>
      </c>
      <c r="J198" s="27" t="e">
        <f>INDEX(UWS!$E$10:$E$41,MATCH(C198,UWS!$B$10:$B$41,0))</f>
        <v>#N/A</v>
      </c>
      <c r="L198" s="108" t="str" cm="1">
        <f t="array" ref="L198">IF(K198="","",INDEX(UWS!$B$10:$B$41,K198))</f>
        <v/>
      </c>
      <c r="N198" s="108" t="str" cm="1">
        <f t="array" ref="N198">IF(M198="","",INDEX(UWS!$B$10:$B$41,M198))</f>
        <v/>
      </c>
      <c r="P198">
        <f>IFERROR(INDEX(UWS!$G$10:$Z$41,MATCH($C198,UWS!$B$10:$B$41,0),MATCH(P$4,UWS!$G$3:$Z$3,0)),0)</f>
        <v>0</v>
      </c>
      <c r="Q198">
        <f>IFERROR(INDEX(UWS!$G$10:$Z$41,MATCH($C198,UWS!$B$10:$B$41,0),MATCH(Q$4,UWS!$G$3:$Z$3,0)),0)</f>
        <v>0</v>
      </c>
      <c r="R198">
        <f>IFERROR(INDEX(UWS!$G$10:$Z$41,MATCH($C198,UWS!$B$10:$B$41,0),MATCH(R$4,UWS!$G$3:$Z$3,0)),0)</f>
        <v>0</v>
      </c>
      <c r="S198">
        <f>IFERROR(INDEX(UWS!$G$10:$Z$41,MATCH($C198,UWS!$B$10:$B$41,0),MATCH(S$4,UWS!$G$3:$Z$3,0)),0)</f>
        <v>0</v>
      </c>
      <c r="T198">
        <f>IFERROR(INDEX(UWS!$G$10:$Z$41,MATCH($C198,UWS!$B$10:$B$41,0),MATCH(T$4,UWS!$G$3:$Z$3,0)),0)</f>
        <v>0</v>
      </c>
      <c r="U198">
        <f>IFERROR(INDEX(UWS!$G$10:$Z$41,MATCH($C198,UWS!$B$10:$B$41,0),MATCH(U$4,UWS!$G$3:$Z$3,0)),0)</f>
        <v>0</v>
      </c>
      <c r="V198">
        <f>IFERROR(INDEX(UWS!$G$10:$Z$41,MATCH($C198,UWS!$B$10:$B$41,0),MATCH(V$4,UWS!$G$3:$Z$3,0)),0)</f>
        <v>0</v>
      </c>
      <c r="W198">
        <f>IFERROR(INDEX(UWS!$G$10:$Z$41,MATCH($C198,UWS!$B$10:$B$41,0),MATCH(W$4,UWS!$G$3:$Z$3,0)),0)</f>
        <v>0</v>
      </c>
      <c r="X198">
        <f>IFERROR(INDEX(UWS!$G$10:$Z$41,MATCH($C198,UWS!$B$10:$B$41,0),MATCH(X$4,UWS!$G$3:$Z$3,0)),0)</f>
        <v>0</v>
      </c>
      <c r="Y198">
        <f>IFERROR(INDEX(UWS!$G$10:$Z$41,MATCH($C198,UWS!$B$10:$B$41,0),MATCH(Y$4,UWS!$G$3:$Z$3,0)),0)</f>
        <v>0</v>
      </c>
      <c r="Z198">
        <f>IFERROR(INDEX(UWS!$G$10:$Z$41,MATCH($C198,UWS!$B$10:$B$41,0),MATCH(Z$4,UWS!$G$3:$Z$3,0)),0)</f>
        <v>0</v>
      </c>
      <c r="AA198">
        <f>IFERROR(INDEX(UWS!$G$10:$Z$41,MATCH($C198,UWS!$B$10:$B$41,0),MATCH(AA$4,UWS!$G$3:$Z$3,0)),0)</f>
        <v>0</v>
      </c>
      <c r="AB198">
        <f>IFERROR(INDEX(UWS!$G$10:$Z$41,MATCH($C198,UWS!$B$10:$B$41,0),MATCH(AB$4,UWS!$G$3:$Z$3,0)),0)</f>
        <v>0</v>
      </c>
      <c r="AC198">
        <f>IFERROR(INDEX(UWS!$G$10:$Z$41,MATCH($C198,UWS!$B$10:$B$41,0),MATCH(AC$4,UWS!$G$3:$Z$3,0)),0)</f>
        <v>0</v>
      </c>
      <c r="AD198">
        <f>IFERROR(INDEX(UWS!$G$10:$Z$41,MATCH($C198,UWS!$B$10:$B$41,0),MATCH(AD$4,UWS!$G$3:$Z$3,0)),0)</f>
        <v>0</v>
      </c>
      <c r="AE198">
        <f>IFERROR(INDEX(UWS!$G$10:$Z$41,MATCH($C198,UWS!$B$10:$B$41,0),MATCH(AE$4,UWS!$G$3:$Z$3,0)),0)</f>
        <v>0</v>
      </c>
      <c r="AF198">
        <f>IFERROR(INDEX(UWS!$G$10:$Z$41,MATCH($C198,UWS!$B$10:$B$41,0),MATCH(AF$4,UWS!$G$3:$Z$3,0)),0)</f>
        <v>0</v>
      </c>
      <c r="AG198">
        <f>IFERROR(INDEX(UWS!$G$10:$Z$41,MATCH($C198,UWS!$B$10:$B$41,0),MATCH(AG$4,UWS!$G$3:$Z$3,0)),0)</f>
        <v>0</v>
      </c>
      <c r="AH198">
        <f>IFERROR(INDEX(UWS!$G$10:$Z$41,MATCH($C198,UWS!$B$10:$B$41,0),MATCH(AH$4,UWS!$G$3:$Z$3,0)),0)</f>
        <v>0</v>
      </c>
      <c r="AI198">
        <f>IFERROR(INDEX(UWS!$G$10:$Z$41,MATCH($C198,UWS!$B$10:$B$41,0),MATCH(AI$4,UWS!$G$3:$Z$3,0)),0)</f>
        <v>0</v>
      </c>
      <c r="AK198" t="e">
        <f>IF(OR($J198=0,COUNTIFS($A$4:$A197,"&gt;="&amp;$A198-1,$A$4:$A197,"&lt;="&amp;$A198,$B$4:$B197,$B198)&gt;0,MIN(AK$1,IF($A198=$A197,AK197,1))-P198&lt;0),-1,MIN(1,IF($A198=$A197,AK197,1)-P198+$D$3))</f>
        <v>#N/A</v>
      </c>
      <c r="AL198" t="e">
        <f>IF(OR($J198=0,COUNTIFS($A$4:$A197,"&gt;="&amp;$A198-1,$A$4:$A197,"&lt;="&amp;$A198,$B$4:$B197,$B198)&gt;0,MIN(AL$1,IF($A198=$A197,AL197,1))-Q198&lt;0),-1,MIN(1,IF($A198=$A197,AL197,1)-Q198+$D$3))</f>
        <v>#N/A</v>
      </c>
      <c r="AM198" t="e">
        <f>IF(OR($J198=0,COUNTIFS($A$4:$A197,"&gt;="&amp;$A198-1,$A$4:$A197,"&lt;="&amp;$A198,$B$4:$B197,$B198)&gt;0,MIN(AM$1,IF($A198=$A197,AM197,1))-R198&lt;0),-1,MIN(1,IF($A198=$A197,AM197,1)-R198+$D$3))</f>
        <v>#N/A</v>
      </c>
      <c r="AN198" t="e">
        <f>IF(OR($J198=0,COUNTIFS($A$4:$A197,"&gt;="&amp;$A198-1,$A$4:$A197,"&lt;="&amp;$A198,$B$4:$B197,$B198)&gt;0,MIN(AN$1,IF($A198=$A197,AN197,1))-S198&lt;0),-1,MIN(1,IF($A198=$A197,AN197,1)-S198+$D$3))</f>
        <v>#N/A</v>
      </c>
      <c r="AO198" t="e">
        <f>IF(OR($J198=0,COUNTIFS($A$4:$A197,"&gt;="&amp;$A198-1,$A$4:$A197,"&lt;="&amp;$A198,$B$4:$B197,$B198)&gt;0,MIN(AO$1,IF($A198=$A197,AO197,1))-T198&lt;0),-1,MIN(1,IF($A198=$A197,AO197,1)-T198+$D$3))</f>
        <v>#N/A</v>
      </c>
      <c r="AP198" t="e">
        <f>IF(OR($J198=0,COUNTIFS($A$4:$A197,"&gt;="&amp;$A198-1,$A$4:$A197,"&lt;="&amp;$A198,$B$4:$B197,$B198)&gt;0,MIN(AP$1,IF($A198=$A197,AP197,1))-U198&lt;0),-1,MIN(1,IF($A198=$A197,AP197,1)-U198+$D$3))</f>
        <v>#N/A</v>
      </c>
      <c r="AQ198" t="e">
        <f>IF(OR($J198=0,COUNTIFS($A$4:$A197,"&gt;="&amp;$A198-1,$A$4:$A197,"&lt;="&amp;$A198,$B$4:$B197,$B198)&gt;0,MIN(AQ$1,IF($A198=$A197,AQ197,1))-V198&lt;0),-1,MIN(1,IF($A198=$A197,AQ197,1)-V198+$D$3))</f>
        <v>#N/A</v>
      </c>
      <c r="AR198" t="e">
        <f>IF(OR($J198=0,COUNTIFS($A$4:$A197,"&gt;="&amp;$A198-1,$A$4:$A197,"&lt;="&amp;$A198,$B$4:$B197,$B198)&gt;0,MIN(AR$1,IF($A198=$A197,AR197,1))-W198&lt;0),-1,MIN(1,IF($A198=$A197,AR197,1)-W198+$D$3))</f>
        <v>#N/A</v>
      </c>
      <c r="AS198" t="e">
        <f>IF(OR($J198=0,COUNTIFS($A$4:$A197,"&gt;="&amp;$A198-1,$A$4:$A197,"&lt;="&amp;$A198,$B$4:$B197,$B198)&gt;0,MIN(AS$1,IF($A198=$A197,AS197,1))-X198&lt;0),-1,MIN(1,IF($A198=$A197,AS197,1)-X198+$D$3))</f>
        <v>#N/A</v>
      </c>
      <c r="AT198" t="e">
        <f>IF(OR($J198=0,COUNTIFS($A$4:$A197,"&gt;="&amp;$A198-1,$A$4:$A197,"&lt;="&amp;$A198,$B$4:$B197,$B198)&gt;0,MIN(AT$1,IF($A198=$A197,AT197,1))-Y198&lt;0),-1,MIN(1,IF($A198=$A197,AT197,1)-Y198+$D$3))</f>
        <v>#N/A</v>
      </c>
      <c r="AU198" t="e">
        <f>IF(OR($J198=0,COUNTIFS($A$4:$A197,"&gt;="&amp;$A198-1,$A$4:$A197,"&lt;="&amp;$A198,$B$4:$B197,$B198)&gt;0,MIN(AU$1,IF($A198=$A197,AU197,1))-Z198&lt;0),-1,MIN(1,IF($A198=$A197,AU197,1)-Z198+$D$3))</f>
        <v>#N/A</v>
      </c>
      <c r="AV198" t="e">
        <f>IF(OR($J198=0,COUNTIFS($A$4:$A197,"&gt;="&amp;$A198-1,$A$4:$A197,"&lt;="&amp;$A198,$B$4:$B197,$B198)&gt;0,MIN(AV$1,IF($A198=$A197,AV197,1))-AA198&lt;0),-1,MIN(1,IF($A198=$A197,AV197,1)-AA198+$D$3))</f>
        <v>#N/A</v>
      </c>
      <c r="AW198" t="e">
        <f>IF(OR($J198=0,COUNTIFS($A$4:$A197,"&gt;="&amp;$A198-1,$A$4:$A197,"&lt;="&amp;$A198,$B$4:$B197,$B198)&gt;0,MIN(AW$1,IF($A198=$A197,AW197,1))-AB198&lt;0),-1,MIN(1,IF($A198=$A197,AW197,1)-AB198+$D$3))</f>
        <v>#N/A</v>
      </c>
      <c r="AX198" t="e">
        <f>IF(OR($J198=0,COUNTIFS($A$4:$A197,"&gt;="&amp;$A198-1,$A$4:$A197,"&lt;="&amp;$A198,$B$4:$B197,$B198)&gt;0,MIN(AX$1,IF($A198=$A197,AX197,1))-AC198&lt;0),-1,MIN(1,IF($A198=$A197,AX197,1)-AC198+$D$3))</f>
        <v>#N/A</v>
      </c>
      <c r="AY198" t="e">
        <f>IF(OR($J198=0,COUNTIFS($A$4:$A197,"&gt;="&amp;$A198-1,$A$4:$A197,"&lt;="&amp;$A198,$B$4:$B197,$B198)&gt;0,MIN(AY$1,IF($A198=$A197,AY197,1))-AD198&lt;0),-1,MIN(1,IF($A198=$A197,AY197,1)-AD198+$D$3))</f>
        <v>#N/A</v>
      </c>
      <c r="AZ198" t="e">
        <f>IF(OR($J198=0,COUNTIFS($A$4:$A197,"&gt;="&amp;$A198-1,$A$4:$A197,"&lt;="&amp;$A198,$B$4:$B197,$B198)&gt;0,MIN(AZ$1,IF($A198=$A197,AZ197,1))-AE198&lt;0),-1,MIN(1,IF($A198=$A197,AZ197,1)-AE198+$D$3))</f>
        <v>#N/A</v>
      </c>
      <c r="BA198" t="e">
        <f>IF(OR($J198=0,COUNTIFS($A$4:$A197,"&gt;="&amp;$A198-1,$A$4:$A197,"&lt;="&amp;$A198,$B$4:$B197,$B198)&gt;0,MIN(BA$1,IF($A198=$A197,BA197,1))-AF198&lt;0),-1,MIN(1,IF($A198=$A197,BA197,1)-AF198+$D$3))</f>
        <v>#N/A</v>
      </c>
      <c r="BB198" t="e">
        <f>IF(OR($J198=0,COUNTIFS($A$4:$A197,"&gt;="&amp;$A198-1,$A$4:$A197,"&lt;="&amp;$A198,$B$4:$B197,$B198)&gt;0,MIN(BB$1,IF($A198=$A197,BB197,1))-AG198&lt;0),-1,MIN(1,IF($A198=$A197,BB197,1)-AG198+$D$3))</f>
        <v>#N/A</v>
      </c>
      <c r="BC198" t="e">
        <f>IF(OR($J198=0,COUNTIFS($A$4:$A197,"&gt;="&amp;$A198-1,$A$4:$A197,"&lt;="&amp;$A198,$B$4:$B197,$B198)&gt;0,MIN(BC$1,IF($A198=$A197,BC197,1))-AH198&lt;0),-1,MIN(1,IF($A198=$A197,BC197,1)-AH198+$D$3))</f>
        <v>#N/A</v>
      </c>
      <c r="BD198" t="e">
        <f>IF(OR($J198=0,COUNTIFS($A$4:$A197,"&gt;="&amp;$A198-1,$A$4:$A197,"&lt;="&amp;$A198,$B$4:$B197,$B198)&gt;0,MIN(BD$1,IF($A198=$A197,BD197,1))-AI198&lt;0),-1,MIN(1,IF($A198=$A197,BD197,1)-AI198+$D$3))</f>
        <v>#N/A</v>
      </c>
      <c r="BF198" s="44">
        <f t="shared" si="267"/>
        <v>1.0108467515770396E-4</v>
      </c>
      <c r="BG198" s="44">
        <f t="shared" si="268"/>
        <v>2.4859574041393795E-4</v>
      </c>
      <c r="BH198" s="44">
        <f t="shared" si="269"/>
        <v>2.5478448421338573E-4</v>
      </c>
      <c r="BI198" s="44">
        <f t="shared" si="270"/>
        <v>2.3535012548719995E-4</v>
      </c>
      <c r="BJ198" s="44">
        <f t="shared" si="271"/>
        <v>2.4325669788107247E-4</v>
      </c>
      <c r="BK198" s="44">
        <f t="shared" si="272"/>
        <v>1.0446349588141773E-4</v>
      </c>
      <c r="BL198" s="44">
        <f t="shared" si="273"/>
        <v>5.6432823936048205E-5</v>
      </c>
      <c r="BM198" s="44">
        <f t="shared" si="274"/>
        <v>1.4355851414827372E-4</v>
      </c>
      <c r="BN198" s="44">
        <f t="shared" si="275"/>
        <v>1.4931204300171858E-4</v>
      </c>
      <c r="BO198" s="44">
        <f t="shared" si="276"/>
        <v>6.9973289092343138E-5</v>
      </c>
      <c r="BP198" s="44">
        <f t="shared" si="277"/>
        <v>2.3528362555423857E-4</v>
      </c>
      <c r="BQ198" s="44">
        <f t="shared" si="278"/>
        <v>6.349331089862352E-5</v>
      </c>
      <c r="BR198" s="44">
        <f t="shared" si="279"/>
        <v>1.875751344324294E-4</v>
      </c>
      <c r="BS198" s="44">
        <f t="shared" si="280"/>
        <v>1.0116175914279671E-4</v>
      </c>
      <c r="BT198" s="44">
        <f t="shared" si="281"/>
        <v>4.0032809474081343E-4</v>
      </c>
      <c r="BU198" s="44">
        <f t="shared" si="282"/>
        <v>3.8243379380528626E-4</v>
      </c>
      <c r="BV198" s="44">
        <f t="shared" si="283"/>
        <v>3.6727676302617397E-4</v>
      </c>
      <c r="BW198" s="44">
        <f t="shared" si="284"/>
        <v>2.4021921441262254E-4</v>
      </c>
      <c r="BX198" s="44">
        <f t="shared" si="285"/>
        <v>1.7746959340672274E-4</v>
      </c>
      <c r="BY198" s="44">
        <f t="shared" si="286"/>
        <v>1.5237804375331447E-4</v>
      </c>
      <c r="CA198" s="44" t="str">
        <f t="shared" si="287"/>
        <v/>
      </c>
      <c r="CB198" s="44" t="str">
        <f t="shared" si="288"/>
        <v/>
      </c>
      <c r="CC198" s="44" t="str">
        <f t="shared" si="289"/>
        <v/>
      </c>
      <c r="CD198" s="44" t="str">
        <f t="shared" si="290"/>
        <v/>
      </c>
      <c r="CE198" s="44" t="str">
        <f t="shared" si="291"/>
        <v/>
      </c>
      <c r="CF198" s="44" t="str">
        <f t="shared" si="292"/>
        <v/>
      </c>
      <c r="CG198" s="44" t="str">
        <f t="shared" si="293"/>
        <v/>
      </c>
      <c r="CH198" s="44" t="str">
        <f t="shared" si="294"/>
        <v/>
      </c>
      <c r="CI198" s="44" t="str">
        <f t="shared" si="295"/>
        <v/>
      </c>
      <c r="CJ198" s="44" t="str">
        <f t="shared" si="296"/>
        <v/>
      </c>
      <c r="CK198" s="44" t="str">
        <f t="shared" si="297"/>
        <v/>
      </c>
      <c r="CL198" s="44" t="str">
        <f t="shared" si="298"/>
        <v/>
      </c>
      <c r="CM198" s="44" t="str">
        <f t="shared" si="299"/>
        <v/>
      </c>
      <c r="CN198" s="44" t="str">
        <f t="shared" si="300"/>
        <v/>
      </c>
      <c r="CO198" s="44" t="str">
        <f t="shared" si="301"/>
        <v/>
      </c>
      <c r="CP198" s="44" t="str">
        <f t="shared" si="302"/>
        <v/>
      </c>
      <c r="CQ198" s="44" t="str">
        <f t="shared" si="303"/>
        <v/>
      </c>
      <c r="CR198" s="44" t="str">
        <f t="shared" si="304"/>
        <v/>
      </c>
      <c r="CS198" s="44" t="str">
        <f t="shared" si="305"/>
        <v/>
      </c>
      <c r="CT198" s="44" t="str">
        <f t="shared" si="306"/>
        <v/>
      </c>
      <c r="CV198" s="44">
        <f t="shared" si="307"/>
        <v>0</v>
      </c>
    </row>
    <row r="199" spans="1:100" x14ac:dyDescent="0.25">
      <c r="A199" s="41"/>
      <c r="B199" s="42"/>
      <c r="C199" s="43" t="str" cm="1">
        <f t="array" ref="C199">IF(B199="","",INDEX(UWS!$B$10:$B$41,B199))</f>
        <v/>
      </c>
      <c r="D199" s="40" t="str">
        <f t="shared" si="264"/>
        <v/>
      </c>
      <c r="E199" s="69" t="str">
        <f t="shared" si="265"/>
        <v/>
      </c>
      <c r="F199" s="48" cm="1">
        <f t="array" ref="F199">0.1+IFERROR(INDEX($F$5:$F198,SUMPRODUCT(MAX(ROW($C$5:$C198)*($C199=$C$5:$C198))-ROW($A$4)))*0.9^($A199-INDEX($A$5:A198,SUMPRODUCT(MAX(ROW($C$5:$C198)*($C199=$C$5:$C198))-ROW($A$4)))),0)</f>
        <v>13.399999999999968</v>
      </c>
      <c r="G199" s="55" t="e">
        <f>INDEX(UWS!$AB$10:$AB$41,MATCH(C199,UWS!$B$10:$B$41,0))</f>
        <v>#N/A</v>
      </c>
      <c r="H199" s="48" t="e">
        <f>INDEX(UWS!$C$10:$C$41,MATCH(C199,UWS!$B$10:$B$41,0))</f>
        <v>#N/A</v>
      </c>
      <c r="I199" s="27">
        <f t="shared" si="266"/>
        <v>5</v>
      </c>
      <c r="J199" s="27" t="e">
        <f>INDEX(UWS!$E$10:$E$41,MATCH(C199,UWS!$B$10:$B$41,0))</f>
        <v>#N/A</v>
      </c>
      <c r="L199" s="108" t="str" cm="1">
        <f t="array" ref="L199">IF(K199="","",INDEX(UWS!$B$10:$B$41,K199))</f>
        <v/>
      </c>
      <c r="N199" s="108" t="str" cm="1">
        <f t="array" ref="N199">IF(M199="","",INDEX(UWS!$B$10:$B$41,M199))</f>
        <v/>
      </c>
      <c r="P199">
        <f>IFERROR(INDEX(UWS!$G$10:$Z$41,MATCH($C199,UWS!$B$10:$B$41,0),MATCH(P$4,UWS!$G$3:$Z$3,0)),0)</f>
        <v>0</v>
      </c>
      <c r="Q199">
        <f>IFERROR(INDEX(UWS!$G$10:$Z$41,MATCH($C199,UWS!$B$10:$B$41,0),MATCH(Q$4,UWS!$G$3:$Z$3,0)),0)</f>
        <v>0</v>
      </c>
      <c r="R199">
        <f>IFERROR(INDEX(UWS!$G$10:$Z$41,MATCH($C199,UWS!$B$10:$B$41,0),MATCH(R$4,UWS!$G$3:$Z$3,0)),0)</f>
        <v>0</v>
      </c>
      <c r="S199">
        <f>IFERROR(INDEX(UWS!$G$10:$Z$41,MATCH($C199,UWS!$B$10:$B$41,0),MATCH(S$4,UWS!$G$3:$Z$3,0)),0)</f>
        <v>0</v>
      </c>
      <c r="T199">
        <f>IFERROR(INDEX(UWS!$G$10:$Z$41,MATCH($C199,UWS!$B$10:$B$41,0),MATCH(T$4,UWS!$G$3:$Z$3,0)),0)</f>
        <v>0</v>
      </c>
      <c r="U199">
        <f>IFERROR(INDEX(UWS!$G$10:$Z$41,MATCH($C199,UWS!$B$10:$B$41,0),MATCH(U$4,UWS!$G$3:$Z$3,0)),0)</f>
        <v>0</v>
      </c>
      <c r="V199">
        <f>IFERROR(INDEX(UWS!$G$10:$Z$41,MATCH($C199,UWS!$B$10:$B$41,0),MATCH(V$4,UWS!$G$3:$Z$3,0)),0)</f>
        <v>0</v>
      </c>
      <c r="W199">
        <f>IFERROR(INDEX(UWS!$G$10:$Z$41,MATCH($C199,UWS!$B$10:$B$41,0),MATCH(W$4,UWS!$G$3:$Z$3,0)),0)</f>
        <v>0</v>
      </c>
      <c r="X199">
        <f>IFERROR(INDEX(UWS!$G$10:$Z$41,MATCH($C199,UWS!$B$10:$B$41,0),MATCH(X$4,UWS!$G$3:$Z$3,0)),0)</f>
        <v>0</v>
      </c>
      <c r="Y199">
        <f>IFERROR(INDEX(UWS!$G$10:$Z$41,MATCH($C199,UWS!$B$10:$B$41,0),MATCH(Y$4,UWS!$G$3:$Z$3,0)),0)</f>
        <v>0</v>
      </c>
      <c r="Z199">
        <f>IFERROR(INDEX(UWS!$G$10:$Z$41,MATCH($C199,UWS!$B$10:$B$41,0),MATCH(Z$4,UWS!$G$3:$Z$3,0)),0)</f>
        <v>0</v>
      </c>
      <c r="AA199">
        <f>IFERROR(INDEX(UWS!$G$10:$Z$41,MATCH($C199,UWS!$B$10:$B$41,0),MATCH(AA$4,UWS!$G$3:$Z$3,0)),0)</f>
        <v>0</v>
      </c>
      <c r="AB199">
        <f>IFERROR(INDEX(UWS!$G$10:$Z$41,MATCH($C199,UWS!$B$10:$B$41,0),MATCH(AB$4,UWS!$G$3:$Z$3,0)),0)</f>
        <v>0</v>
      </c>
      <c r="AC199">
        <f>IFERROR(INDEX(UWS!$G$10:$Z$41,MATCH($C199,UWS!$B$10:$B$41,0),MATCH(AC$4,UWS!$G$3:$Z$3,0)),0)</f>
        <v>0</v>
      </c>
      <c r="AD199">
        <f>IFERROR(INDEX(UWS!$G$10:$Z$41,MATCH($C199,UWS!$B$10:$B$41,0),MATCH(AD$4,UWS!$G$3:$Z$3,0)),0)</f>
        <v>0</v>
      </c>
      <c r="AE199">
        <f>IFERROR(INDEX(UWS!$G$10:$Z$41,MATCH($C199,UWS!$B$10:$B$41,0),MATCH(AE$4,UWS!$G$3:$Z$3,0)),0)</f>
        <v>0</v>
      </c>
      <c r="AF199">
        <f>IFERROR(INDEX(UWS!$G$10:$Z$41,MATCH($C199,UWS!$B$10:$B$41,0),MATCH(AF$4,UWS!$G$3:$Z$3,0)),0)</f>
        <v>0</v>
      </c>
      <c r="AG199">
        <f>IFERROR(INDEX(UWS!$G$10:$Z$41,MATCH($C199,UWS!$B$10:$B$41,0),MATCH(AG$4,UWS!$G$3:$Z$3,0)),0)</f>
        <v>0</v>
      </c>
      <c r="AH199">
        <f>IFERROR(INDEX(UWS!$G$10:$Z$41,MATCH($C199,UWS!$B$10:$B$41,0),MATCH(AH$4,UWS!$G$3:$Z$3,0)),0)</f>
        <v>0</v>
      </c>
      <c r="AI199">
        <f>IFERROR(INDEX(UWS!$G$10:$Z$41,MATCH($C199,UWS!$B$10:$B$41,0),MATCH(AI$4,UWS!$G$3:$Z$3,0)),0)</f>
        <v>0</v>
      </c>
      <c r="AK199" t="e">
        <f>IF(OR($J199=0,COUNTIFS($A$4:$A198,"&gt;="&amp;$A199-1,$A$4:$A198,"&lt;="&amp;$A199,$B$4:$B198,$B199)&gt;0,MIN(AK$1,IF($A199=$A198,AK198,1))-P199&lt;0),-1,MIN(1,IF($A199=$A198,AK198,1)-P199+$D$3))</f>
        <v>#N/A</v>
      </c>
      <c r="AL199" t="e">
        <f>IF(OR($J199=0,COUNTIFS($A$4:$A198,"&gt;="&amp;$A199-1,$A$4:$A198,"&lt;="&amp;$A199,$B$4:$B198,$B199)&gt;0,MIN(AL$1,IF($A199=$A198,AL198,1))-Q199&lt;0),-1,MIN(1,IF($A199=$A198,AL198,1)-Q199+$D$3))</f>
        <v>#N/A</v>
      </c>
      <c r="AM199" t="e">
        <f>IF(OR($J199=0,COUNTIFS($A$4:$A198,"&gt;="&amp;$A199-1,$A$4:$A198,"&lt;="&amp;$A199,$B$4:$B198,$B199)&gt;0,MIN(AM$1,IF($A199=$A198,AM198,1))-R199&lt;0),-1,MIN(1,IF($A199=$A198,AM198,1)-R199+$D$3))</f>
        <v>#N/A</v>
      </c>
      <c r="AN199" t="e">
        <f>IF(OR($J199=0,COUNTIFS($A$4:$A198,"&gt;="&amp;$A199-1,$A$4:$A198,"&lt;="&amp;$A199,$B$4:$B198,$B199)&gt;0,MIN(AN$1,IF($A199=$A198,AN198,1))-S199&lt;0),-1,MIN(1,IF($A199=$A198,AN198,1)-S199+$D$3))</f>
        <v>#N/A</v>
      </c>
      <c r="AO199" t="e">
        <f>IF(OR($J199=0,COUNTIFS($A$4:$A198,"&gt;="&amp;$A199-1,$A$4:$A198,"&lt;="&amp;$A199,$B$4:$B198,$B199)&gt;0,MIN(AO$1,IF($A199=$A198,AO198,1))-T199&lt;0),-1,MIN(1,IF($A199=$A198,AO198,1)-T199+$D$3))</f>
        <v>#N/A</v>
      </c>
      <c r="AP199" t="e">
        <f>IF(OR($J199=0,COUNTIFS($A$4:$A198,"&gt;="&amp;$A199-1,$A$4:$A198,"&lt;="&amp;$A199,$B$4:$B198,$B199)&gt;0,MIN(AP$1,IF($A199=$A198,AP198,1))-U199&lt;0),-1,MIN(1,IF($A199=$A198,AP198,1)-U199+$D$3))</f>
        <v>#N/A</v>
      </c>
      <c r="AQ199" t="e">
        <f>IF(OR($J199=0,COUNTIFS($A$4:$A198,"&gt;="&amp;$A199-1,$A$4:$A198,"&lt;="&amp;$A199,$B$4:$B198,$B199)&gt;0,MIN(AQ$1,IF($A199=$A198,AQ198,1))-V199&lt;0),-1,MIN(1,IF($A199=$A198,AQ198,1)-V199+$D$3))</f>
        <v>#N/A</v>
      </c>
      <c r="AR199" t="e">
        <f>IF(OR($J199=0,COUNTIFS($A$4:$A198,"&gt;="&amp;$A199-1,$A$4:$A198,"&lt;="&amp;$A199,$B$4:$B198,$B199)&gt;0,MIN(AR$1,IF($A199=$A198,AR198,1))-W199&lt;0),-1,MIN(1,IF($A199=$A198,AR198,1)-W199+$D$3))</f>
        <v>#N/A</v>
      </c>
      <c r="AS199" t="e">
        <f>IF(OR($J199=0,COUNTIFS($A$4:$A198,"&gt;="&amp;$A199-1,$A$4:$A198,"&lt;="&amp;$A199,$B$4:$B198,$B199)&gt;0,MIN(AS$1,IF($A199=$A198,AS198,1))-X199&lt;0),-1,MIN(1,IF($A199=$A198,AS198,1)-X199+$D$3))</f>
        <v>#N/A</v>
      </c>
      <c r="AT199" t="e">
        <f>IF(OR($J199=0,COUNTIFS($A$4:$A198,"&gt;="&amp;$A199-1,$A$4:$A198,"&lt;="&amp;$A199,$B$4:$B198,$B199)&gt;0,MIN(AT$1,IF($A199=$A198,AT198,1))-Y199&lt;0),-1,MIN(1,IF($A199=$A198,AT198,1)-Y199+$D$3))</f>
        <v>#N/A</v>
      </c>
      <c r="AU199" t="e">
        <f>IF(OR($J199=0,COUNTIFS($A$4:$A198,"&gt;="&amp;$A199-1,$A$4:$A198,"&lt;="&amp;$A199,$B$4:$B198,$B199)&gt;0,MIN(AU$1,IF($A199=$A198,AU198,1))-Z199&lt;0),-1,MIN(1,IF($A199=$A198,AU198,1)-Z199+$D$3))</f>
        <v>#N/A</v>
      </c>
      <c r="AV199" t="e">
        <f>IF(OR($J199=0,COUNTIFS($A$4:$A198,"&gt;="&amp;$A199-1,$A$4:$A198,"&lt;="&amp;$A199,$B$4:$B198,$B199)&gt;0,MIN(AV$1,IF($A199=$A198,AV198,1))-AA199&lt;0),-1,MIN(1,IF($A199=$A198,AV198,1)-AA199+$D$3))</f>
        <v>#N/A</v>
      </c>
      <c r="AW199" t="e">
        <f>IF(OR($J199=0,COUNTIFS($A$4:$A198,"&gt;="&amp;$A199-1,$A$4:$A198,"&lt;="&amp;$A199,$B$4:$B198,$B199)&gt;0,MIN(AW$1,IF($A199=$A198,AW198,1))-AB199&lt;0),-1,MIN(1,IF($A199=$A198,AW198,1)-AB199+$D$3))</f>
        <v>#N/A</v>
      </c>
      <c r="AX199" t="e">
        <f>IF(OR($J199=0,COUNTIFS($A$4:$A198,"&gt;="&amp;$A199-1,$A$4:$A198,"&lt;="&amp;$A199,$B$4:$B198,$B199)&gt;0,MIN(AX$1,IF($A199=$A198,AX198,1))-AC199&lt;0),-1,MIN(1,IF($A199=$A198,AX198,1)-AC199+$D$3))</f>
        <v>#N/A</v>
      </c>
      <c r="AY199" t="e">
        <f>IF(OR($J199=0,COUNTIFS($A$4:$A198,"&gt;="&amp;$A199-1,$A$4:$A198,"&lt;="&amp;$A199,$B$4:$B198,$B199)&gt;0,MIN(AY$1,IF($A199=$A198,AY198,1))-AD199&lt;0),-1,MIN(1,IF($A199=$A198,AY198,1)-AD199+$D$3))</f>
        <v>#N/A</v>
      </c>
      <c r="AZ199" t="e">
        <f>IF(OR($J199=0,COUNTIFS($A$4:$A198,"&gt;="&amp;$A199-1,$A$4:$A198,"&lt;="&amp;$A199,$B$4:$B198,$B199)&gt;0,MIN(AZ$1,IF($A199=$A198,AZ198,1))-AE199&lt;0),-1,MIN(1,IF($A199=$A198,AZ198,1)-AE199+$D$3))</f>
        <v>#N/A</v>
      </c>
      <c r="BA199" t="e">
        <f>IF(OR($J199=0,COUNTIFS($A$4:$A198,"&gt;="&amp;$A199-1,$A$4:$A198,"&lt;="&amp;$A199,$B$4:$B198,$B199)&gt;0,MIN(BA$1,IF($A199=$A198,BA198,1))-AF199&lt;0),-1,MIN(1,IF($A199=$A198,BA198,1)-AF199+$D$3))</f>
        <v>#N/A</v>
      </c>
      <c r="BB199" t="e">
        <f>IF(OR($J199=0,COUNTIFS($A$4:$A198,"&gt;="&amp;$A199-1,$A$4:$A198,"&lt;="&amp;$A199,$B$4:$B198,$B199)&gt;0,MIN(BB$1,IF($A199=$A198,BB198,1))-AG199&lt;0),-1,MIN(1,IF($A199=$A198,BB198,1)-AG199+$D$3))</f>
        <v>#N/A</v>
      </c>
      <c r="BC199" t="e">
        <f>IF(OR($J199=0,COUNTIFS($A$4:$A198,"&gt;="&amp;$A199-1,$A$4:$A198,"&lt;="&amp;$A199,$B$4:$B198,$B199)&gt;0,MIN(BC$1,IF($A199=$A198,BC198,1))-AH199&lt;0),-1,MIN(1,IF($A199=$A198,BC198,1)-AH199+$D$3))</f>
        <v>#N/A</v>
      </c>
      <c r="BD199" t="e">
        <f>IF(OR($J199=0,COUNTIFS($A$4:$A198,"&gt;="&amp;$A199-1,$A$4:$A198,"&lt;="&amp;$A199,$B$4:$B198,$B199)&gt;0,MIN(BD$1,IF($A199=$A198,BD198,1))-AI199&lt;0),-1,MIN(1,IF($A199=$A198,BD198,1)-AI199+$D$3))</f>
        <v>#N/A</v>
      </c>
      <c r="BF199" s="44">
        <f t="shared" si="267"/>
        <v>9.6030441399818769E-5</v>
      </c>
      <c r="BG199" s="44">
        <f t="shared" si="268"/>
        <v>2.3616595339324105E-4</v>
      </c>
      <c r="BH199" s="44">
        <f t="shared" si="269"/>
        <v>2.4204526000271644E-4</v>
      </c>
      <c r="BI199" s="44">
        <f t="shared" si="270"/>
        <v>2.2358261921283994E-4</v>
      </c>
      <c r="BJ199" s="44">
        <f t="shared" si="271"/>
        <v>2.3109386298701885E-4</v>
      </c>
      <c r="BK199" s="44">
        <f t="shared" si="272"/>
        <v>9.9240321087346847E-5</v>
      </c>
      <c r="BL199" s="44">
        <f t="shared" si="273"/>
        <v>5.3611182739245792E-5</v>
      </c>
      <c r="BM199" s="44">
        <f t="shared" si="274"/>
        <v>1.3638058844086002E-4</v>
      </c>
      <c r="BN199" s="44">
        <f t="shared" si="275"/>
        <v>1.4184644085163265E-4</v>
      </c>
      <c r="BO199" s="44">
        <f t="shared" si="276"/>
        <v>6.6474624637725984E-5</v>
      </c>
      <c r="BP199" s="44">
        <f t="shared" si="277"/>
        <v>2.2351944427652663E-4</v>
      </c>
      <c r="BQ199" s="44">
        <f t="shared" si="278"/>
        <v>6.0318645353692341E-5</v>
      </c>
      <c r="BR199" s="44">
        <f t="shared" si="279"/>
        <v>1.7819637771080793E-4</v>
      </c>
      <c r="BS199" s="44">
        <f t="shared" si="280"/>
        <v>9.6103671185656869E-5</v>
      </c>
      <c r="BT199" s="44">
        <f t="shared" si="281"/>
        <v>3.8031169000377274E-4</v>
      </c>
      <c r="BU199" s="44">
        <f t="shared" si="282"/>
        <v>3.6331210411502191E-4</v>
      </c>
      <c r="BV199" s="44">
        <f t="shared" si="283"/>
        <v>3.4891292487486527E-4</v>
      </c>
      <c r="BW199" s="44">
        <f t="shared" si="284"/>
        <v>2.2820825369199141E-4</v>
      </c>
      <c r="BX199" s="44">
        <f t="shared" si="285"/>
        <v>1.685961137363866E-4</v>
      </c>
      <c r="BY199" s="44">
        <f t="shared" si="286"/>
        <v>1.4475914156564874E-4</v>
      </c>
      <c r="CA199" s="44" t="str">
        <f t="shared" si="287"/>
        <v/>
      </c>
      <c r="CB199" s="44" t="str">
        <f t="shared" si="288"/>
        <v/>
      </c>
      <c r="CC199" s="44" t="str">
        <f t="shared" si="289"/>
        <v/>
      </c>
      <c r="CD199" s="44" t="str">
        <f t="shared" si="290"/>
        <v/>
      </c>
      <c r="CE199" s="44" t="str">
        <f t="shared" si="291"/>
        <v/>
      </c>
      <c r="CF199" s="44" t="str">
        <f t="shared" si="292"/>
        <v/>
      </c>
      <c r="CG199" s="44" t="str">
        <f t="shared" si="293"/>
        <v/>
      </c>
      <c r="CH199" s="44" t="str">
        <f t="shared" si="294"/>
        <v/>
      </c>
      <c r="CI199" s="44" t="str">
        <f t="shared" si="295"/>
        <v/>
      </c>
      <c r="CJ199" s="44" t="str">
        <f t="shared" si="296"/>
        <v/>
      </c>
      <c r="CK199" s="44" t="str">
        <f t="shared" si="297"/>
        <v/>
      </c>
      <c r="CL199" s="44" t="str">
        <f t="shared" si="298"/>
        <v/>
      </c>
      <c r="CM199" s="44" t="str">
        <f t="shared" si="299"/>
        <v/>
      </c>
      <c r="CN199" s="44" t="str">
        <f t="shared" si="300"/>
        <v/>
      </c>
      <c r="CO199" s="44" t="str">
        <f t="shared" si="301"/>
        <v/>
      </c>
      <c r="CP199" s="44" t="str">
        <f t="shared" si="302"/>
        <v/>
      </c>
      <c r="CQ199" s="44" t="str">
        <f t="shared" si="303"/>
        <v/>
      </c>
      <c r="CR199" s="44" t="str">
        <f t="shared" si="304"/>
        <v/>
      </c>
      <c r="CS199" s="44" t="str">
        <f t="shared" si="305"/>
        <v/>
      </c>
      <c r="CT199" s="44" t="str">
        <f t="shared" si="306"/>
        <v/>
      </c>
      <c r="CV199" s="44">
        <f t="shared" si="307"/>
        <v>0</v>
      </c>
    </row>
    <row r="200" spans="1:100" x14ac:dyDescent="0.25">
      <c r="A200" s="49"/>
      <c r="B200" s="50"/>
      <c r="C200" s="51" t="str" cm="1">
        <f t="array" ref="C200">IF(B200="","",INDEX(UWS!$B$10:$B$41,B200))</f>
        <v/>
      </c>
      <c r="D200" s="45" t="str">
        <f t="shared" si="264"/>
        <v/>
      </c>
      <c r="E200" s="70" t="str">
        <f t="shared" si="265"/>
        <v/>
      </c>
      <c r="F200" s="52" cm="1">
        <f t="array" ref="F200">0.1+IFERROR(INDEX($F$5:$F199,SUMPRODUCT(MAX(ROW($C$5:$C199)*($C200=$C$5:$C199))-ROW($A$4)))*0.9^($A200-INDEX($A$5:A199,SUMPRODUCT(MAX(ROW($C$5:$C199)*($C200=$C$5:$C199))-ROW($A$4)))),0)</f>
        <v>13.499999999999968</v>
      </c>
      <c r="G200" s="56" t="e">
        <f>INDEX(UWS!$AB$10:$AB$41,MATCH(C200,UWS!$B$10:$B$41,0))</f>
        <v>#N/A</v>
      </c>
      <c r="H200" s="52" t="e">
        <f>INDEX(UWS!$C$10:$C$41,MATCH(C200,UWS!$B$10:$B$41,0))</f>
        <v>#N/A</v>
      </c>
      <c r="I200" s="46">
        <f t="shared" si="266"/>
        <v>5</v>
      </c>
      <c r="J200" s="46" t="e">
        <f>INDEX(UWS!$E$10:$E$41,MATCH(C200,UWS!$B$10:$B$41,0))</f>
        <v>#N/A</v>
      </c>
      <c r="K200" s="46"/>
      <c r="L200" s="109" t="str" cm="1">
        <f t="array" ref="L200">IF(K200="","",INDEX(UWS!$B$10:$B$41,K200))</f>
        <v/>
      </c>
      <c r="M200" s="46"/>
      <c r="N200" s="109" t="str" cm="1">
        <f t="array" ref="N200">IF(M200="","",INDEX(UWS!$B$10:$B$41,M200))</f>
        <v/>
      </c>
      <c r="O200" s="47"/>
      <c r="P200" s="47">
        <f>IFERROR(INDEX(UWS!$G$10:$Z$41,MATCH($C200,UWS!$B$10:$B$41,0),MATCH(P$4,UWS!$G$3:$Z$3,0)),0)</f>
        <v>0</v>
      </c>
      <c r="Q200" s="47">
        <f>IFERROR(INDEX(UWS!$G$10:$Z$41,MATCH($C200,UWS!$B$10:$B$41,0),MATCH(Q$4,UWS!$G$3:$Z$3,0)),0)</f>
        <v>0</v>
      </c>
      <c r="R200" s="47">
        <f>IFERROR(INDEX(UWS!$G$10:$Z$41,MATCH($C200,UWS!$B$10:$B$41,0),MATCH(R$4,UWS!$G$3:$Z$3,0)),0)</f>
        <v>0</v>
      </c>
      <c r="S200" s="47">
        <f>IFERROR(INDEX(UWS!$G$10:$Z$41,MATCH($C200,UWS!$B$10:$B$41,0),MATCH(S$4,UWS!$G$3:$Z$3,0)),0)</f>
        <v>0</v>
      </c>
      <c r="T200" s="47">
        <f>IFERROR(INDEX(UWS!$G$10:$Z$41,MATCH($C200,UWS!$B$10:$B$41,0),MATCH(T$4,UWS!$G$3:$Z$3,0)),0)</f>
        <v>0</v>
      </c>
      <c r="U200" s="47">
        <f>IFERROR(INDEX(UWS!$G$10:$Z$41,MATCH($C200,UWS!$B$10:$B$41,0),MATCH(U$4,UWS!$G$3:$Z$3,0)),0)</f>
        <v>0</v>
      </c>
      <c r="V200" s="47">
        <f>IFERROR(INDEX(UWS!$G$10:$Z$41,MATCH($C200,UWS!$B$10:$B$41,0),MATCH(V$4,UWS!$G$3:$Z$3,0)),0)</f>
        <v>0</v>
      </c>
      <c r="W200" s="47">
        <f>IFERROR(INDEX(UWS!$G$10:$Z$41,MATCH($C200,UWS!$B$10:$B$41,0),MATCH(W$4,UWS!$G$3:$Z$3,0)),0)</f>
        <v>0</v>
      </c>
      <c r="X200" s="47">
        <f>IFERROR(INDEX(UWS!$G$10:$Z$41,MATCH($C200,UWS!$B$10:$B$41,0),MATCH(X$4,UWS!$G$3:$Z$3,0)),0)</f>
        <v>0</v>
      </c>
      <c r="Y200" s="47">
        <f>IFERROR(INDEX(UWS!$G$10:$Z$41,MATCH($C200,UWS!$B$10:$B$41,0),MATCH(Y$4,UWS!$G$3:$Z$3,0)),0)</f>
        <v>0</v>
      </c>
      <c r="Z200" s="47">
        <f>IFERROR(INDEX(UWS!$G$10:$Z$41,MATCH($C200,UWS!$B$10:$B$41,0),MATCH(Z$4,UWS!$G$3:$Z$3,0)),0)</f>
        <v>0</v>
      </c>
      <c r="AA200" s="47">
        <f>IFERROR(INDEX(UWS!$G$10:$Z$41,MATCH($C200,UWS!$B$10:$B$41,0),MATCH(AA$4,UWS!$G$3:$Z$3,0)),0)</f>
        <v>0</v>
      </c>
      <c r="AB200" s="47">
        <f>IFERROR(INDEX(UWS!$G$10:$Z$41,MATCH($C200,UWS!$B$10:$B$41,0),MATCH(AB$4,UWS!$G$3:$Z$3,0)),0)</f>
        <v>0</v>
      </c>
      <c r="AC200" s="47">
        <f>IFERROR(INDEX(UWS!$G$10:$Z$41,MATCH($C200,UWS!$B$10:$B$41,0),MATCH(AC$4,UWS!$G$3:$Z$3,0)),0)</f>
        <v>0</v>
      </c>
      <c r="AD200" s="47">
        <f>IFERROR(INDEX(UWS!$G$10:$Z$41,MATCH($C200,UWS!$B$10:$B$41,0),MATCH(AD$4,UWS!$G$3:$Z$3,0)),0)</f>
        <v>0</v>
      </c>
      <c r="AE200" s="47">
        <f>IFERROR(INDEX(UWS!$G$10:$Z$41,MATCH($C200,UWS!$B$10:$B$41,0),MATCH(AE$4,UWS!$G$3:$Z$3,0)),0)</f>
        <v>0</v>
      </c>
      <c r="AF200" s="47">
        <f>IFERROR(INDEX(UWS!$G$10:$Z$41,MATCH($C200,UWS!$B$10:$B$41,0),MATCH(AF$4,UWS!$G$3:$Z$3,0)),0)</f>
        <v>0</v>
      </c>
      <c r="AG200" s="47">
        <f>IFERROR(INDEX(UWS!$G$10:$Z$41,MATCH($C200,UWS!$B$10:$B$41,0),MATCH(AG$4,UWS!$G$3:$Z$3,0)),0)</f>
        <v>0</v>
      </c>
      <c r="AH200" s="47">
        <f>IFERROR(INDEX(UWS!$G$10:$Z$41,MATCH($C200,UWS!$B$10:$B$41,0),MATCH(AH$4,UWS!$G$3:$Z$3,0)),0)</f>
        <v>0</v>
      </c>
      <c r="AI200" s="47">
        <f>IFERROR(INDEX(UWS!$G$10:$Z$41,MATCH($C200,UWS!$B$10:$B$41,0),MATCH(AI$4,UWS!$G$3:$Z$3,0)),0)</f>
        <v>0</v>
      </c>
      <c r="AJ200" s="47"/>
      <c r="AK200" s="47" t="e">
        <f>IF(OR($J200=0,COUNTIFS($A$4:$A199,"&gt;="&amp;$A200-1,$A$4:$A199,"&lt;="&amp;$A200,$B$4:$B199,$B200)&gt;0,MIN(AK$1,IF($A200=$A199,AK199,1))-P200&lt;0),-1,MIN(1,IF($A200=$A199,AK199,1)-P200+$D$3))</f>
        <v>#N/A</v>
      </c>
      <c r="AL200" s="47" t="e">
        <f>IF(OR($J200=0,COUNTIFS($A$4:$A199,"&gt;="&amp;$A200-1,$A$4:$A199,"&lt;="&amp;$A200,$B$4:$B199,$B200)&gt;0,MIN(AL$1,IF($A200=$A199,AL199,1))-Q200&lt;0),-1,MIN(1,IF($A200=$A199,AL199,1)-Q200+$D$3))</f>
        <v>#N/A</v>
      </c>
      <c r="AM200" s="47" t="e">
        <f>IF(OR($J200=0,COUNTIFS($A$4:$A199,"&gt;="&amp;$A200-1,$A$4:$A199,"&lt;="&amp;$A200,$B$4:$B199,$B200)&gt;0,MIN(AM$1,IF($A200=$A199,AM199,1))-R200&lt;0),-1,MIN(1,IF($A200=$A199,AM199,1)-R200+$D$3))</f>
        <v>#N/A</v>
      </c>
      <c r="AN200" s="47" t="e">
        <f>IF(OR($J200=0,COUNTIFS($A$4:$A199,"&gt;="&amp;$A200-1,$A$4:$A199,"&lt;="&amp;$A200,$B$4:$B199,$B200)&gt;0,MIN(AN$1,IF($A200=$A199,AN199,1))-S200&lt;0),-1,MIN(1,IF($A200=$A199,AN199,1)-S200+$D$3))</f>
        <v>#N/A</v>
      </c>
      <c r="AO200" s="47" t="e">
        <f>IF(OR($J200=0,COUNTIFS($A$4:$A199,"&gt;="&amp;$A200-1,$A$4:$A199,"&lt;="&amp;$A200,$B$4:$B199,$B200)&gt;0,MIN(AO$1,IF($A200=$A199,AO199,1))-T200&lt;0),-1,MIN(1,IF($A200=$A199,AO199,1)-T200+$D$3))</f>
        <v>#N/A</v>
      </c>
      <c r="AP200" s="47" t="e">
        <f>IF(OR($J200=0,COUNTIFS($A$4:$A199,"&gt;="&amp;$A200-1,$A$4:$A199,"&lt;="&amp;$A200,$B$4:$B199,$B200)&gt;0,MIN(AP$1,IF($A200=$A199,AP199,1))-U200&lt;0),-1,MIN(1,IF($A200=$A199,AP199,1)-U200+$D$3))</f>
        <v>#N/A</v>
      </c>
      <c r="AQ200" s="47" t="e">
        <f>IF(OR($J200=0,COUNTIFS($A$4:$A199,"&gt;="&amp;$A200-1,$A$4:$A199,"&lt;="&amp;$A200,$B$4:$B199,$B200)&gt;0,MIN(AQ$1,IF($A200=$A199,AQ199,1))-V200&lt;0),-1,MIN(1,IF($A200=$A199,AQ199,1)-V200+$D$3))</f>
        <v>#N/A</v>
      </c>
      <c r="AR200" s="47" t="e">
        <f>IF(OR($J200=0,COUNTIFS($A$4:$A199,"&gt;="&amp;$A200-1,$A$4:$A199,"&lt;="&amp;$A200,$B$4:$B199,$B200)&gt;0,MIN(AR$1,IF($A200=$A199,AR199,1))-W200&lt;0),-1,MIN(1,IF($A200=$A199,AR199,1)-W200+$D$3))</f>
        <v>#N/A</v>
      </c>
      <c r="AS200" s="47" t="e">
        <f>IF(OR($J200=0,COUNTIFS($A$4:$A199,"&gt;="&amp;$A200-1,$A$4:$A199,"&lt;="&amp;$A200,$B$4:$B199,$B200)&gt;0,MIN(AS$1,IF($A200=$A199,AS199,1))-X200&lt;0),-1,MIN(1,IF($A200=$A199,AS199,1)-X200+$D$3))</f>
        <v>#N/A</v>
      </c>
      <c r="AT200" s="47" t="e">
        <f>IF(OR($J200=0,COUNTIFS($A$4:$A199,"&gt;="&amp;$A200-1,$A$4:$A199,"&lt;="&amp;$A200,$B$4:$B199,$B200)&gt;0,MIN(AT$1,IF($A200=$A199,AT199,1))-Y200&lt;0),-1,MIN(1,IF($A200=$A199,AT199,1)-Y200+$D$3))</f>
        <v>#N/A</v>
      </c>
      <c r="AU200" s="47" t="e">
        <f>IF(OR($J200=0,COUNTIFS($A$4:$A199,"&gt;="&amp;$A200-1,$A$4:$A199,"&lt;="&amp;$A200,$B$4:$B199,$B200)&gt;0,MIN(AU$1,IF($A200=$A199,AU199,1))-Z200&lt;0),-1,MIN(1,IF($A200=$A199,AU199,1)-Z200+$D$3))</f>
        <v>#N/A</v>
      </c>
      <c r="AV200" s="47" t="e">
        <f>IF(OR($J200=0,COUNTIFS($A$4:$A199,"&gt;="&amp;$A200-1,$A$4:$A199,"&lt;="&amp;$A200,$B$4:$B199,$B200)&gt;0,MIN(AV$1,IF($A200=$A199,AV199,1))-AA200&lt;0),-1,MIN(1,IF($A200=$A199,AV199,1)-AA200+$D$3))</f>
        <v>#N/A</v>
      </c>
      <c r="AW200" s="47" t="e">
        <f>IF(OR($J200=0,COUNTIFS($A$4:$A199,"&gt;="&amp;$A200-1,$A$4:$A199,"&lt;="&amp;$A200,$B$4:$B199,$B200)&gt;0,MIN(AW$1,IF($A200=$A199,AW199,1))-AB200&lt;0),-1,MIN(1,IF($A200=$A199,AW199,1)-AB200+$D$3))</f>
        <v>#N/A</v>
      </c>
      <c r="AX200" s="47" t="e">
        <f>IF(OR($J200=0,COUNTIFS($A$4:$A199,"&gt;="&amp;$A200-1,$A$4:$A199,"&lt;="&amp;$A200,$B$4:$B199,$B200)&gt;0,MIN(AX$1,IF($A200=$A199,AX199,1))-AC200&lt;0),-1,MIN(1,IF($A200=$A199,AX199,1)-AC200+$D$3))</f>
        <v>#N/A</v>
      </c>
      <c r="AY200" s="47" t="e">
        <f>IF(OR($J200=0,COUNTIFS($A$4:$A199,"&gt;="&amp;$A200-1,$A$4:$A199,"&lt;="&amp;$A200,$B$4:$B199,$B200)&gt;0,MIN(AY$1,IF($A200=$A199,AY199,1))-AD200&lt;0),-1,MIN(1,IF($A200=$A199,AY199,1)-AD200+$D$3))</f>
        <v>#N/A</v>
      </c>
      <c r="AZ200" s="47" t="e">
        <f>IF(OR($J200=0,COUNTIFS($A$4:$A199,"&gt;="&amp;$A200-1,$A$4:$A199,"&lt;="&amp;$A200,$B$4:$B199,$B200)&gt;0,MIN(AZ$1,IF($A200=$A199,AZ199,1))-AE200&lt;0),-1,MIN(1,IF($A200=$A199,AZ199,1)-AE200+$D$3))</f>
        <v>#N/A</v>
      </c>
      <c r="BA200" s="47" t="e">
        <f>IF(OR($J200=0,COUNTIFS($A$4:$A199,"&gt;="&amp;$A200-1,$A$4:$A199,"&lt;="&amp;$A200,$B$4:$B199,$B200)&gt;0,MIN(BA$1,IF($A200=$A199,BA199,1))-AF200&lt;0),-1,MIN(1,IF($A200=$A199,BA199,1)-AF200+$D$3))</f>
        <v>#N/A</v>
      </c>
      <c r="BB200" s="47" t="e">
        <f>IF(OR($J200=0,COUNTIFS($A$4:$A199,"&gt;="&amp;$A200-1,$A$4:$A199,"&lt;="&amp;$A200,$B$4:$B199,$B200)&gt;0,MIN(BB$1,IF($A200=$A199,BB199,1))-AG200&lt;0),-1,MIN(1,IF($A200=$A199,BB199,1)-AG200+$D$3))</f>
        <v>#N/A</v>
      </c>
      <c r="BC200" s="47" t="e">
        <f>IF(OR($J200=0,COUNTIFS($A$4:$A199,"&gt;="&amp;$A200-1,$A$4:$A199,"&lt;="&amp;$A200,$B$4:$B199,$B200)&gt;0,MIN(BC$1,IF($A200=$A199,BC199,1))-AH200&lt;0),-1,MIN(1,IF($A200=$A199,BC199,1)-AH200+$D$3))</f>
        <v>#N/A</v>
      </c>
      <c r="BD200" s="47" t="e">
        <f>IF(OR($J200=0,COUNTIFS($A$4:$A199,"&gt;="&amp;$A200-1,$A$4:$A199,"&lt;="&amp;$A200,$B$4:$B199,$B200)&gt;0,MIN(BD$1,IF($A200=$A199,BD199,1))-AI200&lt;0),-1,MIN(1,IF($A200=$A199,BD199,1)-AI200+$D$3))</f>
        <v>#N/A</v>
      </c>
      <c r="BE200" s="47"/>
      <c r="BF200" s="53">
        <f t="shared" si="267"/>
        <v>9.1228919329827828E-5</v>
      </c>
      <c r="BG200" s="53">
        <f t="shared" si="268"/>
        <v>2.2435765572357898E-4</v>
      </c>
      <c r="BH200" s="53">
        <f t="shared" si="269"/>
        <v>2.2994299700258061E-4</v>
      </c>
      <c r="BI200" s="53">
        <f t="shared" si="270"/>
        <v>2.1240348825219793E-4</v>
      </c>
      <c r="BJ200" s="53">
        <f t="shared" si="271"/>
        <v>2.195391698376679E-4</v>
      </c>
      <c r="BK200" s="53">
        <f t="shared" si="272"/>
        <v>9.4278305032979501E-5</v>
      </c>
      <c r="BL200" s="53">
        <f t="shared" si="273"/>
        <v>5.0930623602283502E-5</v>
      </c>
      <c r="BM200" s="53">
        <f t="shared" si="274"/>
        <v>1.2956155901881701E-4</v>
      </c>
      <c r="BN200" s="53">
        <f t="shared" si="275"/>
        <v>1.3475411880905101E-4</v>
      </c>
      <c r="BO200" s="53">
        <f t="shared" si="276"/>
        <v>6.3150893405839682E-5</v>
      </c>
      <c r="BP200" s="53">
        <f t="shared" si="277"/>
        <v>2.123434720627003E-4</v>
      </c>
      <c r="BQ200" s="53">
        <f t="shared" si="278"/>
        <v>5.7302713086007724E-5</v>
      </c>
      <c r="BR200" s="53">
        <f t="shared" si="279"/>
        <v>1.6928655882526752E-4</v>
      </c>
      <c r="BS200" s="53">
        <f t="shared" si="280"/>
        <v>9.1298487626374018E-5</v>
      </c>
      <c r="BT200" s="53">
        <f t="shared" si="281"/>
        <v>3.612961055035841E-4</v>
      </c>
      <c r="BU200" s="53">
        <f t="shared" si="282"/>
        <v>3.4514649890927078E-4</v>
      </c>
      <c r="BV200" s="53">
        <f t="shared" si="283"/>
        <v>3.3146727863112198E-4</v>
      </c>
      <c r="BW200" s="53">
        <f t="shared" si="284"/>
        <v>2.1679784100739184E-4</v>
      </c>
      <c r="BX200" s="53">
        <f t="shared" si="285"/>
        <v>1.6016630804956727E-4</v>
      </c>
      <c r="BY200" s="53">
        <f t="shared" si="286"/>
        <v>1.3752118448736629E-4</v>
      </c>
      <c r="BZ200" s="47"/>
      <c r="CA200" s="53" t="str">
        <f t="shared" si="287"/>
        <v/>
      </c>
      <c r="CB200" s="53" t="str">
        <f t="shared" si="288"/>
        <v/>
      </c>
      <c r="CC200" s="53" t="str">
        <f t="shared" si="289"/>
        <v/>
      </c>
      <c r="CD200" s="53" t="str">
        <f t="shared" si="290"/>
        <v/>
      </c>
      <c r="CE200" s="53" t="str">
        <f t="shared" si="291"/>
        <v/>
      </c>
      <c r="CF200" s="53" t="str">
        <f t="shared" si="292"/>
        <v/>
      </c>
      <c r="CG200" s="53" t="str">
        <f t="shared" si="293"/>
        <v/>
      </c>
      <c r="CH200" s="53" t="str">
        <f t="shared" si="294"/>
        <v/>
      </c>
      <c r="CI200" s="53" t="str">
        <f t="shared" si="295"/>
        <v/>
      </c>
      <c r="CJ200" s="53" t="str">
        <f t="shared" si="296"/>
        <v/>
      </c>
      <c r="CK200" s="53" t="str">
        <f t="shared" si="297"/>
        <v/>
      </c>
      <c r="CL200" s="53" t="str">
        <f t="shared" si="298"/>
        <v/>
      </c>
      <c r="CM200" s="53" t="str">
        <f t="shared" si="299"/>
        <v/>
      </c>
      <c r="CN200" s="53" t="str">
        <f t="shared" si="300"/>
        <v/>
      </c>
      <c r="CO200" s="53" t="str">
        <f t="shared" si="301"/>
        <v/>
      </c>
      <c r="CP200" s="53" t="str">
        <f t="shared" si="302"/>
        <v/>
      </c>
      <c r="CQ200" s="53" t="str">
        <f t="shared" si="303"/>
        <v/>
      </c>
      <c r="CR200" s="53" t="str">
        <f t="shared" si="304"/>
        <v/>
      </c>
      <c r="CS200" s="53" t="str">
        <f t="shared" si="305"/>
        <v/>
      </c>
      <c r="CT200" s="53" t="str">
        <f t="shared" si="306"/>
        <v/>
      </c>
      <c r="CU200" s="47"/>
      <c r="CV200" s="53">
        <f t="shared" si="307"/>
        <v>0</v>
      </c>
    </row>
    <row r="201" spans="1:100" x14ac:dyDescent="0.25">
      <c r="A201" s="41"/>
      <c r="B201" s="42"/>
      <c r="C201" s="43" t="str" cm="1">
        <f t="array" ref="C201">IF(B201="","",INDEX(UWS!$B$10:$B$41,B201))</f>
        <v/>
      </c>
      <c r="D201" s="40" t="str">
        <f t="shared" si="264"/>
        <v/>
      </c>
      <c r="E201" s="69" t="str">
        <f t="shared" si="265"/>
        <v/>
      </c>
      <c r="F201" s="48" cm="1">
        <f t="array" ref="F201">0.1+IFERROR(INDEX($F$5:$F200,SUMPRODUCT(MAX(ROW($C$5:$C200)*($C201=$C$5:$C200))-ROW($A$4)))*0.9^($A201-INDEX($A$5:A200,SUMPRODUCT(MAX(ROW($C$5:$C200)*($C201=$C$5:$C200))-ROW($A$4)))),0)</f>
        <v>13.599999999999968</v>
      </c>
      <c r="G201" s="55" t="e">
        <f>INDEX(UWS!$AB$10:$AB$41,MATCH(C201,UWS!$B$10:$B$41,0))</f>
        <v>#N/A</v>
      </c>
      <c r="H201" s="48" t="e">
        <f>INDEX(UWS!$C$10:$C$41,MATCH(C201,UWS!$B$10:$B$41,0))</f>
        <v>#N/A</v>
      </c>
      <c r="I201" s="82">
        <f t="shared" si="266"/>
        <v>5</v>
      </c>
      <c r="J201" s="27" t="e">
        <f>INDEX(UWS!$E$10:$E$41,MATCH(C201,UWS!$B$10:$B$41,0))</f>
        <v>#N/A</v>
      </c>
      <c r="L201" s="108" t="str" cm="1">
        <f t="array" ref="L201">IF(K201="","",INDEX(UWS!$B$10:$B$41,K201))</f>
        <v/>
      </c>
      <c r="N201" s="108" t="str" cm="1">
        <f t="array" ref="N201">IF(M201="","",INDEX(UWS!$B$10:$B$41,M201))</f>
        <v/>
      </c>
      <c r="P201">
        <f>IFERROR(INDEX(UWS!$G$10:$Z$41,MATCH($C201,UWS!$B$10:$B$41,0),MATCH(P$4,UWS!$G$3:$Z$3,0)),0)</f>
        <v>0</v>
      </c>
      <c r="Q201">
        <f>IFERROR(INDEX(UWS!$G$10:$Z$41,MATCH($C201,UWS!$B$10:$B$41,0),MATCH(Q$4,UWS!$G$3:$Z$3,0)),0)</f>
        <v>0</v>
      </c>
      <c r="R201">
        <f>IFERROR(INDEX(UWS!$G$10:$Z$41,MATCH($C201,UWS!$B$10:$B$41,0),MATCH(R$4,UWS!$G$3:$Z$3,0)),0)</f>
        <v>0</v>
      </c>
      <c r="S201">
        <f>IFERROR(INDEX(UWS!$G$10:$Z$41,MATCH($C201,UWS!$B$10:$B$41,0),MATCH(S$4,UWS!$G$3:$Z$3,0)),0)</f>
        <v>0</v>
      </c>
      <c r="T201">
        <f>IFERROR(INDEX(UWS!$G$10:$Z$41,MATCH($C201,UWS!$B$10:$B$41,0),MATCH(T$4,UWS!$G$3:$Z$3,0)),0)</f>
        <v>0</v>
      </c>
      <c r="U201">
        <f>IFERROR(INDEX(UWS!$G$10:$Z$41,MATCH($C201,UWS!$B$10:$B$41,0),MATCH(U$4,UWS!$G$3:$Z$3,0)),0)</f>
        <v>0</v>
      </c>
      <c r="V201">
        <f>IFERROR(INDEX(UWS!$G$10:$Z$41,MATCH($C201,UWS!$B$10:$B$41,0),MATCH(V$4,UWS!$G$3:$Z$3,0)),0)</f>
        <v>0</v>
      </c>
      <c r="W201">
        <f>IFERROR(INDEX(UWS!$G$10:$Z$41,MATCH($C201,UWS!$B$10:$B$41,0),MATCH(W$4,UWS!$G$3:$Z$3,0)),0)</f>
        <v>0</v>
      </c>
      <c r="X201">
        <f>IFERROR(INDEX(UWS!$G$10:$Z$41,MATCH($C201,UWS!$B$10:$B$41,0),MATCH(X$4,UWS!$G$3:$Z$3,0)),0)</f>
        <v>0</v>
      </c>
      <c r="Y201">
        <f>IFERROR(INDEX(UWS!$G$10:$Z$41,MATCH($C201,UWS!$B$10:$B$41,0),MATCH(Y$4,UWS!$G$3:$Z$3,0)),0)</f>
        <v>0</v>
      </c>
      <c r="Z201">
        <f>IFERROR(INDEX(UWS!$G$10:$Z$41,MATCH($C201,UWS!$B$10:$B$41,0),MATCH(Z$4,UWS!$G$3:$Z$3,0)),0)</f>
        <v>0</v>
      </c>
      <c r="AA201">
        <f>IFERROR(INDEX(UWS!$G$10:$Z$41,MATCH($C201,UWS!$B$10:$B$41,0),MATCH(AA$4,UWS!$G$3:$Z$3,0)),0)</f>
        <v>0</v>
      </c>
      <c r="AB201">
        <f>IFERROR(INDEX(UWS!$G$10:$Z$41,MATCH($C201,UWS!$B$10:$B$41,0),MATCH(AB$4,UWS!$G$3:$Z$3,0)),0)</f>
        <v>0</v>
      </c>
      <c r="AC201">
        <f>IFERROR(INDEX(UWS!$G$10:$Z$41,MATCH($C201,UWS!$B$10:$B$41,0),MATCH(AC$4,UWS!$G$3:$Z$3,0)),0)</f>
        <v>0</v>
      </c>
      <c r="AD201">
        <f>IFERROR(INDEX(UWS!$G$10:$Z$41,MATCH($C201,UWS!$B$10:$B$41,0),MATCH(AD$4,UWS!$G$3:$Z$3,0)),0)</f>
        <v>0</v>
      </c>
      <c r="AE201">
        <f>IFERROR(INDEX(UWS!$G$10:$Z$41,MATCH($C201,UWS!$B$10:$B$41,0),MATCH(AE$4,UWS!$G$3:$Z$3,0)),0)</f>
        <v>0</v>
      </c>
      <c r="AF201">
        <f>IFERROR(INDEX(UWS!$G$10:$Z$41,MATCH($C201,UWS!$B$10:$B$41,0),MATCH(AF$4,UWS!$G$3:$Z$3,0)),0)</f>
        <v>0</v>
      </c>
      <c r="AG201">
        <f>IFERROR(INDEX(UWS!$G$10:$Z$41,MATCH($C201,UWS!$B$10:$B$41,0),MATCH(AG$4,UWS!$G$3:$Z$3,0)),0)</f>
        <v>0</v>
      </c>
      <c r="AH201">
        <f>IFERROR(INDEX(UWS!$G$10:$Z$41,MATCH($C201,UWS!$B$10:$B$41,0),MATCH(AH$4,UWS!$G$3:$Z$3,0)),0)</f>
        <v>0</v>
      </c>
      <c r="AI201">
        <f>IFERROR(INDEX(UWS!$G$10:$Z$41,MATCH($C201,UWS!$B$10:$B$41,0),MATCH(AI$4,UWS!$G$3:$Z$3,0)),0)</f>
        <v>0</v>
      </c>
      <c r="AK201" t="e">
        <f>IF(OR($J201=0,COUNTIFS($A$4:$A200,"&gt;="&amp;$A201-1,$A$4:$A200,"&lt;="&amp;$A201,$B$4:$B200,$B201)&gt;0,MIN(AK$1,IF($A201=$A200,AK200,1))-P201&lt;0),-1,MIN(1,IF($A201=$A200,AK200,1)-P201+$D$3))</f>
        <v>#N/A</v>
      </c>
      <c r="AL201" t="e">
        <f>IF(OR($J201=0,COUNTIFS($A$4:$A200,"&gt;="&amp;$A201-1,$A$4:$A200,"&lt;="&amp;$A201,$B$4:$B200,$B201)&gt;0,MIN(AL$1,IF($A201=$A200,AL200,1))-Q201&lt;0),-1,MIN(1,IF($A201=$A200,AL200,1)-Q201+$D$3))</f>
        <v>#N/A</v>
      </c>
      <c r="AM201" t="e">
        <f>IF(OR($J201=0,COUNTIFS($A$4:$A200,"&gt;="&amp;$A201-1,$A$4:$A200,"&lt;="&amp;$A201,$B$4:$B200,$B201)&gt;0,MIN(AM$1,IF($A201=$A200,AM200,1))-R201&lt;0),-1,MIN(1,IF($A201=$A200,AM200,1)-R201+$D$3))</f>
        <v>#N/A</v>
      </c>
      <c r="AN201" t="e">
        <f>IF(OR($J201=0,COUNTIFS($A$4:$A200,"&gt;="&amp;$A201-1,$A$4:$A200,"&lt;="&amp;$A201,$B$4:$B200,$B201)&gt;0,MIN(AN$1,IF($A201=$A200,AN200,1))-S201&lt;0),-1,MIN(1,IF($A201=$A200,AN200,1)-S201+$D$3))</f>
        <v>#N/A</v>
      </c>
      <c r="AO201" t="e">
        <f>IF(OR($J201=0,COUNTIFS($A$4:$A200,"&gt;="&amp;$A201-1,$A$4:$A200,"&lt;="&amp;$A201,$B$4:$B200,$B201)&gt;0,MIN(AO$1,IF($A201=$A200,AO200,1))-T201&lt;0),-1,MIN(1,IF($A201=$A200,AO200,1)-T201+$D$3))</f>
        <v>#N/A</v>
      </c>
      <c r="AP201" t="e">
        <f>IF(OR($J201=0,COUNTIFS($A$4:$A200,"&gt;="&amp;$A201-1,$A$4:$A200,"&lt;="&amp;$A201,$B$4:$B200,$B201)&gt;0,MIN(AP$1,IF($A201=$A200,AP200,1))-U201&lt;0),-1,MIN(1,IF($A201=$A200,AP200,1)-U201+$D$3))</f>
        <v>#N/A</v>
      </c>
      <c r="AQ201" t="e">
        <f>IF(OR($J201=0,COUNTIFS($A$4:$A200,"&gt;="&amp;$A201-1,$A$4:$A200,"&lt;="&amp;$A201,$B$4:$B200,$B201)&gt;0,MIN(AQ$1,IF($A201=$A200,AQ200,1))-V201&lt;0),-1,MIN(1,IF($A201=$A200,AQ200,1)-V201+$D$3))</f>
        <v>#N/A</v>
      </c>
      <c r="AR201" t="e">
        <f>IF(OR($J201=0,COUNTIFS($A$4:$A200,"&gt;="&amp;$A201-1,$A$4:$A200,"&lt;="&amp;$A201,$B$4:$B200,$B201)&gt;0,MIN(AR$1,IF($A201=$A200,AR200,1))-W201&lt;0),-1,MIN(1,IF($A201=$A200,AR200,1)-W201+$D$3))</f>
        <v>#N/A</v>
      </c>
      <c r="AS201" t="e">
        <f>IF(OR($J201=0,COUNTIFS($A$4:$A200,"&gt;="&amp;$A201-1,$A$4:$A200,"&lt;="&amp;$A201,$B$4:$B200,$B201)&gt;0,MIN(AS$1,IF($A201=$A200,AS200,1))-X201&lt;0),-1,MIN(1,IF($A201=$A200,AS200,1)-X201+$D$3))</f>
        <v>#N/A</v>
      </c>
      <c r="AT201" t="e">
        <f>IF(OR($J201=0,COUNTIFS($A$4:$A200,"&gt;="&amp;$A201-1,$A$4:$A200,"&lt;="&amp;$A201,$B$4:$B200,$B201)&gt;0,MIN(AT$1,IF($A201=$A200,AT200,1))-Y201&lt;0),-1,MIN(1,IF($A201=$A200,AT200,1)-Y201+$D$3))</f>
        <v>#N/A</v>
      </c>
      <c r="AU201" t="e">
        <f>IF(OR($J201=0,COUNTIFS($A$4:$A200,"&gt;="&amp;$A201-1,$A$4:$A200,"&lt;="&amp;$A201,$B$4:$B200,$B201)&gt;0,MIN(AU$1,IF($A201=$A200,AU200,1))-Z201&lt;0),-1,MIN(1,IF($A201=$A200,AU200,1)-Z201+$D$3))</f>
        <v>#N/A</v>
      </c>
      <c r="AV201" t="e">
        <f>IF(OR($J201=0,COUNTIFS($A$4:$A200,"&gt;="&amp;$A201-1,$A$4:$A200,"&lt;="&amp;$A201,$B$4:$B200,$B201)&gt;0,MIN(AV$1,IF($A201=$A200,AV200,1))-AA201&lt;0),-1,MIN(1,IF($A201=$A200,AV200,1)-AA201+$D$3))</f>
        <v>#N/A</v>
      </c>
      <c r="AW201" t="e">
        <f>IF(OR($J201=0,COUNTIFS($A$4:$A200,"&gt;="&amp;$A201-1,$A$4:$A200,"&lt;="&amp;$A201,$B$4:$B200,$B201)&gt;0,MIN(AW$1,IF($A201=$A200,AW200,1))-AB201&lt;0),-1,MIN(1,IF($A201=$A200,AW200,1)-AB201+$D$3))</f>
        <v>#N/A</v>
      </c>
      <c r="AX201" t="e">
        <f>IF(OR($J201=0,COUNTIFS($A$4:$A200,"&gt;="&amp;$A201-1,$A$4:$A200,"&lt;="&amp;$A201,$B$4:$B200,$B201)&gt;0,MIN(AX$1,IF($A201=$A200,AX200,1))-AC201&lt;0),-1,MIN(1,IF($A201=$A200,AX200,1)-AC201+$D$3))</f>
        <v>#N/A</v>
      </c>
      <c r="AY201" t="e">
        <f>IF(OR($J201=0,COUNTIFS($A$4:$A200,"&gt;="&amp;$A201-1,$A$4:$A200,"&lt;="&amp;$A201,$B$4:$B200,$B201)&gt;0,MIN(AY$1,IF($A201=$A200,AY200,1))-AD201&lt;0),-1,MIN(1,IF($A201=$A200,AY200,1)-AD201+$D$3))</f>
        <v>#N/A</v>
      </c>
      <c r="AZ201" t="e">
        <f>IF(OR($J201=0,COUNTIFS($A$4:$A200,"&gt;="&amp;$A201-1,$A$4:$A200,"&lt;="&amp;$A201,$B$4:$B200,$B201)&gt;0,MIN(AZ$1,IF($A201=$A200,AZ200,1))-AE201&lt;0),-1,MIN(1,IF($A201=$A200,AZ200,1)-AE201+$D$3))</f>
        <v>#N/A</v>
      </c>
      <c r="BA201" t="e">
        <f>IF(OR($J201=0,COUNTIFS($A$4:$A200,"&gt;="&amp;$A201-1,$A$4:$A200,"&lt;="&amp;$A201,$B$4:$B200,$B201)&gt;0,MIN(BA$1,IF($A201=$A200,BA200,1))-AF201&lt;0),-1,MIN(1,IF($A201=$A200,BA200,1)-AF201+$D$3))</f>
        <v>#N/A</v>
      </c>
      <c r="BB201" t="e">
        <f>IF(OR($J201=0,COUNTIFS($A$4:$A200,"&gt;="&amp;$A201-1,$A$4:$A200,"&lt;="&amp;$A201,$B$4:$B200,$B201)&gt;0,MIN(BB$1,IF($A201=$A200,BB200,1))-AG201&lt;0),-1,MIN(1,IF($A201=$A200,BB200,1)-AG201+$D$3))</f>
        <v>#N/A</v>
      </c>
      <c r="BC201" t="e">
        <f>IF(OR($J201=0,COUNTIFS($A$4:$A200,"&gt;="&amp;$A201-1,$A$4:$A200,"&lt;="&amp;$A201,$B$4:$B200,$B201)&gt;0,MIN(BC$1,IF($A201=$A200,BC200,1))-AH201&lt;0),-1,MIN(1,IF($A201=$A200,BC200,1)-AH201+$D$3))</f>
        <v>#N/A</v>
      </c>
      <c r="BD201" t="e">
        <f>IF(OR($J201=0,COUNTIFS($A$4:$A200,"&gt;="&amp;$A201-1,$A$4:$A200,"&lt;="&amp;$A201,$B$4:$B200,$B201)&gt;0,MIN(BD$1,IF($A201=$A200,BD200,1))-AI201&lt;0),-1,MIN(1,IF($A201=$A200,BD200,1)-AI201+$D$3))</f>
        <v>#N/A</v>
      </c>
      <c r="BF201" s="44">
        <f t="shared" si="267"/>
        <v>8.6667473363336432E-5</v>
      </c>
      <c r="BG201" s="44">
        <f t="shared" si="268"/>
        <v>2.1313977293740003E-4</v>
      </c>
      <c r="BH201" s="44">
        <f t="shared" si="269"/>
        <v>2.1844584715245157E-4</v>
      </c>
      <c r="BI201" s="44">
        <f t="shared" si="270"/>
        <v>2.0178331383958803E-4</v>
      </c>
      <c r="BJ201" s="44">
        <f t="shared" si="271"/>
        <v>2.0856221134578449E-4</v>
      </c>
      <c r="BK201" s="44">
        <f t="shared" si="272"/>
        <v>8.9564389781330515E-5</v>
      </c>
      <c r="BL201" s="44">
        <f t="shared" si="273"/>
        <v>4.8384092422169327E-5</v>
      </c>
      <c r="BM201" s="44">
        <f t="shared" si="274"/>
        <v>1.2308348106787614E-4</v>
      </c>
      <c r="BN201" s="44">
        <f t="shared" si="275"/>
        <v>1.2801641286859844E-4</v>
      </c>
      <c r="BO201" s="44">
        <f t="shared" si="276"/>
        <v>5.9993348735547696E-5</v>
      </c>
      <c r="BP201" s="44">
        <f t="shared" si="277"/>
        <v>2.0172629845956528E-4</v>
      </c>
      <c r="BQ201" s="44">
        <f t="shared" si="278"/>
        <v>5.4437577431707336E-5</v>
      </c>
      <c r="BR201" s="44">
        <f t="shared" si="279"/>
        <v>1.6082223088400413E-4</v>
      </c>
      <c r="BS201" s="44">
        <f t="shared" si="280"/>
        <v>8.6733563245055317E-5</v>
      </c>
      <c r="BT201" s="44">
        <f t="shared" si="281"/>
        <v>3.432313002284049E-4</v>
      </c>
      <c r="BU201" s="44">
        <f t="shared" si="282"/>
        <v>3.2788917396380722E-4</v>
      </c>
      <c r="BV201" s="44">
        <f t="shared" si="283"/>
        <v>3.1489391469956588E-4</v>
      </c>
      <c r="BW201" s="44">
        <f t="shared" si="284"/>
        <v>2.0595794895702225E-4</v>
      </c>
      <c r="BX201" s="44">
        <f t="shared" si="285"/>
        <v>1.5215799264708889E-4</v>
      </c>
      <c r="BY201" s="44">
        <f t="shared" si="286"/>
        <v>1.3064512526299798E-4</v>
      </c>
      <c r="CA201" s="44" t="str">
        <f t="shared" si="287"/>
        <v/>
      </c>
      <c r="CB201" s="44" t="str">
        <f t="shared" si="288"/>
        <v/>
      </c>
      <c r="CC201" s="44" t="str">
        <f t="shared" si="289"/>
        <v/>
      </c>
      <c r="CD201" s="44" t="str">
        <f t="shared" si="290"/>
        <v/>
      </c>
      <c r="CE201" s="44" t="str">
        <f t="shared" si="291"/>
        <v/>
      </c>
      <c r="CF201" s="44" t="str">
        <f t="shared" si="292"/>
        <v/>
      </c>
      <c r="CG201" s="44" t="str">
        <f t="shared" si="293"/>
        <v/>
      </c>
      <c r="CH201" s="44" t="str">
        <f t="shared" si="294"/>
        <v/>
      </c>
      <c r="CI201" s="44" t="str">
        <f t="shared" si="295"/>
        <v/>
      </c>
      <c r="CJ201" s="44" t="str">
        <f t="shared" si="296"/>
        <v/>
      </c>
      <c r="CK201" s="44" t="str">
        <f t="shared" si="297"/>
        <v/>
      </c>
      <c r="CL201" s="44" t="str">
        <f t="shared" si="298"/>
        <v/>
      </c>
      <c r="CM201" s="44" t="str">
        <f t="shared" si="299"/>
        <v/>
      </c>
      <c r="CN201" s="44" t="str">
        <f t="shared" si="300"/>
        <v/>
      </c>
      <c r="CO201" s="44" t="str">
        <f t="shared" si="301"/>
        <v/>
      </c>
      <c r="CP201" s="44" t="str">
        <f t="shared" si="302"/>
        <v/>
      </c>
      <c r="CQ201" s="44" t="str">
        <f t="shared" si="303"/>
        <v/>
      </c>
      <c r="CR201" s="44" t="str">
        <f t="shared" si="304"/>
        <v/>
      </c>
      <c r="CS201" s="44" t="str">
        <f t="shared" si="305"/>
        <v/>
      </c>
      <c r="CT201" s="44" t="str">
        <f t="shared" si="306"/>
        <v/>
      </c>
      <c r="CV201" s="44">
        <f t="shared" si="307"/>
        <v>0</v>
      </c>
    </row>
    <row r="202" spans="1:100" x14ac:dyDescent="0.25">
      <c r="A202" s="41"/>
      <c r="B202" s="42"/>
      <c r="C202" s="43" t="str" cm="1">
        <f t="array" ref="C202">IF(B202="","",INDEX(UWS!$B$10:$B$41,B202))</f>
        <v/>
      </c>
      <c r="D202" s="40" t="str">
        <f t="shared" si="264"/>
        <v/>
      </c>
      <c r="E202" s="69" t="str">
        <f t="shared" si="265"/>
        <v/>
      </c>
      <c r="F202" s="48" cm="1">
        <f t="array" ref="F202">0.1+IFERROR(INDEX($F$5:$F201,SUMPRODUCT(MAX(ROW($C$5:$C201)*($C202=$C$5:$C201))-ROW($A$4)))*0.9^($A202-INDEX($A$5:A201,SUMPRODUCT(MAX(ROW($C$5:$C201)*($C202=$C$5:$C201))-ROW($A$4)))),0)</f>
        <v>13.699999999999967</v>
      </c>
      <c r="G202" s="55" t="e">
        <f>INDEX(UWS!$AB$10:$AB$41,MATCH(C202,UWS!$B$10:$B$41,0))</f>
        <v>#N/A</v>
      </c>
      <c r="H202" s="48" t="e">
        <f>INDEX(UWS!$C$10:$C$41,MATCH(C202,UWS!$B$10:$B$41,0))</f>
        <v>#N/A</v>
      </c>
      <c r="I202" s="27">
        <f t="shared" si="266"/>
        <v>5</v>
      </c>
      <c r="J202" s="27" t="e">
        <f>INDEX(UWS!$E$10:$E$41,MATCH(C202,UWS!$B$10:$B$41,0))</f>
        <v>#N/A</v>
      </c>
      <c r="L202" s="108" t="str" cm="1">
        <f t="array" ref="L202">IF(K202="","",INDEX(UWS!$B$10:$B$41,K202))</f>
        <v/>
      </c>
      <c r="N202" s="108" t="str" cm="1">
        <f t="array" ref="N202">IF(M202="","",INDEX(UWS!$B$10:$B$41,M202))</f>
        <v/>
      </c>
      <c r="P202">
        <f>IFERROR(INDEX(UWS!$G$10:$Z$41,MATCH($C202,UWS!$B$10:$B$41,0),MATCH(P$4,UWS!$G$3:$Z$3,0)),0)</f>
        <v>0</v>
      </c>
      <c r="Q202">
        <f>IFERROR(INDEX(UWS!$G$10:$Z$41,MATCH($C202,UWS!$B$10:$B$41,0),MATCH(Q$4,UWS!$G$3:$Z$3,0)),0)</f>
        <v>0</v>
      </c>
      <c r="R202">
        <f>IFERROR(INDEX(UWS!$G$10:$Z$41,MATCH($C202,UWS!$B$10:$B$41,0),MATCH(R$4,UWS!$G$3:$Z$3,0)),0)</f>
        <v>0</v>
      </c>
      <c r="S202">
        <f>IFERROR(INDEX(UWS!$G$10:$Z$41,MATCH($C202,UWS!$B$10:$B$41,0),MATCH(S$4,UWS!$G$3:$Z$3,0)),0)</f>
        <v>0</v>
      </c>
      <c r="T202">
        <f>IFERROR(INDEX(UWS!$G$10:$Z$41,MATCH($C202,UWS!$B$10:$B$41,0),MATCH(T$4,UWS!$G$3:$Z$3,0)),0)</f>
        <v>0</v>
      </c>
      <c r="U202">
        <f>IFERROR(INDEX(UWS!$G$10:$Z$41,MATCH($C202,UWS!$B$10:$B$41,0),MATCH(U$4,UWS!$G$3:$Z$3,0)),0)</f>
        <v>0</v>
      </c>
      <c r="V202">
        <f>IFERROR(INDEX(UWS!$G$10:$Z$41,MATCH($C202,UWS!$B$10:$B$41,0),MATCH(V$4,UWS!$G$3:$Z$3,0)),0)</f>
        <v>0</v>
      </c>
      <c r="W202">
        <f>IFERROR(INDEX(UWS!$G$10:$Z$41,MATCH($C202,UWS!$B$10:$B$41,0),MATCH(W$4,UWS!$G$3:$Z$3,0)),0)</f>
        <v>0</v>
      </c>
      <c r="X202">
        <f>IFERROR(INDEX(UWS!$G$10:$Z$41,MATCH($C202,UWS!$B$10:$B$41,0),MATCH(X$4,UWS!$G$3:$Z$3,0)),0)</f>
        <v>0</v>
      </c>
      <c r="Y202">
        <f>IFERROR(INDEX(UWS!$G$10:$Z$41,MATCH($C202,UWS!$B$10:$B$41,0),MATCH(Y$4,UWS!$G$3:$Z$3,0)),0)</f>
        <v>0</v>
      </c>
      <c r="Z202">
        <f>IFERROR(INDEX(UWS!$G$10:$Z$41,MATCH($C202,UWS!$B$10:$B$41,0),MATCH(Z$4,UWS!$G$3:$Z$3,0)),0)</f>
        <v>0</v>
      </c>
      <c r="AA202">
        <f>IFERROR(INDEX(UWS!$G$10:$Z$41,MATCH($C202,UWS!$B$10:$B$41,0),MATCH(AA$4,UWS!$G$3:$Z$3,0)),0)</f>
        <v>0</v>
      </c>
      <c r="AB202">
        <f>IFERROR(INDEX(UWS!$G$10:$Z$41,MATCH($C202,UWS!$B$10:$B$41,0),MATCH(AB$4,UWS!$G$3:$Z$3,0)),0)</f>
        <v>0</v>
      </c>
      <c r="AC202">
        <f>IFERROR(INDEX(UWS!$G$10:$Z$41,MATCH($C202,UWS!$B$10:$B$41,0),MATCH(AC$4,UWS!$G$3:$Z$3,0)),0)</f>
        <v>0</v>
      </c>
      <c r="AD202">
        <f>IFERROR(INDEX(UWS!$G$10:$Z$41,MATCH($C202,UWS!$B$10:$B$41,0),MATCH(AD$4,UWS!$G$3:$Z$3,0)),0)</f>
        <v>0</v>
      </c>
      <c r="AE202">
        <f>IFERROR(INDEX(UWS!$G$10:$Z$41,MATCH($C202,UWS!$B$10:$B$41,0),MATCH(AE$4,UWS!$G$3:$Z$3,0)),0)</f>
        <v>0</v>
      </c>
      <c r="AF202">
        <f>IFERROR(INDEX(UWS!$G$10:$Z$41,MATCH($C202,UWS!$B$10:$B$41,0),MATCH(AF$4,UWS!$G$3:$Z$3,0)),0)</f>
        <v>0</v>
      </c>
      <c r="AG202">
        <f>IFERROR(INDEX(UWS!$G$10:$Z$41,MATCH($C202,UWS!$B$10:$B$41,0),MATCH(AG$4,UWS!$G$3:$Z$3,0)),0)</f>
        <v>0</v>
      </c>
      <c r="AH202">
        <f>IFERROR(INDEX(UWS!$G$10:$Z$41,MATCH($C202,UWS!$B$10:$B$41,0),MATCH(AH$4,UWS!$G$3:$Z$3,0)),0)</f>
        <v>0</v>
      </c>
      <c r="AI202">
        <f>IFERROR(INDEX(UWS!$G$10:$Z$41,MATCH($C202,UWS!$B$10:$B$41,0),MATCH(AI$4,UWS!$G$3:$Z$3,0)),0)</f>
        <v>0</v>
      </c>
      <c r="AK202" t="e">
        <f>IF(OR($J202=0,COUNTIFS($A$4:$A201,"&gt;="&amp;$A202-1,$A$4:$A201,"&lt;="&amp;$A202,$B$4:$B201,$B202)&gt;0,MIN(AK$1,IF($A202=$A201,AK201,1))-P202&lt;0),-1,MIN(1,IF($A202=$A201,AK201,1)-P202+$D$3))</f>
        <v>#N/A</v>
      </c>
      <c r="AL202" t="e">
        <f>IF(OR($J202=0,COUNTIFS($A$4:$A201,"&gt;="&amp;$A202-1,$A$4:$A201,"&lt;="&amp;$A202,$B$4:$B201,$B202)&gt;0,MIN(AL$1,IF($A202=$A201,AL201,1))-Q202&lt;0),-1,MIN(1,IF($A202=$A201,AL201,1)-Q202+$D$3))</f>
        <v>#N/A</v>
      </c>
      <c r="AM202" t="e">
        <f>IF(OR($J202=0,COUNTIFS($A$4:$A201,"&gt;="&amp;$A202-1,$A$4:$A201,"&lt;="&amp;$A202,$B$4:$B201,$B202)&gt;0,MIN(AM$1,IF($A202=$A201,AM201,1))-R202&lt;0),-1,MIN(1,IF($A202=$A201,AM201,1)-R202+$D$3))</f>
        <v>#N/A</v>
      </c>
      <c r="AN202" t="e">
        <f>IF(OR($J202=0,COUNTIFS($A$4:$A201,"&gt;="&amp;$A202-1,$A$4:$A201,"&lt;="&amp;$A202,$B$4:$B201,$B202)&gt;0,MIN(AN$1,IF($A202=$A201,AN201,1))-S202&lt;0),-1,MIN(1,IF($A202=$A201,AN201,1)-S202+$D$3))</f>
        <v>#N/A</v>
      </c>
      <c r="AO202" t="e">
        <f>IF(OR($J202=0,COUNTIFS($A$4:$A201,"&gt;="&amp;$A202-1,$A$4:$A201,"&lt;="&amp;$A202,$B$4:$B201,$B202)&gt;0,MIN(AO$1,IF($A202=$A201,AO201,1))-T202&lt;0),-1,MIN(1,IF($A202=$A201,AO201,1)-T202+$D$3))</f>
        <v>#N/A</v>
      </c>
      <c r="AP202" t="e">
        <f>IF(OR($J202=0,COUNTIFS($A$4:$A201,"&gt;="&amp;$A202-1,$A$4:$A201,"&lt;="&amp;$A202,$B$4:$B201,$B202)&gt;0,MIN(AP$1,IF($A202=$A201,AP201,1))-U202&lt;0),-1,MIN(1,IF($A202=$A201,AP201,1)-U202+$D$3))</f>
        <v>#N/A</v>
      </c>
      <c r="AQ202" t="e">
        <f>IF(OR($J202=0,COUNTIFS($A$4:$A201,"&gt;="&amp;$A202-1,$A$4:$A201,"&lt;="&amp;$A202,$B$4:$B201,$B202)&gt;0,MIN(AQ$1,IF($A202=$A201,AQ201,1))-V202&lt;0),-1,MIN(1,IF($A202=$A201,AQ201,1)-V202+$D$3))</f>
        <v>#N/A</v>
      </c>
      <c r="AR202" t="e">
        <f>IF(OR($J202=0,COUNTIFS($A$4:$A201,"&gt;="&amp;$A202-1,$A$4:$A201,"&lt;="&amp;$A202,$B$4:$B201,$B202)&gt;0,MIN(AR$1,IF($A202=$A201,AR201,1))-W202&lt;0),-1,MIN(1,IF($A202=$A201,AR201,1)-W202+$D$3))</f>
        <v>#N/A</v>
      </c>
      <c r="AS202" t="e">
        <f>IF(OR($J202=0,COUNTIFS($A$4:$A201,"&gt;="&amp;$A202-1,$A$4:$A201,"&lt;="&amp;$A202,$B$4:$B201,$B202)&gt;0,MIN(AS$1,IF($A202=$A201,AS201,1))-X202&lt;0),-1,MIN(1,IF($A202=$A201,AS201,1)-X202+$D$3))</f>
        <v>#N/A</v>
      </c>
      <c r="AT202" t="e">
        <f>IF(OR($J202=0,COUNTIFS($A$4:$A201,"&gt;="&amp;$A202-1,$A$4:$A201,"&lt;="&amp;$A202,$B$4:$B201,$B202)&gt;0,MIN(AT$1,IF($A202=$A201,AT201,1))-Y202&lt;0),-1,MIN(1,IF($A202=$A201,AT201,1)-Y202+$D$3))</f>
        <v>#N/A</v>
      </c>
      <c r="AU202" t="e">
        <f>IF(OR($J202=0,COUNTIFS($A$4:$A201,"&gt;="&amp;$A202-1,$A$4:$A201,"&lt;="&amp;$A202,$B$4:$B201,$B202)&gt;0,MIN(AU$1,IF($A202=$A201,AU201,1))-Z202&lt;0),-1,MIN(1,IF($A202=$A201,AU201,1)-Z202+$D$3))</f>
        <v>#N/A</v>
      </c>
      <c r="AV202" t="e">
        <f>IF(OR($J202=0,COUNTIFS($A$4:$A201,"&gt;="&amp;$A202-1,$A$4:$A201,"&lt;="&amp;$A202,$B$4:$B201,$B202)&gt;0,MIN(AV$1,IF($A202=$A201,AV201,1))-AA202&lt;0),-1,MIN(1,IF($A202=$A201,AV201,1)-AA202+$D$3))</f>
        <v>#N/A</v>
      </c>
      <c r="AW202" t="e">
        <f>IF(OR($J202=0,COUNTIFS($A$4:$A201,"&gt;="&amp;$A202-1,$A$4:$A201,"&lt;="&amp;$A202,$B$4:$B201,$B202)&gt;0,MIN(AW$1,IF($A202=$A201,AW201,1))-AB202&lt;0),-1,MIN(1,IF($A202=$A201,AW201,1)-AB202+$D$3))</f>
        <v>#N/A</v>
      </c>
      <c r="AX202" t="e">
        <f>IF(OR($J202=0,COUNTIFS($A$4:$A201,"&gt;="&amp;$A202-1,$A$4:$A201,"&lt;="&amp;$A202,$B$4:$B201,$B202)&gt;0,MIN(AX$1,IF($A202=$A201,AX201,1))-AC202&lt;0),-1,MIN(1,IF($A202=$A201,AX201,1)-AC202+$D$3))</f>
        <v>#N/A</v>
      </c>
      <c r="AY202" t="e">
        <f>IF(OR($J202=0,COUNTIFS($A$4:$A201,"&gt;="&amp;$A202-1,$A$4:$A201,"&lt;="&amp;$A202,$B$4:$B201,$B202)&gt;0,MIN(AY$1,IF($A202=$A201,AY201,1))-AD202&lt;0),-1,MIN(1,IF($A202=$A201,AY201,1)-AD202+$D$3))</f>
        <v>#N/A</v>
      </c>
      <c r="AZ202" t="e">
        <f>IF(OR($J202=0,COUNTIFS($A$4:$A201,"&gt;="&amp;$A202-1,$A$4:$A201,"&lt;="&amp;$A202,$B$4:$B201,$B202)&gt;0,MIN(AZ$1,IF($A202=$A201,AZ201,1))-AE202&lt;0),-1,MIN(1,IF($A202=$A201,AZ201,1)-AE202+$D$3))</f>
        <v>#N/A</v>
      </c>
      <c r="BA202" t="e">
        <f>IF(OR($J202=0,COUNTIFS($A$4:$A201,"&gt;="&amp;$A202-1,$A$4:$A201,"&lt;="&amp;$A202,$B$4:$B201,$B202)&gt;0,MIN(BA$1,IF($A202=$A201,BA201,1))-AF202&lt;0),-1,MIN(1,IF($A202=$A201,BA201,1)-AF202+$D$3))</f>
        <v>#N/A</v>
      </c>
      <c r="BB202" t="e">
        <f>IF(OR($J202=0,COUNTIFS($A$4:$A201,"&gt;="&amp;$A202-1,$A$4:$A201,"&lt;="&amp;$A202,$B$4:$B201,$B202)&gt;0,MIN(BB$1,IF($A202=$A201,BB201,1))-AG202&lt;0),-1,MIN(1,IF($A202=$A201,BB201,1)-AG202+$D$3))</f>
        <v>#N/A</v>
      </c>
      <c r="BC202" t="e">
        <f>IF(OR($J202=0,COUNTIFS($A$4:$A201,"&gt;="&amp;$A202-1,$A$4:$A201,"&lt;="&amp;$A202,$B$4:$B201,$B202)&gt;0,MIN(BC$1,IF($A202=$A201,BC201,1))-AH202&lt;0),-1,MIN(1,IF($A202=$A201,BC201,1)-AH202+$D$3))</f>
        <v>#N/A</v>
      </c>
      <c r="BD202" t="e">
        <f>IF(OR($J202=0,COUNTIFS($A$4:$A201,"&gt;="&amp;$A202-1,$A$4:$A201,"&lt;="&amp;$A202,$B$4:$B201,$B202)&gt;0,MIN(BD$1,IF($A202=$A201,BD201,1))-AI202&lt;0),-1,MIN(1,IF($A202=$A201,BD201,1)-AI202+$D$3))</f>
        <v>#N/A</v>
      </c>
      <c r="BF202" s="44">
        <f t="shared" si="267"/>
        <v>8.2334099695169602E-5</v>
      </c>
      <c r="BG202" s="44">
        <f t="shared" si="268"/>
        <v>2.0248278429053001E-4</v>
      </c>
      <c r="BH202" s="44">
        <f t="shared" si="269"/>
        <v>2.0752355479482899E-4</v>
      </c>
      <c r="BI202" s="44">
        <f t="shared" si="270"/>
        <v>1.9169414814760861E-4</v>
      </c>
      <c r="BJ202" s="44">
        <f t="shared" si="271"/>
        <v>1.9813410077849526E-4</v>
      </c>
      <c r="BK202" s="44">
        <f t="shared" si="272"/>
        <v>8.5086170292263992E-5</v>
      </c>
      <c r="BL202" s="44">
        <f t="shared" si="273"/>
        <v>4.596488780106086E-5</v>
      </c>
      <c r="BM202" s="44">
        <f t="shared" si="274"/>
        <v>1.1692930701448232E-4</v>
      </c>
      <c r="BN202" s="44">
        <f t="shared" si="275"/>
        <v>1.2161559222516852E-4</v>
      </c>
      <c r="BO202" s="44">
        <f t="shared" si="276"/>
        <v>5.699368129877031E-5</v>
      </c>
      <c r="BP202" s="44">
        <f t="shared" si="277"/>
        <v>1.9163998353658701E-4</v>
      </c>
      <c r="BQ202" s="44">
        <f t="shared" si="278"/>
        <v>5.1715698560121968E-5</v>
      </c>
      <c r="BR202" s="44">
        <f t="shared" si="279"/>
        <v>1.5278111933980391E-4</v>
      </c>
      <c r="BS202" s="44">
        <f t="shared" si="280"/>
        <v>8.2396885082802542E-5</v>
      </c>
      <c r="BT202" s="44">
        <f t="shared" si="281"/>
        <v>3.2606973521698464E-4</v>
      </c>
      <c r="BU202" s="44">
        <f t="shared" si="282"/>
        <v>3.1149471526561686E-4</v>
      </c>
      <c r="BV202" s="44">
        <f t="shared" si="283"/>
        <v>2.9914921896458758E-4</v>
      </c>
      <c r="BW202" s="44">
        <f t="shared" si="284"/>
        <v>1.9566005150917112E-4</v>
      </c>
      <c r="BX202" s="44">
        <f t="shared" si="285"/>
        <v>1.4455009301473444E-4</v>
      </c>
      <c r="BY202" s="44">
        <f t="shared" si="286"/>
        <v>1.2411286899984808E-4</v>
      </c>
      <c r="CA202" s="44" t="str">
        <f t="shared" si="287"/>
        <v/>
      </c>
      <c r="CB202" s="44" t="str">
        <f t="shared" si="288"/>
        <v/>
      </c>
      <c r="CC202" s="44" t="str">
        <f t="shared" si="289"/>
        <v/>
      </c>
      <c r="CD202" s="44" t="str">
        <f t="shared" si="290"/>
        <v/>
      </c>
      <c r="CE202" s="44" t="str">
        <f t="shared" si="291"/>
        <v/>
      </c>
      <c r="CF202" s="44" t="str">
        <f t="shared" si="292"/>
        <v/>
      </c>
      <c r="CG202" s="44" t="str">
        <f t="shared" si="293"/>
        <v/>
      </c>
      <c r="CH202" s="44" t="str">
        <f t="shared" si="294"/>
        <v/>
      </c>
      <c r="CI202" s="44" t="str">
        <f t="shared" si="295"/>
        <v/>
      </c>
      <c r="CJ202" s="44" t="str">
        <f t="shared" si="296"/>
        <v/>
      </c>
      <c r="CK202" s="44" t="str">
        <f t="shared" si="297"/>
        <v/>
      </c>
      <c r="CL202" s="44" t="str">
        <f t="shared" si="298"/>
        <v/>
      </c>
      <c r="CM202" s="44" t="str">
        <f t="shared" si="299"/>
        <v/>
      </c>
      <c r="CN202" s="44" t="str">
        <f t="shared" si="300"/>
        <v/>
      </c>
      <c r="CO202" s="44" t="str">
        <f t="shared" si="301"/>
        <v/>
      </c>
      <c r="CP202" s="44" t="str">
        <f t="shared" si="302"/>
        <v/>
      </c>
      <c r="CQ202" s="44" t="str">
        <f t="shared" si="303"/>
        <v/>
      </c>
      <c r="CR202" s="44" t="str">
        <f t="shared" si="304"/>
        <v/>
      </c>
      <c r="CS202" s="44" t="str">
        <f t="shared" si="305"/>
        <v/>
      </c>
      <c r="CT202" s="44" t="str">
        <f t="shared" si="306"/>
        <v/>
      </c>
      <c r="CV202" s="44">
        <f t="shared" si="307"/>
        <v>0</v>
      </c>
    </row>
    <row r="203" spans="1:100" x14ac:dyDescent="0.25">
      <c r="A203" s="41"/>
      <c r="B203" s="42"/>
      <c r="C203" s="43" t="str" cm="1">
        <f t="array" ref="C203">IF(B203="","",INDEX(UWS!$B$10:$B$41,B203))</f>
        <v/>
      </c>
      <c r="D203" s="40" t="str">
        <f t="shared" si="264"/>
        <v/>
      </c>
      <c r="E203" s="69" t="str">
        <f t="shared" si="265"/>
        <v/>
      </c>
      <c r="F203" s="48" cm="1">
        <f t="array" ref="F203">0.1+IFERROR(INDEX($F$5:$F202,SUMPRODUCT(MAX(ROW($C$5:$C202)*($C203=$C$5:$C202))-ROW($A$4)))*0.9^($A203-INDEX($A$5:A202,SUMPRODUCT(MAX(ROW($C$5:$C202)*($C203=$C$5:$C202))-ROW($A$4)))),0)</f>
        <v>13.799999999999967</v>
      </c>
      <c r="G203" s="55" t="e">
        <f>INDEX(UWS!$AB$10:$AB$41,MATCH(C203,UWS!$B$10:$B$41,0))</f>
        <v>#N/A</v>
      </c>
      <c r="H203" s="48" t="e">
        <f>INDEX(UWS!$C$10:$C$41,MATCH(C203,UWS!$B$10:$B$41,0))</f>
        <v>#N/A</v>
      </c>
      <c r="I203" s="27">
        <f t="shared" si="266"/>
        <v>5</v>
      </c>
      <c r="J203" s="27" t="e">
        <f>INDEX(UWS!$E$10:$E$41,MATCH(C203,UWS!$B$10:$B$41,0))</f>
        <v>#N/A</v>
      </c>
      <c r="L203" s="108" t="str" cm="1">
        <f t="array" ref="L203">IF(K203="","",INDEX(UWS!$B$10:$B$41,K203))</f>
        <v/>
      </c>
      <c r="N203" s="108" t="str" cm="1">
        <f t="array" ref="N203">IF(M203="","",INDEX(UWS!$B$10:$B$41,M203))</f>
        <v/>
      </c>
      <c r="P203">
        <f>IFERROR(INDEX(UWS!$G$10:$Z$41,MATCH($C203,UWS!$B$10:$B$41,0),MATCH(P$4,UWS!$G$3:$Z$3,0)),0)</f>
        <v>0</v>
      </c>
      <c r="Q203">
        <f>IFERROR(INDEX(UWS!$G$10:$Z$41,MATCH($C203,UWS!$B$10:$B$41,0),MATCH(Q$4,UWS!$G$3:$Z$3,0)),0)</f>
        <v>0</v>
      </c>
      <c r="R203">
        <f>IFERROR(INDEX(UWS!$G$10:$Z$41,MATCH($C203,UWS!$B$10:$B$41,0),MATCH(R$4,UWS!$G$3:$Z$3,0)),0)</f>
        <v>0</v>
      </c>
      <c r="S203">
        <f>IFERROR(INDEX(UWS!$G$10:$Z$41,MATCH($C203,UWS!$B$10:$B$41,0),MATCH(S$4,UWS!$G$3:$Z$3,0)),0)</f>
        <v>0</v>
      </c>
      <c r="T203">
        <f>IFERROR(INDEX(UWS!$G$10:$Z$41,MATCH($C203,UWS!$B$10:$B$41,0),MATCH(T$4,UWS!$G$3:$Z$3,0)),0)</f>
        <v>0</v>
      </c>
      <c r="U203">
        <f>IFERROR(INDEX(UWS!$G$10:$Z$41,MATCH($C203,UWS!$B$10:$B$41,0),MATCH(U$4,UWS!$G$3:$Z$3,0)),0)</f>
        <v>0</v>
      </c>
      <c r="V203">
        <f>IFERROR(INDEX(UWS!$G$10:$Z$41,MATCH($C203,UWS!$B$10:$B$41,0),MATCH(V$4,UWS!$G$3:$Z$3,0)),0)</f>
        <v>0</v>
      </c>
      <c r="W203">
        <f>IFERROR(INDEX(UWS!$G$10:$Z$41,MATCH($C203,UWS!$B$10:$B$41,0),MATCH(W$4,UWS!$G$3:$Z$3,0)),0)</f>
        <v>0</v>
      </c>
      <c r="X203">
        <f>IFERROR(INDEX(UWS!$G$10:$Z$41,MATCH($C203,UWS!$B$10:$B$41,0),MATCH(X$4,UWS!$G$3:$Z$3,0)),0)</f>
        <v>0</v>
      </c>
      <c r="Y203">
        <f>IFERROR(INDEX(UWS!$G$10:$Z$41,MATCH($C203,UWS!$B$10:$B$41,0),MATCH(Y$4,UWS!$G$3:$Z$3,0)),0)</f>
        <v>0</v>
      </c>
      <c r="Z203">
        <f>IFERROR(INDEX(UWS!$G$10:$Z$41,MATCH($C203,UWS!$B$10:$B$41,0),MATCH(Z$4,UWS!$G$3:$Z$3,0)),0)</f>
        <v>0</v>
      </c>
      <c r="AA203">
        <f>IFERROR(INDEX(UWS!$G$10:$Z$41,MATCH($C203,UWS!$B$10:$B$41,0),MATCH(AA$4,UWS!$G$3:$Z$3,0)),0)</f>
        <v>0</v>
      </c>
      <c r="AB203">
        <f>IFERROR(INDEX(UWS!$G$10:$Z$41,MATCH($C203,UWS!$B$10:$B$41,0),MATCH(AB$4,UWS!$G$3:$Z$3,0)),0)</f>
        <v>0</v>
      </c>
      <c r="AC203">
        <f>IFERROR(INDEX(UWS!$G$10:$Z$41,MATCH($C203,UWS!$B$10:$B$41,0),MATCH(AC$4,UWS!$G$3:$Z$3,0)),0)</f>
        <v>0</v>
      </c>
      <c r="AD203">
        <f>IFERROR(INDEX(UWS!$G$10:$Z$41,MATCH($C203,UWS!$B$10:$B$41,0),MATCH(AD$4,UWS!$G$3:$Z$3,0)),0)</f>
        <v>0</v>
      </c>
      <c r="AE203">
        <f>IFERROR(INDEX(UWS!$G$10:$Z$41,MATCH($C203,UWS!$B$10:$B$41,0),MATCH(AE$4,UWS!$G$3:$Z$3,0)),0)</f>
        <v>0</v>
      </c>
      <c r="AF203">
        <f>IFERROR(INDEX(UWS!$G$10:$Z$41,MATCH($C203,UWS!$B$10:$B$41,0),MATCH(AF$4,UWS!$G$3:$Z$3,0)),0)</f>
        <v>0</v>
      </c>
      <c r="AG203">
        <f>IFERROR(INDEX(UWS!$G$10:$Z$41,MATCH($C203,UWS!$B$10:$B$41,0),MATCH(AG$4,UWS!$G$3:$Z$3,0)),0)</f>
        <v>0</v>
      </c>
      <c r="AH203">
        <f>IFERROR(INDEX(UWS!$G$10:$Z$41,MATCH($C203,UWS!$B$10:$B$41,0),MATCH(AH$4,UWS!$G$3:$Z$3,0)),0)</f>
        <v>0</v>
      </c>
      <c r="AI203">
        <f>IFERROR(INDEX(UWS!$G$10:$Z$41,MATCH($C203,UWS!$B$10:$B$41,0),MATCH(AI$4,UWS!$G$3:$Z$3,0)),0)</f>
        <v>0</v>
      </c>
      <c r="AK203" t="e">
        <f>IF(OR($J203=0,COUNTIFS($A$4:$A202,"&gt;="&amp;$A203-1,$A$4:$A202,"&lt;="&amp;$A203,$B$4:$B202,$B203)&gt;0,MIN(AK$1,IF($A203=$A202,AK202,1))-P203&lt;0),-1,MIN(1,IF($A203=$A202,AK202,1)-P203+$D$3))</f>
        <v>#N/A</v>
      </c>
      <c r="AL203" t="e">
        <f>IF(OR($J203=0,COUNTIFS($A$4:$A202,"&gt;="&amp;$A203-1,$A$4:$A202,"&lt;="&amp;$A203,$B$4:$B202,$B203)&gt;0,MIN(AL$1,IF($A203=$A202,AL202,1))-Q203&lt;0),-1,MIN(1,IF($A203=$A202,AL202,1)-Q203+$D$3))</f>
        <v>#N/A</v>
      </c>
      <c r="AM203" t="e">
        <f>IF(OR($J203=0,COUNTIFS($A$4:$A202,"&gt;="&amp;$A203-1,$A$4:$A202,"&lt;="&amp;$A203,$B$4:$B202,$B203)&gt;0,MIN(AM$1,IF($A203=$A202,AM202,1))-R203&lt;0),-1,MIN(1,IF($A203=$A202,AM202,1)-R203+$D$3))</f>
        <v>#N/A</v>
      </c>
      <c r="AN203" t="e">
        <f>IF(OR($J203=0,COUNTIFS($A$4:$A202,"&gt;="&amp;$A203-1,$A$4:$A202,"&lt;="&amp;$A203,$B$4:$B202,$B203)&gt;0,MIN(AN$1,IF($A203=$A202,AN202,1))-S203&lt;0),-1,MIN(1,IF($A203=$A202,AN202,1)-S203+$D$3))</f>
        <v>#N/A</v>
      </c>
      <c r="AO203" t="e">
        <f>IF(OR($J203=0,COUNTIFS($A$4:$A202,"&gt;="&amp;$A203-1,$A$4:$A202,"&lt;="&amp;$A203,$B$4:$B202,$B203)&gt;0,MIN(AO$1,IF($A203=$A202,AO202,1))-T203&lt;0),-1,MIN(1,IF($A203=$A202,AO202,1)-T203+$D$3))</f>
        <v>#N/A</v>
      </c>
      <c r="AP203" t="e">
        <f>IF(OR($J203=0,COUNTIFS($A$4:$A202,"&gt;="&amp;$A203-1,$A$4:$A202,"&lt;="&amp;$A203,$B$4:$B202,$B203)&gt;0,MIN(AP$1,IF($A203=$A202,AP202,1))-U203&lt;0),-1,MIN(1,IF($A203=$A202,AP202,1)-U203+$D$3))</f>
        <v>#N/A</v>
      </c>
      <c r="AQ203" t="e">
        <f>IF(OR($J203=0,COUNTIFS($A$4:$A202,"&gt;="&amp;$A203-1,$A$4:$A202,"&lt;="&amp;$A203,$B$4:$B202,$B203)&gt;0,MIN(AQ$1,IF($A203=$A202,AQ202,1))-V203&lt;0),-1,MIN(1,IF($A203=$A202,AQ202,1)-V203+$D$3))</f>
        <v>#N/A</v>
      </c>
      <c r="AR203" t="e">
        <f>IF(OR($J203=0,COUNTIFS($A$4:$A202,"&gt;="&amp;$A203-1,$A$4:$A202,"&lt;="&amp;$A203,$B$4:$B202,$B203)&gt;0,MIN(AR$1,IF($A203=$A202,AR202,1))-W203&lt;0),-1,MIN(1,IF($A203=$A202,AR202,1)-W203+$D$3))</f>
        <v>#N/A</v>
      </c>
      <c r="AS203" t="e">
        <f>IF(OR($J203=0,COUNTIFS($A$4:$A202,"&gt;="&amp;$A203-1,$A$4:$A202,"&lt;="&amp;$A203,$B$4:$B202,$B203)&gt;0,MIN(AS$1,IF($A203=$A202,AS202,1))-X203&lt;0),-1,MIN(1,IF($A203=$A202,AS202,1)-X203+$D$3))</f>
        <v>#N/A</v>
      </c>
      <c r="AT203" t="e">
        <f>IF(OR($J203=0,COUNTIFS($A$4:$A202,"&gt;="&amp;$A203-1,$A$4:$A202,"&lt;="&amp;$A203,$B$4:$B202,$B203)&gt;0,MIN(AT$1,IF($A203=$A202,AT202,1))-Y203&lt;0),-1,MIN(1,IF($A203=$A202,AT202,1)-Y203+$D$3))</f>
        <v>#N/A</v>
      </c>
      <c r="AU203" t="e">
        <f>IF(OR($J203=0,COUNTIFS($A$4:$A202,"&gt;="&amp;$A203-1,$A$4:$A202,"&lt;="&amp;$A203,$B$4:$B202,$B203)&gt;0,MIN(AU$1,IF($A203=$A202,AU202,1))-Z203&lt;0),-1,MIN(1,IF($A203=$A202,AU202,1)-Z203+$D$3))</f>
        <v>#N/A</v>
      </c>
      <c r="AV203" t="e">
        <f>IF(OR($J203=0,COUNTIFS($A$4:$A202,"&gt;="&amp;$A203-1,$A$4:$A202,"&lt;="&amp;$A203,$B$4:$B202,$B203)&gt;0,MIN(AV$1,IF($A203=$A202,AV202,1))-AA203&lt;0),-1,MIN(1,IF($A203=$A202,AV202,1)-AA203+$D$3))</f>
        <v>#N/A</v>
      </c>
      <c r="AW203" t="e">
        <f>IF(OR($J203=0,COUNTIFS($A$4:$A202,"&gt;="&amp;$A203-1,$A$4:$A202,"&lt;="&amp;$A203,$B$4:$B202,$B203)&gt;0,MIN(AW$1,IF($A203=$A202,AW202,1))-AB203&lt;0),-1,MIN(1,IF($A203=$A202,AW202,1)-AB203+$D$3))</f>
        <v>#N/A</v>
      </c>
      <c r="AX203" t="e">
        <f>IF(OR($J203=0,COUNTIFS($A$4:$A202,"&gt;="&amp;$A203-1,$A$4:$A202,"&lt;="&amp;$A203,$B$4:$B202,$B203)&gt;0,MIN(AX$1,IF($A203=$A202,AX202,1))-AC203&lt;0),-1,MIN(1,IF($A203=$A202,AX202,1)-AC203+$D$3))</f>
        <v>#N/A</v>
      </c>
      <c r="AY203" t="e">
        <f>IF(OR($J203=0,COUNTIFS($A$4:$A202,"&gt;="&amp;$A203-1,$A$4:$A202,"&lt;="&amp;$A203,$B$4:$B202,$B203)&gt;0,MIN(AY$1,IF($A203=$A202,AY202,1))-AD203&lt;0),-1,MIN(1,IF($A203=$A202,AY202,1)-AD203+$D$3))</f>
        <v>#N/A</v>
      </c>
      <c r="AZ203" t="e">
        <f>IF(OR($J203=0,COUNTIFS($A$4:$A202,"&gt;="&amp;$A203-1,$A$4:$A202,"&lt;="&amp;$A203,$B$4:$B202,$B203)&gt;0,MIN(AZ$1,IF($A203=$A202,AZ202,1))-AE203&lt;0),-1,MIN(1,IF($A203=$A202,AZ202,1)-AE203+$D$3))</f>
        <v>#N/A</v>
      </c>
      <c r="BA203" t="e">
        <f>IF(OR($J203=0,COUNTIFS($A$4:$A202,"&gt;="&amp;$A203-1,$A$4:$A202,"&lt;="&amp;$A203,$B$4:$B202,$B203)&gt;0,MIN(BA$1,IF($A203=$A202,BA202,1))-AF203&lt;0),-1,MIN(1,IF($A203=$A202,BA202,1)-AF203+$D$3))</f>
        <v>#N/A</v>
      </c>
      <c r="BB203" t="e">
        <f>IF(OR($J203=0,COUNTIFS($A$4:$A202,"&gt;="&amp;$A203-1,$A$4:$A202,"&lt;="&amp;$A203,$B$4:$B202,$B203)&gt;0,MIN(BB$1,IF($A203=$A202,BB202,1))-AG203&lt;0),-1,MIN(1,IF($A203=$A202,BB202,1)-AG203+$D$3))</f>
        <v>#N/A</v>
      </c>
      <c r="BC203" t="e">
        <f>IF(OR($J203=0,COUNTIFS($A$4:$A202,"&gt;="&amp;$A203-1,$A$4:$A202,"&lt;="&amp;$A203,$B$4:$B202,$B203)&gt;0,MIN(BC$1,IF($A203=$A202,BC202,1))-AH203&lt;0),-1,MIN(1,IF($A203=$A202,BC202,1)-AH203+$D$3))</f>
        <v>#N/A</v>
      </c>
      <c r="BD203" t="e">
        <f>IF(OR($J203=0,COUNTIFS($A$4:$A202,"&gt;="&amp;$A203-1,$A$4:$A202,"&lt;="&amp;$A203,$B$4:$B202,$B203)&gt;0,MIN(BD$1,IF($A203=$A202,BD202,1))-AI203&lt;0),-1,MIN(1,IF($A203=$A202,BD202,1)-AI203+$D$3))</f>
        <v>#N/A</v>
      </c>
      <c r="BF203" s="44">
        <f t="shared" si="267"/>
        <v>7.8217394710411111E-5</v>
      </c>
      <c r="BG203" s="44">
        <f t="shared" si="268"/>
        <v>1.923586450760035E-4</v>
      </c>
      <c r="BH203" s="44">
        <f t="shared" si="269"/>
        <v>1.9714737705508754E-4</v>
      </c>
      <c r="BI203" s="44">
        <f t="shared" si="270"/>
        <v>1.8210944074022818E-4</v>
      </c>
      <c r="BJ203" s="44">
        <f t="shared" si="271"/>
        <v>1.8822739573957049E-4</v>
      </c>
      <c r="BK203" s="44">
        <f t="shared" si="272"/>
        <v>8.0831861777650786E-5</v>
      </c>
      <c r="BL203" s="44">
        <f t="shared" si="273"/>
        <v>4.3666643411007814E-5</v>
      </c>
      <c r="BM203" s="44">
        <f t="shared" si="274"/>
        <v>1.110828416637582E-4</v>
      </c>
      <c r="BN203" s="44">
        <f t="shared" si="275"/>
        <v>1.1553481261391009E-4</v>
      </c>
      <c r="BO203" s="44">
        <f t="shared" si="276"/>
        <v>5.4143997233831794E-5</v>
      </c>
      <c r="BP203" s="44">
        <f t="shared" si="277"/>
        <v>1.8205798435975764E-4</v>
      </c>
      <c r="BQ203" s="44">
        <f t="shared" si="278"/>
        <v>4.9129913632115868E-5</v>
      </c>
      <c r="BR203" s="44">
        <f t="shared" si="279"/>
        <v>1.4514206337281371E-4</v>
      </c>
      <c r="BS203" s="44">
        <f t="shared" si="280"/>
        <v>7.8277040828662414E-5</v>
      </c>
      <c r="BT203" s="44">
        <f t="shared" si="281"/>
        <v>3.0976624845613539E-4</v>
      </c>
      <c r="BU203" s="44">
        <f t="shared" si="282"/>
        <v>2.9591997950233602E-4</v>
      </c>
      <c r="BV203" s="44">
        <f t="shared" si="283"/>
        <v>2.8419175801635817E-4</v>
      </c>
      <c r="BW203" s="44">
        <f t="shared" si="284"/>
        <v>1.8587704893371256E-4</v>
      </c>
      <c r="BX203" s="44">
        <f t="shared" si="285"/>
        <v>1.3732258836399771E-4</v>
      </c>
      <c r="BY203" s="44">
        <f t="shared" si="286"/>
        <v>1.1790722554985567E-4</v>
      </c>
      <c r="CA203" s="44" t="str">
        <f t="shared" si="287"/>
        <v/>
      </c>
      <c r="CB203" s="44" t="str">
        <f t="shared" si="288"/>
        <v/>
      </c>
      <c r="CC203" s="44" t="str">
        <f t="shared" si="289"/>
        <v/>
      </c>
      <c r="CD203" s="44" t="str">
        <f t="shared" si="290"/>
        <v/>
      </c>
      <c r="CE203" s="44" t="str">
        <f t="shared" si="291"/>
        <v/>
      </c>
      <c r="CF203" s="44" t="str">
        <f t="shared" si="292"/>
        <v/>
      </c>
      <c r="CG203" s="44" t="str">
        <f t="shared" si="293"/>
        <v/>
      </c>
      <c r="CH203" s="44" t="str">
        <f t="shared" si="294"/>
        <v/>
      </c>
      <c r="CI203" s="44" t="str">
        <f t="shared" si="295"/>
        <v/>
      </c>
      <c r="CJ203" s="44" t="str">
        <f t="shared" si="296"/>
        <v/>
      </c>
      <c r="CK203" s="44" t="str">
        <f t="shared" si="297"/>
        <v/>
      </c>
      <c r="CL203" s="44" t="str">
        <f t="shared" si="298"/>
        <v/>
      </c>
      <c r="CM203" s="44" t="str">
        <f t="shared" si="299"/>
        <v/>
      </c>
      <c r="CN203" s="44" t="str">
        <f t="shared" si="300"/>
        <v/>
      </c>
      <c r="CO203" s="44" t="str">
        <f t="shared" si="301"/>
        <v/>
      </c>
      <c r="CP203" s="44" t="str">
        <f t="shared" si="302"/>
        <v/>
      </c>
      <c r="CQ203" s="44" t="str">
        <f t="shared" si="303"/>
        <v/>
      </c>
      <c r="CR203" s="44" t="str">
        <f t="shared" si="304"/>
        <v/>
      </c>
      <c r="CS203" s="44" t="str">
        <f t="shared" si="305"/>
        <v/>
      </c>
      <c r="CT203" s="44" t="str">
        <f t="shared" si="306"/>
        <v/>
      </c>
      <c r="CV203" s="44">
        <f t="shared" si="307"/>
        <v>0</v>
      </c>
    </row>
    <row r="204" spans="1:100" x14ac:dyDescent="0.25">
      <c r="A204" s="41"/>
      <c r="B204" s="42"/>
      <c r="C204" s="43" t="str" cm="1">
        <f t="array" ref="C204">IF(B204="","",INDEX(UWS!$B$10:$B$41,B204))</f>
        <v/>
      </c>
      <c r="D204" s="40" t="str">
        <f t="shared" si="264"/>
        <v/>
      </c>
      <c r="E204" s="69" t="str">
        <f t="shared" si="265"/>
        <v/>
      </c>
      <c r="F204" s="48" cm="1">
        <f t="array" ref="F204">0.1+IFERROR(INDEX($F$5:$F203,SUMPRODUCT(MAX(ROW($C$5:$C203)*($C204=$C$5:$C203))-ROW($A$4)))*0.9^($A204-INDEX($A$5:A203,SUMPRODUCT(MAX(ROW($C$5:$C203)*($C204=$C$5:$C203))-ROW($A$4)))),0)</f>
        <v>13.899999999999967</v>
      </c>
      <c r="G204" s="55" t="e">
        <f>INDEX(UWS!$AB$10:$AB$41,MATCH(C204,UWS!$B$10:$B$41,0))</f>
        <v>#N/A</v>
      </c>
      <c r="H204" s="48" t="e">
        <f>INDEX(UWS!$C$10:$C$41,MATCH(C204,UWS!$B$10:$B$41,0))</f>
        <v>#N/A</v>
      </c>
      <c r="I204" s="27">
        <f t="shared" si="266"/>
        <v>5</v>
      </c>
      <c r="J204" s="27" t="e">
        <f>INDEX(UWS!$E$10:$E$41,MATCH(C204,UWS!$B$10:$B$41,0))</f>
        <v>#N/A</v>
      </c>
      <c r="L204" s="108" t="str" cm="1">
        <f t="array" ref="L204">IF(K204="","",INDEX(UWS!$B$10:$B$41,K204))</f>
        <v/>
      </c>
      <c r="N204" s="108" t="str" cm="1">
        <f t="array" ref="N204">IF(M204="","",INDEX(UWS!$B$10:$B$41,M204))</f>
        <v/>
      </c>
      <c r="P204">
        <f>IFERROR(INDEX(UWS!$G$10:$Z$41,MATCH($C204,UWS!$B$10:$B$41,0),MATCH(P$4,UWS!$G$3:$Z$3,0)),0)</f>
        <v>0</v>
      </c>
      <c r="Q204">
        <f>IFERROR(INDEX(UWS!$G$10:$Z$41,MATCH($C204,UWS!$B$10:$B$41,0),MATCH(Q$4,UWS!$G$3:$Z$3,0)),0)</f>
        <v>0</v>
      </c>
      <c r="R204">
        <f>IFERROR(INDEX(UWS!$G$10:$Z$41,MATCH($C204,UWS!$B$10:$B$41,0),MATCH(R$4,UWS!$G$3:$Z$3,0)),0)</f>
        <v>0</v>
      </c>
      <c r="S204">
        <f>IFERROR(INDEX(UWS!$G$10:$Z$41,MATCH($C204,UWS!$B$10:$B$41,0),MATCH(S$4,UWS!$G$3:$Z$3,0)),0)</f>
        <v>0</v>
      </c>
      <c r="T204">
        <f>IFERROR(INDEX(UWS!$G$10:$Z$41,MATCH($C204,UWS!$B$10:$B$41,0),MATCH(T$4,UWS!$G$3:$Z$3,0)),0)</f>
        <v>0</v>
      </c>
      <c r="U204">
        <f>IFERROR(INDEX(UWS!$G$10:$Z$41,MATCH($C204,UWS!$B$10:$B$41,0),MATCH(U$4,UWS!$G$3:$Z$3,0)),0)</f>
        <v>0</v>
      </c>
      <c r="V204">
        <f>IFERROR(INDEX(UWS!$G$10:$Z$41,MATCH($C204,UWS!$B$10:$B$41,0),MATCH(V$4,UWS!$G$3:$Z$3,0)),0)</f>
        <v>0</v>
      </c>
      <c r="W204">
        <f>IFERROR(INDEX(UWS!$G$10:$Z$41,MATCH($C204,UWS!$B$10:$B$41,0),MATCH(W$4,UWS!$G$3:$Z$3,0)),0)</f>
        <v>0</v>
      </c>
      <c r="X204">
        <f>IFERROR(INDEX(UWS!$G$10:$Z$41,MATCH($C204,UWS!$B$10:$B$41,0),MATCH(X$4,UWS!$G$3:$Z$3,0)),0)</f>
        <v>0</v>
      </c>
      <c r="Y204">
        <f>IFERROR(INDEX(UWS!$G$10:$Z$41,MATCH($C204,UWS!$B$10:$B$41,0),MATCH(Y$4,UWS!$G$3:$Z$3,0)),0)</f>
        <v>0</v>
      </c>
      <c r="Z204">
        <f>IFERROR(INDEX(UWS!$G$10:$Z$41,MATCH($C204,UWS!$B$10:$B$41,0),MATCH(Z$4,UWS!$G$3:$Z$3,0)),0)</f>
        <v>0</v>
      </c>
      <c r="AA204">
        <f>IFERROR(INDEX(UWS!$G$10:$Z$41,MATCH($C204,UWS!$B$10:$B$41,0),MATCH(AA$4,UWS!$G$3:$Z$3,0)),0)</f>
        <v>0</v>
      </c>
      <c r="AB204">
        <f>IFERROR(INDEX(UWS!$G$10:$Z$41,MATCH($C204,UWS!$B$10:$B$41,0),MATCH(AB$4,UWS!$G$3:$Z$3,0)),0)</f>
        <v>0</v>
      </c>
      <c r="AC204">
        <f>IFERROR(INDEX(UWS!$G$10:$Z$41,MATCH($C204,UWS!$B$10:$B$41,0),MATCH(AC$4,UWS!$G$3:$Z$3,0)),0)</f>
        <v>0</v>
      </c>
      <c r="AD204">
        <f>IFERROR(INDEX(UWS!$G$10:$Z$41,MATCH($C204,UWS!$B$10:$B$41,0),MATCH(AD$4,UWS!$G$3:$Z$3,0)),0)</f>
        <v>0</v>
      </c>
      <c r="AE204">
        <f>IFERROR(INDEX(UWS!$G$10:$Z$41,MATCH($C204,UWS!$B$10:$B$41,0),MATCH(AE$4,UWS!$G$3:$Z$3,0)),0)</f>
        <v>0</v>
      </c>
      <c r="AF204">
        <f>IFERROR(INDEX(UWS!$G$10:$Z$41,MATCH($C204,UWS!$B$10:$B$41,0),MATCH(AF$4,UWS!$G$3:$Z$3,0)),0)</f>
        <v>0</v>
      </c>
      <c r="AG204">
        <f>IFERROR(INDEX(UWS!$G$10:$Z$41,MATCH($C204,UWS!$B$10:$B$41,0),MATCH(AG$4,UWS!$G$3:$Z$3,0)),0)</f>
        <v>0</v>
      </c>
      <c r="AH204">
        <f>IFERROR(INDEX(UWS!$G$10:$Z$41,MATCH($C204,UWS!$B$10:$B$41,0),MATCH(AH$4,UWS!$G$3:$Z$3,0)),0)</f>
        <v>0</v>
      </c>
      <c r="AI204">
        <f>IFERROR(INDEX(UWS!$G$10:$Z$41,MATCH($C204,UWS!$B$10:$B$41,0),MATCH(AI$4,UWS!$G$3:$Z$3,0)),0)</f>
        <v>0</v>
      </c>
      <c r="AK204" t="e">
        <f>IF(OR($J204=0,COUNTIFS($A$4:$A203,"&gt;="&amp;$A204-1,$A$4:$A203,"&lt;="&amp;$A204,$B$4:$B203,$B204)&gt;0,MIN(AK$1,IF($A204=$A203,AK203,1))-P204&lt;0),-1,MIN(1,IF($A204=$A203,AK203,1)-P204+$D$3))</f>
        <v>#N/A</v>
      </c>
      <c r="AL204" t="e">
        <f>IF(OR($J204=0,COUNTIFS($A$4:$A203,"&gt;="&amp;$A204-1,$A$4:$A203,"&lt;="&amp;$A204,$B$4:$B203,$B204)&gt;0,MIN(AL$1,IF($A204=$A203,AL203,1))-Q204&lt;0),-1,MIN(1,IF($A204=$A203,AL203,1)-Q204+$D$3))</f>
        <v>#N/A</v>
      </c>
      <c r="AM204" t="e">
        <f>IF(OR($J204=0,COUNTIFS($A$4:$A203,"&gt;="&amp;$A204-1,$A$4:$A203,"&lt;="&amp;$A204,$B$4:$B203,$B204)&gt;0,MIN(AM$1,IF($A204=$A203,AM203,1))-R204&lt;0),-1,MIN(1,IF($A204=$A203,AM203,1)-R204+$D$3))</f>
        <v>#N/A</v>
      </c>
      <c r="AN204" t="e">
        <f>IF(OR($J204=0,COUNTIFS($A$4:$A203,"&gt;="&amp;$A204-1,$A$4:$A203,"&lt;="&amp;$A204,$B$4:$B203,$B204)&gt;0,MIN(AN$1,IF($A204=$A203,AN203,1))-S204&lt;0),-1,MIN(1,IF($A204=$A203,AN203,1)-S204+$D$3))</f>
        <v>#N/A</v>
      </c>
      <c r="AO204" t="e">
        <f>IF(OR($J204=0,COUNTIFS($A$4:$A203,"&gt;="&amp;$A204-1,$A$4:$A203,"&lt;="&amp;$A204,$B$4:$B203,$B204)&gt;0,MIN(AO$1,IF($A204=$A203,AO203,1))-T204&lt;0),-1,MIN(1,IF($A204=$A203,AO203,1)-T204+$D$3))</f>
        <v>#N/A</v>
      </c>
      <c r="AP204" t="e">
        <f>IF(OR($J204=0,COUNTIFS($A$4:$A203,"&gt;="&amp;$A204-1,$A$4:$A203,"&lt;="&amp;$A204,$B$4:$B203,$B204)&gt;0,MIN(AP$1,IF($A204=$A203,AP203,1))-U204&lt;0),-1,MIN(1,IF($A204=$A203,AP203,1)-U204+$D$3))</f>
        <v>#N/A</v>
      </c>
      <c r="AQ204" t="e">
        <f>IF(OR($J204=0,COUNTIFS($A$4:$A203,"&gt;="&amp;$A204-1,$A$4:$A203,"&lt;="&amp;$A204,$B$4:$B203,$B204)&gt;0,MIN(AQ$1,IF($A204=$A203,AQ203,1))-V204&lt;0),-1,MIN(1,IF($A204=$A203,AQ203,1)-V204+$D$3))</f>
        <v>#N/A</v>
      </c>
      <c r="AR204" t="e">
        <f>IF(OR($J204=0,COUNTIFS($A$4:$A203,"&gt;="&amp;$A204-1,$A$4:$A203,"&lt;="&amp;$A204,$B$4:$B203,$B204)&gt;0,MIN(AR$1,IF($A204=$A203,AR203,1))-W204&lt;0),-1,MIN(1,IF($A204=$A203,AR203,1)-W204+$D$3))</f>
        <v>#N/A</v>
      </c>
      <c r="AS204" t="e">
        <f>IF(OR($J204=0,COUNTIFS($A$4:$A203,"&gt;="&amp;$A204-1,$A$4:$A203,"&lt;="&amp;$A204,$B$4:$B203,$B204)&gt;0,MIN(AS$1,IF($A204=$A203,AS203,1))-X204&lt;0),-1,MIN(1,IF($A204=$A203,AS203,1)-X204+$D$3))</f>
        <v>#N/A</v>
      </c>
      <c r="AT204" t="e">
        <f>IF(OR($J204=0,COUNTIFS($A$4:$A203,"&gt;="&amp;$A204-1,$A$4:$A203,"&lt;="&amp;$A204,$B$4:$B203,$B204)&gt;0,MIN(AT$1,IF($A204=$A203,AT203,1))-Y204&lt;0),-1,MIN(1,IF($A204=$A203,AT203,1)-Y204+$D$3))</f>
        <v>#N/A</v>
      </c>
      <c r="AU204" t="e">
        <f>IF(OR($J204=0,COUNTIFS($A$4:$A203,"&gt;="&amp;$A204-1,$A$4:$A203,"&lt;="&amp;$A204,$B$4:$B203,$B204)&gt;0,MIN(AU$1,IF($A204=$A203,AU203,1))-Z204&lt;0),-1,MIN(1,IF($A204=$A203,AU203,1)-Z204+$D$3))</f>
        <v>#N/A</v>
      </c>
      <c r="AV204" t="e">
        <f>IF(OR($J204=0,COUNTIFS($A$4:$A203,"&gt;="&amp;$A204-1,$A$4:$A203,"&lt;="&amp;$A204,$B$4:$B203,$B204)&gt;0,MIN(AV$1,IF($A204=$A203,AV203,1))-AA204&lt;0),-1,MIN(1,IF($A204=$A203,AV203,1)-AA204+$D$3))</f>
        <v>#N/A</v>
      </c>
      <c r="AW204" t="e">
        <f>IF(OR($J204=0,COUNTIFS($A$4:$A203,"&gt;="&amp;$A204-1,$A$4:$A203,"&lt;="&amp;$A204,$B$4:$B203,$B204)&gt;0,MIN(AW$1,IF($A204=$A203,AW203,1))-AB204&lt;0),-1,MIN(1,IF($A204=$A203,AW203,1)-AB204+$D$3))</f>
        <v>#N/A</v>
      </c>
      <c r="AX204" t="e">
        <f>IF(OR($J204=0,COUNTIFS($A$4:$A203,"&gt;="&amp;$A204-1,$A$4:$A203,"&lt;="&amp;$A204,$B$4:$B203,$B204)&gt;0,MIN(AX$1,IF($A204=$A203,AX203,1))-AC204&lt;0),-1,MIN(1,IF($A204=$A203,AX203,1)-AC204+$D$3))</f>
        <v>#N/A</v>
      </c>
      <c r="AY204" t="e">
        <f>IF(OR($J204=0,COUNTIFS($A$4:$A203,"&gt;="&amp;$A204-1,$A$4:$A203,"&lt;="&amp;$A204,$B$4:$B203,$B204)&gt;0,MIN(AY$1,IF($A204=$A203,AY203,1))-AD204&lt;0),-1,MIN(1,IF($A204=$A203,AY203,1)-AD204+$D$3))</f>
        <v>#N/A</v>
      </c>
      <c r="AZ204" t="e">
        <f>IF(OR($J204=0,COUNTIFS($A$4:$A203,"&gt;="&amp;$A204-1,$A$4:$A203,"&lt;="&amp;$A204,$B$4:$B203,$B204)&gt;0,MIN(AZ$1,IF($A204=$A203,AZ203,1))-AE204&lt;0),-1,MIN(1,IF($A204=$A203,AZ203,1)-AE204+$D$3))</f>
        <v>#N/A</v>
      </c>
      <c r="BA204" t="e">
        <f>IF(OR($J204=0,COUNTIFS($A$4:$A203,"&gt;="&amp;$A204-1,$A$4:$A203,"&lt;="&amp;$A204,$B$4:$B203,$B204)&gt;0,MIN(BA$1,IF($A204=$A203,BA203,1))-AF204&lt;0),-1,MIN(1,IF($A204=$A203,BA203,1)-AF204+$D$3))</f>
        <v>#N/A</v>
      </c>
      <c r="BB204" t="e">
        <f>IF(OR($J204=0,COUNTIFS($A$4:$A203,"&gt;="&amp;$A204-1,$A$4:$A203,"&lt;="&amp;$A204,$B$4:$B203,$B204)&gt;0,MIN(BB$1,IF($A204=$A203,BB203,1))-AG204&lt;0),-1,MIN(1,IF($A204=$A203,BB203,1)-AG204+$D$3))</f>
        <v>#N/A</v>
      </c>
      <c r="BC204" t="e">
        <f>IF(OR($J204=0,COUNTIFS($A$4:$A203,"&gt;="&amp;$A204-1,$A$4:$A203,"&lt;="&amp;$A204,$B$4:$B203,$B204)&gt;0,MIN(BC$1,IF($A204=$A203,BC203,1))-AH204&lt;0),-1,MIN(1,IF($A204=$A203,BC203,1)-AH204+$D$3))</f>
        <v>#N/A</v>
      </c>
      <c r="BD204" t="e">
        <f>IF(OR($J204=0,COUNTIFS($A$4:$A203,"&gt;="&amp;$A204-1,$A$4:$A203,"&lt;="&amp;$A204,$B$4:$B203,$B204)&gt;0,MIN(BD$1,IF($A204=$A203,BD203,1))-AI204&lt;0),-1,MIN(1,IF($A204=$A203,BD203,1)-AI204+$D$3))</f>
        <v>#N/A</v>
      </c>
      <c r="BF204" s="44">
        <f t="shared" si="267"/>
        <v>7.4306524974890548E-5</v>
      </c>
      <c r="BG204" s="44">
        <f t="shared" si="268"/>
        <v>1.8274071282220331E-4</v>
      </c>
      <c r="BH204" s="44">
        <f t="shared" si="269"/>
        <v>1.8729000820233316E-4</v>
      </c>
      <c r="BI204" s="44">
        <f t="shared" si="270"/>
        <v>1.7300396870321676E-4</v>
      </c>
      <c r="BJ204" s="44">
        <f t="shared" si="271"/>
        <v>1.7881602595259195E-4</v>
      </c>
      <c r="BK204" s="44">
        <f t="shared" si="272"/>
        <v>7.6790268688768244E-5</v>
      </c>
      <c r="BL204" s="44">
        <f t="shared" si="273"/>
        <v>4.1483311240457421E-5</v>
      </c>
      <c r="BM204" s="44">
        <f t="shared" si="274"/>
        <v>1.0552869958057028E-4</v>
      </c>
      <c r="BN204" s="44">
        <f t="shared" si="275"/>
        <v>1.0975807198321458E-4</v>
      </c>
      <c r="BO204" s="44">
        <f t="shared" si="276"/>
        <v>5.1436797372140199E-5</v>
      </c>
      <c r="BP204" s="44">
        <f t="shared" si="277"/>
        <v>1.7295508514176975E-4</v>
      </c>
      <c r="BQ204" s="44">
        <f t="shared" si="278"/>
        <v>4.6673417950510069E-5</v>
      </c>
      <c r="BR204" s="44">
        <f t="shared" si="279"/>
        <v>1.3788496020417302E-4</v>
      </c>
      <c r="BS204" s="44">
        <f t="shared" si="280"/>
        <v>7.4363188787229291E-5</v>
      </c>
      <c r="BT204" s="44">
        <f t="shared" si="281"/>
        <v>2.9427793603332861E-4</v>
      </c>
      <c r="BU204" s="44">
        <f t="shared" si="282"/>
        <v>2.8112398052721919E-4</v>
      </c>
      <c r="BV204" s="44">
        <f t="shared" si="283"/>
        <v>2.6998217011554024E-4</v>
      </c>
      <c r="BW204" s="44">
        <f t="shared" si="284"/>
        <v>1.7658319648702691E-4</v>
      </c>
      <c r="BX204" s="44">
        <f t="shared" si="285"/>
        <v>1.3045645894579783E-4</v>
      </c>
      <c r="BY204" s="44">
        <f t="shared" si="286"/>
        <v>1.1201186427236289E-4</v>
      </c>
      <c r="CA204" s="44" t="str">
        <f t="shared" si="287"/>
        <v/>
      </c>
      <c r="CB204" s="44" t="str">
        <f t="shared" si="288"/>
        <v/>
      </c>
      <c r="CC204" s="44" t="str">
        <f t="shared" si="289"/>
        <v/>
      </c>
      <c r="CD204" s="44" t="str">
        <f t="shared" si="290"/>
        <v/>
      </c>
      <c r="CE204" s="44" t="str">
        <f t="shared" si="291"/>
        <v/>
      </c>
      <c r="CF204" s="44" t="str">
        <f t="shared" si="292"/>
        <v/>
      </c>
      <c r="CG204" s="44" t="str">
        <f t="shared" si="293"/>
        <v/>
      </c>
      <c r="CH204" s="44" t="str">
        <f t="shared" si="294"/>
        <v/>
      </c>
      <c r="CI204" s="44" t="str">
        <f t="shared" si="295"/>
        <v/>
      </c>
      <c r="CJ204" s="44" t="str">
        <f t="shared" si="296"/>
        <v/>
      </c>
      <c r="CK204" s="44" t="str">
        <f t="shared" si="297"/>
        <v/>
      </c>
      <c r="CL204" s="44" t="str">
        <f t="shared" si="298"/>
        <v/>
      </c>
      <c r="CM204" s="44" t="str">
        <f t="shared" si="299"/>
        <v/>
      </c>
      <c r="CN204" s="44" t="str">
        <f t="shared" si="300"/>
        <v/>
      </c>
      <c r="CO204" s="44" t="str">
        <f t="shared" si="301"/>
        <v/>
      </c>
      <c r="CP204" s="44" t="str">
        <f t="shared" si="302"/>
        <v/>
      </c>
      <c r="CQ204" s="44" t="str">
        <f t="shared" si="303"/>
        <v/>
      </c>
      <c r="CR204" s="44" t="str">
        <f t="shared" si="304"/>
        <v/>
      </c>
      <c r="CS204" s="44" t="str">
        <f t="shared" si="305"/>
        <v/>
      </c>
      <c r="CT204" s="44" t="str">
        <f t="shared" si="306"/>
        <v/>
      </c>
      <c r="CV204" s="44">
        <f t="shared" si="307"/>
        <v>0</v>
      </c>
    </row>
    <row r="205" spans="1:100" x14ac:dyDescent="0.25">
      <c r="A205" s="49"/>
      <c r="B205" s="50"/>
      <c r="C205" s="51" t="str" cm="1">
        <f t="array" ref="C205">IF(B205="","",INDEX(UWS!$B$10:$B$41,B205))</f>
        <v/>
      </c>
      <c r="D205" s="45" t="str">
        <f t="shared" si="264"/>
        <v/>
      </c>
      <c r="E205" s="70" t="str">
        <f t="shared" si="265"/>
        <v/>
      </c>
      <c r="F205" s="52" cm="1">
        <f t="array" ref="F205">0.1+IFERROR(INDEX($F$5:$F204,SUMPRODUCT(MAX(ROW($C$5:$C204)*($C205=$C$5:$C204))-ROW($A$4)))*0.9^($A205-INDEX($A$5:A204,SUMPRODUCT(MAX(ROW($C$5:$C204)*($C205=$C$5:$C204))-ROW($A$4)))),0)</f>
        <v>13.999999999999966</v>
      </c>
      <c r="G205" s="56" t="e">
        <f>INDEX(UWS!$AB$10:$AB$41,MATCH(C205,UWS!$B$10:$B$41,0))</f>
        <v>#N/A</v>
      </c>
      <c r="H205" s="52" t="e">
        <f>INDEX(UWS!$C$10:$C$41,MATCH(C205,UWS!$B$10:$B$41,0))</f>
        <v>#N/A</v>
      </c>
      <c r="I205" s="46">
        <f t="shared" si="266"/>
        <v>5</v>
      </c>
      <c r="J205" s="46" t="e">
        <f>INDEX(UWS!$E$10:$E$41,MATCH(C205,UWS!$B$10:$B$41,0))</f>
        <v>#N/A</v>
      </c>
      <c r="K205" s="46"/>
      <c r="L205" s="109" t="str" cm="1">
        <f t="array" ref="L205">IF(K205="","",INDEX(UWS!$B$10:$B$41,K205))</f>
        <v/>
      </c>
      <c r="M205" s="46"/>
      <c r="N205" s="109" t="str" cm="1">
        <f t="array" ref="N205">IF(M205="","",INDEX(UWS!$B$10:$B$41,M205))</f>
        <v/>
      </c>
      <c r="O205" s="47"/>
      <c r="P205" s="47">
        <f>IFERROR(INDEX(UWS!$G$10:$Z$41,MATCH($C205,UWS!$B$10:$B$41,0),MATCH(P$4,UWS!$G$3:$Z$3,0)),0)</f>
        <v>0</v>
      </c>
      <c r="Q205" s="47">
        <f>IFERROR(INDEX(UWS!$G$10:$Z$41,MATCH($C205,UWS!$B$10:$B$41,0),MATCH(Q$4,UWS!$G$3:$Z$3,0)),0)</f>
        <v>0</v>
      </c>
      <c r="R205" s="47">
        <f>IFERROR(INDEX(UWS!$G$10:$Z$41,MATCH($C205,UWS!$B$10:$B$41,0),MATCH(R$4,UWS!$G$3:$Z$3,0)),0)</f>
        <v>0</v>
      </c>
      <c r="S205" s="47">
        <f>IFERROR(INDEX(UWS!$G$10:$Z$41,MATCH($C205,UWS!$B$10:$B$41,0),MATCH(S$4,UWS!$G$3:$Z$3,0)),0)</f>
        <v>0</v>
      </c>
      <c r="T205" s="47">
        <f>IFERROR(INDEX(UWS!$G$10:$Z$41,MATCH($C205,UWS!$B$10:$B$41,0),MATCH(T$4,UWS!$G$3:$Z$3,0)),0)</f>
        <v>0</v>
      </c>
      <c r="U205" s="47">
        <f>IFERROR(INDEX(UWS!$G$10:$Z$41,MATCH($C205,UWS!$B$10:$B$41,0),MATCH(U$4,UWS!$G$3:$Z$3,0)),0)</f>
        <v>0</v>
      </c>
      <c r="V205" s="47">
        <f>IFERROR(INDEX(UWS!$G$10:$Z$41,MATCH($C205,UWS!$B$10:$B$41,0),MATCH(V$4,UWS!$G$3:$Z$3,0)),0)</f>
        <v>0</v>
      </c>
      <c r="W205" s="47">
        <f>IFERROR(INDEX(UWS!$G$10:$Z$41,MATCH($C205,UWS!$B$10:$B$41,0),MATCH(W$4,UWS!$G$3:$Z$3,0)),0)</f>
        <v>0</v>
      </c>
      <c r="X205" s="47">
        <f>IFERROR(INDEX(UWS!$G$10:$Z$41,MATCH($C205,UWS!$B$10:$B$41,0),MATCH(X$4,UWS!$G$3:$Z$3,0)),0)</f>
        <v>0</v>
      </c>
      <c r="Y205" s="47">
        <f>IFERROR(INDEX(UWS!$G$10:$Z$41,MATCH($C205,UWS!$B$10:$B$41,0),MATCH(Y$4,UWS!$G$3:$Z$3,0)),0)</f>
        <v>0</v>
      </c>
      <c r="Z205" s="47">
        <f>IFERROR(INDEX(UWS!$G$10:$Z$41,MATCH($C205,UWS!$B$10:$B$41,0),MATCH(Z$4,UWS!$G$3:$Z$3,0)),0)</f>
        <v>0</v>
      </c>
      <c r="AA205" s="47">
        <f>IFERROR(INDEX(UWS!$G$10:$Z$41,MATCH($C205,UWS!$B$10:$B$41,0),MATCH(AA$4,UWS!$G$3:$Z$3,0)),0)</f>
        <v>0</v>
      </c>
      <c r="AB205" s="47">
        <f>IFERROR(INDEX(UWS!$G$10:$Z$41,MATCH($C205,UWS!$B$10:$B$41,0),MATCH(AB$4,UWS!$G$3:$Z$3,0)),0)</f>
        <v>0</v>
      </c>
      <c r="AC205" s="47">
        <f>IFERROR(INDEX(UWS!$G$10:$Z$41,MATCH($C205,UWS!$B$10:$B$41,0),MATCH(AC$4,UWS!$G$3:$Z$3,0)),0)</f>
        <v>0</v>
      </c>
      <c r="AD205" s="47">
        <f>IFERROR(INDEX(UWS!$G$10:$Z$41,MATCH($C205,UWS!$B$10:$B$41,0),MATCH(AD$4,UWS!$G$3:$Z$3,0)),0)</f>
        <v>0</v>
      </c>
      <c r="AE205" s="47">
        <f>IFERROR(INDEX(UWS!$G$10:$Z$41,MATCH($C205,UWS!$B$10:$B$41,0),MATCH(AE$4,UWS!$G$3:$Z$3,0)),0)</f>
        <v>0</v>
      </c>
      <c r="AF205" s="47">
        <f>IFERROR(INDEX(UWS!$G$10:$Z$41,MATCH($C205,UWS!$B$10:$B$41,0),MATCH(AF$4,UWS!$G$3:$Z$3,0)),0)</f>
        <v>0</v>
      </c>
      <c r="AG205" s="47">
        <f>IFERROR(INDEX(UWS!$G$10:$Z$41,MATCH($C205,UWS!$B$10:$B$41,0),MATCH(AG$4,UWS!$G$3:$Z$3,0)),0)</f>
        <v>0</v>
      </c>
      <c r="AH205" s="47">
        <f>IFERROR(INDEX(UWS!$G$10:$Z$41,MATCH($C205,UWS!$B$10:$B$41,0),MATCH(AH$4,UWS!$G$3:$Z$3,0)),0)</f>
        <v>0</v>
      </c>
      <c r="AI205" s="47">
        <f>IFERROR(INDEX(UWS!$G$10:$Z$41,MATCH($C205,UWS!$B$10:$B$41,0),MATCH(AI$4,UWS!$G$3:$Z$3,0)),0)</f>
        <v>0</v>
      </c>
      <c r="AJ205" s="47"/>
      <c r="AK205" s="47" t="e">
        <f>IF(OR($J205=0,COUNTIFS($A$4:$A204,"&gt;="&amp;$A205-1,$A$4:$A204,"&lt;="&amp;$A205,$B$4:$B204,$B205)&gt;0,MIN(AK$1,IF($A205=$A204,AK204,1))-P205&lt;0),-1,MIN(1,IF($A205=$A204,AK204,1)-P205+$D$3))</f>
        <v>#N/A</v>
      </c>
      <c r="AL205" s="47" t="e">
        <f>IF(OR($J205=0,COUNTIFS($A$4:$A204,"&gt;="&amp;$A205-1,$A$4:$A204,"&lt;="&amp;$A205,$B$4:$B204,$B205)&gt;0,MIN(AL$1,IF($A205=$A204,AL204,1))-Q205&lt;0),-1,MIN(1,IF($A205=$A204,AL204,1)-Q205+$D$3))</f>
        <v>#N/A</v>
      </c>
      <c r="AM205" s="47" t="e">
        <f>IF(OR($J205=0,COUNTIFS($A$4:$A204,"&gt;="&amp;$A205-1,$A$4:$A204,"&lt;="&amp;$A205,$B$4:$B204,$B205)&gt;0,MIN(AM$1,IF($A205=$A204,AM204,1))-R205&lt;0),-1,MIN(1,IF($A205=$A204,AM204,1)-R205+$D$3))</f>
        <v>#N/A</v>
      </c>
      <c r="AN205" s="47" t="e">
        <f>IF(OR($J205=0,COUNTIFS($A$4:$A204,"&gt;="&amp;$A205-1,$A$4:$A204,"&lt;="&amp;$A205,$B$4:$B204,$B205)&gt;0,MIN(AN$1,IF($A205=$A204,AN204,1))-S205&lt;0),-1,MIN(1,IF($A205=$A204,AN204,1)-S205+$D$3))</f>
        <v>#N/A</v>
      </c>
      <c r="AO205" s="47" t="e">
        <f>IF(OR($J205=0,COUNTIFS($A$4:$A204,"&gt;="&amp;$A205-1,$A$4:$A204,"&lt;="&amp;$A205,$B$4:$B204,$B205)&gt;0,MIN(AO$1,IF($A205=$A204,AO204,1))-T205&lt;0),-1,MIN(1,IF($A205=$A204,AO204,1)-T205+$D$3))</f>
        <v>#N/A</v>
      </c>
      <c r="AP205" s="47" t="e">
        <f>IF(OR($J205=0,COUNTIFS($A$4:$A204,"&gt;="&amp;$A205-1,$A$4:$A204,"&lt;="&amp;$A205,$B$4:$B204,$B205)&gt;0,MIN(AP$1,IF($A205=$A204,AP204,1))-U205&lt;0),-1,MIN(1,IF($A205=$A204,AP204,1)-U205+$D$3))</f>
        <v>#N/A</v>
      </c>
      <c r="AQ205" s="47" t="e">
        <f>IF(OR($J205=0,COUNTIFS($A$4:$A204,"&gt;="&amp;$A205-1,$A$4:$A204,"&lt;="&amp;$A205,$B$4:$B204,$B205)&gt;0,MIN(AQ$1,IF($A205=$A204,AQ204,1))-V205&lt;0),-1,MIN(1,IF($A205=$A204,AQ204,1)-V205+$D$3))</f>
        <v>#N/A</v>
      </c>
      <c r="AR205" s="47" t="e">
        <f>IF(OR($J205=0,COUNTIFS($A$4:$A204,"&gt;="&amp;$A205-1,$A$4:$A204,"&lt;="&amp;$A205,$B$4:$B204,$B205)&gt;0,MIN(AR$1,IF($A205=$A204,AR204,1))-W205&lt;0),-1,MIN(1,IF($A205=$A204,AR204,1)-W205+$D$3))</f>
        <v>#N/A</v>
      </c>
      <c r="AS205" s="47" t="e">
        <f>IF(OR($J205=0,COUNTIFS($A$4:$A204,"&gt;="&amp;$A205-1,$A$4:$A204,"&lt;="&amp;$A205,$B$4:$B204,$B205)&gt;0,MIN(AS$1,IF($A205=$A204,AS204,1))-X205&lt;0),-1,MIN(1,IF($A205=$A204,AS204,1)-X205+$D$3))</f>
        <v>#N/A</v>
      </c>
      <c r="AT205" s="47" t="e">
        <f>IF(OR($J205=0,COUNTIFS($A$4:$A204,"&gt;="&amp;$A205-1,$A$4:$A204,"&lt;="&amp;$A205,$B$4:$B204,$B205)&gt;0,MIN(AT$1,IF($A205=$A204,AT204,1))-Y205&lt;0),-1,MIN(1,IF($A205=$A204,AT204,1)-Y205+$D$3))</f>
        <v>#N/A</v>
      </c>
      <c r="AU205" s="47" t="e">
        <f>IF(OR($J205=0,COUNTIFS($A$4:$A204,"&gt;="&amp;$A205-1,$A$4:$A204,"&lt;="&amp;$A205,$B$4:$B204,$B205)&gt;0,MIN(AU$1,IF($A205=$A204,AU204,1))-Z205&lt;0),-1,MIN(1,IF($A205=$A204,AU204,1)-Z205+$D$3))</f>
        <v>#N/A</v>
      </c>
      <c r="AV205" s="47" t="e">
        <f>IF(OR($J205=0,COUNTIFS($A$4:$A204,"&gt;="&amp;$A205-1,$A$4:$A204,"&lt;="&amp;$A205,$B$4:$B204,$B205)&gt;0,MIN(AV$1,IF($A205=$A204,AV204,1))-AA205&lt;0),-1,MIN(1,IF($A205=$A204,AV204,1)-AA205+$D$3))</f>
        <v>#N/A</v>
      </c>
      <c r="AW205" s="47" t="e">
        <f>IF(OR($J205=0,COUNTIFS($A$4:$A204,"&gt;="&amp;$A205-1,$A$4:$A204,"&lt;="&amp;$A205,$B$4:$B204,$B205)&gt;0,MIN(AW$1,IF($A205=$A204,AW204,1))-AB205&lt;0),-1,MIN(1,IF($A205=$A204,AW204,1)-AB205+$D$3))</f>
        <v>#N/A</v>
      </c>
      <c r="AX205" s="47" t="e">
        <f>IF(OR($J205=0,COUNTIFS($A$4:$A204,"&gt;="&amp;$A205-1,$A$4:$A204,"&lt;="&amp;$A205,$B$4:$B204,$B205)&gt;0,MIN(AX$1,IF($A205=$A204,AX204,1))-AC205&lt;0),-1,MIN(1,IF($A205=$A204,AX204,1)-AC205+$D$3))</f>
        <v>#N/A</v>
      </c>
      <c r="AY205" s="47" t="e">
        <f>IF(OR($J205=0,COUNTIFS($A$4:$A204,"&gt;="&amp;$A205-1,$A$4:$A204,"&lt;="&amp;$A205,$B$4:$B204,$B205)&gt;0,MIN(AY$1,IF($A205=$A204,AY204,1))-AD205&lt;0),-1,MIN(1,IF($A205=$A204,AY204,1)-AD205+$D$3))</f>
        <v>#N/A</v>
      </c>
      <c r="AZ205" s="47" t="e">
        <f>IF(OR($J205=0,COUNTIFS($A$4:$A204,"&gt;="&amp;$A205-1,$A$4:$A204,"&lt;="&amp;$A205,$B$4:$B204,$B205)&gt;0,MIN(AZ$1,IF($A205=$A204,AZ204,1))-AE205&lt;0),-1,MIN(1,IF($A205=$A204,AZ204,1)-AE205+$D$3))</f>
        <v>#N/A</v>
      </c>
      <c r="BA205" s="47" t="e">
        <f>IF(OR($J205=0,COUNTIFS($A$4:$A204,"&gt;="&amp;$A205-1,$A$4:$A204,"&lt;="&amp;$A205,$B$4:$B204,$B205)&gt;0,MIN(BA$1,IF($A205=$A204,BA204,1))-AF205&lt;0),-1,MIN(1,IF($A205=$A204,BA204,1)-AF205+$D$3))</f>
        <v>#N/A</v>
      </c>
      <c r="BB205" s="47" t="e">
        <f>IF(OR($J205=0,COUNTIFS($A$4:$A204,"&gt;="&amp;$A205-1,$A$4:$A204,"&lt;="&amp;$A205,$B$4:$B204,$B205)&gt;0,MIN(BB$1,IF($A205=$A204,BB204,1))-AG205&lt;0),-1,MIN(1,IF($A205=$A204,BB204,1)-AG205+$D$3))</f>
        <v>#N/A</v>
      </c>
      <c r="BC205" s="47" t="e">
        <f>IF(OR($J205=0,COUNTIFS($A$4:$A204,"&gt;="&amp;$A205-1,$A$4:$A204,"&lt;="&amp;$A205,$B$4:$B204,$B205)&gt;0,MIN(BC$1,IF($A205=$A204,BC204,1))-AH205&lt;0),-1,MIN(1,IF($A205=$A204,BC204,1)-AH205+$D$3))</f>
        <v>#N/A</v>
      </c>
      <c r="BD205" s="47" t="e">
        <f>IF(OR($J205=0,COUNTIFS($A$4:$A204,"&gt;="&amp;$A205-1,$A$4:$A204,"&lt;="&amp;$A205,$B$4:$B204,$B205)&gt;0,MIN(BD$1,IF($A205=$A204,BD204,1))-AI205&lt;0),-1,MIN(1,IF($A205=$A204,BD204,1)-AI205+$D$3))</f>
        <v>#N/A</v>
      </c>
      <c r="BE205" s="47"/>
      <c r="BF205" s="53">
        <f t="shared" si="267"/>
        <v>7.0591198726146015E-5</v>
      </c>
      <c r="BG205" s="53">
        <f t="shared" si="268"/>
        <v>1.7360367718109314E-4</v>
      </c>
      <c r="BH205" s="53">
        <f t="shared" si="269"/>
        <v>1.7792550779221648E-4</v>
      </c>
      <c r="BI205" s="53">
        <f t="shared" si="270"/>
        <v>1.6435377026805591E-4</v>
      </c>
      <c r="BJ205" s="53">
        <f t="shared" si="271"/>
        <v>1.6987522465496235E-4</v>
      </c>
      <c r="BK205" s="53">
        <f t="shared" si="272"/>
        <v>7.2950755254329831E-5</v>
      </c>
      <c r="BL205" s="53">
        <f t="shared" si="273"/>
        <v>3.9409145678434547E-5</v>
      </c>
      <c r="BM205" s="53">
        <f t="shared" si="274"/>
        <v>1.0025226460154177E-4</v>
      </c>
      <c r="BN205" s="53">
        <f t="shared" si="275"/>
        <v>1.0427016838405385E-4</v>
      </c>
      <c r="BO205" s="53">
        <f t="shared" si="276"/>
        <v>4.8864957503533185E-5</v>
      </c>
      <c r="BP205" s="53">
        <f t="shared" si="277"/>
        <v>1.6430733088468126E-4</v>
      </c>
      <c r="BQ205" s="53">
        <f t="shared" si="278"/>
        <v>4.4339747052984561E-5</v>
      </c>
      <c r="BR205" s="53">
        <f t="shared" si="279"/>
        <v>1.3099071219396436E-4</v>
      </c>
      <c r="BS205" s="53">
        <f t="shared" si="280"/>
        <v>7.0645029347867817E-5</v>
      </c>
      <c r="BT205" s="53">
        <f t="shared" si="281"/>
        <v>2.7956403923166218E-4</v>
      </c>
      <c r="BU205" s="53">
        <f t="shared" si="282"/>
        <v>2.6706778150085823E-4</v>
      </c>
      <c r="BV205" s="53">
        <f t="shared" si="283"/>
        <v>2.5648306160976319E-4</v>
      </c>
      <c r="BW205" s="53">
        <f t="shared" si="284"/>
        <v>1.6775403666267555E-4</v>
      </c>
      <c r="BX205" s="53">
        <f t="shared" si="285"/>
        <v>1.2393363599850794E-4</v>
      </c>
      <c r="BY205" s="53">
        <f t="shared" si="286"/>
        <v>1.0641127105874474E-4</v>
      </c>
      <c r="BZ205" s="47"/>
      <c r="CA205" s="53" t="str">
        <f t="shared" si="287"/>
        <v/>
      </c>
      <c r="CB205" s="53" t="str">
        <f t="shared" si="288"/>
        <v/>
      </c>
      <c r="CC205" s="53" t="str">
        <f t="shared" si="289"/>
        <v/>
      </c>
      <c r="CD205" s="53" t="str">
        <f t="shared" si="290"/>
        <v/>
      </c>
      <c r="CE205" s="53" t="str">
        <f t="shared" si="291"/>
        <v/>
      </c>
      <c r="CF205" s="53" t="str">
        <f t="shared" si="292"/>
        <v/>
      </c>
      <c r="CG205" s="53" t="str">
        <f t="shared" si="293"/>
        <v/>
      </c>
      <c r="CH205" s="53" t="str">
        <f t="shared" si="294"/>
        <v/>
      </c>
      <c r="CI205" s="53" t="str">
        <f t="shared" si="295"/>
        <v/>
      </c>
      <c r="CJ205" s="53" t="str">
        <f t="shared" si="296"/>
        <v/>
      </c>
      <c r="CK205" s="53" t="str">
        <f t="shared" si="297"/>
        <v/>
      </c>
      <c r="CL205" s="53" t="str">
        <f t="shared" si="298"/>
        <v/>
      </c>
      <c r="CM205" s="53" t="str">
        <f t="shared" si="299"/>
        <v/>
      </c>
      <c r="CN205" s="53" t="str">
        <f t="shared" si="300"/>
        <v/>
      </c>
      <c r="CO205" s="53" t="str">
        <f t="shared" si="301"/>
        <v/>
      </c>
      <c r="CP205" s="53" t="str">
        <f t="shared" si="302"/>
        <v/>
      </c>
      <c r="CQ205" s="53" t="str">
        <f t="shared" si="303"/>
        <v/>
      </c>
      <c r="CR205" s="53" t="str">
        <f t="shared" si="304"/>
        <v/>
      </c>
      <c r="CS205" s="53" t="str">
        <f t="shared" si="305"/>
        <v/>
      </c>
      <c r="CT205" s="53" t="str">
        <f t="shared" si="306"/>
        <v/>
      </c>
      <c r="CU205" s="47"/>
      <c r="CV205" s="53">
        <f t="shared" si="307"/>
        <v>0</v>
      </c>
    </row>
    <row r="206" spans="1:100" x14ac:dyDescent="0.25">
      <c r="A206" s="41"/>
      <c r="B206" s="42"/>
      <c r="C206" s="43" t="str" cm="1">
        <f t="array" ref="C206">IF(B206="","",INDEX(UWS!$B$10:$B$41,B206))</f>
        <v/>
      </c>
      <c r="D206" s="40" t="str">
        <f t="shared" si="264"/>
        <v/>
      </c>
      <c r="E206" s="69" t="str">
        <f t="shared" si="265"/>
        <v/>
      </c>
      <c r="F206" s="48" cm="1">
        <f t="array" ref="F206">0.1+IFERROR(INDEX($F$5:$F205,SUMPRODUCT(MAX(ROW($C$5:$C205)*($C206=$C$5:$C205))-ROW($A$4)))*0.9^($A206-INDEX($A$5:A205,SUMPRODUCT(MAX(ROW($C$5:$C205)*($C206=$C$5:$C205))-ROW($A$4)))),0)</f>
        <v>14.099999999999966</v>
      </c>
      <c r="G206" s="55" t="e">
        <f>INDEX(UWS!$AB$10:$AB$41,MATCH(C206,UWS!$B$10:$B$41,0))</f>
        <v>#N/A</v>
      </c>
      <c r="H206" s="48" t="e">
        <f>INDEX(UWS!$C$10:$C$41,MATCH(C206,UWS!$B$10:$B$41,0))</f>
        <v>#N/A</v>
      </c>
      <c r="I206" s="82">
        <f t="shared" si="266"/>
        <v>5</v>
      </c>
      <c r="J206" s="27" t="e">
        <f>INDEX(UWS!$E$10:$E$41,MATCH(C206,UWS!$B$10:$B$41,0))</f>
        <v>#N/A</v>
      </c>
      <c r="L206" s="108" t="str" cm="1">
        <f t="array" ref="L206">IF(K206="","",INDEX(UWS!$B$10:$B$41,K206))</f>
        <v/>
      </c>
      <c r="N206" s="108" t="str" cm="1">
        <f t="array" ref="N206">IF(M206="","",INDEX(UWS!$B$10:$B$41,M206))</f>
        <v/>
      </c>
      <c r="P206">
        <f>IFERROR(INDEX(UWS!$G$10:$Z$41,MATCH($C206,UWS!$B$10:$B$41,0),MATCH(P$4,UWS!$G$3:$Z$3,0)),0)</f>
        <v>0</v>
      </c>
      <c r="Q206">
        <f>IFERROR(INDEX(UWS!$G$10:$Z$41,MATCH($C206,UWS!$B$10:$B$41,0),MATCH(Q$4,UWS!$G$3:$Z$3,0)),0)</f>
        <v>0</v>
      </c>
      <c r="R206">
        <f>IFERROR(INDEX(UWS!$G$10:$Z$41,MATCH($C206,UWS!$B$10:$B$41,0),MATCH(R$4,UWS!$G$3:$Z$3,0)),0)</f>
        <v>0</v>
      </c>
      <c r="S206">
        <f>IFERROR(INDEX(UWS!$G$10:$Z$41,MATCH($C206,UWS!$B$10:$B$41,0),MATCH(S$4,UWS!$G$3:$Z$3,0)),0)</f>
        <v>0</v>
      </c>
      <c r="T206">
        <f>IFERROR(INDEX(UWS!$G$10:$Z$41,MATCH($C206,UWS!$B$10:$B$41,0),MATCH(T$4,UWS!$G$3:$Z$3,0)),0)</f>
        <v>0</v>
      </c>
      <c r="U206">
        <f>IFERROR(INDEX(UWS!$G$10:$Z$41,MATCH($C206,UWS!$B$10:$B$41,0),MATCH(U$4,UWS!$G$3:$Z$3,0)),0)</f>
        <v>0</v>
      </c>
      <c r="V206">
        <f>IFERROR(INDEX(UWS!$G$10:$Z$41,MATCH($C206,UWS!$B$10:$B$41,0),MATCH(V$4,UWS!$G$3:$Z$3,0)),0)</f>
        <v>0</v>
      </c>
      <c r="W206">
        <f>IFERROR(INDEX(UWS!$G$10:$Z$41,MATCH($C206,UWS!$B$10:$B$41,0),MATCH(W$4,UWS!$G$3:$Z$3,0)),0)</f>
        <v>0</v>
      </c>
      <c r="X206">
        <f>IFERROR(INDEX(UWS!$G$10:$Z$41,MATCH($C206,UWS!$B$10:$B$41,0),MATCH(X$4,UWS!$G$3:$Z$3,0)),0)</f>
        <v>0</v>
      </c>
      <c r="Y206">
        <f>IFERROR(INDEX(UWS!$G$10:$Z$41,MATCH($C206,UWS!$B$10:$B$41,0),MATCH(Y$4,UWS!$G$3:$Z$3,0)),0)</f>
        <v>0</v>
      </c>
      <c r="Z206">
        <f>IFERROR(INDEX(UWS!$G$10:$Z$41,MATCH($C206,UWS!$B$10:$B$41,0),MATCH(Z$4,UWS!$G$3:$Z$3,0)),0)</f>
        <v>0</v>
      </c>
      <c r="AA206">
        <f>IFERROR(INDEX(UWS!$G$10:$Z$41,MATCH($C206,UWS!$B$10:$B$41,0),MATCH(AA$4,UWS!$G$3:$Z$3,0)),0)</f>
        <v>0</v>
      </c>
      <c r="AB206">
        <f>IFERROR(INDEX(UWS!$G$10:$Z$41,MATCH($C206,UWS!$B$10:$B$41,0),MATCH(AB$4,UWS!$G$3:$Z$3,0)),0)</f>
        <v>0</v>
      </c>
      <c r="AC206">
        <f>IFERROR(INDEX(UWS!$G$10:$Z$41,MATCH($C206,UWS!$B$10:$B$41,0),MATCH(AC$4,UWS!$G$3:$Z$3,0)),0)</f>
        <v>0</v>
      </c>
      <c r="AD206">
        <f>IFERROR(INDEX(UWS!$G$10:$Z$41,MATCH($C206,UWS!$B$10:$B$41,0),MATCH(AD$4,UWS!$G$3:$Z$3,0)),0)</f>
        <v>0</v>
      </c>
      <c r="AE206">
        <f>IFERROR(INDEX(UWS!$G$10:$Z$41,MATCH($C206,UWS!$B$10:$B$41,0),MATCH(AE$4,UWS!$G$3:$Z$3,0)),0)</f>
        <v>0</v>
      </c>
      <c r="AF206">
        <f>IFERROR(INDEX(UWS!$G$10:$Z$41,MATCH($C206,UWS!$B$10:$B$41,0),MATCH(AF$4,UWS!$G$3:$Z$3,0)),0)</f>
        <v>0</v>
      </c>
      <c r="AG206">
        <f>IFERROR(INDEX(UWS!$G$10:$Z$41,MATCH($C206,UWS!$B$10:$B$41,0),MATCH(AG$4,UWS!$G$3:$Z$3,0)),0)</f>
        <v>0</v>
      </c>
      <c r="AH206">
        <f>IFERROR(INDEX(UWS!$G$10:$Z$41,MATCH($C206,UWS!$B$10:$B$41,0),MATCH(AH$4,UWS!$G$3:$Z$3,0)),0)</f>
        <v>0</v>
      </c>
      <c r="AI206">
        <f>IFERROR(INDEX(UWS!$G$10:$Z$41,MATCH($C206,UWS!$B$10:$B$41,0),MATCH(AI$4,UWS!$G$3:$Z$3,0)),0)</f>
        <v>0</v>
      </c>
      <c r="AK206" t="e">
        <f>IF(OR($J206=0,COUNTIFS($A$4:$A205,"&gt;="&amp;$A206-1,$A$4:$A205,"&lt;="&amp;$A206,$B$4:$B205,$B206)&gt;0,MIN(AK$1,IF($A206=$A205,AK205,1))-P206&lt;0),-1,MIN(1,IF($A206=$A205,AK205,1)-P206+$D$3))</f>
        <v>#N/A</v>
      </c>
      <c r="AL206" t="e">
        <f>IF(OR($J206=0,COUNTIFS($A$4:$A205,"&gt;="&amp;$A206-1,$A$4:$A205,"&lt;="&amp;$A206,$B$4:$B205,$B206)&gt;0,MIN(AL$1,IF($A206=$A205,AL205,1))-Q206&lt;0),-1,MIN(1,IF($A206=$A205,AL205,1)-Q206+$D$3))</f>
        <v>#N/A</v>
      </c>
      <c r="AM206" t="e">
        <f>IF(OR($J206=0,COUNTIFS($A$4:$A205,"&gt;="&amp;$A206-1,$A$4:$A205,"&lt;="&amp;$A206,$B$4:$B205,$B206)&gt;0,MIN(AM$1,IF($A206=$A205,AM205,1))-R206&lt;0),-1,MIN(1,IF($A206=$A205,AM205,1)-R206+$D$3))</f>
        <v>#N/A</v>
      </c>
      <c r="AN206" t="e">
        <f>IF(OR($J206=0,COUNTIFS($A$4:$A205,"&gt;="&amp;$A206-1,$A$4:$A205,"&lt;="&amp;$A206,$B$4:$B205,$B206)&gt;0,MIN(AN$1,IF($A206=$A205,AN205,1))-S206&lt;0),-1,MIN(1,IF($A206=$A205,AN205,1)-S206+$D$3))</f>
        <v>#N/A</v>
      </c>
      <c r="AO206" t="e">
        <f>IF(OR($J206=0,COUNTIFS($A$4:$A205,"&gt;="&amp;$A206-1,$A$4:$A205,"&lt;="&amp;$A206,$B$4:$B205,$B206)&gt;0,MIN(AO$1,IF($A206=$A205,AO205,1))-T206&lt;0),-1,MIN(1,IF($A206=$A205,AO205,1)-T206+$D$3))</f>
        <v>#N/A</v>
      </c>
      <c r="AP206" t="e">
        <f>IF(OR($J206=0,COUNTIFS($A$4:$A205,"&gt;="&amp;$A206-1,$A$4:$A205,"&lt;="&amp;$A206,$B$4:$B205,$B206)&gt;0,MIN(AP$1,IF($A206=$A205,AP205,1))-U206&lt;0),-1,MIN(1,IF($A206=$A205,AP205,1)-U206+$D$3))</f>
        <v>#N/A</v>
      </c>
      <c r="AQ206" t="e">
        <f>IF(OR($J206=0,COUNTIFS($A$4:$A205,"&gt;="&amp;$A206-1,$A$4:$A205,"&lt;="&amp;$A206,$B$4:$B205,$B206)&gt;0,MIN(AQ$1,IF($A206=$A205,AQ205,1))-V206&lt;0),-1,MIN(1,IF($A206=$A205,AQ205,1)-V206+$D$3))</f>
        <v>#N/A</v>
      </c>
      <c r="AR206" t="e">
        <f>IF(OR($J206=0,COUNTIFS($A$4:$A205,"&gt;="&amp;$A206-1,$A$4:$A205,"&lt;="&amp;$A206,$B$4:$B205,$B206)&gt;0,MIN(AR$1,IF($A206=$A205,AR205,1))-W206&lt;0),-1,MIN(1,IF($A206=$A205,AR205,1)-W206+$D$3))</f>
        <v>#N/A</v>
      </c>
      <c r="AS206" t="e">
        <f>IF(OR($J206=0,COUNTIFS($A$4:$A205,"&gt;="&amp;$A206-1,$A$4:$A205,"&lt;="&amp;$A206,$B$4:$B205,$B206)&gt;0,MIN(AS$1,IF($A206=$A205,AS205,1))-X206&lt;0),-1,MIN(1,IF($A206=$A205,AS205,1)-X206+$D$3))</f>
        <v>#N/A</v>
      </c>
      <c r="AT206" t="e">
        <f>IF(OR($J206=0,COUNTIFS($A$4:$A205,"&gt;="&amp;$A206-1,$A$4:$A205,"&lt;="&amp;$A206,$B$4:$B205,$B206)&gt;0,MIN(AT$1,IF($A206=$A205,AT205,1))-Y206&lt;0),-1,MIN(1,IF($A206=$A205,AT205,1)-Y206+$D$3))</f>
        <v>#N/A</v>
      </c>
      <c r="AU206" t="e">
        <f>IF(OR($J206=0,COUNTIFS($A$4:$A205,"&gt;="&amp;$A206-1,$A$4:$A205,"&lt;="&amp;$A206,$B$4:$B205,$B206)&gt;0,MIN(AU$1,IF($A206=$A205,AU205,1))-Z206&lt;0),-1,MIN(1,IF($A206=$A205,AU205,1)-Z206+$D$3))</f>
        <v>#N/A</v>
      </c>
      <c r="AV206" t="e">
        <f>IF(OR($J206=0,COUNTIFS($A$4:$A205,"&gt;="&amp;$A206-1,$A$4:$A205,"&lt;="&amp;$A206,$B$4:$B205,$B206)&gt;0,MIN(AV$1,IF($A206=$A205,AV205,1))-AA206&lt;0),-1,MIN(1,IF($A206=$A205,AV205,1)-AA206+$D$3))</f>
        <v>#N/A</v>
      </c>
      <c r="AW206" t="e">
        <f>IF(OR($J206=0,COUNTIFS($A$4:$A205,"&gt;="&amp;$A206-1,$A$4:$A205,"&lt;="&amp;$A206,$B$4:$B205,$B206)&gt;0,MIN(AW$1,IF($A206=$A205,AW205,1))-AB206&lt;0),-1,MIN(1,IF($A206=$A205,AW205,1)-AB206+$D$3))</f>
        <v>#N/A</v>
      </c>
      <c r="AX206" t="e">
        <f>IF(OR($J206=0,COUNTIFS($A$4:$A205,"&gt;="&amp;$A206-1,$A$4:$A205,"&lt;="&amp;$A206,$B$4:$B205,$B206)&gt;0,MIN(AX$1,IF($A206=$A205,AX205,1))-AC206&lt;0),-1,MIN(1,IF($A206=$A205,AX205,1)-AC206+$D$3))</f>
        <v>#N/A</v>
      </c>
      <c r="AY206" t="e">
        <f>IF(OR($J206=0,COUNTIFS($A$4:$A205,"&gt;="&amp;$A206-1,$A$4:$A205,"&lt;="&amp;$A206,$B$4:$B205,$B206)&gt;0,MIN(AY$1,IF($A206=$A205,AY205,1))-AD206&lt;0),-1,MIN(1,IF($A206=$A205,AY205,1)-AD206+$D$3))</f>
        <v>#N/A</v>
      </c>
      <c r="AZ206" t="e">
        <f>IF(OR($J206=0,COUNTIFS($A$4:$A205,"&gt;="&amp;$A206-1,$A$4:$A205,"&lt;="&amp;$A206,$B$4:$B205,$B206)&gt;0,MIN(AZ$1,IF($A206=$A205,AZ205,1))-AE206&lt;0),-1,MIN(1,IF($A206=$A205,AZ205,1)-AE206+$D$3))</f>
        <v>#N/A</v>
      </c>
      <c r="BA206" t="e">
        <f>IF(OR($J206=0,COUNTIFS($A$4:$A205,"&gt;="&amp;$A206-1,$A$4:$A205,"&lt;="&amp;$A206,$B$4:$B205,$B206)&gt;0,MIN(BA$1,IF($A206=$A205,BA205,1))-AF206&lt;0),-1,MIN(1,IF($A206=$A205,BA205,1)-AF206+$D$3))</f>
        <v>#N/A</v>
      </c>
      <c r="BB206" t="e">
        <f>IF(OR($J206=0,COUNTIFS($A$4:$A205,"&gt;="&amp;$A206-1,$A$4:$A205,"&lt;="&amp;$A206,$B$4:$B205,$B206)&gt;0,MIN(BB$1,IF($A206=$A205,BB205,1))-AG206&lt;0),-1,MIN(1,IF($A206=$A205,BB205,1)-AG206+$D$3))</f>
        <v>#N/A</v>
      </c>
      <c r="BC206" t="e">
        <f>IF(OR($J206=0,COUNTIFS($A$4:$A205,"&gt;="&amp;$A206-1,$A$4:$A205,"&lt;="&amp;$A206,$B$4:$B205,$B206)&gt;0,MIN(BC$1,IF($A206=$A205,BC205,1))-AH206&lt;0),-1,MIN(1,IF($A206=$A205,BC205,1)-AH206+$D$3))</f>
        <v>#N/A</v>
      </c>
      <c r="BD206" t="e">
        <f>IF(OR($J206=0,COUNTIFS($A$4:$A205,"&gt;="&amp;$A206-1,$A$4:$A205,"&lt;="&amp;$A206,$B$4:$B205,$B206)&gt;0,MIN(BD$1,IF($A206=$A205,BD205,1))-AI206&lt;0),-1,MIN(1,IF($A206=$A205,BD205,1)-AI206+$D$3))</f>
        <v>#N/A</v>
      </c>
      <c r="BF206" s="44">
        <f t="shared" si="267"/>
        <v>6.7061638789838707E-5</v>
      </c>
      <c r="BG206" s="44">
        <f t="shared" si="268"/>
        <v>1.6492349332203847E-4</v>
      </c>
      <c r="BH206" s="44">
        <f t="shared" si="269"/>
        <v>1.6902923240260566E-4</v>
      </c>
      <c r="BI206" s="44">
        <f t="shared" si="270"/>
        <v>1.5613608175465312E-4</v>
      </c>
      <c r="BJ206" s="44">
        <f t="shared" si="271"/>
        <v>1.6138146342221422E-4</v>
      </c>
      <c r="BK206" s="44">
        <f t="shared" si="272"/>
        <v>6.9303217491613339E-5</v>
      </c>
      <c r="BL206" s="44">
        <f t="shared" si="273"/>
        <v>3.7438688394512817E-5</v>
      </c>
      <c r="BM206" s="44">
        <f t="shared" si="274"/>
        <v>9.5239651371464674E-5</v>
      </c>
      <c r="BN206" s="44">
        <f t="shared" si="275"/>
        <v>9.9056659964851155E-5</v>
      </c>
      <c r="BO206" s="44">
        <f t="shared" si="276"/>
        <v>4.6421709628356526E-5</v>
      </c>
      <c r="BP206" s="44">
        <f t="shared" si="277"/>
        <v>1.560919643404472E-4</v>
      </c>
      <c r="BQ206" s="44">
        <f t="shared" si="278"/>
        <v>4.2122759700335329E-5</v>
      </c>
      <c r="BR206" s="44">
        <f t="shared" si="279"/>
        <v>1.2444117658426613E-4</v>
      </c>
      <c r="BS206" s="44">
        <f t="shared" si="280"/>
        <v>6.7112777880474421E-5</v>
      </c>
      <c r="BT206" s="44">
        <f t="shared" si="281"/>
        <v>2.6558583727007905E-4</v>
      </c>
      <c r="BU206" s="44">
        <f t="shared" si="282"/>
        <v>2.537143924258153E-4</v>
      </c>
      <c r="BV206" s="44">
        <f t="shared" si="283"/>
        <v>2.4365890852927501E-4</v>
      </c>
      <c r="BW206" s="44">
        <f t="shared" si="284"/>
        <v>1.5936633482954176E-4</v>
      </c>
      <c r="BX206" s="44">
        <f t="shared" si="285"/>
        <v>1.1773695419858253E-4</v>
      </c>
      <c r="BY206" s="44">
        <f t="shared" si="286"/>
        <v>1.010907075058075E-4</v>
      </c>
      <c r="CA206" s="44" t="str">
        <f t="shared" si="287"/>
        <v/>
      </c>
      <c r="CB206" s="44" t="str">
        <f t="shared" si="288"/>
        <v/>
      </c>
      <c r="CC206" s="44" t="str">
        <f t="shared" si="289"/>
        <v/>
      </c>
      <c r="CD206" s="44" t="str">
        <f t="shared" si="290"/>
        <v/>
      </c>
      <c r="CE206" s="44" t="str">
        <f t="shared" si="291"/>
        <v/>
      </c>
      <c r="CF206" s="44" t="str">
        <f t="shared" si="292"/>
        <v/>
      </c>
      <c r="CG206" s="44" t="str">
        <f t="shared" si="293"/>
        <v/>
      </c>
      <c r="CH206" s="44" t="str">
        <f t="shared" si="294"/>
        <v/>
      </c>
      <c r="CI206" s="44" t="str">
        <f t="shared" si="295"/>
        <v/>
      </c>
      <c r="CJ206" s="44" t="str">
        <f t="shared" si="296"/>
        <v/>
      </c>
      <c r="CK206" s="44" t="str">
        <f t="shared" si="297"/>
        <v/>
      </c>
      <c r="CL206" s="44" t="str">
        <f t="shared" si="298"/>
        <v/>
      </c>
      <c r="CM206" s="44" t="str">
        <f t="shared" si="299"/>
        <v/>
      </c>
      <c r="CN206" s="44" t="str">
        <f t="shared" si="300"/>
        <v/>
      </c>
      <c r="CO206" s="44" t="str">
        <f t="shared" si="301"/>
        <v/>
      </c>
      <c r="CP206" s="44" t="str">
        <f t="shared" si="302"/>
        <v/>
      </c>
      <c r="CQ206" s="44" t="str">
        <f t="shared" si="303"/>
        <v/>
      </c>
      <c r="CR206" s="44" t="str">
        <f t="shared" si="304"/>
        <v/>
      </c>
      <c r="CS206" s="44" t="str">
        <f t="shared" si="305"/>
        <v/>
      </c>
      <c r="CT206" s="44" t="str">
        <f t="shared" si="306"/>
        <v/>
      </c>
      <c r="CV206" s="44">
        <f t="shared" si="307"/>
        <v>0</v>
      </c>
    </row>
    <row r="207" spans="1:100" x14ac:dyDescent="0.25">
      <c r="A207" s="41"/>
      <c r="B207" s="42"/>
      <c r="C207" s="43" t="str" cm="1">
        <f t="array" ref="C207">IF(B207="","",INDEX(UWS!$B$10:$B$41,B207))</f>
        <v/>
      </c>
      <c r="D207" s="40" t="str">
        <f t="shared" si="264"/>
        <v/>
      </c>
      <c r="E207" s="69" t="str">
        <f t="shared" si="265"/>
        <v/>
      </c>
      <c r="F207" s="48" cm="1">
        <f t="array" ref="F207">0.1+IFERROR(INDEX($F$5:$F206,SUMPRODUCT(MAX(ROW($C$5:$C206)*($C207=$C$5:$C206))-ROW($A$4)))*0.9^($A207-INDEX($A$5:A206,SUMPRODUCT(MAX(ROW($C$5:$C206)*($C207=$C$5:$C206))-ROW($A$4)))),0)</f>
        <v>14.199999999999966</v>
      </c>
      <c r="G207" s="55" t="e">
        <f>INDEX(UWS!$AB$10:$AB$41,MATCH(C207,UWS!$B$10:$B$41,0))</f>
        <v>#N/A</v>
      </c>
      <c r="H207" s="48" t="e">
        <f>INDEX(UWS!$C$10:$C$41,MATCH(C207,UWS!$B$10:$B$41,0))</f>
        <v>#N/A</v>
      </c>
      <c r="I207" s="27">
        <f t="shared" si="266"/>
        <v>5</v>
      </c>
      <c r="J207" s="27" t="e">
        <f>INDEX(UWS!$E$10:$E$41,MATCH(C207,UWS!$B$10:$B$41,0))</f>
        <v>#N/A</v>
      </c>
      <c r="L207" s="108" t="str" cm="1">
        <f t="array" ref="L207">IF(K207="","",INDEX(UWS!$B$10:$B$41,K207))</f>
        <v/>
      </c>
      <c r="N207" s="108" t="str" cm="1">
        <f t="array" ref="N207">IF(M207="","",INDEX(UWS!$B$10:$B$41,M207))</f>
        <v/>
      </c>
      <c r="P207">
        <f>IFERROR(INDEX(UWS!$G$10:$Z$41,MATCH($C207,UWS!$B$10:$B$41,0),MATCH(P$4,UWS!$G$3:$Z$3,0)),0)</f>
        <v>0</v>
      </c>
      <c r="Q207">
        <f>IFERROR(INDEX(UWS!$G$10:$Z$41,MATCH($C207,UWS!$B$10:$B$41,0),MATCH(Q$4,UWS!$G$3:$Z$3,0)),0)</f>
        <v>0</v>
      </c>
      <c r="R207">
        <f>IFERROR(INDEX(UWS!$G$10:$Z$41,MATCH($C207,UWS!$B$10:$B$41,0),MATCH(R$4,UWS!$G$3:$Z$3,0)),0)</f>
        <v>0</v>
      </c>
      <c r="S207">
        <f>IFERROR(INDEX(UWS!$G$10:$Z$41,MATCH($C207,UWS!$B$10:$B$41,0),MATCH(S$4,UWS!$G$3:$Z$3,0)),0)</f>
        <v>0</v>
      </c>
      <c r="T207">
        <f>IFERROR(INDEX(UWS!$G$10:$Z$41,MATCH($C207,UWS!$B$10:$B$41,0),MATCH(T$4,UWS!$G$3:$Z$3,0)),0)</f>
        <v>0</v>
      </c>
      <c r="U207">
        <f>IFERROR(INDEX(UWS!$G$10:$Z$41,MATCH($C207,UWS!$B$10:$B$41,0),MATCH(U$4,UWS!$G$3:$Z$3,0)),0)</f>
        <v>0</v>
      </c>
      <c r="V207">
        <f>IFERROR(INDEX(UWS!$G$10:$Z$41,MATCH($C207,UWS!$B$10:$B$41,0),MATCH(V$4,UWS!$G$3:$Z$3,0)),0)</f>
        <v>0</v>
      </c>
      <c r="W207">
        <f>IFERROR(INDEX(UWS!$G$10:$Z$41,MATCH($C207,UWS!$B$10:$B$41,0),MATCH(W$4,UWS!$G$3:$Z$3,0)),0)</f>
        <v>0</v>
      </c>
      <c r="X207">
        <f>IFERROR(INDEX(UWS!$G$10:$Z$41,MATCH($C207,UWS!$B$10:$B$41,0),MATCH(X$4,UWS!$G$3:$Z$3,0)),0)</f>
        <v>0</v>
      </c>
      <c r="Y207">
        <f>IFERROR(INDEX(UWS!$G$10:$Z$41,MATCH($C207,UWS!$B$10:$B$41,0),MATCH(Y$4,UWS!$G$3:$Z$3,0)),0)</f>
        <v>0</v>
      </c>
      <c r="Z207">
        <f>IFERROR(INDEX(UWS!$G$10:$Z$41,MATCH($C207,UWS!$B$10:$B$41,0),MATCH(Z$4,UWS!$G$3:$Z$3,0)),0)</f>
        <v>0</v>
      </c>
      <c r="AA207">
        <f>IFERROR(INDEX(UWS!$G$10:$Z$41,MATCH($C207,UWS!$B$10:$B$41,0),MATCH(AA$4,UWS!$G$3:$Z$3,0)),0)</f>
        <v>0</v>
      </c>
      <c r="AB207">
        <f>IFERROR(INDEX(UWS!$G$10:$Z$41,MATCH($C207,UWS!$B$10:$B$41,0),MATCH(AB$4,UWS!$G$3:$Z$3,0)),0)</f>
        <v>0</v>
      </c>
      <c r="AC207">
        <f>IFERROR(INDEX(UWS!$G$10:$Z$41,MATCH($C207,UWS!$B$10:$B$41,0),MATCH(AC$4,UWS!$G$3:$Z$3,0)),0)</f>
        <v>0</v>
      </c>
      <c r="AD207">
        <f>IFERROR(INDEX(UWS!$G$10:$Z$41,MATCH($C207,UWS!$B$10:$B$41,0),MATCH(AD$4,UWS!$G$3:$Z$3,0)),0)</f>
        <v>0</v>
      </c>
      <c r="AE207">
        <f>IFERROR(INDEX(UWS!$G$10:$Z$41,MATCH($C207,UWS!$B$10:$B$41,0),MATCH(AE$4,UWS!$G$3:$Z$3,0)),0)</f>
        <v>0</v>
      </c>
      <c r="AF207">
        <f>IFERROR(INDEX(UWS!$G$10:$Z$41,MATCH($C207,UWS!$B$10:$B$41,0),MATCH(AF$4,UWS!$G$3:$Z$3,0)),0)</f>
        <v>0</v>
      </c>
      <c r="AG207">
        <f>IFERROR(INDEX(UWS!$G$10:$Z$41,MATCH($C207,UWS!$B$10:$B$41,0),MATCH(AG$4,UWS!$G$3:$Z$3,0)),0)</f>
        <v>0</v>
      </c>
      <c r="AH207">
        <f>IFERROR(INDEX(UWS!$G$10:$Z$41,MATCH($C207,UWS!$B$10:$B$41,0),MATCH(AH$4,UWS!$G$3:$Z$3,0)),0)</f>
        <v>0</v>
      </c>
      <c r="AI207">
        <f>IFERROR(INDEX(UWS!$G$10:$Z$41,MATCH($C207,UWS!$B$10:$B$41,0),MATCH(AI$4,UWS!$G$3:$Z$3,0)),0)</f>
        <v>0</v>
      </c>
      <c r="AK207" t="e">
        <f>IF(OR($J207=0,COUNTIFS($A$4:$A206,"&gt;="&amp;$A207-1,$A$4:$A206,"&lt;="&amp;$A207,$B$4:$B206,$B207)&gt;0,MIN(AK$1,IF($A207=$A206,AK206,1))-P207&lt;0),-1,MIN(1,IF($A207=$A206,AK206,1)-P207+$D$3))</f>
        <v>#N/A</v>
      </c>
      <c r="AL207" t="e">
        <f>IF(OR($J207=0,COUNTIFS($A$4:$A206,"&gt;="&amp;$A207-1,$A$4:$A206,"&lt;="&amp;$A207,$B$4:$B206,$B207)&gt;0,MIN(AL$1,IF($A207=$A206,AL206,1))-Q207&lt;0),-1,MIN(1,IF($A207=$A206,AL206,1)-Q207+$D$3))</f>
        <v>#N/A</v>
      </c>
      <c r="AM207" t="e">
        <f>IF(OR($J207=0,COUNTIFS($A$4:$A206,"&gt;="&amp;$A207-1,$A$4:$A206,"&lt;="&amp;$A207,$B$4:$B206,$B207)&gt;0,MIN(AM$1,IF($A207=$A206,AM206,1))-R207&lt;0),-1,MIN(1,IF($A207=$A206,AM206,1)-R207+$D$3))</f>
        <v>#N/A</v>
      </c>
      <c r="AN207" t="e">
        <f>IF(OR($J207=0,COUNTIFS($A$4:$A206,"&gt;="&amp;$A207-1,$A$4:$A206,"&lt;="&amp;$A207,$B$4:$B206,$B207)&gt;0,MIN(AN$1,IF($A207=$A206,AN206,1))-S207&lt;0),-1,MIN(1,IF($A207=$A206,AN206,1)-S207+$D$3))</f>
        <v>#N/A</v>
      </c>
      <c r="AO207" t="e">
        <f>IF(OR($J207=0,COUNTIFS($A$4:$A206,"&gt;="&amp;$A207-1,$A$4:$A206,"&lt;="&amp;$A207,$B$4:$B206,$B207)&gt;0,MIN(AO$1,IF($A207=$A206,AO206,1))-T207&lt;0),-1,MIN(1,IF($A207=$A206,AO206,1)-T207+$D$3))</f>
        <v>#N/A</v>
      </c>
      <c r="AP207" t="e">
        <f>IF(OR($J207=0,COUNTIFS($A$4:$A206,"&gt;="&amp;$A207-1,$A$4:$A206,"&lt;="&amp;$A207,$B$4:$B206,$B207)&gt;0,MIN(AP$1,IF($A207=$A206,AP206,1))-U207&lt;0),-1,MIN(1,IF($A207=$A206,AP206,1)-U207+$D$3))</f>
        <v>#N/A</v>
      </c>
      <c r="AQ207" t="e">
        <f>IF(OR($J207=0,COUNTIFS($A$4:$A206,"&gt;="&amp;$A207-1,$A$4:$A206,"&lt;="&amp;$A207,$B$4:$B206,$B207)&gt;0,MIN(AQ$1,IF($A207=$A206,AQ206,1))-V207&lt;0),-1,MIN(1,IF($A207=$A206,AQ206,1)-V207+$D$3))</f>
        <v>#N/A</v>
      </c>
      <c r="AR207" t="e">
        <f>IF(OR($J207=0,COUNTIFS($A$4:$A206,"&gt;="&amp;$A207-1,$A$4:$A206,"&lt;="&amp;$A207,$B$4:$B206,$B207)&gt;0,MIN(AR$1,IF($A207=$A206,AR206,1))-W207&lt;0),-1,MIN(1,IF($A207=$A206,AR206,1)-W207+$D$3))</f>
        <v>#N/A</v>
      </c>
      <c r="AS207" t="e">
        <f>IF(OR($J207=0,COUNTIFS($A$4:$A206,"&gt;="&amp;$A207-1,$A$4:$A206,"&lt;="&amp;$A207,$B$4:$B206,$B207)&gt;0,MIN(AS$1,IF($A207=$A206,AS206,1))-X207&lt;0),-1,MIN(1,IF($A207=$A206,AS206,1)-X207+$D$3))</f>
        <v>#N/A</v>
      </c>
      <c r="AT207" t="e">
        <f>IF(OR($J207=0,COUNTIFS($A$4:$A206,"&gt;="&amp;$A207-1,$A$4:$A206,"&lt;="&amp;$A207,$B$4:$B206,$B207)&gt;0,MIN(AT$1,IF($A207=$A206,AT206,1))-Y207&lt;0),-1,MIN(1,IF($A207=$A206,AT206,1)-Y207+$D$3))</f>
        <v>#N/A</v>
      </c>
      <c r="AU207" t="e">
        <f>IF(OR($J207=0,COUNTIFS($A$4:$A206,"&gt;="&amp;$A207-1,$A$4:$A206,"&lt;="&amp;$A207,$B$4:$B206,$B207)&gt;0,MIN(AU$1,IF($A207=$A206,AU206,1))-Z207&lt;0),-1,MIN(1,IF($A207=$A206,AU206,1)-Z207+$D$3))</f>
        <v>#N/A</v>
      </c>
      <c r="AV207" t="e">
        <f>IF(OR($J207=0,COUNTIFS($A$4:$A206,"&gt;="&amp;$A207-1,$A$4:$A206,"&lt;="&amp;$A207,$B$4:$B206,$B207)&gt;0,MIN(AV$1,IF($A207=$A206,AV206,1))-AA207&lt;0),-1,MIN(1,IF($A207=$A206,AV206,1)-AA207+$D$3))</f>
        <v>#N/A</v>
      </c>
      <c r="AW207" t="e">
        <f>IF(OR($J207=0,COUNTIFS($A$4:$A206,"&gt;="&amp;$A207-1,$A$4:$A206,"&lt;="&amp;$A207,$B$4:$B206,$B207)&gt;0,MIN(AW$1,IF($A207=$A206,AW206,1))-AB207&lt;0),-1,MIN(1,IF($A207=$A206,AW206,1)-AB207+$D$3))</f>
        <v>#N/A</v>
      </c>
      <c r="AX207" t="e">
        <f>IF(OR($J207=0,COUNTIFS($A$4:$A206,"&gt;="&amp;$A207-1,$A$4:$A206,"&lt;="&amp;$A207,$B$4:$B206,$B207)&gt;0,MIN(AX$1,IF($A207=$A206,AX206,1))-AC207&lt;0),-1,MIN(1,IF($A207=$A206,AX206,1)-AC207+$D$3))</f>
        <v>#N/A</v>
      </c>
      <c r="AY207" t="e">
        <f>IF(OR($J207=0,COUNTIFS($A$4:$A206,"&gt;="&amp;$A207-1,$A$4:$A206,"&lt;="&amp;$A207,$B$4:$B206,$B207)&gt;0,MIN(AY$1,IF($A207=$A206,AY206,1))-AD207&lt;0),-1,MIN(1,IF($A207=$A206,AY206,1)-AD207+$D$3))</f>
        <v>#N/A</v>
      </c>
      <c r="AZ207" t="e">
        <f>IF(OR($J207=0,COUNTIFS($A$4:$A206,"&gt;="&amp;$A207-1,$A$4:$A206,"&lt;="&amp;$A207,$B$4:$B206,$B207)&gt;0,MIN(AZ$1,IF($A207=$A206,AZ206,1))-AE207&lt;0),-1,MIN(1,IF($A207=$A206,AZ206,1)-AE207+$D$3))</f>
        <v>#N/A</v>
      </c>
      <c r="BA207" t="e">
        <f>IF(OR($J207=0,COUNTIFS($A$4:$A206,"&gt;="&amp;$A207-1,$A$4:$A206,"&lt;="&amp;$A207,$B$4:$B206,$B207)&gt;0,MIN(BA$1,IF($A207=$A206,BA206,1))-AF207&lt;0),-1,MIN(1,IF($A207=$A206,BA206,1)-AF207+$D$3))</f>
        <v>#N/A</v>
      </c>
      <c r="BB207" t="e">
        <f>IF(OR($J207=0,COUNTIFS($A$4:$A206,"&gt;="&amp;$A207-1,$A$4:$A206,"&lt;="&amp;$A207,$B$4:$B206,$B207)&gt;0,MIN(BB$1,IF($A207=$A206,BB206,1))-AG207&lt;0),-1,MIN(1,IF($A207=$A206,BB206,1)-AG207+$D$3))</f>
        <v>#N/A</v>
      </c>
      <c r="BC207" t="e">
        <f>IF(OR($J207=0,COUNTIFS($A$4:$A206,"&gt;="&amp;$A207-1,$A$4:$A206,"&lt;="&amp;$A207,$B$4:$B206,$B207)&gt;0,MIN(BC$1,IF($A207=$A206,BC206,1))-AH207&lt;0),-1,MIN(1,IF($A207=$A206,BC206,1)-AH207+$D$3))</f>
        <v>#N/A</v>
      </c>
      <c r="BD207" t="e">
        <f>IF(OR($J207=0,COUNTIFS($A$4:$A206,"&gt;="&amp;$A207-1,$A$4:$A206,"&lt;="&amp;$A207,$B$4:$B206,$B207)&gt;0,MIN(BD$1,IF($A207=$A206,BD206,1))-AI207&lt;0),-1,MIN(1,IF($A207=$A206,BD206,1)-AI207+$D$3))</f>
        <v>#N/A</v>
      </c>
      <c r="BF207" s="44">
        <f t="shared" si="267"/>
        <v>6.3708556850346765E-5</v>
      </c>
      <c r="BG207" s="44">
        <f t="shared" si="268"/>
        <v>1.5667731865593655E-4</v>
      </c>
      <c r="BH207" s="44">
        <f t="shared" si="269"/>
        <v>1.6057777078247538E-4</v>
      </c>
      <c r="BI207" s="44">
        <f t="shared" si="270"/>
        <v>1.4832927766692046E-4</v>
      </c>
      <c r="BJ207" s="44">
        <f t="shared" si="271"/>
        <v>1.533123902511035E-4</v>
      </c>
      <c r="BK207" s="44">
        <f t="shared" si="272"/>
        <v>6.5838056617032665E-5</v>
      </c>
      <c r="BL207" s="44">
        <f t="shared" si="273"/>
        <v>3.5566753974787177E-5</v>
      </c>
      <c r="BM207" s="44">
        <f t="shared" si="274"/>
        <v>9.047766880289144E-5</v>
      </c>
      <c r="BN207" s="44">
        <f t="shared" si="275"/>
        <v>9.4103826966608598E-5</v>
      </c>
      <c r="BO207" s="44">
        <f t="shared" si="276"/>
        <v>4.4100624146938697E-5</v>
      </c>
      <c r="BP207" s="44">
        <f t="shared" si="277"/>
        <v>1.4828736612342483E-4</v>
      </c>
      <c r="BQ207" s="44">
        <f t="shared" si="278"/>
        <v>4.0016621715318561E-5</v>
      </c>
      <c r="BR207" s="44">
        <f t="shared" si="279"/>
        <v>1.1821911775505282E-4</v>
      </c>
      <c r="BS207" s="44">
        <f t="shared" si="280"/>
        <v>6.3757138986450691E-5</v>
      </c>
      <c r="BT207" s="44">
        <f t="shared" si="281"/>
        <v>2.5230654540657509E-4</v>
      </c>
      <c r="BU207" s="44">
        <f t="shared" si="282"/>
        <v>2.4102867280452453E-4</v>
      </c>
      <c r="BV207" s="44">
        <f t="shared" si="283"/>
        <v>2.3147596310281124E-4</v>
      </c>
      <c r="BW207" s="44">
        <f t="shared" si="284"/>
        <v>1.5139801808806467E-4</v>
      </c>
      <c r="BX207" s="44">
        <f t="shared" si="285"/>
        <v>1.1185010648865341E-4</v>
      </c>
      <c r="BY207" s="44">
        <f t="shared" si="286"/>
        <v>9.6036172130517129E-5</v>
      </c>
      <c r="CA207" s="44" t="str">
        <f t="shared" si="287"/>
        <v/>
      </c>
      <c r="CB207" s="44" t="str">
        <f t="shared" si="288"/>
        <v/>
      </c>
      <c r="CC207" s="44" t="str">
        <f t="shared" si="289"/>
        <v/>
      </c>
      <c r="CD207" s="44" t="str">
        <f t="shared" si="290"/>
        <v/>
      </c>
      <c r="CE207" s="44" t="str">
        <f t="shared" si="291"/>
        <v/>
      </c>
      <c r="CF207" s="44" t="str">
        <f t="shared" si="292"/>
        <v/>
      </c>
      <c r="CG207" s="44" t="str">
        <f t="shared" si="293"/>
        <v/>
      </c>
      <c r="CH207" s="44" t="str">
        <f t="shared" si="294"/>
        <v/>
      </c>
      <c r="CI207" s="44" t="str">
        <f t="shared" si="295"/>
        <v/>
      </c>
      <c r="CJ207" s="44" t="str">
        <f t="shared" si="296"/>
        <v/>
      </c>
      <c r="CK207" s="44" t="str">
        <f t="shared" si="297"/>
        <v/>
      </c>
      <c r="CL207" s="44" t="str">
        <f t="shared" si="298"/>
        <v/>
      </c>
      <c r="CM207" s="44" t="str">
        <f t="shared" si="299"/>
        <v/>
      </c>
      <c r="CN207" s="44" t="str">
        <f t="shared" si="300"/>
        <v/>
      </c>
      <c r="CO207" s="44" t="str">
        <f t="shared" si="301"/>
        <v/>
      </c>
      <c r="CP207" s="44" t="str">
        <f t="shared" si="302"/>
        <v/>
      </c>
      <c r="CQ207" s="44" t="str">
        <f t="shared" si="303"/>
        <v/>
      </c>
      <c r="CR207" s="44" t="str">
        <f t="shared" si="304"/>
        <v/>
      </c>
      <c r="CS207" s="44" t="str">
        <f t="shared" si="305"/>
        <v/>
      </c>
      <c r="CT207" s="44" t="str">
        <f t="shared" si="306"/>
        <v/>
      </c>
      <c r="CV207" s="44">
        <f t="shared" si="307"/>
        <v>0</v>
      </c>
    </row>
    <row r="208" spans="1:100" x14ac:dyDescent="0.25">
      <c r="A208" s="41"/>
      <c r="B208" s="42"/>
      <c r="C208" s="43" t="str" cm="1">
        <f t="array" ref="C208">IF(B208="","",INDEX(UWS!$B$10:$B$41,B208))</f>
        <v/>
      </c>
      <c r="D208" s="40" t="str">
        <f t="shared" si="264"/>
        <v/>
      </c>
      <c r="E208" s="69" t="str">
        <f t="shared" si="265"/>
        <v/>
      </c>
      <c r="F208" s="48" cm="1">
        <f t="array" ref="F208">0.1+IFERROR(INDEX($F$5:$F207,SUMPRODUCT(MAX(ROW($C$5:$C207)*($C208=$C$5:$C207))-ROW($A$4)))*0.9^($A208-INDEX($A$5:A207,SUMPRODUCT(MAX(ROW($C$5:$C207)*($C208=$C$5:$C207))-ROW($A$4)))),0)</f>
        <v>14.299999999999965</v>
      </c>
      <c r="G208" s="55" t="e">
        <f>INDEX(UWS!$AB$10:$AB$41,MATCH(C208,UWS!$B$10:$B$41,0))</f>
        <v>#N/A</v>
      </c>
      <c r="H208" s="48" t="e">
        <f>INDEX(UWS!$C$10:$C$41,MATCH(C208,UWS!$B$10:$B$41,0))</f>
        <v>#N/A</v>
      </c>
      <c r="I208" s="27">
        <f t="shared" si="266"/>
        <v>5</v>
      </c>
      <c r="J208" s="27" t="e">
        <f>INDEX(UWS!$E$10:$E$41,MATCH(C208,UWS!$B$10:$B$41,0))</f>
        <v>#N/A</v>
      </c>
      <c r="L208" s="108" t="str" cm="1">
        <f t="array" ref="L208">IF(K208="","",INDEX(UWS!$B$10:$B$41,K208))</f>
        <v/>
      </c>
      <c r="N208" s="108" t="str" cm="1">
        <f t="array" ref="N208">IF(M208="","",INDEX(UWS!$B$10:$B$41,M208))</f>
        <v/>
      </c>
      <c r="P208">
        <f>IFERROR(INDEX(UWS!$G$10:$Z$41,MATCH($C208,UWS!$B$10:$B$41,0),MATCH(P$4,UWS!$G$3:$Z$3,0)),0)</f>
        <v>0</v>
      </c>
      <c r="Q208">
        <f>IFERROR(INDEX(UWS!$G$10:$Z$41,MATCH($C208,UWS!$B$10:$B$41,0),MATCH(Q$4,UWS!$G$3:$Z$3,0)),0)</f>
        <v>0</v>
      </c>
      <c r="R208">
        <f>IFERROR(INDEX(UWS!$G$10:$Z$41,MATCH($C208,UWS!$B$10:$B$41,0),MATCH(R$4,UWS!$G$3:$Z$3,0)),0)</f>
        <v>0</v>
      </c>
      <c r="S208">
        <f>IFERROR(INDEX(UWS!$G$10:$Z$41,MATCH($C208,UWS!$B$10:$B$41,0),MATCH(S$4,UWS!$G$3:$Z$3,0)),0)</f>
        <v>0</v>
      </c>
      <c r="T208">
        <f>IFERROR(INDEX(UWS!$G$10:$Z$41,MATCH($C208,UWS!$B$10:$B$41,0),MATCH(T$4,UWS!$G$3:$Z$3,0)),0)</f>
        <v>0</v>
      </c>
      <c r="U208">
        <f>IFERROR(INDEX(UWS!$G$10:$Z$41,MATCH($C208,UWS!$B$10:$B$41,0),MATCH(U$4,UWS!$G$3:$Z$3,0)),0)</f>
        <v>0</v>
      </c>
      <c r="V208">
        <f>IFERROR(INDEX(UWS!$G$10:$Z$41,MATCH($C208,UWS!$B$10:$B$41,0),MATCH(V$4,UWS!$G$3:$Z$3,0)),0)</f>
        <v>0</v>
      </c>
      <c r="W208">
        <f>IFERROR(INDEX(UWS!$G$10:$Z$41,MATCH($C208,UWS!$B$10:$B$41,0),MATCH(W$4,UWS!$G$3:$Z$3,0)),0)</f>
        <v>0</v>
      </c>
      <c r="X208">
        <f>IFERROR(INDEX(UWS!$G$10:$Z$41,MATCH($C208,UWS!$B$10:$B$41,0),MATCH(X$4,UWS!$G$3:$Z$3,0)),0)</f>
        <v>0</v>
      </c>
      <c r="Y208">
        <f>IFERROR(INDEX(UWS!$G$10:$Z$41,MATCH($C208,UWS!$B$10:$B$41,0),MATCH(Y$4,UWS!$G$3:$Z$3,0)),0)</f>
        <v>0</v>
      </c>
      <c r="Z208">
        <f>IFERROR(INDEX(UWS!$G$10:$Z$41,MATCH($C208,UWS!$B$10:$B$41,0),MATCH(Z$4,UWS!$G$3:$Z$3,0)),0)</f>
        <v>0</v>
      </c>
      <c r="AA208">
        <f>IFERROR(INDEX(UWS!$G$10:$Z$41,MATCH($C208,UWS!$B$10:$B$41,0),MATCH(AA$4,UWS!$G$3:$Z$3,0)),0)</f>
        <v>0</v>
      </c>
      <c r="AB208">
        <f>IFERROR(INDEX(UWS!$G$10:$Z$41,MATCH($C208,UWS!$B$10:$B$41,0),MATCH(AB$4,UWS!$G$3:$Z$3,0)),0)</f>
        <v>0</v>
      </c>
      <c r="AC208">
        <f>IFERROR(INDEX(UWS!$G$10:$Z$41,MATCH($C208,UWS!$B$10:$B$41,0),MATCH(AC$4,UWS!$G$3:$Z$3,0)),0)</f>
        <v>0</v>
      </c>
      <c r="AD208">
        <f>IFERROR(INDEX(UWS!$G$10:$Z$41,MATCH($C208,UWS!$B$10:$B$41,0),MATCH(AD$4,UWS!$G$3:$Z$3,0)),0)</f>
        <v>0</v>
      </c>
      <c r="AE208">
        <f>IFERROR(INDEX(UWS!$G$10:$Z$41,MATCH($C208,UWS!$B$10:$B$41,0),MATCH(AE$4,UWS!$G$3:$Z$3,0)),0)</f>
        <v>0</v>
      </c>
      <c r="AF208">
        <f>IFERROR(INDEX(UWS!$G$10:$Z$41,MATCH($C208,UWS!$B$10:$B$41,0),MATCH(AF$4,UWS!$G$3:$Z$3,0)),0)</f>
        <v>0</v>
      </c>
      <c r="AG208">
        <f>IFERROR(INDEX(UWS!$G$10:$Z$41,MATCH($C208,UWS!$B$10:$B$41,0),MATCH(AG$4,UWS!$G$3:$Z$3,0)),0)</f>
        <v>0</v>
      </c>
      <c r="AH208">
        <f>IFERROR(INDEX(UWS!$G$10:$Z$41,MATCH($C208,UWS!$B$10:$B$41,0),MATCH(AH$4,UWS!$G$3:$Z$3,0)),0)</f>
        <v>0</v>
      </c>
      <c r="AI208">
        <f>IFERROR(INDEX(UWS!$G$10:$Z$41,MATCH($C208,UWS!$B$10:$B$41,0),MATCH(AI$4,UWS!$G$3:$Z$3,0)),0)</f>
        <v>0</v>
      </c>
      <c r="AK208" t="e">
        <f>IF(OR($J208=0,COUNTIFS($A$4:$A207,"&gt;="&amp;$A208-1,$A$4:$A207,"&lt;="&amp;$A208,$B$4:$B207,$B208)&gt;0,MIN(AK$1,IF($A208=$A207,AK207,1))-P208&lt;0),-1,MIN(1,IF($A208=$A207,AK207,1)-P208+$D$3))</f>
        <v>#N/A</v>
      </c>
      <c r="AL208" t="e">
        <f>IF(OR($J208=0,COUNTIFS($A$4:$A207,"&gt;="&amp;$A208-1,$A$4:$A207,"&lt;="&amp;$A208,$B$4:$B207,$B208)&gt;0,MIN(AL$1,IF($A208=$A207,AL207,1))-Q208&lt;0),-1,MIN(1,IF($A208=$A207,AL207,1)-Q208+$D$3))</f>
        <v>#N/A</v>
      </c>
      <c r="AM208" t="e">
        <f>IF(OR($J208=0,COUNTIFS($A$4:$A207,"&gt;="&amp;$A208-1,$A$4:$A207,"&lt;="&amp;$A208,$B$4:$B207,$B208)&gt;0,MIN(AM$1,IF($A208=$A207,AM207,1))-R208&lt;0),-1,MIN(1,IF($A208=$A207,AM207,1)-R208+$D$3))</f>
        <v>#N/A</v>
      </c>
      <c r="AN208" t="e">
        <f>IF(OR($J208=0,COUNTIFS($A$4:$A207,"&gt;="&amp;$A208-1,$A$4:$A207,"&lt;="&amp;$A208,$B$4:$B207,$B208)&gt;0,MIN(AN$1,IF($A208=$A207,AN207,1))-S208&lt;0),-1,MIN(1,IF($A208=$A207,AN207,1)-S208+$D$3))</f>
        <v>#N/A</v>
      </c>
      <c r="AO208" t="e">
        <f>IF(OR($J208=0,COUNTIFS($A$4:$A207,"&gt;="&amp;$A208-1,$A$4:$A207,"&lt;="&amp;$A208,$B$4:$B207,$B208)&gt;0,MIN(AO$1,IF($A208=$A207,AO207,1))-T208&lt;0),-1,MIN(1,IF($A208=$A207,AO207,1)-T208+$D$3))</f>
        <v>#N/A</v>
      </c>
      <c r="AP208" t="e">
        <f>IF(OR($J208=0,COUNTIFS($A$4:$A207,"&gt;="&amp;$A208-1,$A$4:$A207,"&lt;="&amp;$A208,$B$4:$B207,$B208)&gt;0,MIN(AP$1,IF($A208=$A207,AP207,1))-U208&lt;0),-1,MIN(1,IF($A208=$A207,AP207,1)-U208+$D$3))</f>
        <v>#N/A</v>
      </c>
      <c r="AQ208" t="e">
        <f>IF(OR($J208=0,COUNTIFS($A$4:$A207,"&gt;="&amp;$A208-1,$A$4:$A207,"&lt;="&amp;$A208,$B$4:$B207,$B208)&gt;0,MIN(AQ$1,IF($A208=$A207,AQ207,1))-V208&lt;0),-1,MIN(1,IF($A208=$A207,AQ207,1)-V208+$D$3))</f>
        <v>#N/A</v>
      </c>
      <c r="AR208" t="e">
        <f>IF(OR($J208=0,COUNTIFS($A$4:$A207,"&gt;="&amp;$A208-1,$A$4:$A207,"&lt;="&amp;$A208,$B$4:$B207,$B208)&gt;0,MIN(AR$1,IF($A208=$A207,AR207,1))-W208&lt;0),-1,MIN(1,IF($A208=$A207,AR207,1)-W208+$D$3))</f>
        <v>#N/A</v>
      </c>
      <c r="AS208" t="e">
        <f>IF(OR($J208=0,COUNTIFS($A$4:$A207,"&gt;="&amp;$A208-1,$A$4:$A207,"&lt;="&amp;$A208,$B$4:$B207,$B208)&gt;0,MIN(AS$1,IF($A208=$A207,AS207,1))-X208&lt;0),-1,MIN(1,IF($A208=$A207,AS207,1)-X208+$D$3))</f>
        <v>#N/A</v>
      </c>
      <c r="AT208" t="e">
        <f>IF(OR($J208=0,COUNTIFS($A$4:$A207,"&gt;="&amp;$A208-1,$A$4:$A207,"&lt;="&amp;$A208,$B$4:$B207,$B208)&gt;0,MIN(AT$1,IF($A208=$A207,AT207,1))-Y208&lt;0),-1,MIN(1,IF($A208=$A207,AT207,1)-Y208+$D$3))</f>
        <v>#N/A</v>
      </c>
      <c r="AU208" t="e">
        <f>IF(OR($J208=0,COUNTIFS($A$4:$A207,"&gt;="&amp;$A208-1,$A$4:$A207,"&lt;="&amp;$A208,$B$4:$B207,$B208)&gt;0,MIN(AU$1,IF($A208=$A207,AU207,1))-Z208&lt;0),-1,MIN(1,IF($A208=$A207,AU207,1)-Z208+$D$3))</f>
        <v>#N/A</v>
      </c>
      <c r="AV208" t="e">
        <f>IF(OR($J208=0,COUNTIFS($A$4:$A207,"&gt;="&amp;$A208-1,$A$4:$A207,"&lt;="&amp;$A208,$B$4:$B207,$B208)&gt;0,MIN(AV$1,IF($A208=$A207,AV207,1))-AA208&lt;0),-1,MIN(1,IF($A208=$A207,AV207,1)-AA208+$D$3))</f>
        <v>#N/A</v>
      </c>
      <c r="AW208" t="e">
        <f>IF(OR($J208=0,COUNTIFS($A$4:$A207,"&gt;="&amp;$A208-1,$A$4:$A207,"&lt;="&amp;$A208,$B$4:$B207,$B208)&gt;0,MIN(AW$1,IF($A208=$A207,AW207,1))-AB208&lt;0),-1,MIN(1,IF($A208=$A207,AW207,1)-AB208+$D$3))</f>
        <v>#N/A</v>
      </c>
      <c r="AX208" t="e">
        <f>IF(OR($J208=0,COUNTIFS($A$4:$A207,"&gt;="&amp;$A208-1,$A$4:$A207,"&lt;="&amp;$A208,$B$4:$B207,$B208)&gt;0,MIN(AX$1,IF($A208=$A207,AX207,1))-AC208&lt;0),-1,MIN(1,IF($A208=$A207,AX207,1)-AC208+$D$3))</f>
        <v>#N/A</v>
      </c>
      <c r="AY208" t="e">
        <f>IF(OR($J208=0,COUNTIFS($A$4:$A207,"&gt;="&amp;$A208-1,$A$4:$A207,"&lt;="&amp;$A208,$B$4:$B207,$B208)&gt;0,MIN(AY$1,IF($A208=$A207,AY207,1))-AD208&lt;0),-1,MIN(1,IF($A208=$A207,AY207,1)-AD208+$D$3))</f>
        <v>#N/A</v>
      </c>
      <c r="AZ208" t="e">
        <f>IF(OR($J208=0,COUNTIFS($A$4:$A207,"&gt;="&amp;$A208-1,$A$4:$A207,"&lt;="&amp;$A208,$B$4:$B207,$B208)&gt;0,MIN(AZ$1,IF($A208=$A207,AZ207,1))-AE208&lt;0),-1,MIN(1,IF($A208=$A207,AZ207,1)-AE208+$D$3))</f>
        <v>#N/A</v>
      </c>
      <c r="BA208" t="e">
        <f>IF(OR($J208=0,COUNTIFS($A$4:$A207,"&gt;="&amp;$A208-1,$A$4:$A207,"&lt;="&amp;$A208,$B$4:$B207,$B208)&gt;0,MIN(BA$1,IF($A208=$A207,BA207,1))-AF208&lt;0),-1,MIN(1,IF($A208=$A207,BA207,1)-AF208+$D$3))</f>
        <v>#N/A</v>
      </c>
      <c r="BB208" t="e">
        <f>IF(OR($J208=0,COUNTIFS($A$4:$A207,"&gt;="&amp;$A208-1,$A$4:$A207,"&lt;="&amp;$A208,$B$4:$B207,$B208)&gt;0,MIN(BB$1,IF($A208=$A207,BB207,1))-AG208&lt;0),-1,MIN(1,IF($A208=$A207,BB207,1)-AG208+$D$3))</f>
        <v>#N/A</v>
      </c>
      <c r="BC208" t="e">
        <f>IF(OR($J208=0,COUNTIFS($A$4:$A207,"&gt;="&amp;$A208-1,$A$4:$A207,"&lt;="&amp;$A208,$B$4:$B207,$B208)&gt;0,MIN(BC$1,IF($A208=$A207,BC207,1))-AH208&lt;0),-1,MIN(1,IF($A208=$A207,BC207,1)-AH208+$D$3))</f>
        <v>#N/A</v>
      </c>
      <c r="BD208" t="e">
        <f>IF(OR($J208=0,COUNTIFS($A$4:$A207,"&gt;="&amp;$A208-1,$A$4:$A207,"&lt;="&amp;$A208,$B$4:$B207,$B208)&gt;0,MIN(BD$1,IF($A208=$A207,BD207,1))-AI208&lt;0),-1,MIN(1,IF($A208=$A207,BD207,1)-AI208+$D$3))</f>
        <v>#N/A</v>
      </c>
      <c r="BF208" s="44">
        <f t="shared" si="267"/>
        <v>6.0523129007829426E-5</v>
      </c>
      <c r="BG208" s="44">
        <f t="shared" si="268"/>
        <v>1.4884345272313972E-4</v>
      </c>
      <c r="BH208" s="44">
        <f t="shared" si="269"/>
        <v>1.5254888224335161E-4</v>
      </c>
      <c r="BI208" s="44">
        <f t="shared" si="270"/>
        <v>1.4091281378357442E-4</v>
      </c>
      <c r="BJ208" s="44">
        <f t="shared" si="271"/>
        <v>1.4564677073854832E-4</v>
      </c>
      <c r="BK208" s="44">
        <f t="shared" si="272"/>
        <v>6.2546153786181035E-5</v>
      </c>
      <c r="BL208" s="44">
        <f t="shared" si="273"/>
        <v>3.3788416276047814E-5</v>
      </c>
      <c r="BM208" s="44">
        <f t="shared" si="274"/>
        <v>8.5953785362746863E-5</v>
      </c>
      <c r="BN208" s="44">
        <f t="shared" si="275"/>
        <v>8.9398635618278158E-5</v>
      </c>
      <c r="BO208" s="44">
        <f t="shared" si="276"/>
        <v>4.1895592939591758E-5</v>
      </c>
      <c r="BP208" s="44">
        <f t="shared" si="277"/>
        <v>1.4087299781725358E-4</v>
      </c>
      <c r="BQ208" s="44">
        <f t="shared" si="278"/>
        <v>3.8015790629552632E-5</v>
      </c>
      <c r="BR208" s="44">
        <f t="shared" si="279"/>
        <v>1.1230816186730017E-4</v>
      </c>
      <c r="BS208" s="44">
        <f t="shared" si="280"/>
        <v>6.0569282037128151E-5</v>
      </c>
      <c r="BT208" s="44">
        <f t="shared" si="281"/>
        <v>2.3969121813624634E-4</v>
      </c>
      <c r="BU208" s="44">
        <f t="shared" si="282"/>
        <v>2.2897723916429828E-4</v>
      </c>
      <c r="BV208" s="44">
        <f t="shared" si="283"/>
        <v>2.1990216494767066E-4</v>
      </c>
      <c r="BW208" s="44">
        <f t="shared" si="284"/>
        <v>1.4382811718366143E-4</v>
      </c>
      <c r="BX208" s="44">
        <f t="shared" si="285"/>
        <v>1.0625760116422074E-4</v>
      </c>
      <c r="BY208" s="44">
        <f t="shared" si="286"/>
        <v>9.1234363523991265E-5</v>
      </c>
      <c r="CA208" s="44" t="str">
        <f t="shared" si="287"/>
        <v/>
      </c>
      <c r="CB208" s="44" t="str">
        <f t="shared" si="288"/>
        <v/>
      </c>
      <c r="CC208" s="44" t="str">
        <f t="shared" si="289"/>
        <v/>
      </c>
      <c r="CD208" s="44" t="str">
        <f t="shared" si="290"/>
        <v/>
      </c>
      <c r="CE208" s="44" t="str">
        <f t="shared" si="291"/>
        <v/>
      </c>
      <c r="CF208" s="44" t="str">
        <f t="shared" si="292"/>
        <v/>
      </c>
      <c r="CG208" s="44" t="str">
        <f t="shared" si="293"/>
        <v/>
      </c>
      <c r="CH208" s="44" t="str">
        <f t="shared" si="294"/>
        <v/>
      </c>
      <c r="CI208" s="44" t="str">
        <f t="shared" si="295"/>
        <v/>
      </c>
      <c r="CJ208" s="44" t="str">
        <f t="shared" si="296"/>
        <v/>
      </c>
      <c r="CK208" s="44" t="str">
        <f t="shared" si="297"/>
        <v/>
      </c>
      <c r="CL208" s="44" t="str">
        <f t="shared" si="298"/>
        <v/>
      </c>
      <c r="CM208" s="44" t="str">
        <f t="shared" si="299"/>
        <v/>
      </c>
      <c r="CN208" s="44" t="str">
        <f t="shared" si="300"/>
        <v/>
      </c>
      <c r="CO208" s="44" t="str">
        <f t="shared" si="301"/>
        <v/>
      </c>
      <c r="CP208" s="44" t="str">
        <f t="shared" si="302"/>
        <v/>
      </c>
      <c r="CQ208" s="44" t="str">
        <f t="shared" si="303"/>
        <v/>
      </c>
      <c r="CR208" s="44" t="str">
        <f t="shared" si="304"/>
        <v/>
      </c>
      <c r="CS208" s="44" t="str">
        <f t="shared" si="305"/>
        <v/>
      </c>
      <c r="CT208" s="44" t="str">
        <f t="shared" si="306"/>
        <v/>
      </c>
      <c r="CV208" s="44">
        <f t="shared" si="307"/>
        <v>0</v>
      </c>
    </row>
    <row r="209" spans="1:100" x14ac:dyDescent="0.25">
      <c r="A209" s="41"/>
      <c r="B209" s="42"/>
      <c r="C209" s="43" t="str" cm="1">
        <f t="array" ref="C209">IF(B209="","",INDEX(UWS!$B$10:$B$41,B209))</f>
        <v/>
      </c>
      <c r="D209" s="40" t="str">
        <f t="shared" si="264"/>
        <v/>
      </c>
      <c r="E209" s="69" t="str">
        <f t="shared" si="265"/>
        <v/>
      </c>
      <c r="F209" s="48" cm="1">
        <f t="array" ref="F209">0.1+IFERROR(INDEX($F$5:$F208,SUMPRODUCT(MAX(ROW($C$5:$C208)*($C209=$C$5:$C208))-ROW($A$4)))*0.9^($A209-INDEX($A$5:A208,SUMPRODUCT(MAX(ROW($C$5:$C208)*($C209=$C$5:$C208))-ROW($A$4)))),0)</f>
        <v>14.399999999999965</v>
      </c>
      <c r="G209" s="55" t="e">
        <f>INDEX(UWS!$AB$10:$AB$41,MATCH(C209,UWS!$B$10:$B$41,0))</f>
        <v>#N/A</v>
      </c>
      <c r="H209" s="48" t="e">
        <f>INDEX(UWS!$C$10:$C$41,MATCH(C209,UWS!$B$10:$B$41,0))</f>
        <v>#N/A</v>
      </c>
      <c r="I209" s="27">
        <f t="shared" si="266"/>
        <v>5</v>
      </c>
      <c r="J209" s="27" t="e">
        <f>INDEX(UWS!$E$10:$E$41,MATCH(C209,UWS!$B$10:$B$41,0))</f>
        <v>#N/A</v>
      </c>
      <c r="L209" s="108" t="str" cm="1">
        <f t="array" ref="L209">IF(K209="","",INDEX(UWS!$B$10:$B$41,K209))</f>
        <v/>
      </c>
      <c r="N209" s="108" t="str" cm="1">
        <f t="array" ref="N209">IF(M209="","",INDEX(UWS!$B$10:$B$41,M209))</f>
        <v/>
      </c>
      <c r="P209">
        <f>IFERROR(INDEX(UWS!$G$10:$Z$41,MATCH($C209,UWS!$B$10:$B$41,0),MATCH(P$4,UWS!$G$3:$Z$3,0)),0)</f>
        <v>0</v>
      </c>
      <c r="Q209">
        <f>IFERROR(INDEX(UWS!$G$10:$Z$41,MATCH($C209,UWS!$B$10:$B$41,0),MATCH(Q$4,UWS!$G$3:$Z$3,0)),0)</f>
        <v>0</v>
      </c>
      <c r="R209">
        <f>IFERROR(INDEX(UWS!$G$10:$Z$41,MATCH($C209,UWS!$B$10:$B$41,0),MATCH(R$4,UWS!$G$3:$Z$3,0)),0)</f>
        <v>0</v>
      </c>
      <c r="S209">
        <f>IFERROR(INDEX(UWS!$G$10:$Z$41,MATCH($C209,UWS!$B$10:$B$41,0),MATCH(S$4,UWS!$G$3:$Z$3,0)),0)</f>
        <v>0</v>
      </c>
      <c r="T209">
        <f>IFERROR(INDEX(UWS!$G$10:$Z$41,MATCH($C209,UWS!$B$10:$B$41,0),MATCH(T$4,UWS!$G$3:$Z$3,0)),0)</f>
        <v>0</v>
      </c>
      <c r="U209">
        <f>IFERROR(INDEX(UWS!$G$10:$Z$41,MATCH($C209,UWS!$B$10:$B$41,0),MATCH(U$4,UWS!$G$3:$Z$3,0)),0)</f>
        <v>0</v>
      </c>
      <c r="V209">
        <f>IFERROR(INDEX(UWS!$G$10:$Z$41,MATCH($C209,UWS!$B$10:$B$41,0),MATCH(V$4,UWS!$G$3:$Z$3,0)),0)</f>
        <v>0</v>
      </c>
      <c r="W209">
        <f>IFERROR(INDEX(UWS!$G$10:$Z$41,MATCH($C209,UWS!$B$10:$B$41,0),MATCH(W$4,UWS!$G$3:$Z$3,0)),0)</f>
        <v>0</v>
      </c>
      <c r="X209">
        <f>IFERROR(INDEX(UWS!$G$10:$Z$41,MATCH($C209,UWS!$B$10:$B$41,0),MATCH(X$4,UWS!$G$3:$Z$3,0)),0)</f>
        <v>0</v>
      </c>
      <c r="Y209">
        <f>IFERROR(INDEX(UWS!$G$10:$Z$41,MATCH($C209,UWS!$B$10:$B$41,0),MATCH(Y$4,UWS!$G$3:$Z$3,0)),0)</f>
        <v>0</v>
      </c>
      <c r="Z209">
        <f>IFERROR(INDEX(UWS!$G$10:$Z$41,MATCH($C209,UWS!$B$10:$B$41,0),MATCH(Z$4,UWS!$G$3:$Z$3,0)),0)</f>
        <v>0</v>
      </c>
      <c r="AA209">
        <f>IFERROR(INDEX(UWS!$G$10:$Z$41,MATCH($C209,UWS!$B$10:$B$41,0),MATCH(AA$4,UWS!$G$3:$Z$3,0)),0)</f>
        <v>0</v>
      </c>
      <c r="AB209">
        <f>IFERROR(INDEX(UWS!$G$10:$Z$41,MATCH($C209,UWS!$B$10:$B$41,0),MATCH(AB$4,UWS!$G$3:$Z$3,0)),0)</f>
        <v>0</v>
      </c>
      <c r="AC209">
        <f>IFERROR(INDEX(UWS!$G$10:$Z$41,MATCH($C209,UWS!$B$10:$B$41,0),MATCH(AC$4,UWS!$G$3:$Z$3,0)),0)</f>
        <v>0</v>
      </c>
      <c r="AD209">
        <f>IFERROR(INDEX(UWS!$G$10:$Z$41,MATCH($C209,UWS!$B$10:$B$41,0),MATCH(AD$4,UWS!$G$3:$Z$3,0)),0)</f>
        <v>0</v>
      </c>
      <c r="AE209">
        <f>IFERROR(INDEX(UWS!$G$10:$Z$41,MATCH($C209,UWS!$B$10:$B$41,0),MATCH(AE$4,UWS!$G$3:$Z$3,0)),0)</f>
        <v>0</v>
      </c>
      <c r="AF209">
        <f>IFERROR(INDEX(UWS!$G$10:$Z$41,MATCH($C209,UWS!$B$10:$B$41,0),MATCH(AF$4,UWS!$G$3:$Z$3,0)),0)</f>
        <v>0</v>
      </c>
      <c r="AG209">
        <f>IFERROR(INDEX(UWS!$G$10:$Z$41,MATCH($C209,UWS!$B$10:$B$41,0),MATCH(AG$4,UWS!$G$3:$Z$3,0)),0)</f>
        <v>0</v>
      </c>
      <c r="AH209">
        <f>IFERROR(INDEX(UWS!$G$10:$Z$41,MATCH($C209,UWS!$B$10:$B$41,0),MATCH(AH$4,UWS!$G$3:$Z$3,0)),0)</f>
        <v>0</v>
      </c>
      <c r="AI209">
        <f>IFERROR(INDEX(UWS!$G$10:$Z$41,MATCH($C209,UWS!$B$10:$B$41,0),MATCH(AI$4,UWS!$G$3:$Z$3,0)),0)</f>
        <v>0</v>
      </c>
      <c r="AK209" t="e">
        <f>IF(OR($J209=0,COUNTIFS($A$4:$A208,"&gt;="&amp;$A209-1,$A$4:$A208,"&lt;="&amp;$A209,$B$4:$B208,$B209)&gt;0,MIN(AK$1,IF($A209=$A208,AK208,1))-P209&lt;0),-1,MIN(1,IF($A209=$A208,AK208,1)-P209+$D$3))</f>
        <v>#N/A</v>
      </c>
      <c r="AL209" t="e">
        <f>IF(OR($J209=0,COUNTIFS($A$4:$A208,"&gt;="&amp;$A209-1,$A$4:$A208,"&lt;="&amp;$A209,$B$4:$B208,$B209)&gt;0,MIN(AL$1,IF($A209=$A208,AL208,1))-Q209&lt;0),-1,MIN(1,IF($A209=$A208,AL208,1)-Q209+$D$3))</f>
        <v>#N/A</v>
      </c>
      <c r="AM209" t="e">
        <f>IF(OR($J209=0,COUNTIFS($A$4:$A208,"&gt;="&amp;$A209-1,$A$4:$A208,"&lt;="&amp;$A209,$B$4:$B208,$B209)&gt;0,MIN(AM$1,IF($A209=$A208,AM208,1))-R209&lt;0),-1,MIN(1,IF($A209=$A208,AM208,1)-R209+$D$3))</f>
        <v>#N/A</v>
      </c>
      <c r="AN209" t="e">
        <f>IF(OR($J209=0,COUNTIFS($A$4:$A208,"&gt;="&amp;$A209-1,$A$4:$A208,"&lt;="&amp;$A209,$B$4:$B208,$B209)&gt;0,MIN(AN$1,IF($A209=$A208,AN208,1))-S209&lt;0),-1,MIN(1,IF($A209=$A208,AN208,1)-S209+$D$3))</f>
        <v>#N/A</v>
      </c>
      <c r="AO209" t="e">
        <f>IF(OR($J209=0,COUNTIFS($A$4:$A208,"&gt;="&amp;$A209-1,$A$4:$A208,"&lt;="&amp;$A209,$B$4:$B208,$B209)&gt;0,MIN(AO$1,IF($A209=$A208,AO208,1))-T209&lt;0),-1,MIN(1,IF($A209=$A208,AO208,1)-T209+$D$3))</f>
        <v>#N/A</v>
      </c>
      <c r="AP209" t="e">
        <f>IF(OR($J209=0,COUNTIFS($A$4:$A208,"&gt;="&amp;$A209-1,$A$4:$A208,"&lt;="&amp;$A209,$B$4:$B208,$B209)&gt;0,MIN(AP$1,IF($A209=$A208,AP208,1))-U209&lt;0),-1,MIN(1,IF($A209=$A208,AP208,1)-U209+$D$3))</f>
        <v>#N/A</v>
      </c>
      <c r="AQ209" t="e">
        <f>IF(OR($J209=0,COUNTIFS($A$4:$A208,"&gt;="&amp;$A209-1,$A$4:$A208,"&lt;="&amp;$A209,$B$4:$B208,$B209)&gt;0,MIN(AQ$1,IF($A209=$A208,AQ208,1))-V209&lt;0),-1,MIN(1,IF($A209=$A208,AQ208,1)-V209+$D$3))</f>
        <v>#N/A</v>
      </c>
      <c r="AR209" t="e">
        <f>IF(OR($J209=0,COUNTIFS($A$4:$A208,"&gt;="&amp;$A209-1,$A$4:$A208,"&lt;="&amp;$A209,$B$4:$B208,$B209)&gt;0,MIN(AR$1,IF($A209=$A208,AR208,1))-W209&lt;0),-1,MIN(1,IF($A209=$A208,AR208,1)-W209+$D$3))</f>
        <v>#N/A</v>
      </c>
      <c r="AS209" t="e">
        <f>IF(OR($J209=0,COUNTIFS($A$4:$A208,"&gt;="&amp;$A209-1,$A$4:$A208,"&lt;="&amp;$A209,$B$4:$B208,$B209)&gt;0,MIN(AS$1,IF($A209=$A208,AS208,1))-X209&lt;0),-1,MIN(1,IF($A209=$A208,AS208,1)-X209+$D$3))</f>
        <v>#N/A</v>
      </c>
      <c r="AT209" t="e">
        <f>IF(OR($J209=0,COUNTIFS($A$4:$A208,"&gt;="&amp;$A209-1,$A$4:$A208,"&lt;="&amp;$A209,$B$4:$B208,$B209)&gt;0,MIN(AT$1,IF($A209=$A208,AT208,1))-Y209&lt;0),-1,MIN(1,IF($A209=$A208,AT208,1)-Y209+$D$3))</f>
        <v>#N/A</v>
      </c>
      <c r="AU209" t="e">
        <f>IF(OR($J209=0,COUNTIFS($A$4:$A208,"&gt;="&amp;$A209-1,$A$4:$A208,"&lt;="&amp;$A209,$B$4:$B208,$B209)&gt;0,MIN(AU$1,IF($A209=$A208,AU208,1))-Z209&lt;0),-1,MIN(1,IF($A209=$A208,AU208,1)-Z209+$D$3))</f>
        <v>#N/A</v>
      </c>
      <c r="AV209" t="e">
        <f>IF(OR($J209=0,COUNTIFS($A$4:$A208,"&gt;="&amp;$A209-1,$A$4:$A208,"&lt;="&amp;$A209,$B$4:$B208,$B209)&gt;0,MIN(AV$1,IF($A209=$A208,AV208,1))-AA209&lt;0),-1,MIN(1,IF($A209=$A208,AV208,1)-AA209+$D$3))</f>
        <v>#N/A</v>
      </c>
      <c r="AW209" t="e">
        <f>IF(OR($J209=0,COUNTIFS($A$4:$A208,"&gt;="&amp;$A209-1,$A$4:$A208,"&lt;="&amp;$A209,$B$4:$B208,$B209)&gt;0,MIN(AW$1,IF($A209=$A208,AW208,1))-AB209&lt;0),-1,MIN(1,IF($A209=$A208,AW208,1)-AB209+$D$3))</f>
        <v>#N/A</v>
      </c>
      <c r="AX209" t="e">
        <f>IF(OR($J209=0,COUNTIFS($A$4:$A208,"&gt;="&amp;$A209-1,$A$4:$A208,"&lt;="&amp;$A209,$B$4:$B208,$B209)&gt;0,MIN(AX$1,IF($A209=$A208,AX208,1))-AC209&lt;0),-1,MIN(1,IF($A209=$A208,AX208,1)-AC209+$D$3))</f>
        <v>#N/A</v>
      </c>
      <c r="AY209" t="e">
        <f>IF(OR($J209=0,COUNTIFS($A$4:$A208,"&gt;="&amp;$A209-1,$A$4:$A208,"&lt;="&amp;$A209,$B$4:$B208,$B209)&gt;0,MIN(AY$1,IF($A209=$A208,AY208,1))-AD209&lt;0),-1,MIN(1,IF($A209=$A208,AY208,1)-AD209+$D$3))</f>
        <v>#N/A</v>
      </c>
      <c r="AZ209" t="e">
        <f>IF(OR($J209=0,COUNTIFS($A$4:$A208,"&gt;="&amp;$A209-1,$A$4:$A208,"&lt;="&amp;$A209,$B$4:$B208,$B209)&gt;0,MIN(AZ$1,IF($A209=$A208,AZ208,1))-AE209&lt;0),-1,MIN(1,IF($A209=$A208,AZ208,1)-AE209+$D$3))</f>
        <v>#N/A</v>
      </c>
      <c r="BA209" t="e">
        <f>IF(OR($J209=0,COUNTIFS($A$4:$A208,"&gt;="&amp;$A209-1,$A$4:$A208,"&lt;="&amp;$A209,$B$4:$B208,$B209)&gt;0,MIN(BA$1,IF($A209=$A208,BA208,1))-AF209&lt;0),-1,MIN(1,IF($A209=$A208,BA208,1)-AF209+$D$3))</f>
        <v>#N/A</v>
      </c>
      <c r="BB209" t="e">
        <f>IF(OR($J209=0,COUNTIFS($A$4:$A208,"&gt;="&amp;$A209-1,$A$4:$A208,"&lt;="&amp;$A209,$B$4:$B208,$B209)&gt;0,MIN(BB$1,IF($A209=$A208,BB208,1))-AG209&lt;0),-1,MIN(1,IF($A209=$A208,BB208,1)-AG209+$D$3))</f>
        <v>#N/A</v>
      </c>
      <c r="BC209" t="e">
        <f>IF(OR($J209=0,COUNTIFS($A$4:$A208,"&gt;="&amp;$A209-1,$A$4:$A208,"&lt;="&amp;$A209,$B$4:$B208,$B209)&gt;0,MIN(BC$1,IF($A209=$A208,BC208,1))-AH209&lt;0),-1,MIN(1,IF($A209=$A208,BC208,1)-AH209+$D$3))</f>
        <v>#N/A</v>
      </c>
      <c r="BD209" t="e">
        <f>IF(OR($J209=0,COUNTIFS($A$4:$A208,"&gt;="&amp;$A209-1,$A$4:$A208,"&lt;="&amp;$A209,$B$4:$B208,$B209)&gt;0,MIN(BD$1,IF($A209=$A208,BD208,1))-AI209&lt;0),-1,MIN(1,IF($A209=$A208,BD208,1)-AI209+$D$3))</f>
        <v>#N/A</v>
      </c>
      <c r="BF209" s="44">
        <f t="shared" si="267"/>
        <v>5.7496972557437951E-5</v>
      </c>
      <c r="BG209" s="44">
        <f t="shared" si="268"/>
        <v>1.4140128008698272E-4</v>
      </c>
      <c r="BH209" s="44">
        <f t="shared" si="269"/>
        <v>1.4492143813118401E-4</v>
      </c>
      <c r="BI209" s="44">
        <f t="shared" si="270"/>
        <v>1.3386717309439569E-4</v>
      </c>
      <c r="BJ209" s="44">
        <f t="shared" si="271"/>
        <v>1.3836443220162091E-4</v>
      </c>
      <c r="BK209" s="44">
        <f t="shared" si="272"/>
        <v>5.941884609687198E-5</v>
      </c>
      <c r="BL209" s="44">
        <f t="shared" si="273"/>
        <v>3.2098995462245421E-5</v>
      </c>
      <c r="BM209" s="44">
        <f t="shared" si="274"/>
        <v>8.1656096094609516E-5</v>
      </c>
      <c r="BN209" s="44">
        <f t="shared" si="275"/>
        <v>8.4928703837364243E-5</v>
      </c>
      <c r="BO209" s="44">
        <f t="shared" si="276"/>
        <v>3.9800813292612169E-5</v>
      </c>
      <c r="BP209" s="44">
        <f t="shared" si="277"/>
        <v>1.338293479263909E-4</v>
      </c>
      <c r="BQ209" s="44">
        <f t="shared" si="278"/>
        <v>3.6115001098075002E-5</v>
      </c>
      <c r="BR209" s="44">
        <f t="shared" si="279"/>
        <v>1.0669275377393516E-4</v>
      </c>
      <c r="BS209" s="44">
        <f t="shared" si="280"/>
        <v>5.754081793527174E-5</v>
      </c>
      <c r="BT209" s="44">
        <f t="shared" si="281"/>
        <v>2.2770665722943401E-4</v>
      </c>
      <c r="BU209" s="44">
        <f t="shared" si="282"/>
        <v>2.1752837720608335E-4</v>
      </c>
      <c r="BV209" s="44">
        <f t="shared" si="283"/>
        <v>2.0890705670028711E-4</v>
      </c>
      <c r="BW209" s="44">
        <f t="shared" si="284"/>
        <v>1.3663671132447836E-4</v>
      </c>
      <c r="BX209" s="44">
        <f t="shared" si="285"/>
        <v>1.0094472110600969E-4</v>
      </c>
      <c r="BY209" s="44">
        <f t="shared" si="286"/>
        <v>8.6672645347791698E-5</v>
      </c>
      <c r="CA209" s="44" t="str">
        <f t="shared" si="287"/>
        <v/>
      </c>
      <c r="CB209" s="44" t="str">
        <f t="shared" si="288"/>
        <v/>
      </c>
      <c r="CC209" s="44" t="str">
        <f t="shared" si="289"/>
        <v/>
      </c>
      <c r="CD209" s="44" t="str">
        <f t="shared" si="290"/>
        <v/>
      </c>
      <c r="CE209" s="44" t="str">
        <f t="shared" si="291"/>
        <v/>
      </c>
      <c r="CF209" s="44" t="str">
        <f t="shared" si="292"/>
        <v/>
      </c>
      <c r="CG209" s="44" t="str">
        <f t="shared" si="293"/>
        <v/>
      </c>
      <c r="CH209" s="44" t="str">
        <f t="shared" si="294"/>
        <v/>
      </c>
      <c r="CI209" s="44" t="str">
        <f t="shared" si="295"/>
        <v/>
      </c>
      <c r="CJ209" s="44" t="str">
        <f t="shared" si="296"/>
        <v/>
      </c>
      <c r="CK209" s="44" t="str">
        <f t="shared" si="297"/>
        <v/>
      </c>
      <c r="CL209" s="44" t="str">
        <f t="shared" si="298"/>
        <v/>
      </c>
      <c r="CM209" s="44" t="str">
        <f t="shared" si="299"/>
        <v/>
      </c>
      <c r="CN209" s="44" t="str">
        <f t="shared" si="300"/>
        <v/>
      </c>
      <c r="CO209" s="44" t="str">
        <f t="shared" si="301"/>
        <v/>
      </c>
      <c r="CP209" s="44" t="str">
        <f t="shared" si="302"/>
        <v/>
      </c>
      <c r="CQ209" s="44" t="str">
        <f t="shared" si="303"/>
        <v/>
      </c>
      <c r="CR209" s="44" t="str">
        <f t="shared" si="304"/>
        <v/>
      </c>
      <c r="CS209" s="44" t="str">
        <f t="shared" si="305"/>
        <v/>
      </c>
      <c r="CT209" s="44" t="str">
        <f t="shared" si="306"/>
        <v/>
      </c>
      <c r="CV209" s="44">
        <f t="shared" si="307"/>
        <v>0</v>
      </c>
    </row>
    <row r="210" spans="1:100" x14ac:dyDescent="0.25">
      <c r="A210" s="49"/>
      <c r="B210" s="50"/>
      <c r="C210" s="51" t="str" cm="1">
        <f t="array" ref="C210">IF(B210="","",INDEX(UWS!$B$10:$B$41,B210))</f>
        <v/>
      </c>
      <c r="D210" s="45" t="str">
        <f t="shared" si="264"/>
        <v/>
      </c>
      <c r="E210" s="70" t="str">
        <f t="shared" si="265"/>
        <v/>
      </c>
      <c r="F210" s="52" cm="1">
        <f t="array" ref="F210">0.1+IFERROR(INDEX($F$5:$F209,SUMPRODUCT(MAX(ROW($C$5:$C209)*($C210=$C$5:$C209))-ROW($A$4)))*0.9^($A210-INDEX($A$5:A209,SUMPRODUCT(MAX(ROW($C$5:$C209)*($C210=$C$5:$C209))-ROW($A$4)))),0)</f>
        <v>14.499999999999964</v>
      </c>
      <c r="G210" s="56" t="e">
        <f>INDEX(UWS!$AB$10:$AB$41,MATCH(C210,UWS!$B$10:$B$41,0))</f>
        <v>#N/A</v>
      </c>
      <c r="H210" s="52" t="e">
        <f>INDEX(UWS!$C$10:$C$41,MATCH(C210,UWS!$B$10:$B$41,0))</f>
        <v>#N/A</v>
      </c>
      <c r="I210" s="46">
        <f t="shared" si="266"/>
        <v>5</v>
      </c>
      <c r="J210" s="46" t="e">
        <f>INDEX(UWS!$E$10:$E$41,MATCH(C210,UWS!$B$10:$B$41,0))</f>
        <v>#N/A</v>
      </c>
      <c r="K210" s="46"/>
      <c r="L210" s="109" t="str" cm="1">
        <f t="array" ref="L210">IF(K210="","",INDEX(UWS!$B$10:$B$41,K210))</f>
        <v/>
      </c>
      <c r="M210" s="46"/>
      <c r="N210" s="109" t="str" cm="1">
        <f t="array" ref="N210">IF(M210="","",INDEX(UWS!$B$10:$B$41,M210))</f>
        <v/>
      </c>
      <c r="O210" s="47"/>
      <c r="P210" s="47">
        <f>IFERROR(INDEX(UWS!$G$10:$Z$41,MATCH($C210,UWS!$B$10:$B$41,0),MATCH(P$4,UWS!$G$3:$Z$3,0)),0)</f>
        <v>0</v>
      </c>
      <c r="Q210" s="47">
        <f>IFERROR(INDEX(UWS!$G$10:$Z$41,MATCH($C210,UWS!$B$10:$B$41,0),MATCH(Q$4,UWS!$G$3:$Z$3,0)),0)</f>
        <v>0</v>
      </c>
      <c r="R210" s="47">
        <f>IFERROR(INDEX(UWS!$G$10:$Z$41,MATCH($C210,UWS!$B$10:$B$41,0),MATCH(R$4,UWS!$G$3:$Z$3,0)),0)</f>
        <v>0</v>
      </c>
      <c r="S210" s="47">
        <f>IFERROR(INDEX(UWS!$G$10:$Z$41,MATCH($C210,UWS!$B$10:$B$41,0),MATCH(S$4,UWS!$G$3:$Z$3,0)),0)</f>
        <v>0</v>
      </c>
      <c r="T210" s="47">
        <f>IFERROR(INDEX(UWS!$G$10:$Z$41,MATCH($C210,UWS!$B$10:$B$41,0),MATCH(T$4,UWS!$G$3:$Z$3,0)),0)</f>
        <v>0</v>
      </c>
      <c r="U210" s="47">
        <f>IFERROR(INDEX(UWS!$G$10:$Z$41,MATCH($C210,UWS!$B$10:$B$41,0),MATCH(U$4,UWS!$G$3:$Z$3,0)),0)</f>
        <v>0</v>
      </c>
      <c r="V210" s="47">
        <f>IFERROR(INDEX(UWS!$G$10:$Z$41,MATCH($C210,UWS!$B$10:$B$41,0),MATCH(V$4,UWS!$G$3:$Z$3,0)),0)</f>
        <v>0</v>
      </c>
      <c r="W210" s="47">
        <f>IFERROR(INDEX(UWS!$G$10:$Z$41,MATCH($C210,UWS!$B$10:$B$41,0),MATCH(W$4,UWS!$G$3:$Z$3,0)),0)</f>
        <v>0</v>
      </c>
      <c r="X210" s="47">
        <f>IFERROR(INDEX(UWS!$G$10:$Z$41,MATCH($C210,UWS!$B$10:$B$41,0),MATCH(X$4,UWS!$G$3:$Z$3,0)),0)</f>
        <v>0</v>
      </c>
      <c r="Y210" s="47">
        <f>IFERROR(INDEX(UWS!$G$10:$Z$41,MATCH($C210,UWS!$B$10:$B$41,0),MATCH(Y$4,UWS!$G$3:$Z$3,0)),0)</f>
        <v>0</v>
      </c>
      <c r="Z210" s="47">
        <f>IFERROR(INDEX(UWS!$G$10:$Z$41,MATCH($C210,UWS!$B$10:$B$41,0),MATCH(Z$4,UWS!$G$3:$Z$3,0)),0)</f>
        <v>0</v>
      </c>
      <c r="AA210" s="47">
        <f>IFERROR(INDEX(UWS!$G$10:$Z$41,MATCH($C210,UWS!$B$10:$B$41,0),MATCH(AA$4,UWS!$G$3:$Z$3,0)),0)</f>
        <v>0</v>
      </c>
      <c r="AB210" s="47">
        <f>IFERROR(INDEX(UWS!$G$10:$Z$41,MATCH($C210,UWS!$B$10:$B$41,0),MATCH(AB$4,UWS!$G$3:$Z$3,0)),0)</f>
        <v>0</v>
      </c>
      <c r="AC210" s="47">
        <f>IFERROR(INDEX(UWS!$G$10:$Z$41,MATCH($C210,UWS!$B$10:$B$41,0),MATCH(AC$4,UWS!$G$3:$Z$3,0)),0)</f>
        <v>0</v>
      </c>
      <c r="AD210" s="47">
        <f>IFERROR(INDEX(UWS!$G$10:$Z$41,MATCH($C210,UWS!$B$10:$B$41,0),MATCH(AD$4,UWS!$G$3:$Z$3,0)),0)</f>
        <v>0</v>
      </c>
      <c r="AE210" s="47">
        <f>IFERROR(INDEX(UWS!$G$10:$Z$41,MATCH($C210,UWS!$B$10:$B$41,0),MATCH(AE$4,UWS!$G$3:$Z$3,0)),0)</f>
        <v>0</v>
      </c>
      <c r="AF210" s="47">
        <f>IFERROR(INDEX(UWS!$G$10:$Z$41,MATCH($C210,UWS!$B$10:$B$41,0),MATCH(AF$4,UWS!$G$3:$Z$3,0)),0)</f>
        <v>0</v>
      </c>
      <c r="AG210" s="47">
        <f>IFERROR(INDEX(UWS!$G$10:$Z$41,MATCH($C210,UWS!$B$10:$B$41,0),MATCH(AG$4,UWS!$G$3:$Z$3,0)),0)</f>
        <v>0</v>
      </c>
      <c r="AH210" s="47">
        <f>IFERROR(INDEX(UWS!$G$10:$Z$41,MATCH($C210,UWS!$B$10:$B$41,0),MATCH(AH$4,UWS!$G$3:$Z$3,0)),0)</f>
        <v>0</v>
      </c>
      <c r="AI210" s="47">
        <f>IFERROR(INDEX(UWS!$G$10:$Z$41,MATCH($C210,UWS!$B$10:$B$41,0),MATCH(AI$4,UWS!$G$3:$Z$3,0)),0)</f>
        <v>0</v>
      </c>
      <c r="AJ210" s="47"/>
      <c r="AK210" s="47" t="e">
        <f>IF(OR($J210=0,COUNTIFS($A$4:$A209,"&gt;="&amp;$A210-1,$A$4:$A209,"&lt;="&amp;$A210,$B$4:$B209,$B210)&gt;0,MIN(AK$1,IF($A210=$A209,AK209,1))-P210&lt;0),-1,MIN(1,IF($A210=$A209,AK209,1)-P210+$D$3))</f>
        <v>#N/A</v>
      </c>
      <c r="AL210" s="47" t="e">
        <f>IF(OR($J210=0,COUNTIFS($A$4:$A209,"&gt;="&amp;$A210-1,$A$4:$A209,"&lt;="&amp;$A210,$B$4:$B209,$B210)&gt;0,MIN(AL$1,IF($A210=$A209,AL209,1))-Q210&lt;0),-1,MIN(1,IF($A210=$A209,AL209,1)-Q210+$D$3))</f>
        <v>#N/A</v>
      </c>
      <c r="AM210" s="47" t="e">
        <f>IF(OR($J210=0,COUNTIFS($A$4:$A209,"&gt;="&amp;$A210-1,$A$4:$A209,"&lt;="&amp;$A210,$B$4:$B209,$B210)&gt;0,MIN(AM$1,IF($A210=$A209,AM209,1))-R210&lt;0),-1,MIN(1,IF($A210=$A209,AM209,1)-R210+$D$3))</f>
        <v>#N/A</v>
      </c>
      <c r="AN210" s="47" t="e">
        <f>IF(OR($J210=0,COUNTIFS($A$4:$A209,"&gt;="&amp;$A210-1,$A$4:$A209,"&lt;="&amp;$A210,$B$4:$B209,$B210)&gt;0,MIN(AN$1,IF($A210=$A209,AN209,1))-S210&lt;0),-1,MIN(1,IF($A210=$A209,AN209,1)-S210+$D$3))</f>
        <v>#N/A</v>
      </c>
      <c r="AO210" s="47" t="e">
        <f>IF(OR($J210=0,COUNTIFS($A$4:$A209,"&gt;="&amp;$A210-1,$A$4:$A209,"&lt;="&amp;$A210,$B$4:$B209,$B210)&gt;0,MIN(AO$1,IF($A210=$A209,AO209,1))-T210&lt;0),-1,MIN(1,IF($A210=$A209,AO209,1)-T210+$D$3))</f>
        <v>#N/A</v>
      </c>
      <c r="AP210" s="47" t="e">
        <f>IF(OR($J210=0,COUNTIFS($A$4:$A209,"&gt;="&amp;$A210-1,$A$4:$A209,"&lt;="&amp;$A210,$B$4:$B209,$B210)&gt;0,MIN(AP$1,IF($A210=$A209,AP209,1))-U210&lt;0),-1,MIN(1,IF($A210=$A209,AP209,1)-U210+$D$3))</f>
        <v>#N/A</v>
      </c>
      <c r="AQ210" s="47" t="e">
        <f>IF(OR($J210=0,COUNTIFS($A$4:$A209,"&gt;="&amp;$A210-1,$A$4:$A209,"&lt;="&amp;$A210,$B$4:$B209,$B210)&gt;0,MIN(AQ$1,IF($A210=$A209,AQ209,1))-V210&lt;0),-1,MIN(1,IF($A210=$A209,AQ209,1)-V210+$D$3))</f>
        <v>#N/A</v>
      </c>
      <c r="AR210" s="47" t="e">
        <f>IF(OR($J210=0,COUNTIFS($A$4:$A209,"&gt;="&amp;$A210-1,$A$4:$A209,"&lt;="&amp;$A210,$B$4:$B209,$B210)&gt;0,MIN(AR$1,IF($A210=$A209,AR209,1))-W210&lt;0),-1,MIN(1,IF($A210=$A209,AR209,1)-W210+$D$3))</f>
        <v>#N/A</v>
      </c>
      <c r="AS210" s="47" t="e">
        <f>IF(OR($J210=0,COUNTIFS($A$4:$A209,"&gt;="&amp;$A210-1,$A$4:$A209,"&lt;="&amp;$A210,$B$4:$B209,$B210)&gt;0,MIN(AS$1,IF($A210=$A209,AS209,1))-X210&lt;0),-1,MIN(1,IF($A210=$A209,AS209,1)-X210+$D$3))</f>
        <v>#N/A</v>
      </c>
      <c r="AT210" s="47" t="e">
        <f>IF(OR($J210=0,COUNTIFS($A$4:$A209,"&gt;="&amp;$A210-1,$A$4:$A209,"&lt;="&amp;$A210,$B$4:$B209,$B210)&gt;0,MIN(AT$1,IF($A210=$A209,AT209,1))-Y210&lt;0),-1,MIN(1,IF($A210=$A209,AT209,1)-Y210+$D$3))</f>
        <v>#N/A</v>
      </c>
      <c r="AU210" s="47" t="e">
        <f>IF(OR($J210=0,COUNTIFS($A$4:$A209,"&gt;="&amp;$A210-1,$A$4:$A209,"&lt;="&amp;$A210,$B$4:$B209,$B210)&gt;0,MIN(AU$1,IF($A210=$A209,AU209,1))-Z210&lt;0),-1,MIN(1,IF($A210=$A209,AU209,1)-Z210+$D$3))</f>
        <v>#N/A</v>
      </c>
      <c r="AV210" s="47" t="e">
        <f>IF(OR($J210=0,COUNTIFS($A$4:$A209,"&gt;="&amp;$A210-1,$A$4:$A209,"&lt;="&amp;$A210,$B$4:$B209,$B210)&gt;0,MIN(AV$1,IF($A210=$A209,AV209,1))-AA210&lt;0),-1,MIN(1,IF($A210=$A209,AV209,1)-AA210+$D$3))</f>
        <v>#N/A</v>
      </c>
      <c r="AW210" s="47" t="e">
        <f>IF(OR($J210=0,COUNTIFS($A$4:$A209,"&gt;="&amp;$A210-1,$A$4:$A209,"&lt;="&amp;$A210,$B$4:$B209,$B210)&gt;0,MIN(AW$1,IF($A210=$A209,AW209,1))-AB210&lt;0),-1,MIN(1,IF($A210=$A209,AW209,1)-AB210+$D$3))</f>
        <v>#N/A</v>
      </c>
      <c r="AX210" s="47" t="e">
        <f>IF(OR($J210=0,COUNTIFS($A$4:$A209,"&gt;="&amp;$A210-1,$A$4:$A209,"&lt;="&amp;$A210,$B$4:$B209,$B210)&gt;0,MIN(AX$1,IF($A210=$A209,AX209,1))-AC210&lt;0),-1,MIN(1,IF($A210=$A209,AX209,1)-AC210+$D$3))</f>
        <v>#N/A</v>
      </c>
      <c r="AY210" s="47" t="e">
        <f>IF(OR($J210=0,COUNTIFS($A$4:$A209,"&gt;="&amp;$A210-1,$A$4:$A209,"&lt;="&amp;$A210,$B$4:$B209,$B210)&gt;0,MIN(AY$1,IF($A210=$A209,AY209,1))-AD210&lt;0),-1,MIN(1,IF($A210=$A209,AY209,1)-AD210+$D$3))</f>
        <v>#N/A</v>
      </c>
      <c r="AZ210" s="47" t="e">
        <f>IF(OR($J210=0,COUNTIFS($A$4:$A209,"&gt;="&amp;$A210-1,$A$4:$A209,"&lt;="&amp;$A210,$B$4:$B209,$B210)&gt;0,MIN(AZ$1,IF($A210=$A209,AZ209,1))-AE210&lt;0),-1,MIN(1,IF($A210=$A209,AZ209,1)-AE210+$D$3))</f>
        <v>#N/A</v>
      </c>
      <c r="BA210" s="47" t="e">
        <f>IF(OR($J210=0,COUNTIFS($A$4:$A209,"&gt;="&amp;$A210-1,$A$4:$A209,"&lt;="&amp;$A210,$B$4:$B209,$B210)&gt;0,MIN(BA$1,IF($A210=$A209,BA209,1))-AF210&lt;0),-1,MIN(1,IF($A210=$A209,BA209,1)-AF210+$D$3))</f>
        <v>#N/A</v>
      </c>
      <c r="BB210" s="47" t="e">
        <f>IF(OR($J210=0,COUNTIFS($A$4:$A209,"&gt;="&amp;$A210-1,$A$4:$A209,"&lt;="&amp;$A210,$B$4:$B209,$B210)&gt;0,MIN(BB$1,IF($A210=$A209,BB209,1))-AG210&lt;0),-1,MIN(1,IF($A210=$A209,BB209,1)-AG210+$D$3))</f>
        <v>#N/A</v>
      </c>
      <c r="BC210" s="47" t="e">
        <f>IF(OR($J210=0,COUNTIFS($A$4:$A209,"&gt;="&amp;$A210-1,$A$4:$A209,"&lt;="&amp;$A210,$B$4:$B209,$B210)&gt;0,MIN(BC$1,IF($A210=$A209,BC209,1))-AH210&lt;0),-1,MIN(1,IF($A210=$A209,BC209,1)-AH210+$D$3))</f>
        <v>#N/A</v>
      </c>
      <c r="BD210" s="47" t="e">
        <f>IF(OR($J210=0,COUNTIFS($A$4:$A209,"&gt;="&amp;$A210-1,$A$4:$A209,"&lt;="&amp;$A210,$B$4:$B209,$B210)&gt;0,MIN(BD$1,IF($A210=$A209,BD209,1))-AI210&lt;0),-1,MIN(1,IF($A210=$A209,BD209,1)-AI210+$D$3))</f>
        <v>#N/A</v>
      </c>
      <c r="BE210" s="47"/>
      <c r="BF210" s="53">
        <f t="shared" si="267"/>
        <v>5.4622123929566052E-5</v>
      </c>
      <c r="BG210" s="53">
        <f t="shared" si="268"/>
        <v>1.3433121608263357E-4</v>
      </c>
      <c r="BH210" s="53">
        <f t="shared" si="269"/>
        <v>1.3767536622462479E-4</v>
      </c>
      <c r="BI210" s="53">
        <f t="shared" si="270"/>
        <v>1.2717381443967589E-4</v>
      </c>
      <c r="BJ210" s="53">
        <f t="shared" si="271"/>
        <v>1.3144621059153985E-4</v>
      </c>
      <c r="BK210" s="53">
        <f t="shared" si="272"/>
        <v>5.6447903792028376E-5</v>
      </c>
      <c r="BL210" s="53">
        <f t="shared" si="273"/>
        <v>3.0494045689133147E-5</v>
      </c>
      <c r="BM210" s="53">
        <f t="shared" si="274"/>
        <v>7.7573291289879042E-5</v>
      </c>
      <c r="BN210" s="53">
        <f t="shared" si="275"/>
        <v>8.0682268645496024E-5</v>
      </c>
      <c r="BO210" s="53">
        <f t="shared" si="276"/>
        <v>3.7810772627981558E-5</v>
      </c>
      <c r="BP210" s="53">
        <f t="shared" si="277"/>
        <v>1.2713788053007134E-4</v>
      </c>
      <c r="BQ210" s="53">
        <f t="shared" si="278"/>
        <v>3.430925104317125E-5</v>
      </c>
      <c r="BR210" s="53">
        <f t="shared" si="279"/>
        <v>1.013581160852384E-4</v>
      </c>
      <c r="BS210" s="53">
        <f t="shared" si="280"/>
        <v>5.4663777038508151E-5</v>
      </c>
      <c r="BT210" s="53">
        <f t="shared" si="281"/>
        <v>2.1632132436796229E-4</v>
      </c>
      <c r="BU210" s="53">
        <f t="shared" si="282"/>
        <v>2.0665195834577917E-4</v>
      </c>
      <c r="BV210" s="53">
        <f t="shared" si="283"/>
        <v>1.9846170386527274E-4</v>
      </c>
      <c r="BW210" s="53">
        <f t="shared" si="284"/>
        <v>1.2980487575825443E-4</v>
      </c>
      <c r="BX210" s="53">
        <f t="shared" si="285"/>
        <v>9.58974850507092E-5</v>
      </c>
      <c r="BY210" s="53">
        <f t="shared" si="286"/>
        <v>8.2339013080402103E-5</v>
      </c>
      <c r="BZ210" s="47"/>
      <c r="CA210" s="53" t="str">
        <f t="shared" si="287"/>
        <v/>
      </c>
      <c r="CB210" s="53" t="str">
        <f t="shared" si="288"/>
        <v/>
      </c>
      <c r="CC210" s="53" t="str">
        <f t="shared" si="289"/>
        <v/>
      </c>
      <c r="CD210" s="53" t="str">
        <f t="shared" si="290"/>
        <v/>
      </c>
      <c r="CE210" s="53" t="str">
        <f t="shared" si="291"/>
        <v/>
      </c>
      <c r="CF210" s="53" t="str">
        <f t="shared" si="292"/>
        <v/>
      </c>
      <c r="CG210" s="53" t="str">
        <f t="shared" si="293"/>
        <v/>
      </c>
      <c r="CH210" s="53" t="str">
        <f t="shared" si="294"/>
        <v/>
      </c>
      <c r="CI210" s="53" t="str">
        <f t="shared" si="295"/>
        <v/>
      </c>
      <c r="CJ210" s="53" t="str">
        <f t="shared" si="296"/>
        <v/>
      </c>
      <c r="CK210" s="53" t="str">
        <f t="shared" si="297"/>
        <v/>
      </c>
      <c r="CL210" s="53" t="str">
        <f t="shared" si="298"/>
        <v/>
      </c>
      <c r="CM210" s="53" t="str">
        <f t="shared" si="299"/>
        <v/>
      </c>
      <c r="CN210" s="53" t="str">
        <f t="shared" si="300"/>
        <v/>
      </c>
      <c r="CO210" s="53" t="str">
        <f t="shared" si="301"/>
        <v/>
      </c>
      <c r="CP210" s="53" t="str">
        <f t="shared" si="302"/>
        <v/>
      </c>
      <c r="CQ210" s="53" t="str">
        <f t="shared" si="303"/>
        <v/>
      </c>
      <c r="CR210" s="53" t="str">
        <f t="shared" si="304"/>
        <v/>
      </c>
      <c r="CS210" s="53" t="str">
        <f t="shared" si="305"/>
        <v/>
      </c>
      <c r="CT210" s="53" t="str">
        <f t="shared" si="306"/>
        <v/>
      </c>
      <c r="CU210" s="47"/>
      <c r="CV210" s="53">
        <f t="shared" si="307"/>
        <v>0</v>
      </c>
    </row>
    <row r="211" spans="1:100" x14ac:dyDescent="0.25">
      <c r="A211" s="41"/>
      <c r="B211" s="42"/>
      <c r="C211" s="43" t="str" cm="1">
        <f t="array" ref="C211">IF(B211="","",INDEX(UWS!$B$10:$B$41,B211))</f>
        <v/>
      </c>
      <c r="D211" s="40" t="str">
        <f t="shared" si="264"/>
        <v/>
      </c>
      <c r="E211" s="69" t="str">
        <f t="shared" si="265"/>
        <v/>
      </c>
      <c r="F211" s="48" cm="1">
        <f t="array" ref="F211">0.1+IFERROR(INDEX($F$5:$F210,SUMPRODUCT(MAX(ROW($C$5:$C210)*($C211=$C$5:$C210))-ROW($A$4)))*0.9^($A211-INDEX($A$5:A210,SUMPRODUCT(MAX(ROW($C$5:$C210)*($C211=$C$5:$C210))-ROW($A$4)))),0)</f>
        <v>14.599999999999964</v>
      </c>
      <c r="G211" s="55" t="e">
        <f>INDEX(UWS!$AB$10:$AB$41,MATCH(C211,UWS!$B$10:$B$41,0))</f>
        <v>#N/A</v>
      </c>
      <c r="H211" s="48" t="e">
        <f>INDEX(UWS!$C$10:$C$41,MATCH(C211,UWS!$B$10:$B$41,0))</f>
        <v>#N/A</v>
      </c>
      <c r="I211" s="82">
        <f t="shared" si="266"/>
        <v>5</v>
      </c>
      <c r="J211" s="27" t="e">
        <f>INDEX(UWS!$E$10:$E$41,MATCH(C211,UWS!$B$10:$B$41,0))</f>
        <v>#N/A</v>
      </c>
      <c r="L211" s="108" t="str" cm="1">
        <f t="array" ref="L211">IF(K211="","",INDEX(UWS!$B$10:$B$41,K211))</f>
        <v/>
      </c>
      <c r="N211" s="108" t="str" cm="1">
        <f t="array" ref="N211">IF(M211="","",INDEX(UWS!$B$10:$B$41,M211))</f>
        <v/>
      </c>
      <c r="P211">
        <f>IFERROR(INDEX(UWS!$G$10:$Z$41,MATCH($C211,UWS!$B$10:$B$41,0),MATCH(P$4,UWS!$G$3:$Z$3,0)),0)</f>
        <v>0</v>
      </c>
      <c r="Q211">
        <f>IFERROR(INDEX(UWS!$G$10:$Z$41,MATCH($C211,UWS!$B$10:$B$41,0),MATCH(Q$4,UWS!$G$3:$Z$3,0)),0)</f>
        <v>0</v>
      </c>
      <c r="R211">
        <f>IFERROR(INDEX(UWS!$G$10:$Z$41,MATCH($C211,UWS!$B$10:$B$41,0),MATCH(R$4,UWS!$G$3:$Z$3,0)),0)</f>
        <v>0</v>
      </c>
      <c r="S211">
        <f>IFERROR(INDEX(UWS!$G$10:$Z$41,MATCH($C211,UWS!$B$10:$B$41,0),MATCH(S$4,UWS!$G$3:$Z$3,0)),0)</f>
        <v>0</v>
      </c>
      <c r="T211">
        <f>IFERROR(INDEX(UWS!$G$10:$Z$41,MATCH($C211,UWS!$B$10:$B$41,0),MATCH(T$4,UWS!$G$3:$Z$3,0)),0)</f>
        <v>0</v>
      </c>
      <c r="U211">
        <f>IFERROR(INDEX(UWS!$G$10:$Z$41,MATCH($C211,UWS!$B$10:$B$41,0),MATCH(U$4,UWS!$G$3:$Z$3,0)),0)</f>
        <v>0</v>
      </c>
      <c r="V211">
        <f>IFERROR(INDEX(UWS!$G$10:$Z$41,MATCH($C211,UWS!$B$10:$B$41,0),MATCH(V$4,UWS!$G$3:$Z$3,0)),0)</f>
        <v>0</v>
      </c>
      <c r="W211">
        <f>IFERROR(INDEX(UWS!$G$10:$Z$41,MATCH($C211,UWS!$B$10:$B$41,0),MATCH(W$4,UWS!$G$3:$Z$3,0)),0)</f>
        <v>0</v>
      </c>
      <c r="X211">
        <f>IFERROR(INDEX(UWS!$G$10:$Z$41,MATCH($C211,UWS!$B$10:$B$41,0),MATCH(X$4,UWS!$G$3:$Z$3,0)),0)</f>
        <v>0</v>
      </c>
      <c r="Y211">
        <f>IFERROR(INDEX(UWS!$G$10:$Z$41,MATCH($C211,UWS!$B$10:$B$41,0),MATCH(Y$4,UWS!$G$3:$Z$3,0)),0)</f>
        <v>0</v>
      </c>
      <c r="Z211">
        <f>IFERROR(INDEX(UWS!$G$10:$Z$41,MATCH($C211,UWS!$B$10:$B$41,0),MATCH(Z$4,UWS!$G$3:$Z$3,0)),0)</f>
        <v>0</v>
      </c>
      <c r="AA211">
        <f>IFERROR(INDEX(UWS!$G$10:$Z$41,MATCH($C211,UWS!$B$10:$B$41,0),MATCH(AA$4,UWS!$G$3:$Z$3,0)),0)</f>
        <v>0</v>
      </c>
      <c r="AB211">
        <f>IFERROR(INDEX(UWS!$G$10:$Z$41,MATCH($C211,UWS!$B$10:$B$41,0),MATCH(AB$4,UWS!$G$3:$Z$3,0)),0)</f>
        <v>0</v>
      </c>
      <c r="AC211">
        <f>IFERROR(INDEX(UWS!$G$10:$Z$41,MATCH($C211,UWS!$B$10:$B$41,0),MATCH(AC$4,UWS!$G$3:$Z$3,0)),0)</f>
        <v>0</v>
      </c>
      <c r="AD211">
        <f>IFERROR(INDEX(UWS!$G$10:$Z$41,MATCH($C211,UWS!$B$10:$B$41,0),MATCH(AD$4,UWS!$G$3:$Z$3,0)),0)</f>
        <v>0</v>
      </c>
      <c r="AE211">
        <f>IFERROR(INDEX(UWS!$G$10:$Z$41,MATCH($C211,UWS!$B$10:$B$41,0),MATCH(AE$4,UWS!$G$3:$Z$3,0)),0)</f>
        <v>0</v>
      </c>
      <c r="AF211">
        <f>IFERROR(INDEX(UWS!$G$10:$Z$41,MATCH($C211,UWS!$B$10:$B$41,0),MATCH(AF$4,UWS!$G$3:$Z$3,0)),0)</f>
        <v>0</v>
      </c>
      <c r="AG211">
        <f>IFERROR(INDEX(UWS!$G$10:$Z$41,MATCH($C211,UWS!$B$10:$B$41,0),MATCH(AG$4,UWS!$G$3:$Z$3,0)),0)</f>
        <v>0</v>
      </c>
      <c r="AH211">
        <f>IFERROR(INDEX(UWS!$G$10:$Z$41,MATCH($C211,UWS!$B$10:$B$41,0),MATCH(AH$4,UWS!$G$3:$Z$3,0)),0)</f>
        <v>0</v>
      </c>
      <c r="AI211">
        <f>IFERROR(INDEX(UWS!$G$10:$Z$41,MATCH($C211,UWS!$B$10:$B$41,0),MATCH(AI$4,UWS!$G$3:$Z$3,0)),0)</f>
        <v>0</v>
      </c>
      <c r="AK211" t="e">
        <f>IF(OR($J211=0,COUNTIFS($A$4:$A210,"&gt;="&amp;$A211-1,$A$4:$A210,"&lt;="&amp;$A211,$B$4:$B210,$B211)&gt;0,MIN(AK$1,IF($A211=$A210,AK210,1))-P211&lt;0),-1,MIN(1,IF($A211=$A210,AK210,1)-P211+$D$3))</f>
        <v>#N/A</v>
      </c>
      <c r="AL211" t="e">
        <f>IF(OR($J211=0,COUNTIFS($A$4:$A210,"&gt;="&amp;$A211-1,$A$4:$A210,"&lt;="&amp;$A211,$B$4:$B210,$B211)&gt;0,MIN(AL$1,IF($A211=$A210,AL210,1))-Q211&lt;0),-1,MIN(1,IF($A211=$A210,AL210,1)-Q211+$D$3))</f>
        <v>#N/A</v>
      </c>
      <c r="AM211" t="e">
        <f>IF(OR($J211=0,COUNTIFS($A$4:$A210,"&gt;="&amp;$A211-1,$A$4:$A210,"&lt;="&amp;$A211,$B$4:$B210,$B211)&gt;0,MIN(AM$1,IF($A211=$A210,AM210,1))-R211&lt;0),-1,MIN(1,IF($A211=$A210,AM210,1)-R211+$D$3))</f>
        <v>#N/A</v>
      </c>
      <c r="AN211" t="e">
        <f>IF(OR($J211=0,COUNTIFS($A$4:$A210,"&gt;="&amp;$A211-1,$A$4:$A210,"&lt;="&amp;$A211,$B$4:$B210,$B211)&gt;0,MIN(AN$1,IF($A211=$A210,AN210,1))-S211&lt;0),-1,MIN(1,IF($A211=$A210,AN210,1)-S211+$D$3))</f>
        <v>#N/A</v>
      </c>
      <c r="AO211" t="e">
        <f>IF(OR($J211=0,COUNTIFS($A$4:$A210,"&gt;="&amp;$A211-1,$A$4:$A210,"&lt;="&amp;$A211,$B$4:$B210,$B211)&gt;0,MIN(AO$1,IF($A211=$A210,AO210,1))-T211&lt;0),-1,MIN(1,IF($A211=$A210,AO210,1)-T211+$D$3))</f>
        <v>#N/A</v>
      </c>
      <c r="AP211" t="e">
        <f>IF(OR($J211=0,COUNTIFS($A$4:$A210,"&gt;="&amp;$A211-1,$A$4:$A210,"&lt;="&amp;$A211,$B$4:$B210,$B211)&gt;0,MIN(AP$1,IF($A211=$A210,AP210,1))-U211&lt;0),-1,MIN(1,IF($A211=$A210,AP210,1)-U211+$D$3))</f>
        <v>#N/A</v>
      </c>
      <c r="AQ211" t="e">
        <f>IF(OR($J211=0,COUNTIFS($A$4:$A210,"&gt;="&amp;$A211-1,$A$4:$A210,"&lt;="&amp;$A211,$B$4:$B210,$B211)&gt;0,MIN(AQ$1,IF($A211=$A210,AQ210,1))-V211&lt;0),-1,MIN(1,IF($A211=$A210,AQ210,1)-V211+$D$3))</f>
        <v>#N/A</v>
      </c>
      <c r="AR211" t="e">
        <f>IF(OR($J211=0,COUNTIFS($A$4:$A210,"&gt;="&amp;$A211-1,$A$4:$A210,"&lt;="&amp;$A211,$B$4:$B210,$B211)&gt;0,MIN(AR$1,IF($A211=$A210,AR210,1))-W211&lt;0),-1,MIN(1,IF($A211=$A210,AR210,1)-W211+$D$3))</f>
        <v>#N/A</v>
      </c>
      <c r="AS211" t="e">
        <f>IF(OR($J211=0,COUNTIFS($A$4:$A210,"&gt;="&amp;$A211-1,$A$4:$A210,"&lt;="&amp;$A211,$B$4:$B210,$B211)&gt;0,MIN(AS$1,IF($A211=$A210,AS210,1))-X211&lt;0),-1,MIN(1,IF($A211=$A210,AS210,1)-X211+$D$3))</f>
        <v>#N/A</v>
      </c>
      <c r="AT211" t="e">
        <f>IF(OR($J211=0,COUNTIFS($A$4:$A210,"&gt;="&amp;$A211-1,$A$4:$A210,"&lt;="&amp;$A211,$B$4:$B210,$B211)&gt;0,MIN(AT$1,IF($A211=$A210,AT210,1))-Y211&lt;0),-1,MIN(1,IF($A211=$A210,AT210,1)-Y211+$D$3))</f>
        <v>#N/A</v>
      </c>
      <c r="AU211" t="e">
        <f>IF(OR($J211=0,COUNTIFS($A$4:$A210,"&gt;="&amp;$A211-1,$A$4:$A210,"&lt;="&amp;$A211,$B$4:$B210,$B211)&gt;0,MIN(AU$1,IF($A211=$A210,AU210,1))-Z211&lt;0),-1,MIN(1,IF($A211=$A210,AU210,1)-Z211+$D$3))</f>
        <v>#N/A</v>
      </c>
      <c r="AV211" t="e">
        <f>IF(OR($J211=0,COUNTIFS($A$4:$A210,"&gt;="&amp;$A211-1,$A$4:$A210,"&lt;="&amp;$A211,$B$4:$B210,$B211)&gt;0,MIN(AV$1,IF($A211=$A210,AV210,1))-AA211&lt;0),-1,MIN(1,IF($A211=$A210,AV210,1)-AA211+$D$3))</f>
        <v>#N/A</v>
      </c>
      <c r="AW211" t="e">
        <f>IF(OR($J211=0,COUNTIFS($A$4:$A210,"&gt;="&amp;$A211-1,$A$4:$A210,"&lt;="&amp;$A211,$B$4:$B210,$B211)&gt;0,MIN(AW$1,IF($A211=$A210,AW210,1))-AB211&lt;0),-1,MIN(1,IF($A211=$A210,AW210,1)-AB211+$D$3))</f>
        <v>#N/A</v>
      </c>
      <c r="AX211" t="e">
        <f>IF(OR($J211=0,COUNTIFS($A$4:$A210,"&gt;="&amp;$A211-1,$A$4:$A210,"&lt;="&amp;$A211,$B$4:$B210,$B211)&gt;0,MIN(AX$1,IF($A211=$A210,AX210,1))-AC211&lt;0),-1,MIN(1,IF($A211=$A210,AX210,1)-AC211+$D$3))</f>
        <v>#N/A</v>
      </c>
      <c r="AY211" t="e">
        <f>IF(OR($J211=0,COUNTIFS($A$4:$A210,"&gt;="&amp;$A211-1,$A$4:$A210,"&lt;="&amp;$A211,$B$4:$B210,$B211)&gt;0,MIN(AY$1,IF($A211=$A210,AY210,1))-AD211&lt;0),-1,MIN(1,IF($A211=$A210,AY210,1)-AD211+$D$3))</f>
        <v>#N/A</v>
      </c>
      <c r="AZ211" t="e">
        <f>IF(OR($J211=0,COUNTIFS($A$4:$A210,"&gt;="&amp;$A211-1,$A$4:$A210,"&lt;="&amp;$A211,$B$4:$B210,$B211)&gt;0,MIN(AZ$1,IF($A211=$A210,AZ210,1))-AE211&lt;0),-1,MIN(1,IF($A211=$A210,AZ210,1)-AE211+$D$3))</f>
        <v>#N/A</v>
      </c>
      <c r="BA211" t="e">
        <f>IF(OR($J211=0,COUNTIFS($A$4:$A210,"&gt;="&amp;$A211-1,$A$4:$A210,"&lt;="&amp;$A211,$B$4:$B210,$B211)&gt;0,MIN(BA$1,IF($A211=$A210,BA210,1))-AF211&lt;0),-1,MIN(1,IF($A211=$A210,BA210,1)-AF211+$D$3))</f>
        <v>#N/A</v>
      </c>
      <c r="BB211" t="e">
        <f>IF(OR($J211=0,COUNTIFS($A$4:$A210,"&gt;="&amp;$A211-1,$A$4:$A210,"&lt;="&amp;$A211,$B$4:$B210,$B211)&gt;0,MIN(BB$1,IF($A211=$A210,BB210,1))-AG211&lt;0),-1,MIN(1,IF($A211=$A210,BB210,1)-AG211+$D$3))</f>
        <v>#N/A</v>
      </c>
      <c r="BC211" t="e">
        <f>IF(OR($J211=0,COUNTIFS($A$4:$A210,"&gt;="&amp;$A211-1,$A$4:$A210,"&lt;="&amp;$A211,$B$4:$B210,$B211)&gt;0,MIN(BC$1,IF($A211=$A210,BC210,1))-AH211&lt;0),-1,MIN(1,IF($A211=$A210,BC210,1)-AH211+$D$3))</f>
        <v>#N/A</v>
      </c>
      <c r="BD211" t="e">
        <f>IF(OR($J211=0,COUNTIFS($A$4:$A210,"&gt;="&amp;$A211-1,$A$4:$A210,"&lt;="&amp;$A211,$B$4:$B210,$B211)&gt;0,MIN(BD$1,IF($A211=$A210,BD210,1))-AI211&lt;0),-1,MIN(1,IF($A211=$A210,BD210,1)-AI211+$D$3))</f>
        <v>#N/A</v>
      </c>
      <c r="BF211" s="44">
        <f t="shared" si="267"/>
        <v>5.1891017733087746E-5</v>
      </c>
      <c r="BG211" s="44">
        <f t="shared" si="268"/>
        <v>1.2761465527850189E-4</v>
      </c>
      <c r="BH211" s="44">
        <f t="shared" si="269"/>
        <v>1.3079159791339355E-4</v>
      </c>
      <c r="BI211" s="44">
        <f t="shared" si="270"/>
        <v>1.208151237176921E-4</v>
      </c>
      <c r="BJ211" s="44">
        <f t="shared" si="271"/>
        <v>1.2487390006196285E-4</v>
      </c>
      <c r="BK211" s="44">
        <f t="shared" si="272"/>
        <v>5.3625508602426954E-5</v>
      </c>
      <c r="BL211" s="44">
        <f t="shared" si="273"/>
        <v>2.8969343404676487E-5</v>
      </c>
      <c r="BM211" s="44">
        <f t="shared" si="274"/>
        <v>7.3694626725385093E-5</v>
      </c>
      <c r="BN211" s="44">
        <f t="shared" si="275"/>
        <v>7.6648155213221225E-5</v>
      </c>
      <c r="BO211" s="44">
        <f t="shared" si="276"/>
        <v>3.5920233996582481E-5</v>
      </c>
      <c r="BP211" s="44">
        <f t="shared" si="277"/>
        <v>1.2078098650356776E-4</v>
      </c>
      <c r="BQ211" s="44">
        <f t="shared" si="278"/>
        <v>3.2593788491012687E-5</v>
      </c>
      <c r="BR211" s="44">
        <f t="shared" si="279"/>
        <v>9.6290210280976471E-5</v>
      </c>
      <c r="BS211" s="44">
        <f t="shared" si="280"/>
        <v>5.1930588186582738E-5</v>
      </c>
      <c r="BT211" s="44">
        <f t="shared" si="281"/>
        <v>2.0550525814956418E-4</v>
      </c>
      <c r="BU211" s="44">
        <f t="shared" si="282"/>
        <v>1.963193604284902E-4</v>
      </c>
      <c r="BV211" s="44">
        <f t="shared" si="283"/>
        <v>1.8853861867200911E-4</v>
      </c>
      <c r="BW211" s="44">
        <f t="shared" si="284"/>
        <v>1.2331463197034169E-4</v>
      </c>
      <c r="BX211" s="44">
        <f t="shared" si="285"/>
        <v>9.110261079817374E-5</v>
      </c>
      <c r="BY211" s="44">
        <f t="shared" si="286"/>
        <v>7.8222062426382E-5</v>
      </c>
      <c r="CA211" s="44" t="str">
        <f t="shared" si="287"/>
        <v/>
      </c>
      <c r="CB211" s="44" t="str">
        <f t="shared" si="288"/>
        <v/>
      </c>
      <c r="CC211" s="44" t="str">
        <f t="shared" si="289"/>
        <v/>
      </c>
      <c r="CD211" s="44" t="str">
        <f t="shared" si="290"/>
        <v/>
      </c>
      <c r="CE211" s="44" t="str">
        <f t="shared" si="291"/>
        <v/>
      </c>
      <c r="CF211" s="44" t="str">
        <f t="shared" si="292"/>
        <v/>
      </c>
      <c r="CG211" s="44" t="str">
        <f t="shared" si="293"/>
        <v/>
      </c>
      <c r="CH211" s="44" t="str">
        <f t="shared" si="294"/>
        <v/>
      </c>
      <c r="CI211" s="44" t="str">
        <f t="shared" si="295"/>
        <v/>
      </c>
      <c r="CJ211" s="44" t="str">
        <f t="shared" si="296"/>
        <v/>
      </c>
      <c r="CK211" s="44" t="str">
        <f t="shared" si="297"/>
        <v/>
      </c>
      <c r="CL211" s="44" t="str">
        <f t="shared" si="298"/>
        <v/>
      </c>
      <c r="CM211" s="44" t="str">
        <f t="shared" si="299"/>
        <v/>
      </c>
      <c r="CN211" s="44" t="str">
        <f t="shared" si="300"/>
        <v/>
      </c>
      <c r="CO211" s="44" t="str">
        <f t="shared" si="301"/>
        <v/>
      </c>
      <c r="CP211" s="44" t="str">
        <f t="shared" si="302"/>
        <v/>
      </c>
      <c r="CQ211" s="44" t="str">
        <f t="shared" si="303"/>
        <v/>
      </c>
      <c r="CR211" s="44" t="str">
        <f t="shared" si="304"/>
        <v/>
      </c>
      <c r="CS211" s="44" t="str">
        <f t="shared" si="305"/>
        <v/>
      </c>
      <c r="CT211" s="44" t="str">
        <f t="shared" si="306"/>
        <v/>
      </c>
      <c r="CV211" s="44">
        <f t="shared" si="307"/>
        <v>0</v>
      </c>
    </row>
    <row r="212" spans="1:100" x14ac:dyDescent="0.25">
      <c r="A212" s="41"/>
      <c r="B212" s="42"/>
      <c r="C212" s="43" t="str" cm="1">
        <f t="array" ref="C212">IF(B212="","",INDEX(UWS!$B$10:$B$41,B212))</f>
        <v/>
      </c>
      <c r="D212" s="40" t="str">
        <f t="shared" si="264"/>
        <v/>
      </c>
      <c r="E212" s="69" t="str">
        <f t="shared" si="265"/>
        <v/>
      </c>
      <c r="F212" s="48" cm="1">
        <f t="array" ref="F212">0.1+IFERROR(INDEX($F$5:$F211,SUMPRODUCT(MAX(ROW($C$5:$C211)*($C212=$C$5:$C211))-ROW($A$4)))*0.9^($A212-INDEX($A$5:A211,SUMPRODUCT(MAX(ROW($C$5:$C211)*($C212=$C$5:$C211))-ROW($A$4)))),0)</f>
        <v>14.699999999999964</v>
      </c>
      <c r="G212" s="55" t="e">
        <f>INDEX(UWS!$AB$10:$AB$41,MATCH(C212,UWS!$B$10:$B$41,0))</f>
        <v>#N/A</v>
      </c>
      <c r="H212" s="48" t="e">
        <f>INDEX(UWS!$C$10:$C$41,MATCH(C212,UWS!$B$10:$B$41,0))</f>
        <v>#N/A</v>
      </c>
      <c r="I212" s="27">
        <f t="shared" si="266"/>
        <v>5</v>
      </c>
      <c r="J212" s="27" t="e">
        <f>INDEX(UWS!$E$10:$E$41,MATCH(C212,UWS!$B$10:$B$41,0))</f>
        <v>#N/A</v>
      </c>
      <c r="L212" s="108" t="str" cm="1">
        <f t="array" ref="L212">IF(K212="","",INDEX(UWS!$B$10:$B$41,K212))</f>
        <v/>
      </c>
      <c r="N212" s="108" t="str" cm="1">
        <f t="array" ref="N212">IF(M212="","",INDEX(UWS!$B$10:$B$41,M212))</f>
        <v/>
      </c>
      <c r="P212">
        <f>IFERROR(INDEX(UWS!$G$10:$Z$41,MATCH($C212,UWS!$B$10:$B$41,0),MATCH(P$4,UWS!$G$3:$Z$3,0)),0)</f>
        <v>0</v>
      </c>
      <c r="Q212">
        <f>IFERROR(INDEX(UWS!$G$10:$Z$41,MATCH($C212,UWS!$B$10:$B$41,0),MATCH(Q$4,UWS!$G$3:$Z$3,0)),0)</f>
        <v>0</v>
      </c>
      <c r="R212">
        <f>IFERROR(INDEX(UWS!$G$10:$Z$41,MATCH($C212,UWS!$B$10:$B$41,0),MATCH(R$4,UWS!$G$3:$Z$3,0)),0)</f>
        <v>0</v>
      </c>
      <c r="S212">
        <f>IFERROR(INDEX(UWS!$G$10:$Z$41,MATCH($C212,UWS!$B$10:$B$41,0),MATCH(S$4,UWS!$G$3:$Z$3,0)),0)</f>
        <v>0</v>
      </c>
      <c r="T212">
        <f>IFERROR(INDEX(UWS!$G$10:$Z$41,MATCH($C212,UWS!$B$10:$B$41,0),MATCH(T$4,UWS!$G$3:$Z$3,0)),0)</f>
        <v>0</v>
      </c>
      <c r="U212">
        <f>IFERROR(INDEX(UWS!$G$10:$Z$41,MATCH($C212,UWS!$B$10:$B$41,0),MATCH(U$4,UWS!$G$3:$Z$3,0)),0)</f>
        <v>0</v>
      </c>
      <c r="V212">
        <f>IFERROR(INDEX(UWS!$G$10:$Z$41,MATCH($C212,UWS!$B$10:$B$41,0),MATCH(V$4,UWS!$G$3:$Z$3,0)),0)</f>
        <v>0</v>
      </c>
      <c r="W212">
        <f>IFERROR(INDEX(UWS!$G$10:$Z$41,MATCH($C212,UWS!$B$10:$B$41,0),MATCH(W$4,UWS!$G$3:$Z$3,0)),0)</f>
        <v>0</v>
      </c>
      <c r="X212">
        <f>IFERROR(INDEX(UWS!$G$10:$Z$41,MATCH($C212,UWS!$B$10:$B$41,0),MATCH(X$4,UWS!$G$3:$Z$3,0)),0)</f>
        <v>0</v>
      </c>
      <c r="Y212">
        <f>IFERROR(INDEX(UWS!$G$10:$Z$41,MATCH($C212,UWS!$B$10:$B$41,0),MATCH(Y$4,UWS!$G$3:$Z$3,0)),0)</f>
        <v>0</v>
      </c>
      <c r="Z212">
        <f>IFERROR(INDEX(UWS!$G$10:$Z$41,MATCH($C212,UWS!$B$10:$B$41,0),MATCH(Z$4,UWS!$G$3:$Z$3,0)),0)</f>
        <v>0</v>
      </c>
      <c r="AA212">
        <f>IFERROR(INDEX(UWS!$G$10:$Z$41,MATCH($C212,UWS!$B$10:$B$41,0),MATCH(AA$4,UWS!$G$3:$Z$3,0)),0)</f>
        <v>0</v>
      </c>
      <c r="AB212">
        <f>IFERROR(INDEX(UWS!$G$10:$Z$41,MATCH($C212,UWS!$B$10:$B$41,0),MATCH(AB$4,UWS!$G$3:$Z$3,0)),0)</f>
        <v>0</v>
      </c>
      <c r="AC212">
        <f>IFERROR(INDEX(UWS!$G$10:$Z$41,MATCH($C212,UWS!$B$10:$B$41,0),MATCH(AC$4,UWS!$G$3:$Z$3,0)),0)</f>
        <v>0</v>
      </c>
      <c r="AD212">
        <f>IFERROR(INDEX(UWS!$G$10:$Z$41,MATCH($C212,UWS!$B$10:$B$41,0),MATCH(AD$4,UWS!$G$3:$Z$3,0)),0)</f>
        <v>0</v>
      </c>
      <c r="AE212">
        <f>IFERROR(INDEX(UWS!$G$10:$Z$41,MATCH($C212,UWS!$B$10:$B$41,0),MATCH(AE$4,UWS!$G$3:$Z$3,0)),0)</f>
        <v>0</v>
      </c>
      <c r="AF212">
        <f>IFERROR(INDEX(UWS!$G$10:$Z$41,MATCH($C212,UWS!$B$10:$B$41,0),MATCH(AF$4,UWS!$G$3:$Z$3,0)),0)</f>
        <v>0</v>
      </c>
      <c r="AG212">
        <f>IFERROR(INDEX(UWS!$G$10:$Z$41,MATCH($C212,UWS!$B$10:$B$41,0),MATCH(AG$4,UWS!$G$3:$Z$3,0)),0)</f>
        <v>0</v>
      </c>
      <c r="AH212">
        <f>IFERROR(INDEX(UWS!$G$10:$Z$41,MATCH($C212,UWS!$B$10:$B$41,0),MATCH(AH$4,UWS!$G$3:$Z$3,0)),0)</f>
        <v>0</v>
      </c>
      <c r="AI212">
        <f>IFERROR(INDEX(UWS!$G$10:$Z$41,MATCH($C212,UWS!$B$10:$B$41,0),MATCH(AI$4,UWS!$G$3:$Z$3,0)),0)</f>
        <v>0</v>
      </c>
      <c r="AK212" t="e">
        <f>IF(OR($J212=0,COUNTIFS($A$4:$A211,"&gt;="&amp;$A212-1,$A$4:$A211,"&lt;="&amp;$A212,$B$4:$B211,$B212)&gt;0,MIN(AK$1,IF($A212=$A211,AK211,1))-P212&lt;0),-1,MIN(1,IF($A212=$A211,AK211,1)-P212+$D$3))</f>
        <v>#N/A</v>
      </c>
      <c r="AL212" t="e">
        <f>IF(OR($J212=0,COUNTIFS($A$4:$A211,"&gt;="&amp;$A212-1,$A$4:$A211,"&lt;="&amp;$A212,$B$4:$B211,$B212)&gt;0,MIN(AL$1,IF($A212=$A211,AL211,1))-Q212&lt;0),-1,MIN(1,IF($A212=$A211,AL211,1)-Q212+$D$3))</f>
        <v>#N/A</v>
      </c>
      <c r="AM212" t="e">
        <f>IF(OR($J212=0,COUNTIFS($A$4:$A211,"&gt;="&amp;$A212-1,$A$4:$A211,"&lt;="&amp;$A212,$B$4:$B211,$B212)&gt;0,MIN(AM$1,IF($A212=$A211,AM211,1))-R212&lt;0),-1,MIN(1,IF($A212=$A211,AM211,1)-R212+$D$3))</f>
        <v>#N/A</v>
      </c>
      <c r="AN212" t="e">
        <f>IF(OR($J212=0,COUNTIFS($A$4:$A211,"&gt;="&amp;$A212-1,$A$4:$A211,"&lt;="&amp;$A212,$B$4:$B211,$B212)&gt;0,MIN(AN$1,IF($A212=$A211,AN211,1))-S212&lt;0),-1,MIN(1,IF($A212=$A211,AN211,1)-S212+$D$3))</f>
        <v>#N/A</v>
      </c>
      <c r="AO212" t="e">
        <f>IF(OR($J212=0,COUNTIFS($A$4:$A211,"&gt;="&amp;$A212-1,$A$4:$A211,"&lt;="&amp;$A212,$B$4:$B211,$B212)&gt;0,MIN(AO$1,IF($A212=$A211,AO211,1))-T212&lt;0),-1,MIN(1,IF($A212=$A211,AO211,1)-T212+$D$3))</f>
        <v>#N/A</v>
      </c>
      <c r="AP212" t="e">
        <f>IF(OR($J212=0,COUNTIFS($A$4:$A211,"&gt;="&amp;$A212-1,$A$4:$A211,"&lt;="&amp;$A212,$B$4:$B211,$B212)&gt;0,MIN(AP$1,IF($A212=$A211,AP211,1))-U212&lt;0),-1,MIN(1,IF($A212=$A211,AP211,1)-U212+$D$3))</f>
        <v>#N/A</v>
      </c>
      <c r="AQ212" t="e">
        <f>IF(OR($J212=0,COUNTIFS($A$4:$A211,"&gt;="&amp;$A212-1,$A$4:$A211,"&lt;="&amp;$A212,$B$4:$B211,$B212)&gt;0,MIN(AQ$1,IF($A212=$A211,AQ211,1))-V212&lt;0),-1,MIN(1,IF($A212=$A211,AQ211,1)-V212+$D$3))</f>
        <v>#N/A</v>
      </c>
      <c r="AR212" t="e">
        <f>IF(OR($J212=0,COUNTIFS($A$4:$A211,"&gt;="&amp;$A212-1,$A$4:$A211,"&lt;="&amp;$A212,$B$4:$B211,$B212)&gt;0,MIN(AR$1,IF($A212=$A211,AR211,1))-W212&lt;0),-1,MIN(1,IF($A212=$A211,AR211,1)-W212+$D$3))</f>
        <v>#N/A</v>
      </c>
      <c r="AS212" t="e">
        <f>IF(OR($J212=0,COUNTIFS($A$4:$A211,"&gt;="&amp;$A212-1,$A$4:$A211,"&lt;="&amp;$A212,$B$4:$B211,$B212)&gt;0,MIN(AS$1,IF($A212=$A211,AS211,1))-X212&lt;0),-1,MIN(1,IF($A212=$A211,AS211,1)-X212+$D$3))</f>
        <v>#N/A</v>
      </c>
      <c r="AT212" t="e">
        <f>IF(OR($J212=0,COUNTIFS($A$4:$A211,"&gt;="&amp;$A212-1,$A$4:$A211,"&lt;="&amp;$A212,$B$4:$B211,$B212)&gt;0,MIN(AT$1,IF($A212=$A211,AT211,1))-Y212&lt;0),-1,MIN(1,IF($A212=$A211,AT211,1)-Y212+$D$3))</f>
        <v>#N/A</v>
      </c>
      <c r="AU212" t="e">
        <f>IF(OR($J212=0,COUNTIFS($A$4:$A211,"&gt;="&amp;$A212-1,$A$4:$A211,"&lt;="&amp;$A212,$B$4:$B211,$B212)&gt;0,MIN(AU$1,IF($A212=$A211,AU211,1))-Z212&lt;0),-1,MIN(1,IF($A212=$A211,AU211,1)-Z212+$D$3))</f>
        <v>#N/A</v>
      </c>
      <c r="AV212" t="e">
        <f>IF(OR($J212=0,COUNTIFS($A$4:$A211,"&gt;="&amp;$A212-1,$A$4:$A211,"&lt;="&amp;$A212,$B$4:$B211,$B212)&gt;0,MIN(AV$1,IF($A212=$A211,AV211,1))-AA212&lt;0),-1,MIN(1,IF($A212=$A211,AV211,1)-AA212+$D$3))</f>
        <v>#N/A</v>
      </c>
      <c r="AW212" t="e">
        <f>IF(OR($J212=0,COUNTIFS($A$4:$A211,"&gt;="&amp;$A212-1,$A$4:$A211,"&lt;="&amp;$A212,$B$4:$B211,$B212)&gt;0,MIN(AW$1,IF($A212=$A211,AW211,1))-AB212&lt;0),-1,MIN(1,IF($A212=$A211,AW211,1)-AB212+$D$3))</f>
        <v>#N/A</v>
      </c>
      <c r="AX212" t="e">
        <f>IF(OR($J212=0,COUNTIFS($A$4:$A211,"&gt;="&amp;$A212-1,$A$4:$A211,"&lt;="&amp;$A212,$B$4:$B211,$B212)&gt;0,MIN(AX$1,IF($A212=$A211,AX211,1))-AC212&lt;0),-1,MIN(1,IF($A212=$A211,AX211,1)-AC212+$D$3))</f>
        <v>#N/A</v>
      </c>
      <c r="AY212" t="e">
        <f>IF(OR($J212=0,COUNTIFS($A$4:$A211,"&gt;="&amp;$A212-1,$A$4:$A211,"&lt;="&amp;$A212,$B$4:$B211,$B212)&gt;0,MIN(AY$1,IF($A212=$A211,AY211,1))-AD212&lt;0),-1,MIN(1,IF($A212=$A211,AY211,1)-AD212+$D$3))</f>
        <v>#N/A</v>
      </c>
      <c r="AZ212" t="e">
        <f>IF(OR($J212=0,COUNTIFS($A$4:$A211,"&gt;="&amp;$A212-1,$A$4:$A211,"&lt;="&amp;$A212,$B$4:$B211,$B212)&gt;0,MIN(AZ$1,IF($A212=$A211,AZ211,1))-AE212&lt;0),-1,MIN(1,IF($A212=$A211,AZ211,1)-AE212+$D$3))</f>
        <v>#N/A</v>
      </c>
      <c r="BA212" t="e">
        <f>IF(OR($J212=0,COUNTIFS($A$4:$A211,"&gt;="&amp;$A212-1,$A$4:$A211,"&lt;="&amp;$A212,$B$4:$B211,$B212)&gt;0,MIN(BA$1,IF($A212=$A211,BA211,1))-AF212&lt;0),-1,MIN(1,IF($A212=$A211,BA211,1)-AF212+$D$3))</f>
        <v>#N/A</v>
      </c>
      <c r="BB212" t="e">
        <f>IF(OR($J212=0,COUNTIFS($A$4:$A211,"&gt;="&amp;$A212-1,$A$4:$A211,"&lt;="&amp;$A212,$B$4:$B211,$B212)&gt;0,MIN(BB$1,IF($A212=$A211,BB211,1))-AG212&lt;0),-1,MIN(1,IF($A212=$A211,BB211,1)-AG212+$D$3))</f>
        <v>#N/A</v>
      </c>
      <c r="BC212" t="e">
        <f>IF(OR($J212=0,COUNTIFS($A$4:$A211,"&gt;="&amp;$A212-1,$A$4:$A211,"&lt;="&amp;$A212,$B$4:$B211,$B212)&gt;0,MIN(BC$1,IF($A212=$A211,BC211,1))-AH212&lt;0),-1,MIN(1,IF($A212=$A211,BC211,1)-AH212+$D$3))</f>
        <v>#N/A</v>
      </c>
      <c r="BD212" t="e">
        <f>IF(OR($J212=0,COUNTIFS($A$4:$A211,"&gt;="&amp;$A212-1,$A$4:$A211,"&lt;="&amp;$A212,$B$4:$B211,$B212)&gt;0,MIN(BD$1,IF($A212=$A211,BD211,1))-AI212&lt;0),-1,MIN(1,IF($A212=$A211,BD211,1)-AI212+$D$3))</f>
        <v>#N/A</v>
      </c>
      <c r="BF212" s="44">
        <f t="shared" si="267"/>
        <v>4.9296466846433355E-5</v>
      </c>
      <c r="BG212" s="44">
        <f t="shared" si="268"/>
        <v>1.2123392251457678E-4</v>
      </c>
      <c r="BH212" s="44">
        <f t="shared" si="269"/>
        <v>1.2425201801772386E-4</v>
      </c>
      <c r="BI212" s="44">
        <f t="shared" si="270"/>
        <v>1.1477436753180749E-4</v>
      </c>
      <c r="BJ212" s="44">
        <f t="shared" si="271"/>
        <v>1.186302050588647E-4</v>
      </c>
      <c r="BK212" s="44">
        <f t="shared" si="272"/>
        <v>5.0944233172305607E-5</v>
      </c>
      <c r="BL212" s="44">
        <f t="shared" si="273"/>
        <v>2.752087623444266E-5</v>
      </c>
      <c r="BM212" s="44">
        <f t="shared" si="274"/>
        <v>7.0009895389115838E-5</v>
      </c>
      <c r="BN212" s="44">
        <f t="shared" si="275"/>
        <v>7.2815747452560159E-5</v>
      </c>
      <c r="BO212" s="44">
        <f t="shared" si="276"/>
        <v>3.4124222296753353E-5</v>
      </c>
      <c r="BP212" s="44">
        <f t="shared" si="277"/>
        <v>1.1474193717838937E-4</v>
      </c>
      <c r="BQ212" s="44">
        <f t="shared" si="278"/>
        <v>3.0964099066462048E-5</v>
      </c>
      <c r="BR212" s="44">
        <f t="shared" si="279"/>
        <v>9.1475699766927645E-5</v>
      </c>
      <c r="BS212" s="44">
        <f t="shared" si="280"/>
        <v>4.9334058777253598E-5</v>
      </c>
      <c r="BT212" s="44">
        <f t="shared" si="281"/>
        <v>1.9522999524208595E-4</v>
      </c>
      <c r="BU212" s="44">
        <f t="shared" si="282"/>
        <v>1.8650339240706569E-4</v>
      </c>
      <c r="BV212" s="44">
        <f t="shared" si="283"/>
        <v>1.7911168773840865E-4</v>
      </c>
      <c r="BW212" s="44">
        <f t="shared" si="284"/>
        <v>1.1714890037182461E-4</v>
      </c>
      <c r="BX212" s="44">
        <f t="shared" si="285"/>
        <v>8.6547480258265051E-5</v>
      </c>
      <c r="BY212" s="44">
        <f t="shared" si="286"/>
        <v>7.4310959305062902E-5</v>
      </c>
      <c r="CA212" s="44" t="str">
        <f t="shared" si="287"/>
        <v/>
      </c>
      <c r="CB212" s="44" t="str">
        <f t="shared" si="288"/>
        <v/>
      </c>
      <c r="CC212" s="44" t="str">
        <f t="shared" si="289"/>
        <v/>
      </c>
      <c r="CD212" s="44" t="str">
        <f t="shared" si="290"/>
        <v/>
      </c>
      <c r="CE212" s="44" t="str">
        <f t="shared" si="291"/>
        <v/>
      </c>
      <c r="CF212" s="44" t="str">
        <f t="shared" si="292"/>
        <v/>
      </c>
      <c r="CG212" s="44" t="str">
        <f t="shared" si="293"/>
        <v/>
      </c>
      <c r="CH212" s="44" t="str">
        <f t="shared" si="294"/>
        <v/>
      </c>
      <c r="CI212" s="44" t="str">
        <f t="shared" si="295"/>
        <v/>
      </c>
      <c r="CJ212" s="44" t="str">
        <f t="shared" si="296"/>
        <v/>
      </c>
      <c r="CK212" s="44" t="str">
        <f t="shared" si="297"/>
        <v/>
      </c>
      <c r="CL212" s="44" t="str">
        <f t="shared" si="298"/>
        <v/>
      </c>
      <c r="CM212" s="44" t="str">
        <f t="shared" si="299"/>
        <v/>
      </c>
      <c r="CN212" s="44" t="str">
        <f t="shared" si="300"/>
        <v/>
      </c>
      <c r="CO212" s="44" t="str">
        <f t="shared" si="301"/>
        <v/>
      </c>
      <c r="CP212" s="44" t="str">
        <f t="shared" si="302"/>
        <v/>
      </c>
      <c r="CQ212" s="44" t="str">
        <f t="shared" si="303"/>
        <v/>
      </c>
      <c r="CR212" s="44" t="str">
        <f t="shared" si="304"/>
        <v/>
      </c>
      <c r="CS212" s="44" t="str">
        <f t="shared" si="305"/>
        <v/>
      </c>
      <c r="CT212" s="44" t="str">
        <f t="shared" si="306"/>
        <v/>
      </c>
      <c r="CV212" s="44">
        <f t="shared" si="307"/>
        <v>0</v>
      </c>
    </row>
    <row r="213" spans="1:100" x14ac:dyDescent="0.25">
      <c r="A213" s="41"/>
      <c r="B213" s="42"/>
      <c r="C213" s="43" t="str" cm="1">
        <f t="array" ref="C213">IF(B213="","",INDEX(UWS!$B$10:$B$41,B213))</f>
        <v/>
      </c>
      <c r="D213" s="40" t="str">
        <f t="shared" si="264"/>
        <v/>
      </c>
      <c r="E213" s="69" t="str">
        <f t="shared" si="265"/>
        <v/>
      </c>
      <c r="F213" s="48" cm="1">
        <f t="array" ref="F213">0.1+IFERROR(INDEX($F$5:$F212,SUMPRODUCT(MAX(ROW($C$5:$C212)*($C213=$C$5:$C212))-ROW($A$4)))*0.9^($A213-INDEX($A$5:A212,SUMPRODUCT(MAX(ROW($C$5:$C212)*($C213=$C$5:$C212))-ROW($A$4)))),0)</f>
        <v>14.799999999999963</v>
      </c>
      <c r="G213" s="55" t="e">
        <f>INDEX(UWS!$AB$10:$AB$41,MATCH(C213,UWS!$B$10:$B$41,0))</f>
        <v>#N/A</v>
      </c>
      <c r="H213" s="48" t="e">
        <f>INDEX(UWS!$C$10:$C$41,MATCH(C213,UWS!$B$10:$B$41,0))</f>
        <v>#N/A</v>
      </c>
      <c r="I213" s="27">
        <f t="shared" si="266"/>
        <v>5</v>
      </c>
      <c r="J213" s="27" t="e">
        <f>INDEX(UWS!$E$10:$E$41,MATCH(C213,UWS!$B$10:$B$41,0))</f>
        <v>#N/A</v>
      </c>
      <c r="L213" s="108" t="str" cm="1">
        <f t="array" ref="L213">IF(K213="","",INDEX(UWS!$B$10:$B$41,K213))</f>
        <v/>
      </c>
      <c r="N213" s="108" t="str" cm="1">
        <f t="array" ref="N213">IF(M213="","",INDEX(UWS!$B$10:$B$41,M213))</f>
        <v/>
      </c>
      <c r="P213">
        <f>IFERROR(INDEX(UWS!$G$10:$Z$41,MATCH($C213,UWS!$B$10:$B$41,0),MATCH(P$4,UWS!$G$3:$Z$3,0)),0)</f>
        <v>0</v>
      </c>
      <c r="Q213">
        <f>IFERROR(INDEX(UWS!$G$10:$Z$41,MATCH($C213,UWS!$B$10:$B$41,0),MATCH(Q$4,UWS!$G$3:$Z$3,0)),0)</f>
        <v>0</v>
      </c>
      <c r="R213">
        <f>IFERROR(INDEX(UWS!$G$10:$Z$41,MATCH($C213,UWS!$B$10:$B$41,0),MATCH(R$4,UWS!$G$3:$Z$3,0)),0)</f>
        <v>0</v>
      </c>
      <c r="S213">
        <f>IFERROR(INDEX(UWS!$G$10:$Z$41,MATCH($C213,UWS!$B$10:$B$41,0),MATCH(S$4,UWS!$G$3:$Z$3,0)),0)</f>
        <v>0</v>
      </c>
      <c r="T213">
        <f>IFERROR(INDEX(UWS!$G$10:$Z$41,MATCH($C213,UWS!$B$10:$B$41,0),MATCH(T$4,UWS!$G$3:$Z$3,0)),0)</f>
        <v>0</v>
      </c>
      <c r="U213">
        <f>IFERROR(INDEX(UWS!$G$10:$Z$41,MATCH($C213,UWS!$B$10:$B$41,0),MATCH(U$4,UWS!$G$3:$Z$3,0)),0)</f>
        <v>0</v>
      </c>
      <c r="V213">
        <f>IFERROR(INDEX(UWS!$G$10:$Z$41,MATCH($C213,UWS!$B$10:$B$41,0),MATCH(V$4,UWS!$G$3:$Z$3,0)),0)</f>
        <v>0</v>
      </c>
      <c r="W213">
        <f>IFERROR(INDEX(UWS!$G$10:$Z$41,MATCH($C213,UWS!$B$10:$B$41,0),MATCH(W$4,UWS!$G$3:$Z$3,0)),0)</f>
        <v>0</v>
      </c>
      <c r="X213">
        <f>IFERROR(INDEX(UWS!$G$10:$Z$41,MATCH($C213,UWS!$B$10:$B$41,0),MATCH(X$4,UWS!$G$3:$Z$3,0)),0)</f>
        <v>0</v>
      </c>
      <c r="Y213">
        <f>IFERROR(INDEX(UWS!$G$10:$Z$41,MATCH($C213,UWS!$B$10:$B$41,0),MATCH(Y$4,UWS!$G$3:$Z$3,0)),0)</f>
        <v>0</v>
      </c>
      <c r="Z213">
        <f>IFERROR(INDEX(UWS!$G$10:$Z$41,MATCH($C213,UWS!$B$10:$B$41,0),MATCH(Z$4,UWS!$G$3:$Z$3,0)),0)</f>
        <v>0</v>
      </c>
      <c r="AA213">
        <f>IFERROR(INDEX(UWS!$G$10:$Z$41,MATCH($C213,UWS!$B$10:$B$41,0),MATCH(AA$4,UWS!$G$3:$Z$3,0)),0)</f>
        <v>0</v>
      </c>
      <c r="AB213">
        <f>IFERROR(INDEX(UWS!$G$10:$Z$41,MATCH($C213,UWS!$B$10:$B$41,0),MATCH(AB$4,UWS!$G$3:$Z$3,0)),0)</f>
        <v>0</v>
      </c>
      <c r="AC213">
        <f>IFERROR(INDEX(UWS!$G$10:$Z$41,MATCH($C213,UWS!$B$10:$B$41,0),MATCH(AC$4,UWS!$G$3:$Z$3,0)),0)</f>
        <v>0</v>
      </c>
      <c r="AD213">
        <f>IFERROR(INDEX(UWS!$G$10:$Z$41,MATCH($C213,UWS!$B$10:$B$41,0),MATCH(AD$4,UWS!$G$3:$Z$3,0)),0)</f>
        <v>0</v>
      </c>
      <c r="AE213">
        <f>IFERROR(INDEX(UWS!$G$10:$Z$41,MATCH($C213,UWS!$B$10:$B$41,0),MATCH(AE$4,UWS!$G$3:$Z$3,0)),0)</f>
        <v>0</v>
      </c>
      <c r="AF213">
        <f>IFERROR(INDEX(UWS!$G$10:$Z$41,MATCH($C213,UWS!$B$10:$B$41,0),MATCH(AF$4,UWS!$G$3:$Z$3,0)),0)</f>
        <v>0</v>
      </c>
      <c r="AG213">
        <f>IFERROR(INDEX(UWS!$G$10:$Z$41,MATCH($C213,UWS!$B$10:$B$41,0),MATCH(AG$4,UWS!$G$3:$Z$3,0)),0)</f>
        <v>0</v>
      </c>
      <c r="AH213">
        <f>IFERROR(INDEX(UWS!$G$10:$Z$41,MATCH($C213,UWS!$B$10:$B$41,0),MATCH(AH$4,UWS!$G$3:$Z$3,0)),0)</f>
        <v>0</v>
      </c>
      <c r="AI213">
        <f>IFERROR(INDEX(UWS!$G$10:$Z$41,MATCH($C213,UWS!$B$10:$B$41,0),MATCH(AI$4,UWS!$G$3:$Z$3,0)),0)</f>
        <v>0</v>
      </c>
      <c r="AK213" t="e">
        <f>IF(OR($J213=0,COUNTIFS($A$4:$A212,"&gt;="&amp;$A213-1,$A$4:$A212,"&lt;="&amp;$A213,$B$4:$B212,$B213)&gt;0,MIN(AK$1,IF($A213=$A212,AK212,1))-P213&lt;0),-1,MIN(1,IF($A213=$A212,AK212,1)-P213+$D$3))</f>
        <v>#N/A</v>
      </c>
      <c r="AL213" t="e">
        <f>IF(OR($J213=0,COUNTIFS($A$4:$A212,"&gt;="&amp;$A213-1,$A$4:$A212,"&lt;="&amp;$A213,$B$4:$B212,$B213)&gt;0,MIN(AL$1,IF($A213=$A212,AL212,1))-Q213&lt;0),-1,MIN(1,IF($A213=$A212,AL212,1)-Q213+$D$3))</f>
        <v>#N/A</v>
      </c>
      <c r="AM213" t="e">
        <f>IF(OR($J213=0,COUNTIFS($A$4:$A212,"&gt;="&amp;$A213-1,$A$4:$A212,"&lt;="&amp;$A213,$B$4:$B212,$B213)&gt;0,MIN(AM$1,IF($A213=$A212,AM212,1))-R213&lt;0),-1,MIN(1,IF($A213=$A212,AM212,1)-R213+$D$3))</f>
        <v>#N/A</v>
      </c>
      <c r="AN213" t="e">
        <f>IF(OR($J213=0,COUNTIFS($A$4:$A212,"&gt;="&amp;$A213-1,$A$4:$A212,"&lt;="&amp;$A213,$B$4:$B212,$B213)&gt;0,MIN(AN$1,IF($A213=$A212,AN212,1))-S213&lt;0),-1,MIN(1,IF($A213=$A212,AN212,1)-S213+$D$3))</f>
        <v>#N/A</v>
      </c>
      <c r="AO213" t="e">
        <f>IF(OR($J213=0,COUNTIFS($A$4:$A212,"&gt;="&amp;$A213-1,$A$4:$A212,"&lt;="&amp;$A213,$B$4:$B212,$B213)&gt;0,MIN(AO$1,IF($A213=$A212,AO212,1))-T213&lt;0),-1,MIN(1,IF($A213=$A212,AO212,1)-T213+$D$3))</f>
        <v>#N/A</v>
      </c>
      <c r="AP213" t="e">
        <f>IF(OR($J213=0,COUNTIFS($A$4:$A212,"&gt;="&amp;$A213-1,$A$4:$A212,"&lt;="&amp;$A213,$B$4:$B212,$B213)&gt;0,MIN(AP$1,IF($A213=$A212,AP212,1))-U213&lt;0),-1,MIN(1,IF($A213=$A212,AP212,1)-U213+$D$3))</f>
        <v>#N/A</v>
      </c>
      <c r="AQ213" t="e">
        <f>IF(OR($J213=0,COUNTIFS($A$4:$A212,"&gt;="&amp;$A213-1,$A$4:$A212,"&lt;="&amp;$A213,$B$4:$B212,$B213)&gt;0,MIN(AQ$1,IF($A213=$A212,AQ212,1))-V213&lt;0),-1,MIN(1,IF($A213=$A212,AQ212,1)-V213+$D$3))</f>
        <v>#N/A</v>
      </c>
      <c r="AR213" t="e">
        <f>IF(OR($J213=0,COUNTIFS($A$4:$A212,"&gt;="&amp;$A213-1,$A$4:$A212,"&lt;="&amp;$A213,$B$4:$B212,$B213)&gt;0,MIN(AR$1,IF($A213=$A212,AR212,1))-W213&lt;0),-1,MIN(1,IF($A213=$A212,AR212,1)-W213+$D$3))</f>
        <v>#N/A</v>
      </c>
      <c r="AS213" t="e">
        <f>IF(OR($J213=0,COUNTIFS($A$4:$A212,"&gt;="&amp;$A213-1,$A$4:$A212,"&lt;="&amp;$A213,$B$4:$B212,$B213)&gt;0,MIN(AS$1,IF($A213=$A212,AS212,1))-X213&lt;0),-1,MIN(1,IF($A213=$A212,AS212,1)-X213+$D$3))</f>
        <v>#N/A</v>
      </c>
      <c r="AT213" t="e">
        <f>IF(OR($J213=0,COUNTIFS($A$4:$A212,"&gt;="&amp;$A213-1,$A$4:$A212,"&lt;="&amp;$A213,$B$4:$B212,$B213)&gt;0,MIN(AT$1,IF($A213=$A212,AT212,1))-Y213&lt;0),-1,MIN(1,IF($A213=$A212,AT212,1)-Y213+$D$3))</f>
        <v>#N/A</v>
      </c>
      <c r="AU213" t="e">
        <f>IF(OR($J213=0,COUNTIFS($A$4:$A212,"&gt;="&amp;$A213-1,$A$4:$A212,"&lt;="&amp;$A213,$B$4:$B212,$B213)&gt;0,MIN(AU$1,IF($A213=$A212,AU212,1))-Z213&lt;0),-1,MIN(1,IF($A213=$A212,AU212,1)-Z213+$D$3))</f>
        <v>#N/A</v>
      </c>
      <c r="AV213" t="e">
        <f>IF(OR($J213=0,COUNTIFS($A$4:$A212,"&gt;="&amp;$A213-1,$A$4:$A212,"&lt;="&amp;$A213,$B$4:$B212,$B213)&gt;0,MIN(AV$1,IF($A213=$A212,AV212,1))-AA213&lt;0),-1,MIN(1,IF($A213=$A212,AV212,1)-AA213+$D$3))</f>
        <v>#N/A</v>
      </c>
      <c r="AW213" t="e">
        <f>IF(OR($J213=0,COUNTIFS($A$4:$A212,"&gt;="&amp;$A213-1,$A$4:$A212,"&lt;="&amp;$A213,$B$4:$B212,$B213)&gt;0,MIN(AW$1,IF($A213=$A212,AW212,1))-AB213&lt;0),-1,MIN(1,IF($A213=$A212,AW212,1)-AB213+$D$3))</f>
        <v>#N/A</v>
      </c>
      <c r="AX213" t="e">
        <f>IF(OR($J213=0,COUNTIFS($A$4:$A212,"&gt;="&amp;$A213-1,$A$4:$A212,"&lt;="&amp;$A213,$B$4:$B212,$B213)&gt;0,MIN(AX$1,IF($A213=$A212,AX212,1))-AC213&lt;0),-1,MIN(1,IF($A213=$A212,AX212,1)-AC213+$D$3))</f>
        <v>#N/A</v>
      </c>
      <c r="AY213" t="e">
        <f>IF(OR($J213=0,COUNTIFS($A$4:$A212,"&gt;="&amp;$A213-1,$A$4:$A212,"&lt;="&amp;$A213,$B$4:$B212,$B213)&gt;0,MIN(AY$1,IF($A213=$A212,AY212,1))-AD213&lt;0),-1,MIN(1,IF($A213=$A212,AY212,1)-AD213+$D$3))</f>
        <v>#N/A</v>
      </c>
      <c r="AZ213" t="e">
        <f>IF(OR($J213=0,COUNTIFS($A$4:$A212,"&gt;="&amp;$A213-1,$A$4:$A212,"&lt;="&amp;$A213,$B$4:$B212,$B213)&gt;0,MIN(AZ$1,IF($A213=$A212,AZ212,1))-AE213&lt;0),-1,MIN(1,IF($A213=$A212,AZ212,1)-AE213+$D$3))</f>
        <v>#N/A</v>
      </c>
      <c r="BA213" t="e">
        <f>IF(OR($J213=0,COUNTIFS($A$4:$A212,"&gt;="&amp;$A213-1,$A$4:$A212,"&lt;="&amp;$A213,$B$4:$B212,$B213)&gt;0,MIN(BA$1,IF($A213=$A212,BA212,1))-AF213&lt;0),-1,MIN(1,IF($A213=$A212,BA212,1)-AF213+$D$3))</f>
        <v>#N/A</v>
      </c>
      <c r="BB213" t="e">
        <f>IF(OR($J213=0,COUNTIFS($A$4:$A212,"&gt;="&amp;$A213-1,$A$4:$A212,"&lt;="&amp;$A213,$B$4:$B212,$B213)&gt;0,MIN(BB$1,IF($A213=$A212,BB212,1))-AG213&lt;0),-1,MIN(1,IF($A213=$A212,BB212,1)-AG213+$D$3))</f>
        <v>#N/A</v>
      </c>
      <c r="BC213" t="e">
        <f>IF(OR($J213=0,COUNTIFS($A$4:$A212,"&gt;="&amp;$A213-1,$A$4:$A212,"&lt;="&amp;$A213,$B$4:$B212,$B213)&gt;0,MIN(BC$1,IF($A213=$A212,BC212,1))-AH213&lt;0),-1,MIN(1,IF($A213=$A212,BC212,1)-AH213+$D$3))</f>
        <v>#N/A</v>
      </c>
      <c r="BD213" t="e">
        <f>IF(OR($J213=0,COUNTIFS($A$4:$A212,"&gt;="&amp;$A213-1,$A$4:$A212,"&lt;="&amp;$A213,$B$4:$B212,$B213)&gt;0,MIN(BD$1,IF($A213=$A212,BD212,1))-AI213&lt;0),-1,MIN(1,IF($A213=$A212,BD212,1)-AI213+$D$3))</f>
        <v>#N/A</v>
      </c>
      <c r="BF213" s="44">
        <f t="shared" si="267"/>
        <v>4.6831643504111684E-5</v>
      </c>
      <c r="BG213" s="44">
        <f t="shared" si="268"/>
        <v>1.1517222638884794E-4</v>
      </c>
      <c r="BH213" s="44">
        <f t="shared" si="269"/>
        <v>1.1803941711683766E-4</v>
      </c>
      <c r="BI213" s="44">
        <f t="shared" si="270"/>
        <v>1.090356491552171E-4</v>
      </c>
      <c r="BJ213" s="44">
        <f t="shared" si="271"/>
        <v>1.1269869480592145E-4</v>
      </c>
      <c r="BK213" s="44">
        <f t="shared" si="272"/>
        <v>4.8397021513690322E-5</v>
      </c>
      <c r="BL213" s="44">
        <f t="shared" si="273"/>
        <v>2.6144832422720525E-5</v>
      </c>
      <c r="BM213" s="44">
        <f t="shared" si="274"/>
        <v>6.6509400619660041E-5</v>
      </c>
      <c r="BN213" s="44">
        <f t="shared" si="275"/>
        <v>6.9174960079932153E-5</v>
      </c>
      <c r="BO213" s="44">
        <f t="shared" si="276"/>
        <v>3.2418011181915684E-5</v>
      </c>
      <c r="BP213" s="44">
        <f t="shared" si="277"/>
        <v>1.0900484031946989E-4</v>
      </c>
      <c r="BQ213" s="44">
        <f t="shared" si="278"/>
        <v>2.9415894113138944E-5</v>
      </c>
      <c r="BR213" s="44">
        <f t="shared" si="279"/>
        <v>8.6901914778581254E-5</v>
      </c>
      <c r="BS213" s="44">
        <f t="shared" si="280"/>
        <v>4.6867355838390916E-5</v>
      </c>
      <c r="BT213" s="44">
        <f t="shared" si="281"/>
        <v>1.8546849547998164E-4</v>
      </c>
      <c r="BU213" s="44">
        <f t="shared" si="282"/>
        <v>1.7717822278671239E-4</v>
      </c>
      <c r="BV213" s="44">
        <f t="shared" si="283"/>
        <v>1.701561033514882E-4</v>
      </c>
      <c r="BW213" s="44">
        <f t="shared" si="284"/>
        <v>1.1129145535323337E-4</v>
      </c>
      <c r="BX213" s="44">
        <f t="shared" si="285"/>
        <v>8.2220106245351799E-5</v>
      </c>
      <c r="BY213" s="44">
        <f t="shared" si="286"/>
        <v>7.0595411339809759E-5</v>
      </c>
      <c r="CA213" s="44" t="str">
        <f t="shared" si="287"/>
        <v/>
      </c>
      <c r="CB213" s="44" t="str">
        <f t="shared" si="288"/>
        <v/>
      </c>
      <c r="CC213" s="44" t="str">
        <f t="shared" si="289"/>
        <v/>
      </c>
      <c r="CD213" s="44" t="str">
        <f t="shared" si="290"/>
        <v/>
      </c>
      <c r="CE213" s="44" t="str">
        <f t="shared" si="291"/>
        <v/>
      </c>
      <c r="CF213" s="44" t="str">
        <f t="shared" si="292"/>
        <v/>
      </c>
      <c r="CG213" s="44" t="str">
        <f t="shared" si="293"/>
        <v/>
      </c>
      <c r="CH213" s="44" t="str">
        <f t="shared" si="294"/>
        <v/>
      </c>
      <c r="CI213" s="44" t="str">
        <f t="shared" si="295"/>
        <v/>
      </c>
      <c r="CJ213" s="44" t="str">
        <f t="shared" si="296"/>
        <v/>
      </c>
      <c r="CK213" s="44" t="str">
        <f t="shared" si="297"/>
        <v/>
      </c>
      <c r="CL213" s="44" t="str">
        <f t="shared" si="298"/>
        <v/>
      </c>
      <c r="CM213" s="44" t="str">
        <f t="shared" si="299"/>
        <v/>
      </c>
      <c r="CN213" s="44" t="str">
        <f t="shared" si="300"/>
        <v/>
      </c>
      <c r="CO213" s="44" t="str">
        <f t="shared" si="301"/>
        <v/>
      </c>
      <c r="CP213" s="44" t="str">
        <f t="shared" si="302"/>
        <v/>
      </c>
      <c r="CQ213" s="44" t="str">
        <f t="shared" si="303"/>
        <v/>
      </c>
      <c r="CR213" s="44" t="str">
        <f t="shared" si="304"/>
        <v/>
      </c>
      <c r="CS213" s="44" t="str">
        <f t="shared" si="305"/>
        <v/>
      </c>
      <c r="CT213" s="44" t="str">
        <f t="shared" si="306"/>
        <v/>
      </c>
      <c r="CV213" s="44">
        <f t="shared" si="307"/>
        <v>0</v>
      </c>
    </row>
    <row r="214" spans="1:100" x14ac:dyDescent="0.25">
      <c r="A214" s="41"/>
      <c r="B214" s="42"/>
      <c r="C214" s="43" t="str" cm="1">
        <f t="array" ref="C214">IF(B214="","",INDEX(UWS!$B$10:$B$41,B214))</f>
        <v/>
      </c>
      <c r="D214" s="40" t="str">
        <f t="shared" si="264"/>
        <v/>
      </c>
      <c r="E214" s="69" t="str">
        <f t="shared" si="265"/>
        <v/>
      </c>
      <c r="F214" s="48" cm="1">
        <f t="array" ref="F214">0.1+IFERROR(INDEX($F$5:$F213,SUMPRODUCT(MAX(ROW($C$5:$C213)*($C214=$C$5:$C213))-ROW($A$4)))*0.9^($A214-INDEX($A$5:A213,SUMPRODUCT(MAX(ROW($C$5:$C213)*($C214=$C$5:$C213))-ROW($A$4)))),0)</f>
        <v>14.899999999999963</v>
      </c>
      <c r="G214" s="55" t="e">
        <f>INDEX(UWS!$AB$10:$AB$41,MATCH(C214,UWS!$B$10:$B$41,0))</f>
        <v>#N/A</v>
      </c>
      <c r="H214" s="48" t="e">
        <f>INDEX(UWS!$C$10:$C$41,MATCH(C214,UWS!$B$10:$B$41,0))</f>
        <v>#N/A</v>
      </c>
      <c r="I214" s="27">
        <f t="shared" si="266"/>
        <v>5</v>
      </c>
      <c r="J214" s="27" t="e">
        <f>INDEX(UWS!$E$10:$E$41,MATCH(C214,UWS!$B$10:$B$41,0))</f>
        <v>#N/A</v>
      </c>
      <c r="L214" s="108" t="str" cm="1">
        <f t="array" ref="L214">IF(K214="","",INDEX(UWS!$B$10:$B$41,K214))</f>
        <v/>
      </c>
      <c r="N214" s="108" t="str" cm="1">
        <f t="array" ref="N214">IF(M214="","",INDEX(UWS!$B$10:$B$41,M214))</f>
        <v/>
      </c>
      <c r="P214">
        <f>IFERROR(INDEX(UWS!$G$10:$Z$41,MATCH($C214,UWS!$B$10:$B$41,0),MATCH(P$4,UWS!$G$3:$Z$3,0)),0)</f>
        <v>0</v>
      </c>
      <c r="Q214">
        <f>IFERROR(INDEX(UWS!$G$10:$Z$41,MATCH($C214,UWS!$B$10:$B$41,0),MATCH(Q$4,UWS!$G$3:$Z$3,0)),0)</f>
        <v>0</v>
      </c>
      <c r="R214">
        <f>IFERROR(INDEX(UWS!$G$10:$Z$41,MATCH($C214,UWS!$B$10:$B$41,0),MATCH(R$4,UWS!$G$3:$Z$3,0)),0)</f>
        <v>0</v>
      </c>
      <c r="S214">
        <f>IFERROR(INDEX(UWS!$G$10:$Z$41,MATCH($C214,UWS!$B$10:$B$41,0),MATCH(S$4,UWS!$G$3:$Z$3,0)),0)</f>
        <v>0</v>
      </c>
      <c r="T214">
        <f>IFERROR(INDEX(UWS!$G$10:$Z$41,MATCH($C214,UWS!$B$10:$B$41,0),MATCH(T$4,UWS!$G$3:$Z$3,0)),0)</f>
        <v>0</v>
      </c>
      <c r="U214">
        <f>IFERROR(INDEX(UWS!$G$10:$Z$41,MATCH($C214,UWS!$B$10:$B$41,0),MATCH(U$4,UWS!$G$3:$Z$3,0)),0)</f>
        <v>0</v>
      </c>
      <c r="V214">
        <f>IFERROR(INDEX(UWS!$G$10:$Z$41,MATCH($C214,UWS!$B$10:$B$41,0),MATCH(V$4,UWS!$G$3:$Z$3,0)),0)</f>
        <v>0</v>
      </c>
      <c r="W214">
        <f>IFERROR(INDEX(UWS!$G$10:$Z$41,MATCH($C214,UWS!$B$10:$B$41,0),MATCH(W$4,UWS!$G$3:$Z$3,0)),0)</f>
        <v>0</v>
      </c>
      <c r="X214">
        <f>IFERROR(INDEX(UWS!$G$10:$Z$41,MATCH($C214,UWS!$B$10:$B$41,0),MATCH(X$4,UWS!$G$3:$Z$3,0)),0)</f>
        <v>0</v>
      </c>
      <c r="Y214">
        <f>IFERROR(INDEX(UWS!$G$10:$Z$41,MATCH($C214,UWS!$B$10:$B$41,0),MATCH(Y$4,UWS!$G$3:$Z$3,0)),0)</f>
        <v>0</v>
      </c>
      <c r="Z214">
        <f>IFERROR(INDEX(UWS!$G$10:$Z$41,MATCH($C214,UWS!$B$10:$B$41,0),MATCH(Z$4,UWS!$G$3:$Z$3,0)),0)</f>
        <v>0</v>
      </c>
      <c r="AA214">
        <f>IFERROR(INDEX(UWS!$G$10:$Z$41,MATCH($C214,UWS!$B$10:$B$41,0),MATCH(AA$4,UWS!$G$3:$Z$3,0)),0)</f>
        <v>0</v>
      </c>
      <c r="AB214">
        <f>IFERROR(INDEX(UWS!$G$10:$Z$41,MATCH($C214,UWS!$B$10:$B$41,0),MATCH(AB$4,UWS!$G$3:$Z$3,0)),0)</f>
        <v>0</v>
      </c>
      <c r="AC214">
        <f>IFERROR(INDEX(UWS!$G$10:$Z$41,MATCH($C214,UWS!$B$10:$B$41,0),MATCH(AC$4,UWS!$G$3:$Z$3,0)),0)</f>
        <v>0</v>
      </c>
      <c r="AD214">
        <f>IFERROR(INDEX(UWS!$G$10:$Z$41,MATCH($C214,UWS!$B$10:$B$41,0),MATCH(AD$4,UWS!$G$3:$Z$3,0)),0)</f>
        <v>0</v>
      </c>
      <c r="AE214">
        <f>IFERROR(INDEX(UWS!$G$10:$Z$41,MATCH($C214,UWS!$B$10:$B$41,0),MATCH(AE$4,UWS!$G$3:$Z$3,0)),0)</f>
        <v>0</v>
      </c>
      <c r="AF214">
        <f>IFERROR(INDEX(UWS!$G$10:$Z$41,MATCH($C214,UWS!$B$10:$B$41,0),MATCH(AF$4,UWS!$G$3:$Z$3,0)),0)</f>
        <v>0</v>
      </c>
      <c r="AG214">
        <f>IFERROR(INDEX(UWS!$G$10:$Z$41,MATCH($C214,UWS!$B$10:$B$41,0),MATCH(AG$4,UWS!$G$3:$Z$3,0)),0)</f>
        <v>0</v>
      </c>
      <c r="AH214">
        <f>IFERROR(INDEX(UWS!$G$10:$Z$41,MATCH($C214,UWS!$B$10:$B$41,0),MATCH(AH$4,UWS!$G$3:$Z$3,0)),0)</f>
        <v>0</v>
      </c>
      <c r="AI214">
        <f>IFERROR(INDEX(UWS!$G$10:$Z$41,MATCH($C214,UWS!$B$10:$B$41,0),MATCH(AI$4,UWS!$G$3:$Z$3,0)),0)</f>
        <v>0</v>
      </c>
      <c r="AK214" t="e">
        <f>IF(OR($J214=0,COUNTIFS($A$4:$A213,"&gt;="&amp;$A214-1,$A$4:$A213,"&lt;="&amp;$A214,$B$4:$B213,$B214)&gt;0,MIN(AK$1,IF($A214=$A213,AK213,1))-P214&lt;0),-1,MIN(1,IF($A214=$A213,AK213,1)-P214+$D$3))</f>
        <v>#N/A</v>
      </c>
      <c r="AL214" t="e">
        <f>IF(OR($J214=0,COUNTIFS($A$4:$A213,"&gt;="&amp;$A214-1,$A$4:$A213,"&lt;="&amp;$A214,$B$4:$B213,$B214)&gt;0,MIN(AL$1,IF($A214=$A213,AL213,1))-Q214&lt;0),-1,MIN(1,IF($A214=$A213,AL213,1)-Q214+$D$3))</f>
        <v>#N/A</v>
      </c>
      <c r="AM214" t="e">
        <f>IF(OR($J214=0,COUNTIFS($A$4:$A213,"&gt;="&amp;$A214-1,$A$4:$A213,"&lt;="&amp;$A214,$B$4:$B213,$B214)&gt;0,MIN(AM$1,IF($A214=$A213,AM213,1))-R214&lt;0),-1,MIN(1,IF($A214=$A213,AM213,1)-R214+$D$3))</f>
        <v>#N/A</v>
      </c>
      <c r="AN214" t="e">
        <f>IF(OR($J214=0,COUNTIFS($A$4:$A213,"&gt;="&amp;$A214-1,$A$4:$A213,"&lt;="&amp;$A214,$B$4:$B213,$B214)&gt;0,MIN(AN$1,IF($A214=$A213,AN213,1))-S214&lt;0),-1,MIN(1,IF($A214=$A213,AN213,1)-S214+$D$3))</f>
        <v>#N/A</v>
      </c>
      <c r="AO214" t="e">
        <f>IF(OR($J214=0,COUNTIFS($A$4:$A213,"&gt;="&amp;$A214-1,$A$4:$A213,"&lt;="&amp;$A214,$B$4:$B213,$B214)&gt;0,MIN(AO$1,IF($A214=$A213,AO213,1))-T214&lt;0),-1,MIN(1,IF($A214=$A213,AO213,1)-T214+$D$3))</f>
        <v>#N/A</v>
      </c>
      <c r="AP214" t="e">
        <f>IF(OR($J214=0,COUNTIFS($A$4:$A213,"&gt;="&amp;$A214-1,$A$4:$A213,"&lt;="&amp;$A214,$B$4:$B213,$B214)&gt;0,MIN(AP$1,IF($A214=$A213,AP213,1))-U214&lt;0),-1,MIN(1,IF($A214=$A213,AP213,1)-U214+$D$3))</f>
        <v>#N/A</v>
      </c>
      <c r="AQ214" t="e">
        <f>IF(OR($J214=0,COUNTIFS($A$4:$A213,"&gt;="&amp;$A214-1,$A$4:$A213,"&lt;="&amp;$A214,$B$4:$B213,$B214)&gt;0,MIN(AQ$1,IF($A214=$A213,AQ213,1))-V214&lt;0),-1,MIN(1,IF($A214=$A213,AQ213,1)-V214+$D$3))</f>
        <v>#N/A</v>
      </c>
      <c r="AR214" t="e">
        <f>IF(OR($J214=0,COUNTIFS($A$4:$A213,"&gt;="&amp;$A214-1,$A$4:$A213,"&lt;="&amp;$A214,$B$4:$B213,$B214)&gt;0,MIN(AR$1,IF($A214=$A213,AR213,1))-W214&lt;0),-1,MIN(1,IF($A214=$A213,AR213,1)-W214+$D$3))</f>
        <v>#N/A</v>
      </c>
      <c r="AS214" t="e">
        <f>IF(OR($J214=0,COUNTIFS($A$4:$A213,"&gt;="&amp;$A214-1,$A$4:$A213,"&lt;="&amp;$A214,$B$4:$B213,$B214)&gt;0,MIN(AS$1,IF($A214=$A213,AS213,1))-X214&lt;0),-1,MIN(1,IF($A214=$A213,AS213,1)-X214+$D$3))</f>
        <v>#N/A</v>
      </c>
      <c r="AT214" t="e">
        <f>IF(OR($J214=0,COUNTIFS($A$4:$A213,"&gt;="&amp;$A214-1,$A$4:$A213,"&lt;="&amp;$A214,$B$4:$B213,$B214)&gt;0,MIN(AT$1,IF($A214=$A213,AT213,1))-Y214&lt;0),-1,MIN(1,IF($A214=$A213,AT213,1)-Y214+$D$3))</f>
        <v>#N/A</v>
      </c>
      <c r="AU214" t="e">
        <f>IF(OR($J214=0,COUNTIFS($A$4:$A213,"&gt;="&amp;$A214-1,$A$4:$A213,"&lt;="&amp;$A214,$B$4:$B213,$B214)&gt;0,MIN(AU$1,IF($A214=$A213,AU213,1))-Z214&lt;0),-1,MIN(1,IF($A214=$A213,AU213,1)-Z214+$D$3))</f>
        <v>#N/A</v>
      </c>
      <c r="AV214" t="e">
        <f>IF(OR($J214=0,COUNTIFS($A$4:$A213,"&gt;="&amp;$A214-1,$A$4:$A213,"&lt;="&amp;$A214,$B$4:$B213,$B214)&gt;0,MIN(AV$1,IF($A214=$A213,AV213,1))-AA214&lt;0),-1,MIN(1,IF($A214=$A213,AV213,1)-AA214+$D$3))</f>
        <v>#N/A</v>
      </c>
      <c r="AW214" t="e">
        <f>IF(OR($J214=0,COUNTIFS($A$4:$A213,"&gt;="&amp;$A214-1,$A$4:$A213,"&lt;="&amp;$A214,$B$4:$B213,$B214)&gt;0,MIN(AW$1,IF($A214=$A213,AW213,1))-AB214&lt;0),-1,MIN(1,IF($A214=$A213,AW213,1)-AB214+$D$3))</f>
        <v>#N/A</v>
      </c>
      <c r="AX214" t="e">
        <f>IF(OR($J214=0,COUNTIFS($A$4:$A213,"&gt;="&amp;$A214-1,$A$4:$A213,"&lt;="&amp;$A214,$B$4:$B213,$B214)&gt;0,MIN(AX$1,IF($A214=$A213,AX213,1))-AC214&lt;0),-1,MIN(1,IF($A214=$A213,AX213,1)-AC214+$D$3))</f>
        <v>#N/A</v>
      </c>
      <c r="AY214" t="e">
        <f>IF(OR($J214=0,COUNTIFS($A$4:$A213,"&gt;="&amp;$A214-1,$A$4:$A213,"&lt;="&amp;$A214,$B$4:$B213,$B214)&gt;0,MIN(AY$1,IF($A214=$A213,AY213,1))-AD214&lt;0),-1,MIN(1,IF($A214=$A213,AY213,1)-AD214+$D$3))</f>
        <v>#N/A</v>
      </c>
      <c r="AZ214" t="e">
        <f>IF(OR($J214=0,COUNTIFS($A$4:$A213,"&gt;="&amp;$A214-1,$A$4:$A213,"&lt;="&amp;$A214,$B$4:$B213,$B214)&gt;0,MIN(AZ$1,IF($A214=$A213,AZ213,1))-AE214&lt;0),-1,MIN(1,IF($A214=$A213,AZ213,1)-AE214+$D$3))</f>
        <v>#N/A</v>
      </c>
      <c r="BA214" t="e">
        <f>IF(OR($J214=0,COUNTIFS($A$4:$A213,"&gt;="&amp;$A214-1,$A$4:$A213,"&lt;="&amp;$A214,$B$4:$B213,$B214)&gt;0,MIN(BA$1,IF($A214=$A213,BA213,1))-AF214&lt;0),-1,MIN(1,IF($A214=$A213,BA213,1)-AF214+$D$3))</f>
        <v>#N/A</v>
      </c>
      <c r="BB214" t="e">
        <f>IF(OR($J214=0,COUNTIFS($A$4:$A213,"&gt;="&amp;$A214-1,$A$4:$A213,"&lt;="&amp;$A214,$B$4:$B213,$B214)&gt;0,MIN(BB$1,IF($A214=$A213,BB213,1))-AG214&lt;0),-1,MIN(1,IF($A214=$A213,BB213,1)-AG214+$D$3))</f>
        <v>#N/A</v>
      </c>
      <c r="BC214" t="e">
        <f>IF(OR($J214=0,COUNTIFS($A$4:$A213,"&gt;="&amp;$A214-1,$A$4:$A213,"&lt;="&amp;$A214,$B$4:$B213,$B214)&gt;0,MIN(BC$1,IF($A214=$A213,BC213,1))-AH214&lt;0),-1,MIN(1,IF($A214=$A213,BC213,1)-AH214+$D$3))</f>
        <v>#N/A</v>
      </c>
      <c r="BD214" t="e">
        <f>IF(OR($J214=0,COUNTIFS($A$4:$A213,"&gt;="&amp;$A214-1,$A$4:$A213,"&lt;="&amp;$A214,$B$4:$B213,$B214)&gt;0,MIN(BD$1,IF($A214=$A213,BD213,1))-AI214&lt;0),-1,MIN(1,IF($A214=$A213,BD213,1)-AI214+$D$3))</f>
        <v>#N/A</v>
      </c>
      <c r="BF214" s="44">
        <f t="shared" si="267"/>
        <v>4.4490061328906095E-5</v>
      </c>
      <c r="BG214" s="44">
        <f t="shared" si="268"/>
        <v>1.0941361506940554E-4</v>
      </c>
      <c r="BH214" s="44">
        <f t="shared" si="269"/>
        <v>1.1213744626099578E-4</v>
      </c>
      <c r="BI214" s="44">
        <f t="shared" si="270"/>
        <v>1.0358386669745625E-4</v>
      </c>
      <c r="BJ214" s="44">
        <f t="shared" si="271"/>
        <v>1.0706376006562538E-4</v>
      </c>
      <c r="BK214" s="44">
        <f t="shared" si="272"/>
        <v>4.5977170438005801E-5</v>
      </c>
      <c r="BL214" s="44">
        <f t="shared" si="273"/>
        <v>2.4837590801584497E-5</v>
      </c>
      <c r="BM214" s="44">
        <f t="shared" si="274"/>
        <v>6.3183930588677035E-5</v>
      </c>
      <c r="BN214" s="44">
        <f t="shared" si="275"/>
        <v>6.571621207593554E-5</v>
      </c>
      <c r="BO214" s="44">
        <f t="shared" si="276"/>
        <v>3.0797110622819902E-5</v>
      </c>
      <c r="BP214" s="44">
        <f t="shared" si="277"/>
        <v>1.0355459830349639E-4</v>
      </c>
      <c r="BQ214" s="44">
        <f t="shared" si="278"/>
        <v>2.7945099407481996E-5</v>
      </c>
      <c r="BR214" s="44">
        <f t="shared" si="279"/>
        <v>8.2556819039652181E-5</v>
      </c>
      <c r="BS214" s="44">
        <f t="shared" si="280"/>
        <v>4.4523988046471368E-5</v>
      </c>
      <c r="BT214" s="44">
        <f t="shared" si="281"/>
        <v>1.7619507070598255E-4</v>
      </c>
      <c r="BU214" s="44">
        <f t="shared" si="282"/>
        <v>1.6831931164737677E-4</v>
      </c>
      <c r="BV214" s="44">
        <f t="shared" si="283"/>
        <v>1.6164829818391378E-4</v>
      </c>
      <c r="BW214" s="44">
        <f t="shared" si="284"/>
        <v>1.0572688258557169E-4</v>
      </c>
      <c r="BX214" s="44">
        <f t="shared" si="285"/>
        <v>7.8109100933084204E-5</v>
      </c>
      <c r="BY214" s="44">
        <f t="shared" si="286"/>
        <v>6.7065640772819268E-5</v>
      </c>
      <c r="CA214" s="44" t="str">
        <f t="shared" si="287"/>
        <v/>
      </c>
      <c r="CB214" s="44" t="str">
        <f t="shared" si="288"/>
        <v/>
      </c>
      <c r="CC214" s="44" t="str">
        <f t="shared" si="289"/>
        <v/>
      </c>
      <c r="CD214" s="44" t="str">
        <f t="shared" si="290"/>
        <v/>
      </c>
      <c r="CE214" s="44" t="str">
        <f t="shared" si="291"/>
        <v/>
      </c>
      <c r="CF214" s="44" t="str">
        <f t="shared" si="292"/>
        <v/>
      </c>
      <c r="CG214" s="44" t="str">
        <f t="shared" si="293"/>
        <v/>
      </c>
      <c r="CH214" s="44" t="str">
        <f t="shared" si="294"/>
        <v/>
      </c>
      <c r="CI214" s="44" t="str">
        <f t="shared" si="295"/>
        <v/>
      </c>
      <c r="CJ214" s="44" t="str">
        <f t="shared" si="296"/>
        <v/>
      </c>
      <c r="CK214" s="44" t="str">
        <f t="shared" si="297"/>
        <v/>
      </c>
      <c r="CL214" s="44" t="str">
        <f t="shared" si="298"/>
        <v/>
      </c>
      <c r="CM214" s="44" t="str">
        <f t="shared" si="299"/>
        <v/>
      </c>
      <c r="CN214" s="44" t="str">
        <f t="shared" si="300"/>
        <v/>
      </c>
      <c r="CO214" s="44" t="str">
        <f t="shared" si="301"/>
        <v/>
      </c>
      <c r="CP214" s="44" t="str">
        <f t="shared" si="302"/>
        <v/>
      </c>
      <c r="CQ214" s="44" t="str">
        <f t="shared" si="303"/>
        <v/>
      </c>
      <c r="CR214" s="44" t="str">
        <f t="shared" si="304"/>
        <v/>
      </c>
      <c r="CS214" s="44" t="str">
        <f t="shared" si="305"/>
        <v/>
      </c>
      <c r="CT214" s="44" t="str">
        <f t="shared" si="306"/>
        <v/>
      </c>
      <c r="CV214" s="44">
        <f t="shared" si="307"/>
        <v>0</v>
      </c>
    </row>
    <row r="215" spans="1:100" x14ac:dyDescent="0.25">
      <c r="A215" s="49"/>
      <c r="B215" s="50"/>
      <c r="C215" s="51" t="str" cm="1">
        <f t="array" ref="C215">IF(B215="","",INDEX(UWS!$B$10:$B$41,B215))</f>
        <v/>
      </c>
      <c r="D215" s="45" t="str">
        <f t="shared" si="264"/>
        <v/>
      </c>
      <c r="E215" s="70" t="str">
        <f t="shared" si="265"/>
        <v/>
      </c>
      <c r="F215" s="52" cm="1">
        <f t="array" ref="F215">0.1+IFERROR(INDEX($F$5:$F214,SUMPRODUCT(MAX(ROW($C$5:$C214)*($C215=$C$5:$C214))-ROW($A$4)))*0.9^($A215-INDEX($A$5:A214,SUMPRODUCT(MAX(ROW($C$5:$C214)*($C215=$C$5:$C214))-ROW($A$4)))),0)</f>
        <v>14.999999999999963</v>
      </c>
      <c r="G215" s="56" t="e">
        <f>INDEX(UWS!$AB$10:$AB$41,MATCH(C215,UWS!$B$10:$B$41,0))</f>
        <v>#N/A</v>
      </c>
      <c r="H215" s="52" t="e">
        <f>INDEX(UWS!$C$10:$C$41,MATCH(C215,UWS!$B$10:$B$41,0))</f>
        <v>#N/A</v>
      </c>
      <c r="I215" s="46">
        <f t="shared" si="266"/>
        <v>5</v>
      </c>
      <c r="J215" s="46" t="e">
        <f>INDEX(UWS!$E$10:$E$41,MATCH(C215,UWS!$B$10:$B$41,0))</f>
        <v>#N/A</v>
      </c>
      <c r="K215" s="46"/>
      <c r="L215" s="109" t="str" cm="1">
        <f t="array" ref="L215">IF(K215="","",INDEX(UWS!$B$10:$B$41,K215))</f>
        <v/>
      </c>
      <c r="M215" s="46"/>
      <c r="N215" s="109" t="str" cm="1">
        <f t="array" ref="N215">IF(M215="","",INDEX(UWS!$B$10:$B$41,M215))</f>
        <v/>
      </c>
      <c r="O215" s="47"/>
      <c r="P215" s="47">
        <f>IFERROR(INDEX(UWS!$G$10:$Z$41,MATCH($C215,UWS!$B$10:$B$41,0),MATCH(P$4,UWS!$G$3:$Z$3,0)),0)</f>
        <v>0</v>
      </c>
      <c r="Q215" s="47">
        <f>IFERROR(INDEX(UWS!$G$10:$Z$41,MATCH($C215,UWS!$B$10:$B$41,0),MATCH(Q$4,UWS!$G$3:$Z$3,0)),0)</f>
        <v>0</v>
      </c>
      <c r="R215" s="47">
        <f>IFERROR(INDEX(UWS!$G$10:$Z$41,MATCH($C215,UWS!$B$10:$B$41,0),MATCH(R$4,UWS!$G$3:$Z$3,0)),0)</f>
        <v>0</v>
      </c>
      <c r="S215" s="47">
        <f>IFERROR(INDEX(UWS!$G$10:$Z$41,MATCH($C215,UWS!$B$10:$B$41,0),MATCH(S$4,UWS!$G$3:$Z$3,0)),0)</f>
        <v>0</v>
      </c>
      <c r="T215" s="47">
        <f>IFERROR(INDEX(UWS!$G$10:$Z$41,MATCH($C215,UWS!$B$10:$B$41,0),MATCH(T$4,UWS!$G$3:$Z$3,0)),0)</f>
        <v>0</v>
      </c>
      <c r="U215" s="47">
        <f>IFERROR(INDEX(UWS!$G$10:$Z$41,MATCH($C215,UWS!$B$10:$B$41,0),MATCH(U$4,UWS!$G$3:$Z$3,0)),0)</f>
        <v>0</v>
      </c>
      <c r="V215" s="47">
        <f>IFERROR(INDEX(UWS!$G$10:$Z$41,MATCH($C215,UWS!$B$10:$B$41,0),MATCH(V$4,UWS!$G$3:$Z$3,0)),0)</f>
        <v>0</v>
      </c>
      <c r="W215" s="47">
        <f>IFERROR(INDEX(UWS!$G$10:$Z$41,MATCH($C215,UWS!$B$10:$B$41,0),MATCH(W$4,UWS!$G$3:$Z$3,0)),0)</f>
        <v>0</v>
      </c>
      <c r="X215" s="47">
        <f>IFERROR(INDEX(UWS!$G$10:$Z$41,MATCH($C215,UWS!$B$10:$B$41,0),MATCH(X$4,UWS!$G$3:$Z$3,0)),0)</f>
        <v>0</v>
      </c>
      <c r="Y215" s="47">
        <f>IFERROR(INDEX(UWS!$G$10:$Z$41,MATCH($C215,UWS!$B$10:$B$41,0),MATCH(Y$4,UWS!$G$3:$Z$3,0)),0)</f>
        <v>0</v>
      </c>
      <c r="Z215" s="47">
        <f>IFERROR(INDEX(UWS!$G$10:$Z$41,MATCH($C215,UWS!$B$10:$B$41,0),MATCH(Z$4,UWS!$G$3:$Z$3,0)),0)</f>
        <v>0</v>
      </c>
      <c r="AA215" s="47">
        <f>IFERROR(INDEX(UWS!$G$10:$Z$41,MATCH($C215,UWS!$B$10:$B$41,0),MATCH(AA$4,UWS!$G$3:$Z$3,0)),0)</f>
        <v>0</v>
      </c>
      <c r="AB215" s="47">
        <f>IFERROR(INDEX(UWS!$G$10:$Z$41,MATCH($C215,UWS!$B$10:$B$41,0),MATCH(AB$4,UWS!$G$3:$Z$3,0)),0)</f>
        <v>0</v>
      </c>
      <c r="AC215" s="47">
        <f>IFERROR(INDEX(UWS!$G$10:$Z$41,MATCH($C215,UWS!$B$10:$B$41,0),MATCH(AC$4,UWS!$G$3:$Z$3,0)),0)</f>
        <v>0</v>
      </c>
      <c r="AD215" s="47">
        <f>IFERROR(INDEX(UWS!$G$10:$Z$41,MATCH($C215,UWS!$B$10:$B$41,0),MATCH(AD$4,UWS!$G$3:$Z$3,0)),0)</f>
        <v>0</v>
      </c>
      <c r="AE215" s="47">
        <f>IFERROR(INDEX(UWS!$G$10:$Z$41,MATCH($C215,UWS!$B$10:$B$41,0),MATCH(AE$4,UWS!$G$3:$Z$3,0)),0)</f>
        <v>0</v>
      </c>
      <c r="AF215" s="47">
        <f>IFERROR(INDEX(UWS!$G$10:$Z$41,MATCH($C215,UWS!$B$10:$B$41,0),MATCH(AF$4,UWS!$G$3:$Z$3,0)),0)</f>
        <v>0</v>
      </c>
      <c r="AG215" s="47">
        <f>IFERROR(INDEX(UWS!$G$10:$Z$41,MATCH($C215,UWS!$B$10:$B$41,0),MATCH(AG$4,UWS!$G$3:$Z$3,0)),0)</f>
        <v>0</v>
      </c>
      <c r="AH215" s="47">
        <f>IFERROR(INDEX(UWS!$G$10:$Z$41,MATCH($C215,UWS!$B$10:$B$41,0),MATCH(AH$4,UWS!$G$3:$Z$3,0)),0)</f>
        <v>0</v>
      </c>
      <c r="AI215" s="47">
        <f>IFERROR(INDEX(UWS!$G$10:$Z$41,MATCH($C215,UWS!$B$10:$B$41,0),MATCH(AI$4,UWS!$G$3:$Z$3,0)),0)</f>
        <v>0</v>
      </c>
      <c r="AJ215" s="47"/>
      <c r="AK215" s="47" t="e">
        <f>IF(OR($J215=0,COUNTIFS($A$4:$A214,"&gt;="&amp;$A215-1,$A$4:$A214,"&lt;="&amp;$A215,$B$4:$B214,$B215)&gt;0,MIN(AK$1,IF($A215=$A214,AK214,1))-P215&lt;0),-1,MIN(1,IF($A215=$A214,AK214,1)-P215+$D$3))</f>
        <v>#N/A</v>
      </c>
      <c r="AL215" s="47" t="e">
        <f>IF(OR($J215=0,COUNTIFS($A$4:$A214,"&gt;="&amp;$A215-1,$A$4:$A214,"&lt;="&amp;$A215,$B$4:$B214,$B215)&gt;0,MIN(AL$1,IF($A215=$A214,AL214,1))-Q215&lt;0),-1,MIN(1,IF($A215=$A214,AL214,1)-Q215+$D$3))</f>
        <v>#N/A</v>
      </c>
      <c r="AM215" s="47" t="e">
        <f>IF(OR($J215=0,COUNTIFS($A$4:$A214,"&gt;="&amp;$A215-1,$A$4:$A214,"&lt;="&amp;$A215,$B$4:$B214,$B215)&gt;0,MIN(AM$1,IF($A215=$A214,AM214,1))-R215&lt;0),-1,MIN(1,IF($A215=$A214,AM214,1)-R215+$D$3))</f>
        <v>#N/A</v>
      </c>
      <c r="AN215" s="47" t="e">
        <f>IF(OR($J215=0,COUNTIFS($A$4:$A214,"&gt;="&amp;$A215-1,$A$4:$A214,"&lt;="&amp;$A215,$B$4:$B214,$B215)&gt;0,MIN(AN$1,IF($A215=$A214,AN214,1))-S215&lt;0),-1,MIN(1,IF($A215=$A214,AN214,1)-S215+$D$3))</f>
        <v>#N/A</v>
      </c>
      <c r="AO215" s="47" t="e">
        <f>IF(OR($J215=0,COUNTIFS($A$4:$A214,"&gt;="&amp;$A215-1,$A$4:$A214,"&lt;="&amp;$A215,$B$4:$B214,$B215)&gt;0,MIN(AO$1,IF($A215=$A214,AO214,1))-T215&lt;0),-1,MIN(1,IF($A215=$A214,AO214,1)-T215+$D$3))</f>
        <v>#N/A</v>
      </c>
      <c r="AP215" s="47" t="e">
        <f>IF(OR($J215=0,COUNTIFS($A$4:$A214,"&gt;="&amp;$A215-1,$A$4:$A214,"&lt;="&amp;$A215,$B$4:$B214,$B215)&gt;0,MIN(AP$1,IF($A215=$A214,AP214,1))-U215&lt;0),-1,MIN(1,IF($A215=$A214,AP214,1)-U215+$D$3))</f>
        <v>#N/A</v>
      </c>
      <c r="AQ215" s="47" t="e">
        <f>IF(OR($J215=0,COUNTIFS($A$4:$A214,"&gt;="&amp;$A215-1,$A$4:$A214,"&lt;="&amp;$A215,$B$4:$B214,$B215)&gt;0,MIN(AQ$1,IF($A215=$A214,AQ214,1))-V215&lt;0),-1,MIN(1,IF($A215=$A214,AQ214,1)-V215+$D$3))</f>
        <v>#N/A</v>
      </c>
      <c r="AR215" s="47" t="e">
        <f>IF(OR($J215=0,COUNTIFS($A$4:$A214,"&gt;="&amp;$A215-1,$A$4:$A214,"&lt;="&amp;$A215,$B$4:$B214,$B215)&gt;0,MIN(AR$1,IF($A215=$A214,AR214,1))-W215&lt;0),-1,MIN(1,IF($A215=$A214,AR214,1)-W215+$D$3))</f>
        <v>#N/A</v>
      </c>
      <c r="AS215" s="47" t="e">
        <f>IF(OR($J215=0,COUNTIFS($A$4:$A214,"&gt;="&amp;$A215-1,$A$4:$A214,"&lt;="&amp;$A215,$B$4:$B214,$B215)&gt;0,MIN(AS$1,IF($A215=$A214,AS214,1))-X215&lt;0),-1,MIN(1,IF($A215=$A214,AS214,1)-X215+$D$3))</f>
        <v>#N/A</v>
      </c>
      <c r="AT215" s="47" t="e">
        <f>IF(OR($J215=0,COUNTIFS($A$4:$A214,"&gt;="&amp;$A215-1,$A$4:$A214,"&lt;="&amp;$A215,$B$4:$B214,$B215)&gt;0,MIN(AT$1,IF($A215=$A214,AT214,1))-Y215&lt;0),-1,MIN(1,IF($A215=$A214,AT214,1)-Y215+$D$3))</f>
        <v>#N/A</v>
      </c>
      <c r="AU215" s="47" t="e">
        <f>IF(OR($J215=0,COUNTIFS($A$4:$A214,"&gt;="&amp;$A215-1,$A$4:$A214,"&lt;="&amp;$A215,$B$4:$B214,$B215)&gt;0,MIN(AU$1,IF($A215=$A214,AU214,1))-Z215&lt;0),-1,MIN(1,IF($A215=$A214,AU214,1)-Z215+$D$3))</f>
        <v>#N/A</v>
      </c>
      <c r="AV215" s="47" t="e">
        <f>IF(OR($J215=0,COUNTIFS($A$4:$A214,"&gt;="&amp;$A215-1,$A$4:$A214,"&lt;="&amp;$A215,$B$4:$B214,$B215)&gt;0,MIN(AV$1,IF($A215=$A214,AV214,1))-AA215&lt;0),-1,MIN(1,IF($A215=$A214,AV214,1)-AA215+$D$3))</f>
        <v>#N/A</v>
      </c>
      <c r="AW215" s="47" t="e">
        <f>IF(OR($J215=0,COUNTIFS($A$4:$A214,"&gt;="&amp;$A215-1,$A$4:$A214,"&lt;="&amp;$A215,$B$4:$B214,$B215)&gt;0,MIN(AW$1,IF($A215=$A214,AW214,1))-AB215&lt;0),-1,MIN(1,IF($A215=$A214,AW214,1)-AB215+$D$3))</f>
        <v>#N/A</v>
      </c>
      <c r="AX215" s="47" t="e">
        <f>IF(OR($J215=0,COUNTIFS($A$4:$A214,"&gt;="&amp;$A215-1,$A$4:$A214,"&lt;="&amp;$A215,$B$4:$B214,$B215)&gt;0,MIN(AX$1,IF($A215=$A214,AX214,1))-AC215&lt;0),-1,MIN(1,IF($A215=$A214,AX214,1)-AC215+$D$3))</f>
        <v>#N/A</v>
      </c>
      <c r="AY215" s="47" t="e">
        <f>IF(OR($J215=0,COUNTIFS($A$4:$A214,"&gt;="&amp;$A215-1,$A$4:$A214,"&lt;="&amp;$A215,$B$4:$B214,$B215)&gt;0,MIN(AY$1,IF($A215=$A214,AY214,1))-AD215&lt;0),-1,MIN(1,IF($A215=$A214,AY214,1)-AD215+$D$3))</f>
        <v>#N/A</v>
      </c>
      <c r="AZ215" s="47" t="e">
        <f>IF(OR($J215=0,COUNTIFS($A$4:$A214,"&gt;="&amp;$A215-1,$A$4:$A214,"&lt;="&amp;$A215,$B$4:$B214,$B215)&gt;0,MIN(AZ$1,IF($A215=$A214,AZ214,1))-AE215&lt;0),-1,MIN(1,IF($A215=$A214,AZ214,1)-AE215+$D$3))</f>
        <v>#N/A</v>
      </c>
      <c r="BA215" s="47" t="e">
        <f>IF(OR($J215=0,COUNTIFS($A$4:$A214,"&gt;="&amp;$A215-1,$A$4:$A214,"&lt;="&amp;$A215,$B$4:$B214,$B215)&gt;0,MIN(BA$1,IF($A215=$A214,BA214,1))-AF215&lt;0),-1,MIN(1,IF($A215=$A214,BA214,1)-AF215+$D$3))</f>
        <v>#N/A</v>
      </c>
      <c r="BB215" s="47" t="e">
        <f>IF(OR($J215=0,COUNTIFS($A$4:$A214,"&gt;="&amp;$A215-1,$A$4:$A214,"&lt;="&amp;$A215,$B$4:$B214,$B215)&gt;0,MIN(BB$1,IF($A215=$A214,BB214,1))-AG215&lt;0),-1,MIN(1,IF($A215=$A214,BB214,1)-AG215+$D$3))</f>
        <v>#N/A</v>
      </c>
      <c r="BC215" s="47" t="e">
        <f>IF(OR($J215=0,COUNTIFS($A$4:$A214,"&gt;="&amp;$A215-1,$A$4:$A214,"&lt;="&amp;$A215,$B$4:$B214,$B215)&gt;0,MIN(BC$1,IF($A215=$A214,BC214,1))-AH215&lt;0),-1,MIN(1,IF($A215=$A214,BC214,1)-AH215+$D$3))</f>
        <v>#N/A</v>
      </c>
      <c r="BD215" s="47" t="e">
        <f>IF(OR($J215=0,COUNTIFS($A$4:$A214,"&gt;="&amp;$A215-1,$A$4:$A214,"&lt;="&amp;$A215,$B$4:$B214,$B215)&gt;0,MIN(BD$1,IF($A215=$A214,BD214,1))-AI215&lt;0),-1,MIN(1,IF($A215=$A214,BD214,1)-AI215+$D$3))</f>
        <v>#N/A</v>
      </c>
      <c r="BE215" s="47"/>
      <c r="BF215" s="53">
        <f t="shared" si="267"/>
        <v>4.2265558262460791E-5</v>
      </c>
      <c r="BG215" s="53">
        <f t="shared" si="268"/>
        <v>1.0394293431593526E-4</v>
      </c>
      <c r="BH215" s="53">
        <f t="shared" si="269"/>
        <v>1.0653057394794598E-4</v>
      </c>
      <c r="BI215" s="53">
        <f t="shared" si="270"/>
        <v>9.8404673362583427E-5</v>
      </c>
      <c r="BJ215" s="53">
        <f t="shared" si="271"/>
        <v>1.017105720623441E-4</v>
      </c>
      <c r="BK215" s="53">
        <f t="shared" si="272"/>
        <v>4.3678311916105511E-5</v>
      </c>
      <c r="BL215" s="53">
        <f t="shared" si="273"/>
        <v>2.359571126150527E-5</v>
      </c>
      <c r="BM215" s="53">
        <f t="shared" si="274"/>
        <v>6.002473405924318E-5</v>
      </c>
      <c r="BN215" s="53">
        <f t="shared" si="275"/>
        <v>6.2430401472138761E-5</v>
      </c>
      <c r="BO215" s="53">
        <f t="shared" si="276"/>
        <v>2.9257255091678905E-5</v>
      </c>
      <c r="BP215" s="53">
        <f t="shared" si="277"/>
        <v>9.8376868388321573E-5</v>
      </c>
      <c r="BQ215" s="53">
        <f t="shared" si="278"/>
        <v>2.6547844437107894E-5</v>
      </c>
      <c r="BR215" s="53">
        <f t="shared" si="279"/>
        <v>7.8428978087669574E-5</v>
      </c>
      <c r="BS215" s="53">
        <f t="shared" si="280"/>
        <v>4.2297788644147795E-5</v>
      </c>
      <c r="BT215" s="53">
        <f t="shared" si="281"/>
        <v>1.6738531717068342E-4</v>
      </c>
      <c r="BU215" s="53">
        <f t="shared" si="282"/>
        <v>1.5990334606500793E-4</v>
      </c>
      <c r="BV215" s="53">
        <f t="shared" si="283"/>
        <v>1.5356588327471808E-4</v>
      </c>
      <c r="BW215" s="53">
        <f t="shared" si="284"/>
        <v>1.0044053845629311E-4</v>
      </c>
      <c r="BX215" s="53">
        <f t="shared" si="285"/>
        <v>7.4203645886429986E-5</v>
      </c>
      <c r="BY215" s="53">
        <f t="shared" si="286"/>
        <v>6.3712358734178298E-5</v>
      </c>
      <c r="BZ215" s="47"/>
      <c r="CA215" s="53" t="str">
        <f t="shared" si="287"/>
        <v/>
      </c>
      <c r="CB215" s="53" t="str">
        <f t="shared" si="288"/>
        <v/>
      </c>
      <c r="CC215" s="53" t="str">
        <f t="shared" si="289"/>
        <v/>
      </c>
      <c r="CD215" s="53" t="str">
        <f t="shared" si="290"/>
        <v/>
      </c>
      <c r="CE215" s="53" t="str">
        <f t="shared" si="291"/>
        <v/>
      </c>
      <c r="CF215" s="53" t="str">
        <f t="shared" si="292"/>
        <v/>
      </c>
      <c r="CG215" s="53" t="str">
        <f t="shared" si="293"/>
        <v/>
      </c>
      <c r="CH215" s="53" t="str">
        <f t="shared" si="294"/>
        <v/>
      </c>
      <c r="CI215" s="53" t="str">
        <f t="shared" si="295"/>
        <v/>
      </c>
      <c r="CJ215" s="53" t="str">
        <f t="shared" si="296"/>
        <v/>
      </c>
      <c r="CK215" s="53" t="str">
        <f t="shared" si="297"/>
        <v/>
      </c>
      <c r="CL215" s="53" t="str">
        <f t="shared" si="298"/>
        <v/>
      </c>
      <c r="CM215" s="53" t="str">
        <f t="shared" si="299"/>
        <v/>
      </c>
      <c r="CN215" s="53" t="str">
        <f t="shared" si="300"/>
        <v/>
      </c>
      <c r="CO215" s="53" t="str">
        <f t="shared" si="301"/>
        <v/>
      </c>
      <c r="CP215" s="53" t="str">
        <f t="shared" si="302"/>
        <v/>
      </c>
      <c r="CQ215" s="53" t="str">
        <f t="shared" si="303"/>
        <v/>
      </c>
      <c r="CR215" s="53" t="str">
        <f t="shared" si="304"/>
        <v/>
      </c>
      <c r="CS215" s="53" t="str">
        <f t="shared" si="305"/>
        <v/>
      </c>
      <c r="CT215" s="53" t="str">
        <f t="shared" si="306"/>
        <v/>
      </c>
      <c r="CU215" s="47"/>
      <c r="CV215" s="53">
        <f t="shared" si="307"/>
        <v>0</v>
      </c>
    </row>
    <row r="216" spans="1:100" x14ac:dyDescent="0.25">
      <c r="A216" s="41"/>
      <c r="B216" s="42"/>
      <c r="C216" s="43" t="str" cm="1">
        <f t="array" ref="C216">IF(B216="","",INDEX(UWS!$B$10:$B$41,B216))</f>
        <v/>
      </c>
      <c r="D216" s="40" t="str">
        <f t="shared" si="264"/>
        <v/>
      </c>
      <c r="E216" s="69" t="str">
        <f t="shared" si="265"/>
        <v/>
      </c>
      <c r="F216" s="48" cm="1">
        <f t="array" ref="F216">0.1+IFERROR(INDEX($F$5:$F215,SUMPRODUCT(MAX(ROW($C$5:$C215)*($C216=$C$5:$C215))-ROW($A$4)))*0.9^($A216-INDEX($A$5:A215,SUMPRODUCT(MAX(ROW($C$5:$C215)*($C216=$C$5:$C215))-ROW($A$4)))),0)</f>
        <v>15.099999999999962</v>
      </c>
      <c r="G216" s="55" t="e">
        <f>INDEX(UWS!$AB$10:$AB$41,MATCH(C216,UWS!$B$10:$B$41,0))</f>
        <v>#N/A</v>
      </c>
      <c r="H216" s="48" t="e">
        <f>INDEX(UWS!$C$10:$C$41,MATCH(C216,UWS!$B$10:$B$41,0))</f>
        <v>#N/A</v>
      </c>
      <c r="I216" s="82">
        <f t="shared" si="266"/>
        <v>5</v>
      </c>
      <c r="J216" s="27" t="e">
        <f>INDEX(UWS!$E$10:$E$41,MATCH(C216,UWS!$B$10:$B$41,0))</f>
        <v>#N/A</v>
      </c>
      <c r="L216" s="108" t="str" cm="1">
        <f t="array" ref="L216">IF(K216="","",INDEX(UWS!$B$10:$B$41,K216))</f>
        <v/>
      </c>
      <c r="N216" s="108" t="str" cm="1">
        <f t="array" ref="N216">IF(M216="","",INDEX(UWS!$B$10:$B$41,M216))</f>
        <v/>
      </c>
      <c r="P216">
        <f>IFERROR(INDEX(UWS!$G$10:$Z$41,MATCH($C216,UWS!$B$10:$B$41,0),MATCH(P$4,UWS!$G$3:$Z$3,0)),0)</f>
        <v>0</v>
      </c>
      <c r="Q216">
        <f>IFERROR(INDEX(UWS!$G$10:$Z$41,MATCH($C216,UWS!$B$10:$B$41,0),MATCH(Q$4,UWS!$G$3:$Z$3,0)),0)</f>
        <v>0</v>
      </c>
      <c r="R216">
        <f>IFERROR(INDEX(UWS!$G$10:$Z$41,MATCH($C216,UWS!$B$10:$B$41,0),MATCH(R$4,UWS!$G$3:$Z$3,0)),0)</f>
        <v>0</v>
      </c>
      <c r="S216">
        <f>IFERROR(INDEX(UWS!$G$10:$Z$41,MATCH($C216,UWS!$B$10:$B$41,0),MATCH(S$4,UWS!$G$3:$Z$3,0)),0)</f>
        <v>0</v>
      </c>
      <c r="T216">
        <f>IFERROR(INDEX(UWS!$G$10:$Z$41,MATCH($C216,UWS!$B$10:$B$41,0),MATCH(T$4,UWS!$G$3:$Z$3,0)),0)</f>
        <v>0</v>
      </c>
      <c r="U216">
        <f>IFERROR(INDEX(UWS!$G$10:$Z$41,MATCH($C216,UWS!$B$10:$B$41,0),MATCH(U$4,UWS!$G$3:$Z$3,0)),0)</f>
        <v>0</v>
      </c>
      <c r="V216">
        <f>IFERROR(INDEX(UWS!$G$10:$Z$41,MATCH($C216,UWS!$B$10:$B$41,0),MATCH(V$4,UWS!$G$3:$Z$3,0)),0)</f>
        <v>0</v>
      </c>
      <c r="W216">
        <f>IFERROR(INDEX(UWS!$G$10:$Z$41,MATCH($C216,UWS!$B$10:$B$41,0),MATCH(W$4,UWS!$G$3:$Z$3,0)),0)</f>
        <v>0</v>
      </c>
      <c r="X216">
        <f>IFERROR(INDEX(UWS!$G$10:$Z$41,MATCH($C216,UWS!$B$10:$B$41,0),MATCH(X$4,UWS!$G$3:$Z$3,0)),0)</f>
        <v>0</v>
      </c>
      <c r="Y216">
        <f>IFERROR(INDEX(UWS!$G$10:$Z$41,MATCH($C216,UWS!$B$10:$B$41,0),MATCH(Y$4,UWS!$G$3:$Z$3,0)),0)</f>
        <v>0</v>
      </c>
      <c r="Z216">
        <f>IFERROR(INDEX(UWS!$G$10:$Z$41,MATCH($C216,UWS!$B$10:$B$41,0),MATCH(Z$4,UWS!$G$3:$Z$3,0)),0)</f>
        <v>0</v>
      </c>
      <c r="AA216">
        <f>IFERROR(INDEX(UWS!$G$10:$Z$41,MATCH($C216,UWS!$B$10:$B$41,0),MATCH(AA$4,UWS!$G$3:$Z$3,0)),0)</f>
        <v>0</v>
      </c>
      <c r="AB216">
        <f>IFERROR(INDEX(UWS!$G$10:$Z$41,MATCH($C216,UWS!$B$10:$B$41,0),MATCH(AB$4,UWS!$G$3:$Z$3,0)),0)</f>
        <v>0</v>
      </c>
      <c r="AC216">
        <f>IFERROR(INDEX(UWS!$G$10:$Z$41,MATCH($C216,UWS!$B$10:$B$41,0),MATCH(AC$4,UWS!$G$3:$Z$3,0)),0)</f>
        <v>0</v>
      </c>
      <c r="AD216">
        <f>IFERROR(INDEX(UWS!$G$10:$Z$41,MATCH($C216,UWS!$B$10:$B$41,0),MATCH(AD$4,UWS!$G$3:$Z$3,0)),0)</f>
        <v>0</v>
      </c>
      <c r="AE216">
        <f>IFERROR(INDEX(UWS!$G$10:$Z$41,MATCH($C216,UWS!$B$10:$B$41,0),MATCH(AE$4,UWS!$G$3:$Z$3,0)),0)</f>
        <v>0</v>
      </c>
      <c r="AF216">
        <f>IFERROR(INDEX(UWS!$G$10:$Z$41,MATCH($C216,UWS!$B$10:$B$41,0),MATCH(AF$4,UWS!$G$3:$Z$3,0)),0)</f>
        <v>0</v>
      </c>
      <c r="AG216">
        <f>IFERROR(INDEX(UWS!$G$10:$Z$41,MATCH($C216,UWS!$B$10:$B$41,0),MATCH(AG$4,UWS!$G$3:$Z$3,0)),0)</f>
        <v>0</v>
      </c>
      <c r="AH216">
        <f>IFERROR(INDEX(UWS!$G$10:$Z$41,MATCH($C216,UWS!$B$10:$B$41,0),MATCH(AH$4,UWS!$G$3:$Z$3,0)),0)</f>
        <v>0</v>
      </c>
      <c r="AI216">
        <f>IFERROR(INDEX(UWS!$G$10:$Z$41,MATCH($C216,UWS!$B$10:$B$41,0),MATCH(AI$4,UWS!$G$3:$Z$3,0)),0)</f>
        <v>0</v>
      </c>
      <c r="AK216" t="e">
        <f>IF(OR($J216=0,COUNTIFS($A$4:$A215,"&gt;="&amp;$A216-1,$A$4:$A215,"&lt;="&amp;$A216,$B$4:$B215,$B216)&gt;0,MIN(AK$1,IF($A216=$A215,AK215,1))-P216&lt;0),-1,MIN(1,IF($A216=$A215,AK215,1)-P216+$D$3))</f>
        <v>#N/A</v>
      </c>
      <c r="AL216" t="e">
        <f>IF(OR($J216=0,COUNTIFS($A$4:$A215,"&gt;="&amp;$A216-1,$A$4:$A215,"&lt;="&amp;$A216,$B$4:$B215,$B216)&gt;0,MIN(AL$1,IF($A216=$A215,AL215,1))-Q216&lt;0),-1,MIN(1,IF($A216=$A215,AL215,1)-Q216+$D$3))</f>
        <v>#N/A</v>
      </c>
      <c r="AM216" t="e">
        <f>IF(OR($J216=0,COUNTIFS($A$4:$A215,"&gt;="&amp;$A216-1,$A$4:$A215,"&lt;="&amp;$A216,$B$4:$B215,$B216)&gt;0,MIN(AM$1,IF($A216=$A215,AM215,1))-R216&lt;0),-1,MIN(1,IF($A216=$A215,AM215,1)-R216+$D$3))</f>
        <v>#N/A</v>
      </c>
      <c r="AN216" t="e">
        <f>IF(OR($J216=0,COUNTIFS($A$4:$A215,"&gt;="&amp;$A216-1,$A$4:$A215,"&lt;="&amp;$A216,$B$4:$B215,$B216)&gt;0,MIN(AN$1,IF($A216=$A215,AN215,1))-S216&lt;0),-1,MIN(1,IF($A216=$A215,AN215,1)-S216+$D$3))</f>
        <v>#N/A</v>
      </c>
      <c r="AO216" t="e">
        <f>IF(OR($J216=0,COUNTIFS($A$4:$A215,"&gt;="&amp;$A216-1,$A$4:$A215,"&lt;="&amp;$A216,$B$4:$B215,$B216)&gt;0,MIN(AO$1,IF($A216=$A215,AO215,1))-T216&lt;0),-1,MIN(1,IF($A216=$A215,AO215,1)-T216+$D$3))</f>
        <v>#N/A</v>
      </c>
      <c r="AP216" t="e">
        <f>IF(OR($J216=0,COUNTIFS($A$4:$A215,"&gt;="&amp;$A216-1,$A$4:$A215,"&lt;="&amp;$A216,$B$4:$B215,$B216)&gt;0,MIN(AP$1,IF($A216=$A215,AP215,1))-U216&lt;0),-1,MIN(1,IF($A216=$A215,AP215,1)-U216+$D$3))</f>
        <v>#N/A</v>
      </c>
      <c r="AQ216" t="e">
        <f>IF(OR($J216=0,COUNTIFS($A$4:$A215,"&gt;="&amp;$A216-1,$A$4:$A215,"&lt;="&amp;$A216,$B$4:$B215,$B216)&gt;0,MIN(AQ$1,IF($A216=$A215,AQ215,1))-V216&lt;0),-1,MIN(1,IF($A216=$A215,AQ215,1)-V216+$D$3))</f>
        <v>#N/A</v>
      </c>
      <c r="AR216" t="e">
        <f>IF(OR($J216=0,COUNTIFS($A$4:$A215,"&gt;="&amp;$A216-1,$A$4:$A215,"&lt;="&amp;$A216,$B$4:$B215,$B216)&gt;0,MIN(AR$1,IF($A216=$A215,AR215,1))-W216&lt;0),-1,MIN(1,IF($A216=$A215,AR215,1)-W216+$D$3))</f>
        <v>#N/A</v>
      </c>
      <c r="AS216" t="e">
        <f>IF(OR($J216=0,COUNTIFS($A$4:$A215,"&gt;="&amp;$A216-1,$A$4:$A215,"&lt;="&amp;$A216,$B$4:$B215,$B216)&gt;0,MIN(AS$1,IF($A216=$A215,AS215,1))-X216&lt;0),-1,MIN(1,IF($A216=$A215,AS215,1)-X216+$D$3))</f>
        <v>#N/A</v>
      </c>
      <c r="AT216" t="e">
        <f>IF(OR($J216=0,COUNTIFS($A$4:$A215,"&gt;="&amp;$A216-1,$A$4:$A215,"&lt;="&amp;$A216,$B$4:$B215,$B216)&gt;0,MIN(AT$1,IF($A216=$A215,AT215,1))-Y216&lt;0),-1,MIN(1,IF($A216=$A215,AT215,1)-Y216+$D$3))</f>
        <v>#N/A</v>
      </c>
      <c r="AU216" t="e">
        <f>IF(OR($J216=0,COUNTIFS($A$4:$A215,"&gt;="&amp;$A216-1,$A$4:$A215,"&lt;="&amp;$A216,$B$4:$B215,$B216)&gt;0,MIN(AU$1,IF($A216=$A215,AU215,1))-Z216&lt;0),-1,MIN(1,IF($A216=$A215,AU215,1)-Z216+$D$3))</f>
        <v>#N/A</v>
      </c>
      <c r="AV216" t="e">
        <f>IF(OR($J216=0,COUNTIFS($A$4:$A215,"&gt;="&amp;$A216-1,$A$4:$A215,"&lt;="&amp;$A216,$B$4:$B215,$B216)&gt;0,MIN(AV$1,IF($A216=$A215,AV215,1))-AA216&lt;0),-1,MIN(1,IF($A216=$A215,AV215,1)-AA216+$D$3))</f>
        <v>#N/A</v>
      </c>
      <c r="AW216" t="e">
        <f>IF(OR($J216=0,COUNTIFS($A$4:$A215,"&gt;="&amp;$A216-1,$A$4:$A215,"&lt;="&amp;$A216,$B$4:$B215,$B216)&gt;0,MIN(AW$1,IF($A216=$A215,AW215,1))-AB216&lt;0),-1,MIN(1,IF($A216=$A215,AW215,1)-AB216+$D$3))</f>
        <v>#N/A</v>
      </c>
      <c r="AX216" t="e">
        <f>IF(OR($J216=0,COUNTIFS($A$4:$A215,"&gt;="&amp;$A216-1,$A$4:$A215,"&lt;="&amp;$A216,$B$4:$B215,$B216)&gt;0,MIN(AX$1,IF($A216=$A215,AX215,1))-AC216&lt;0),-1,MIN(1,IF($A216=$A215,AX215,1)-AC216+$D$3))</f>
        <v>#N/A</v>
      </c>
      <c r="AY216" t="e">
        <f>IF(OR($J216=0,COUNTIFS($A$4:$A215,"&gt;="&amp;$A216-1,$A$4:$A215,"&lt;="&amp;$A216,$B$4:$B215,$B216)&gt;0,MIN(AY$1,IF($A216=$A215,AY215,1))-AD216&lt;0),-1,MIN(1,IF($A216=$A215,AY215,1)-AD216+$D$3))</f>
        <v>#N/A</v>
      </c>
      <c r="AZ216" t="e">
        <f>IF(OR($J216=0,COUNTIFS($A$4:$A215,"&gt;="&amp;$A216-1,$A$4:$A215,"&lt;="&amp;$A216,$B$4:$B215,$B216)&gt;0,MIN(AZ$1,IF($A216=$A215,AZ215,1))-AE216&lt;0),-1,MIN(1,IF($A216=$A215,AZ215,1)-AE216+$D$3))</f>
        <v>#N/A</v>
      </c>
      <c r="BA216" t="e">
        <f>IF(OR($J216=0,COUNTIFS($A$4:$A215,"&gt;="&amp;$A216-1,$A$4:$A215,"&lt;="&amp;$A216,$B$4:$B215,$B216)&gt;0,MIN(BA$1,IF($A216=$A215,BA215,1))-AF216&lt;0),-1,MIN(1,IF($A216=$A215,BA215,1)-AF216+$D$3))</f>
        <v>#N/A</v>
      </c>
      <c r="BB216" t="e">
        <f>IF(OR($J216=0,COUNTIFS($A$4:$A215,"&gt;="&amp;$A216-1,$A$4:$A215,"&lt;="&amp;$A216,$B$4:$B215,$B216)&gt;0,MIN(BB$1,IF($A216=$A215,BB215,1))-AG216&lt;0),-1,MIN(1,IF($A216=$A215,BB215,1)-AG216+$D$3))</f>
        <v>#N/A</v>
      </c>
      <c r="BC216" t="e">
        <f>IF(OR($J216=0,COUNTIFS($A$4:$A215,"&gt;="&amp;$A216-1,$A$4:$A215,"&lt;="&amp;$A216,$B$4:$B215,$B216)&gt;0,MIN(BC$1,IF($A216=$A215,BC215,1))-AH216&lt;0),-1,MIN(1,IF($A216=$A215,BC215,1)-AH216+$D$3))</f>
        <v>#N/A</v>
      </c>
      <c r="BD216" t="e">
        <f>IF(OR($J216=0,COUNTIFS($A$4:$A215,"&gt;="&amp;$A216-1,$A$4:$A215,"&lt;="&amp;$A216,$B$4:$B215,$B216)&gt;0,MIN(BD$1,IF($A216=$A215,BD215,1))-AI216&lt;0),-1,MIN(1,IF($A216=$A215,BD215,1)-AI216+$D$3))</f>
        <v>#N/A</v>
      </c>
      <c r="BF216" s="44">
        <f t="shared" si="267"/>
        <v>4.015228034933775E-5</v>
      </c>
      <c r="BG216" s="44">
        <f t="shared" si="268"/>
        <v>9.87457876001385E-5</v>
      </c>
      <c r="BH216" s="44">
        <f t="shared" si="269"/>
        <v>1.0120404525054869E-4</v>
      </c>
      <c r="BI216" s="44">
        <f t="shared" si="270"/>
        <v>9.3484439694454255E-5</v>
      </c>
      <c r="BJ216" s="44">
        <f t="shared" si="271"/>
        <v>9.662504345922689E-5</v>
      </c>
      <c r="BK216" s="44">
        <f t="shared" si="272"/>
        <v>4.1494396320300233E-5</v>
      </c>
      <c r="BL216" s="44">
        <f t="shared" si="273"/>
        <v>2.2415925698430004E-5</v>
      </c>
      <c r="BM216" s="44">
        <f t="shared" si="274"/>
        <v>5.7023497356281016E-5</v>
      </c>
      <c r="BN216" s="44">
        <f t="shared" si="275"/>
        <v>5.9308881398531819E-5</v>
      </c>
      <c r="BO216" s="44">
        <f t="shared" si="276"/>
        <v>2.7794392337094956E-5</v>
      </c>
      <c r="BP216" s="44">
        <f t="shared" si="277"/>
        <v>9.3458024968905495E-5</v>
      </c>
      <c r="BQ216" s="44">
        <f t="shared" si="278"/>
        <v>2.5220452215252497E-5</v>
      </c>
      <c r="BR216" s="44">
        <f t="shared" si="279"/>
        <v>7.4507529183286095E-5</v>
      </c>
      <c r="BS216" s="44">
        <f t="shared" si="280"/>
        <v>4.0182899211940405E-5</v>
      </c>
      <c r="BT216" s="44">
        <f t="shared" si="281"/>
        <v>1.5901605131214924E-4</v>
      </c>
      <c r="BU216" s="44">
        <f t="shared" si="282"/>
        <v>1.5190817876175751E-4</v>
      </c>
      <c r="BV216" s="44">
        <f t="shared" si="283"/>
        <v>1.4588758911098217E-4</v>
      </c>
      <c r="BW216" s="44">
        <f t="shared" si="284"/>
        <v>9.5418511533478445E-5</v>
      </c>
      <c r="BX216" s="44">
        <f t="shared" si="285"/>
        <v>7.0493463592108486E-5</v>
      </c>
      <c r="BY216" s="44">
        <f t="shared" si="286"/>
        <v>6.0526740797469377E-5</v>
      </c>
      <c r="CA216" s="44" t="str">
        <f t="shared" si="287"/>
        <v/>
      </c>
      <c r="CB216" s="44" t="str">
        <f t="shared" si="288"/>
        <v/>
      </c>
      <c r="CC216" s="44" t="str">
        <f t="shared" si="289"/>
        <v/>
      </c>
      <c r="CD216" s="44" t="str">
        <f t="shared" si="290"/>
        <v/>
      </c>
      <c r="CE216" s="44" t="str">
        <f t="shared" si="291"/>
        <v/>
      </c>
      <c r="CF216" s="44" t="str">
        <f t="shared" si="292"/>
        <v/>
      </c>
      <c r="CG216" s="44" t="str">
        <f t="shared" si="293"/>
        <v/>
      </c>
      <c r="CH216" s="44" t="str">
        <f t="shared" si="294"/>
        <v/>
      </c>
      <c r="CI216" s="44" t="str">
        <f t="shared" si="295"/>
        <v/>
      </c>
      <c r="CJ216" s="44" t="str">
        <f t="shared" si="296"/>
        <v/>
      </c>
      <c r="CK216" s="44" t="str">
        <f t="shared" si="297"/>
        <v/>
      </c>
      <c r="CL216" s="44" t="str">
        <f t="shared" si="298"/>
        <v/>
      </c>
      <c r="CM216" s="44" t="str">
        <f t="shared" si="299"/>
        <v/>
      </c>
      <c r="CN216" s="44" t="str">
        <f t="shared" si="300"/>
        <v/>
      </c>
      <c r="CO216" s="44" t="str">
        <f t="shared" si="301"/>
        <v/>
      </c>
      <c r="CP216" s="44" t="str">
        <f t="shared" si="302"/>
        <v/>
      </c>
      <c r="CQ216" s="44" t="str">
        <f t="shared" si="303"/>
        <v/>
      </c>
      <c r="CR216" s="44" t="str">
        <f t="shared" si="304"/>
        <v/>
      </c>
      <c r="CS216" s="44" t="str">
        <f t="shared" si="305"/>
        <v/>
      </c>
      <c r="CT216" s="44" t="str">
        <f t="shared" si="306"/>
        <v/>
      </c>
      <c r="CV216" s="44">
        <f t="shared" si="307"/>
        <v>0</v>
      </c>
    </row>
    <row r="217" spans="1:100" x14ac:dyDescent="0.25">
      <c r="A217" s="41"/>
      <c r="B217" s="42"/>
      <c r="C217" s="43" t="str" cm="1">
        <f t="array" ref="C217">IF(B217="","",INDEX(UWS!$B$10:$B$41,B217))</f>
        <v/>
      </c>
      <c r="D217" s="40" t="str">
        <f t="shared" si="264"/>
        <v/>
      </c>
      <c r="E217" s="69" t="str">
        <f t="shared" si="265"/>
        <v/>
      </c>
      <c r="F217" s="48" cm="1">
        <f t="array" ref="F217">0.1+IFERROR(INDEX($F$5:$F216,SUMPRODUCT(MAX(ROW($C$5:$C216)*($C217=$C$5:$C216))-ROW($A$4)))*0.9^($A217-INDEX($A$5:A216,SUMPRODUCT(MAX(ROW($C$5:$C216)*($C217=$C$5:$C216))-ROW($A$4)))),0)</f>
        <v>15.199999999999962</v>
      </c>
      <c r="G217" s="55" t="e">
        <f>INDEX(UWS!$AB$10:$AB$41,MATCH(C217,UWS!$B$10:$B$41,0))</f>
        <v>#N/A</v>
      </c>
      <c r="H217" s="48" t="e">
        <f>INDEX(UWS!$C$10:$C$41,MATCH(C217,UWS!$B$10:$B$41,0))</f>
        <v>#N/A</v>
      </c>
      <c r="I217" s="27">
        <f t="shared" si="266"/>
        <v>5</v>
      </c>
      <c r="J217" s="27" t="e">
        <f>INDEX(UWS!$E$10:$E$41,MATCH(C217,UWS!$B$10:$B$41,0))</f>
        <v>#N/A</v>
      </c>
      <c r="L217" s="108" t="str" cm="1">
        <f t="array" ref="L217">IF(K217="","",INDEX(UWS!$B$10:$B$41,K217))</f>
        <v/>
      </c>
      <c r="N217" s="108" t="str" cm="1">
        <f t="array" ref="N217">IF(M217="","",INDEX(UWS!$B$10:$B$41,M217))</f>
        <v/>
      </c>
      <c r="P217">
        <f>IFERROR(INDEX(UWS!$G$10:$Z$41,MATCH($C217,UWS!$B$10:$B$41,0),MATCH(P$4,UWS!$G$3:$Z$3,0)),0)</f>
        <v>0</v>
      </c>
      <c r="Q217">
        <f>IFERROR(INDEX(UWS!$G$10:$Z$41,MATCH($C217,UWS!$B$10:$B$41,0),MATCH(Q$4,UWS!$G$3:$Z$3,0)),0)</f>
        <v>0</v>
      </c>
      <c r="R217">
        <f>IFERROR(INDEX(UWS!$G$10:$Z$41,MATCH($C217,UWS!$B$10:$B$41,0),MATCH(R$4,UWS!$G$3:$Z$3,0)),0)</f>
        <v>0</v>
      </c>
      <c r="S217">
        <f>IFERROR(INDEX(UWS!$G$10:$Z$41,MATCH($C217,UWS!$B$10:$B$41,0),MATCH(S$4,UWS!$G$3:$Z$3,0)),0)</f>
        <v>0</v>
      </c>
      <c r="T217">
        <f>IFERROR(INDEX(UWS!$G$10:$Z$41,MATCH($C217,UWS!$B$10:$B$41,0),MATCH(T$4,UWS!$G$3:$Z$3,0)),0)</f>
        <v>0</v>
      </c>
      <c r="U217">
        <f>IFERROR(INDEX(UWS!$G$10:$Z$41,MATCH($C217,UWS!$B$10:$B$41,0),MATCH(U$4,UWS!$G$3:$Z$3,0)),0)</f>
        <v>0</v>
      </c>
      <c r="V217">
        <f>IFERROR(INDEX(UWS!$G$10:$Z$41,MATCH($C217,UWS!$B$10:$B$41,0),MATCH(V$4,UWS!$G$3:$Z$3,0)),0)</f>
        <v>0</v>
      </c>
      <c r="W217">
        <f>IFERROR(INDEX(UWS!$G$10:$Z$41,MATCH($C217,UWS!$B$10:$B$41,0),MATCH(W$4,UWS!$G$3:$Z$3,0)),0)</f>
        <v>0</v>
      </c>
      <c r="X217">
        <f>IFERROR(INDEX(UWS!$G$10:$Z$41,MATCH($C217,UWS!$B$10:$B$41,0),MATCH(X$4,UWS!$G$3:$Z$3,0)),0)</f>
        <v>0</v>
      </c>
      <c r="Y217">
        <f>IFERROR(INDEX(UWS!$G$10:$Z$41,MATCH($C217,UWS!$B$10:$B$41,0),MATCH(Y$4,UWS!$G$3:$Z$3,0)),0)</f>
        <v>0</v>
      </c>
      <c r="Z217">
        <f>IFERROR(INDEX(UWS!$G$10:$Z$41,MATCH($C217,UWS!$B$10:$B$41,0),MATCH(Z$4,UWS!$G$3:$Z$3,0)),0)</f>
        <v>0</v>
      </c>
      <c r="AA217">
        <f>IFERROR(INDEX(UWS!$G$10:$Z$41,MATCH($C217,UWS!$B$10:$B$41,0),MATCH(AA$4,UWS!$G$3:$Z$3,0)),0)</f>
        <v>0</v>
      </c>
      <c r="AB217">
        <f>IFERROR(INDEX(UWS!$G$10:$Z$41,MATCH($C217,UWS!$B$10:$B$41,0),MATCH(AB$4,UWS!$G$3:$Z$3,0)),0)</f>
        <v>0</v>
      </c>
      <c r="AC217">
        <f>IFERROR(INDEX(UWS!$G$10:$Z$41,MATCH($C217,UWS!$B$10:$B$41,0),MATCH(AC$4,UWS!$G$3:$Z$3,0)),0)</f>
        <v>0</v>
      </c>
      <c r="AD217">
        <f>IFERROR(INDEX(UWS!$G$10:$Z$41,MATCH($C217,UWS!$B$10:$B$41,0),MATCH(AD$4,UWS!$G$3:$Z$3,0)),0)</f>
        <v>0</v>
      </c>
      <c r="AE217">
        <f>IFERROR(INDEX(UWS!$G$10:$Z$41,MATCH($C217,UWS!$B$10:$B$41,0),MATCH(AE$4,UWS!$G$3:$Z$3,0)),0)</f>
        <v>0</v>
      </c>
      <c r="AF217">
        <f>IFERROR(INDEX(UWS!$G$10:$Z$41,MATCH($C217,UWS!$B$10:$B$41,0),MATCH(AF$4,UWS!$G$3:$Z$3,0)),0)</f>
        <v>0</v>
      </c>
      <c r="AG217">
        <f>IFERROR(INDEX(UWS!$G$10:$Z$41,MATCH($C217,UWS!$B$10:$B$41,0),MATCH(AG$4,UWS!$G$3:$Z$3,0)),0)</f>
        <v>0</v>
      </c>
      <c r="AH217">
        <f>IFERROR(INDEX(UWS!$G$10:$Z$41,MATCH($C217,UWS!$B$10:$B$41,0),MATCH(AH$4,UWS!$G$3:$Z$3,0)),0)</f>
        <v>0</v>
      </c>
      <c r="AI217">
        <f>IFERROR(INDEX(UWS!$G$10:$Z$41,MATCH($C217,UWS!$B$10:$B$41,0),MATCH(AI$4,UWS!$G$3:$Z$3,0)),0)</f>
        <v>0</v>
      </c>
      <c r="AK217" t="e">
        <f>IF(OR($J217=0,COUNTIFS($A$4:$A216,"&gt;="&amp;$A217-1,$A$4:$A216,"&lt;="&amp;$A217,$B$4:$B216,$B217)&gt;0,MIN(AK$1,IF($A217=$A216,AK216,1))-P217&lt;0),-1,MIN(1,IF($A217=$A216,AK216,1)-P217+$D$3))</f>
        <v>#N/A</v>
      </c>
      <c r="AL217" t="e">
        <f>IF(OR($J217=0,COUNTIFS($A$4:$A216,"&gt;="&amp;$A217-1,$A$4:$A216,"&lt;="&amp;$A217,$B$4:$B216,$B217)&gt;0,MIN(AL$1,IF($A217=$A216,AL216,1))-Q217&lt;0),-1,MIN(1,IF($A217=$A216,AL216,1)-Q217+$D$3))</f>
        <v>#N/A</v>
      </c>
      <c r="AM217" t="e">
        <f>IF(OR($J217=0,COUNTIFS($A$4:$A216,"&gt;="&amp;$A217-1,$A$4:$A216,"&lt;="&amp;$A217,$B$4:$B216,$B217)&gt;0,MIN(AM$1,IF($A217=$A216,AM216,1))-R217&lt;0),-1,MIN(1,IF($A217=$A216,AM216,1)-R217+$D$3))</f>
        <v>#N/A</v>
      </c>
      <c r="AN217" t="e">
        <f>IF(OR($J217=0,COUNTIFS($A$4:$A216,"&gt;="&amp;$A217-1,$A$4:$A216,"&lt;="&amp;$A217,$B$4:$B216,$B217)&gt;0,MIN(AN$1,IF($A217=$A216,AN216,1))-S217&lt;0),-1,MIN(1,IF($A217=$A216,AN216,1)-S217+$D$3))</f>
        <v>#N/A</v>
      </c>
      <c r="AO217" t="e">
        <f>IF(OR($J217=0,COUNTIFS($A$4:$A216,"&gt;="&amp;$A217-1,$A$4:$A216,"&lt;="&amp;$A217,$B$4:$B216,$B217)&gt;0,MIN(AO$1,IF($A217=$A216,AO216,1))-T217&lt;0),-1,MIN(1,IF($A217=$A216,AO216,1)-T217+$D$3))</f>
        <v>#N/A</v>
      </c>
      <c r="AP217" t="e">
        <f>IF(OR($J217=0,COUNTIFS($A$4:$A216,"&gt;="&amp;$A217-1,$A$4:$A216,"&lt;="&amp;$A217,$B$4:$B216,$B217)&gt;0,MIN(AP$1,IF($A217=$A216,AP216,1))-U217&lt;0),-1,MIN(1,IF($A217=$A216,AP216,1)-U217+$D$3))</f>
        <v>#N/A</v>
      </c>
      <c r="AQ217" t="e">
        <f>IF(OR($J217=0,COUNTIFS($A$4:$A216,"&gt;="&amp;$A217-1,$A$4:$A216,"&lt;="&amp;$A217,$B$4:$B216,$B217)&gt;0,MIN(AQ$1,IF($A217=$A216,AQ216,1))-V217&lt;0),-1,MIN(1,IF($A217=$A216,AQ216,1)-V217+$D$3))</f>
        <v>#N/A</v>
      </c>
      <c r="AR217" t="e">
        <f>IF(OR($J217=0,COUNTIFS($A$4:$A216,"&gt;="&amp;$A217-1,$A$4:$A216,"&lt;="&amp;$A217,$B$4:$B216,$B217)&gt;0,MIN(AR$1,IF($A217=$A216,AR216,1))-W217&lt;0),-1,MIN(1,IF($A217=$A216,AR216,1)-W217+$D$3))</f>
        <v>#N/A</v>
      </c>
      <c r="AS217" t="e">
        <f>IF(OR($J217=0,COUNTIFS($A$4:$A216,"&gt;="&amp;$A217-1,$A$4:$A216,"&lt;="&amp;$A217,$B$4:$B216,$B217)&gt;0,MIN(AS$1,IF($A217=$A216,AS216,1))-X217&lt;0),-1,MIN(1,IF($A217=$A216,AS216,1)-X217+$D$3))</f>
        <v>#N/A</v>
      </c>
      <c r="AT217" t="e">
        <f>IF(OR($J217=0,COUNTIFS($A$4:$A216,"&gt;="&amp;$A217-1,$A$4:$A216,"&lt;="&amp;$A217,$B$4:$B216,$B217)&gt;0,MIN(AT$1,IF($A217=$A216,AT216,1))-Y217&lt;0),-1,MIN(1,IF($A217=$A216,AT216,1)-Y217+$D$3))</f>
        <v>#N/A</v>
      </c>
      <c r="AU217" t="e">
        <f>IF(OR($J217=0,COUNTIFS($A$4:$A216,"&gt;="&amp;$A217-1,$A$4:$A216,"&lt;="&amp;$A217,$B$4:$B216,$B217)&gt;0,MIN(AU$1,IF($A217=$A216,AU216,1))-Z217&lt;0),-1,MIN(1,IF($A217=$A216,AU216,1)-Z217+$D$3))</f>
        <v>#N/A</v>
      </c>
      <c r="AV217" t="e">
        <f>IF(OR($J217=0,COUNTIFS($A$4:$A216,"&gt;="&amp;$A217-1,$A$4:$A216,"&lt;="&amp;$A217,$B$4:$B216,$B217)&gt;0,MIN(AV$1,IF($A217=$A216,AV216,1))-AA217&lt;0),-1,MIN(1,IF($A217=$A216,AV216,1)-AA217+$D$3))</f>
        <v>#N/A</v>
      </c>
      <c r="AW217" t="e">
        <f>IF(OR($J217=0,COUNTIFS($A$4:$A216,"&gt;="&amp;$A217-1,$A$4:$A216,"&lt;="&amp;$A217,$B$4:$B216,$B217)&gt;0,MIN(AW$1,IF($A217=$A216,AW216,1))-AB217&lt;0),-1,MIN(1,IF($A217=$A216,AW216,1)-AB217+$D$3))</f>
        <v>#N/A</v>
      </c>
      <c r="AX217" t="e">
        <f>IF(OR($J217=0,COUNTIFS($A$4:$A216,"&gt;="&amp;$A217-1,$A$4:$A216,"&lt;="&amp;$A217,$B$4:$B216,$B217)&gt;0,MIN(AX$1,IF($A217=$A216,AX216,1))-AC217&lt;0),-1,MIN(1,IF($A217=$A216,AX216,1)-AC217+$D$3))</f>
        <v>#N/A</v>
      </c>
      <c r="AY217" t="e">
        <f>IF(OR($J217=0,COUNTIFS($A$4:$A216,"&gt;="&amp;$A217-1,$A$4:$A216,"&lt;="&amp;$A217,$B$4:$B216,$B217)&gt;0,MIN(AY$1,IF($A217=$A216,AY216,1))-AD217&lt;0),-1,MIN(1,IF($A217=$A216,AY216,1)-AD217+$D$3))</f>
        <v>#N/A</v>
      </c>
      <c r="AZ217" t="e">
        <f>IF(OR($J217=0,COUNTIFS($A$4:$A216,"&gt;="&amp;$A217-1,$A$4:$A216,"&lt;="&amp;$A217,$B$4:$B216,$B217)&gt;0,MIN(AZ$1,IF($A217=$A216,AZ216,1))-AE217&lt;0),-1,MIN(1,IF($A217=$A216,AZ216,1)-AE217+$D$3))</f>
        <v>#N/A</v>
      </c>
      <c r="BA217" t="e">
        <f>IF(OR($J217=0,COUNTIFS($A$4:$A216,"&gt;="&amp;$A217-1,$A$4:$A216,"&lt;="&amp;$A217,$B$4:$B216,$B217)&gt;0,MIN(BA$1,IF($A217=$A216,BA216,1))-AF217&lt;0),-1,MIN(1,IF($A217=$A216,BA216,1)-AF217+$D$3))</f>
        <v>#N/A</v>
      </c>
      <c r="BB217" t="e">
        <f>IF(OR($J217=0,COUNTIFS($A$4:$A216,"&gt;="&amp;$A217-1,$A$4:$A216,"&lt;="&amp;$A217,$B$4:$B216,$B217)&gt;0,MIN(BB$1,IF($A217=$A216,BB216,1))-AG217&lt;0),-1,MIN(1,IF($A217=$A216,BB216,1)-AG217+$D$3))</f>
        <v>#N/A</v>
      </c>
      <c r="BC217" t="e">
        <f>IF(OR($J217=0,COUNTIFS($A$4:$A216,"&gt;="&amp;$A217-1,$A$4:$A216,"&lt;="&amp;$A217,$B$4:$B216,$B217)&gt;0,MIN(BC$1,IF($A217=$A216,BC216,1))-AH217&lt;0),-1,MIN(1,IF($A217=$A216,BC216,1)-AH217+$D$3))</f>
        <v>#N/A</v>
      </c>
      <c r="BD217" t="e">
        <f>IF(OR($J217=0,COUNTIFS($A$4:$A216,"&gt;="&amp;$A217-1,$A$4:$A216,"&lt;="&amp;$A217,$B$4:$B216,$B217)&gt;0,MIN(BD$1,IF($A217=$A216,BD216,1))-AI217&lt;0),-1,MIN(1,IF($A217=$A216,BD216,1)-AI217+$D$3))</f>
        <v>#N/A</v>
      </c>
      <c r="BF217" s="44">
        <f t="shared" si="267"/>
        <v>3.8144666331870857E-5</v>
      </c>
      <c r="BG217" s="44">
        <f t="shared" si="268"/>
        <v>9.3808498220131567E-5</v>
      </c>
      <c r="BH217" s="44">
        <f t="shared" si="269"/>
        <v>9.6143842988021243E-5</v>
      </c>
      <c r="BI217" s="44">
        <f t="shared" si="270"/>
        <v>8.8810217709731534E-5</v>
      </c>
      <c r="BJ217" s="44">
        <f t="shared" si="271"/>
        <v>9.1793791286265536E-5</v>
      </c>
      <c r="BK217" s="44">
        <f t="shared" si="272"/>
        <v>3.9419676504285218E-5</v>
      </c>
      <c r="BL217" s="44">
        <f t="shared" si="273"/>
        <v>2.1295129413508503E-5</v>
      </c>
      <c r="BM217" s="44">
        <f t="shared" si="274"/>
        <v>5.4172322488466963E-5</v>
      </c>
      <c r="BN217" s="44">
        <f t="shared" si="275"/>
        <v>5.6343437328605227E-5</v>
      </c>
      <c r="BO217" s="44">
        <f t="shared" si="276"/>
        <v>2.6404672720240207E-5</v>
      </c>
      <c r="BP217" s="44">
        <f t="shared" si="277"/>
        <v>8.8785123720460212E-5</v>
      </c>
      <c r="BQ217" s="44">
        <f t="shared" si="278"/>
        <v>2.3959429604489873E-5</v>
      </c>
      <c r="BR217" s="44">
        <f t="shared" si="279"/>
        <v>7.0782152724121789E-5</v>
      </c>
      <c r="BS217" s="44">
        <f t="shared" si="280"/>
        <v>3.8173754251343384E-5</v>
      </c>
      <c r="BT217" s="44">
        <f t="shared" si="281"/>
        <v>1.5106524874654176E-4</v>
      </c>
      <c r="BU217" s="44">
        <f t="shared" si="282"/>
        <v>1.4431276982366964E-4</v>
      </c>
      <c r="BV217" s="44">
        <f t="shared" si="283"/>
        <v>1.3859320965543305E-4</v>
      </c>
      <c r="BW217" s="44">
        <f t="shared" si="284"/>
        <v>9.0647585956804522E-5</v>
      </c>
      <c r="BX217" s="44">
        <f t="shared" si="285"/>
        <v>6.6968790412503054E-5</v>
      </c>
      <c r="BY217" s="44">
        <f t="shared" si="286"/>
        <v>5.7500403757595908E-5</v>
      </c>
      <c r="CA217" s="44" t="str">
        <f t="shared" si="287"/>
        <v/>
      </c>
      <c r="CB217" s="44" t="str">
        <f t="shared" si="288"/>
        <v/>
      </c>
      <c r="CC217" s="44" t="str">
        <f t="shared" si="289"/>
        <v/>
      </c>
      <c r="CD217" s="44" t="str">
        <f t="shared" si="290"/>
        <v/>
      </c>
      <c r="CE217" s="44" t="str">
        <f t="shared" si="291"/>
        <v/>
      </c>
      <c r="CF217" s="44" t="str">
        <f t="shared" si="292"/>
        <v/>
      </c>
      <c r="CG217" s="44" t="str">
        <f t="shared" si="293"/>
        <v/>
      </c>
      <c r="CH217" s="44" t="str">
        <f t="shared" si="294"/>
        <v/>
      </c>
      <c r="CI217" s="44" t="str">
        <f t="shared" si="295"/>
        <v/>
      </c>
      <c r="CJ217" s="44" t="str">
        <f t="shared" si="296"/>
        <v/>
      </c>
      <c r="CK217" s="44" t="str">
        <f t="shared" si="297"/>
        <v/>
      </c>
      <c r="CL217" s="44" t="str">
        <f t="shared" si="298"/>
        <v/>
      </c>
      <c r="CM217" s="44" t="str">
        <f t="shared" si="299"/>
        <v/>
      </c>
      <c r="CN217" s="44" t="str">
        <f t="shared" si="300"/>
        <v/>
      </c>
      <c r="CO217" s="44" t="str">
        <f t="shared" si="301"/>
        <v/>
      </c>
      <c r="CP217" s="44" t="str">
        <f t="shared" si="302"/>
        <v/>
      </c>
      <c r="CQ217" s="44" t="str">
        <f t="shared" si="303"/>
        <v/>
      </c>
      <c r="CR217" s="44" t="str">
        <f t="shared" si="304"/>
        <v/>
      </c>
      <c r="CS217" s="44" t="str">
        <f t="shared" si="305"/>
        <v/>
      </c>
      <c r="CT217" s="44" t="str">
        <f t="shared" si="306"/>
        <v/>
      </c>
      <c r="CV217" s="44">
        <f t="shared" si="307"/>
        <v>0</v>
      </c>
    </row>
    <row r="218" spans="1:100" x14ac:dyDescent="0.25">
      <c r="A218" s="41"/>
      <c r="B218" s="42"/>
      <c r="C218" s="43" t="str" cm="1">
        <f t="array" ref="C218">IF(B218="","",INDEX(UWS!$B$10:$B$41,B218))</f>
        <v/>
      </c>
      <c r="D218" s="40" t="str">
        <f t="shared" si="264"/>
        <v/>
      </c>
      <c r="E218" s="69" t="str">
        <f t="shared" si="265"/>
        <v/>
      </c>
      <c r="F218" s="48" cm="1">
        <f t="array" ref="F218">0.1+IFERROR(INDEX($F$5:$F217,SUMPRODUCT(MAX(ROW($C$5:$C217)*($C218=$C$5:$C217))-ROW($A$4)))*0.9^($A218-INDEX($A$5:A217,SUMPRODUCT(MAX(ROW($C$5:$C217)*($C218=$C$5:$C217))-ROW($A$4)))),0)</f>
        <v>15.299999999999962</v>
      </c>
      <c r="G218" s="55" t="e">
        <f>INDEX(UWS!$AB$10:$AB$41,MATCH(C218,UWS!$B$10:$B$41,0))</f>
        <v>#N/A</v>
      </c>
      <c r="H218" s="48" t="e">
        <f>INDEX(UWS!$C$10:$C$41,MATCH(C218,UWS!$B$10:$B$41,0))</f>
        <v>#N/A</v>
      </c>
      <c r="I218" s="27">
        <f t="shared" si="266"/>
        <v>5</v>
      </c>
      <c r="J218" s="27" t="e">
        <f>INDEX(UWS!$E$10:$E$41,MATCH(C218,UWS!$B$10:$B$41,0))</f>
        <v>#N/A</v>
      </c>
      <c r="L218" s="108" t="str" cm="1">
        <f t="array" ref="L218">IF(K218="","",INDEX(UWS!$B$10:$B$41,K218))</f>
        <v/>
      </c>
      <c r="N218" s="108" t="str" cm="1">
        <f t="array" ref="N218">IF(M218="","",INDEX(UWS!$B$10:$B$41,M218))</f>
        <v/>
      </c>
      <c r="P218">
        <f>IFERROR(INDEX(UWS!$G$10:$Z$41,MATCH($C218,UWS!$B$10:$B$41,0),MATCH(P$4,UWS!$G$3:$Z$3,0)),0)</f>
        <v>0</v>
      </c>
      <c r="Q218">
        <f>IFERROR(INDEX(UWS!$G$10:$Z$41,MATCH($C218,UWS!$B$10:$B$41,0),MATCH(Q$4,UWS!$G$3:$Z$3,0)),0)</f>
        <v>0</v>
      </c>
      <c r="R218">
        <f>IFERROR(INDEX(UWS!$G$10:$Z$41,MATCH($C218,UWS!$B$10:$B$41,0),MATCH(R$4,UWS!$G$3:$Z$3,0)),0)</f>
        <v>0</v>
      </c>
      <c r="S218">
        <f>IFERROR(INDEX(UWS!$G$10:$Z$41,MATCH($C218,UWS!$B$10:$B$41,0),MATCH(S$4,UWS!$G$3:$Z$3,0)),0)</f>
        <v>0</v>
      </c>
      <c r="T218">
        <f>IFERROR(INDEX(UWS!$G$10:$Z$41,MATCH($C218,UWS!$B$10:$B$41,0),MATCH(T$4,UWS!$G$3:$Z$3,0)),0)</f>
        <v>0</v>
      </c>
      <c r="U218">
        <f>IFERROR(INDEX(UWS!$G$10:$Z$41,MATCH($C218,UWS!$B$10:$B$41,0),MATCH(U$4,UWS!$G$3:$Z$3,0)),0)</f>
        <v>0</v>
      </c>
      <c r="V218">
        <f>IFERROR(INDEX(UWS!$G$10:$Z$41,MATCH($C218,UWS!$B$10:$B$41,0),MATCH(V$4,UWS!$G$3:$Z$3,0)),0)</f>
        <v>0</v>
      </c>
      <c r="W218">
        <f>IFERROR(INDEX(UWS!$G$10:$Z$41,MATCH($C218,UWS!$B$10:$B$41,0),MATCH(W$4,UWS!$G$3:$Z$3,0)),0)</f>
        <v>0</v>
      </c>
      <c r="X218">
        <f>IFERROR(INDEX(UWS!$G$10:$Z$41,MATCH($C218,UWS!$B$10:$B$41,0),MATCH(X$4,UWS!$G$3:$Z$3,0)),0)</f>
        <v>0</v>
      </c>
      <c r="Y218">
        <f>IFERROR(INDEX(UWS!$G$10:$Z$41,MATCH($C218,UWS!$B$10:$B$41,0),MATCH(Y$4,UWS!$G$3:$Z$3,0)),0)</f>
        <v>0</v>
      </c>
      <c r="Z218">
        <f>IFERROR(INDEX(UWS!$G$10:$Z$41,MATCH($C218,UWS!$B$10:$B$41,0),MATCH(Z$4,UWS!$G$3:$Z$3,0)),0)</f>
        <v>0</v>
      </c>
      <c r="AA218">
        <f>IFERROR(INDEX(UWS!$G$10:$Z$41,MATCH($C218,UWS!$B$10:$B$41,0),MATCH(AA$4,UWS!$G$3:$Z$3,0)),0)</f>
        <v>0</v>
      </c>
      <c r="AB218">
        <f>IFERROR(INDEX(UWS!$G$10:$Z$41,MATCH($C218,UWS!$B$10:$B$41,0),MATCH(AB$4,UWS!$G$3:$Z$3,0)),0)</f>
        <v>0</v>
      </c>
      <c r="AC218">
        <f>IFERROR(INDEX(UWS!$G$10:$Z$41,MATCH($C218,UWS!$B$10:$B$41,0),MATCH(AC$4,UWS!$G$3:$Z$3,0)),0)</f>
        <v>0</v>
      </c>
      <c r="AD218">
        <f>IFERROR(INDEX(UWS!$G$10:$Z$41,MATCH($C218,UWS!$B$10:$B$41,0),MATCH(AD$4,UWS!$G$3:$Z$3,0)),0)</f>
        <v>0</v>
      </c>
      <c r="AE218">
        <f>IFERROR(INDEX(UWS!$G$10:$Z$41,MATCH($C218,UWS!$B$10:$B$41,0),MATCH(AE$4,UWS!$G$3:$Z$3,0)),0)</f>
        <v>0</v>
      </c>
      <c r="AF218">
        <f>IFERROR(INDEX(UWS!$G$10:$Z$41,MATCH($C218,UWS!$B$10:$B$41,0),MATCH(AF$4,UWS!$G$3:$Z$3,0)),0)</f>
        <v>0</v>
      </c>
      <c r="AG218">
        <f>IFERROR(INDEX(UWS!$G$10:$Z$41,MATCH($C218,UWS!$B$10:$B$41,0),MATCH(AG$4,UWS!$G$3:$Z$3,0)),0)</f>
        <v>0</v>
      </c>
      <c r="AH218">
        <f>IFERROR(INDEX(UWS!$G$10:$Z$41,MATCH($C218,UWS!$B$10:$B$41,0),MATCH(AH$4,UWS!$G$3:$Z$3,0)),0)</f>
        <v>0</v>
      </c>
      <c r="AI218">
        <f>IFERROR(INDEX(UWS!$G$10:$Z$41,MATCH($C218,UWS!$B$10:$B$41,0),MATCH(AI$4,UWS!$G$3:$Z$3,0)),0)</f>
        <v>0</v>
      </c>
      <c r="AK218" t="e">
        <f>IF(OR($J218=0,COUNTIFS($A$4:$A217,"&gt;="&amp;$A218-1,$A$4:$A217,"&lt;="&amp;$A218,$B$4:$B217,$B218)&gt;0,MIN(AK$1,IF($A218=$A217,AK217,1))-P218&lt;0),-1,MIN(1,IF($A218=$A217,AK217,1)-P218+$D$3))</f>
        <v>#N/A</v>
      </c>
      <c r="AL218" t="e">
        <f>IF(OR($J218=0,COUNTIFS($A$4:$A217,"&gt;="&amp;$A218-1,$A$4:$A217,"&lt;="&amp;$A218,$B$4:$B217,$B218)&gt;0,MIN(AL$1,IF($A218=$A217,AL217,1))-Q218&lt;0),-1,MIN(1,IF($A218=$A217,AL217,1)-Q218+$D$3))</f>
        <v>#N/A</v>
      </c>
      <c r="AM218" t="e">
        <f>IF(OR($J218=0,COUNTIFS($A$4:$A217,"&gt;="&amp;$A218-1,$A$4:$A217,"&lt;="&amp;$A218,$B$4:$B217,$B218)&gt;0,MIN(AM$1,IF($A218=$A217,AM217,1))-R218&lt;0),-1,MIN(1,IF($A218=$A217,AM217,1)-R218+$D$3))</f>
        <v>#N/A</v>
      </c>
      <c r="AN218" t="e">
        <f>IF(OR($J218=0,COUNTIFS($A$4:$A217,"&gt;="&amp;$A218-1,$A$4:$A217,"&lt;="&amp;$A218,$B$4:$B217,$B218)&gt;0,MIN(AN$1,IF($A218=$A217,AN217,1))-S218&lt;0),-1,MIN(1,IF($A218=$A217,AN217,1)-S218+$D$3))</f>
        <v>#N/A</v>
      </c>
      <c r="AO218" t="e">
        <f>IF(OR($J218=0,COUNTIFS($A$4:$A217,"&gt;="&amp;$A218-1,$A$4:$A217,"&lt;="&amp;$A218,$B$4:$B217,$B218)&gt;0,MIN(AO$1,IF($A218=$A217,AO217,1))-T218&lt;0),-1,MIN(1,IF($A218=$A217,AO217,1)-T218+$D$3))</f>
        <v>#N/A</v>
      </c>
      <c r="AP218" t="e">
        <f>IF(OR($J218=0,COUNTIFS($A$4:$A217,"&gt;="&amp;$A218-1,$A$4:$A217,"&lt;="&amp;$A218,$B$4:$B217,$B218)&gt;0,MIN(AP$1,IF($A218=$A217,AP217,1))-U218&lt;0),-1,MIN(1,IF($A218=$A217,AP217,1)-U218+$D$3))</f>
        <v>#N/A</v>
      </c>
      <c r="AQ218" t="e">
        <f>IF(OR($J218=0,COUNTIFS($A$4:$A217,"&gt;="&amp;$A218-1,$A$4:$A217,"&lt;="&amp;$A218,$B$4:$B217,$B218)&gt;0,MIN(AQ$1,IF($A218=$A217,AQ217,1))-V218&lt;0),-1,MIN(1,IF($A218=$A217,AQ217,1)-V218+$D$3))</f>
        <v>#N/A</v>
      </c>
      <c r="AR218" t="e">
        <f>IF(OR($J218=0,COUNTIFS($A$4:$A217,"&gt;="&amp;$A218-1,$A$4:$A217,"&lt;="&amp;$A218,$B$4:$B217,$B218)&gt;0,MIN(AR$1,IF($A218=$A217,AR217,1))-W218&lt;0),-1,MIN(1,IF($A218=$A217,AR217,1)-W218+$D$3))</f>
        <v>#N/A</v>
      </c>
      <c r="AS218" t="e">
        <f>IF(OR($J218=0,COUNTIFS($A$4:$A217,"&gt;="&amp;$A218-1,$A$4:$A217,"&lt;="&amp;$A218,$B$4:$B217,$B218)&gt;0,MIN(AS$1,IF($A218=$A217,AS217,1))-X218&lt;0),-1,MIN(1,IF($A218=$A217,AS217,1)-X218+$D$3))</f>
        <v>#N/A</v>
      </c>
      <c r="AT218" t="e">
        <f>IF(OR($J218=0,COUNTIFS($A$4:$A217,"&gt;="&amp;$A218-1,$A$4:$A217,"&lt;="&amp;$A218,$B$4:$B217,$B218)&gt;0,MIN(AT$1,IF($A218=$A217,AT217,1))-Y218&lt;0),-1,MIN(1,IF($A218=$A217,AT217,1)-Y218+$D$3))</f>
        <v>#N/A</v>
      </c>
      <c r="AU218" t="e">
        <f>IF(OR($J218=0,COUNTIFS($A$4:$A217,"&gt;="&amp;$A218-1,$A$4:$A217,"&lt;="&amp;$A218,$B$4:$B217,$B218)&gt;0,MIN(AU$1,IF($A218=$A217,AU217,1))-Z218&lt;0),-1,MIN(1,IF($A218=$A217,AU217,1)-Z218+$D$3))</f>
        <v>#N/A</v>
      </c>
      <c r="AV218" t="e">
        <f>IF(OR($J218=0,COUNTIFS($A$4:$A217,"&gt;="&amp;$A218-1,$A$4:$A217,"&lt;="&amp;$A218,$B$4:$B217,$B218)&gt;0,MIN(AV$1,IF($A218=$A217,AV217,1))-AA218&lt;0),-1,MIN(1,IF($A218=$A217,AV217,1)-AA218+$D$3))</f>
        <v>#N/A</v>
      </c>
      <c r="AW218" t="e">
        <f>IF(OR($J218=0,COUNTIFS($A$4:$A217,"&gt;="&amp;$A218-1,$A$4:$A217,"&lt;="&amp;$A218,$B$4:$B217,$B218)&gt;0,MIN(AW$1,IF($A218=$A217,AW217,1))-AB218&lt;0),-1,MIN(1,IF($A218=$A217,AW217,1)-AB218+$D$3))</f>
        <v>#N/A</v>
      </c>
      <c r="AX218" t="e">
        <f>IF(OR($J218=0,COUNTIFS($A$4:$A217,"&gt;="&amp;$A218-1,$A$4:$A217,"&lt;="&amp;$A218,$B$4:$B217,$B218)&gt;0,MIN(AX$1,IF($A218=$A217,AX217,1))-AC218&lt;0),-1,MIN(1,IF($A218=$A217,AX217,1)-AC218+$D$3))</f>
        <v>#N/A</v>
      </c>
      <c r="AY218" t="e">
        <f>IF(OR($J218=0,COUNTIFS($A$4:$A217,"&gt;="&amp;$A218-1,$A$4:$A217,"&lt;="&amp;$A218,$B$4:$B217,$B218)&gt;0,MIN(AY$1,IF($A218=$A217,AY217,1))-AD218&lt;0),-1,MIN(1,IF($A218=$A217,AY217,1)-AD218+$D$3))</f>
        <v>#N/A</v>
      </c>
      <c r="AZ218" t="e">
        <f>IF(OR($J218=0,COUNTIFS($A$4:$A217,"&gt;="&amp;$A218-1,$A$4:$A217,"&lt;="&amp;$A218,$B$4:$B217,$B218)&gt;0,MIN(AZ$1,IF($A218=$A217,AZ217,1))-AE218&lt;0),-1,MIN(1,IF($A218=$A217,AZ217,1)-AE218+$D$3))</f>
        <v>#N/A</v>
      </c>
      <c r="BA218" t="e">
        <f>IF(OR($J218=0,COUNTIFS($A$4:$A217,"&gt;="&amp;$A218-1,$A$4:$A217,"&lt;="&amp;$A218,$B$4:$B217,$B218)&gt;0,MIN(BA$1,IF($A218=$A217,BA217,1))-AF218&lt;0),-1,MIN(1,IF($A218=$A217,BA217,1)-AF218+$D$3))</f>
        <v>#N/A</v>
      </c>
      <c r="BB218" t="e">
        <f>IF(OR($J218=0,COUNTIFS($A$4:$A217,"&gt;="&amp;$A218-1,$A$4:$A217,"&lt;="&amp;$A218,$B$4:$B217,$B218)&gt;0,MIN(BB$1,IF($A218=$A217,BB217,1))-AG218&lt;0),-1,MIN(1,IF($A218=$A217,BB217,1)-AG218+$D$3))</f>
        <v>#N/A</v>
      </c>
      <c r="BC218" t="e">
        <f>IF(OR($J218=0,COUNTIFS($A$4:$A217,"&gt;="&amp;$A218-1,$A$4:$A217,"&lt;="&amp;$A218,$B$4:$B217,$B218)&gt;0,MIN(BC$1,IF($A218=$A217,BC217,1))-AH218&lt;0),-1,MIN(1,IF($A218=$A217,BC217,1)-AH218+$D$3))</f>
        <v>#N/A</v>
      </c>
      <c r="BD218" t="e">
        <f>IF(OR($J218=0,COUNTIFS($A$4:$A217,"&gt;="&amp;$A218-1,$A$4:$A217,"&lt;="&amp;$A218,$B$4:$B217,$B218)&gt;0,MIN(BD$1,IF($A218=$A217,BD217,1))-AI218&lt;0),-1,MIN(1,IF($A218=$A217,BD217,1)-AI218+$D$3))</f>
        <v>#N/A</v>
      </c>
      <c r="BF218" s="44">
        <f t="shared" si="267"/>
        <v>3.6237433015277313E-5</v>
      </c>
      <c r="BG218" s="44">
        <f t="shared" si="268"/>
        <v>8.9118073309124988E-5</v>
      </c>
      <c r="BH218" s="44">
        <f t="shared" si="269"/>
        <v>9.1336650838620174E-5</v>
      </c>
      <c r="BI218" s="44">
        <f t="shared" si="270"/>
        <v>8.4369706824244958E-5</v>
      </c>
      <c r="BJ218" s="44">
        <f t="shared" si="271"/>
        <v>8.720410172195226E-5</v>
      </c>
      <c r="BK218" s="44">
        <f t="shared" si="272"/>
        <v>3.7448692679070953E-5</v>
      </c>
      <c r="BL218" s="44">
        <f t="shared" si="273"/>
        <v>2.0230372942833077E-5</v>
      </c>
      <c r="BM218" s="44">
        <f t="shared" si="274"/>
        <v>5.146370636404361E-5</v>
      </c>
      <c r="BN218" s="44">
        <f t="shared" si="275"/>
        <v>5.3526265462174963E-5</v>
      </c>
      <c r="BO218" s="44">
        <f t="shared" si="276"/>
        <v>2.5084439084228197E-5</v>
      </c>
      <c r="BP218" s="44">
        <f t="shared" si="277"/>
        <v>8.4345867534437198E-5</v>
      </c>
      <c r="BQ218" s="44">
        <f t="shared" si="278"/>
        <v>2.2761458124265379E-5</v>
      </c>
      <c r="BR218" s="44">
        <f t="shared" si="279"/>
        <v>6.7243045087915694E-5</v>
      </c>
      <c r="BS218" s="44">
        <f t="shared" si="280"/>
        <v>3.6265066538776211E-5</v>
      </c>
      <c r="BT218" s="44">
        <f t="shared" si="281"/>
        <v>1.4351198630921467E-4</v>
      </c>
      <c r="BU218" s="44">
        <f t="shared" si="282"/>
        <v>1.3709713133248615E-4</v>
      </c>
      <c r="BV218" s="44">
        <f t="shared" si="283"/>
        <v>1.3166354917266138E-4</v>
      </c>
      <c r="BW218" s="44">
        <f t="shared" si="284"/>
        <v>8.6115206658964299E-5</v>
      </c>
      <c r="BX218" s="44">
        <f t="shared" si="285"/>
        <v>6.3620350891877895E-5</v>
      </c>
      <c r="BY218" s="44">
        <f t="shared" si="286"/>
        <v>5.4625383569716109E-5</v>
      </c>
      <c r="CA218" s="44" t="str">
        <f t="shared" si="287"/>
        <v/>
      </c>
      <c r="CB218" s="44" t="str">
        <f t="shared" si="288"/>
        <v/>
      </c>
      <c r="CC218" s="44" t="str">
        <f t="shared" si="289"/>
        <v/>
      </c>
      <c r="CD218" s="44" t="str">
        <f t="shared" si="290"/>
        <v/>
      </c>
      <c r="CE218" s="44" t="str">
        <f t="shared" si="291"/>
        <v/>
      </c>
      <c r="CF218" s="44" t="str">
        <f t="shared" si="292"/>
        <v/>
      </c>
      <c r="CG218" s="44" t="str">
        <f t="shared" si="293"/>
        <v/>
      </c>
      <c r="CH218" s="44" t="str">
        <f t="shared" si="294"/>
        <v/>
      </c>
      <c r="CI218" s="44" t="str">
        <f t="shared" si="295"/>
        <v/>
      </c>
      <c r="CJ218" s="44" t="str">
        <f t="shared" si="296"/>
        <v/>
      </c>
      <c r="CK218" s="44" t="str">
        <f t="shared" si="297"/>
        <v/>
      </c>
      <c r="CL218" s="44" t="str">
        <f t="shared" si="298"/>
        <v/>
      </c>
      <c r="CM218" s="44" t="str">
        <f t="shared" si="299"/>
        <v/>
      </c>
      <c r="CN218" s="44" t="str">
        <f t="shared" si="300"/>
        <v/>
      </c>
      <c r="CO218" s="44" t="str">
        <f t="shared" si="301"/>
        <v/>
      </c>
      <c r="CP218" s="44" t="str">
        <f t="shared" si="302"/>
        <v/>
      </c>
      <c r="CQ218" s="44" t="str">
        <f t="shared" si="303"/>
        <v/>
      </c>
      <c r="CR218" s="44" t="str">
        <f t="shared" si="304"/>
        <v/>
      </c>
      <c r="CS218" s="44" t="str">
        <f t="shared" si="305"/>
        <v/>
      </c>
      <c r="CT218" s="44" t="str">
        <f t="shared" si="306"/>
        <v/>
      </c>
      <c r="CV218" s="44">
        <f t="shared" si="307"/>
        <v>0</v>
      </c>
    </row>
    <row r="219" spans="1:100" x14ac:dyDescent="0.25">
      <c r="A219" s="41"/>
      <c r="B219" s="42"/>
      <c r="C219" s="43" t="str" cm="1">
        <f t="array" ref="C219">IF(B219="","",INDEX(UWS!$B$10:$B$41,B219))</f>
        <v/>
      </c>
      <c r="D219" s="40" t="str">
        <f t="shared" si="264"/>
        <v/>
      </c>
      <c r="E219" s="69" t="str">
        <f t="shared" si="265"/>
        <v/>
      </c>
      <c r="F219" s="48" cm="1">
        <f t="array" ref="F219">0.1+IFERROR(INDEX($F$5:$F218,SUMPRODUCT(MAX(ROW($C$5:$C218)*($C219=$C$5:$C218))-ROW($A$4)))*0.9^($A219-INDEX($A$5:A218,SUMPRODUCT(MAX(ROW($C$5:$C218)*($C219=$C$5:$C218))-ROW($A$4)))),0)</f>
        <v>15.399999999999961</v>
      </c>
      <c r="G219" s="55" t="e">
        <f>INDEX(UWS!$AB$10:$AB$41,MATCH(C219,UWS!$B$10:$B$41,0))</f>
        <v>#N/A</v>
      </c>
      <c r="H219" s="48" t="e">
        <f>INDEX(UWS!$C$10:$C$41,MATCH(C219,UWS!$B$10:$B$41,0))</f>
        <v>#N/A</v>
      </c>
      <c r="I219" s="27">
        <f t="shared" si="266"/>
        <v>5</v>
      </c>
      <c r="J219" s="27" t="e">
        <f>INDEX(UWS!$E$10:$E$41,MATCH(C219,UWS!$B$10:$B$41,0))</f>
        <v>#N/A</v>
      </c>
      <c r="L219" s="108" t="str" cm="1">
        <f t="array" ref="L219">IF(K219="","",INDEX(UWS!$B$10:$B$41,K219))</f>
        <v/>
      </c>
      <c r="N219" s="108" t="str" cm="1">
        <f t="array" ref="N219">IF(M219="","",INDEX(UWS!$B$10:$B$41,M219))</f>
        <v/>
      </c>
      <c r="P219">
        <f>IFERROR(INDEX(UWS!$G$10:$Z$41,MATCH($C219,UWS!$B$10:$B$41,0),MATCH(P$4,UWS!$G$3:$Z$3,0)),0)</f>
        <v>0</v>
      </c>
      <c r="Q219">
        <f>IFERROR(INDEX(UWS!$G$10:$Z$41,MATCH($C219,UWS!$B$10:$B$41,0),MATCH(Q$4,UWS!$G$3:$Z$3,0)),0)</f>
        <v>0</v>
      </c>
      <c r="R219">
        <f>IFERROR(INDEX(UWS!$G$10:$Z$41,MATCH($C219,UWS!$B$10:$B$41,0),MATCH(R$4,UWS!$G$3:$Z$3,0)),0)</f>
        <v>0</v>
      </c>
      <c r="S219">
        <f>IFERROR(INDEX(UWS!$G$10:$Z$41,MATCH($C219,UWS!$B$10:$B$41,0),MATCH(S$4,UWS!$G$3:$Z$3,0)),0)</f>
        <v>0</v>
      </c>
      <c r="T219">
        <f>IFERROR(INDEX(UWS!$G$10:$Z$41,MATCH($C219,UWS!$B$10:$B$41,0),MATCH(T$4,UWS!$G$3:$Z$3,0)),0)</f>
        <v>0</v>
      </c>
      <c r="U219">
        <f>IFERROR(INDEX(UWS!$G$10:$Z$41,MATCH($C219,UWS!$B$10:$B$41,0),MATCH(U$4,UWS!$G$3:$Z$3,0)),0)</f>
        <v>0</v>
      </c>
      <c r="V219">
        <f>IFERROR(INDEX(UWS!$G$10:$Z$41,MATCH($C219,UWS!$B$10:$B$41,0),MATCH(V$4,UWS!$G$3:$Z$3,0)),0)</f>
        <v>0</v>
      </c>
      <c r="W219">
        <f>IFERROR(INDEX(UWS!$G$10:$Z$41,MATCH($C219,UWS!$B$10:$B$41,0),MATCH(W$4,UWS!$G$3:$Z$3,0)),0)</f>
        <v>0</v>
      </c>
      <c r="X219">
        <f>IFERROR(INDEX(UWS!$G$10:$Z$41,MATCH($C219,UWS!$B$10:$B$41,0),MATCH(X$4,UWS!$G$3:$Z$3,0)),0)</f>
        <v>0</v>
      </c>
      <c r="Y219">
        <f>IFERROR(INDEX(UWS!$G$10:$Z$41,MATCH($C219,UWS!$B$10:$B$41,0),MATCH(Y$4,UWS!$G$3:$Z$3,0)),0)</f>
        <v>0</v>
      </c>
      <c r="Z219">
        <f>IFERROR(INDEX(UWS!$G$10:$Z$41,MATCH($C219,UWS!$B$10:$B$41,0),MATCH(Z$4,UWS!$G$3:$Z$3,0)),0)</f>
        <v>0</v>
      </c>
      <c r="AA219">
        <f>IFERROR(INDEX(UWS!$G$10:$Z$41,MATCH($C219,UWS!$B$10:$B$41,0),MATCH(AA$4,UWS!$G$3:$Z$3,0)),0)</f>
        <v>0</v>
      </c>
      <c r="AB219">
        <f>IFERROR(INDEX(UWS!$G$10:$Z$41,MATCH($C219,UWS!$B$10:$B$41,0),MATCH(AB$4,UWS!$G$3:$Z$3,0)),0)</f>
        <v>0</v>
      </c>
      <c r="AC219">
        <f>IFERROR(INDEX(UWS!$G$10:$Z$41,MATCH($C219,UWS!$B$10:$B$41,0),MATCH(AC$4,UWS!$G$3:$Z$3,0)),0)</f>
        <v>0</v>
      </c>
      <c r="AD219">
        <f>IFERROR(INDEX(UWS!$G$10:$Z$41,MATCH($C219,UWS!$B$10:$B$41,0),MATCH(AD$4,UWS!$G$3:$Z$3,0)),0)</f>
        <v>0</v>
      </c>
      <c r="AE219">
        <f>IFERROR(INDEX(UWS!$G$10:$Z$41,MATCH($C219,UWS!$B$10:$B$41,0),MATCH(AE$4,UWS!$G$3:$Z$3,0)),0)</f>
        <v>0</v>
      </c>
      <c r="AF219">
        <f>IFERROR(INDEX(UWS!$G$10:$Z$41,MATCH($C219,UWS!$B$10:$B$41,0),MATCH(AF$4,UWS!$G$3:$Z$3,0)),0)</f>
        <v>0</v>
      </c>
      <c r="AG219">
        <f>IFERROR(INDEX(UWS!$G$10:$Z$41,MATCH($C219,UWS!$B$10:$B$41,0),MATCH(AG$4,UWS!$G$3:$Z$3,0)),0)</f>
        <v>0</v>
      </c>
      <c r="AH219">
        <f>IFERROR(INDEX(UWS!$G$10:$Z$41,MATCH($C219,UWS!$B$10:$B$41,0),MATCH(AH$4,UWS!$G$3:$Z$3,0)),0)</f>
        <v>0</v>
      </c>
      <c r="AI219">
        <f>IFERROR(INDEX(UWS!$G$10:$Z$41,MATCH($C219,UWS!$B$10:$B$41,0),MATCH(AI$4,UWS!$G$3:$Z$3,0)),0)</f>
        <v>0</v>
      </c>
      <c r="AK219" t="e">
        <f>IF(OR($J219=0,COUNTIFS($A$4:$A218,"&gt;="&amp;$A219-1,$A$4:$A218,"&lt;="&amp;$A219,$B$4:$B218,$B219)&gt;0,MIN(AK$1,IF($A219=$A218,AK218,1))-P219&lt;0),-1,MIN(1,IF($A219=$A218,AK218,1)-P219+$D$3))</f>
        <v>#N/A</v>
      </c>
      <c r="AL219" t="e">
        <f>IF(OR($J219=0,COUNTIFS($A$4:$A218,"&gt;="&amp;$A219-1,$A$4:$A218,"&lt;="&amp;$A219,$B$4:$B218,$B219)&gt;0,MIN(AL$1,IF($A219=$A218,AL218,1))-Q219&lt;0),-1,MIN(1,IF($A219=$A218,AL218,1)-Q219+$D$3))</f>
        <v>#N/A</v>
      </c>
      <c r="AM219" t="e">
        <f>IF(OR($J219=0,COUNTIFS($A$4:$A218,"&gt;="&amp;$A219-1,$A$4:$A218,"&lt;="&amp;$A219,$B$4:$B218,$B219)&gt;0,MIN(AM$1,IF($A219=$A218,AM218,1))-R219&lt;0),-1,MIN(1,IF($A219=$A218,AM218,1)-R219+$D$3))</f>
        <v>#N/A</v>
      </c>
      <c r="AN219" t="e">
        <f>IF(OR($J219=0,COUNTIFS($A$4:$A218,"&gt;="&amp;$A219-1,$A$4:$A218,"&lt;="&amp;$A219,$B$4:$B218,$B219)&gt;0,MIN(AN$1,IF($A219=$A218,AN218,1))-S219&lt;0),-1,MIN(1,IF($A219=$A218,AN218,1)-S219+$D$3))</f>
        <v>#N/A</v>
      </c>
      <c r="AO219" t="e">
        <f>IF(OR($J219=0,COUNTIFS($A$4:$A218,"&gt;="&amp;$A219-1,$A$4:$A218,"&lt;="&amp;$A219,$B$4:$B218,$B219)&gt;0,MIN(AO$1,IF($A219=$A218,AO218,1))-T219&lt;0),-1,MIN(1,IF($A219=$A218,AO218,1)-T219+$D$3))</f>
        <v>#N/A</v>
      </c>
      <c r="AP219" t="e">
        <f>IF(OR($J219=0,COUNTIFS($A$4:$A218,"&gt;="&amp;$A219-1,$A$4:$A218,"&lt;="&amp;$A219,$B$4:$B218,$B219)&gt;0,MIN(AP$1,IF($A219=$A218,AP218,1))-U219&lt;0),-1,MIN(1,IF($A219=$A218,AP218,1)-U219+$D$3))</f>
        <v>#N/A</v>
      </c>
      <c r="AQ219" t="e">
        <f>IF(OR($J219=0,COUNTIFS($A$4:$A218,"&gt;="&amp;$A219-1,$A$4:$A218,"&lt;="&amp;$A219,$B$4:$B218,$B219)&gt;0,MIN(AQ$1,IF($A219=$A218,AQ218,1))-V219&lt;0),-1,MIN(1,IF($A219=$A218,AQ218,1)-V219+$D$3))</f>
        <v>#N/A</v>
      </c>
      <c r="AR219" t="e">
        <f>IF(OR($J219=0,COUNTIFS($A$4:$A218,"&gt;="&amp;$A219-1,$A$4:$A218,"&lt;="&amp;$A219,$B$4:$B218,$B219)&gt;0,MIN(AR$1,IF($A219=$A218,AR218,1))-W219&lt;0),-1,MIN(1,IF($A219=$A218,AR218,1)-W219+$D$3))</f>
        <v>#N/A</v>
      </c>
      <c r="AS219" t="e">
        <f>IF(OR($J219=0,COUNTIFS($A$4:$A218,"&gt;="&amp;$A219-1,$A$4:$A218,"&lt;="&amp;$A219,$B$4:$B218,$B219)&gt;0,MIN(AS$1,IF($A219=$A218,AS218,1))-X219&lt;0),-1,MIN(1,IF($A219=$A218,AS218,1)-X219+$D$3))</f>
        <v>#N/A</v>
      </c>
      <c r="AT219" t="e">
        <f>IF(OR($J219=0,COUNTIFS($A$4:$A218,"&gt;="&amp;$A219-1,$A$4:$A218,"&lt;="&amp;$A219,$B$4:$B218,$B219)&gt;0,MIN(AT$1,IF($A219=$A218,AT218,1))-Y219&lt;0),-1,MIN(1,IF($A219=$A218,AT218,1)-Y219+$D$3))</f>
        <v>#N/A</v>
      </c>
      <c r="AU219" t="e">
        <f>IF(OR($J219=0,COUNTIFS($A$4:$A218,"&gt;="&amp;$A219-1,$A$4:$A218,"&lt;="&amp;$A219,$B$4:$B218,$B219)&gt;0,MIN(AU$1,IF($A219=$A218,AU218,1))-Z219&lt;0),-1,MIN(1,IF($A219=$A218,AU218,1)-Z219+$D$3))</f>
        <v>#N/A</v>
      </c>
      <c r="AV219" t="e">
        <f>IF(OR($J219=0,COUNTIFS($A$4:$A218,"&gt;="&amp;$A219-1,$A$4:$A218,"&lt;="&amp;$A219,$B$4:$B218,$B219)&gt;0,MIN(AV$1,IF($A219=$A218,AV218,1))-AA219&lt;0),-1,MIN(1,IF($A219=$A218,AV218,1)-AA219+$D$3))</f>
        <v>#N/A</v>
      </c>
      <c r="AW219" t="e">
        <f>IF(OR($J219=0,COUNTIFS($A$4:$A218,"&gt;="&amp;$A219-1,$A$4:$A218,"&lt;="&amp;$A219,$B$4:$B218,$B219)&gt;0,MIN(AW$1,IF($A219=$A218,AW218,1))-AB219&lt;0),-1,MIN(1,IF($A219=$A218,AW218,1)-AB219+$D$3))</f>
        <v>#N/A</v>
      </c>
      <c r="AX219" t="e">
        <f>IF(OR($J219=0,COUNTIFS($A$4:$A218,"&gt;="&amp;$A219-1,$A$4:$A218,"&lt;="&amp;$A219,$B$4:$B218,$B219)&gt;0,MIN(AX$1,IF($A219=$A218,AX218,1))-AC219&lt;0),-1,MIN(1,IF($A219=$A218,AX218,1)-AC219+$D$3))</f>
        <v>#N/A</v>
      </c>
      <c r="AY219" t="e">
        <f>IF(OR($J219=0,COUNTIFS($A$4:$A218,"&gt;="&amp;$A219-1,$A$4:$A218,"&lt;="&amp;$A219,$B$4:$B218,$B219)&gt;0,MIN(AY$1,IF($A219=$A218,AY218,1))-AD219&lt;0),-1,MIN(1,IF($A219=$A218,AY218,1)-AD219+$D$3))</f>
        <v>#N/A</v>
      </c>
      <c r="AZ219" t="e">
        <f>IF(OR($J219=0,COUNTIFS($A$4:$A218,"&gt;="&amp;$A219-1,$A$4:$A218,"&lt;="&amp;$A219,$B$4:$B218,$B219)&gt;0,MIN(AZ$1,IF($A219=$A218,AZ218,1))-AE219&lt;0),-1,MIN(1,IF($A219=$A218,AZ218,1)-AE219+$D$3))</f>
        <v>#N/A</v>
      </c>
      <c r="BA219" t="e">
        <f>IF(OR($J219=0,COUNTIFS($A$4:$A218,"&gt;="&amp;$A219-1,$A$4:$A218,"&lt;="&amp;$A219,$B$4:$B218,$B219)&gt;0,MIN(BA$1,IF($A219=$A218,BA218,1))-AF219&lt;0),-1,MIN(1,IF($A219=$A218,BA218,1)-AF219+$D$3))</f>
        <v>#N/A</v>
      </c>
      <c r="BB219" t="e">
        <f>IF(OR($J219=0,COUNTIFS($A$4:$A218,"&gt;="&amp;$A219-1,$A$4:$A218,"&lt;="&amp;$A219,$B$4:$B218,$B219)&gt;0,MIN(BB$1,IF($A219=$A218,BB218,1))-AG219&lt;0),-1,MIN(1,IF($A219=$A218,BB218,1)-AG219+$D$3))</f>
        <v>#N/A</v>
      </c>
      <c r="BC219" t="e">
        <f>IF(OR($J219=0,COUNTIFS($A$4:$A218,"&gt;="&amp;$A219-1,$A$4:$A218,"&lt;="&amp;$A219,$B$4:$B218,$B219)&gt;0,MIN(BC$1,IF($A219=$A218,BC218,1))-AH219&lt;0),-1,MIN(1,IF($A219=$A218,BC218,1)-AH219+$D$3))</f>
        <v>#N/A</v>
      </c>
      <c r="BD219" t="e">
        <f>IF(OR($J219=0,COUNTIFS($A$4:$A218,"&gt;="&amp;$A219-1,$A$4:$A218,"&lt;="&amp;$A219,$B$4:$B218,$B219)&gt;0,MIN(BD$1,IF($A219=$A218,BD218,1))-AI219&lt;0),-1,MIN(1,IF($A219=$A218,BD218,1)-AI219+$D$3))</f>
        <v>#N/A</v>
      </c>
      <c r="BF219" s="44">
        <f t="shared" si="267"/>
        <v>3.4425561364513444E-5</v>
      </c>
      <c r="BG219" s="44">
        <f t="shared" si="268"/>
        <v>8.4662169643668738E-5</v>
      </c>
      <c r="BH219" s="44">
        <f t="shared" si="269"/>
        <v>8.6769818296689166E-5</v>
      </c>
      <c r="BI219" s="44">
        <f t="shared" si="270"/>
        <v>8.0151221483032705E-5</v>
      </c>
      <c r="BJ219" s="44">
        <f t="shared" si="271"/>
        <v>8.2843896635854641E-5</v>
      </c>
      <c r="BK219" s="44">
        <f t="shared" si="272"/>
        <v>3.5576258045117405E-5</v>
      </c>
      <c r="BL219" s="44">
        <f t="shared" si="273"/>
        <v>1.9218854295691423E-5</v>
      </c>
      <c r="BM219" s="44">
        <f t="shared" si="274"/>
        <v>4.889052104584143E-5</v>
      </c>
      <c r="BN219" s="44">
        <f t="shared" si="275"/>
        <v>5.0849952189066215E-5</v>
      </c>
      <c r="BO219" s="44">
        <f t="shared" si="276"/>
        <v>2.3830217130016787E-5</v>
      </c>
      <c r="BP219" s="44">
        <f t="shared" si="277"/>
        <v>8.0128574157715339E-5</v>
      </c>
      <c r="BQ219" s="44">
        <f t="shared" si="278"/>
        <v>2.1623385218052108E-5</v>
      </c>
      <c r="BR219" s="44">
        <f t="shared" si="279"/>
        <v>6.3880892833519904E-5</v>
      </c>
      <c r="BS219" s="44">
        <f t="shared" si="280"/>
        <v>3.44518132118374E-5</v>
      </c>
      <c r="BT219" s="44">
        <f t="shared" si="281"/>
        <v>1.3633638699375394E-4</v>
      </c>
      <c r="BU219" s="44">
        <f t="shared" si="282"/>
        <v>1.3024227476586184E-4</v>
      </c>
      <c r="BV219" s="44">
        <f t="shared" si="283"/>
        <v>1.2508037171402831E-4</v>
      </c>
      <c r="BW219" s="44">
        <f t="shared" si="284"/>
        <v>8.1809446326016079E-5</v>
      </c>
      <c r="BX219" s="44">
        <f t="shared" si="285"/>
        <v>6.0439333347283996E-5</v>
      </c>
      <c r="BY219" s="44">
        <f t="shared" si="286"/>
        <v>5.1894114391230302E-5</v>
      </c>
      <c r="CA219" s="44" t="str">
        <f t="shared" si="287"/>
        <v/>
      </c>
      <c r="CB219" s="44" t="str">
        <f t="shared" si="288"/>
        <v/>
      </c>
      <c r="CC219" s="44" t="str">
        <f t="shared" si="289"/>
        <v/>
      </c>
      <c r="CD219" s="44" t="str">
        <f t="shared" si="290"/>
        <v/>
      </c>
      <c r="CE219" s="44" t="str">
        <f t="shared" si="291"/>
        <v/>
      </c>
      <c r="CF219" s="44" t="str">
        <f t="shared" si="292"/>
        <v/>
      </c>
      <c r="CG219" s="44" t="str">
        <f t="shared" si="293"/>
        <v/>
      </c>
      <c r="CH219" s="44" t="str">
        <f t="shared" si="294"/>
        <v/>
      </c>
      <c r="CI219" s="44" t="str">
        <f t="shared" si="295"/>
        <v/>
      </c>
      <c r="CJ219" s="44" t="str">
        <f t="shared" si="296"/>
        <v/>
      </c>
      <c r="CK219" s="44" t="str">
        <f t="shared" si="297"/>
        <v/>
      </c>
      <c r="CL219" s="44" t="str">
        <f t="shared" si="298"/>
        <v/>
      </c>
      <c r="CM219" s="44" t="str">
        <f t="shared" si="299"/>
        <v/>
      </c>
      <c r="CN219" s="44" t="str">
        <f t="shared" si="300"/>
        <v/>
      </c>
      <c r="CO219" s="44" t="str">
        <f t="shared" si="301"/>
        <v/>
      </c>
      <c r="CP219" s="44" t="str">
        <f t="shared" si="302"/>
        <v/>
      </c>
      <c r="CQ219" s="44" t="str">
        <f t="shared" si="303"/>
        <v/>
      </c>
      <c r="CR219" s="44" t="str">
        <f t="shared" si="304"/>
        <v/>
      </c>
      <c r="CS219" s="44" t="str">
        <f t="shared" si="305"/>
        <v/>
      </c>
      <c r="CT219" s="44" t="str">
        <f t="shared" si="306"/>
        <v/>
      </c>
      <c r="CV219" s="44">
        <f t="shared" si="307"/>
        <v>0</v>
      </c>
    </row>
    <row r="220" spans="1:100" x14ac:dyDescent="0.25">
      <c r="A220" s="49"/>
      <c r="B220" s="50"/>
      <c r="C220" s="51" t="str" cm="1">
        <f t="array" ref="C220">IF(B220="","",INDEX(UWS!$B$10:$B$41,B220))</f>
        <v/>
      </c>
      <c r="D220" s="45" t="str">
        <f t="shared" si="264"/>
        <v/>
      </c>
      <c r="E220" s="70" t="str">
        <f t="shared" si="265"/>
        <v/>
      </c>
      <c r="F220" s="52" cm="1">
        <f t="array" ref="F220">0.1+IFERROR(INDEX($F$5:$F219,SUMPRODUCT(MAX(ROW($C$5:$C219)*($C220=$C$5:$C219))-ROW($A$4)))*0.9^($A220-INDEX($A$5:A219,SUMPRODUCT(MAX(ROW($C$5:$C219)*($C220=$C$5:$C219))-ROW($A$4)))),0)</f>
        <v>15.499999999999961</v>
      </c>
      <c r="G220" s="56" t="e">
        <f>INDEX(UWS!$AB$10:$AB$41,MATCH(C220,UWS!$B$10:$B$41,0))</f>
        <v>#N/A</v>
      </c>
      <c r="H220" s="52" t="e">
        <f>INDEX(UWS!$C$10:$C$41,MATCH(C220,UWS!$B$10:$B$41,0))</f>
        <v>#N/A</v>
      </c>
      <c r="I220" s="46">
        <f t="shared" si="266"/>
        <v>5</v>
      </c>
      <c r="J220" s="46" t="e">
        <f>INDEX(UWS!$E$10:$E$41,MATCH(C220,UWS!$B$10:$B$41,0))</f>
        <v>#N/A</v>
      </c>
      <c r="K220" s="46"/>
      <c r="L220" s="109" t="str" cm="1">
        <f t="array" ref="L220">IF(K220="","",INDEX(UWS!$B$10:$B$41,K220))</f>
        <v/>
      </c>
      <c r="M220" s="46"/>
      <c r="N220" s="109" t="str" cm="1">
        <f t="array" ref="N220">IF(M220="","",INDEX(UWS!$B$10:$B$41,M220))</f>
        <v/>
      </c>
      <c r="O220" s="47"/>
      <c r="P220" s="47">
        <f>IFERROR(INDEX(UWS!$G$10:$Z$41,MATCH($C220,UWS!$B$10:$B$41,0),MATCH(P$4,UWS!$G$3:$Z$3,0)),0)</f>
        <v>0</v>
      </c>
      <c r="Q220" s="47">
        <f>IFERROR(INDEX(UWS!$G$10:$Z$41,MATCH($C220,UWS!$B$10:$B$41,0),MATCH(Q$4,UWS!$G$3:$Z$3,0)),0)</f>
        <v>0</v>
      </c>
      <c r="R220" s="47">
        <f>IFERROR(INDEX(UWS!$G$10:$Z$41,MATCH($C220,UWS!$B$10:$B$41,0),MATCH(R$4,UWS!$G$3:$Z$3,0)),0)</f>
        <v>0</v>
      </c>
      <c r="S220" s="47">
        <f>IFERROR(INDEX(UWS!$G$10:$Z$41,MATCH($C220,UWS!$B$10:$B$41,0),MATCH(S$4,UWS!$G$3:$Z$3,0)),0)</f>
        <v>0</v>
      </c>
      <c r="T220" s="47">
        <f>IFERROR(INDEX(UWS!$G$10:$Z$41,MATCH($C220,UWS!$B$10:$B$41,0),MATCH(T$4,UWS!$G$3:$Z$3,0)),0)</f>
        <v>0</v>
      </c>
      <c r="U220" s="47">
        <f>IFERROR(INDEX(UWS!$G$10:$Z$41,MATCH($C220,UWS!$B$10:$B$41,0),MATCH(U$4,UWS!$G$3:$Z$3,0)),0)</f>
        <v>0</v>
      </c>
      <c r="V220" s="47">
        <f>IFERROR(INDEX(UWS!$G$10:$Z$41,MATCH($C220,UWS!$B$10:$B$41,0),MATCH(V$4,UWS!$G$3:$Z$3,0)),0)</f>
        <v>0</v>
      </c>
      <c r="W220" s="47">
        <f>IFERROR(INDEX(UWS!$G$10:$Z$41,MATCH($C220,UWS!$B$10:$B$41,0),MATCH(W$4,UWS!$G$3:$Z$3,0)),0)</f>
        <v>0</v>
      </c>
      <c r="X220" s="47">
        <f>IFERROR(INDEX(UWS!$G$10:$Z$41,MATCH($C220,UWS!$B$10:$B$41,0),MATCH(X$4,UWS!$G$3:$Z$3,0)),0)</f>
        <v>0</v>
      </c>
      <c r="Y220" s="47">
        <f>IFERROR(INDEX(UWS!$G$10:$Z$41,MATCH($C220,UWS!$B$10:$B$41,0),MATCH(Y$4,UWS!$G$3:$Z$3,0)),0)</f>
        <v>0</v>
      </c>
      <c r="Z220" s="47">
        <f>IFERROR(INDEX(UWS!$G$10:$Z$41,MATCH($C220,UWS!$B$10:$B$41,0),MATCH(Z$4,UWS!$G$3:$Z$3,0)),0)</f>
        <v>0</v>
      </c>
      <c r="AA220" s="47">
        <f>IFERROR(INDEX(UWS!$G$10:$Z$41,MATCH($C220,UWS!$B$10:$B$41,0),MATCH(AA$4,UWS!$G$3:$Z$3,0)),0)</f>
        <v>0</v>
      </c>
      <c r="AB220" s="47">
        <f>IFERROR(INDEX(UWS!$G$10:$Z$41,MATCH($C220,UWS!$B$10:$B$41,0),MATCH(AB$4,UWS!$G$3:$Z$3,0)),0)</f>
        <v>0</v>
      </c>
      <c r="AC220" s="47">
        <f>IFERROR(INDEX(UWS!$G$10:$Z$41,MATCH($C220,UWS!$B$10:$B$41,0),MATCH(AC$4,UWS!$G$3:$Z$3,0)),0)</f>
        <v>0</v>
      </c>
      <c r="AD220" s="47">
        <f>IFERROR(INDEX(UWS!$G$10:$Z$41,MATCH($C220,UWS!$B$10:$B$41,0),MATCH(AD$4,UWS!$G$3:$Z$3,0)),0)</f>
        <v>0</v>
      </c>
      <c r="AE220" s="47">
        <f>IFERROR(INDEX(UWS!$G$10:$Z$41,MATCH($C220,UWS!$B$10:$B$41,0),MATCH(AE$4,UWS!$G$3:$Z$3,0)),0)</f>
        <v>0</v>
      </c>
      <c r="AF220" s="47">
        <f>IFERROR(INDEX(UWS!$G$10:$Z$41,MATCH($C220,UWS!$B$10:$B$41,0),MATCH(AF$4,UWS!$G$3:$Z$3,0)),0)</f>
        <v>0</v>
      </c>
      <c r="AG220" s="47">
        <f>IFERROR(INDEX(UWS!$G$10:$Z$41,MATCH($C220,UWS!$B$10:$B$41,0),MATCH(AG$4,UWS!$G$3:$Z$3,0)),0)</f>
        <v>0</v>
      </c>
      <c r="AH220" s="47">
        <f>IFERROR(INDEX(UWS!$G$10:$Z$41,MATCH($C220,UWS!$B$10:$B$41,0),MATCH(AH$4,UWS!$G$3:$Z$3,0)),0)</f>
        <v>0</v>
      </c>
      <c r="AI220" s="47">
        <f>IFERROR(INDEX(UWS!$G$10:$Z$41,MATCH($C220,UWS!$B$10:$B$41,0),MATCH(AI$4,UWS!$G$3:$Z$3,0)),0)</f>
        <v>0</v>
      </c>
      <c r="AJ220" s="47"/>
      <c r="AK220" s="47" t="e">
        <f>IF(OR($J220=0,COUNTIFS($A$4:$A219,"&gt;="&amp;$A220-1,$A$4:$A219,"&lt;="&amp;$A220,$B$4:$B219,$B220)&gt;0,MIN(AK$1,IF($A220=$A219,AK219,1))-P220&lt;0),-1,MIN(1,IF($A220=$A219,AK219,1)-P220+$D$3))</f>
        <v>#N/A</v>
      </c>
      <c r="AL220" s="47" t="e">
        <f>IF(OR($J220=0,COUNTIFS($A$4:$A219,"&gt;="&amp;$A220-1,$A$4:$A219,"&lt;="&amp;$A220,$B$4:$B219,$B220)&gt;0,MIN(AL$1,IF($A220=$A219,AL219,1))-Q220&lt;0),-1,MIN(1,IF($A220=$A219,AL219,1)-Q220+$D$3))</f>
        <v>#N/A</v>
      </c>
      <c r="AM220" s="47" t="e">
        <f>IF(OR($J220=0,COUNTIFS($A$4:$A219,"&gt;="&amp;$A220-1,$A$4:$A219,"&lt;="&amp;$A220,$B$4:$B219,$B220)&gt;0,MIN(AM$1,IF($A220=$A219,AM219,1))-R220&lt;0),-1,MIN(1,IF($A220=$A219,AM219,1)-R220+$D$3))</f>
        <v>#N/A</v>
      </c>
      <c r="AN220" s="47" t="e">
        <f>IF(OR($J220=0,COUNTIFS($A$4:$A219,"&gt;="&amp;$A220-1,$A$4:$A219,"&lt;="&amp;$A220,$B$4:$B219,$B220)&gt;0,MIN(AN$1,IF($A220=$A219,AN219,1))-S220&lt;0),-1,MIN(1,IF($A220=$A219,AN219,1)-S220+$D$3))</f>
        <v>#N/A</v>
      </c>
      <c r="AO220" s="47" t="e">
        <f>IF(OR($J220=0,COUNTIFS($A$4:$A219,"&gt;="&amp;$A220-1,$A$4:$A219,"&lt;="&amp;$A220,$B$4:$B219,$B220)&gt;0,MIN(AO$1,IF($A220=$A219,AO219,1))-T220&lt;0),-1,MIN(1,IF($A220=$A219,AO219,1)-T220+$D$3))</f>
        <v>#N/A</v>
      </c>
      <c r="AP220" s="47" t="e">
        <f>IF(OR($J220=0,COUNTIFS($A$4:$A219,"&gt;="&amp;$A220-1,$A$4:$A219,"&lt;="&amp;$A220,$B$4:$B219,$B220)&gt;0,MIN(AP$1,IF($A220=$A219,AP219,1))-U220&lt;0),-1,MIN(1,IF($A220=$A219,AP219,1)-U220+$D$3))</f>
        <v>#N/A</v>
      </c>
      <c r="AQ220" s="47" t="e">
        <f>IF(OR($J220=0,COUNTIFS($A$4:$A219,"&gt;="&amp;$A220-1,$A$4:$A219,"&lt;="&amp;$A220,$B$4:$B219,$B220)&gt;0,MIN(AQ$1,IF($A220=$A219,AQ219,1))-V220&lt;0),-1,MIN(1,IF($A220=$A219,AQ219,1)-V220+$D$3))</f>
        <v>#N/A</v>
      </c>
      <c r="AR220" s="47" t="e">
        <f>IF(OR($J220=0,COUNTIFS($A$4:$A219,"&gt;="&amp;$A220-1,$A$4:$A219,"&lt;="&amp;$A220,$B$4:$B219,$B220)&gt;0,MIN(AR$1,IF($A220=$A219,AR219,1))-W220&lt;0),-1,MIN(1,IF($A220=$A219,AR219,1)-W220+$D$3))</f>
        <v>#N/A</v>
      </c>
      <c r="AS220" s="47" t="e">
        <f>IF(OR($J220=0,COUNTIFS($A$4:$A219,"&gt;="&amp;$A220-1,$A$4:$A219,"&lt;="&amp;$A220,$B$4:$B219,$B220)&gt;0,MIN(AS$1,IF($A220=$A219,AS219,1))-X220&lt;0),-1,MIN(1,IF($A220=$A219,AS219,1)-X220+$D$3))</f>
        <v>#N/A</v>
      </c>
      <c r="AT220" s="47" t="e">
        <f>IF(OR($J220=0,COUNTIFS($A$4:$A219,"&gt;="&amp;$A220-1,$A$4:$A219,"&lt;="&amp;$A220,$B$4:$B219,$B220)&gt;0,MIN(AT$1,IF($A220=$A219,AT219,1))-Y220&lt;0),-1,MIN(1,IF($A220=$A219,AT219,1)-Y220+$D$3))</f>
        <v>#N/A</v>
      </c>
      <c r="AU220" s="47" t="e">
        <f>IF(OR($J220=0,COUNTIFS($A$4:$A219,"&gt;="&amp;$A220-1,$A$4:$A219,"&lt;="&amp;$A220,$B$4:$B219,$B220)&gt;0,MIN(AU$1,IF($A220=$A219,AU219,1))-Z220&lt;0),-1,MIN(1,IF($A220=$A219,AU219,1)-Z220+$D$3))</f>
        <v>#N/A</v>
      </c>
      <c r="AV220" s="47" t="e">
        <f>IF(OR($J220=0,COUNTIFS($A$4:$A219,"&gt;="&amp;$A220-1,$A$4:$A219,"&lt;="&amp;$A220,$B$4:$B219,$B220)&gt;0,MIN(AV$1,IF($A220=$A219,AV219,1))-AA220&lt;0),-1,MIN(1,IF($A220=$A219,AV219,1)-AA220+$D$3))</f>
        <v>#N/A</v>
      </c>
      <c r="AW220" s="47" t="e">
        <f>IF(OR($J220=0,COUNTIFS($A$4:$A219,"&gt;="&amp;$A220-1,$A$4:$A219,"&lt;="&amp;$A220,$B$4:$B219,$B220)&gt;0,MIN(AW$1,IF($A220=$A219,AW219,1))-AB220&lt;0),-1,MIN(1,IF($A220=$A219,AW219,1)-AB220+$D$3))</f>
        <v>#N/A</v>
      </c>
      <c r="AX220" s="47" t="e">
        <f>IF(OR($J220=0,COUNTIFS($A$4:$A219,"&gt;="&amp;$A220-1,$A$4:$A219,"&lt;="&amp;$A220,$B$4:$B219,$B220)&gt;0,MIN(AX$1,IF($A220=$A219,AX219,1))-AC220&lt;0),-1,MIN(1,IF($A220=$A219,AX219,1)-AC220+$D$3))</f>
        <v>#N/A</v>
      </c>
      <c r="AY220" s="47" t="e">
        <f>IF(OR($J220=0,COUNTIFS($A$4:$A219,"&gt;="&amp;$A220-1,$A$4:$A219,"&lt;="&amp;$A220,$B$4:$B219,$B220)&gt;0,MIN(AY$1,IF($A220=$A219,AY219,1))-AD220&lt;0),-1,MIN(1,IF($A220=$A219,AY219,1)-AD220+$D$3))</f>
        <v>#N/A</v>
      </c>
      <c r="AZ220" s="47" t="e">
        <f>IF(OR($J220=0,COUNTIFS($A$4:$A219,"&gt;="&amp;$A220-1,$A$4:$A219,"&lt;="&amp;$A220,$B$4:$B219,$B220)&gt;0,MIN(AZ$1,IF($A220=$A219,AZ219,1))-AE220&lt;0),-1,MIN(1,IF($A220=$A219,AZ219,1)-AE220+$D$3))</f>
        <v>#N/A</v>
      </c>
      <c r="BA220" s="47" t="e">
        <f>IF(OR($J220=0,COUNTIFS($A$4:$A219,"&gt;="&amp;$A220-1,$A$4:$A219,"&lt;="&amp;$A220,$B$4:$B219,$B220)&gt;0,MIN(BA$1,IF($A220=$A219,BA219,1))-AF220&lt;0),-1,MIN(1,IF($A220=$A219,BA219,1)-AF220+$D$3))</f>
        <v>#N/A</v>
      </c>
      <c r="BB220" s="47" t="e">
        <f>IF(OR($J220=0,COUNTIFS($A$4:$A219,"&gt;="&amp;$A220-1,$A$4:$A219,"&lt;="&amp;$A220,$B$4:$B219,$B220)&gt;0,MIN(BB$1,IF($A220=$A219,BB219,1))-AG220&lt;0),-1,MIN(1,IF($A220=$A219,BB219,1)-AG220+$D$3))</f>
        <v>#N/A</v>
      </c>
      <c r="BC220" s="47" t="e">
        <f>IF(OR($J220=0,COUNTIFS($A$4:$A219,"&gt;="&amp;$A220-1,$A$4:$A219,"&lt;="&amp;$A220,$B$4:$B219,$B220)&gt;0,MIN(BC$1,IF($A220=$A219,BC219,1))-AH220&lt;0),-1,MIN(1,IF($A220=$A219,BC219,1)-AH220+$D$3))</f>
        <v>#N/A</v>
      </c>
      <c r="BD220" s="47" t="e">
        <f>IF(OR($J220=0,COUNTIFS($A$4:$A219,"&gt;="&amp;$A220-1,$A$4:$A219,"&lt;="&amp;$A220,$B$4:$B219,$B220)&gt;0,MIN(BD$1,IF($A220=$A219,BD219,1))-AI220&lt;0),-1,MIN(1,IF($A220=$A219,BD219,1)-AI220+$D$3))</f>
        <v>#N/A</v>
      </c>
      <c r="BE220" s="47"/>
      <c r="BF220" s="53">
        <f t="shared" si="267"/>
        <v>3.2704283296287773E-5</v>
      </c>
      <c r="BG220" s="53">
        <f t="shared" si="268"/>
        <v>8.0429061161485299E-5</v>
      </c>
      <c r="BH220" s="53">
        <f t="shared" si="269"/>
        <v>8.2431327381854709E-5</v>
      </c>
      <c r="BI220" s="53">
        <f t="shared" si="270"/>
        <v>7.614366040888107E-5</v>
      </c>
      <c r="BJ220" s="53">
        <f t="shared" si="271"/>
        <v>7.8701701804061904E-5</v>
      </c>
      <c r="BK220" s="53">
        <f t="shared" si="272"/>
        <v>3.3797445142861531E-5</v>
      </c>
      <c r="BL220" s="53">
        <f t="shared" si="273"/>
        <v>1.8257911580906851E-5</v>
      </c>
      <c r="BM220" s="53">
        <f t="shared" si="274"/>
        <v>4.6445994993549358E-5</v>
      </c>
      <c r="BN220" s="53">
        <f t="shared" si="275"/>
        <v>4.8307454579612901E-5</v>
      </c>
      <c r="BO220" s="53">
        <f t="shared" si="276"/>
        <v>2.2638706273515945E-5</v>
      </c>
      <c r="BP220" s="53">
        <f t="shared" si="277"/>
        <v>7.6122145449829563E-5</v>
      </c>
      <c r="BQ220" s="53">
        <f t="shared" si="278"/>
        <v>2.0542215957149503E-5</v>
      </c>
      <c r="BR220" s="53">
        <f t="shared" si="279"/>
        <v>6.0686848191843904E-5</v>
      </c>
      <c r="BS220" s="53">
        <f t="shared" si="280"/>
        <v>3.272922255124553E-5</v>
      </c>
      <c r="BT220" s="53">
        <f t="shared" si="281"/>
        <v>1.2951956764406625E-4</v>
      </c>
      <c r="BU220" s="53">
        <f t="shared" si="282"/>
        <v>1.2373016102756873E-4</v>
      </c>
      <c r="BV220" s="53">
        <f t="shared" si="283"/>
        <v>1.1882635312832689E-4</v>
      </c>
      <c r="BW220" s="53">
        <f t="shared" si="284"/>
        <v>7.7718974009715266E-5</v>
      </c>
      <c r="BX220" s="53">
        <f t="shared" si="285"/>
        <v>5.7417366679919795E-5</v>
      </c>
      <c r="BY220" s="53">
        <f t="shared" si="286"/>
        <v>4.9299408671668782E-5</v>
      </c>
      <c r="BZ220" s="47"/>
      <c r="CA220" s="53" t="str">
        <f t="shared" si="287"/>
        <v/>
      </c>
      <c r="CB220" s="53" t="str">
        <f t="shared" si="288"/>
        <v/>
      </c>
      <c r="CC220" s="53" t="str">
        <f t="shared" si="289"/>
        <v/>
      </c>
      <c r="CD220" s="53" t="str">
        <f t="shared" si="290"/>
        <v/>
      </c>
      <c r="CE220" s="53" t="str">
        <f t="shared" si="291"/>
        <v/>
      </c>
      <c r="CF220" s="53" t="str">
        <f t="shared" si="292"/>
        <v/>
      </c>
      <c r="CG220" s="53" t="str">
        <f t="shared" si="293"/>
        <v/>
      </c>
      <c r="CH220" s="53" t="str">
        <f t="shared" si="294"/>
        <v/>
      </c>
      <c r="CI220" s="53" t="str">
        <f t="shared" si="295"/>
        <v/>
      </c>
      <c r="CJ220" s="53" t="str">
        <f t="shared" si="296"/>
        <v/>
      </c>
      <c r="CK220" s="53" t="str">
        <f t="shared" si="297"/>
        <v/>
      </c>
      <c r="CL220" s="53" t="str">
        <f t="shared" si="298"/>
        <v/>
      </c>
      <c r="CM220" s="53" t="str">
        <f t="shared" si="299"/>
        <v/>
      </c>
      <c r="CN220" s="53" t="str">
        <f t="shared" si="300"/>
        <v/>
      </c>
      <c r="CO220" s="53" t="str">
        <f t="shared" si="301"/>
        <v/>
      </c>
      <c r="CP220" s="53" t="str">
        <f t="shared" si="302"/>
        <v/>
      </c>
      <c r="CQ220" s="53" t="str">
        <f t="shared" si="303"/>
        <v/>
      </c>
      <c r="CR220" s="53" t="str">
        <f t="shared" si="304"/>
        <v/>
      </c>
      <c r="CS220" s="53" t="str">
        <f t="shared" si="305"/>
        <v/>
      </c>
      <c r="CT220" s="53" t="str">
        <f t="shared" si="306"/>
        <v/>
      </c>
      <c r="CU220" s="47"/>
      <c r="CV220" s="53">
        <f t="shared" si="307"/>
        <v>0</v>
      </c>
    </row>
    <row r="221" spans="1:100" x14ac:dyDescent="0.25">
      <c r="A221" s="41"/>
      <c r="B221" s="42"/>
      <c r="C221" s="43" t="str" cm="1">
        <f t="array" ref="C221">IF(B221="","",INDEX(UWS!$B$10:$B$41,B221))</f>
        <v/>
      </c>
      <c r="D221" s="40" t="str">
        <f t="shared" si="264"/>
        <v/>
      </c>
      <c r="E221" s="69" t="str">
        <f t="shared" si="265"/>
        <v/>
      </c>
      <c r="F221" s="48" cm="1">
        <f t="array" ref="F221">0.1+IFERROR(INDEX($F$5:$F220,SUMPRODUCT(MAX(ROW($C$5:$C220)*($C221=$C$5:$C220))-ROW($A$4)))*0.9^($A221-INDEX($A$5:A220,SUMPRODUCT(MAX(ROW($C$5:$C220)*($C221=$C$5:$C220))-ROW($A$4)))),0)</f>
        <v>15.599999999999961</v>
      </c>
      <c r="G221" s="55" t="e">
        <f>INDEX(UWS!$AB$10:$AB$41,MATCH(C221,UWS!$B$10:$B$41,0))</f>
        <v>#N/A</v>
      </c>
      <c r="H221" s="48" t="e">
        <f>INDEX(UWS!$C$10:$C$41,MATCH(C221,UWS!$B$10:$B$41,0))</f>
        <v>#N/A</v>
      </c>
      <c r="I221" s="82">
        <f t="shared" si="266"/>
        <v>5</v>
      </c>
      <c r="J221" s="27" t="e">
        <f>INDEX(UWS!$E$10:$E$41,MATCH(C221,UWS!$B$10:$B$41,0))</f>
        <v>#N/A</v>
      </c>
      <c r="L221" s="108" t="str" cm="1">
        <f t="array" ref="L221">IF(K221="","",INDEX(UWS!$B$10:$B$41,K221))</f>
        <v/>
      </c>
      <c r="N221" s="108" t="str" cm="1">
        <f t="array" ref="N221">IF(M221="","",INDEX(UWS!$B$10:$B$41,M221))</f>
        <v/>
      </c>
      <c r="P221">
        <f>IFERROR(INDEX(UWS!$G$10:$Z$41,MATCH($C221,UWS!$B$10:$B$41,0),MATCH(P$4,UWS!$G$3:$Z$3,0)),0)</f>
        <v>0</v>
      </c>
      <c r="Q221">
        <f>IFERROR(INDEX(UWS!$G$10:$Z$41,MATCH($C221,UWS!$B$10:$B$41,0),MATCH(Q$4,UWS!$G$3:$Z$3,0)),0)</f>
        <v>0</v>
      </c>
      <c r="R221">
        <f>IFERROR(INDEX(UWS!$G$10:$Z$41,MATCH($C221,UWS!$B$10:$B$41,0),MATCH(R$4,UWS!$G$3:$Z$3,0)),0)</f>
        <v>0</v>
      </c>
      <c r="S221">
        <f>IFERROR(INDEX(UWS!$G$10:$Z$41,MATCH($C221,UWS!$B$10:$B$41,0),MATCH(S$4,UWS!$G$3:$Z$3,0)),0)</f>
        <v>0</v>
      </c>
      <c r="T221">
        <f>IFERROR(INDEX(UWS!$G$10:$Z$41,MATCH($C221,UWS!$B$10:$B$41,0),MATCH(T$4,UWS!$G$3:$Z$3,0)),0)</f>
        <v>0</v>
      </c>
      <c r="U221">
        <f>IFERROR(INDEX(UWS!$G$10:$Z$41,MATCH($C221,UWS!$B$10:$B$41,0),MATCH(U$4,UWS!$G$3:$Z$3,0)),0)</f>
        <v>0</v>
      </c>
      <c r="V221">
        <f>IFERROR(INDEX(UWS!$G$10:$Z$41,MATCH($C221,UWS!$B$10:$B$41,0),MATCH(V$4,UWS!$G$3:$Z$3,0)),0)</f>
        <v>0</v>
      </c>
      <c r="W221">
        <f>IFERROR(INDEX(UWS!$G$10:$Z$41,MATCH($C221,UWS!$B$10:$B$41,0),MATCH(W$4,UWS!$G$3:$Z$3,0)),0)</f>
        <v>0</v>
      </c>
      <c r="X221">
        <f>IFERROR(INDEX(UWS!$G$10:$Z$41,MATCH($C221,UWS!$B$10:$B$41,0),MATCH(X$4,UWS!$G$3:$Z$3,0)),0)</f>
        <v>0</v>
      </c>
      <c r="Y221">
        <f>IFERROR(INDEX(UWS!$G$10:$Z$41,MATCH($C221,UWS!$B$10:$B$41,0),MATCH(Y$4,UWS!$G$3:$Z$3,0)),0)</f>
        <v>0</v>
      </c>
      <c r="Z221">
        <f>IFERROR(INDEX(UWS!$G$10:$Z$41,MATCH($C221,UWS!$B$10:$B$41,0),MATCH(Z$4,UWS!$G$3:$Z$3,0)),0)</f>
        <v>0</v>
      </c>
      <c r="AA221">
        <f>IFERROR(INDEX(UWS!$G$10:$Z$41,MATCH($C221,UWS!$B$10:$B$41,0),MATCH(AA$4,UWS!$G$3:$Z$3,0)),0)</f>
        <v>0</v>
      </c>
      <c r="AB221">
        <f>IFERROR(INDEX(UWS!$G$10:$Z$41,MATCH($C221,UWS!$B$10:$B$41,0),MATCH(AB$4,UWS!$G$3:$Z$3,0)),0)</f>
        <v>0</v>
      </c>
      <c r="AC221">
        <f>IFERROR(INDEX(UWS!$G$10:$Z$41,MATCH($C221,UWS!$B$10:$B$41,0),MATCH(AC$4,UWS!$G$3:$Z$3,0)),0)</f>
        <v>0</v>
      </c>
      <c r="AD221">
        <f>IFERROR(INDEX(UWS!$G$10:$Z$41,MATCH($C221,UWS!$B$10:$B$41,0),MATCH(AD$4,UWS!$G$3:$Z$3,0)),0)</f>
        <v>0</v>
      </c>
      <c r="AE221">
        <f>IFERROR(INDEX(UWS!$G$10:$Z$41,MATCH($C221,UWS!$B$10:$B$41,0),MATCH(AE$4,UWS!$G$3:$Z$3,0)),0)</f>
        <v>0</v>
      </c>
      <c r="AF221">
        <f>IFERROR(INDEX(UWS!$G$10:$Z$41,MATCH($C221,UWS!$B$10:$B$41,0),MATCH(AF$4,UWS!$G$3:$Z$3,0)),0)</f>
        <v>0</v>
      </c>
      <c r="AG221">
        <f>IFERROR(INDEX(UWS!$G$10:$Z$41,MATCH($C221,UWS!$B$10:$B$41,0),MATCH(AG$4,UWS!$G$3:$Z$3,0)),0)</f>
        <v>0</v>
      </c>
      <c r="AH221">
        <f>IFERROR(INDEX(UWS!$G$10:$Z$41,MATCH($C221,UWS!$B$10:$B$41,0),MATCH(AH$4,UWS!$G$3:$Z$3,0)),0)</f>
        <v>0</v>
      </c>
      <c r="AI221">
        <f>IFERROR(INDEX(UWS!$G$10:$Z$41,MATCH($C221,UWS!$B$10:$B$41,0),MATCH(AI$4,UWS!$G$3:$Z$3,0)),0)</f>
        <v>0</v>
      </c>
      <c r="AK221" t="e">
        <f>IF(OR($J221=0,COUNTIFS($A$4:$A220,"&gt;="&amp;$A221-1,$A$4:$A220,"&lt;="&amp;$A221,$B$4:$B220,$B221)&gt;0,MIN(AK$1,IF($A221=$A220,AK220,1))-P221&lt;0),-1,MIN(1,IF($A221=$A220,AK220,1)-P221+$D$3))</f>
        <v>#N/A</v>
      </c>
      <c r="AL221" t="e">
        <f>IF(OR($J221=0,COUNTIFS($A$4:$A220,"&gt;="&amp;$A221-1,$A$4:$A220,"&lt;="&amp;$A221,$B$4:$B220,$B221)&gt;0,MIN(AL$1,IF($A221=$A220,AL220,1))-Q221&lt;0),-1,MIN(1,IF($A221=$A220,AL220,1)-Q221+$D$3))</f>
        <v>#N/A</v>
      </c>
      <c r="AM221" t="e">
        <f>IF(OR($J221=0,COUNTIFS($A$4:$A220,"&gt;="&amp;$A221-1,$A$4:$A220,"&lt;="&amp;$A221,$B$4:$B220,$B221)&gt;0,MIN(AM$1,IF($A221=$A220,AM220,1))-R221&lt;0),-1,MIN(1,IF($A221=$A220,AM220,1)-R221+$D$3))</f>
        <v>#N/A</v>
      </c>
      <c r="AN221" t="e">
        <f>IF(OR($J221=0,COUNTIFS($A$4:$A220,"&gt;="&amp;$A221-1,$A$4:$A220,"&lt;="&amp;$A221,$B$4:$B220,$B221)&gt;0,MIN(AN$1,IF($A221=$A220,AN220,1))-S221&lt;0),-1,MIN(1,IF($A221=$A220,AN220,1)-S221+$D$3))</f>
        <v>#N/A</v>
      </c>
      <c r="AO221" t="e">
        <f>IF(OR($J221=0,COUNTIFS($A$4:$A220,"&gt;="&amp;$A221-1,$A$4:$A220,"&lt;="&amp;$A221,$B$4:$B220,$B221)&gt;0,MIN(AO$1,IF($A221=$A220,AO220,1))-T221&lt;0),-1,MIN(1,IF($A221=$A220,AO220,1)-T221+$D$3))</f>
        <v>#N/A</v>
      </c>
      <c r="AP221" t="e">
        <f>IF(OR($J221=0,COUNTIFS($A$4:$A220,"&gt;="&amp;$A221-1,$A$4:$A220,"&lt;="&amp;$A221,$B$4:$B220,$B221)&gt;0,MIN(AP$1,IF($A221=$A220,AP220,1))-U221&lt;0),-1,MIN(1,IF($A221=$A220,AP220,1)-U221+$D$3))</f>
        <v>#N/A</v>
      </c>
      <c r="AQ221" t="e">
        <f>IF(OR($J221=0,COUNTIFS($A$4:$A220,"&gt;="&amp;$A221-1,$A$4:$A220,"&lt;="&amp;$A221,$B$4:$B220,$B221)&gt;0,MIN(AQ$1,IF($A221=$A220,AQ220,1))-V221&lt;0),-1,MIN(1,IF($A221=$A220,AQ220,1)-V221+$D$3))</f>
        <v>#N/A</v>
      </c>
      <c r="AR221" t="e">
        <f>IF(OR($J221=0,COUNTIFS($A$4:$A220,"&gt;="&amp;$A221-1,$A$4:$A220,"&lt;="&amp;$A221,$B$4:$B220,$B221)&gt;0,MIN(AR$1,IF($A221=$A220,AR220,1))-W221&lt;0),-1,MIN(1,IF($A221=$A220,AR220,1)-W221+$D$3))</f>
        <v>#N/A</v>
      </c>
      <c r="AS221" t="e">
        <f>IF(OR($J221=0,COUNTIFS($A$4:$A220,"&gt;="&amp;$A221-1,$A$4:$A220,"&lt;="&amp;$A221,$B$4:$B220,$B221)&gt;0,MIN(AS$1,IF($A221=$A220,AS220,1))-X221&lt;0),-1,MIN(1,IF($A221=$A220,AS220,1)-X221+$D$3))</f>
        <v>#N/A</v>
      </c>
      <c r="AT221" t="e">
        <f>IF(OR($J221=0,COUNTIFS($A$4:$A220,"&gt;="&amp;$A221-1,$A$4:$A220,"&lt;="&amp;$A221,$B$4:$B220,$B221)&gt;0,MIN(AT$1,IF($A221=$A220,AT220,1))-Y221&lt;0),-1,MIN(1,IF($A221=$A220,AT220,1)-Y221+$D$3))</f>
        <v>#N/A</v>
      </c>
      <c r="AU221" t="e">
        <f>IF(OR($J221=0,COUNTIFS($A$4:$A220,"&gt;="&amp;$A221-1,$A$4:$A220,"&lt;="&amp;$A221,$B$4:$B220,$B221)&gt;0,MIN(AU$1,IF($A221=$A220,AU220,1))-Z221&lt;0),-1,MIN(1,IF($A221=$A220,AU220,1)-Z221+$D$3))</f>
        <v>#N/A</v>
      </c>
      <c r="AV221" t="e">
        <f>IF(OR($J221=0,COUNTIFS($A$4:$A220,"&gt;="&amp;$A221-1,$A$4:$A220,"&lt;="&amp;$A221,$B$4:$B220,$B221)&gt;0,MIN(AV$1,IF($A221=$A220,AV220,1))-AA221&lt;0),-1,MIN(1,IF($A221=$A220,AV220,1)-AA221+$D$3))</f>
        <v>#N/A</v>
      </c>
      <c r="AW221" t="e">
        <f>IF(OR($J221=0,COUNTIFS($A$4:$A220,"&gt;="&amp;$A221-1,$A$4:$A220,"&lt;="&amp;$A221,$B$4:$B220,$B221)&gt;0,MIN(AW$1,IF($A221=$A220,AW220,1))-AB221&lt;0),-1,MIN(1,IF($A221=$A220,AW220,1)-AB221+$D$3))</f>
        <v>#N/A</v>
      </c>
      <c r="AX221" t="e">
        <f>IF(OR($J221=0,COUNTIFS($A$4:$A220,"&gt;="&amp;$A221-1,$A$4:$A220,"&lt;="&amp;$A221,$B$4:$B220,$B221)&gt;0,MIN(AX$1,IF($A221=$A220,AX220,1))-AC221&lt;0),-1,MIN(1,IF($A221=$A220,AX220,1)-AC221+$D$3))</f>
        <v>#N/A</v>
      </c>
      <c r="AY221" t="e">
        <f>IF(OR($J221=0,COUNTIFS($A$4:$A220,"&gt;="&amp;$A221-1,$A$4:$A220,"&lt;="&amp;$A221,$B$4:$B220,$B221)&gt;0,MIN(AY$1,IF($A221=$A220,AY220,1))-AD221&lt;0),-1,MIN(1,IF($A221=$A220,AY220,1)-AD221+$D$3))</f>
        <v>#N/A</v>
      </c>
      <c r="AZ221" t="e">
        <f>IF(OR($J221=0,COUNTIFS($A$4:$A220,"&gt;="&amp;$A221-1,$A$4:$A220,"&lt;="&amp;$A221,$B$4:$B220,$B221)&gt;0,MIN(AZ$1,IF($A221=$A220,AZ220,1))-AE221&lt;0),-1,MIN(1,IF($A221=$A220,AZ220,1)-AE221+$D$3))</f>
        <v>#N/A</v>
      </c>
      <c r="BA221" t="e">
        <f>IF(OR($J221=0,COUNTIFS($A$4:$A220,"&gt;="&amp;$A221-1,$A$4:$A220,"&lt;="&amp;$A221,$B$4:$B220,$B221)&gt;0,MIN(BA$1,IF($A221=$A220,BA220,1))-AF221&lt;0),-1,MIN(1,IF($A221=$A220,BA220,1)-AF221+$D$3))</f>
        <v>#N/A</v>
      </c>
      <c r="BB221" t="e">
        <f>IF(OR($J221=0,COUNTIFS($A$4:$A220,"&gt;="&amp;$A221-1,$A$4:$A220,"&lt;="&amp;$A221,$B$4:$B220,$B221)&gt;0,MIN(BB$1,IF($A221=$A220,BB220,1))-AG221&lt;0),-1,MIN(1,IF($A221=$A220,BB220,1)-AG221+$D$3))</f>
        <v>#N/A</v>
      </c>
      <c r="BC221" t="e">
        <f>IF(OR($J221=0,COUNTIFS($A$4:$A220,"&gt;="&amp;$A221-1,$A$4:$A220,"&lt;="&amp;$A221,$B$4:$B220,$B221)&gt;0,MIN(BC$1,IF($A221=$A220,BC220,1))-AH221&lt;0),-1,MIN(1,IF($A221=$A220,BC220,1)-AH221+$D$3))</f>
        <v>#N/A</v>
      </c>
      <c r="BD221" t="e">
        <f>IF(OR($J221=0,COUNTIFS($A$4:$A220,"&gt;="&amp;$A221-1,$A$4:$A220,"&lt;="&amp;$A221,$B$4:$B220,$B221)&gt;0,MIN(BD$1,IF($A221=$A220,BD220,1))-AI221&lt;0),-1,MIN(1,IF($A221=$A220,BD220,1)-AI221+$D$3))</f>
        <v>#N/A</v>
      </c>
      <c r="BF221" s="44">
        <f t="shared" si="267"/>
        <v>3.1069069131473383E-5</v>
      </c>
      <c r="BG221" s="44">
        <f t="shared" si="268"/>
        <v>7.6407608103411026E-5</v>
      </c>
      <c r="BH221" s="44">
        <f t="shared" si="269"/>
        <v>7.8309761012761975E-5</v>
      </c>
      <c r="BI221" s="44">
        <f t="shared" si="270"/>
        <v>7.2336477388437016E-5</v>
      </c>
      <c r="BJ221" s="44">
        <f t="shared" si="271"/>
        <v>7.4766616713858809E-5</v>
      </c>
      <c r="BK221" s="44">
        <f t="shared" si="272"/>
        <v>3.2107572885718454E-5</v>
      </c>
      <c r="BL221" s="44">
        <f t="shared" si="273"/>
        <v>1.7345016001861509E-5</v>
      </c>
      <c r="BM221" s="44">
        <f t="shared" si="274"/>
        <v>4.4123695243871891E-5</v>
      </c>
      <c r="BN221" s="44">
        <f t="shared" si="275"/>
        <v>4.5892081850632257E-5</v>
      </c>
      <c r="BO221" s="44">
        <f t="shared" si="276"/>
        <v>2.1506770959840148E-5</v>
      </c>
      <c r="BP221" s="44">
        <f t="shared" si="277"/>
        <v>7.2316038177338085E-5</v>
      </c>
      <c r="BQ221" s="44">
        <f t="shared" si="278"/>
        <v>1.9515105159292026E-5</v>
      </c>
      <c r="BR221" s="44">
        <f t="shared" si="279"/>
        <v>5.7652505782251709E-5</v>
      </c>
      <c r="BS221" s="44">
        <f t="shared" si="280"/>
        <v>3.1092761423683253E-5</v>
      </c>
      <c r="BT221" s="44">
        <f t="shared" si="281"/>
        <v>1.2304358926186294E-4</v>
      </c>
      <c r="BU221" s="44">
        <f t="shared" si="282"/>
        <v>1.1754365297619029E-4</v>
      </c>
      <c r="BV221" s="44">
        <f t="shared" si="283"/>
        <v>1.1288503547191054E-4</v>
      </c>
      <c r="BW221" s="44">
        <f t="shared" si="284"/>
        <v>7.3833025309229494E-5</v>
      </c>
      <c r="BX221" s="44">
        <f t="shared" si="285"/>
        <v>5.4546498345923802E-5</v>
      </c>
      <c r="BY221" s="44">
        <f t="shared" si="286"/>
        <v>4.6834438238085339E-5</v>
      </c>
      <c r="CA221" s="44" t="str">
        <f t="shared" si="287"/>
        <v/>
      </c>
      <c r="CB221" s="44" t="str">
        <f t="shared" si="288"/>
        <v/>
      </c>
      <c r="CC221" s="44" t="str">
        <f t="shared" si="289"/>
        <v/>
      </c>
      <c r="CD221" s="44" t="str">
        <f t="shared" si="290"/>
        <v/>
      </c>
      <c r="CE221" s="44" t="str">
        <f t="shared" si="291"/>
        <v/>
      </c>
      <c r="CF221" s="44" t="str">
        <f t="shared" si="292"/>
        <v/>
      </c>
      <c r="CG221" s="44" t="str">
        <f t="shared" si="293"/>
        <v/>
      </c>
      <c r="CH221" s="44" t="str">
        <f t="shared" si="294"/>
        <v/>
      </c>
      <c r="CI221" s="44" t="str">
        <f t="shared" si="295"/>
        <v/>
      </c>
      <c r="CJ221" s="44" t="str">
        <f t="shared" si="296"/>
        <v/>
      </c>
      <c r="CK221" s="44" t="str">
        <f t="shared" si="297"/>
        <v/>
      </c>
      <c r="CL221" s="44" t="str">
        <f t="shared" si="298"/>
        <v/>
      </c>
      <c r="CM221" s="44" t="str">
        <f t="shared" si="299"/>
        <v/>
      </c>
      <c r="CN221" s="44" t="str">
        <f t="shared" si="300"/>
        <v/>
      </c>
      <c r="CO221" s="44" t="str">
        <f t="shared" si="301"/>
        <v/>
      </c>
      <c r="CP221" s="44" t="str">
        <f t="shared" si="302"/>
        <v/>
      </c>
      <c r="CQ221" s="44" t="str">
        <f t="shared" si="303"/>
        <v/>
      </c>
      <c r="CR221" s="44" t="str">
        <f t="shared" si="304"/>
        <v/>
      </c>
      <c r="CS221" s="44" t="str">
        <f t="shared" si="305"/>
        <v/>
      </c>
      <c r="CT221" s="44" t="str">
        <f t="shared" si="306"/>
        <v/>
      </c>
      <c r="CV221" s="44">
        <f t="shared" si="307"/>
        <v>0</v>
      </c>
    </row>
    <row r="222" spans="1:100" x14ac:dyDescent="0.25">
      <c r="A222" s="41"/>
      <c r="B222" s="42"/>
      <c r="C222" s="43" t="str" cm="1">
        <f t="array" ref="C222">IF(B222="","",INDEX(UWS!$B$10:$B$41,B222))</f>
        <v/>
      </c>
      <c r="D222" s="40" t="str">
        <f t="shared" si="264"/>
        <v/>
      </c>
      <c r="E222" s="69" t="str">
        <f t="shared" si="265"/>
        <v/>
      </c>
      <c r="F222" s="48" cm="1">
        <f t="array" ref="F222">0.1+IFERROR(INDEX($F$5:$F221,SUMPRODUCT(MAX(ROW($C$5:$C221)*($C222=$C$5:$C221))-ROW($A$4)))*0.9^($A222-INDEX($A$5:A221,SUMPRODUCT(MAX(ROW($C$5:$C221)*($C222=$C$5:$C221))-ROW($A$4)))),0)</f>
        <v>15.69999999999996</v>
      </c>
      <c r="G222" s="55" t="e">
        <f>INDEX(UWS!$AB$10:$AB$41,MATCH(C222,UWS!$B$10:$B$41,0))</f>
        <v>#N/A</v>
      </c>
      <c r="H222" s="48" t="e">
        <f>INDEX(UWS!$C$10:$C$41,MATCH(C222,UWS!$B$10:$B$41,0))</f>
        <v>#N/A</v>
      </c>
      <c r="I222" s="27">
        <f t="shared" si="266"/>
        <v>5</v>
      </c>
      <c r="J222" s="27" t="e">
        <f>INDEX(UWS!$E$10:$E$41,MATCH(C222,UWS!$B$10:$B$41,0))</f>
        <v>#N/A</v>
      </c>
      <c r="L222" s="108" t="str" cm="1">
        <f t="array" ref="L222">IF(K222="","",INDEX(UWS!$B$10:$B$41,K222))</f>
        <v/>
      </c>
      <c r="N222" s="108" t="str" cm="1">
        <f t="array" ref="N222">IF(M222="","",INDEX(UWS!$B$10:$B$41,M222))</f>
        <v/>
      </c>
      <c r="P222">
        <f>IFERROR(INDEX(UWS!$G$10:$Z$41,MATCH($C222,UWS!$B$10:$B$41,0),MATCH(P$4,UWS!$G$3:$Z$3,0)),0)</f>
        <v>0</v>
      </c>
      <c r="Q222">
        <f>IFERROR(INDEX(UWS!$G$10:$Z$41,MATCH($C222,UWS!$B$10:$B$41,0),MATCH(Q$4,UWS!$G$3:$Z$3,0)),0)</f>
        <v>0</v>
      </c>
      <c r="R222">
        <f>IFERROR(INDEX(UWS!$G$10:$Z$41,MATCH($C222,UWS!$B$10:$B$41,0),MATCH(R$4,UWS!$G$3:$Z$3,0)),0)</f>
        <v>0</v>
      </c>
      <c r="S222">
        <f>IFERROR(INDEX(UWS!$G$10:$Z$41,MATCH($C222,UWS!$B$10:$B$41,0),MATCH(S$4,UWS!$G$3:$Z$3,0)),0)</f>
        <v>0</v>
      </c>
      <c r="T222">
        <f>IFERROR(INDEX(UWS!$G$10:$Z$41,MATCH($C222,UWS!$B$10:$B$41,0),MATCH(T$4,UWS!$G$3:$Z$3,0)),0)</f>
        <v>0</v>
      </c>
      <c r="U222">
        <f>IFERROR(INDEX(UWS!$G$10:$Z$41,MATCH($C222,UWS!$B$10:$B$41,0),MATCH(U$4,UWS!$G$3:$Z$3,0)),0)</f>
        <v>0</v>
      </c>
      <c r="V222">
        <f>IFERROR(INDEX(UWS!$G$10:$Z$41,MATCH($C222,UWS!$B$10:$B$41,0),MATCH(V$4,UWS!$G$3:$Z$3,0)),0)</f>
        <v>0</v>
      </c>
      <c r="W222">
        <f>IFERROR(INDEX(UWS!$G$10:$Z$41,MATCH($C222,UWS!$B$10:$B$41,0),MATCH(W$4,UWS!$G$3:$Z$3,0)),0)</f>
        <v>0</v>
      </c>
      <c r="X222">
        <f>IFERROR(INDEX(UWS!$G$10:$Z$41,MATCH($C222,UWS!$B$10:$B$41,0),MATCH(X$4,UWS!$G$3:$Z$3,0)),0)</f>
        <v>0</v>
      </c>
      <c r="Y222">
        <f>IFERROR(INDEX(UWS!$G$10:$Z$41,MATCH($C222,UWS!$B$10:$B$41,0),MATCH(Y$4,UWS!$G$3:$Z$3,0)),0)</f>
        <v>0</v>
      </c>
      <c r="Z222">
        <f>IFERROR(INDEX(UWS!$G$10:$Z$41,MATCH($C222,UWS!$B$10:$B$41,0),MATCH(Z$4,UWS!$G$3:$Z$3,0)),0)</f>
        <v>0</v>
      </c>
      <c r="AA222">
        <f>IFERROR(INDEX(UWS!$G$10:$Z$41,MATCH($C222,UWS!$B$10:$B$41,0),MATCH(AA$4,UWS!$G$3:$Z$3,0)),0)</f>
        <v>0</v>
      </c>
      <c r="AB222">
        <f>IFERROR(INDEX(UWS!$G$10:$Z$41,MATCH($C222,UWS!$B$10:$B$41,0),MATCH(AB$4,UWS!$G$3:$Z$3,0)),0)</f>
        <v>0</v>
      </c>
      <c r="AC222">
        <f>IFERROR(INDEX(UWS!$G$10:$Z$41,MATCH($C222,UWS!$B$10:$B$41,0),MATCH(AC$4,UWS!$G$3:$Z$3,0)),0)</f>
        <v>0</v>
      </c>
      <c r="AD222">
        <f>IFERROR(INDEX(UWS!$G$10:$Z$41,MATCH($C222,UWS!$B$10:$B$41,0),MATCH(AD$4,UWS!$G$3:$Z$3,0)),0)</f>
        <v>0</v>
      </c>
      <c r="AE222">
        <f>IFERROR(INDEX(UWS!$G$10:$Z$41,MATCH($C222,UWS!$B$10:$B$41,0),MATCH(AE$4,UWS!$G$3:$Z$3,0)),0)</f>
        <v>0</v>
      </c>
      <c r="AF222">
        <f>IFERROR(INDEX(UWS!$G$10:$Z$41,MATCH($C222,UWS!$B$10:$B$41,0),MATCH(AF$4,UWS!$G$3:$Z$3,0)),0)</f>
        <v>0</v>
      </c>
      <c r="AG222">
        <f>IFERROR(INDEX(UWS!$G$10:$Z$41,MATCH($C222,UWS!$B$10:$B$41,0),MATCH(AG$4,UWS!$G$3:$Z$3,0)),0)</f>
        <v>0</v>
      </c>
      <c r="AH222">
        <f>IFERROR(INDEX(UWS!$G$10:$Z$41,MATCH($C222,UWS!$B$10:$B$41,0),MATCH(AH$4,UWS!$G$3:$Z$3,0)),0)</f>
        <v>0</v>
      </c>
      <c r="AI222">
        <f>IFERROR(INDEX(UWS!$G$10:$Z$41,MATCH($C222,UWS!$B$10:$B$41,0),MATCH(AI$4,UWS!$G$3:$Z$3,0)),0)</f>
        <v>0</v>
      </c>
      <c r="AK222" t="e">
        <f>IF(OR($J222=0,COUNTIFS($A$4:$A221,"&gt;="&amp;$A222-1,$A$4:$A221,"&lt;="&amp;$A222,$B$4:$B221,$B222)&gt;0,MIN(AK$1,IF($A222=$A221,AK221,1))-P222&lt;0),-1,MIN(1,IF($A222=$A221,AK221,1)-P222+$D$3))</f>
        <v>#N/A</v>
      </c>
      <c r="AL222" t="e">
        <f>IF(OR($J222=0,COUNTIFS($A$4:$A221,"&gt;="&amp;$A222-1,$A$4:$A221,"&lt;="&amp;$A222,$B$4:$B221,$B222)&gt;0,MIN(AL$1,IF($A222=$A221,AL221,1))-Q222&lt;0),-1,MIN(1,IF($A222=$A221,AL221,1)-Q222+$D$3))</f>
        <v>#N/A</v>
      </c>
      <c r="AM222" t="e">
        <f>IF(OR($J222=0,COUNTIFS($A$4:$A221,"&gt;="&amp;$A222-1,$A$4:$A221,"&lt;="&amp;$A222,$B$4:$B221,$B222)&gt;0,MIN(AM$1,IF($A222=$A221,AM221,1))-R222&lt;0),-1,MIN(1,IF($A222=$A221,AM221,1)-R222+$D$3))</f>
        <v>#N/A</v>
      </c>
      <c r="AN222" t="e">
        <f>IF(OR($J222=0,COUNTIFS($A$4:$A221,"&gt;="&amp;$A222-1,$A$4:$A221,"&lt;="&amp;$A222,$B$4:$B221,$B222)&gt;0,MIN(AN$1,IF($A222=$A221,AN221,1))-S222&lt;0),-1,MIN(1,IF($A222=$A221,AN221,1)-S222+$D$3))</f>
        <v>#N/A</v>
      </c>
      <c r="AO222" t="e">
        <f>IF(OR($J222=0,COUNTIFS($A$4:$A221,"&gt;="&amp;$A222-1,$A$4:$A221,"&lt;="&amp;$A222,$B$4:$B221,$B222)&gt;0,MIN(AO$1,IF($A222=$A221,AO221,1))-T222&lt;0),-1,MIN(1,IF($A222=$A221,AO221,1)-T222+$D$3))</f>
        <v>#N/A</v>
      </c>
      <c r="AP222" t="e">
        <f>IF(OR($J222=0,COUNTIFS($A$4:$A221,"&gt;="&amp;$A222-1,$A$4:$A221,"&lt;="&amp;$A222,$B$4:$B221,$B222)&gt;0,MIN(AP$1,IF($A222=$A221,AP221,1))-U222&lt;0),-1,MIN(1,IF($A222=$A221,AP221,1)-U222+$D$3))</f>
        <v>#N/A</v>
      </c>
      <c r="AQ222" t="e">
        <f>IF(OR($J222=0,COUNTIFS($A$4:$A221,"&gt;="&amp;$A222-1,$A$4:$A221,"&lt;="&amp;$A222,$B$4:$B221,$B222)&gt;0,MIN(AQ$1,IF($A222=$A221,AQ221,1))-V222&lt;0),-1,MIN(1,IF($A222=$A221,AQ221,1)-V222+$D$3))</f>
        <v>#N/A</v>
      </c>
      <c r="AR222" t="e">
        <f>IF(OR($J222=0,COUNTIFS($A$4:$A221,"&gt;="&amp;$A222-1,$A$4:$A221,"&lt;="&amp;$A222,$B$4:$B221,$B222)&gt;0,MIN(AR$1,IF($A222=$A221,AR221,1))-W222&lt;0),-1,MIN(1,IF($A222=$A221,AR221,1)-W222+$D$3))</f>
        <v>#N/A</v>
      </c>
      <c r="AS222" t="e">
        <f>IF(OR($J222=0,COUNTIFS($A$4:$A221,"&gt;="&amp;$A222-1,$A$4:$A221,"&lt;="&amp;$A222,$B$4:$B221,$B222)&gt;0,MIN(AS$1,IF($A222=$A221,AS221,1))-X222&lt;0),-1,MIN(1,IF($A222=$A221,AS221,1)-X222+$D$3))</f>
        <v>#N/A</v>
      </c>
      <c r="AT222" t="e">
        <f>IF(OR($J222=0,COUNTIFS($A$4:$A221,"&gt;="&amp;$A222-1,$A$4:$A221,"&lt;="&amp;$A222,$B$4:$B221,$B222)&gt;0,MIN(AT$1,IF($A222=$A221,AT221,1))-Y222&lt;0),-1,MIN(1,IF($A222=$A221,AT221,1)-Y222+$D$3))</f>
        <v>#N/A</v>
      </c>
      <c r="AU222" t="e">
        <f>IF(OR($J222=0,COUNTIFS($A$4:$A221,"&gt;="&amp;$A222-1,$A$4:$A221,"&lt;="&amp;$A222,$B$4:$B221,$B222)&gt;0,MIN(AU$1,IF($A222=$A221,AU221,1))-Z222&lt;0),-1,MIN(1,IF($A222=$A221,AU221,1)-Z222+$D$3))</f>
        <v>#N/A</v>
      </c>
      <c r="AV222" t="e">
        <f>IF(OR($J222=0,COUNTIFS($A$4:$A221,"&gt;="&amp;$A222-1,$A$4:$A221,"&lt;="&amp;$A222,$B$4:$B221,$B222)&gt;0,MIN(AV$1,IF($A222=$A221,AV221,1))-AA222&lt;0),-1,MIN(1,IF($A222=$A221,AV221,1)-AA222+$D$3))</f>
        <v>#N/A</v>
      </c>
      <c r="AW222" t="e">
        <f>IF(OR($J222=0,COUNTIFS($A$4:$A221,"&gt;="&amp;$A222-1,$A$4:$A221,"&lt;="&amp;$A222,$B$4:$B221,$B222)&gt;0,MIN(AW$1,IF($A222=$A221,AW221,1))-AB222&lt;0),-1,MIN(1,IF($A222=$A221,AW221,1)-AB222+$D$3))</f>
        <v>#N/A</v>
      </c>
      <c r="AX222" t="e">
        <f>IF(OR($J222=0,COUNTIFS($A$4:$A221,"&gt;="&amp;$A222-1,$A$4:$A221,"&lt;="&amp;$A222,$B$4:$B221,$B222)&gt;0,MIN(AX$1,IF($A222=$A221,AX221,1))-AC222&lt;0),-1,MIN(1,IF($A222=$A221,AX221,1)-AC222+$D$3))</f>
        <v>#N/A</v>
      </c>
      <c r="AY222" t="e">
        <f>IF(OR($J222=0,COUNTIFS($A$4:$A221,"&gt;="&amp;$A222-1,$A$4:$A221,"&lt;="&amp;$A222,$B$4:$B221,$B222)&gt;0,MIN(AY$1,IF($A222=$A221,AY221,1))-AD222&lt;0),-1,MIN(1,IF($A222=$A221,AY221,1)-AD222+$D$3))</f>
        <v>#N/A</v>
      </c>
      <c r="AZ222" t="e">
        <f>IF(OR($J222=0,COUNTIFS($A$4:$A221,"&gt;="&amp;$A222-1,$A$4:$A221,"&lt;="&amp;$A222,$B$4:$B221,$B222)&gt;0,MIN(AZ$1,IF($A222=$A221,AZ221,1))-AE222&lt;0),-1,MIN(1,IF($A222=$A221,AZ221,1)-AE222+$D$3))</f>
        <v>#N/A</v>
      </c>
      <c r="BA222" t="e">
        <f>IF(OR($J222=0,COUNTIFS($A$4:$A221,"&gt;="&amp;$A222-1,$A$4:$A221,"&lt;="&amp;$A222,$B$4:$B221,$B222)&gt;0,MIN(BA$1,IF($A222=$A221,BA221,1))-AF222&lt;0),-1,MIN(1,IF($A222=$A221,BA221,1)-AF222+$D$3))</f>
        <v>#N/A</v>
      </c>
      <c r="BB222" t="e">
        <f>IF(OR($J222=0,COUNTIFS($A$4:$A221,"&gt;="&amp;$A222-1,$A$4:$A221,"&lt;="&amp;$A222,$B$4:$B221,$B222)&gt;0,MIN(BB$1,IF($A222=$A221,BB221,1))-AG222&lt;0),-1,MIN(1,IF($A222=$A221,BB221,1)-AG222+$D$3))</f>
        <v>#N/A</v>
      </c>
      <c r="BC222" t="e">
        <f>IF(OR($J222=0,COUNTIFS($A$4:$A221,"&gt;="&amp;$A222-1,$A$4:$A221,"&lt;="&amp;$A222,$B$4:$B221,$B222)&gt;0,MIN(BC$1,IF($A222=$A221,BC221,1))-AH222&lt;0),-1,MIN(1,IF($A222=$A221,BC221,1)-AH222+$D$3))</f>
        <v>#N/A</v>
      </c>
      <c r="BD222" t="e">
        <f>IF(OR($J222=0,COUNTIFS($A$4:$A221,"&gt;="&amp;$A222-1,$A$4:$A221,"&lt;="&amp;$A222,$B$4:$B221,$B222)&gt;0,MIN(BD$1,IF($A222=$A221,BD221,1))-AI222&lt;0),-1,MIN(1,IF($A222=$A221,BD221,1)-AI222+$D$3))</f>
        <v>#N/A</v>
      </c>
      <c r="BF222" s="44">
        <f t="shared" si="267"/>
        <v>2.9515615674899711E-5</v>
      </c>
      <c r="BG222" s="44">
        <f t="shared" si="268"/>
        <v>7.2587227698240472E-5</v>
      </c>
      <c r="BH222" s="44">
        <f t="shared" si="269"/>
        <v>7.4394272962123871E-5</v>
      </c>
      <c r="BI222" s="44">
        <f t="shared" si="270"/>
        <v>6.8719653519015166E-5</v>
      </c>
      <c r="BJ222" s="44">
        <f t="shared" si="271"/>
        <v>7.1028285878165865E-5</v>
      </c>
      <c r="BK222" s="44">
        <f t="shared" si="272"/>
        <v>3.0502194241432529E-5</v>
      </c>
      <c r="BL222" s="44">
        <f t="shared" si="273"/>
        <v>1.6477765201768433E-5</v>
      </c>
      <c r="BM222" s="44">
        <f t="shared" si="274"/>
        <v>4.1917510481678296E-5</v>
      </c>
      <c r="BN222" s="44">
        <f t="shared" si="275"/>
        <v>4.3597477758100642E-5</v>
      </c>
      <c r="BO222" s="44">
        <f t="shared" si="276"/>
        <v>2.0431432411848141E-5</v>
      </c>
      <c r="BP222" s="44">
        <f t="shared" si="277"/>
        <v>6.8700236268471181E-5</v>
      </c>
      <c r="BQ222" s="44">
        <f t="shared" si="278"/>
        <v>1.8539349901327425E-5</v>
      </c>
      <c r="BR222" s="44">
        <f t="shared" si="279"/>
        <v>5.4769880493139123E-5</v>
      </c>
      <c r="BS222" s="44">
        <f t="shared" si="280"/>
        <v>2.9538123352499087E-5</v>
      </c>
      <c r="BT222" s="44">
        <f t="shared" si="281"/>
        <v>1.1689140979876979E-4</v>
      </c>
      <c r="BU222" s="44">
        <f t="shared" si="282"/>
        <v>1.1166647032738077E-4</v>
      </c>
      <c r="BV222" s="44">
        <f t="shared" si="283"/>
        <v>1.0724078369831501E-4</v>
      </c>
      <c r="BW222" s="44">
        <f t="shared" si="284"/>
        <v>7.014137404376801E-5</v>
      </c>
      <c r="BX222" s="44">
        <f t="shared" si="285"/>
        <v>5.1819173428627612E-5</v>
      </c>
      <c r="BY222" s="44">
        <f t="shared" si="286"/>
        <v>4.449271632618107E-5</v>
      </c>
      <c r="CA222" s="44" t="str">
        <f t="shared" si="287"/>
        <v/>
      </c>
      <c r="CB222" s="44" t="str">
        <f t="shared" si="288"/>
        <v/>
      </c>
      <c r="CC222" s="44" t="str">
        <f t="shared" si="289"/>
        <v/>
      </c>
      <c r="CD222" s="44" t="str">
        <f t="shared" si="290"/>
        <v/>
      </c>
      <c r="CE222" s="44" t="str">
        <f t="shared" si="291"/>
        <v/>
      </c>
      <c r="CF222" s="44" t="str">
        <f t="shared" si="292"/>
        <v/>
      </c>
      <c r="CG222" s="44" t="str">
        <f t="shared" si="293"/>
        <v/>
      </c>
      <c r="CH222" s="44" t="str">
        <f t="shared" si="294"/>
        <v/>
      </c>
      <c r="CI222" s="44" t="str">
        <f t="shared" si="295"/>
        <v/>
      </c>
      <c r="CJ222" s="44" t="str">
        <f t="shared" si="296"/>
        <v/>
      </c>
      <c r="CK222" s="44" t="str">
        <f t="shared" si="297"/>
        <v/>
      </c>
      <c r="CL222" s="44" t="str">
        <f t="shared" si="298"/>
        <v/>
      </c>
      <c r="CM222" s="44" t="str">
        <f t="shared" si="299"/>
        <v/>
      </c>
      <c r="CN222" s="44" t="str">
        <f t="shared" si="300"/>
        <v/>
      </c>
      <c r="CO222" s="44" t="str">
        <f t="shared" si="301"/>
        <v/>
      </c>
      <c r="CP222" s="44" t="str">
        <f t="shared" si="302"/>
        <v/>
      </c>
      <c r="CQ222" s="44" t="str">
        <f t="shared" si="303"/>
        <v/>
      </c>
      <c r="CR222" s="44" t="str">
        <f t="shared" si="304"/>
        <v/>
      </c>
      <c r="CS222" s="44" t="str">
        <f t="shared" si="305"/>
        <v/>
      </c>
      <c r="CT222" s="44" t="str">
        <f t="shared" si="306"/>
        <v/>
      </c>
      <c r="CV222" s="44">
        <f t="shared" si="307"/>
        <v>0</v>
      </c>
    </row>
    <row r="223" spans="1:100" x14ac:dyDescent="0.25">
      <c r="A223" s="41"/>
      <c r="B223" s="42"/>
      <c r="C223" s="43" t="str" cm="1">
        <f t="array" ref="C223">IF(B223="","",INDEX(UWS!$B$10:$B$41,B223))</f>
        <v/>
      </c>
      <c r="D223" s="40" t="str">
        <f t="shared" si="264"/>
        <v/>
      </c>
      <c r="E223" s="69" t="str">
        <f t="shared" si="265"/>
        <v/>
      </c>
      <c r="F223" s="48" cm="1">
        <f t="array" ref="F223">0.1+IFERROR(INDEX($F$5:$F222,SUMPRODUCT(MAX(ROW($C$5:$C222)*($C223=$C$5:$C222))-ROW($A$4)))*0.9^($A223-INDEX($A$5:A222,SUMPRODUCT(MAX(ROW($C$5:$C222)*($C223=$C$5:$C222))-ROW($A$4)))),0)</f>
        <v>15.79999999999996</v>
      </c>
      <c r="G223" s="55" t="e">
        <f>INDEX(UWS!$AB$10:$AB$41,MATCH(C223,UWS!$B$10:$B$41,0))</f>
        <v>#N/A</v>
      </c>
      <c r="H223" s="48" t="e">
        <f>INDEX(UWS!$C$10:$C$41,MATCH(C223,UWS!$B$10:$B$41,0))</f>
        <v>#N/A</v>
      </c>
      <c r="I223" s="27">
        <f t="shared" si="266"/>
        <v>5</v>
      </c>
      <c r="J223" s="27" t="e">
        <f>INDEX(UWS!$E$10:$E$41,MATCH(C223,UWS!$B$10:$B$41,0))</f>
        <v>#N/A</v>
      </c>
      <c r="L223" s="108" t="str" cm="1">
        <f t="array" ref="L223">IF(K223="","",INDEX(UWS!$B$10:$B$41,K223))</f>
        <v/>
      </c>
      <c r="N223" s="108" t="str" cm="1">
        <f t="array" ref="N223">IF(M223="","",INDEX(UWS!$B$10:$B$41,M223))</f>
        <v/>
      </c>
      <c r="P223">
        <f>IFERROR(INDEX(UWS!$G$10:$Z$41,MATCH($C223,UWS!$B$10:$B$41,0),MATCH(P$4,UWS!$G$3:$Z$3,0)),0)</f>
        <v>0</v>
      </c>
      <c r="Q223">
        <f>IFERROR(INDEX(UWS!$G$10:$Z$41,MATCH($C223,UWS!$B$10:$B$41,0),MATCH(Q$4,UWS!$G$3:$Z$3,0)),0)</f>
        <v>0</v>
      </c>
      <c r="R223">
        <f>IFERROR(INDEX(UWS!$G$10:$Z$41,MATCH($C223,UWS!$B$10:$B$41,0),MATCH(R$4,UWS!$G$3:$Z$3,0)),0)</f>
        <v>0</v>
      </c>
      <c r="S223">
        <f>IFERROR(INDEX(UWS!$G$10:$Z$41,MATCH($C223,UWS!$B$10:$B$41,0),MATCH(S$4,UWS!$G$3:$Z$3,0)),0)</f>
        <v>0</v>
      </c>
      <c r="T223">
        <f>IFERROR(INDEX(UWS!$G$10:$Z$41,MATCH($C223,UWS!$B$10:$B$41,0),MATCH(T$4,UWS!$G$3:$Z$3,0)),0)</f>
        <v>0</v>
      </c>
      <c r="U223">
        <f>IFERROR(INDEX(UWS!$G$10:$Z$41,MATCH($C223,UWS!$B$10:$B$41,0),MATCH(U$4,UWS!$G$3:$Z$3,0)),0)</f>
        <v>0</v>
      </c>
      <c r="V223">
        <f>IFERROR(INDEX(UWS!$G$10:$Z$41,MATCH($C223,UWS!$B$10:$B$41,0),MATCH(V$4,UWS!$G$3:$Z$3,0)),0)</f>
        <v>0</v>
      </c>
      <c r="W223">
        <f>IFERROR(INDEX(UWS!$G$10:$Z$41,MATCH($C223,UWS!$B$10:$B$41,0),MATCH(W$4,UWS!$G$3:$Z$3,0)),0)</f>
        <v>0</v>
      </c>
      <c r="X223">
        <f>IFERROR(INDEX(UWS!$G$10:$Z$41,MATCH($C223,UWS!$B$10:$B$41,0),MATCH(X$4,UWS!$G$3:$Z$3,0)),0)</f>
        <v>0</v>
      </c>
      <c r="Y223">
        <f>IFERROR(INDEX(UWS!$G$10:$Z$41,MATCH($C223,UWS!$B$10:$B$41,0),MATCH(Y$4,UWS!$G$3:$Z$3,0)),0)</f>
        <v>0</v>
      </c>
      <c r="Z223">
        <f>IFERROR(INDEX(UWS!$G$10:$Z$41,MATCH($C223,UWS!$B$10:$B$41,0),MATCH(Z$4,UWS!$G$3:$Z$3,0)),0)</f>
        <v>0</v>
      </c>
      <c r="AA223">
        <f>IFERROR(INDEX(UWS!$G$10:$Z$41,MATCH($C223,UWS!$B$10:$B$41,0),MATCH(AA$4,UWS!$G$3:$Z$3,0)),0)</f>
        <v>0</v>
      </c>
      <c r="AB223">
        <f>IFERROR(INDEX(UWS!$G$10:$Z$41,MATCH($C223,UWS!$B$10:$B$41,0),MATCH(AB$4,UWS!$G$3:$Z$3,0)),0)</f>
        <v>0</v>
      </c>
      <c r="AC223">
        <f>IFERROR(INDEX(UWS!$G$10:$Z$41,MATCH($C223,UWS!$B$10:$B$41,0),MATCH(AC$4,UWS!$G$3:$Z$3,0)),0)</f>
        <v>0</v>
      </c>
      <c r="AD223">
        <f>IFERROR(INDEX(UWS!$G$10:$Z$41,MATCH($C223,UWS!$B$10:$B$41,0),MATCH(AD$4,UWS!$G$3:$Z$3,0)),0)</f>
        <v>0</v>
      </c>
      <c r="AE223">
        <f>IFERROR(INDEX(UWS!$G$10:$Z$41,MATCH($C223,UWS!$B$10:$B$41,0),MATCH(AE$4,UWS!$G$3:$Z$3,0)),0)</f>
        <v>0</v>
      </c>
      <c r="AF223">
        <f>IFERROR(INDEX(UWS!$G$10:$Z$41,MATCH($C223,UWS!$B$10:$B$41,0),MATCH(AF$4,UWS!$G$3:$Z$3,0)),0)</f>
        <v>0</v>
      </c>
      <c r="AG223">
        <f>IFERROR(INDEX(UWS!$G$10:$Z$41,MATCH($C223,UWS!$B$10:$B$41,0),MATCH(AG$4,UWS!$G$3:$Z$3,0)),0)</f>
        <v>0</v>
      </c>
      <c r="AH223">
        <f>IFERROR(INDEX(UWS!$G$10:$Z$41,MATCH($C223,UWS!$B$10:$B$41,0),MATCH(AH$4,UWS!$G$3:$Z$3,0)),0)</f>
        <v>0</v>
      </c>
      <c r="AI223">
        <f>IFERROR(INDEX(UWS!$G$10:$Z$41,MATCH($C223,UWS!$B$10:$B$41,0),MATCH(AI$4,UWS!$G$3:$Z$3,0)),0)</f>
        <v>0</v>
      </c>
      <c r="AK223" t="e">
        <f>IF(OR($J223=0,COUNTIFS($A$4:$A222,"&gt;="&amp;$A223-1,$A$4:$A222,"&lt;="&amp;$A223,$B$4:$B222,$B223)&gt;0,MIN(AK$1,IF($A223=$A222,AK222,1))-P223&lt;0),-1,MIN(1,IF($A223=$A222,AK222,1)-P223+$D$3))</f>
        <v>#N/A</v>
      </c>
      <c r="AL223" t="e">
        <f>IF(OR($J223=0,COUNTIFS($A$4:$A222,"&gt;="&amp;$A223-1,$A$4:$A222,"&lt;="&amp;$A223,$B$4:$B222,$B223)&gt;0,MIN(AL$1,IF($A223=$A222,AL222,1))-Q223&lt;0),-1,MIN(1,IF($A223=$A222,AL222,1)-Q223+$D$3))</f>
        <v>#N/A</v>
      </c>
      <c r="AM223" t="e">
        <f>IF(OR($J223=0,COUNTIFS($A$4:$A222,"&gt;="&amp;$A223-1,$A$4:$A222,"&lt;="&amp;$A223,$B$4:$B222,$B223)&gt;0,MIN(AM$1,IF($A223=$A222,AM222,1))-R223&lt;0),-1,MIN(1,IF($A223=$A222,AM222,1)-R223+$D$3))</f>
        <v>#N/A</v>
      </c>
      <c r="AN223" t="e">
        <f>IF(OR($J223=0,COUNTIFS($A$4:$A222,"&gt;="&amp;$A223-1,$A$4:$A222,"&lt;="&amp;$A223,$B$4:$B222,$B223)&gt;0,MIN(AN$1,IF($A223=$A222,AN222,1))-S223&lt;0),-1,MIN(1,IF($A223=$A222,AN222,1)-S223+$D$3))</f>
        <v>#N/A</v>
      </c>
      <c r="AO223" t="e">
        <f>IF(OR($J223=0,COUNTIFS($A$4:$A222,"&gt;="&amp;$A223-1,$A$4:$A222,"&lt;="&amp;$A223,$B$4:$B222,$B223)&gt;0,MIN(AO$1,IF($A223=$A222,AO222,1))-T223&lt;0),-1,MIN(1,IF($A223=$A222,AO222,1)-T223+$D$3))</f>
        <v>#N/A</v>
      </c>
      <c r="AP223" t="e">
        <f>IF(OR($J223=0,COUNTIFS($A$4:$A222,"&gt;="&amp;$A223-1,$A$4:$A222,"&lt;="&amp;$A223,$B$4:$B222,$B223)&gt;0,MIN(AP$1,IF($A223=$A222,AP222,1))-U223&lt;0),-1,MIN(1,IF($A223=$A222,AP222,1)-U223+$D$3))</f>
        <v>#N/A</v>
      </c>
      <c r="AQ223" t="e">
        <f>IF(OR($J223=0,COUNTIFS($A$4:$A222,"&gt;="&amp;$A223-1,$A$4:$A222,"&lt;="&amp;$A223,$B$4:$B222,$B223)&gt;0,MIN(AQ$1,IF($A223=$A222,AQ222,1))-V223&lt;0),-1,MIN(1,IF($A223=$A222,AQ222,1)-V223+$D$3))</f>
        <v>#N/A</v>
      </c>
      <c r="AR223" t="e">
        <f>IF(OR($J223=0,COUNTIFS($A$4:$A222,"&gt;="&amp;$A223-1,$A$4:$A222,"&lt;="&amp;$A223,$B$4:$B222,$B223)&gt;0,MIN(AR$1,IF($A223=$A222,AR222,1))-W223&lt;0),-1,MIN(1,IF($A223=$A222,AR222,1)-W223+$D$3))</f>
        <v>#N/A</v>
      </c>
      <c r="AS223" t="e">
        <f>IF(OR($J223=0,COUNTIFS($A$4:$A222,"&gt;="&amp;$A223-1,$A$4:$A222,"&lt;="&amp;$A223,$B$4:$B222,$B223)&gt;0,MIN(AS$1,IF($A223=$A222,AS222,1))-X223&lt;0),-1,MIN(1,IF($A223=$A222,AS222,1)-X223+$D$3))</f>
        <v>#N/A</v>
      </c>
      <c r="AT223" t="e">
        <f>IF(OR($J223=0,COUNTIFS($A$4:$A222,"&gt;="&amp;$A223-1,$A$4:$A222,"&lt;="&amp;$A223,$B$4:$B222,$B223)&gt;0,MIN(AT$1,IF($A223=$A222,AT222,1))-Y223&lt;0),-1,MIN(1,IF($A223=$A222,AT222,1)-Y223+$D$3))</f>
        <v>#N/A</v>
      </c>
      <c r="AU223" t="e">
        <f>IF(OR($J223=0,COUNTIFS($A$4:$A222,"&gt;="&amp;$A223-1,$A$4:$A222,"&lt;="&amp;$A223,$B$4:$B222,$B223)&gt;0,MIN(AU$1,IF($A223=$A222,AU222,1))-Z223&lt;0),-1,MIN(1,IF($A223=$A222,AU222,1)-Z223+$D$3))</f>
        <v>#N/A</v>
      </c>
      <c r="AV223" t="e">
        <f>IF(OR($J223=0,COUNTIFS($A$4:$A222,"&gt;="&amp;$A223-1,$A$4:$A222,"&lt;="&amp;$A223,$B$4:$B222,$B223)&gt;0,MIN(AV$1,IF($A223=$A222,AV222,1))-AA223&lt;0),-1,MIN(1,IF($A223=$A222,AV222,1)-AA223+$D$3))</f>
        <v>#N/A</v>
      </c>
      <c r="AW223" t="e">
        <f>IF(OR($J223=0,COUNTIFS($A$4:$A222,"&gt;="&amp;$A223-1,$A$4:$A222,"&lt;="&amp;$A223,$B$4:$B222,$B223)&gt;0,MIN(AW$1,IF($A223=$A222,AW222,1))-AB223&lt;0),-1,MIN(1,IF($A223=$A222,AW222,1)-AB223+$D$3))</f>
        <v>#N/A</v>
      </c>
      <c r="AX223" t="e">
        <f>IF(OR($J223=0,COUNTIFS($A$4:$A222,"&gt;="&amp;$A223-1,$A$4:$A222,"&lt;="&amp;$A223,$B$4:$B222,$B223)&gt;0,MIN(AX$1,IF($A223=$A222,AX222,1))-AC223&lt;0),-1,MIN(1,IF($A223=$A222,AX222,1)-AC223+$D$3))</f>
        <v>#N/A</v>
      </c>
      <c r="AY223" t="e">
        <f>IF(OR($J223=0,COUNTIFS($A$4:$A222,"&gt;="&amp;$A223-1,$A$4:$A222,"&lt;="&amp;$A223,$B$4:$B222,$B223)&gt;0,MIN(AY$1,IF($A223=$A222,AY222,1))-AD223&lt;0),-1,MIN(1,IF($A223=$A222,AY222,1)-AD223+$D$3))</f>
        <v>#N/A</v>
      </c>
      <c r="AZ223" t="e">
        <f>IF(OR($J223=0,COUNTIFS($A$4:$A222,"&gt;="&amp;$A223-1,$A$4:$A222,"&lt;="&amp;$A223,$B$4:$B222,$B223)&gt;0,MIN(AZ$1,IF($A223=$A222,AZ222,1))-AE223&lt;0),-1,MIN(1,IF($A223=$A222,AZ222,1)-AE223+$D$3))</f>
        <v>#N/A</v>
      </c>
      <c r="BA223" t="e">
        <f>IF(OR($J223=0,COUNTIFS($A$4:$A222,"&gt;="&amp;$A223-1,$A$4:$A222,"&lt;="&amp;$A223,$B$4:$B222,$B223)&gt;0,MIN(BA$1,IF($A223=$A222,BA222,1))-AF223&lt;0),-1,MIN(1,IF($A223=$A222,BA222,1)-AF223+$D$3))</f>
        <v>#N/A</v>
      </c>
      <c r="BB223" t="e">
        <f>IF(OR($J223=0,COUNTIFS($A$4:$A222,"&gt;="&amp;$A223-1,$A$4:$A222,"&lt;="&amp;$A223,$B$4:$B222,$B223)&gt;0,MIN(BB$1,IF($A223=$A222,BB222,1))-AG223&lt;0),-1,MIN(1,IF($A223=$A222,BB222,1)-AG223+$D$3))</f>
        <v>#N/A</v>
      </c>
      <c r="BC223" t="e">
        <f>IF(OR($J223=0,COUNTIFS($A$4:$A222,"&gt;="&amp;$A223-1,$A$4:$A222,"&lt;="&amp;$A223,$B$4:$B222,$B223)&gt;0,MIN(BC$1,IF($A223=$A222,BC222,1))-AH223&lt;0),-1,MIN(1,IF($A223=$A222,BC222,1)-AH223+$D$3))</f>
        <v>#N/A</v>
      </c>
      <c r="BD223" t="e">
        <f>IF(OR($J223=0,COUNTIFS($A$4:$A222,"&gt;="&amp;$A223-1,$A$4:$A222,"&lt;="&amp;$A223,$B$4:$B222,$B223)&gt;0,MIN(BD$1,IF($A223=$A222,BD222,1))-AI223&lt;0),-1,MIN(1,IF($A223=$A222,BD222,1)-AI223+$D$3))</f>
        <v>#N/A</v>
      </c>
      <c r="BF223" s="44">
        <f t="shared" si="267"/>
        <v>2.8039834891154726E-5</v>
      </c>
      <c r="BG223" s="44">
        <f t="shared" si="268"/>
        <v>6.8957866313328444E-5</v>
      </c>
      <c r="BH223" s="44">
        <f t="shared" si="269"/>
        <v>7.0674559314017676E-5</v>
      </c>
      <c r="BI223" s="44">
        <f t="shared" si="270"/>
        <v>6.5283670843064399E-5</v>
      </c>
      <c r="BJ223" s="44">
        <f t="shared" si="271"/>
        <v>6.7476871584257569E-5</v>
      </c>
      <c r="BK223" s="44">
        <f t="shared" si="272"/>
        <v>2.8977084529360901E-5</v>
      </c>
      <c r="BL223" s="44">
        <f t="shared" si="273"/>
        <v>1.5653876941680009E-5</v>
      </c>
      <c r="BM223" s="44">
        <f t="shared" si="274"/>
        <v>3.982163495759438E-5</v>
      </c>
      <c r="BN223" s="44">
        <f t="shared" si="275"/>
        <v>4.1417603870195608E-5</v>
      </c>
      <c r="BO223" s="44">
        <f t="shared" si="276"/>
        <v>1.9409860791255732E-5</v>
      </c>
      <c r="BP223" s="44">
        <f t="shared" si="277"/>
        <v>6.5265224455047613E-5</v>
      </c>
      <c r="BQ223" s="44">
        <f t="shared" si="278"/>
        <v>1.7612382406261052E-5</v>
      </c>
      <c r="BR223" s="44">
        <f t="shared" si="279"/>
        <v>5.2031386468482166E-5</v>
      </c>
      <c r="BS223" s="44">
        <f t="shared" si="280"/>
        <v>2.8061217184874131E-5</v>
      </c>
      <c r="BT223" s="44">
        <f t="shared" si="281"/>
        <v>1.1104683930883129E-4</v>
      </c>
      <c r="BU223" s="44">
        <f t="shared" si="282"/>
        <v>1.0608314681101173E-4</v>
      </c>
      <c r="BV223" s="44">
        <f t="shared" si="283"/>
        <v>1.0187874451339926E-4</v>
      </c>
      <c r="BW223" s="44">
        <f t="shared" si="284"/>
        <v>6.6634305341579602E-5</v>
      </c>
      <c r="BX223" s="44">
        <f t="shared" si="285"/>
        <v>4.9228214757196229E-5</v>
      </c>
      <c r="BY223" s="44">
        <f t="shared" si="286"/>
        <v>4.2268080509872013E-5</v>
      </c>
      <c r="CA223" s="44" t="str">
        <f t="shared" si="287"/>
        <v/>
      </c>
      <c r="CB223" s="44" t="str">
        <f t="shared" si="288"/>
        <v/>
      </c>
      <c r="CC223" s="44" t="str">
        <f t="shared" si="289"/>
        <v/>
      </c>
      <c r="CD223" s="44" t="str">
        <f t="shared" si="290"/>
        <v/>
      </c>
      <c r="CE223" s="44" t="str">
        <f t="shared" si="291"/>
        <v/>
      </c>
      <c r="CF223" s="44" t="str">
        <f t="shared" si="292"/>
        <v/>
      </c>
      <c r="CG223" s="44" t="str">
        <f t="shared" si="293"/>
        <v/>
      </c>
      <c r="CH223" s="44" t="str">
        <f t="shared" si="294"/>
        <v/>
      </c>
      <c r="CI223" s="44" t="str">
        <f t="shared" si="295"/>
        <v/>
      </c>
      <c r="CJ223" s="44" t="str">
        <f t="shared" si="296"/>
        <v/>
      </c>
      <c r="CK223" s="44" t="str">
        <f t="shared" si="297"/>
        <v/>
      </c>
      <c r="CL223" s="44" t="str">
        <f t="shared" si="298"/>
        <v/>
      </c>
      <c r="CM223" s="44" t="str">
        <f t="shared" si="299"/>
        <v/>
      </c>
      <c r="CN223" s="44" t="str">
        <f t="shared" si="300"/>
        <v/>
      </c>
      <c r="CO223" s="44" t="str">
        <f t="shared" si="301"/>
        <v/>
      </c>
      <c r="CP223" s="44" t="str">
        <f t="shared" si="302"/>
        <v/>
      </c>
      <c r="CQ223" s="44" t="str">
        <f t="shared" si="303"/>
        <v/>
      </c>
      <c r="CR223" s="44" t="str">
        <f t="shared" si="304"/>
        <v/>
      </c>
      <c r="CS223" s="44" t="str">
        <f t="shared" si="305"/>
        <v/>
      </c>
      <c r="CT223" s="44" t="str">
        <f t="shared" si="306"/>
        <v/>
      </c>
      <c r="CV223" s="44">
        <f t="shared" si="307"/>
        <v>0</v>
      </c>
    </row>
    <row r="224" spans="1:100" x14ac:dyDescent="0.25">
      <c r="A224" s="41"/>
      <c r="B224" s="42"/>
      <c r="C224" s="43" t="str" cm="1">
        <f t="array" ref="C224">IF(B224="","",INDEX(UWS!$B$10:$B$41,B224))</f>
        <v/>
      </c>
      <c r="D224" s="40" t="str">
        <f t="shared" si="264"/>
        <v/>
      </c>
      <c r="E224" s="69" t="str">
        <f t="shared" si="265"/>
        <v/>
      </c>
      <c r="F224" s="48" cm="1">
        <f t="array" ref="F224">0.1+IFERROR(INDEX($F$5:$F223,SUMPRODUCT(MAX(ROW($C$5:$C223)*($C224=$C$5:$C223))-ROW($A$4)))*0.9^($A224-INDEX($A$5:A223,SUMPRODUCT(MAX(ROW($C$5:$C223)*($C224=$C$5:$C223))-ROW($A$4)))),0)</f>
        <v>15.899999999999959</v>
      </c>
      <c r="G224" s="55" t="e">
        <f>INDEX(UWS!$AB$10:$AB$41,MATCH(C224,UWS!$B$10:$B$41,0))</f>
        <v>#N/A</v>
      </c>
      <c r="H224" s="48" t="e">
        <f>INDEX(UWS!$C$10:$C$41,MATCH(C224,UWS!$B$10:$B$41,0))</f>
        <v>#N/A</v>
      </c>
      <c r="I224" s="27">
        <f t="shared" si="266"/>
        <v>5</v>
      </c>
      <c r="J224" s="27" t="e">
        <f>INDEX(UWS!$E$10:$E$41,MATCH(C224,UWS!$B$10:$B$41,0))</f>
        <v>#N/A</v>
      </c>
      <c r="L224" s="108" t="str" cm="1">
        <f t="array" ref="L224">IF(K224="","",INDEX(UWS!$B$10:$B$41,K224))</f>
        <v/>
      </c>
      <c r="N224" s="108" t="str" cm="1">
        <f t="array" ref="N224">IF(M224="","",INDEX(UWS!$B$10:$B$41,M224))</f>
        <v/>
      </c>
      <c r="P224">
        <f>IFERROR(INDEX(UWS!$G$10:$Z$41,MATCH($C224,UWS!$B$10:$B$41,0),MATCH(P$4,UWS!$G$3:$Z$3,0)),0)</f>
        <v>0</v>
      </c>
      <c r="Q224">
        <f>IFERROR(INDEX(UWS!$G$10:$Z$41,MATCH($C224,UWS!$B$10:$B$41,0),MATCH(Q$4,UWS!$G$3:$Z$3,0)),0)</f>
        <v>0</v>
      </c>
      <c r="R224">
        <f>IFERROR(INDEX(UWS!$G$10:$Z$41,MATCH($C224,UWS!$B$10:$B$41,0),MATCH(R$4,UWS!$G$3:$Z$3,0)),0)</f>
        <v>0</v>
      </c>
      <c r="S224">
        <f>IFERROR(INDEX(UWS!$G$10:$Z$41,MATCH($C224,UWS!$B$10:$B$41,0),MATCH(S$4,UWS!$G$3:$Z$3,0)),0)</f>
        <v>0</v>
      </c>
      <c r="T224">
        <f>IFERROR(INDEX(UWS!$G$10:$Z$41,MATCH($C224,UWS!$B$10:$B$41,0),MATCH(T$4,UWS!$G$3:$Z$3,0)),0)</f>
        <v>0</v>
      </c>
      <c r="U224">
        <f>IFERROR(INDEX(UWS!$G$10:$Z$41,MATCH($C224,UWS!$B$10:$B$41,0),MATCH(U$4,UWS!$G$3:$Z$3,0)),0)</f>
        <v>0</v>
      </c>
      <c r="V224">
        <f>IFERROR(INDEX(UWS!$G$10:$Z$41,MATCH($C224,UWS!$B$10:$B$41,0),MATCH(V$4,UWS!$G$3:$Z$3,0)),0)</f>
        <v>0</v>
      </c>
      <c r="W224">
        <f>IFERROR(INDEX(UWS!$G$10:$Z$41,MATCH($C224,UWS!$B$10:$B$41,0),MATCH(W$4,UWS!$G$3:$Z$3,0)),0)</f>
        <v>0</v>
      </c>
      <c r="X224">
        <f>IFERROR(INDEX(UWS!$G$10:$Z$41,MATCH($C224,UWS!$B$10:$B$41,0),MATCH(X$4,UWS!$G$3:$Z$3,0)),0)</f>
        <v>0</v>
      </c>
      <c r="Y224">
        <f>IFERROR(INDEX(UWS!$G$10:$Z$41,MATCH($C224,UWS!$B$10:$B$41,0),MATCH(Y$4,UWS!$G$3:$Z$3,0)),0)</f>
        <v>0</v>
      </c>
      <c r="Z224">
        <f>IFERROR(INDEX(UWS!$G$10:$Z$41,MATCH($C224,UWS!$B$10:$B$41,0),MATCH(Z$4,UWS!$G$3:$Z$3,0)),0)</f>
        <v>0</v>
      </c>
      <c r="AA224">
        <f>IFERROR(INDEX(UWS!$G$10:$Z$41,MATCH($C224,UWS!$B$10:$B$41,0),MATCH(AA$4,UWS!$G$3:$Z$3,0)),0)</f>
        <v>0</v>
      </c>
      <c r="AB224">
        <f>IFERROR(INDEX(UWS!$G$10:$Z$41,MATCH($C224,UWS!$B$10:$B$41,0),MATCH(AB$4,UWS!$G$3:$Z$3,0)),0)</f>
        <v>0</v>
      </c>
      <c r="AC224">
        <f>IFERROR(INDEX(UWS!$G$10:$Z$41,MATCH($C224,UWS!$B$10:$B$41,0),MATCH(AC$4,UWS!$G$3:$Z$3,0)),0)</f>
        <v>0</v>
      </c>
      <c r="AD224">
        <f>IFERROR(INDEX(UWS!$G$10:$Z$41,MATCH($C224,UWS!$B$10:$B$41,0),MATCH(AD$4,UWS!$G$3:$Z$3,0)),0)</f>
        <v>0</v>
      </c>
      <c r="AE224">
        <f>IFERROR(INDEX(UWS!$G$10:$Z$41,MATCH($C224,UWS!$B$10:$B$41,0),MATCH(AE$4,UWS!$G$3:$Z$3,0)),0)</f>
        <v>0</v>
      </c>
      <c r="AF224">
        <f>IFERROR(INDEX(UWS!$G$10:$Z$41,MATCH($C224,UWS!$B$10:$B$41,0),MATCH(AF$4,UWS!$G$3:$Z$3,0)),0)</f>
        <v>0</v>
      </c>
      <c r="AG224">
        <f>IFERROR(INDEX(UWS!$G$10:$Z$41,MATCH($C224,UWS!$B$10:$B$41,0),MATCH(AG$4,UWS!$G$3:$Z$3,0)),0)</f>
        <v>0</v>
      </c>
      <c r="AH224">
        <f>IFERROR(INDEX(UWS!$G$10:$Z$41,MATCH($C224,UWS!$B$10:$B$41,0),MATCH(AH$4,UWS!$G$3:$Z$3,0)),0)</f>
        <v>0</v>
      </c>
      <c r="AI224">
        <f>IFERROR(INDEX(UWS!$G$10:$Z$41,MATCH($C224,UWS!$B$10:$B$41,0),MATCH(AI$4,UWS!$G$3:$Z$3,0)),0)</f>
        <v>0</v>
      </c>
      <c r="AK224" t="e">
        <f>IF(OR($J224=0,COUNTIFS($A$4:$A223,"&gt;="&amp;$A224-1,$A$4:$A223,"&lt;="&amp;$A224,$B$4:$B223,$B224)&gt;0,MIN(AK$1,IF($A224=$A223,AK223,1))-P224&lt;0),-1,MIN(1,IF($A224=$A223,AK223,1)-P224+$D$3))</f>
        <v>#N/A</v>
      </c>
      <c r="AL224" t="e">
        <f>IF(OR($J224=0,COUNTIFS($A$4:$A223,"&gt;="&amp;$A224-1,$A$4:$A223,"&lt;="&amp;$A224,$B$4:$B223,$B224)&gt;0,MIN(AL$1,IF($A224=$A223,AL223,1))-Q224&lt;0),-1,MIN(1,IF($A224=$A223,AL223,1)-Q224+$D$3))</f>
        <v>#N/A</v>
      </c>
      <c r="AM224" t="e">
        <f>IF(OR($J224=0,COUNTIFS($A$4:$A223,"&gt;="&amp;$A224-1,$A$4:$A223,"&lt;="&amp;$A224,$B$4:$B223,$B224)&gt;0,MIN(AM$1,IF($A224=$A223,AM223,1))-R224&lt;0),-1,MIN(1,IF($A224=$A223,AM223,1)-R224+$D$3))</f>
        <v>#N/A</v>
      </c>
      <c r="AN224" t="e">
        <f>IF(OR($J224=0,COUNTIFS($A$4:$A223,"&gt;="&amp;$A224-1,$A$4:$A223,"&lt;="&amp;$A224,$B$4:$B223,$B224)&gt;0,MIN(AN$1,IF($A224=$A223,AN223,1))-S224&lt;0),-1,MIN(1,IF($A224=$A223,AN223,1)-S224+$D$3))</f>
        <v>#N/A</v>
      </c>
      <c r="AO224" t="e">
        <f>IF(OR($J224=0,COUNTIFS($A$4:$A223,"&gt;="&amp;$A224-1,$A$4:$A223,"&lt;="&amp;$A224,$B$4:$B223,$B224)&gt;0,MIN(AO$1,IF($A224=$A223,AO223,1))-T224&lt;0),-1,MIN(1,IF($A224=$A223,AO223,1)-T224+$D$3))</f>
        <v>#N/A</v>
      </c>
      <c r="AP224" t="e">
        <f>IF(OR($J224=0,COUNTIFS($A$4:$A223,"&gt;="&amp;$A224-1,$A$4:$A223,"&lt;="&amp;$A224,$B$4:$B223,$B224)&gt;0,MIN(AP$1,IF($A224=$A223,AP223,1))-U224&lt;0),-1,MIN(1,IF($A224=$A223,AP223,1)-U224+$D$3))</f>
        <v>#N/A</v>
      </c>
      <c r="AQ224" t="e">
        <f>IF(OR($J224=0,COUNTIFS($A$4:$A223,"&gt;="&amp;$A224-1,$A$4:$A223,"&lt;="&amp;$A224,$B$4:$B223,$B224)&gt;0,MIN(AQ$1,IF($A224=$A223,AQ223,1))-V224&lt;0),-1,MIN(1,IF($A224=$A223,AQ223,1)-V224+$D$3))</f>
        <v>#N/A</v>
      </c>
      <c r="AR224" t="e">
        <f>IF(OR($J224=0,COUNTIFS($A$4:$A223,"&gt;="&amp;$A224-1,$A$4:$A223,"&lt;="&amp;$A224,$B$4:$B223,$B224)&gt;0,MIN(AR$1,IF($A224=$A223,AR223,1))-W224&lt;0),-1,MIN(1,IF($A224=$A223,AR223,1)-W224+$D$3))</f>
        <v>#N/A</v>
      </c>
      <c r="AS224" t="e">
        <f>IF(OR($J224=0,COUNTIFS($A$4:$A223,"&gt;="&amp;$A224-1,$A$4:$A223,"&lt;="&amp;$A224,$B$4:$B223,$B224)&gt;0,MIN(AS$1,IF($A224=$A223,AS223,1))-X224&lt;0),-1,MIN(1,IF($A224=$A223,AS223,1)-X224+$D$3))</f>
        <v>#N/A</v>
      </c>
      <c r="AT224" t="e">
        <f>IF(OR($J224=0,COUNTIFS($A$4:$A223,"&gt;="&amp;$A224-1,$A$4:$A223,"&lt;="&amp;$A224,$B$4:$B223,$B224)&gt;0,MIN(AT$1,IF($A224=$A223,AT223,1))-Y224&lt;0),-1,MIN(1,IF($A224=$A223,AT223,1)-Y224+$D$3))</f>
        <v>#N/A</v>
      </c>
      <c r="AU224" t="e">
        <f>IF(OR($J224=0,COUNTIFS($A$4:$A223,"&gt;="&amp;$A224-1,$A$4:$A223,"&lt;="&amp;$A224,$B$4:$B223,$B224)&gt;0,MIN(AU$1,IF($A224=$A223,AU223,1))-Z224&lt;0),-1,MIN(1,IF($A224=$A223,AU223,1)-Z224+$D$3))</f>
        <v>#N/A</v>
      </c>
      <c r="AV224" t="e">
        <f>IF(OR($J224=0,COUNTIFS($A$4:$A223,"&gt;="&amp;$A224-1,$A$4:$A223,"&lt;="&amp;$A224,$B$4:$B223,$B224)&gt;0,MIN(AV$1,IF($A224=$A223,AV223,1))-AA224&lt;0),-1,MIN(1,IF($A224=$A223,AV223,1)-AA224+$D$3))</f>
        <v>#N/A</v>
      </c>
      <c r="AW224" t="e">
        <f>IF(OR($J224=0,COUNTIFS($A$4:$A223,"&gt;="&amp;$A224-1,$A$4:$A223,"&lt;="&amp;$A224,$B$4:$B223,$B224)&gt;0,MIN(AW$1,IF($A224=$A223,AW223,1))-AB224&lt;0),-1,MIN(1,IF($A224=$A223,AW223,1)-AB224+$D$3))</f>
        <v>#N/A</v>
      </c>
      <c r="AX224" t="e">
        <f>IF(OR($J224=0,COUNTIFS($A$4:$A223,"&gt;="&amp;$A224-1,$A$4:$A223,"&lt;="&amp;$A224,$B$4:$B223,$B224)&gt;0,MIN(AX$1,IF($A224=$A223,AX223,1))-AC224&lt;0),-1,MIN(1,IF($A224=$A223,AX223,1)-AC224+$D$3))</f>
        <v>#N/A</v>
      </c>
      <c r="AY224" t="e">
        <f>IF(OR($J224=0,COUNTIFS($A$4:$A223,"&gt;="&amp;$A224-1,$A$4:$A223,"&lt;="&amp;$A224,$B$4:$B223,$B224)&gt;0,MIN(AY$1,IF($A224=$A223,AY223,1))-AD224&lt;0),-1,MIN(1,IF($A224=$A223,AY223,1)-AD224+$D$3))</f>
        <v>#N/A</v>
      </c>
      <c r="AZ224" t="e">
        <f>IF(OR($J224=0,COUNTIFS($A$4:$A223,"&gt;="&amp;$A224-1,$A$4:$A223,"&lt;="&amp;$A224,$B$4:$B223,$B224)&gt;0,MIN(AZ$1,IF($A224=$A223,AZ223,1))-AE224&lt;0),-1,MIN(1,IF($A224=$A223,AZ223,1)-AE224+$D$3))</f>
        <v>#N/A</v>
      </c>
      <c r="BA224" t="e">
        <f>IF(OR($J224=0,COUNTIFS($A$4:$A223,"&gt;="&amp;$A224-1,$A$4:$A223,"&lt;="&amp;$A224,$B$4:$B223,$B224)&gt;0,MIN(BA$1,IF($A224=$A223,BA223,1))-AF224&lt;0),-1,MIN(1,IF($A224=$A223,BA223,1)-AF224+$D$3))</f>
        <v>#N/A</v>
      </c>
      <c r="BB224" t="e">
        <f>IF(OR($J224=0,COUNTIFS($A$4:$A223,"&gt;="&amp;$A224-1,$A$4:$A223,"&lt;="&amp;$A224,$B$4:$B223,$B224)&gt;0,MIN(BB$1,IF($A224=$A223,BB223,1))-AG224&lt;0),-1,MIN(1,IF($A224=$A223,BB223,1)-AG224+$D$3))</f>
        <v>#N/A</v>
      </c>
      <c r="BC224" t="e">
        <f>IF(OR($J224=0,COUNTIFS($A$4:$A223,"&gt;="&amp;$A224-1,$A$4:$A223,"&lt;="&amp;$A224,$B$4:$B223,$B224)&gt;0,MIN(BC$1,IF($A224=$A223,BC223,1))-AH224&lt;0),-1,MIN(1,IF($A224=$A223,BC223,1)-AH224+$D$3))</f>
        <v>#N/A</v>
      </c>
      <c r="BD224" t="e">
        <f>IF(OR($J224=0,COUNTIFS($A$4:$A223,"&gt;="&amp;$A224-1,$A$4:$A223,"&lt;="&amp;$A224,$B$4:$B223,$B224)&gt;0,MIN(BD$1,IF($A224=$A223,BD223,1))-AI224&lt;0),-1,MIN(1,IF($A224=$A223,BD223,1)-AI224+$D$3))</f>
        <v>#N/A</v>
      </c>
      <c r="BF224" s="44">
        <f t="shared" si="267"/>
        <v>2.6637843146596987E-5</v>
      </c>
      <c r="BG224" s="44">
        <f t="shared" si="268"/>
        <v>6.5509972997662014E-5</v>
      </c>
      <c r="BH224" s="44">
        <f t="shared" si="269"/>
        <v>6.7140831348316791E-5</v>
      </c>
      <c r="BI224" s="44">
        <f t="shared" si="270"/>
        <v>6.2019487300911174E-5</v>
      </c>
      <c r="BJ224" s="44">
        <f t="shared" si="271"/>
        <v>6.4103028005044687E-5</v>
      </c>
      <c r="BK224" s="44">
        <f t="shared" si="272"/>
        <v>2.7528230302892853E-5</v>
      </c>
      <c r="BL224" s="44">
        <f t="shared" si="273"/>
        <v>1.4871183094596009E-5</v>
      </c>
      <c r="BM224" s="44">
        <f t="shared" si="274"/>
        <v>3.7830553209714659E-5</v>
      </c>
      <c r="BN224" s="44">
        <f t="shared" si="275"/>
        <v>3.9346723676685823E-5</v>
      </c>
      <c r="BO224" s="44">
        <f t="shared" si="276"/>
        <v>1.8439367751692943E-5</v>
      </c>
      <c r="BP224" s="44">
        <f t="shared" si="277"/>
        <v>6.2001963232295227E-5</v>
      </c>
      <c r="BQ224" s="44">
        <f t="shared" si="278"/>
        <v>1.6731763285947999E-5</v>
      </c>
      <c r="BR224" s="44">
        <f t="shared" si="279"/>
        <v>4.9429817145058057E-5</v>
      </c>
      <c r="BS224" s="44">
        <f t="shared" si="280"/>
        <v>2.6658156325630424E-5</v>
      </c>
      <c r="BT224" s="44">
        <f t="shared" si="281"/>
        <v>1.0549449734338973E-4</v>
      </c>
      <c r="BU224" s="44">
        <f t="shared" si="282"/>
        <v>1.0077898947046114E-4</v>
      </c>
      <c r="BV224" s="44">
        <f t="shared" si="283"/>
        <v>9.6784807287729287E-5</v>
      </c>
      <c r="BW224" s="44">
        <f t="shared" si="284"/>
        <v>6.3302590074500626E-5</v>
      </c>
      <c r="BX224" s="44">
        <f t="shared" si="285"/>
        <v>4.6766804019336412E-5</v>
      </c>
      <c r="BY224" s="44">
        <f t="shared" si="286"/>
        <v>4.0154676484378411E-5</v>
      </c>
      <c r="CA224" s="44" t="str">
        <f t="shared" si="287"/>
        <v/>
      </c>
      <c r="CB224" s="44" t="str">
        <f t="shared" si="288"/>
        <v/>
      </c>
      <c r="CC224" s="44" t="str">
        <f t="shared" si="289"/>
        <v/>
      </c>
      <c r="CD224" s="44" t="str">
        <f t="shared" si="290"/>
        <v/>
      </c>
      <c r="CE224" s="44" t="str">
        <f t="shared" si="291"/>
        <v/>
      </c>
      <c r="CF224" s="44" t="str">
        <f t="shared" si="292"/>
        <v/>
      </c>
      <c r="CG224" s="44" t="str">
        <f t="shared" si="293"/>
        <v/>
      </c>
      <c r="CH224" s="44" t="str">
        <f t="shared" si="294"/>
        <v/>
      </c>
      <c r="CI224" s="44" t="str">
        <f t="shared" si="295"/>
        <v/>
      </c>
      <c r="CJ224" s="44" t="str">
        <f t="shared" si="296"/>
        <v/>
      </c>
      <c r="CK224" s="44" t="str">
        <f t="shared" si="297"/>
        <v/>
      </c>
      <c r="CL224" s="44" t="str">
        <f t="shared" si="298"/>
        <v/>
      </c>
      <c r="CM224" s="44" t="str">
        <f t="shared" si="299"/>
        <v/>
      </c>
      <c r="CN224" s="44" t="str">
        <f t="shared" si="300"/>
        <v/>
      </c>
      <c r="CO224" s="44" t="str">
        <f t="shared" si="301"/>
        <v/>
      </c>
      <c r="CP224" s="44" t="str">
        <f t="shared" si="302"/>
        <v/>
      </c>
      <c r="CQ224" s="44" t="str">
        <f t="shared" si="303"/>
        <v/>
      </c>
      <c r="CR224" s="44" t="str">
        <f t="shared" si="304"/>
        <v/>
      </c>
      <c r="CS224" s="44" t="str">
        <f t="shared" si="305"/>
        <v/>
      </c>
      <c r="CT224" s="44" t="str">
        <f t="shared" si="306"/>
        <v/>
      </c>
      <c r="CV224" s="44">
        <f t="shared" si="307"/>
        <v>0</v>
      </c>
    </row>
    <row r="225" spans="1:100" x14ac:dyDescent="0.25">
      <c r="A225" s="49"/>
      <c r="B225" s="50"/>
      <c r="C225" s="51" t="str" cm="1">
        <f t="array" ref="C225">IF(B225="","",INDEX(UWS!$B$10:$B$41,B225))</f>
        <v/>
      </c>
      <c r="D225" s="45" t="str">
        <f t="shared" si="264"/>
        <v/>
      </c>
      <c r="E225" s="70" t="str">
        <f t="shared" si="265"/>
        <v/>
      </c>
      <c r="F225" s="52" cm="1">
        <f t="array" ref="F225">0.1+IFERROR(INDEX($F$5:$F224,SUMPRODUCT(MAX(ROW($C$5:$C224)*($C225=$C$5:$C224))-ROW($A$4)))*0.9^($A225-INDEX($A$5:A224,SUMPRODUCT(MAX(ROW($C$5:$C224)*($C225=$C$5:$C224))-ROW($A$4)))),0)</f>
        <v>15.999999999999959</v>
      </c>
      <c r="G225" s="56" t="e">
        <f>INDEX(UWS!$AB$10:$AB$41,MATCH(C225,UWS!$B$10:$B$41,0))</f>
        <v>#N/A</v>
      </c>
      <c r="H225" s="52" t="e">
        <f>INDEX(UWS!$C$10:$C$41,MATCH(C225,UWS!$B$10:$B$41,0))</f>
        <v>#N/A</v>
      </c>
      <c r="I225" s="46">
        <f t="shared" si="266"/>
        <v>5</v>
      </c>
      <c r="J225" s="46" t="e">
        <f>INDEX(UWS!$E$10:$E$41,MATCH(C225,UWS!$B$10:$B$41,0))</f>
        <v>#N/A</v>
      </c>
      <c r="K225" s="46"/>
      <c r="L225" s="109" t="str" cm="1">
        <f t="array" ref="L225">IF(K225="","",INDEX(UWS!$B$10:$B$41,K225))</f>
        <v/>
      </c>
      <c r="M225" s="46"/>
      <c r="N225" s="109" t="str" cm="1">
        <f t="array" ref="N225">IF(M225="","",INDEX(UWS!$B$10:$B$41,M225))</f>
        <v/>
      </c>
      <c r="O225" s="47"/>
      <c r="P225" s="47">
        <f>IFERROR(INDEX(UWS!$G$10:$Z$41,MATCH($C225,UWS!$B$10:$B$41,0),MATCH(P$4,UWS!$G$3:$Z$3,0)),0)</f>
        <v>0</v>
      </c>
      <c r="Q225" s="47">
        <f>IFERROR(INDEX(UWS!$G$10:$Z$41,MATCH($C225,UWS!$B$10:$B$41,0),MATCH(Q$4,UWS!$G$3:$Z$3,0)),0)</f>
        <v>0</v>
      </c>
      <c r="R225" s="47">
        <f>IFERROR(INDEX(UWS!$G$10:$Z$41,MATCH($C225,UWS!$B$10:$B$41,0),MATCH(R$4,UWS!$G$3:$Z$3,0)),0)</f>
        <v>0</v>
      </c>
      <c r="S225" s="47">
        <f>IFERROR(INDEX(UWS!$G$10:$Z$41,MATCH($C225,UWS!$B$10:$B$41,0),MATCH(S$4,UWS!$G$3:$Z$3,0)),0)</f>
        <v>0</v>
      </c>
      <c r="T225" s="47">
        <f>IFERROR(INDEX(UWS!$G$10:$Z$41,MATCH($C225,UWS!$B$10:$B$41,0),MATCH(T$4,UWS!$G$3:$Z$3,0)),0)</f>
        <v>0</v>
      </c>
      <c r="U225" s="47">
        <f>IFERROR(INDEX(UWS!$G$10:$Z$41,MATCH($C225,UWS!$B$10:$B$41,0),MATCH(U$4,UWS!$G$3:$Z$3,0)),0)</f>
        <v>0</v>
      </c>
      <c r="V225" s="47">
        <f>IFERROR(INDEX(UWS!$G$10:$Z$41,MATCH($C225,UWS!$B$10:$B$41,0),MATCH(V$4,UWS!$G$3:$Z$3,0)),0)</f>
        <v>0</v>
      </c>
      <c r="W225" s="47">
        <f>IFERROR(INDEX(UWS!$G$10:$Z$41,MATCH($C225,UWS!$B$10:$B$41,0),MATCH(W$4,UWS!$G$3:$Z$3,0)),0)</f>
        <v>0</v>
      </c>
      <c r="X225" s="47">
        <f>IFERROR(INDEX(UWS!$G$10:$Z$41,MATCH($C225,UWS!$B$10:$B$41,0),MATCH(X$4,UWS!$G$3:$Z$3,0)),0)</f>
        <v>0</v>
      </c>
      <c r="Y225" s="47">
        <f>IFERROR(INDEX(UWS!$G$10:$Z$41,MATCH($C225,UWS!$B$10:$B$41,0),MATCH(Y$4,UWS!$G$3:$Z$3,0)),0)</f>
        <v>0</v>
      </c>
      <c r="Z225" s="47">
        <f>IFERROR(INDEX(UWS!$G$10:$Z$41,MATCH($C225,UWS!$B$10:$B$41,0),MATCH(Z$4,UWS!$G$3:$Z$3,0)),0)</f>
        <v>0</v>
      </c>
      <c r="AA225" s="47">
        <f>IFERROR(INDEX(UWS!$G$10:$Z$41,MATCH($C225,UWS!$B$10:$B$41,0),MATCH(AA$4,UWS!$G$3:$Z$3,0)),0)</f>
        <v>0</v>
      </c>
      <c r="AB225" s="47">
        <f>IFERROR(INDEX(UWS!$G$10:$Z$41,MATCH($C225,UWS!$B$10:$B$41,0),MATCH(AB$4,UWS!$G$3:$Z$3,0)),0)</f>
        <v>0</v>
      </c>
      <c r="AC225" s="47">
        <f>IFERROR(INDEX(UWS!$G$10:$Z$41,MATCH($C225,UWS!$B$10:$B$41,0),MATCH(AC$4,UWS!$G$3:$Z$3,0)),0)</f>
        <v>0</v>
      </c>
      <c r="AD225" s="47">
        <f>IFERROR(INDEX(UWS!$G$10:$Z$41,MATCH($C225,UWS!$B$10:$B$41,0),MATCH(AD$4,UWS!$G$3:$Z$3,0)),0)</f>
        <v>0</v>
      </c>
      <c r="AE225" s="47">
        <f>IFERROR(INDEX(UWS!$G$10:$Z$41,MATCH($C225,UWS!$B$10:$B$41,0),MATCH(AE$4,UWS!$G$3:$Z$3,0)),0)</f>
        <v>0</v>
      </c>
      <c r="AF225" s="47">
        <f>IFERROR(INDEX(UWS!$G$10:$Z$41,MATCH($C225,UWS!$B$10:$B$41,0),MATCH(AF$4,UWS!$G$3:$Z$3,0)),0)</f>
        <v>0</v>
      </c>
      <c r="AG225" s="47">
        <f>IFERROR(INDEX(UWS!$G$10:$Z$41,MATCH($C225,UWS!$B$10:$B$41,0),MATCH(AG$4,UWS!$G$3:$Z$3,0)),0)</f>
        <v>0</v>
      </c>
      <c r="AH225" s="47">
        <f>IFERROR(INDEX(UWS!$G$10:$Z$41,MATCH($C225,UWS!$B$10:$B$41,0),MATCH(AH$4,UWS!$G$3:$Z$3,0)),0)</f>
        <v>0</v>
      </c>
      <c r="AI225" s="47">
        <f>IFERROR(INDEX(UWS!$G$10:$Z$41,MATCH($C225,UWS!$B$10:$B$41,0),MATCH(AI$4,UWS!$G$3:$Z$3,0)),0)</f>
        <v>0</v>
      </c>
      <c r="AJ225" s="47"/>
      <c r="AK225" s="47" t="e">
        <f>IF(OR($J225=0,COUNTIFS($A$4:$A224,"&gt;="&amp;$A225-1,$A$4:$A224,"&lt;="&amp;$A225,$B$4:$B224,$B225)&gt;0,MIN(AK$1,IF($A225=$A224,AK224,1))-P225&lt;0),-1,MIN(1,IF($A225=$A224,AK224,1)-P225+$D$3))</f>
        <v>#N/A</v>
      </c>
      <c r="AL225" s="47" t="e">
        <f>IF(OR($J225=0,COUNTIFS($A$4:$A224,"&gt;="&amp;$A225-1,$A$4:$A224,"&lt;="&amp;$A225,$B$4:$B224,$B225)&gt;0,MIN(AL$1,IF($A225=$A224,AL224,1))-Q225&lt;0),-1,MIN(1,IF($A225=$A224,AL224,1)-Q225+$D$3))</f>
        <v>#N/A</v>
      </c>
      <c r="AM225" s="47" t="e">
        <f>IF(OR($J225=0,COUNTIFS($A$4:$A224,"&gt;="&amp;$A225-1,$A$4:$A224,"&lt;="&amp;$A225,$B$4:$B224,$B225)&gt;0,MIN(AM$1,IF($A225=$A224,AM224,1))-R225&lt;0),-1,MIN(1,IF($A225=$A224,AM224,1)-R225+$D$3))</f>
        <v>#N/A</v>
      </c>
      <c r="AN225" s="47" t="e">
        <f>IF(OR($J225=0,COUNTIFS($A$4:$A224,"&gt;="&amp;$A225-1,$A$4:$A224,"&lt;="&amp;$A225,$B$4:$B224,$B225)&gt;0,MIN(AN$1,IF($A225=$A224,AN224,1))-S225&lt;0),-1,MIN(1,IF($A225=$A224,AN224,1)-S225+$D$3))</f>
        <v>#N/A</v>
      </c>
      <c r="AO225" s="47" t="e">
        <f>IF(OR($J225=0,COUNTIFS($A$4:$A224,"&gt;="&amp;$A225-1,$A$4:$A224,"&lt;="&amp;$A225,$B$4:$B224,$B225)&gt;0,MIN(AO$1,IF($A225=$A224,AO224,1))-T225&lt;0),-1,MIN(1,IF($A225=$A224,AO224,1)-T225+$D$3))</f>
        <v>#N/A</v>
      </c>
      <c r="AP225" s="47" t="e">
        <f>IF(OR($J225=0,COUNTIFS($A$4:$A224,"&gt;="&amp;$A225-1,$A$4:$A224,"&lt;="&amp;$A225,$B$4:$B224,$B225)&gt;0,MIN(AP$1,IF($A225=$A224,AP224,1))-U225&lt;0),-1,MIN(1,IF($A225=$A224,AP224,1)-U225+$D$3))</f>
        <v>#N/A</v>
      </c>
      <c r="AQ225" s="47" t="e">
        <f>IF(OR($J225=0,COUNTIFS($A$4:$A224,"&gt;="&amp;$A225-1,$A$4:$A224,"&lt;="&amp;$A225,$B$4:$B224,$B225)&gt;0,MIN(AQ$1,IF($A225=$A224,AQ224,1))-V225&lt;0),-1,MIN(1,IF($A225=$A224,AQ224,1)-V225+$D$3))</f>
        <v>#N/A</v>
      </c>
      <c r="AR225" s="47" t="e">
        <f>IF(OR($J225=0,COUNTIFS($A$4:$A224,"&gt;="&amp;$A225-1,$A$4:$A224,"&lt;="&amp;$A225,$B$4:$B224,$B225)&gt;0,MIN(AR$1,IF($A225=$A224,AR224,1))-W225&lt;0),-1,MIN(1,IF($A225=$A224,AR224,1)-W225+$D$3))</f>
        <v>#N/A</v>
      </c>
      <c r="AS225" s="47" t="e">
        <f>IF(OR($J225=0,COUNTIFS($A$4:$A224,"&gt;="&amp;$A225-1,$A$4:$A224,"&lt;="&amp;$A225,$B$4:$B224,$B225)&gt;0,MIN(AS$1,IF($A225=$A224,AS224,1))-X225&lt;0),-1,MIN(1,IF($A225=$A224,AS224,1)-X225+$D$3))</f>
        <v>#N/A</v>
      </c>
      <c r="AT225" s="47" t="e">
        <f>IF(OR($J225=0,COUNTIFS($A$4:$A224,"&gt;="&amp;$A225-1,$A$4:$A224,"&lt;="&amp;$A225,$B$4:$B224,$B225)&gt;0,MIN(AT$1,IF($A225=$A224,AT224,1))-Y225&lt;0),-1,MIN(1,IF($A225=$A224,AT224,1)-Y225+$D$3))</f>
        <v>#N/A</v>
      </c>
      <c r="AU225" s="47" t="e">
        <f>IF(OR($J225=0,COUNTIFS($A$4:$A224,"&gt;="&amp;$A225-1,$A$4:$A224,"&lt;="&amp;$A225,$B$4:$B224,$B225)&gt;0,MIN(AU$1,IF($A225=$A224,AU224,1))-Z225&lt;0),-1,MIN(1,IF($A225=$A224,AU224,1)-Z225+$D$3))</f>
        <v>#N/A</v>
      </c>
      <c r="AV225" s="47" t="e">
        <f>IF(OR($J225=0,COUNTIFS($A$4:$A224,"&gt;="&amp;$A225-1,$A$4:$A224,"&lt;="&amp;$A225,$B$4:$B224,$B225)&gt;0,MIN(AV$1,IF($A225=$A224,AV224,1))-AA225&lt;0),-1,MIN(1,IF($A225=$A224,AV224,1)-AA225+$D$3))</f>
        <v>#N/A</v>
      </c>
      <c r="AW225" s="47" t="e">
        <f>IF(OR($J225=0,COUNTIFS($A$4:$A224,"&gt;="&amp;$A225-1,$A$4:$A224,"&lt;="&amp;$A225,$B$4:$B224,$B225)&gt;0,MIN(AW$1,IF($A225=$A224,AW224,1))-AB225&lt;0),-1,MIN(1,IF($A225=$A224,AW224,1)-AB225+$D$3))</f>
        <v>#N/A</v>
      </c>
      <c r="AX225" s="47" t="e">
        <f>IF(OR($J225=0,COUNTIFS($A$4:$A224,"&gt;="&amp;$A225-1,$A$4:$A224,"&lt;="&amp;$A225,$B$4:$B224,$B225)&gt;0,MIN(AX$1,IF($A225=$A224,AX224,1))-AC225&lt;0),-1,MIN(1,IF($A225=$A224,AX224,1)-AC225+$D$3))</f>
        <v>#N/A</v>
      </c>
      <c r="AY225" s="47" t="e">
        <f>IF(OR($J225=0,COUNTIFS($A$4:$A224,"&gt;="&amp;$A225-1,$A$4:$A224,"&lt;="&amp;$A225,$B$4:$B224,$B225)&gt;0,MIN(AY$1,IF($A225=$A224,AY224,1))-AD225&lt;0),-1,MIN(1,IF($A225=$A224,AY224,1)-AD225+$D$3))</f>
        <v>#N/A</v>
      </c>
      <c r="AZ225" s="47" t="e">
        <f>IF(OR($J225=0,COUNTIFS($A$4:$A224,"&gt;="&amp;$A225-1,$A$4:$A224,"&lt;="&amp;$A225,$B$4:$B224,$B225)&gt;0,MIN(AZ$1,IF($A225=$A224,AZ224,1))-AE225&lt;0),-1,MIN(1,IF($A225=$A224,AZ224,1)-AE225+$D$3))</f>
        <v>#N/A</v>
      </c>
      <c r="BA225" s="47" t="e">
        <f>IF(OR($J225=0,COUNTIFS($A$4:$A224,"&gt;="&amp;$A225-1,$A$4:$A224,"&lt;="&amp;$A225,$B$4:$B224,$B225)&gt;0,MIN(BA$1,IF($A225=$A224,BA224,1))-AF225&lt;0),-1,MIN(1,IF($A225=$A224,BA224,1)-AF225+$D$3))</f>
        <v>#N/A</v>
      </c>
      <c r="BB225" s="47" t="e">
        <f>IF(OR($J225=0,COUNTIFS($A$4:$A224,"&gt;="&amp;$A225-1,$A$4:$A224,"&lt;="&amp;$A225,$B$4:$B224,$B225)&gt;0,MIN(BB$1,IF($A225=$A224,BB224,1))-AG225&lt;0),-1,MIN(1,IF($A225=$A224,BB224,1)-AG225+$D$3))</f>
        <v>#N/A</v>
      </c>
      <c r="BC225" s="47" t="e">
        <f>IF(OR($J225=0,COUNTIFS($A$4:$A224,"&gt;="&amp;$A225-1,$A$4:$A224,"&lt;="&amp;$A225,$B$4:$B224,$B225)&gt;0,MIN(BC$1,IF($A225=$A224,BC224,1))-AH225&lt;0),-1,MIN(1,IF($A225=$A224,BC224,1)-AH225+$D$3))</f>
        <v>#N/A</v>
      </c>
      <c r="BD225" s="47" t="e">
        <f>IF(OR($J225=0,COUNTIFS($A$4:$A224,"&gt;="&amp;$A225-1,$A$4:$A224,"&lt;="&amp;$A225,$B$4:$B224,$B225)&gt;0,MIN(BD$1,IF($A225=$A224,BD224,1))-AI225&lt;0),-1,MIN(1,IF($A225=$A224,BD224,1)-AI225+$D$3))</f>
        <v>#N/A</v>
      </c>
      <c r="BE225" s="47"/>
      <c r="BF225" s="53">
        <f t="shared" si="267"/>
        <v>2.5305950989267138E-5</v>
      </c>
      <c r="BG225" s="53">
        <f t="shared" si="268"/>
        <v>6.2234474347778912E-5</v>
      </c>
      <c r="BH225" s="53">
        <f t="shared" si="269"/>
        <v>6.3783789780900952E-5</v>
      </c>
      <c r="BI225" s="53">
        <f t="shared" si="270"/>
        <v>5.891851293586561E-5</v>
      </c>
      <c r="BJ225" s="53">
        <f t="shared" si="271"/>
        <v>6.0897876604792447E-5</v>
      </c>
      <c r="BK225" s="53">
        <f t="shared" si="272"/>
        <v>2.6151818787748208E-5</v>
      </c>
      <c r="BL225" s="53">
        <f t="shared" si="273"/>
        <v>1.4127623939866208E-5</v>
      </c>
      <c r="BM225" s="53">
        <f t="shared" si="274"/>
        <v>3.5939025549228927E-5</v>
      </c>
      <c r="BN225" s="53">
        <f t="shared" si="275"/>
        <v>3.7379387492851529E-5</v>
      </c>
      <c r="BO225" s="53">
        <f t="shared" si="276"/>
        <v>1.7517399364108297E-5</v>
      </c>
      <c r="BP225" s="53">
        <f t="shared" si="277"/>
        <v>5.8901865070680465E-5</v>
      </c>
      <c r="BQ225" s="53">
        <f t="shared" si="278"/>
        <v>1.5895175121650599E-5</v>
      </c>
      <c r="BR225" s="53">
        <f t="shared" si="279"/>
        <v>4.6958326287805151E-5</v>
      </c>
      <c r="BS225" s="53">
        <f t="shared" si="280"/>
        <v>2.5325248509348901E-5</v>
      </c>
      <c r="BT225" s="53">
        <f t="shared" si="281"/>
        <v>1.0021977247622023E-4</v>
      </c>
      <c r="BU225" s="53">
        <f t="shared" si="282"/>
        <v>9.5740039996938068E-5</v>
      </c>
      <c r="BV225" s="53">
        <f t="shared" si="283"/>
        <v>9.1945566923342813E-5</v>
      </c>
      <c r="BW225" s="53">
        <f t="shared" si="284"/>
        <v>6.0137460570775593E-5</v>
      </c>
      <c r="BX225" s="53">
        <f t="shared" si="285"/>
        <v>4.4428463818369592E-5</v>
      </c>
      <c r="BY225" s="53">
        <f t="shared" si="286"/>
        <v>3.8146942660159489E-5</v>
      </c>
      <c r="BZ225" s="47"/>
      <c r="CA225" s="53" t="str">
        <f t="shared" si="287"/>
        <v/>
      </c>
      <c r="CB225" s="53" t="str">
        <f t="shared" si="288"/>
        <v/>
      </c>
      <c r="CC225" s="53" t="str">
        <f t="shared" si="289"/>
        <v/>
      </c>
      <c r="CD225" s="53" t="str">
        <f t="shared" si="290"/>
        <v/>
      </c>
      <c r="CE225" s="53" t="str">
        <f t="shared" si="291"/>
        <v/>
      </c>
      <c r="CF225" s="53" t="str">
        <f t="shared" si="292"/>
        <v/>
      </c>
      <c r="CG225" s="53" t="str">
        <f t="shared" si="293"/>
        <v/>
      </c>
      <c r="CH225" s="53" t="str">
        <f t="shared" si="294"/>
        <v/>
      </c>
      <c r="CI225" s="53" t="str">
        <f t="shared" si="295"/>
        <v/>
      </c>
      <c r="CJ225" s="53" t="str">
        <f t="shared" si="296"/>
        <v/>
      </c>
      <c r="CK225" s="53" t="str">
        <f t="shared" si="297"/>
        <v/>
      </c>
      <c r="CL225" s="53" t="str">
        <f t="shared" si="298"/>
        <v/>
      </c>
      <c r="CM225" s="53" t="str">
        <f t="shared" si="299"/>
        <v/>
      </c>
      <c r="CN225" s="53" t="str">
        <f t="shared" si="300"/>
        <v/>
      </c>
      <c r="CO225" s="53" t="str">
        <f t="shared" si="301"/>
        <v/>
      </c>
      <c r="CP225" s="53" t="str">
        <f t="shared" si="302"/>
        <v/>
      </c>
      <c r="CQ225" s="53" t="str">
        <f t="shared" si="303"/>
        <v/>
      </c>
      <c r="CR225" s="53" t="str">
        <f t="shared" si="304"/>
        <v/>
      </c>
      <c r="CS225" s="53" t="str">
        <f t="shared" si="305"/>
        <v/>
      </c>
      <c r="CT225" s="53" t="str">
        <f t="shared" si="306"/>
        <v/>
      </c>
      <c r="CU225" s="47"/>
      <c r="CV225" s="53">
        <f t="shared" si="307"/>
        <v>0</v>
      </c>
    </row>
    <row r="226" spans="1:100" x14ac:dyDescent="0.25">
      <c r="A226" s="41"/>
      <c r="B226" s="42"/>
      <c r="C226" s="43" t="str" cm="1">
        <f t="array" ref="C226">IF(B226="","",INDEX(UWS!$B$10:$B$41,B226))</f>
        <v/>
      </c>
      <c r="D226" s="40" t="str">
        <f t="shared" si="264"/>
        <v/>
      </c>
      <c r="E226" s="69" t="str">
        <f t="shared" si="265"/>
        <v/>
      </c>
      <c r="F226" s="48" cm="1">
        <f t="array" ref="F226">0.1+IFERROR(INDEX($F$5:$F225,SUMPRODUCT(MAX(ROW($C$5:$C225)*($C226=$C$5:$C225))-ROW($A$4)))*0.9^($A226-INDEX($A$5:A225,SUMPRODUCT(MAX(ROW($C$5:$C225)*($C226=$C$5:$C225))-ROW($A$4)))),0)</f>
        <v>16.099999999999959</v>
      </c>
      <c r="G226" s="55" t="e">
        <f>INDEX(UWS!$AB$10:$AB$41,MATCH(C226,UWS!$B$10:$B$41,0))</f>
        <v>#N/A</v>
      </c>
      <c r="H226" s="48" t="e">
        <f>INDEX(UWS!$C$10:$C$41,MATCH(C226,UWS!$B$10:$B$41,0))</f>
        <v>#N/A</v>
      </c>
      <c r="I226" s="82">
        <f t="shared" si="266"/>
        <v>5</v>
      </c>
      <c r="J226" s="27" t="e">
        <f>INDEX(UWS!$E$10:$E$41,MATCH(C226,UWS!$B$10:$B$41,0))</f>
        <v>#N/A</v>
      </c>
      <c r="L226" s="108" t="str" cm="1">
        <f t="array" ref="L226">IF(K226="","",INDEX(UWS!$B$10:$B$41,K226))</f>
        <v/>
      </c>
      <c r="N226" s="108" t="str" cm="1">
        <f t="array" ref="N226">IF(M226="","",INDEX(UWS!$B$10:$B$41,M226))</f>
        <v/>
      </c>
      <c r="P226">
        <f>IFERROR(INDEX(UWS!$G$10:$Z$41,MATCH($C226,UWS!$B$10:$B$41,0),MATCH(P$4,UWS!$G$3:$Z$3,0)),0)</f>
        <v>0</v>
      </c>
      <c r="Q226">
        <f>IFERROR(INDEX(UWS!$G$10:$Z$41,MATCH($C226,UWS!$B$10:$B$41,0),MATCH(Q$4,UWS!$G$3:$Z$3,0)),0)</f>
        <v>0</v>
      </c>
      <c r="R226">
        <f>IFERROR(INDEX(UWS!$G$10:$Z$41,MATCH($C226,UWS!$B$10:$B$41,0),MATCH(R$4,UWS!$G$3:$Z$3,0)),0)</f>
        <v>0</v>
      </c>
      <c r="S226">
        <f>IFERROR(INDEX(UWS!$G$10:$Z$41,MATCH($C226,UWS!$B$10:$B$41,0),MATCH(S$4,UWS!$G$3:$Z$3,0)),0)</f>
        <v>0</v>
      </c>
      <c r="T226">
        <f>IFERROR(INDEX(UWS!$G$10:$Z$41,MATCH($C226,UWS!$B$10:$B$41,0),MATCH(T$4,UWS!$G$3:$Z$3,0)),0)</f>
        <v>0</v>
      </c>
      <c r="U226">
        <f>IFERROR(INDEX(UWS!$G$10:$Z$41,MATCH($C226,UWS!$B$10:$B$41,0),MATCH(U$4,UWS!$G$3:$Z$3,0)),0)</f>
        <v>0</v>
      </c>
      <c r="V226">
        <f>IFERROR(INDEX(UWS!$G$10:$Z$41,MATCH($C226,UWS!$B$10:$B$41,0),MATCH(V$4,UWS!$G$3:$Z$3,0)),0)</f>
        <v>0</v>
      </c>
      <c r="W226">
        <f>IFERROR(INDEX(UWS!$G$10:$Z$41,MATCH($C226,UWS!$B$10:$B$41,0),MATCH(W$4,UWS!$G$3:$Z$3,0)),0)</f>
        <v>0</v>
      </c>
      <c r="X226">
        <f>IFERROR(INDEX(UWS!$G$10:$Z$41,MATCH($C226,UWS!$B$10:$B$41,0),MATCH(X$4,UWS!$G$3:$Z$3,0)),0)</f>
        <v>0</v>
      </c>
      <c r="Y226">
        <f>IFERROR(INDEX(UWS!$G$10:$Z$41,MATCH($C226,UWS!$B$10:$B$41,0),MATCH(Y$4,UWS!$G$3:$Z$3,0)),0)</f>
        <v>0</v>
      </c>
      <c r="Z226">
        <f>IFERROR(INDEX(UWS!$G$10:$Z$41,MATCH($C226,UWS!$B$10:$B$41,0),MATCH(Z$4,UWS!$G$3:$Z$3,0)),0)</f>
        <v>0</v>
      </c>
      <c r="AA226">
        <f>IFERROR(INDEX(UWS!$G$10:$Z$41,MATCH($C226,UWS!$B$10:$B$41,0),MATCH(AA$4,UWS!$G$3:$Z$3,0)),0)</f>
        <v>0</v>
      </c>
      <c r="AB226">
        <f>IFERROR(INDEX(UWS!$G$10:$Z$41,MATCH($C226,UWS!$B$10:$B$41,0),MATCH(AB$4,UWS!$G$3:$Z$3,0)),0)</f>
        <v>0</v>
      </c>
      <c r="AC226">
        <f>IFERROR(INDEX(UWS!$G$10:$Z$41,MATCH($C226,UWS!$B$10:$B$41,0),MATCH(AC$4,UWS!$G$3:$Z$3,0)),0)</f>
        <v>0</v>
      </c>
      <c r="AD226">
        <f>IFERROR(INDEX(UWS!$G$10:$Z$41,MATCH($C226,UWS!$B$10:$B$41,0),MATCH(AD$4,UWS!$G$3:$Z$3,0)),0)</f>
        <v>0</v>
      </c>
      <c r="AE226">
        <f>IFERROR(INDEX(UWS!$G$10:$Z$41,MATCH($C226,UWS!$B$10:$B$41,0),MATCH(AE$4,UWS!$G$3:$Z$3,0)),0)</f>
        <v>0</v>
      </c>
      <c r="AF226">
        <f>IFERROR(INDEX(UWS!$G$10:$Z$41,MATCH($C226,UWS!$B$10:$B$41,0),MATCH(AF$4,UWS!$G$3:$Z$3,0)),0)</f>
        <v>0</v>
      </c>
      <c r="AG226">
        <f>IFERROR(INDEX(UWS!$G$10:$Z$41,MATCH($C226,UWS!$B$10:$B$41,0),MATCH(AG$4,UWS!$G$3:$Z$3,0)),0)</f>
        <v>0</v>
      </c>
      <c r="AH226">
        <f>IFERROR(INDEX(UWS!$G$10:$Z$41,MATCH($C226,UWS!$B$10:$B$41,0),MATCH(AH$4,UWS!$G$3:$Z$3,0)),0)</f>
        <v>0</v>
      </c>
      <c r="AI226">
        <f>IFERROR(INDEX(UWS!$G$10:$Z$41,MATCH($C226,UWS!$B$10:$B$41,0),MATCH(AI$4,UWS!$G$3:$Z$3,0)),0)</f>
        <v>0</v>
      </c>
      <c r="AK226" t="e">
        <f>IF(OR($J226=0,COUNTIFS($A$4:$A225,"&gt;="&amp;$A226-1,$A$4:$A225,"&lt;="&amp;$A226,$B$4:$B225,$B226)&gt;0,MIN(AK$1,IF($A226=$A225,AK225,1))-P226&lt;0),-1,MIN(1,IF($A226=$A225,AK225,1)-P226+$D$3))</f>
        <v>#N/A</v>
      </c>
      <c r="AL226" t="e">
        <f>IF(OR($J226=0,COUNTIFS($A$4:$A225,"&gt;="&amp;$A226-1,$A$4:$A225,"&lt;="&amp;$A226,$B$4:$B225,$B226)&gt;0,MIN(AL$1,IF($A226=$A225,AL225,1))-Q226&lt;0),-1,MIN(1,IF($A226=$A225,AL225,1)-Q226+$D$3))</f>
        <v>#N/A</v>
      </c>
      <c r="AM226" t="e">
        <f>IF(OR($J226=0,COUNTIFS($A$4:$A225,"&gt;="&amp;$A226-1,$A$4:$A225,"&lt;="&amp;$A226,$B$4:$B225,$B226)&gt;0,MIN(AM$1,IF($A226=$A225,AM225,1))-R226&lt;0),-1,MIN(1,IF($A226=$A225,AM225,1)-R226+$D$3))</f>
        <v>#N/A</v>
      </c>
      <c r="AN226" t="e">
        <f>IF(OR($J226=0,COUNTIFS($A$4:$A225,"&gt;="&amp;$A226-1,$A$4:$A225,"&lt;="&amp;$A226,$B$4:$B225,$B226)&gt;0,MIN(AN$1,IF($A226=$A225,AN225,1))-S226&lt;0),-1,MIN(1,IF($A226=$A225,AN225,1)-S226+$D$3))</f>
        <v>#N/A</v>
      </c>
      <c r="AO226" t="e">
        <f>IF(OR($J226=0,COUNTIFS($A$4:$A225,"&gt;="&amp;$A226-1,$A$4:$A225,"&lt;="&amp;$A226,$B$4:$B225,$B226)&gt;0,MIN(AO$1,IF($A226=$A225,AO225,1))-T226&lt;0),-1,MIN(1,IF($A226=$A225,AO225,1)-T226+$D$3))</f>
        <v>#N/A</v>
      </c>
      <c r="AP226" t="e">
        <f>IF(OR($J226=0,COUNTIFS($A$4:$A225,"&gt;="&amp;$A226-1,$A$4:$A225,"&lt;="&amp;$A226,$B$4:$B225,$B226)&gt;0,MIN(AP$1,IF($A226=$A225,AP225,1))-U226&lt;0),-1,MIN(1,IF($A226=$A225,AP225,1)-U226+$D$3))</f>
        <v>#N/A</v>
      </c>
      <c r="AQ226" t="e">
        <f>IF(OR($J226=0,COUNTIFS($A$4:$A225,"&gt;="&amp;$A226-1,$A$4:$A225,"&lt;="&amp;$A226,$B$4:$B225,$B226)&gt;0,MIN(AQ$1,IF($A226=$A225,AQ225,1))-V226&lt;0),-1,MIN(1,IF($A226=$A225,AQ225,1)-V226+$D$3))</f>
        <v>#N/A</v>
      </c>
      <c r="AR226" t="e">
        <f>IF(OR($J226=0,COUNTIFS($A$4:$A225,"&gt;="&amp;$A226-1,$A$4:$A225,"&lt;="&amp;$A226,$B$4:$B225,$B226)&gt;0,MIN(AR$1,IF($A226=$A225,AR225,1))-W226&lt;0),-1,MIN(1,IF($A226=$A225,AR225,1)-W226+$D$3))</f>
        <v>#N/A</v>
      </c>
      <c r="AS226" t="e">
        <f>IF(OR($J226=0,COUNTIFS($A$4:$A225,"&gt;="&amp;$A226-1,$A$4:$A225,"&lt;="&amp;$A226,$B$4:$B225,$B226)&gt;0,MIN(AS$1,IF($A226=$A225,AS225,1))-X226&lt;0),-1,MIN(1,IF($A226=$A225,AS225,1)-X226+$D$3))</f>
        <v>#N/A</v>
      </c>
      <c r="AT226" t="e">
        <f>IF(OR($J226=0,COUNTIFS($A$4:$A225,"&gt;="&amp;$A226-1,$A$4:$A225,"&lt;="&amp;$A226,$B$4:$B225,$B226)&gt;0,MIN(AT$1,IF($A226=$A225,AT225,1))-Y226&lt;0),-1,MIN(1,IF($A226=$A225,AT225,1)-Y226+$D$3))</f>
        <v>#N/A</v>
      </c>
      <c r="AU226" t="e">
        <f>IF(OR($J226=0,COUNTIFS($A$4:$A225,"&gt;="&amp;$A226-1,$A$4:$A225,"&lt;="&amp;$A226,$B$4:$B225,$B226)&gt;0,MIN(AU$1,IF($A226=$A225,AU225,1))-Z226&lt;0),-1,MIN(1,IF($A226=$A225,AU225,1)-Z226+$D$3))</f>
        <v>#N/A</v>
      </c>
      <c r="AV226" t="e">
        <f>IF(OR($J226=0,COUNTIFS($A$4:$A225,"&gt;="&amp;$A226-1,$A$4:$A225,"&lt;="&amp;$A226,$B$4:$B225,$B226)&gt;0,MIN(AV$1,IF($A226=$A225,AV225,1))-AA226&lt;0),-1,MIN(1,IF($A226=$A225,AV225,1)-AA226+$D$3))</f>
        <v>#N/A</v>
      </c>
      <c r="AW226" t="e">
        <f>IF(OR($J226=0,COUNTIFS($A$4:$A225,"&gt;="&amp;$A226-1,$A$4:$A225,"&lt;="&amp;$A226,$B$4:$B225,$B226)&gt;0,MIN(AW$1,IF($A226=$A225,AW225,1))-AB226&lt;0),-1,MIN(1,IF($A226=$A225,AW225,1)-AB226+$D$3))</f>
        <v>#N/A</v>
      </c>
      <c r="AX226" t="e">
        <f>IF(OR($J226=0,COUNTIFS($A$4:$A225,"&gt;="&amp;$A226-1,$A$4:$A225,"&lt;="&amp;$A226,$B$4:$B225,$B226)&gt;0,MIN(AX$1,IF($A226=$A225,AX225,1))-AC226&lt;0),-1,MIN(1,IF($A226=$A225,AX225,1)-AC226+$D$3))</f>
        <v>#N/A</v>
      </c>
      <c r="AY226" t="e">
        <f>IF(OR($J226=0,COUNTIFS($A$4:$A225,"&gt;="&amp;$A226-1,$A$4:$A225,"&lt;="&amp;$A226,$B$4:$B225,$B226)&gt;0,MIN(AY$1,IF($A226=$A225,AY225,1))-AD226&lt;0),-1,MIN(1,IF($A226=$A225,AY225,1)-AD226+$D$3))</f>
        <v>#N/A</v>
      </c>
      <c r="AZ226" t="e">
        <f>IF(OR($J226=0,COUNTIFS($A$4:$A225,"&gt;="&amp;$A226-1,$A$4:$A225,"&lt;="&amp;$A226,$B$4:$B225,$B226)&gt;0,MIN(AZ$1,IF($A226=$A225,AZ225,1))-AE226&lt;0),-1,MIN(1,IF($A226=$A225,AZ225,1)-AE226+$D$3))</f>
        <v>#N/A</v>
      </c>
      <c r="BA226" t="e">
        <f>IF(OR($J226=0,COUNTIFS($A$4:$A225,"&gt;="&amp;$A226-1,$A$4:$A225,"&lt;="&amp;$A226,$B$4:$B225,$B226)&gt;0,MIN(BA$1,IF($A226=$A225,BA225,1))-AF226&lt;0),-1,MIN(1,IF($A226=$A225,BA225,1)-AF226+$D$3))</f>
        <v>#N/A</v>
      </c>
      <c r="BB226" t="e">
        <f>IF(OR($J226=0,COUNTIFS($A$4:$A225,"&gt;="&amp;$A226-1,$A$4:$A225,"&lt;="&amp;$A226,$B$4:$B225,$B226)&gt;0,MIN(BB$1,IF($A226=$A225,BB225,1))-AG226&lt;0),-1,MIN(1,IF($A226=$A225,BB225,1)-AG226+$D$3))</f>
        <v>#N/A</v>
      </c>
      <c r="BC226" t="e">
        <f>IF(OR($J226=0,COUNTIFS($A$4:$A225,"&gt;="&amp;$A226-1,$A$4:$A225,"&lt;="&amp;$A226,$B$4:$B225,$B226)&gt;0,MIN(BC$1,IF($A226=$A225,BC225,1))-AH226&lt;0),-1,MIN(1,IF($A226=$A225,BC225,1)-AH226+$D$3))</f>
        <v>#N/A</v>
      </c>
      <c r="BD226" t="e">
        <f>IF(OR($J226=0,COUNTIFS($A$4:$A225,"&gt;="&amp;$A226-1,$A$4:$A225,"&lt;="&amp;$A226,$B$4:$B225,$B226)&gt;0,MIN(BD$1,IF($A226=$A225,BD225,1))-AI226&lt;0),-1,MIN(1,IF($A226=$A225,BD225,1)-AI226+$D$3))</f>
        <v>#N/A</v>
      </c>
      <c r="BF226" s="44">
        <f t="shared" si="267"/>
        <v>2.4040653439803779E-5</v>
      </c>
      <c r="BG226" s="44">
        <f t="shared" si="268"/>
        <v>5.9122750630389965E-5</v>
      </c>
      <c r="BH226" s="44">
        <f t="shared" si="269"/>
        <v>6.0594600291855899E-5</v>
      </c>
      <c r="BI226" s="44">
        <f t="shared" si="270"/>
        <v>5.5972587289072326E-5</v>
      </c>
      <c r="BJ226" s="44">
        <f t="shared" si="271"/>
        <v>5.785298277455282E-5</v>
      </c>
      <c r="BK226" s="44">
        <f t="shared" si="272"/>
        <v>2.4844227848360796E-5</v>
      </c>
      <c r="BL226" s="44">
        <f t="shared" si="273"/>
        <v>1.3421242742872897E-5</v>
      </c>
      <c r="BM226" s="44">
        <f t="shared" si="274"/>
        <v>3.414207427176748E-5</v>
      </c>
      <c r="BN226" s="44">
        <f t="shared" si="275"/>
        <v>3.5510418118208951E-5</v>
      </c>
      <c r="BO226" s="44">
        <f t="shared" si="276"/>
        <v>1.664152939590288E-5</v>
      </c>
      <c r="BP226" s="44">
        <f t="shared" si="277"/>
        <v>5.595677181714644E-5</v>
      </c>
      <c r="BQ226" s="44">
        <f t="shared" si="278"/>
        <v>1.5100416365568069E-5</v>
      </c>
      <c r="BR226" s="44">
        <f t="shared" si="279"/>
        <v>4.4610409973414891E-5</v>
      </c>
      <c r="BS226" s="44">
        <f t="shared" si="280"/>
        <v>2.4058986083881455E-5</v>
      </c>
      <c r="BT226" s="44">
        <f t="shared" si="281"/>
        <v>9.5208783852409224E-5</v>
      </c>
      <c r="BU226" s="44">
        <f t="shared" si="282"/>
        <v>9.0953037997091159E-5</v>
      </c>
      <c r="BV226" s="44">
        <f t="shared" si="283"/>
        <v>8.7348288577175669E-5</v>
      </c>
      <c r="BW226" s="44">
        <f t="shared" si="284"/>
        <v>5.7130587542236811E-5</v>
      </c>
      <c r="BX226" s="44">
        <f t="shared" si="285"/>
        <v>4.2207040627451108E-5</v>
      </c>
      <c r="BY226" s="44">
        <f t="shared" si="286"/>
        <v>3.6239595527151515E-5</v>
      </c>
      <c r="CA226" s="44" t="str">
        <f t="shared" si="287"/>
        <v/>
      </c>
      <c r="CB226" s="44" t="str">
        <f t="shared" si="288"/>
        <v/>
      </c>
      <c r="CC226" s="44" t="str">
        <f t="shared" si="289"/>
        <v/>
      </c>
      <c r="CD226" s="44" t="str">
        <f t="shared" si="290"/>
        <v/>
      </c>
      <c r="CE226" s="44" t="str">
        <f t="shared" si="291"/>
        <v/>
      </c>
      <c r="CF226" s="44" t="str">
        <f t="shared" si="292"/>
        <v/>
      </c>
      <c r="CG226" s="44" t="str">
        <f t="shared" si="293"/>
        <v/>
      </c>
      <c r="CH226" s="44" t="str">
        <f t="shared" si="294"/>
        <v/>
      </c>
      <c r="CI226" s="44" t="str">
        <f t="shared" si="295"/>
        <v/>
      </c>
      <c r="CJ226" s="44" t="str">
        <f t="shared" si="296"/>
        <v/>
      </c>
      <c r="CK226" s="44" t="str">
        <f t="shared" si="297"/>
        <v/>
      </c>
      <c r="CL226" s="44" t="str">
        <f t="shared" si="298"/>
        <v/>
      </c>
      <c r="CM226" s="44" t="str">
        <f t="shared" si="299"/>
        <v/>
      </c>
      <c r="CN226" s="44" t="str">
        <f t="shared" si="300"/>
        <v/>
      </c>
      <c r="CO226" s="44" t="str">
        <f t="shared" si="301"/>
        <v/>
      </c>
      <c r="CP226" s="44" t="str">
        <f t="shared" si="302"/>
        <v/>
      </c>
      <c r="CQ226" s="44" t="str">
        <f t="shared" si="303"/>
        <v/>
      </c>
      <c r="CR226" s="44" t="str">
        <f t="shared" si="304"/>
        <v/>
      </c>
      <c r="CS226" s="44" t="str">
        <f t="shared" si="305"/>
        <v/>
      </c>
      <c r="CT226" s="44" t="str">
        <f t="shared" si="306"/>
        <v/>
      </c>
      <c r="CV226" s="44">
        <f t="shared" si="307"/>
        <v>0</v>
      </c>
    </row>
    <row r="227" spans="1:100" x14ac:dyDescent="0.25">
      <c r="A227" s="41"/>
      <c r="B227" s="42"/>
      <c r="C227" s="43" t="str" cm="1">
        <f t="array" ref="C227">IF(B227="","",INDEX(UWS!$B$10:$B$41,B227))</f>
        <v/>
      </c>
      <c r="D227" s="40" t="str">
        <f t="shared" si="264"/>
        <v/>
      </c>
      <c r="E227" s="69" t="str">
        <f t="shared" si="265"/>
        <v/>
      </c>
      <c r="F227" s="48" cm="1">
        <f t="array" ref="F227">0.1+IFERROR(INDEX($F$5:$F226,SUMPRODUCT(MAX(ROW($C$5:$C226)*($C227=$C$5:$C226))-ROW($A$4)))*0.9^($A227-INDEX($A$5:A226,SUMPRODUCT(MAX(ROW($C$5:$C226)*($C227=$C$5:$C226))-ROW($A$4)))),0)</f>
        <v>16.19999999999996</v>
      </c>
      <c r="G227" s="55" t="e">
        <f>INDEX(UWS!$AB$10:$AB$41,MATCH(C227,UWS!$B$10:$B$41,0))</f>
        <v>#N/A</v>
      </c>
      <c r="H227" s="48" t="e">
        <f>INDEX(UWS!$C$10:$C$41,MATCH(C227,UWS!$B$10:$B$41,0))</f>
        <v>#N/A</v>
      </c>
      <c r="I227" s="27">
        <f t="shared" si="266"/>
        <v>5</v>
      </c>
      <c r="J227" s="27" t="e">
        <f>INDEX(UWS!$E$10:$E$41,MATCH(C227,UWS!$B$10:$B$41,0))</f>
        <v>#N/A</v>
      </c>
      <c r="L227" s="108" t="str" cm="1">
        <f t="array" ref="L227">IF(K227="","",INDEX(UWS!$B$10:$B$41,K227))</f>
        <v/>
      </c>
      <c r="N227" s="108" t="str" cm="1">
        <f t="array" ref="N227">IF(M227="","",INDEX(UWS!$B$10:$B$41,M227))</f>
        <v/>
      </c>
      <c r="P227">
        <f>IFERROR(INDEX(UWS!$G$10:$Z$41,MATCH($C227,UWS!$B$10:$B$41,0),MATCH(P$4,UWS!$G$3:$Z$3,0)),0)</f>
        <v>0</v>
      </c>
      <c r="Q227">
        <f>IFERROR(INDEX(UWS!$G$10:$Z$41,MATCH($C227,UWS!$B$10:$B$41,0),MATCH(Q$4,UWS!$G$3:$Z$3,0)),0)</f>
        <v>0</v>
      </c>
      <c r="R227">
        <f>IFERROR(INDEX(UWS!$G$10:$Z$41,MATCH($C227,UWS!$B$10:$B$41,0),MATCH(R$4,UWS!$G$3:$Z$3,0)),0)</f>
        <v>0</v>
      </c>
      <c r="S227">
        <f>IFERROR(INDEX(UWS!$G$10:$Z$41,MATCH($C227,UWS!$B$10:$B$41,0),MATCH(S$4,UWS!$G$3:$Z$3,0)),0)</f>
        <v>0</v>
      </c>
      <c r="T227">
        <f>IFERROR(INDEX(UWS!$G$10:$Z$41,MATCH($C227,UWS!$B$10:$B$41,0),MATCH(T$4,UWS!$G$3:$Z$3,0)),0)</f>
        <v>0</v>
      </c>
      <c r="U227">
        <f>IFERROR(INDEX(UWS!$G$10:$Z$41,MATCH($C227,UWS!$B$10:$B$41,0),MATCH(U$4,UWS!$G$3:$Z$3,0)),0)</f>
        <v>0</v>
      </c>
      <c r="V227">
        <f>IFERROR(INDEX(UWS!$G$10:$Z$41,MATCH($C227,UWS!$B$10:$B$41,0),MATCH(V$4,UWS!$G$3:$Z$3,0)),0)</f>
        <v>0</v>
      </c>
      <c r="W227">
        <f>IFERROR(INDEX(UWS!$G$10:$Z$41,MATCH($C227,UWS!$B$10:$B$41,0),MATCH(W$4,UWS!$G$3:$Z$3,0)),0)</f>
        <v>0</v>
      </c>
      <c r="X227">
        <f>IFERROR(INDEX(UWS!$G$10:$Z$41,MATCH($C227,UWS!$B$10:$B$41,0),MATCH(X$4,UWS!$G$3:$Z$3,0)),0)</f>
        <v>0</v>
      </c>
      <c r="Y227">
        <f>IFERROR(INDEX(UWS!$G$10:$Z$41,MATCH($C227,UWS!$B$10:$B$41,0),MATCH(Y$4,UWS!$G$3:$Z$3,0)),0)</f>
        <v>0</v>
      </c>
      <c r="Z227">
        <f>IFERROR(INDEX(UWS!$G$10:$Z$41,MATCH($C227,UWS!$B$10:$B$41,0),MATCH(Z$4,UWS!$G$3:$Z$3,0)),0)</f>
        <v>0</v>
      </c>
      <c r="AA227">
        <f>IFERROR(INDEX(UWS!$G$10:$Z$41,MATCH($C227,UWS!$B$10:$B$41,0),MATCH(AA$4,UWS!$G$3:$Z$3,0)),0)</f>
        <v>0</v>
      </c>
      <c r="AB227">
        <f>IFERROR(INDEX(UWS!$G$10:$Z$41,MATCH($C227,UWS!$B$10:$B$41,0),MATCH(AB$4,UWS!$G$3:$Z$3,0)),0)</f>
        <v>0</v>
      </c>
      <c r="AC227">
        <f>IFERROR(INDEX(UWS!$G$10:$Z$41,MATCH($C227,UWS!$B$10:$B$41,0),MATCH(AC$4,UWS!$G$3:$Z$3,0)),0)</f>
        <v>0</v>
      </c>
      <c r="AD227">
        <f>IFERROR(INDEX(UWS!$G$10:$Z$41,MATCH($C227,UWS!$B$10:$B$41,0),MATCH(AD$4,UWS!$G$3:$Z$3,0)),0)</f>
        <v>0</v>
      </c>
      <c r="AE227">
        <f>IFERROR(INDEX(UWS!$G$10:$Z$41,MATCH($C227,UWS!$B$10:$B$41,0),MATCH(AE$4,UWS!$G$3:$Z$3,0)),0)</f>
        <v>0</v>
      </c>
      <c r="AF227">
        <f>IFERROR(INDEX(UWS!$G$10:$Z$41,MATCH($C227,UWS!$B$10:$B$41,0),MATCH(AF$4,UWS!$G$3:$Z$3,0)),0)</f>
        <v>0</v>
      </c>
      <c r="AG227">
        <f>IFERROR(INDEX(UWS!$G$10:$Z$41,MATCH($C227,UWS!$B$10:$B$41,0),MATCH(AG$4,UWS!$G$3:$Z$3,0)),0)</f>
        <v>0</v>
      </c>
      <c r="AH227">
        <f>IFERROR(INDEX(UWS!$G$10:$Z$41,MATCH($C227,UWS!$B$10:$B$41,0),MATCH(AH$4,UWS!$G$3:$Z$3,0)),0)</f>
        <v>0</v>
      </c>
      <c r="AI227">
        <f>IFERROR(INDEX(UWS!$G$10:$Z$41,MATCH($C227,UWS!$B$10:$B$41,0),MATCH(AI$4,UWS!$G$3:$Z$3,0)),0)</f>
        <v>0</v>
      </c>
      <c r="AK227" t="e">
        <f>IF(OR($J227=0,COUNTIFS($A$4:$A226,"&gt;="&amp;$A227-1,$A$4:$A226,"&lt;="&amp;$A227,$B$4:$B226,$B227)&gt;0,MIN(AK$1,IF($A227=$A226,AK226,1))-P227&lt;0),-1,MIN(1,IF($A227=$A226,AK226,1)-P227+$D$3))</f>
        <v>#N/A</v>
      </c>
      <c r="AL227" t="e">
        <f>IF(OR($J227=0,COUNTIFS($A$4:$A226,"&gt;="&amp;$A227-1,$A$4:$A226,"&lt;="&amp;$A227,$B$4:$B226,$B227)&gt;0,MIN(AL$1,IF($A227=$A226,AL226,1))-Q227&lt;0),-1,MIN(1,IF($A227=$A226,AL226,1)-Q227+$D$3))</f>
        <v>#N/A</v>
      </c>
      <c r="AM227" t="e">
        <f>IF(OR($J227=0,COUNTIFS($A$4:$A226,"&gt;="&amp;$A227-1,$A$4:$A226,"&lt;="&amp;$A227,$B$4:$B226,$B227)&gt;0,MIN(AM$1,IF($A227=$A226,AM226,1))-R227&lt;0),-1,MIN(1,IF($A227=$A226,AM226,1)-R227+$D$3))</f>
        <v>#N/A</v>
      </c>
      <c r="AN227" t="e">
        <f>IF(OR($J227=0,COUNTIFS($A$4:$A226,"&gt;="&amp;$A227-1,$A$4:$A226,"&lt;="&amp;$A227,$B$4:$B226,$B227)&gt;0,MIN(AN$1,IF($A227=$A226,AN226,1))-S227&lt;0),-1,MIN(1,IF($A227=$A226,AN226,1)-S227+$D$3))</f>
        <v>#N/A</v>
      </c>
      <c r="AO227" t="e">
        <f>IF(OR($J227=0,COUNTIFS($A$4:$A226,"&gt;="&amp;$A227-1,$A$4:$A226,"&lt;="&amp;$A227,$B$4:$B226,$B227)&gt;0,MIN(AO$1,IF($A227=$A226,AO226,1))-T227&lt;0),-1,MIN(1,IF($A227=$A226,AO226,1)-T227+$D$3))</f>
        <v>#N/A</v>
      </c>
      <c r="AP227" t="e">
        <f>IF(OR($J227=0,COUNTIFS($A$4:$A226,"&gt;="&amp;$A227-1,$A$4:$A226,"&lt;="&amp;$A227,$B$4:$B226,$B227)&gt;0,MIN(AP$1,IF($A227=$A226,AP226,1))-U227&lt;0),-1,MIN(1,IF($A227=$A226,AP226,1)-U227+$D$3))</f>
        <v>#N/A</v>
      </c>
      <c r="AQ227" t="e">
        <f>IF(OR($J227=0,COUNTIFS($A$4:$A226,"&gt;="&amp;$A227-1,$A$4:$A226,"&lt;="&amp;$A227,$B$4:$B226,$B227)&gt;0,MIN(AQ$1,IF($A227=$A226,AQ226,1))-V227&lt;0),-1,MIN(1,IF($A227=$A226,AQ226,1)-V227+$D$3))</f>
        <v>#N/A</v>
      </c>
      <c r="AR227" t="e">
        <f>IF(OR($J227=0,COUNTIFS($A$4:$A226,"&gt;="&amp;$A227-1,$A$4:$A226,"&lt;="&amp;$A227,$B$4:$B226,$B227)&gt;0,MIN(AR$1,IF($A227=$A226,AR226,1))-W227&lt;0),-1,MIN(1,IF($A227=$A226,AR226,1)-W227+$D$3))</f>
        <v>#N/A</v>
      </c>
      <c r="AS227" t="e">
        <f>IF(OR($J227=0,COUNTIFS($A$4:$A226,"&gt;="&amp;$A227-1,$A$4:$A226,"&lt;="&amp;$A227,$B$4:$B226,$B227)&gt;0,MIN(AS$1,IF($A227=$A226,AS226,1))-X227&lt;0),-1,MIN(1,IF($A227=$A226,AS226,1)-X227+$D$3))</f>
        <v>#N/A</v>
      </c>
      <c r="AT227" t="e">
        <f>IF(OR($J227=0,COUNTIFS($A$4:$A226,"&gt;="&amp;$A227-1,$A$4:$A226,"&lt;="&amp;$A227,$B$4:$B226,$B227)&gt;0,MIN(AT$1,IF($A227=$A226,AT226,1))-Y227&lt;0),-1,MIN(1,IF($A227=$A226,AT226,1)-Y227+$D$3))</f>
        <v>#N/A</v>
      </c>
      <c r="AU227" t="e">
        <f>IF(OR($J227=0,COUNTIFS($A$4:$A226,"&gt;="&amp;$A227-1,$A$4:$A226,"&lt;="&amp;$A227,$B$4:$B226,$B227)&gt;0,MIN(AU$1,IF($A227=$A226,AU226,1))-Z227&lt;0),-1,MIN(1,IF($A227=$A226,AU226,1)-Z227+$D$3))</f>
        <v>#N/A</v>
      </c>
      <c r="AV227" t="e">
        <f>IF(OR($J227=0,COUNTIFS($A$4:$A226,"&gt;="&amp;$A227-1,$A$4:$A226,"&lt;="&amp;$A227,$B$4:$B226,$B227)&gt;0,MIN(AV$1,IF($A227=$A226,AV226,1))-AA227&lt;0),-1,MIN(1,IF($A227=$A226,AV226,1)-AA227+$D$3))</f>
        <v>#N/A</v>
      </c>
      <c r="AW227" t="e">
        <f>IF(OR($J227=0,COUNTIFS($A$4:$A226,"&gt;="&amp;$A227-1,$A$4:$A226,"&lt;="&amp;$A227,$B$4:$B226,$B227)&gt;0,MIN(AW$1,IF($A227=$A226,AW226,1))-AB227&lt;0),-1,MIN(1,IF($A227=$A226,AW226,1)-AB227+$D$3))</f>
        <v>#N/A</v>
      </c>
      <c r="AX227" t="e">
        <f>IF(OR($J227=0,COUNTIFS($A$4:$A226,"&gt;="&amp;$A227-1,$A$4:$A226,"&lt;="&amp;$A227,$B$4:$B226,$B227)&gt;0,MIN(AX$1,IF($A227=$A226,AX226,1))-AC227&lt;0),-1,MIN(1,IF($A227=$A226,AX226,1)-AC227+$D$3))</f>
        <v>#N/A</v>
      </c>
      <c r="AY227" t="e">
        <f>IF(OR($J227=0,COUNTIFS($A$4:$A226,"&gt;="&amp;$A227-1,$A$4:$A226,"&lt;="&amp;$A227,$B$4:$B226,$B227)&gt;0,MIN(AY$1,IF($A227=$A226,AY226,1))-AD227&lt;0),-1,MIN(1,IF($A227=$A226,AY226,1)-AD227+$D$3))</f>
        <v>#N/A</v>
      </c>
      <c r="AZ227" t="e">
        <f>IF(OR($J227=0,COUNTIFS($A$4:$A226,"&gt;="&amp;$A227-1,$A$4:$A226,"&lt;="&amp;$A227,$B$4:$B226,$B227)&gt;0,MIN(AZ$1,IF($A227=$A226,AZ226,1))-AE227&lt;0),-1,MIN(1,IF($A227=$A226,AZ226,1)-AE227+$D$3))</f>
        <v>#N/A</v>
      </c>
      <c r="BA227" t="e">
        <f>IF(OR($J227=0,COUNTIFS($A$4:$A226,"&gt;="&amp;$A227-1,$A$4:$A226,"&lt;="&amp;$A227,$B$4:$B226,$B227)&gt;0,MIN(BA$1,IF($A227=$A226,BA226,1))-AF227&lt;0),-1,MIN(1,IF($A227=$A226,BA226,1)-AF227+$D$3))</f>
        <v>#N/A</v>
      </c>
      <c r="BB227" t="e">
        <f>IF(OR($J227=0,COUNTIFS($A$4:$A226,"&gt;="&amp;$A227-1,$A$4:$A226,"&lt;="&amp;$A227,$B$4:$B226,$B227)&gt;0,MIN(BB$1,IF($A227=$A226,BB226,1))-AG227&lt;0),-1,MIN(1,IF($A227=$A226,BB226,1)-AG227+$D$3))</f>
        <v>#N/A</v>
      </c>
      <c r="BC227" t="e">
        <f>IF(OR($J227=0,COUNTIFS($A$4:$A226,"&gt;="&amp;$A227-1,$A$4:$A226,"&lt;="&amp;$A227,$B$4:$B226,$B227)&gt;0,MIN(BC$1,IF($A227=$A226,BC226,1))-AH227&lt;0),-1,MIN(1,IF($A227=$A226,BC226,1)-AH227+$D$3))</f>
        <v>#N/A</v>
      </c>
      <c r="BD227" t="e">
        <f>IF(OR($J227=0,COUNTIFS($A$4:$A226,"&gt;="&amp;$A227-1,$A$4:$A226,"&lt;="&amp;$A227,$B$4:$B226,$B227)&gt;0,MIN(BD$1,IF($A227=$A226,BD226,1))-AI227&lt;0),-1,MIN(1,IF($A227=$A226,BD226,1)-AI227+$D$3))</f>
        <v>#N/A</v>
      </c>
      <c r="BF227" s="44">
        <f t="shared" si="267"/>
        <v>2.2838620767813588E-5</v>
      </c>
      <c r="BG227" s="44">
        <f t="shared" si="268"/>
        <v>5.6166613098870464E-5</v>
      </c>
      <c r="BH227" s="44">
        <f t="shared" si="269"/>
        <v>5.7564870277263103E-5</v>
      </c>
      <c r="BI227" s="44">
        <f t="shared" si="270"/>
        <v>5.3173957924618704E-5</v>
      </c>
      <c r="BJ227" s="44">
        <f t="shared" si="271"/>
        <v>5.4960333635825173E-5</v>
      </c>
      <c r="BK227" s="44">
        <f t="shared" si="272"/>
        <v>2.3602016455942754E-5</v>
      </c>
      <c r="BL227" s="44">
        <f t="shared" si="273"/>
        <v>1.2750180605729252E-5</v>
      </c>
      <c r="BM227" s="44">
        <f t="shared" si="274"/>
        <v>3.2434970558179108E-5</v>
      </c>
      <c r="BN227" s="44">
        <f t="shared" si="275"/>
        <v>3.3734897212298501E-5</v>
      </c>
      <c r="BO227" s="44">
        <f t="shared" si="276"/>
        <v>1.5809452926107736E-5</v>
      </c>
      <c r="BP227" s="44">
        <f t="shared" si="277"/>
        <v>5.3158933226289115E-5</v>
      </c>
      <c r="BQ227" s="44">
        <f t="shared" si="278"/>
        <v>1.4345395547289664E-5</v>
      </c>
      <c r="BR227" s="44">
        <f t="shared" si="279"/>
        <v>4.2379889474744146E-5</v>
      </c>
      <c r="BS227" s="44">
        <f t="shared" si="280"/>
        <v>2.2856036779687382E-5</v>
      </c>
      <c r="BT227" s="44">
        <f t="shared" si="281"/>
        <v>9.0448344659788758E-5</v>
      </c>
      <c r="BU227" s="44">
        <f t="shared" si="282"/>
        <v>8.6405386097236604E-5</v>
      </c>
      <c r="BV227" s="44">
        <f t="shared" si="283"/>
        <v>8.2980874148316878E-5</v>
      </c>
      <c r="BW227" s="44">
        <f t="shared" si="284"/>
        <v>5.4274058165124968E-5</v>
      </c>
      <c r="BX227" s="44">
        <f t="shared" si="285"/>
        <v>4.0096688596078551E-5</v>
      </c>
      <c r="BY227" s="44">
        <f t="shared" si="286"/>
        <v>3.4427615750793934E-5</v>
      </c>
      <c r="CA227" s="44" t="str">
        <f t="shared" si="287"/>
        <v/>
      </c>
      <c r="CB227" s="44" t="str">
        <f t="shared" si="288"/>
        <v/>
      </c>
      <c r="CC227" s="44" t="str">
        <f t="shared" si="289"/>
        <v/>
      </c>
      <c r="CD227" s="44" t="str">
        <f t="shared" si="290"/>
        <v/>
      </c>
      <c r="CE227" s="44" t="str">
        <f t="shared" si="291"/>
        <v/>
      </c>
      <c r="CF227" s="44" t="str">
        <f t="shared" si="292"/>
        <v/>
      </c>
      <c r="CG227" s="44" t="str">
        <f t="shared" si="293"/>
        <v/>
      </c>
      <c r="CH227" s="44" t="str">
        <f t="shared" si="294"/>
        <v/>
      </c>
      <c r="CI227" s="44" t="str">
        <f t="shared" si="295"/>
        <v/>
      </c>
      <c r="CJ227" s="44" t="str">
        <f t="shared" si="296"/>
        <v/>
      </c>
      <c r="CK227" s="44" t="str">
        <f t="shared" si="297"/>
        <v/>
      </c>
      <c r="CL227" s="44" t="str">
        <f t="shared" si="298"/>
        <v/>
      </c>
      <c r="CM227" s="44" t="str">
        <f t="shared" si="299"/>
        <v/>
      </c>
      <c r="CN227" s="44" t="str">
        <f t="shared" si="300"/>
        <v/>
      </c>
      <c r="CO227" s="44" t="str">
        <f t="shared" si="301"/>
        <v/>
      </c>
      <c r="CP227" s="44" t="str">
        <f t="shared" si="302"/>
        <v/>
      </c>
      <c r="CQ227" s="44" t="str">
        <f t="shared" si="303"/>
        <v/>
      </c>
      <c r="CR227" s="44" t="str">
        <f t="shared" si="304"/>
        <v/>
      </c>
      <c r="CS227" s="44" t="str">
        <f t="shared" si="305"/>
        <v/>
      </c>
      <c r="CT227" s="44" t="str">
        <f t="shared" si="306"/>
        <v/>
      </c>
      <c r="CV227" s="44">
        <f t="shared" si="307"/>
        <v>0</v>
      </c>
    </row>
    <row r="228" spans="1:100" x14ac:dyDescent="0.25">
      <c r="A228" s="41"/>
      <c r="B228" s="42"/>
      <c r="C228" s="43" t="str" cm="1">
        <f t="array" ref="C228">IF(B228="","",INDEX(UWS!$B$10:$B$41,B228))</f>
        <v/>
      </c>
      <c r="D228" s="40" t="str">
        <f t="shared" si="264"/>
        <v/>
      </c>
      <c r="E228" s="69" t="str">
        <f t="shared" si="265"/>
        <v/>
      </c>
      <c r="F228" s="48" cm="1">
        <f t="array" ref="F228">0.1+IFERROR(INDEX($F$5:$F227,SUMPRODUCT(MAX(ROW($C$5:$C227)*($C228=$C$5:$C227))-ROW($A$4)))*0.9^($A228-INDEX($A$5:A227,SUMPRODUCT(MAX(ROW($C$5:$C227)*($C228=$C$5:$C227))-ROW($A$4)))),0)</f>
        <v>16.299999999999962</v>
      </c>
      <c r="G228" s="55" t="e">
        <f>INDEX(UWS!$AB$10:$AB$41,MATCH(C228,UWS!$B$10:$B$41,0))</f>
        <v>#N/A</v>
      </c>
      <c r="H228" s="48" t="e">
        <f>INDEX(UWS!$C$10:$C$41,MATCH(C228,UWS!$B$10:$B$41,0))</f>
        <v>#N/A</v>
      </c>
      <c r="I228" s="27">
        <f t="shared" si="266"/>
        <v>5</v>
      </c>
      <c r="J228" s="27" t="e">
        <f>INDEX(UWS!$E$10:$E$41,MATCH(C228,UWS!$B$10:$B$41,0))</f>
        <v>#N/A</v>
      </c>
      <c r="L228" s="108" t="str" cm="1">
        <f t="array" ref="L228">IF(K228="","",INDEX(UWS!$B$10:$B$41,K228))</f>
        <v/>
      </c>
      <c r="N228" s="108" t="str" cm="1">
        <f t="array" ref="N228">IF(M228="","",INDEX(UWS!$B$10:$B$41,M228))</f>
        <v/>
      </c>
      <c r="P228">
        <f>IFERROR(INDEX(UWS!$G$10:$Z$41,MATCH($C228,UWS!$B$10:$B$41,0),MATCH(P$4,UWS!$G$3:$Z$3,0)),0)</f>
        <v>0</v>
      </c>
      <c r="Q228">
        <f>IFERROR(INDEX(UWS!$G$10:$Z$41,MATCH($C228,UWS!$B$10:$B$41,0),MATCH(Q$4,UWS!$G$3:$Z$3,0)),0)</f>
        <v>0</v>
      </c>
      <c r="R228">
        <f>IFERROR(INDEX(UWS!$G$10:$Z$41,MATCH($C228,UWS!$B$10:$B$41,0),MATCH(R$4,UWS!$G$3:$Z$3,0)),0)</f>
        <v>0</v>
      </c>
      <c r="S228">
        <f>IFERROR(INDEX(UWS!$G$10:$Z$41,MATCH($C228,UWS!$B$10:$B$41,0),MATCH(S$4,UWS!$G$3:$Z$3,0)),0)</f>
        <v>0</v>
      </c>
      <c r="T228">
        <f>IFERROR(INDEX(UWS!$G$10:$Z$41,MATCH($C228,UWS!$B$10:$B$41,0),MATCH(T$4,UWS!$G$3:$Z$3,0)),0)</f>
        <v>0</v>
      </c>
      <c r="U228">
        <f>IFERROR(INDEX(UWS!$G$10:$Z$41,MATCH($C228,UWS!$B$10:$B$41,0),MATCH(U$4,UWS!$G$3:$Z$3,0)),0)</f>
        <v>0</v>
      </c>
      <c r="V228">
        <f>IFERROR(INDEX(UWS!$G$10:$Z$41,MATCH($C228,UWS!$B$10:$B$41,0),MATCH(V$4,UWS!$G$3:$Z$3,0)),0)</f>
        <v>0</v>
      </c>
      <c r="W228">
        <f>IFERROR(INDEX(UWS!$G$10:$Z$41,MATCH($C228,UWS!$B$10:$B$41,0),MATCH(W$4,UWS!$G$3:$Z$3,0)),0)</f>
        <v>0</v>
      </c>
      <c r="X228">
        <f>IFERROR(INDEX(UWS!$G$10:$Z$41,MATCH($C228,UWS!$B$10:$B$41,0),MATCH(X$4,UWS!$G$3:$Z$3,0)),0)</f>
        <v>0</v>
      </c>
      <c r="Y228">
        <f>IFERROR(INDEX(UWS!$G$10:$Z$41,MATCH($C228,UWS!$B$10:$B$41,0),MATCH(Y$4,UWS!$G$3:$Z$3,0)),0)</f>
        <v>0</v>
      </c>
      <c r="Z228">
        <f>IFERROR(INDEX(UWS!$G$10:$Z$41,MATCH($C228,UWS!$B$10:$B$41,0),MATCH(Z$4,UWS!$G$3:$Z$3,0)),0)</f>
        <v>0</v>
      </c>
      <c r="AA228">
        <f>IFERROR(INDEX(UWS!$G$10:$Z$41,MATCH($C228,UWS!$B$10:$B$41,0),MATCH(AA$4,UWS!$G$3:$Z$3,0)),0)</f>
        <v>0</v>
      </c>
      <c r="AB228">
        <f>IFERROR(INDEX(UWS!$G$10:$Z$41,MATCH($C228,UWS!$B$10:$B$41,0),MATCH(AB$4,UWS!$G$3:$Z$3,0)),0)</f>
        <v>0</v>
      </c>
      <c r="AC228">
        <f>IFERROR(INDEX(UWS!$G$10:$Z$41,MATCH($C228,UWS!$B$10:$B$41,0),MATCH(AC$4,UWS!$G$3:$Z$3,0)),0)</f>
        <v>0</v>
      </c>
      <c r="AD228">
        <f>IFERROR(INDEX(UWS!$G$10:$Z$41,MATCH($C228,UWS!$B$10:$B$41,0),MATCH(AD$4,UWS!$G$3:$Z$3,0)),0)</f>
        <v>0</v>
      </c>
      <c r="AE228">
        <f>IFERROR(INDEX(UWS!$G$10:$Z$41,MATCH($C228,UWS!$B$10:$B$41,0),MATCH(AE$4,UWS!$G$3:$Z$3,0)),0)</f>
        <v>0</v>
      </c>
      <c r="AF228">
        <f>IFERROR(INDEX(UWS!$G$10:$Z$41,MATCH($C228,UWS!$B$10:$B$41,0),MATCH(AF$4,UWS!$G$3:$Z$3,0)),0)</f>
        <v>0</v>
      </c>
      <c r="AG228">
        <f>IFERROR(INDEX(UWS!$G$10:$Z$41,MATCH($C228,UWS!$B$10:$B$41,0),MATCH(AG$4,UWS!$G$3:$Z$3,0)),0)</f>
        <v>0</v>
      </c>
      <c r="AH228">
        <f>IFERROR(INDEX(UWS!$G$10:$Z$41,MATCH($C228,UWS!$B$10:$B$41,0),MATCH(AH$4,UWS!$G$3:$Z$3,0)),0)</f>
        <v>0</v>
      </c>
      <c r="AI228">
        <f>IFERROR(INDEX(UWS!$G$10:$Z$41,MATCH($C228,UWS!$B$10:$B$41,0),MATCH(AI$4,UWS!$G$3:$Z$3,0)),0)</f>
        <v>0</v>
      </c>
      <c r="AK228" t="e">
        <f>IF(OR($J228=0,COUNTIFS($A$4:$A227,"&gt;="&amp;$A228-1,$A$4:$A227,"&lt;="&amp;$A228,$B$4:$B227,$B228)&gt;0,MIN(AK$1,IF($A228=$A227,AK227,1))-P228&lt;0),-1,MIN(1,IF($A228=$A227,AK227,1)-P228+$D$3))</f>
        <v>#N/A</v>
      </c>
      <c r="AL228" t="e">
        <f>IF(OR($J228=0,COUNTIFS($A$4:$A227,"&gt;="&amp;$A228-1,$A$4:$A227,"&lt;="&amp;$A228,$B$4:$B227,$B228)&gt;0,MIN(AL$1,IF($A228=$A227,AL227,1))-Q228&lt;0),-1,MIN(1,IF($A228=$A227,AL227,1)-Q228+$D$3))</f>
        <v>#N/A</v>
      </c>
      <c r="AM228" t="e">
        <f>IF(OR($J228=0,COUNTIFS($A$4:$A227,"&gt;="&amp;$A228-1,$A$4:$A227,"&lt;="&amp;$A228,$B$4:$B227,$B228)&gt;0,MIN(AM$1,IF($A228=$A227,AM227,1))-R228&lt;0),-1,MIN(1,IF($A228=$A227,AM227,1)-R228+$D$3))</f>
        <v>#N/A</v>
      </c>
      <c r="AN228" t="e">
        <f>IF(OR($J228=0,COUNTIFS($A$4:$A227,"&gt;="&amp;$A228-1,$A$4:$A227,"&lt;="&amp;$A228,$B$4:$B227,$B228)&gt;0,MIN(AN$1,IF($A228=$A227,AN227,1))-S228&lt;0),-1,MIN(1,IF($A228=$A227,AN227,1)-S228+$D$3))</f>
        <v>#N/A</v>
      </c>
      <c r="AO228" t="e">
        <f>IF(OR($J228=0,COUNTIFS($A$4:$A227,"&gt;="&amp;$A228-1,$A$4:$A227,"&lt;="&amp;$A228,$B$4:$B227,$B228)&gt;0,MIN(AO$1,IF($A228=$A227,AO227,1))-T228&lt;0),-1,MIN(1,IF($A228=$A227,AO227,1)-T228+$D$3))</f>
        <v>#N/A</v>
      </c>
      <c r="AP228" t="e">
        <f>IF(OR($J228=0,COUNTIFS($A$4:$A227,"&gt;="&amp;$A228-1,$A$4:$A227,"&lt;="&amp;$A228,$B$4:$B227,$B228)&gt;0,MIN(AP$1,IF($A228=$A227,AP227,1))-U228&lt;0),-1,MIN(1,IF($A228=$A227,AP227,1)-U228+$D$3))</f>
        <v>#N/A</v>
      </c>
      <c r="AQ228" t="e">
        <f>IF(OR($J228=0,COUNTIFS($A$4:$A227,"&gt;="&amp;$A228-1,$A$4:$A227,"&lt;="&amp;$A228,$B$4:$B227,$B228)&gt;0,MIN(AQ$1,IF($A228=$A227,AQ227,1))-V228&lt;0),-1,MIN(1,IF($A228=$A227,AQ227,1)-V228+$D$3))</f>
        <v>#N/A</v>
      </c>
      <c r="AR228" t="e">
        <f>IF(OR($J228=0,COUNTIFS($A$4:$A227,"&gt;="&amp;$A228-1,$A$4:$A227,"&lt;="&amp;$A228,$B$4:$B227,$B228)&gt;0,MIN(AR$1,IF($A228=$A227,AR227,1))-W228&lt;0),-1,MIN(1,IF($A228=$A227,AR227,1)-W228+$D$3))</f>
        <v>#N/A</v>
      </c>
      <c r="AS228" t="e">
        <f>IF(OR($J228=0,COUNTIFS($A$4:$A227,"&gt;="&amp;$A228-1,$A$4:$A227,"&lt;="&amp;$A228,$B$4:$B227,$B228)&gt;0,MIN(AS$1,IF($A228=$A227,AS227,1))-X228&lt;0),-1,MIN(1,IF($A228=$A227,AS227,1)-X228+$D$3))</f>
        <v>#N/A</v>
      </c>
      <c r="AT228" t="e">
        <f>IF(OR($J228=0,COUNTIFS($A$4:$A227,"&gt;="&amp;$A228-1,$A$4:$A227,"&lt;="&amp;$A228,$B$4:$B227,$B228)&gt;0,MIN(AT$1,IF($A228=$A227,AT227,1))-Y228&lt;0),-1,MIN(1,IF($A228=$A227,AT227,1)-Y228+$D$3))</f>
        <v>#N/A</v>
      </c>
      <c r="AU228" t="e">
        <f>IF(OR($J228=0,COUNTIFS($A$4:$A227,"&gt;="&amp;$A228-1,$A$4:$A227,"&lt;="&amp;$A228,$B$4:$B227,$B228)&gt;0,MIN(AU$1,IF($A228=$A227,AU227,1))-Z228&lt;0),-1,MIN(1,IF($A228=$A227,AU227,1)-Z228+$D$3))</f>
        <v>#N/A</v>
      </c>
      <c r="AV228" t="e">
        <f>IF(OR($J228=0,COUNTIFS($A$4:$A227,"&gt;="&amp;$A228-1,$A$4:$A227,"&lt;="&amp;$A228,$B$4:$B227,$B228)&gt;0,MIN(AV$1,IF($A228=$A227,AV227,1))-AA228&lt;0),-1,MIN(1,IF($A228=$A227,AV227,1)-AA228+$D$3))</f>
        <v>#N/A</v>
      </c>
      <c r="AW228" t="e">
        <f>IF(OR($J228=0,COUNTIFS($A$4:$A227,"&gt;="&amp;$A228-1,$A$4:$A227,"&lt;="&amp;$A228,$B$4:$B227,$B228)&gt;0,MIN(AW$1,IF($A228=$A227,AW227,1))-AB228&lt;0),-1,MIN(1,IF($A228=$A227,AW227,1)-AB228+$D$3))</f>
        <v>#N/A</v>
      </c>
      <c r="AX228" t="e">
        <f>IF(OR($J228=0,COUNTIFS($A$4:$A227,"&gt;="&amp;$A228-1,$A$4:$A227,"&lt;="&amp;$A228,$B$4:$B227,$B228)&gt;0,MIN(AX$1,IF($A228=$A227,AX227,1))-AC228&lt;0),-1,MIN(1,IF($A228=$A227,AX227,1)-AC228+$D$3))</f>
        <v>#N/A</v>
      </c>
      <c r="AY228" t="e">
        <f>IF(OR($J228=0,COUNTIFS($A$4:$A227,"&gt;="&amp;$A228-1,$A$4:$A227,"&lt;="&amp;$A228,$B$4:$B227,$B228)&gt;0,MIN(AY$1,IF($A228=$A227,AY227,1))-AD228&lt;0),-1,MIN(1,IF($A228=$A227,AY227,1)-AD228+$D$3))</f>
        <v>#N/A</v>
      </c>
      <c r="AZ228" t="e">
        <f>IF(OR($J228=0,COUNTIFS($A$4:$A227,"&gt;="&amp;$A228-1,$A$4:$A227,"&lt;="&amp;$A228,$B$4:$B227,$B228)&gt;0,MIN(AZ$1,IF($A228=$A227,AZ227,1))-AE228&lt;0),-1,MIN(1,IF($A228=$A227,AZ227,1)-AE228+$D$3))</f>
        <v>#N/A</v>
      </c>
      <c r="BA228" t="e">
        <f>IF(OR($J228=0,COUNTIFS($A$4:$A227,"&gt;="&amp;$A228-1,$A$4:$A227,"&lt;="&amp;$A228,$B$4:$B227,$B228)&gt;0,MIN(BA$1,IF($A228=$A227,BA227,1))-AF228&lt;0),-1,MIN(1,IF($A228=$A227,BA227,1)-AF228+$D$3))</f>
        <v>#N/A</v>
      </c>
      <c r="BB228" t="e">
        <f>IF(OR($J228=0,COUNTIFS($A$4:$A227,"&gt;="&amp;$A228-1,$A$4:$A227,"&lt;="&amp;$A228,$B$4:$B227,$B228)&gt;0,MIN(BB$1,IF($A228=$A227,BB227,1))-AG228&lt;0),-1,MIN(1,IF($A228=$A227,BB227,1)-AG228+$D$3))</f>
        <v>#N/A</v>
      </c>
      <c r="BC228" t="e">
        <f>IF(OR($J228=0,COUNTIFS($A$4:$A227,"&gt;="&amp;$A228-1,$A$4:$A227,"&lt;="&amp;$A228,$B$4:$B227,$B228)&gt;0,MIN(BC$1,IF($A228=$A227,BC227,1))-AH228&lt;0),-1,MIN(1,IF($A228=$A227,BC227,1)-AH228+$D$3))</f>
        <v>#N/A</v>
      </c>
      <c r="BD228" t="e">
        <f>IF(OR($J228=0,COUNTIFS($A$4:$A227,"&gt;="&amp;$A228-1,$A$4:$A227,"&lt;="&amp;$A228,$B$4:$B227,$B228)&gt;0,MIN(BD$1,IF($A228=$A227,BD227,1))-AI228&lt;0),-1,MIN(1,IF($A228=$A227,BD227,1)-AI228+$D$3))</f>
        <v>#N/A</v>
      </c>
      <c r="BF228" s="44">
        <f t="shared" si="267"/>
        <v>2.1696689729422909E-5</v>
      </c>
      <c r="BG228" s="44">
        <f t="shared" si="268"/>
        <v>5.3358282443926936E-5</v>
      </c>
      <c r="BH228" s="44">
        <f t="shared" si="269"/>
        <v>5.4686626763399947E-5</v>
      </c>
      <c r="BI228" s="44">
        <f t="shared" si="270"/>
        <v>5.0515260028387765E-5</v>
      </c>
      <c r="BJ228" s="44">
        <f t="shared" si="271"/>
        <v>5.2212316954033915E-5</v>
      </c>
      <c r="BK228" s="44">
        <f t="shared" si="272"/>
        <v>2.2421915633145616E-5</v>
      </c>
      <c r="BL228" s="44">
        <f t="shared" si="273"/>
        <v>1.2112671575442789E-5</v>
      </c>
      <c r="BM228" s="44">
        <f t="shared" si="274"/>
        <v>3.0813222030270151E-5</v>
      </c>
      <c r="BN228" s="44">
        <f t="shared" si="275"/>
        <v>3.2048152351683571E-5</v>
      </c>
      <c r="BO228" s="44">
        <f t="shared" si="276"/>
        <v>1.5018980279802348E-5</v>
      </c>
      <c r="BP228" s="44">
        <f t="shared" si="277"/>
        <v>5.0500986564974653E-5</v>
      </c>
      <c r="BQ228" s="44">
        <f t="shared" si="278"/>
        <v>1.3628125769925181E-5</v>
      </c>
      <c r="BR228" s="44">
        <f t="shared" si="279"/>
        <v>4.0260895001006938E-5</v>
      </c>
      <c r="BS228" s="44">
        <f t="shared" si="280"/>
        <v>2.1713234940703011E-5</v>
      </c>
      <c r="BT228" s="44">
        <f t="shared" si="281"/>
        <v>8.5925927426799313E-5</v>
      </c>
      <c r="BU228" s="44">
        <f t="shared" si="282"/>
        <v>8.2085116792374773E-5</v>
      </c>
      <c r="BV228" s="44">
        <f t="shared" si="283"/>
        <v>7.8831830440901027E-5</v>
      </c>
      <c r="BW228" s="44">
        <f t="shared" si="284"/>
        <v>5.1560355256868717E-5</v>
      </c>
      <c r="BX228" s="44">
        <f t="shared" si="285"/>
        <v>3.8091854166274622E-5</v>
      </c>
      <c r="BY228" s="44">
        <f t="shared" si="286"/>
        <v>3.2706234963254238E-5</v>
      </c>
      <c r="CA228" s="44" t="str">
        <f t="shared" si="287"/>
        <v/>
      </c>
      <c r="CB228" s="44" t="str">
        <f t="shared" si="288"/>
        <v/>
      </c>
      <c r="CC228" s="44" t="str">
        <f t="shared" si="289"/>
        <v/>
      </c>
      <c r="CD228" s="44" t="str">
        <f t="shared" si="290"/>
        <v/>
      </c>
      <c r="CE228" s="44" t="str">
        <f t="shared" si="291"/>
        <v/>
      </c>
      <c r="CF228" s="44" t="str">
        <f t="shared" si="292"/>
        <v/>
      </c>
      <c r="CG228" s="44" t="str">
        <f t="shared" si="293"/>
        <v/>
      </c>
      <c r="CH228" s="44" t="str">
        <f t="shared" si="294"/>
        <v/>
      </c>
      <c r="CI228" s="44" t="str">
        <f t="shared" si="295"/>
        <v/>
      </c>
      <c r="CJ228" s="44" t="str">
        <f t="shared" si="296"/>
        <v/>
      </c>
      <c r="CK228" s="44" t="str">
        <f t="shared" si="297"/>
        <v/>
      </c>
      <c r="CL228" s="44" t="str">
        <f t="shared" si="298"/>
        <v/>
      </c>
      <c r="CM228" s="44" t="str">
        <f t="shared" si="299"/>
        <v/>
      </c>
      <c r="CN228" s="44" t="str">
        <f t="shared" si="300"/>
        <v/>
      </c>
      <c r="CO228" s="44" t="str">
        <f t="shared" si="301"/>
        <v/>
      </c>
      <c r="CP228" s="44" t="str">
        <f t="shared" si="302"/>
        <v/>
      </c>
      <c r="CQ228" s="44" t="str">
        <f t="shared" si="303"/>
        <v/>
      </c>
      <c r="CR228" s="44" t="str">
        <f t="shared" si="304"/>
        <v/>
      </c>
      <c r="CS228" s="44" t="str">
        <f t="shared" si="305"/>
        <v/>
      </c>
      <c r="CT228" s="44" t="str">
        <f t="shared" si="306"/>
        <v/>
      </c>
      <c r="CV228" s="44">
        <f t="shared" si="307"/>
        <v>0</v>
      </c>
    </row>
    <row r="229" spans="1:100" x14ac:dyDescent="0.25">
      <c r="A229" s="41"/>
      <c r="B229" s="42"/>
      <c r="C229" s="43" t="str" cm="1">
        <f t="array" ref="C229">IF(B229="","",INDEX(UWS!$B$10:$B$41,B229))</f>
        <v/>
      </c>
      <c r="D229" s="40" t="str">
        <f t="shared" si="264"/>
        <v/>
      </c>
      <c r="E229" s="69" t="str">
        <f t="shared" si="265"/>
        <v/>
      </c>
      <c r="F229" s="48" cm="1">
        <f t="array" ref="F229">0.1+IFERROR(INDEX($F$5:$F228,SUMPRODUCT(MAX(ROW($C$5:$C228)*($C229=$C$5:$C228))-ROW($A$4)))*0.9^($A229-INDEX($A$5:A228,SUMPRODUCT(MAX(ROW($C$5:$C228)*($C229=$C$5:$C228))-ROW($A$4)))),0)</f>
        <v>16.399999999999963</v>
      </c>
      <c r="G229" s="55" t="e">
        <f>INDEX(UWS!$AB$10:$AB$41,MATCH(C229,UWS!$B$10:$B$41,0))</f>
        <v>#N/A</v>
      </c>
      <c r="H229" s="48" t="e">
        <f>INDEX(UWS!$C$10:$C$41,MATCH(C229,UWS!$B$10:$B$41,0))</f>
        <v>#N/A</v>
      </c>
      <c r="I229" s="27">
        <f t="shared" si="266"/>
        <v>5</v>
      </c>
      <c r="J229" s="27" t="e">
        <f>INDEX(UWS!$E$10:$E$41,MATCH(C229,UWS!$B$10:$B$41,0))</f>
        <v>#N/A</v>
      </c>
      <c r="L229" s="108" t="str" cm="1">
        <f t="array" ref="L229">IF(K229="","",INDEX(UWS!$B$10:$B$41,K229))</f>
        <v/>
      </c>
      <c r="N229" s="108" t="str" cm="1">
        <f t="array" ref="N229">IF(M229="","",INDEX(UWS!$B$10:$B$41,M229))</f>
        <v/>
      </c>
      <c r="P229">
        <f>IFERROR(INDEX(UWS!$G$10:$Z$41,MATCH($C229,UWS!$B$10:$B$41,0),MATCH(P$4,UWS!$G$3:$Z$3,0)),0)</f>
        <v>0</v>
      </c>
      <c r="Q229">
        <f>IFERROR(INDEX(UWS!$G$10:$Z$41,MATCH($C229,UWS!$B$10:$B$41,0),MATCH(Q$4,UWS!$G$3:$Z$3,0)),0)</f>
        <v>0</v>
      </c>
      <c r="R229">
        <f>IFERROR(INDEX(UWS!$G$10:$Z$41,MATCH($C229,UWS!$B$10:$B$41,0),MATCH(R$4,UWS!$G$3:$Z$3,0)),0)</f>
        <v>0</v>
      </c>
      <c r="S229">
        <f>IFERROR(INDEX(UWS!$G$10:$Z$41,MATCH($C229,UWS!$B$10:$B$41,0),MATCH(S$4,UWS!$G$3:$Z$3,0)),0)</f>
        <v>0</v>
      </c>
      <c r="T229">
        <f>IFERROR(INDEX(UWS!$G$10:$Z$41,MATCH($C229,UWS!$B$10:$B$41,0),MATCH(T$4,UWS!$G$3:$Z$3,0)),0)</f>
        <v>0</v>
      </c>
      <c r="U229">
        <f>IFERROR(INDEX(UWS!$G$10:$Z$41,MATCH($C229,UWS!$B$10:$B$41,0),MATCH(U$4,UWS!$G$3:$Z$3,0)),0)</f>
        <v>0</v>
      </c>
      <c r="V229">
        <f>IFERROR(INDEX(UWS!$G$10:$Z$41,MATCH($C229,UWS!$B$10:$B$41,0),MATCH(V$4,UWS!$G$3:$Z$3,0)),0)</f>
        <v>0</v>
      </c>
      <c r="W229">
        <f>IFERROR(INDEX(UWS!$G$10:$Z$41,MATCH($C229,UWS!$B$10:$B$41,0),MATCH(W$4,UWS!$G$3:$Z$3,0)),0)</f>
        <v>0</v>
      </c>
      <c r="X229">
        <f>IFERROR(INDEX(UWS!$G$10:$Z$41,MATCH($C229,UWS!$B$10:$B$41,0),MATCH(X$4,UWS!$G$3:$Z$3,0)),0)</f>
        <v>0</v>
      </c>
      <c r="Y229">
        <f>IFERROR(INDEX(UWS!$G$10:$Z$41,MATCH($C229,UWS!$B$10:$B$41,0),MATCH(Y$4,UWS!$G$3:$Z$3,0)),0)</f>
        <v>0</v>
      </c>
      <c r="Z229">
        <f>IFERROR(INDEX(UWS!$G$10:$Z$41,MATCH($C229,UWS!$B$10:$B$41,0),MATCH(Z$4,UWS!$G$3:$Z$3,0)),0)</f>
        <v>0</v>
      </c>
      <c r="AA229">
        <f>IFERROR(INDEX(UWS!$G$10:$Z$41,MATCH($C229,UWS!$B$10:$B$41,0),MATCH(AA$4,UWS!$G$3:$Z$3,0)),0)</f>
        <v>0</v>
      </c>
      <c r="AB229">
        <f>IFERROR(INDEX(UWS!$G$10:$Z$41,MATCH($C229,UWS!$B$10:$B$41,0),MATCH(AB$4,UWS!$G$3:$Z$3,0)),0)</f>
        <v>0</v>
      </c>
      <c r="AC229">
        <f>IFERROR(INDEX(UWS!$G$10:$Z$41,MATCH($C229,UWS!$B$10:$B$41,0),MATCH(AC$4,UWS!$G$3:$Z$3,0)),0)</f>
        <v>0</v>
      </c>
      <c r="AD229">
        <f>IFERROR(INDEX(UWS!$G$10:$Z$41,MATCH($C229,UWS!$B$10:$B$41,0),MATCH(AD$4,UWS!$G$3:$Z$3,0)),0)</f>
        <v>0</v>
      </c>
      <c r="AE229">
        <f>IFERROR(INDEX(UWS!$G$10:$Z$41,MATCH($C229,UWS!$B$10:$B$41,0),MATCH(AE$4,UWS!$G$3:$Z$3,0)),0)</f>
        <v>0</v>
      </c>
      <c r="AF229">
        <f>IFERROR(INDEX(UWS!$G$10:$Z$41,MATCH($C229,UWS!$B$10:$B$41,0),MATCH(AF$4,UWS!$G$3:$Z$3,0)),0)</f>
        <v>0</v>
      </c>
      <c r="AG229">
        <f>IFERROR(INDEX(UWS!$G$10:$Z$41,MATCH($C229,UWS!$B$10:$B$41,0),MATCH(AG$4,UWS!$G$3:$Z$3,0)),0)</f>
        <v>0</v>
      </c>
      <c r="AH229">
        <f>IFERROR(INDEX(UWS!$G$10:$Z$41,MATCH($C229,UWS!$B$10:$B$41,0),MATCH(AH$4,UWS!$G$3:$Z$3,0)),0)</f>
        <v>0</v>
      </c>
      <c r="AI229">
        <f>IFERROR(INDEX(UWS!$G$10:$Z$41,MATCH($C229,UWS!$B$10:$B$41,0),MATCH(AI$4,UWS!$G$3:$Z$3,0)),0)</f>
        <v>0</v>
      </c>
      <c r="AK229" t="e">
        <f>IF(OR($J229=0,COUNTIFS($A$4:$A228,"&gt;="&amp;$A229-1,$A$4:$A228,"&lt;="&amp;$A229,$B$4:$B228,$B229)&gt;0,MIN(AK$1,IF($A229=$A228,AK228,1))-P229&lt;0),-1,MIN(1,IF($A229=$A228,AK228,1)-P229+$D$3))</f>
        <v>#N/A</v>
      </c>
      <c r="AL229" t="e">
        <f>IF(OR($J229=0,COUNTIFS($A$4:$A228,"&gt;="&amp;$A229-1,$A$4:$A228,"&lt;="&amp;$A229,$B$4:$B228,$B229)&gt;0,MIN(AL$1,IF($A229=$A228,AL228,1))-Q229&lt;0),-1,MIN(1,IF($A229=$A228,AL228,1)-Q229+$D$3))</f>
        <v>#N/A</v>
      </c>
      <c r="AM229" t="e">
        <f>IF(OR($J229=0,COUNTIFS($A$4:$A228,"&gt;="&amp;$A229-1,$A$4:$A228,"&lt;="&amp;$A229,$B$4:$B228,$B229)&gt;0,MIN(AM$1,IF($A229=$A228,AM228,1))-R229&lt;0),-1,MIN(1,IF($A229=$A228,AM228,1)-R229+$D$3))</f>
        <v>#N/A</v>
      </c>
      <c r="AN229" t="e">
        <f>IF(OR($J229=0,COUNTIFS($A$4:$A228,"&gt;="&amp;$A229-1,$A$4:$A228,"&lt;="&amp;$A229,$B$4:$B228,$B229)&gt;0,MIN(AN$1,IF($A229=$A228,AN228,1))-S229&lt;0),-1,MIN(1,IF($A229=$A228,AN228,1)-S229+$D$3))</f>
        <v>#N/A</v>
      </c>
      <c r="AO229" t="e">
        <f>IF(OR($J229=0,COUNTIFS($A$4:$A228,"&gt;="&amp;$A229-1,$A$4:$A228,"&lt;="&amp;$A229,$B$4:$B228,$B229)&gt;0,MIN(AO$1,IF($A229=$A228,AO228,1))-T229&lt;0),-1,MIN(1,IF($A229=$A228,AO228,1)-T229+$D$3))</f>
        <v>#N/A</v>
      </c>
      <c r="AP229" t="e">
        <f>IF(OR($J229=0,COUNTIFS($A$4:$A228,"&gt;="&amp;$A229-1,$A$4:$A228,"&lt;="&amp;$A229,$B$4:$B228,$B229)&gt;0,MIN(AP$1,IF($A229=$A228,AP228,1))-U229&lt;0),-1,MIN(1,IF($A229=$A228,AP228,1)-U229+$D$3))</f>
        <v>#N/A</v>
      </c>
      <c r="AQ229" t="e">
        <f>IF(OR($J229=0,COUNTIFS($A$4:$A228,"&gt;="&amp;$A229-1,$A$4:$A228,"&lt;="&amp;$A229,$B$4:$B228,$B229)&gt;0,MIN(AQ$1,IF($A229=$A228,AQ228,1))-V229&lt;0),-1,MIN(1,IF($A229=$A228,AQ228,1)-V229+$D$3))</f>
        <v>#N/A</v>
      </c>
      <c r="AR229" t="e">
        <f>IF(OR($J229=0,COUNTIFS($A$4:$A228,"&gt;="&amp;$A229-1,$A$4:$A228,"&lt;="&amp;$A229,$B$4:$B228,$B229)&gt;0,MIN(AR$1,IF($A229=$A228,AR228,1))-W229&lt;0),-1,MIN(1,IF($A229=$A228,AR228,1)-W229+$D$3))</f>
        <v>#N/A</v>
      </c>
      <c r="AS229" t="e">
        <f>IF(OR($J229=0,COUNTIFS($A$4:$A228,"&gt;="&amp;$A229-1,$A$4:$A228,"&lt;="&amp;$A229,$B$4:$B228,$B229)&gt;0,MIN(AS$1,IF($A229=$A228,AS228,1))-X229&lt;0),-1,MIN(1,IF($A229=$A228,AS228,1)-X229+$D$3))</f>
        <v>#N/A</v>
      </c>
      <c r="AT229" t="e">
        <f>IF(OR($J229=0,COUNTIFS($A$4:$A228,"&gt;="&amp;$A229-1,$A$4:$A228,"&lt;="&amp;$A229,$B$4:$B228,$B229)&gt;0,MIN(AT$1,IF($A229=$A228,AT228,1))-Y229&lt;0),-1,MIN(1,IF($A229=$A228,AT228,1)-Y229+$D$3))</f>
        <v>#N/A</v>
      </c>
      <c r="AU229" t="e">
        <f>IF(OR($J229=0,COUNTIFS($A$4:$A228,"&gt;="&amp;$A229-1,$A$4:$A228,"&lt;="&amp;$A229,$B$4:$B228,$B229)&gt;0,MIN(AU$1,IF($A229=$A228,AU228,1))-Z229&lt;0),-1,MIN(1,IF($A229=$A228,AU228,1)-Z229+$D$3))</f>
        <v>#N/A</v>
      </c>
      <c r="AV229" t="e">
        <f>IF(OR($J229=0,COUNTIFS($A$4:$A228,"&gt;="&amp;$A229-1,$A$4:$A228,"&lt;="&amp;$A229,$B$4:$B228,$B229)&gt;0,MIN(AV$1,IF($A229=$A228,AV228,1))-AA229&lt;0),-1,MIN(1,IF($A229=$A228,AV228,1)-AA229+$D$3))</f>
        <v>#N/A</v>
      </c>
      <c r="AW229" t="e">
        <f>IF(OR($J229=0,COUNTIFS($A$4:$A228,"&gt;="&amp;$A229-1,$A$4:$A228,"&lt;="&amp;$A229,$B$4:$B228,$B229)&gt;0,MIN(AW$1,IF($A229=$A228,AW228,1))-AB229&lt;0),-1,MIN(1,IF($A229=$A228,AW228,1)-AB229+$D$3))</f>
        <v>#N/A</v>
      </c>
      <c r="AX229" t="e">
        <f>IF(OR($J229=0,COUNTIFS($A$4:$A228,"&gt;="&amp;$A229-1,$A$4:$A228,"&lt;="&amp;$A229,$B$4:$B228,$B229)&gt;0,MIN(AX$1,IF($A229=$A228,AX228,1))-AC229&lt;0),-1,MIN(1,IF($A229=$A228,AX228,1)-AC229+$D$3))</f>
        <v>#N/A</v>
      </c>
      <c r="AY229" t="e">
        <f>IF(OR($J229=0,COUNTIFS($A$4:$A228,"&gt;="&amp;$A229-1,$A$4:$A228,"&lt;="&amp;$A229,$B$4:$B228,$B229)&gt;0,MIN(AY$1,IF($A229=$A228,AY228,1))-AD229&lt;0),-1,MIN(1,IF($A229=$A228,AY228,1)-AD229+$D$3))</f>
        <v>#N/A</v>
      </c>
      <c r="AZ229" t="e">
        <f>IF(OR($J229=0,COUNTIFS($A$4:$A228,"&gt;="&amp;$A229-1,$A$4:$A228,"&lt;="&amp;$A229,$B$4:$B228,$B229)&gt;0,MIN(AZ$1,IF($A229=$A228,AZ228,1))-AE229&lt;0),-1,MIN(1,IF($A229=$A228,AZ228,1)-AE229+$D$3))</f>
        <v>#N/A</v>
      </c>
      <c r="BA229" t="e">
        <f>IF(OR($J229=0,COUNTIFS($A$4:$A228,"&gt;="&amp;$A229-1,$A$4:$A228,"&lt;="&amp;$A229,$B$4:$B228,$B229)&gt;0,MIN(BA$1,IF($A229=$A228,BA228,1))-AF229&lt;0),-1,MIN(1,IF($A229=$A228,BA228,1)-AF229+$D$3))</f>
        <v>#N/A</v>
      </c>
      <c r="BB229" t="e">
        <f>IF(OR($J229=0,COUNTIFS($A$4:$A228,"&gt;="&amp;$A229-1,$A$4:$A228,"&lt;="&amp;$A229,$B$4:$B228,$B229)&gt;0,MIN(BB$1,IF($A229=$A228,BB228,1))-AG229&lt;0),-1,MIN(1,IF($A229=$A228,BB228,1)-AG229+$D$3))</f>
        <v>#N/A</v>
      </c>
      <c r="BC229" t="e">
        <f>IF(OR($J229=0,COUNTIFS($A$4:$A228,"&gt;="&amp;$A229-1,$A$4:$A228,"&lt;="&amp;$A229,$B$4:$B228,$B229)&gt;0,MIN(BC$1,IF($A229=$A228,BC228,1))-AH229&lt;0),-1,MIN(1,IF($A229=$A228,BC228,1)-AH229+$D$3))</f>
        <v>#N/A</v>
      </c>
      <c r="BD229" t="e">
        <f>IF(OR($J229=0,COUNTIFS($A$4:$A228,"&gt;="&amp;$A229-1,$A$4:$A228,"&lt;="&amp;$A229,$B$4:$B228,$B229)&gt;0,MIN(BD$1,IF($A229=$A228,BD228,1))-AI229&lt;0),-1,MIN(1,IF($A229=$A228,BD228,1)-AI229+$D$3))</f>
        <v>#N/A</v>
      </c>
      <c r="BF229" s="44">
        <f t="shared" si="267"/>
        <v>2.0611855242951762E-5</v>
      </c>
      <c r="BG229" s="44">
        <f t="shared" si="268"/>
        <v>5.0690368321730589E-5</v>
      </c>
      <c r="BH229" s="44">
        <f t="shared" si="269"/>
        <v>5.1952295425229947E-5</v>
      </c>
      <c r="BI229" s="44">
        <f t="shared" si="270"/>
        <v>4.7989497026968374E-5</v>
      </c>
      <c r="BJ229" s="44">
        <f t="shared" si="271"/>
        <v>4.9601701106332219E-5</v>
      </c>
      <c r="BK229" s="44">
        <f t="shared" si="272"/>
        <v>2.1300819851488334E-5</v>
      </c>
      <c r="BL229" s="44">
        <f t="shared" si="273"/>
        <v>1.150703799667065E-5</v>
      </c>
      <c r="BM229" s="44">
        <f t="shared" si="274"/>
        <v>2.9272560928756643E-5</v>
      </c>
      <c r="BN229" s="44">
        <f t="shared" si="275"/>
        <v>3.0445744734099392E-5</v>
      </c>
      <c r="BO229" s="44">
        <f t="shared" si="276"/>
        <v>1.426803126581223E-5</v>
      </c>
      <c r="BP229" s="44">
        <f t="shared" si="277"/>
        <v>4.7975937236725919E-5</v>
      </c>
      <c r="BQ229" s="44">
        <f t="shared" si="278"/>
        <v>1.294671948142892E-5</v>
      </c>
      <c r="BR229" s="44">
        <f t="shared" si="279"/>
        <v>3.8247850250956591E-5</v>
      </c>
      <c r="BS229" s="44">
        <f t="shared" si="280"/>
        <v>2.0627573193667861E-5</v>
      </c>
      <c r="BT229" s="44">
        <f t="shared" si="281"/>
        <v>8.162963105545934E-5</v>
      </c>
      <c r="BU229" s="44">
        <f t="shared" si="282"/>
        <v>7.7980860952756037E-5</v>
      </c>
      <c r="BV229" s="44">
        <f t="shared" si="283"/>
        <v>7.4890238918855968E-5</v>
      </c>
      <c r="BW229" s="44">
        <f t="shared" si="284"/>
        <v>4.898233749402528E-5</v>
      </c>
      <c r="BX229" s="44">
        <f t="shared" si="285"/>
        <v>3.618726145796089E-5</v>
      </c>
      <c r="BY229" s="44">
        <f t="shared" si="286"/>
        <v>3.1070923215091525E-5</v>
      </c>
      <c r="CA229" s="44" t="str">
        <f t="shared" si="287"/>
        <v/>
      </c>
      <c r="CB229" s="44" t="str">
        <f t="shared" si="288"/>
        <v/>
      </c>
      <c r="CC229" s="44" t="str">
        <f t="shared" si="289"/>
        <v/>
      </c>
      <c r="CD229" s="44" t="str">
        <f t="shared" si="290"/>
        <v/>
      </c>
      <c r="CE229" s="44" t="str">
        <f t="shared" si="291"/>
        <v/>
      </c>
      <c r="CF229" s="44" t="str">
        <f t="shared" si="292"/>
        <v/>
      </c>
      <c r="CG229" s="44" t="str">
        <f t="shared" si="293"/>
        <v/>
      </c>
      <c r="CH229" s="44" t="str">
        <f t="shared" si="294"/>
        <v/>
      </c>
      <c r="CI229" s="44" t="str">
        <f t="shared" si="295"/>
        <v/>
      </c>
      <c r="CJ229" s="44" t="str">
        <f t="shared" si="296"/>
        <v/>
      </c>
      <c r="CK229" s="44" t="str">
        <f t="shared" si="297"/>
        <v/>
      </c>
      <c r="CL229" s="44" t="str">
        <f t="shared" si="298"/>
        <v/>
      </c>
      <c r="CM229" s="44" t="str">
        <f t="shared" si="299"/>
        <v/>
      </c>
      <c r="CN229" s="44" t="str">
        <f t="shared" si="300"/>
        <v/>
      </c>
      <c r="CO229" s="44" t="str">
        <f t="shared" si="301"/>
        <v/>
      </c>
      <c r="CP229" s="44" t="str">
        <f t="shared" si="302"/>
        <v/>
      </c>
      <c r="CQ229" s="44" t="str">
        <f t="shared" si="303"/>
        <v/>
      </c>
      <c r="CR229" s="44" t="str">
        <f t="shared" si="304"/>
        <v/>
      </c>
      <c r="CS229" s="44" t="str">
        <f t="shared" si="305"/>
        <v/>
      </c>
      <c r="CT229" s="44" t="str">
        <f t="shared" si="306"/>
        <v/>
      </c>
      <c r="CV229" s="44">
        <f t="shared" si="307"/>
        <v>0</v>
      </c>
    </row>
    <row r="230" spans="1:100" x14ac:dyDescent="0.25">
      <c r="A230" s="49"/>
      <c r="B230" s="50"/>
      <c r="C230" s="51" t="str" cm="1">
        <f t="array" ref="C230">IF(B230="","",INDEX(UWS!$B$10:$B$41,B230))</f>
        <v/>
      </c>
      <c r="D230" s="45" t="str">
        <f t="shared" si="264"/>
        <v/>
      </c>
      <c r="E230" s="70" t="str">
        <f t="shared" si="265"/>
        <v/>
      </c>
      <c r="F230" s="52" cm="1">
        <f t="array" ref="F230">0.1+IFERROR(INDEX($F$5:$F229,SUMPRODUCT(MAX(ROW($C$5:$C229)*($C230=$C$5:$C229))-ROW($A$4)))*0.9^($A230-INDEX($A$5:A229,SUMPRODUCT(MAX(ROW($C$5:$C229)*($C230=$C$5:$C229))-ROW($A$4)))),0)</f>
        <v>16.499999999999964</v>
      </c>
      <c r="G230" s="56" t="e">
        <f>INDEX(UWS!$AB$10:$AB$41,MATCH(C230,UWS!$B$10:$B$41,0))</f>
        <v>#N/A</v>
      </c>
      <c r="H230" s="52" t="e">
        <f>INDEX(UWS!$C$10:$C$41,MATCH(C230,UWS!$B$10:$B$41,0))</f>
        <v>#N/A</v>
      </c>
      <c r="I230" s="46">
        <f t="shared" si="266"/>
        <v>5</v>
      </c>
      <c r="J230" s="46" t="e">
        <f>INDEX(UWS!$E$10:$E$41,MATCH(C230,UWS!$B$10:$B$41,0))</f>
        <v>#N/A</v>
      </c>
      <c r="K230" s="46"/>
      <c r="L230" s="109" t="str" cm="1">
        <f t="array" ref="L230">IF(K230="","",INDEX(UWS!$B$10:$B$41,K230))</f>
        <v/>
      </c>
      <c r="M230" s="46"/>
      <c r="N230" s="109" t="str" cm="1">
        <f t="array" ref="N230">IF(M230="","",INDEX(UWS!$B$10:$B$41,M230))</f>
        <v/>
      </c>
      <c r="O230" s="47"/>
      <c r="P230" s="47">
        <f>IFERROR(INDEX(UWS!$G$10:$Z$41,MATCH($C230,UWS!$B$10:$B$41,0),MATCH(P$4,UWS!$G$3:$Z$3,0)),0)</f>
        <v>0</v>
      </c>
      <c r="Q230" s="47">
        <f>IFERROR(INDEX(UWS!$G$10:$Z$41,MATCH($C230,UWS!$B$10:$B$41,0),MATCH(Q$4,UWS!$G$3:$Z$3,0)),0)</f>
        <v>0</v>
      </c>
      <c r="R230" s="47">
        <f>IFERROR(INDEX(UWS!$G$10:$Z$41,MATCH($C230,UWS!$B$10:$B$41,0),MATCH(R$4,UWS!$G$3:$Z$3,0)),0)</f>
        <v>0</v>
      </c>
      <c r="S230" s="47">
        <f>IFERROR(INDEX(UWS!$G$10:$Z$41,MATCH($C230,UWS!$B$10:$B$41,0),MATCH(S$4,UWS!$G$3:$Z$3,0)),0)</f>
        <v>0</v>
      </c>
      <c r="T230" s="47">
        <f>IFERROR(INDEX(UWS!$G$10:$Z$41,MATCH($C230,UWS!$B$10:$B$41,0),MATCH(T$4,UWS!$G$3:$Z$3,0)),0)</f>
        <v>0</v>
      </c>
      <c r="U230" s="47">
        <f>IFERROR(INDEX(UWS!$G$10:$Z$41,MATCH($C230,UWS!$B$10:$B$41,0),MATCH(U$4,UWS!$G$3:$Z$3,0)),0)</f>
        <v>0</v>
      </c>
      <c r="V230" s="47">
        <f>IFERROR(INDEX(UWS!$G$10:$Z$41,MATCH($C230,UWS!$B$10:$B$41,0),MATCH(V$4,UWS!$G$3:$Z$3,0)),0)</f>
        <v>0</v>
      </c>
      <c r="W230" s="47">
        <f>IFERROR(INDEX(UWS!$G$10:$Z$41,MATCH($C230,UWS!$B$10:$B$41,0),MATCH(W$4,UWS!$G$3:$Z$3,0)),0)</f>
        <v>0</v>
      </c>
      <c r="X230" s="47">
        <f>IFERROR(INDEX(UWS!$G$10:$Z$41,MATCH($C230,UWS!$B$10:$B$41,0),MATCH(X$4,UWS!$G$3:$Z$3,0)),0)</f>
        <v>0</v>
      </c>
      <c r="Y230" s="47">
        <f>IFERROR(INDEX(UWS!$G$10:$Z$41,MATCH($C230,UWS!$B$10:$B$41,0),MATCH(Y$4,UWS!$G$3:$Z$3,0)),0)</f>
        <v>0</v>
      </c>
      <c r="Z230" s="47">
        <f>IFERROR(INDEX(UWS!$G$10:$Z$41,MATCH($C230,UWS!$B$10:$B$41,0),MATCH(Z$4,UWS!$G$3:$Z$3,0)),0)</f>
        <v>0</v>
      </c>
      <c r="AA230" s="47">
        <f>IFERROR(INDEX(UWS!$G$10:$Z$41,MATCH($C230,UWS!$B$10:$B$41,0),MATCH(AA$4,UWS!$G$3:$Z$3,0)),0)</f>
        <v>0</v>
      </c>
      <c r="AB230" s="47">
        <f>IFERROR(INDEX(UWS!$G$10:$Z$41,MATCH($C230,UWS!$B$10:$B$41,0),MATCH(AB$4,UWS!$G$3:$Z$3,0)),0)</f>
        <v>0</v>
      </c>
      <c r="AC230" s="47">
        <f>IFERROR(INDEX(UWS!$G$10:$Z$41,MATCH($C230,UWS!$B$10:$B$41,0),MATCH(AC$4,UWS!$G$3:$Z$3,0)),0)</f>
        <v>0</v>
      </c>
      <c r="AD230" s="47">
        <f>IFERROR(INDEX(UWS!$G$10:$Z$41,MATCH($C230,UWS!$B$10:$B$41,0),MATCH(AD$4,UWS!$G$3:$Z$3,0)),0)</f>
        <v>0</v>
      </c>
      <c r="AE230" s="47">
        <f>IFERROR(INDEX(UWS!$G$10:$Z$41,MATCH($C230,UWS!$B$10:$B$41,0),MATCH(AE$4,UWS!$G$3:$Z$3,0)),0)</f>
        <v>0</v>
      </c>
      <c r="AF230" s="47">
        <f>IFERROR(INDEX(UWS!$G$10:$Z$41,MATCH($C230,UWS!$B$10:$B$41,0),MATCH(AF$4,UWS!$G$3:$Z$3,0)),0)</f>
        <v>0</v>
      </c>
      <c r="AG230" s="47">
        <f>IFERROR(INDEX(UWS!$G$10:$Z$41,MATCH($C230,UWS!$B$10:$B$41,0),MATCH(AG$4,UWS!$G$3:$Z$3,0)),0)</f>
        <v>0</v>
      </c>
      <c r="AH230" s="47">
        <f>IFERROR(INDEX(UWS!$G$10:$Z$41,MATCH($C230,UWS!$B$10:$B$41,0),MATCH(AH$4,UWS!$G$3:$Z$3,0)),0)</f>
        <v>0</v>
      </c>
      <c r="AI230" s="47">
        <f>IFERROR(INDEX(UWS!$G$10:$Z$41,MATCH($C230,UWS!$B$10:$B$41,0),MATCH(AI$4,UWS!$G$3:$Z$3,0)),0)</f>
        <v>0</v>
      </c>
      <c r="AJ230" s="47"/>
      <c r="AK230" s="47" t="e">
        <f>IF(OR($J230=0,COUNTIFS($A$4:$A229,"&gt;="&amp;$A230-1,$A$4:$A229,"&lt;="&amp;$A230,$B$4:$B229,$B230)&gt;0,MIN(AK$1,IF($A230=$A229,AK229,1))-P230&lt;0),-1,MIN(1,IF($A230=$A229,AK229,1)-P230+$D$3))</f>
        <v>#N/A</v>
      </c>
      <c r="AL230" s="47" t="e">
        <f>IF(OR($J230=0,COUNTIFS($A$4:$A229,"&gt;="&amp;$A230-1,$A$4:$A229,"&lt;="&amp;$A230,$B$4:$B229,$B230)&gt;0,MIN(AL$1,IF($A230=$A229,AL229,1))-Q230&lt;0),-1,MIN(1,IF($A230=$A229,AL229,1)-Q230+$D$3))</f>
        <v>#N/A</v>
      </c>
      <c r="AM230" s="47" t="e">
        <f>IF(OR($J230=0,COUNTIFS($A$4:$A229,"&gt;="&amp;$A230-1,$A$4:$A229,"&lt;="&amp;$A230,$B$4:$B229,$B230)&gt;0,MIN(AM$1,IF($A230=$A229,AM229,1))-R230&lt;0),-1,MIN(1,IF($A230=$A229,AM229,1)-R230+$D$3))</f>
        <v>#N/A</v>
      </c>
      <c r="AN230" s="47" t="e">
        <f>IF(OR($J230=0,COUNTIFS($A$4:$A229,"&gt;="&amp;$A230-1,$A$4:$A229,"&lt;="&amp;$A230,$B$4:$B229,$B230)&gt;0,MIN(AN$1,IF($A230=$A229,AN229,1))-S230&lt;0),-1,MIN(1,IF($A230=$A229,AN229,1)-S230+$D$3))</f>
        <v>#N/A</v>
      </c>
      <c r="AO230" s="47" t="e">
        <f>IF(OR($J230=0,COUNTIFS($A$4:$A229,"&gt;="&amp;$A230-1,$A$4:$A229,"&lt;="&amp;$A230,$B$4:$B229,$B230)&gt;0,MIN(AO$1,IF($A230=$A229,AO229,1))-T230&lt;0),-1,MIN(1,IF($A230=$A229,AO229,1)-T230+$D$3))</f>
        <v>#N/A</v>
      </c>
      <c r="AP230" s="47" t="e">
        <f>IF(OR($J230=0,COUNTIFS($A$4:$A229,"&gt;="&amp;$A230-1,$A$4:$A229,"&lt;="&amp;$A230,$B$4:$B229,$B230)&gt;0,MIN(AP$1,IF($A230=$A229,AP229,1))-U230&lt;0),-1,MIN(1,IF($A230=$A229,AP229,1)-U230+$D$3))</f>
        <v>#N/A</v>
      </c>
      <c r="AQ230" s="47" t="e">
        <f>IF(OR($J230=0,COUNTIFS($A$4:$A229,"&gt;="&amp;$A230-1,$A$4:$A229,"&lt;="&amp;$A230,$B$4:$B229,$B230)&gt;0,MIN(AQ$1,IF($A230=$A229,AQ229,1))-V230&lt;0),-1,MIN(1,IF($A230=$A229,AQ229,1)-V230+$D$3))</f>
        <v>#N/A</v>
      </c>
      <c r="AR230" s="47" t="e">
        <f>IF(OR($J230=0,COUNTIFS($A$4:$A229,"&gt;="&amp;$A230-1,$A$4:$A229,"&lt;="&amp;$A230,$B$4:$B229,$B230)&gt;0,MIN(AR$1,IF($A230=$A229,AR229,1))-W230&lt;0),-1,MIN(1,IF($A230=$A229,AR229,1)-W230+$D$3))</f>
        <v>#N/A</v>
      </c>
      <c r="AS230" s="47" t="e">
        <f>IF(OR($J230=0,COUNTIFS($A$4:$A229,"&gt;="&amp;$A230-1,$A$4:$A229,"&lt;="&amp;$A230,$B$4:$B229,$B230)&gt;0,MIN(AS$1,IF($A230=$A229,AS229,1))-X230&lt;0),-1,MIN(1,IF($A230=$A229,AS229,1)-X230+$D$3))</f>
        <v>#N/A</v>
      </c>
      <c r="AT230" s="47" t="e">
        <f>IF(OR($J230=0,COUNTIFS($A$4:$A229,"&gt;="&amp;$A230-1,$A$4:$A229,"&lt;="&amp;$A230,$B$4:$B229,$B230)&gt;0,MIN(AT$1,IF($A230=$A229,AT229,1))-Y230&lt;0),-1,MIN(1,IF($A230=$A229,AT229,1)-Y230+$D$3))</f>
        <v>#N/A</v>
      </c>
      <c r="AU230" s="47" t="e">
        <f>IF(OR($J230=0,COUNTIFS($A$4:$A229,"&gt;="&amp;$A230-1,$A$4:$A229,"&lt;="&amp;$A230,$B$4:$B229,$B230)&gt;0,MIN(AU$1,IF($A230=$A229,AU229,1))-Z230&lt;0),-1,MIN(1,IF($A230=$A229,AU229,1)-Z230+$D$3))</f>
        <v>#N/A</v>
      </c>
      <c r="AV230" s="47" t="e">
        <f>IF(OR($J230=0,COUNTIFS($A$4:$A229,"&gt;="&amp;$A230-1,$A$4:$A229,"&lt;="&amp;$A230,$B$4:$B229,$B230)&gt;0,MIN(AV$1,IF($A230=$A229,AV229,1))-AA230&lt;0),-1,MIN(1,IF($A230=$A229,AV229,1)-AA230+$D$3))</f>
        <v>#N/A</v>
      </c>
      <c r="AW230" s="47" t="e">
        <f>IF(OR($J230=0,COUNTIFS($A$4:$A229,"&gt;="&amp;$A230-1,$A$4:$A229,"&lt;="&amp;$A230,$B$4:$B229,$B230)&gt;0,MIN(AW$1,IF($A230=$A229,AW229,1))-AB230&lt;0),-1,MIN(1,IF($A230=$A229,AW229,1)-AB230+$D$3))</f>
        <v>#N/A</v>
      </c>
      <c r="AX230" s="47" t="e">
        <f>IF(OR($J230=0,COUNTIFS($A$4:$A229,"&gt;="&amp;$A230-1,$A$4:$A229,"&lt;="&amp;$A230,$B$4:$B229,$B230)&gt;0,MIN(AX$1,IF($A230=$A229,AX229,1))-AC230&lt;0),-1,MIN(1,IF($A230=$A229,AX229,1)-AC230+$D$3))</f>
        <v>#N/A</v>
      </c>
      <c r="AY230" s="47" t="e">
        <f>IF(OR($J230=0,COUNTIFS($A$4:$A229,"&gt;="&amp;$A230-1,$A$4:$A229,"&lt;="&amp;$A230,$B$4:$B229,$B230)&gt;0,MIN(AY$1,IF($A230=$A229,AY229,1))-AD230&lt;0),-1,MIN(1,IF($A230=$A229,AY229,1)-AD230+$D$3))</f>
        <v>#N/A</v>
      </c>
      <c r="AZ230" s="47" t="e">
        <f>IF(OR($J230=0,COUNTIFS($A$4:$A229,"&gt;="&amp;$A230-1,$A$4:$A229,"&lt;="&amp;$A230,$B$4:$B229,$B230)&gt;0,MIN(AZ$1,IF($A230=$A229,AZ229,1))-AE230&lt;0),-1,MIN(1,IF($A230=$A229,AZ229,1)-AE230+$D$3))</f>
        <v>#N/A</v>
      </c>
      <c r="BA230" s="47" t="e">
        <f>IF(OR($J230=0,COUNTIFS($A$4:$A229,"&gt;="&amp;$A230-1,$A$4:$A229,"&lt;="&amp;$A230,$B$4:$B229,$B230)&gt;0,MIN(BA$1,IF($A230=$A229,BA229,1))-AF230&lt;0),-1,MIN(1,IF($A230=$A229,BA229,1)-AF230+$D$3))</f>
        <v>#N/A</v>
      </c>
      <c r="BB230" s="47" t="e">
        <f>IF(OR($J230=0,COUNTIFS($A$4:$A229,"&gt;="&amp;$A230-1,$A$4:$A229,"&lt;="&amp;$A230,$B$4:$B229,$B230)&gt;0,MIN(BB$1,IF($A230=$A229,BB229,1))-AG230&lt;0),-1,MIN(1,IF($A230=$A229,BB229,1)-AG230+$D$3))</f>
        <v>#N/A</v>
      </c>
      <c r="BC230" s="47" t="e">
        <f>IF(OR($J230=0,COUNTIFS($A$4:$A229,"&gt;="&amp;$A230-1,$A$4:$A229,"&lt;="&amp;$A230,$B$4:$B229,$B230)&gt;0,MIN(BC$1,IF($A230=$A229,BC229,1))-AH230&lt;0),-1,MIN(1,IF($A230=$A229,BC229,1)-AH230+$D$3))</f>
        <v>#N/A</v>
      </c>
      <c r="BD230" s="47" t="e">
        <f>IF(OR($J230=0,COUNTIFS($A$4:$A229,"&gt;="&amp;$A230-1,$A$4:$A229,"&lt;="&amp;$A230,$B$4:$B229,$B230)&gt;0,MIN(BD$1,IF($A230=$A229,BD229,1))-AI230&lt;0),-1,MIN(1,IF($A230=$A229,BD229,1)-AI230+$D$3))</f>
        <v>#N/A</v>
      </c>
      <c r="BE230" s="47"/>
      <c r="BF230" s="53">
        <f t="shared" si="267"/>
        <v>1.9581262480804173E-5</v>
      </c>
      <c r="BG230" s="53">
        <f t="shared" si="268"/>
        <v>4.8155849905644054E-5</v>
      </c>
      <c r="BH230" s="53">
        <f t="shared" si="269"/>
        <v>4.9354680653968445E-5</v>
      </c>
      <c r="BI230" s="53">
        <f t="shared" si="270"/>
        <v>4.5590022175619951E-5</v>
      </c>
      <c r="BJ230" s="53">
        <f t="shared" si="271"/>
        <v>4.7121616051015605E-5</v>
      </c>
      <c r="BK230" s="53">
        <f t="shared" si="272"/>
        <v>2.0235778858913916E-5</v>
      </c>
      <c r="BL230" s="53">
        <f t="shared" si="273"/>
        <v>1.0931686096837117E-5</v>
      </c>
      <c r="BM230" s="53">
        <f t="shared" si="274"/>
        <v>2.780893288231881E-5</v>
      </c>
      <c r="BN230" s="53">
        <f t="shared" si="275"/>
        <v>2.892345749739442E-5</v>
      </c>
      <c r="BO230" s="53">
        <f t="shared" si="276"/>
        <v>1.3554629702521618E-5</v>
      </c>
      <c r="BP230" s="53">
        <f t="shared" si="277"/>
        <v>4.5577140374889624E-5</v>
      </c>
      <c r="BQ230" s="53">
        <f t="shared" si="278"/>
        <v>1.2299383507357473E-5</v>
      </c>
      <c r="BR230" s="53">
        <f t="shared" si="279"/>
        <v>3.6335457738408758E-5</v>
      </c>
      <c r="BS230" s="53">
        <f t="shared" si="280"/>
        <v>1.9596194533984468E-5</v>
      </c>
      <c r="BT230" s="53">
        <f t="shared" si="281"/>
        <v>7.7548149502686364E-5</v>
      </c>
      <c r="BU230" s="53">
        <f t="shared" si="282"/>
        <v>7.4081817905118238E-5</v>
      </c>
      <c r="BV230" s="53">
        <f t="shared" si="283"/>
        <v>7.1145726972913166E-5</v>
      </c>
      <c r="BW230" s="53">
        <f t="shared" si="284"/>
        <v>4.6533220619324014E-5</v>
      </c>
      <c r="BX230" s="53">
        <f t="shared" si="285"/>
        <v>3.4377898385062848E-5</v>
      </c>
      <c r="BY230" s="53">
        <f t="shared" si="286"/>
        <v>2.9517377054336947E-5</v>
      </c>
      <c r="BZ230" s="47"/>
      <c r="CA230" s="53" t="str">
        <f t="shared" si="287"/>
        <v/>
      </c>
      <c r="CB230" s="53" t="str">
        <f t="shared" si="288"/>
        <v/>
      </c>
      <c r="CC230" s="53" t="str">
        <f t="shared" si="289"/>
        <v/>
      </c>
      <c r="CD230" s="53" t="str">
        <f t="shared" si="290"/>
        <v/>
      </c>
      <c r="CE230" s="53" t="str">
        <f t="shared" si="291"/>
        <v/>
      </c>
      <c r="CF230" s="53" t="str">
        <f t="shared" si="292"/>
        <v/>
      </c>
      <c r="CG230" s="53" t="str">
        <f t="shared" si="293"/>
        <v/>
      </c>
      <c r="CH230" s="53" t="str">
        <f t="shared" si="294"/>
        <v/>
      </c>
      <c r="CI230" s="53" t="str">
        <f t="shared" si="295"/>
        <v/>
      </c>
      <c r="CJ230" s="53" t="str">
        <f t="shared" si="296"/>
        <v/>
      </c>
      <c r="CK230" s="53" t="str">
        <f t="shared" si="297"/>
        <v/>
      </c>
      <c r="CL230" s="53" t="str">
        <f t="shared" si="298"/>
        <v/>
      </c>
      <c r="CM230" s="53" t="str">
        <f t="shared" si="299"/>
        <v/>
      </c>
      <c r="CN230" s="53" t="str">
        <f t="shared" si="300"/>
        <v/>
      </c>
      <c r="CO230" s="53" t="str">
        <f t="shared" si="301"/>
        <v/>
      </c>
      <c r="CP230" s="53" t="str">
        <f t="shared" si="302"/>
        <v/>
      </c>
      <c r="CQ230" s="53" t="str">
        <f t="shared" si="303"/>
        <v/>
      </c>
      <c r="CR230" s="53" t="str">
        <f t="shared" si="304"/>
        <v/>
      </c>
      <c r="CS230" s="53" t="str">
        <f t="shared" si="305"/>
        <v/>
      </c>
      <c r="CT230" s="53" t="str">
        <f t="shared" si="306"/>
        <v/>
      </c>
      <c r="CU230" s="47"/>
      <c r="CV230" s="53">
        <f t="shared" si="307"/>
        <v>0</v>
      </c>
    </row>
    <row r="231" spans="1:100" x14ac:dyDescent="0.25">
      <c r="A231" s="41"/>
      <c r="B231" s="42"/>
      <c r="C231" s="43" t="str" cm="1">
        <f t="array" ref="C231">IF(B231="","",INDEX(UWS!$B$10:$B$41,B231))</f>
        <v/>
      </c>
      <c r="D231" s="40" t="str">
        <f t="shared" si="264"/>
        <v/>
      </c>
      <c r="E231" s="69" t="str">
        <f t="shared" si="265"/>
        <v/>
      </c>
      <c r="F231" s="48" cm="1">
        <f t="array" ref="F231">0.1+IFERROR(INDEX($F$5:$F230,SUMPRODUCT(MAX(ROW($C$5:$C230)*($C231=$C$5:$C230))-ROW($A$4)))*0.9^($A231-INDEX($A$5:A230,SUMPRODUCT(MAX(ROW($C$5:$C230)*($C231=$C$5:$C230))-ROW($A$4)))),0)</f>
        <v>16.599999999999966</v>
      </c>
      <c r="G231" s="55" t="e">
        <f>INDEX(UWS!$AB$10:$AB$41,MATCH(C231,UWS!$B$10:$B$41,0))</f>
        <v>#N/A</v>
      </c>
      <c r="H231" s="48" t="e">
        <f>INDEX(UWS!$C$10:$C$41,MATCH(C231,UWS!$B$10:$B$41,0))</f>
        <v>#N/A</v>
      </c>
      <c r="I231" s="82">
        <f t="shared" si="266"/>
        <v>5</v>
      </c>
      <c r="J231" s="27" t="e">
        <f>INDEX(UWS!$E$10:$E$41,MATCH(C231,UWS!$B$10:$B$41,0))</f>
        <v>#N/A</v>
      </c>
      <c r="L231" s="108" t="str" cm="1">
        <f t="array" ref="L231">IF(K231="","",INDEX(UWS!$B$10:$B$41,K231))</f>
        <v/>
      </c>
      <c r="N231" s="108" t="str" cm="1">
        <f t="array" ref="N231">IF(M231="","",INDEX(UWS!$B$10:$B$41,M231))</f>
        <v/>
      </c>
      <c r="P231">
        <f>IFERROR(INDEX(UWS!$G$10:$Z$41,MATCH($C231,UWS!$B$10:$B$41,0),MATCH(P$4,UWS!$G$3:$Z$3,0)),0)</f>
        <v>0</v>
      </c>
      <c r="Q231">
        <f>IFERROR(INDEX(UWS!$G$10:$Z$41,MATCH($C231,UWS!$B$10:$B$41,0),MATCH(Q$4,UWS!$G$3:$Z$3,0)),0)</f>
        <v>0</v>
      </c>
      <c r="R231">
        <f>IFERROR(INDEX(UWS!$G$10:$Z$41,MATCH($C231,UWS!$B$10:$B$41,0),MATCH(R$4,UWS!$G$3:$Z$3,0)),0)</f>
        <v>0</v>
      </c>
      <c r="S231">
        <f>IFERROR(INDEX(UWS!$G$10:$Z$41,MATCH($C231,UWS!$B$10:$B$41,0),MATCH(S$4,UWS!$G$3:$Z$3,0)),0)</f>
        <v>0</v>
      </c>
      <c r="T231">
        <f>IFERROR(INDEX(UWS!$G$10:$Z$41,MATCH($C231,UWS!$B$10:$B$41,0),MATCH(T$4,UWS!$G$3:$Z$3,0)),0)</f>
        <v>0</v>
      </c>
      <c r="U231">
        <f>IFERROR(INDEX(UWS!$G$10:$Z$41,MATCH($C231,UWS!$B$10:$B$41,0),MATCH(U$4,UWS!$G$3:$Z$3,0)),0)</f>
        <v>0</v>
      </c>
      <c r="V231">
        <f>IFERROR(INDEX(UWS!$G$10:$Z$41,MATCH($C231,UWS!$B$10:$B$41,0),MATCH(V$4,UWS!$G$3:$Z$3,0)),0)</f>
        <v>0</v>
      </c>
      <c r="W231">
        <f>IFERROR(INDEX(UWS!$G$10:$Z$41,MATCH($C231,UWS!$B$10:$B$41,0),MATCH(W$4,UWS!$G$3:$Z$3,0)),0)</f>
        <v>0</v>
      </c>
      <c r="X231">
        <f>IFERROR(INDEX(UWS!$G$10:$Z$41,MATCH($C231,UWS!$B$10:$B$41,0),MATCH(X$4,UWS!$G$3:$Z$3,0)),0)</f>
        <v>0</v>
      </c>
      <c r="Y231">
        <f>IFERROR(INDEX(UWS!$G$10:$Z$41,MATCH($C231,UWS!$B$10:$B$41,0),MATCH(Y$4,UWS!$G$3:$Z$3,0)),0)</f>
        <v>0</v>
      </c>
      <c r="Z231">
        <f>IFERROR(INDEX(UWS!$G$10:$Z$41,MATCH($C231,UWS!$B$10:$B$41,0),MATCH(Z$4,UWS!$G$3:$Z$3,0)),0)</f>
        <v>0</v>
      </c>
      <c r="AA231">
        <f>IFERROR(INDEX(UWS!$G$10:$Z$41,MATCH($C231,UWS!$B$10:$B$41,0),MATCH(AA$4,UWS!$G$3:$Z$3,0)),0)</f>
        <v>0</v>
      </c>
      <c r="AB231">
        <f>IFERROR(INDEX(UWS!$G$10:$Z$41,MATCH($C231,UWS!$B$10:$B$41,0),MATCH(AB$4,UWS!$G$3:$Z$3,0)),0)</f>
        <v>0</v>
      </c>
      <c r="AC231">
        <f>IFERROR(INDEX(UWS!$G$10:$Z$41,MATCH($C231,UWS!$B$10:$B$41,0),MATCH(AC$4,UWS!$G$3:$Z$3,0)),0)</f>
        <v>0</v>
      </c>
      <c r="AD231">
        <f>IFERROR(INDEX(UWS!$G$10:$Z$41,MATCH($C231,UWS!$B$10:$B$41,0),MATCH(AD$4,UWS!$G$3:$Z$3,0)),0)</f>
        <v>0</v>
      </c>
      <c r="AE231">
        <f>IFERROR(INDEX(UWS!$G$10:$Z$41,MATCH($C231,UWS!$B$10:$B$41,0),MATCH(AE$4,UWS!$G$3:$Z$3,0)),0)</f>
        <v>0</v>
      </c>
      <c r="AF231">
        <f>IFERROR(INDEX(UWS!$G$10:$Z$41,MATCH($C231,UWS!$B$10:$B$41,0),MATCH(AF$4,UWS!$G$3:$Z$3,0)),0)</f>
        <v>0</v>
      </c>
      <c r="AG231">
        <f>IFERROR(INDEX(UWS!$G$10:$Z$41,MATCH($C231,UWS!$B$10:$B$41,0),MATCH(AG$4,UWS!$G$3:$Z$3,0)),0)</f>
        <v>0</v>
      </c>
      <c r="AH231">
        <f>IFERROR(INDEX(UWS!$G$10:$Z$41,MATCH($C231,UWS!$B$10:$B$41,0),MATCH(AH$4,UWS!$G$3:$Z$3,0)),0)</f>
        <v>0</v>
      </c>
      <c r="AI231">
        <f>IFERROR(INDEX(UWS!$G$10:$Z$41,MATCH($C231,UWS!$B$10:$B$41,0),MATCH(AI$4,UWS!$G$3:$Z$3,0)),0)</f>
        <v>0</v>
      </c>
      <c r="AK231" t="e">
        <f>IF(OR($J231=0,COUNTIFS($A$4:$A230,"&gt;="&amp;$A231-1,$A$4:$A230,"&lt;="&amp;$A231,$B$4:$B230,$B231)&gt;0,MIN(AK$1,IF($A231=$A230,AK230,1))-P231&lt;0),-1,MIN(1,IF($A231=$A230,AK230,1)-P231+$D$3))</f>
        <v>#N/A</v>
      </c>
      <c r="AL231" t="e">
        <f>IF(OR($J231=0,COUNTIFS($A$4:$A230,"&gt;="&amp;$A231-1,$A$4:$A230,"&lt;="&amp;$A231,$B$4:$B230,$B231)&gt;0,MIN(AL$1,IF($A231=$A230,AL230,1))-Q231&lt;0),-1,MIN(1,IF($A231=$A230,AL230,1)-Q231+$D$3))</f>
        <v>#N/A</v>
      </c>
      <c r="AM231" t="e">
        <f>IF(OR($J231=0,COUNTIFS($A$4:$A230,"&gt;="&amp;$A231-1,$A$4:$A230,"&lt;="&amp;$A231,$B$4:$B230,$B231)&gt;0,MIN(AM$1,IF($A231=$A230,AM230,1))-R231&lt;0),-1,MIN(1,IF($A231=$A230,AM230,1)-R231+$D$3))</f>
        <v>#N/A</v>
      </c>
      <c r="AN231" t="e">
        <f>IF(OR($J231=0,COUNTIFS($A$4:$A230,"&gt;="&amp;$A231-1,$A$4:$A230,"&lt;="&amp;$A231,$B$4:$B230,$B231)&gt;0,MIN(AN$1,IF($A231=$A230,AN230,1))-S231&lt;0),-1,MIN(1,IF($A231=$A230,AN230,1)-S231+$D$3))</f>
        <v>#N/A</v>
      </c>
      <c r="AO231" t="e">
        <f>IF(OR($J231=0,COUNTIFS($A$4:$A230,"&gt;="&amp;$A231-1,$A$4:$A230,"&lt;="&amp;$A231,$B$4:$B230,$B231)&gt;0,MIN(AO$1,IF($A231=$A230,AO230,1))-T231&lt;0),-1,MIN(1,IF($A231=$A230,AO230,1)-T231+$D$3))</f>
        <v>#N/A</v>
      </c>
      <c r="AP231" t="e">
        <f>IF(OR($J231=0,COUNTIFS($A$4:$A230,"&gt;="&amp;$A231-1,$A$4:$A230,"&lt;="&amp;$A231,$B$4:$B230,$B231)&gt;0,MIN(AP$1,IF($A231=$A230,AP230,1))-U231&lt;0),-1,MIN(1,IF($A231=$A230,AP230,1)-U231+$D$3))</f>
        <v>#N/A</v>
      </c>
      <c r="AQ231" t="e">
        <f>IF(OR($J231=0,COUNTIFS($A$4:$A230,"&gt;="&amp;$A231-1,$A$4:$A230,"&lt;="&amp;$A231,$B$4:$B230,$B231)&gt;0,MIN(AQ$1,IF($A231=$A230,AQ230,1))-V231&lt;0),-1,MIN(1,IF($A231=$A230,AQ230,1)-V231+$D$3))</f>
        <v>#N/A</v>
      </c>
      <c r="AR231" t="e">
        <f>IF(OR($J231=0,COUNTIFS($A$4:$A230,"&gt;="&amp;$A231-1,$A$4:$A230,"&lt;="&amp;$A231,$B$4:$B230,$B231)&gt;0,MIN(AR$1,IF($A231=$A230,AR230,1))-W231&lt;0),-1,MIN(1,IF($A231=$A230,AR230,1)-W231+$D$3))</f>
        <v>#N/A</v>
      </c>
      <c r="AS231" t="e">
        <f>IF(OR($J231=0,COUNTIFS($A$4:$A230,"&gt;="&amp;$A231-1,$A$4:$A230,"&lt;="&amp;$A231,$B$4:$B230,$B231)&gt;0,MIN(AS$1,IF($A231=$A230,AS230,1))-X231&lt;0),-1,MIN(1,IF($A231=$A230,AS230,1)-X231+$D$3))</f>
        <v>#N/A</v>
      </c>
      <c r="AT231" t="e">
        <f>IF(OR($J231=0,COUNTIFS($A$4:$A230,"&gt;="&amp;$A231-1,$A$4:$A230,"&lt;="&amp;$A231,$B$4:$B230,$B231)&gt;0,MIN(AT$1,IF($A231=$A230,AT230,1))-Y231&lt;0),-1,MIN(1,IF($A231=$A230,AT230,1)-Y231+$D$3))</f>
        <v>#N/A</v>
      </c>
      <c r="AU231" t="e">
        <f>IF(OR($J231=0,COUNTIFS($A$4:$A230,"&gt;="&amp;$A231-1,$A$4:$A230,"&lt;="&amp;$A231,$B$4:$B230,$B231)&gt;0,MIN(AU$1,IF($A231=$A230,AU230,1))-Z231&lt;0),-1,MIN(1,IF($A231=$A230,AU230,1)-Z231+$D$3))</f>
        <v>#N/A</v>
      </c>
      <c r="AV231" t="e">
        <f>IF(OR($J231=0,COUNTIFS($A$4:$A230,"&gt;="&amp;$A231-1,$A$4:$A230,"&lt;="&amp;$A231,$B$4:$B230,$B231)&gt;0,MIN(AV$1,IF($A231=$A230,AV230,1))-AA231&lt;0),-1,MIN(1,IF($A231=$A230,AV230,1)-AA231+$D$3))</f>
        <v>#N/A</v>
      </c>
      <c r="AW231" t="e">
        <f>IF(OR($J231=0,COUNTIFS($A$4:$A230,"&gt;="&amp;$A231-1,$A$4:$A230,"&lt;="&amp;$A231,$B$4:$B230,$B231)&gt;0,MIN(AW$1,IF($A231=$A230,AW230,1))-AB231&lt;0),-1,MIN(1,IF($A231=$A230,AW230,1)-AB231+$D$3))</f>
        <v>#N/A</v>
      </c>
      <c r="AX231" t="e">
        <f>IF(OR($J231=0,COUNTIFS($A$4:$A230,"&gt;="&amp;$A231-1,$A$4:$A230,"&lt;="&amp;$A231,$B$4:$B230,$B231)&gt;0,MIN(AX$1,IF($A231=$A230,AX230,1))-AC231&lt;0),-1,MIN(1,IF($A231=$A230,AX230,1)-AC231+$D$3))</f>
        <v>#N/A</v>
      </c>
      <c r="AY231" t="e">
        <f>IF(OR($J231=0,COUNTIFS($A$4:$A230,"&gt;="&amp;$A231-1,$A$4:$A230,"&lt;="&amp;$A231,$B$4:$B230,$B231)&gt;0,MIN(AY$1,IF($A231=$A230,AY230,1))-AD231&lt;0),-1,MIN(1,IF($A231=$A230,AY230,1)-AD231+$D$3))</f>
        <v>#N/A</v>
      </c>
      <c r="AZ231" t="e">
        <f>IF(OR($J231=0,COUNTIFS($A$4:$A230,"&gt;="&amp;$A231-1,$A$4:$A230,"&lt;="&amp;$A231,$B$4:$B230,$B231)&gt;0,MIN(AZ$1,IF($A231=$A230,AZ230,1))-AE231&lt;0),-1,MIN(1,IF($A231=$A230,AZ230,1)-AE231+$D$3))</f>
        <v>#N/A</v>
      </c>
      <c r="BA231" t="e">
        <f>IF(OR($J231=0,COUNTIFS($A$4:$A230,"&gt;="&amp;$A231-1,$A$4:$A230,"&lt;="&amp;$A231,$B$4:$B230,$B231)&gt;0,MIN(BA$1,IF($A231=$A230,BA230,1))-AF231&lt;0),-1,MIN(1,IF($A231=$A230,BA230,1)-AF231+$D$3))</f>
        <v>#N/A</v>
      </c>
      <c r="BB231" t="e">
        <f>IF(OR($J231=0,COUNTIFS($A$4:$A230,"&gt;="&amp;$A231-1,$A$4:$A230,"&lt;="&amp;$A231,$B$4:$B230,$B231)&gt;0,MIN(BB$1,IF($A231=$A230,BB230,1))-AG231&lt;0),-1,MIN(1,IF($A231=$A230,BB230,1)-AG231+$D$3))</f>
        <v>#N/A</v>
      </c>
      <c r="BC231" t="e">
        <f>IF(OR($J231=0,COUNTIFS($A$4:$A230,"&gt;="&amp;$A231-1,$A$4:$A230,"&lt;="&amp;$A231,$B$4:$B230,$B231)&gt;0,MIN(BC$1,IF($A231=$A230,BC230,1))-AH231&lt;0),-1,MIN(1,IF($A231=$A230,BC230,1)-AH231+$D$3))</f>
        <v>#N/A</v>
      </c>
      <c r="BD231" t="e">
        <f>IF(OR($J231=0,COUNTIFS($A$4:$A230,"&gt;="&amp;$A231-1,$A$4:$A230,"&lt;="&amp;$A231,$B$4:$B230,$B231)&gt;0,MIN(BD$1,IF($A231=$A230,BD230,1))-AI231&lt;0),-1,MIN(1,IF($A231=$A230,BD230,1)-AI231+$D$3))</f>
        <v>#N/A</v>
      </c>
      <c r="BF231" s="44">
        <f t="shared" si="267"/>
        <v>1.8602199356763962E-5</v>
      </c>
      <c r="BG231" s="44">
        <f t="shared" si="268"/>
        <v>4.5748057410361848E-5</v>
      </c>
      <c r="BH231" s="44">
        <f t="shared" si="269"/>
        <v>4.6886946621270023E-5</v>
      </c>
      <c r="BI231" s="44">
        <f t="shared" si="270"/>
        <v>4.3310521066838952E-5</v>
      </c>
      <c r="BJ231" s="44">
        <f t="shared" si="271"/>
        <v>4.4765535248464822E-5</v>
      </c>
      <c r="BK231" s="44">
        <f t="shared" si="272"/>
        <v>1.922398991596822E-5</v>
      </c>
      <c r="BL231" s="44">
        <f t="shared" si="273"/>
        <v>1.0385101791995261E-5</v>
      </c>
      <c r="BM231" s="44">
        <f t="shared" si="274"/>
        <v>2.6418486238202869E-5</v>
      </c>
      <c r="BN231" s="44">
        <f t="shared" si="275"/>
        <v>2.7477284622524698E-5</v>
      </c>
      <c r="BO231" s="44">
        <f t="shared" si="276"/>
        <v>1.2876898217395537E-5</v>
      </c>
      <c r="BP231" s="44">
        <f t="shared" si="277"/>
        <v>4.3298283356145139E-5</v>
      </c>
      <c r="BQ231" s="44">
        <f t="shared" si="278"/>
        <v>1.1684414331989599E-5</v>
      </c>
      <c r="BR231" s="44">
        <f t="shared" si="279"/>
        <v>3.4518684851488322E-5</v>
      </c>
      <c r="BS231" s="44">
        <f t="shared" si="280"/>
        <v>1.8616384807285245E-5</v>
      </c>
      <c r="BT231" s="44">
        <f t="shared" si="281"/>
        <v>7.3670742027552038E-5</v>
      </c>
      <c r="BU231" s="44">
        <f t="shared" si="282"/>
        <v>7.0377727009862326E-5</v>
      </c>
      <c r="BV231" s="44">
        <f t="shared" si="283"/>
        <v>6.7588440624267505E-5</v>
      </c>
      <c r="BW231" s="44">
        <f t="shared" si="284"/>
        <v>4.4206559588357812E-5</v>
      </c>
      <c r="BX231" s="44">
        <f t="shared" si="285"/>
        <v>3.2659003465809705E-5</v>
      </c>
      <c r="BY231" s="44">
        <f t="shared" si="286"/>
        <v>2.8041508201620097E-5</v>
      </c>
      <c r="CA231" s="44" t="str">
        <f t="shared" si="287"/>
        <v/>
      </c>
      <c r="CB231" s="44" t="str">
        <f t="shared" si="288"/>
        <v/>
      </c>
      <c r="CC231" s="44" t="str">
        <f t="shared" si="289"/>
        <v/>
      </c>
      <c r="CD231" s="44" t="str">
        <f t="shared" si="290"/>
        <v/>
      </c>
      <c r="CE231" s="44" t="str">
        <f t="shared" si="291"/>
        <v/>
      </c>
      <c r="CF231" s="44" t="str">
        <f t="shared" si="292"/>
        <v/>
      </c>
      <c r="CG231" s="44" t="str">
        <f t="shared" si="293"/>
        <v/>
      </c>
      <c r="CH231" s="44" t="str">
        <f t="shared" si="294"/>
        <v/>
      </c>
      <c r="CI231" s="44" t="str">
        <f t="shared" si="295"/>
        <v/>
      </c>
      <c r="CJ231" s="44" t="str">
        <f t="shared" si="296"/>
        <v/>
      </c>
      <c r="CK231" s="44" t="str">
        <f t="shared" si="297"/>
        <v/>
      </c>
      <c r="CL231" s="44" t="str">
        <f t="shared" si="298"/>
        <v/>
      </c>
      <c r="CM231" s="44" t="str">
        <f t="shared" si="299"/>
        <v/>
      </c>
      <c r="CN231" s="44" t="str">
        <f t="shared" si="300"/>
        <v/>
      </c>
      <c r="CO231" s="44" t="str">
        <f t="shared" si="301"/>
        <v/>
      </c>
      <c r="CP231" s="44" t="str">
        <f t="shared" si="302"/>
        <v/>
      </c>
      <c r="CQ231" s="44" t="str">
        <f t="shared" si="303"/>
        <v/>
      </c>
      <c r="CR231" s="44" t="str">
        <f t="shared" si="304"/>
        <v/>
      </c>
      <c r="CS231" s="44" t="str">
        <f t="shared" si="305"/>
        <v/>
      </c>
      <c r="CT231" s="44" t="str">
        <f t="shared" si="306"/>
        <v/>
      </c>
      <c r="CV231" s="44">
        <f t="shared" si="307"/>
        <v>0</v>
      </c>
    </row>
    <row r="232" spans="1:100" x14ac:dyDescent="0.25">
      <c r="A232" s="41"/>
      <c r="B232" s="42"/>
      <c r="C232" s="43" t="str" cm="1">
        <f t="array" ref="C232">IF(B232="","",INDEX(UWS!$B$10:$B$41,B232))</f>
        <v/>
      </c>
      <c r="D232" s="40" t="str">
        <f t="shared" si="264"/>
        <v/>
      </c>
      <c r="E232" s="69" t="str">
        <f t="shared" si="265"/>
        <v/>
      </c>
      <c r="F232" s="48" cm="1">
        <f t="array" ref="F232">0.1+IFERROR(INDEX($F$5:$F231,SUMPRODUCT(MAX(ROW($C$5:$C231)*($C232=$C$5:$C231))-ROW($A$4)))*0.9^($A232-INDEX($A$5:A231,SUMPRODUCT(MAX(ROW($C$5:$C231)*($C232=$C$5:$C231))-ROW($A$4)))),0)</f>
        <v>16.699999999999967</v>
      </c>
      <c r="G232" s="55" t="e">
        <f>INDEX(UWS!$AB$10:$AB$41,MATCH(C232,UWS!$B$10:$B$41,0))</f>
        <v>#N/A</v>
      </c>
      <c r="H232" s="48" t="e">
        <f>INDEX(UWS!$C$10:$C$41,MATCH(C232,UWS!$B$10:$B$41,0))</f>
        <v>#N/A</v>
      </c>
      <c r="I232" s="27">
        <f t="shared" si="266"/>
        <v>5</v>
      </c>
      <c r="J232" s="27" t="e">
        <f>INDEX(UWS!$E$10:$E$41,MATCH(C232,UWS!$B$10:$B$41,0))</f>
        <v>#N/A</v>
      </c>
      <c r="L232" s="108" t="str" cm="1">
        <f t="array" ref="L232">IF(K232="","",INDEX(UWS!$B$10:$B$41,K232))</f>
        <v/>
      </c>
      <c r="N232" s="108" t="str" cm="1">
        <f t="array" ref="N232">IF(M232="","",INDEX(UWS!$B$10:$B$41,M232))</f>
        <v/>
      </c>
      <c r="P232">
        <f>IFERROR(INDEX(UWS!$G$10:$Z$41,MATCH($C232,UWS!$B$10:$B$41,0),MATCH(P$4,UWS!$G$3:$Z$3,0)),0)</f>
        <v>0</v>
      </c>
      <c r="Q232">
        <f>IFERROR(INDEX(UWS!$G$10:$Z$41,MATCH($C232,UWS!$B$10:$B$41,0),MATCH(Q$4,UWS!$G$3:$Z$3,0)),0)</f>
        <v>0</v>
      </c>
      <c r="R232">
        <f>IFERROR(INDEX(UWS!$G$10:$Z$41,MATCH($C232,UWS!$B$10:$B$41,0),MATCH(R$4,UWS!$G$3:$Z$3,0)),0)</f>
        <v>0</v>
      </c>
      <c r="S232">
        <f>IFERROR(INDEX(UWS!$G$10:$Z$41,MATCH($C232,UWS!$B$10:$B$41,0),MATCH(S$4,UWS!$G$3:$Z$3,0)),0)</f>
        <v>0</v>
      </c>
      <c r="T232">
        <f>IFERROR(INDEX(UWS!$G$10:$Z$41,MATCH($C232,UWS!$B$10:$B$41,0),MATCH(T$4,UWS!$G$3:$Z$3,0)),0)</f>
        <v>0</v>
      </c>
      <c r="U232">
        <f>IFERROR(INDEX(UWS!$G$10:$Z$41,MATCH($C232,UWS!$B$10:$B$41,0),MATCH(U$4,UWS!$G$3:$Z$3,0)),0)</f>
        <v>0</v>
      </c>
      <c r="V232">
        <f>IFERROR(INDEX(UWS!$G$10:$Z$41,MATCH($C232,UWS!$B$10:$B$41,0),MATCH(V$4,UWS!$G$3:$Z$3,0)),0)</f>
        <v>0</v>
      </c>
      <c r="W232">
        <f>IFERROR(INDEX(UWS!$G$10:$Z$41,MATCH($C232,UWS!$B$10:$B$41,0),MATCH(W$4,UWS!$G$3:$Z$3,0)),0)</f>
        <v>0</v>
      </c>
      <c r="X232">
        <f>IFERROR(INDEX(UWS!$G$10:$Z$41,MATCH($C232,UWS!$B$10:$B$41,0),MATCH(X$4,UWS!$G$3:$Z$3,0)),0)</f>
        <v>0</v>
      </c>
      <c r="Y232">
        <f>IFERROR(INDEX(UWS!$G$10:$Z$41,MATCH($C232,UWS!$B$10:$B$41,0),MATCH(Y$4,UWS!$G$3:$Z$3,0)),0)</f>
        <v>0</v>
      </c>
      <c r="Z232">
        <f>IFERROR(INDEX(UWS!$G$10:$Z$41,MATCH($C232,UWS!$B$10:$B$41,0),MATCH(Z$4,UWS!$G$3:$Z$3,0)),0)</f>
        <v>0</v>
      </c>
      <c r="AA232">
        <f>IFERROR(INDEX(UWS!$G$10:$Z$41,MATCH($C232,UWS!$B$10:$B$41,0),MATCH(AA$4,UWS!$G$3:$Z$3,0)),0)</f>
        <v>0</v>
      </c>
      <c r="AB232">
        <f>IFERROR(INDEX(UWS!$G$10:$Z$41,MATCH($C232,UWS!$B$10:$B$41,0),MATCH(AB$4,UWS!$G$3:$Z$3,0)),0)</f>
        <v>0</v>
      </c>
      <c r="AC232">
        <f>IFERROR(INDEX(UWS!$G$10:$Z$41,MATCH($C232,UWS!$B$10:$B$41,0),MATCH(AC$4,UWS!$G$3:$Z$3,0)),0)</f>
        <v>0</v>
      </c>
      <c r="AD232">
        <f>IFERROR(INDEX(UWS!$G$10:$Z$41,MATCH($C232,UWS!$B$10:$B$41,0),MATCH(AD$4,UWS!$G$3:$Z$3,0)),0)</f>
        <v>0</v>
      </c>
      <c r="AE232">
        <f>IFERROR(INDEX(UWS!$G$10:$Z$41,MATCH($C232,UWS!$B$10:$B$41,0),MATCH(AE$4,UWS!$G$3:$Z$3,0)),0)</f>
        <v>0</v>
      </c>
      <c r="AF232">
        <f>IFERROR(INDEX(UWS!$G$10:$Z$41,MATCH($C232,UWS!$B$10:$B$41,0),MATCH(AF$4,UWS!$G$3:$Z$3,0)),0)</f>
        <v>0</v>
      </c>
      <c r="AG232">
        <f>IFERROR(INDEX(UWS!$G$10:$Z$41,MATCH($C232,UWS!$B$10:$B$41,0),MATCH(AG$4,UWS!$G$3:$Z$3,0)),0)</f>
        <v>0</v>
      </c>
      <c r="AH232">
        <f>IFERROR(INDEX(UWS!$G$10:$Z$41,MATCH($C232,UWS!$B$10:$B$41,0),MATCH(AH$4,UWS!$G$3:$Z$3,0)),0)</f>
        <v>0</v>
      </c>
      <c r="AI232">
        <f>IFERROR(INDEX(UWS!$G$10:$Z$41,MATCH($C232,UWS!$B$10:$B$41,0),MATCH(AI$4,UWS!$G$3:$Z$3,0)),0)</f>
        <v>0</v>
      </c>
      <c r="AK232" t="e">
        <f>IF(OR($J232=0,COUNTIFS($A$4:$A231,"&gt;="&amp;$A232-1,$A$4:$A231,"&lt;="&amp;$A232,$B$4:$B231,$B232)&gt;0,MIN(AK$1,IF($A232=$A231,AK231,1))-P232&lt;0),-1,MIN(1,IF($A232=$A231,AK231,1)-P232+$D$3))</f>
        <v>#N/A</v>
      </c>
      <c r="AL232" t="e">
        <f>IF(OR($J232=0,COUNTIFS($A$4:$A231,"&gt;="&amp;$A232-1,$A$4:$A231,"&lt;="&amp;$A232,$B$4:$B231,$B232)&gt;0,MIN(AL$1,IF($A232=$A231,AL231,1))-Q232&lt;0),-1,MIN(1,IF($A232=$A231,AL231,1)-Q232+$D$3))</f>
        <v>#N/A</v>
      </c>
      <c r="AM232" t="e">
        <f>IF(OR($J232=0,COUNTIFS($A$4:$A231,"&gt;="&amp;$A232-1,$A$4:$A231,"&lt;="&amp;$A232,$B$4:$B231,$B232)&gt;0,MIN(AM$1,IF($A232=$A231,AM231,1))-R232&lt;0),-1,MIN(1,IF($A232=$A231,AM231,1)-R232+$D$3))</f>
        <v>#N/A</v>
      </c>
      <c r="AN232" t="e">
        <f>IF(OR($J232=0,COUNTIFS($A$4:$A231,"&gt;="&amp;$A232-1,$A$4:$A231,"&lt;="&amp;$A232,$B$4:$B231,$B232)&gt;0,MIN(AN$1,IF($A232=$A231,AN231,1))-S232&lt;0),-1,MIN(1,IF($A232=$A231,AN231,1)-S232+$D$3))</f>
        <v>#N/A</v>
      </c>
      <c r="AO232" t="e">
        <f>IF(OR($J232=0,COUNTIFS($A$4:$A231,"&gt;="&amp;$A232-1,$A$4:$A231,"&lt;="&amp;$A232,$B$4:$B231,$B232)&gt;0,MIN(AO$1,IF($A232=$A231,AO231,1))-T232&lt;0),-1,MIN(1,IF($A232=$A231,AO231,1)-T232+$D$3))</f>
        <v>#N/A</v>
      </c>
      <c r="AP232" t="e">
        <f>IF(OR($J232=0,COUNTIFS($A$4:$A231,"&gt;="&amp;$A232-1,$A$4:$A231,"&lt;="&amp;$A232,$B$4:$B231,$B232)&gt;0,MIN(AP$1,IF($A232=$A231,AP231,1))-U232&lt;0),-1,MIN(1,IF($A232=$A231,AP231,1)-U232+$D$3))</f>
        <v>#N/A</v>
      </c>
      <c r="AQ232" t="e">
        <f>IF(OR($J232=0,COUNTIFS($A$4:$A231,"&gt;="&amp;$A232-1,$A$4:$A231,"&lt;="&amp;$A232,$B$4:$B231,$B232)&gt;0,MIN(AQ$1,IF($A232=$A231,AQ231,1))-V232&lt;0),-1,MIN(1,IF($A232=$A231,AQ231,1)-V232+$D$3))</f>
        <v>#N/A</v>
      </c>
      <c r="AR232" t="e">
        <f>IF(OR($J232=0,COUNTIFS($A$4:$A231,"&gt;="&amp;$A232-1,$A$4:$A231,"&lt;="&amp;$A232,$B$4:$B231,$B232)&gt;0,MIN(AR$1,IF($A232=$A231,AR231,1))-W232&lt;0),-1,MIN(1,IF($A232=$A231,AR231,1)-W232+$D$3))</f>
        <v>#N/A</v>
      </c>
      <c r="AS232" t="e">
        <f>IF(OR($J232=0,COUNTIFS($A$4:$A231,"&gt;="&amp;$A232-1,$A$4:$A231,"&lt;="&amp;$A232,$B$4:$B231,$B232)&gt;0,MIN(AS$1,IF($A232=$A231,AS231,1))-X232&lt;0),-1,MIN(1,IF($A232=$A231,AS231,1)-X232+$D$3))</f>
        <v>#N/A</v>
      </c>
      <c r="AT232" t="e">
        <f>IF(OR($J232=0,COUNTIFS($A$4:$A231,"&gt;="&amp;$A232-1,$A$4:$A231,"&lt;="&amp;$A232,$B$4:$B231,$B232)&gt;0,MIN(AT$1,IF($A232=$A231,AT231,1))-Y232&lt;0),-1,MIN(1,IF($A232=$A231,AT231,1)-Y232+$D$3))</f>
        <v>#N/A</v>
      </c>
      <c r="AU232" t="e">
        <f>IF(OR($J232=0,COUNTIFS($A$4:$A231,"&gt;="&amp;$A232-1,$A$4:$A231,"&lt;="&amp;$A232,$B$4:$B231,$B232)&gt;0,MIN(AU$1,IF($A232=$A231,AU231,1))-Z232&lt;0),-1,MIN(1,IF($A232=$A231,AU231,1)-Z232+$D$3))</f>
        <v>#N/A</v>
      </c>
      <c r="AV232" t="e">
        <f>IF(OR($J232=0,COUNTIFS($A$4:$A231,"&gt;="&amp;$A232-1,$A$4:$A231,"&lt;="&amp;$A232,$B$4:$B231,$B232)&gt;0,MIN(AV$1,IF($A232=$A231,AV231,1))-AA232&lt;0),-1,MIN(1,IF($A232=$A231,AV231,1)-AA232+$D$3))</f>
        <v>#N/A</v>
      </c>
      <c r="AW232" t="e">
        <f>IF(OR($J232=0,COUNTIFS($A$4:$A231,"&gt;="&amp;$A232-1,$A$4:$A231,"&lt;="&amp;$A232,$B$4:$B231,$B232)&gt;0,MIN(AW$1,IF($A232=$A231,AW231,1))-AB232&lt;0),-1,MIN(1,IF($A232=$A231,AW231,1)-AB232+$D$3))</f>
        <v>#N/A</v>
      </c>
      <c r="AX232" t="e">
        <f>IF(OR($J232=0,COUNTIFS($A$4:$A231,"&gt;="&amp;$A232-1,$A$4:$A231,"&lt;="&amp;$A232,$B$4:$B231,$B232)&gt;0,MIN(AX$1,IF($A232=$A231,AX231,1))-AC232&lt;0),-1,MIN(1,IF($A232=$A231,AX231,1)-AC232+$D$3))</f>
        <v>#N/A</v>
      </c>
      <c r="AY232" t="e">
        <f>IF(OR($J232=0,COUNTIFS($A$4:$A231,"&gt;="&amp;$A232-1,$A$4:$A231,"&lt;="&amp;$A232,$B$4:$B231,$B232)&gt;0,MIN(AY$1,IF($A232=$A231,AY231,1))-AD232&lt;0),-1,MIN(1,IF($A232=$A231,AY231,1)-AD232+$D$3))</f>
        <v>#N/A</v>
      </c>
      <c r="AZ232" t="e">
        <f>IF(OR($J232=0,COUNTIFS($A$4:$A231,"&gt;="&amp;$A232-1,$A$4:$A231,"&lt;="&amp;$A232,$B$4:$B231,$B232)&gt;0,MIN(AZ$1,IF($A232=$A231,AZ231,1))-AE232&lt;0),-1,MIN(1,IF($A232=$A231,AZ231,1)-AE232+$D$3))</f>
        <v>#N/A</v>
      </c>
      <c r="BA232" t="e">
        <f>IF(OR($J232=0,COUNTIFS($A$4:$A231,"&gt;="&amp;$A232-1,$A$4:$A231,"&lt;="&amp;$A232,$B$4:$B231,$B232)&gt;0,MIN(BA$1,IF($A232=$A231,BA231,1))-AF232&lt;0),-1,MIN(1,IF($A232=$A231,BA231,1)-AF232+$D$3))</f>
        <v>#N/A</v>
      </c>
      <c r="BB232" t="e">
        <f>IF(OR($J232=0,COUNTIFS($A$4:$A231,"&gt;="&amp;$A232-1,$A$4:$A231,"&lt;="&amp;$A232,$B$4:$B231,$B232)&gt;0,MIN(BB$1,IF($A232=$A231,BB231,1))-AG232&lt;0),-1,MIN(1,IF($A232=$A231,BB231,1)-AG232+$D$3))</f>
        <v>#N/A</v>
      </c>
      <c r="BC232" t="e">
        <f>IF(OR($J232=0,COUNTIFS($A$4:$A231,"&gt;="&amp;$A232-1,$A$4:$A231,"&lt;="&amp;$A232,$B$4:$B231,$B232)&gt;0,MIN(BC$1,IF($A232=$A231,BC231,1))-AH232&lt;0),-1,MIN(1,IF($A232=$A231,BC231,1)-AH232+$D$3))</f>
        <v>#N/A</v>
      </c>
      <c r="BD232" t="e">
        <f>IF(OR($J232=0,COUNTIFS($A$4:$A231,"&gt;="&amp;$A232-1,$A$4:$A231,"&lt;="&amp;$A232,$B$4:$B231,$B232)&gt;0,MIN(BD$1,IF($A232=$A231,BD231,1))-AI232&lt;0),-1,MIN(1,IF($A232=$A231,BD231,1)-AI232+$D$3))</f>
        <v>#N/A</v>
      </c>
      <c r="BF232" s="44">
        <f t="shared" si="267"/>
        <v>1.7672089388925762E-5</v>
      </c>
      <c r="BG232" s="44">
        <f t="shared" si="268"/>
        <v>4.3460654539843753E-5</v>
      </c>
      <c r="BH232" s="44">
        <f t="shared" si="269"/>
        <v>4.4542599290206518E-5</v>
      </c>
      <c r="BI232" s="44">
        <f t="shared" si="270"/>
        <v>4.1144995013497002E-5</v>
      </c>
      <c r="BJ232" s="44">
        <f t="shared" si="271"/>
        <v>4.252725848604158E-5</v>
      </c>
      <c r="BK232" s="44">
        <f t="shared" si="272"/>
        <v>1.8262790420169809E-5</v>
      </c>
      <c r="BL232" s="44">
        <f t="shared" si="273"/>
        <v>9.8658467023954973E-6</v>
      </c>
      <c r="BM232" s="44">
        <f t="shared" si="274"/>
        <v>2.5097561926292725E-5</v>
      </c>
      <c r="BN232" s="44">
        <f t="shared" si="275"/>
        <v>2.6103420391398461E-5</v>
      </c>
      <c r="BO232" s="44">
        <f t="shared" si="276"/>
        <v>1.223305330652576E-5</v>
      </c>
      <c r="BP232" s="44">
        <f t="shared" si="277"/>
        <v>4.1133369188337881E-5</v>
      </c>
      <c r="BQ232" s="44">
        <f t="shared" si="278"/>
        <v>1.1100193615390119E-5</v>
      </c>
      <c r="BR232" s="44">
        <f t="shared" si="279"/>
        <v>3.2792750608913905E-5</v>
      </c>
      <c r="BS232" s="44">
        <f t="shared" si="280"/>
        <v>1.7685565566920981E-5</v>
      </c>
      <c r="BT232" s="44">
        <f t="shared" si="281"/>
        <v>6.9987204926174438E-5</v>
      </c>
      <c r="BU232" s="44">
        <f t="shared" si="282"/>
        <v>6.68588406593692E-5</v>
      </c>
      <c r="BV232" s="44">
        <f t="shared" si="283"/>
        <v>6.420901859305412E-5</v>
      </c>
      <c r="BW232" s="44">
        <f t="shared" si="284"/>
        <v>4.1996231608939922E-5</v>
      </c>
      <c r="BX232" s="44">
        <f t="shared" si="285"/>
        <v>3.1026053292519219E-5</v>
      </c>
      <c r="BY232" s="44">
        <f t="shared" si="286"/>
        <v>2.6639432791539091E-5</v>
      </c>
      <c r="CA232" s="44" t="str">
        <f t="shared" si="287"/>
        <v/>
      </c>
      <c r="CB232" s="44" t="str">
        <f t="shared" si="288"/>
        <v/>
      </c>
      <c r="CC232" s="44" t="str">
        <f t="shared" si="289"/>
        <v/>
      </c>
      <c r="CD232" s="44" t="str">
        <f t="shared" si="290"/>
        <v/>
      </c>
      <c r="CE232" s="44" t="str">
        <f t="shared" si="291"/>
        <v/>
      </c>
      <c r="CF232" s="44" t="str">
        <f t="shared" si="292"/>
        <v/>
      </c>
      <c r="CG232" s="44" t="str">
        <f t="shared" si="293"/>
        <v/>
      </c>
      <c r="CH232" s="44" t="str">
        <f t="shared" si="294"/>
        <v/>
      </c>
      <c r="CI232" s="44" t="str">
        <f t="shared" si="295"/>
        <v/>
      </c>
      <c r="CJ232" s="44" t="str">
        <f t="shared" si="296"/>
        <v/>
      </c>
      <c r="CK232" s="44" t="str">
        <f t="shared" si="297"/>
        <v/>
      </c>
      <c r="CL232" s="44" t="str">
        <f t="shared" si="298"/>
        <v/>
      </c>
      <c r="CM232" s="44" t="str">
        <f t="shared" si="299"/>
        <v/>
      </c>
      <c r="CN232" s="44" t="str">
        <f t="shared" si="300"/>
        <v/>
      </c>
      <c r="CO232" s="44" t="str">
        <f t="shared" si="301"/>
        <v/>
      </c>
      <c r="CP232" s="44" t="str">
        <f t="shared" si="302"/>
        <v/>
      </c>
      <c r="CQ232" s="44" t="str">
        <f t="shared" si="303"/>
        <v/>
      </c>
      <c r="CR232" s="44" t="str">
        <f t="shared" si="304"/>
        <v/>
      </c>
      <c r="CS232" s="44" t="str">
        <f t="shared" si="305"/>
        <v/>
      </c>
      <c r="CT232" s="44" t="str">
        <f t="shared" si="306"/>
        <v/>
      </c>
      <c r="CV232" s="44">
        <f t="shared" si="307"/>
        <v>0</v>
      </c>
    </row>
    <row r="233" spans="1:100" x14ac:dyDescent="0.25">
      <c r="A233" s="41"/>
      <c r="B233" s="42"/>
      <c r="C233" s="43" t="str" cm="1">
        <f t="array" ref="C233">IF(B233="","",INDEX(UWS!$B$10:$B$41,B233))</f>
        <v/>
      </c>
      <c r="D233" s="40" t="str">
        <f t="shared" si="264"/>
        <v/>
      </c>
      <c r="E233" s="69" t="str">
        <f t="shared" si="265"/>
        <v/>
      </c>
      <c r="F233" s="48" cm="1">
        <f t="array" ref="F233">0.1+IFERROR(INDEX($F$5:$F232,SUMPRODUCT(MAX(ROW($C$5:$C232)*($C233=$C$5:$C232))-ROW($A$4)))*0.9^($A233-INDEX($A$5:A232,SUMPRODUCT(MAX(ROW($C$5:$C232)*($C233=$C$5:$C232))-ROW($A$4)))),0)</f>
        <v>16.799999999999969</v>
      </c>
      <c r="G233" s="55" t="e">
        <f>INDEX(UWS!$AB$10:$AB$41,MATCH(C233,UWS!$B$10:$B$41,0))</f>
        <v>#N/A</v>
      </c>
      <c r="H233" s="48" t="e">
        <f>INDEX(UWS!$C$10:$C$41,MATCH(C233,UWS!$B$10:$B$41,0))</f>
        <v>#N/A</v>
      </c>
      <c r="I233" s="27">
        <f t="shared" si="266"/>
        <v>5</v>
      </c>
      <c r="J233" s="27" t="e">
        <f>INDEX(UWS!$E$10:$E$41,MATCH(C233,UWS!$B$10:$B$41,0))</f>
        <v>#N/A</v>
      </c>
      <c r="L233" s="108" t="str" cm="1">
        <f t="array" ref="L233">IF(K233="","",INDEX(UWS!$B$10:$B$41,K233))</f>
        <v/>
      </c>
      <c r="N233" s="108" t="str" cm="1">
        <f t="array" ref="N233">IF(M233="","",INDEX(UWS!$B$10:$B$41,M233))</f>
        <v/>
      </c>
      <c r="P233">
        <f>IFERROR(INDEX(UWS!$G$10:$Z$41,MATCH($C233,UWS!$B$10:$B$41,0),MATCH(P$4,UWS!$G$3:$Z$3,0)),0)</f>
        <v>0</v>
      </c>
      <c r="Q233">
        <f>IFERROR(INDEX(UWS!$G$10:$Z$41,MATCH($C233,UWS!$B$10:$B$41,0),MATCH(Q$4,UWS!$G$3:$Z$3,0)),0)</f>
        <v>0</v>
      </c>
      <c r="R233">
        <f>IFERROR(INDEX(UWS!$G$10:$Z$41,MATCH($C233,UWS!$B$10:$B$41,0),MATCH(R$4,UWS!$G$3:$Z$3,0)),0)</f>
        <v>0</v>
      </c>
      <c r="S233">
        <f>IFERROR(INDEX(UWS!$G$10:$Z$41,MATCH($C233,UWS!$B$10:$B$41,0),MATCH(S$4,UWS!$G$3:$Z$3,0)),0)</f>
        <v>0</v>
      </c>
      <c r="T233">
        <f>IFERROR(INDEX(UWS!$G$10:$Z$41,MATCH($C233,UWS!$B$10:$B$41,0),MATCH(T$4,UWS!$G$3:$Z$3,0)),0)</f>
        <v>0</v>
      </c>
      <c r="U233">
        <f>IFERROR(INDEX(UWS!$G$10:$Z$41,MATCH($C233,UWS!$B$10:$B$41,0),MATCH(U$4,UWS!$G$3:$Z$3,0)),0)</f>
        <v>0</v>
      </c>
      <c r="V233">
        <f>IFERROR(INDEX(UWS!$G$10:$Z$41,MATCH($C233,UWS!$B$10:$B$41,0),MATCH(V$4,UWS!$G$3:$Z$3,0)),0)</f>
        <v>0</v>
      </c>
      <c r="W233">
        <f>IFERROR(INDEX(UWS!$G$10:$Z$41,MATCH($C233,UWS!$B$10:$B$41,0),MATCH(W$4,UWS!$G$3:$Z$3,0)),0)</f>
        <v>0</v>
      </c>
      <c r="X233">
        <f>IFERROR(INDEX(UWS!$G$10:$Z$41,MATCH($C233,UWS!$B$10:$B$41,0),MATCH(X$4,UWS!$G$3:$Z$3,0)),0)</f>
        <v>0</v>
      </c>
      <c r="Y233">
        <f>IFERROR(INDEX(UWS!$G$10:$Z$41,MATCH($C233,UWS!$B$10:$B$41,0),MATCH(Y$4,UWS!$G$3:$Z$3,0)),0)</f>
        <v>0</v>
      </c>
      <c r="Z233">
        <f>IFERROR(INDEX(UWS!$G$10:$Z$41,MATCH($C233,UWS!$B$10:$B$41,0),MATCH(Z$4,UWS!$G$3:$Z$3,0)),0)</f>
        <v>0</v>
      </c>
      <c r="AA233">
        <f>IFERROR(INDEX(UWS!$G$10:$Z$41,MATCH($C233,UWS!$B$10:$B$41,0),MATCH(AA$4,UWS!$G$3:$Z$3,0)),0)</f>
        <v>0</v>
      </c>
      <c r="AB233">
        <f>IFERROR(INDEX(UWS!$G$10:$Z$41,MATCH($C233,UWS!$B$10:$B$41,0),MATCH(AB$4,UWS!$G$3:$Z$3,0)),0)</f>
        <v>0</v>
      </c>
      <c r="AC233">
        <f>IFERROR(INDEX(UWS!$G$10:$Z$41,MATCH($C233,UWS!$B$10:$B$41,0),MATCH(AC$4,UWS!$G$3:$Z$3,0)),0)</f>
        <v>0</v>
      </c>
      <c r="AD233">
        <f>IFERROR(INDEX(UWS!$G$10:$Z$41,MATCH($C233,UWS!$B$10:$B$41,0),MATCH(AD$4,UWS!$G$3:$Z$3,0)),0)</f>
        <v>0</v>
      </c>
      <c r="AE233">
        <f>IFERROR(INDEX(UWS!$G$10:$Z$41,MATCH($C233,UWS!$B$10:$B$41,0),MATCH(AE$4,UWS!$G$3:$Z$3,0)),0)</f>
        <v>0</v>
      </c>
      <c r="AF233">
        <f>IFERROR(INDEX(UWS!$G$10:$Z$41,MATCH($C233,UWS!$B$10:$B$41,0),MATCH(AF$4,UWS!$G$3:$Z$3,0)),0)</f>
        <v>0</v>
      </c>
      <c r="AG233">
        <f>IFERROR(INDEX(UWS!$G$10:$Z$41,MATCH($C233,UWS!$B$10:$B$41,0),MATCH(AG$4,UWS!$G$3:$Z$3,0)),0)</f>
        <v>0</v>
      </c>
      <c r="AH233">
        <f>IFERROR(INDEX(UWS!$G$10:$Z$41,MATCH($C233,UWS!$B$10:$B$41,0),MATCH(AH$4,UWS!$G$3:$Z$3,0)),0)</f>
        <v>0</v>
      </c>
      <c r="AI233">
        <f>IFERROR(INDEX(UWS!$G$10:$Z$41,MATCH($C233,UWS!$B$10:$B$41,0),MATCH(AI$4,UWS!$G$3:$Z$3,0)),0)</f>
        <v>0</v>
      </c>
      <c r="AK233" t="e">
        <f>IF(OR($J233=0,COUNTIFS($A$4:$A232,"&gt;="&amp;$A233-1,$A$4:$A232,"&lt;="&amp;$A233,$B$4:$B232,$B233)&gt;0,MIN(AK$1,IF($A233=$A232,AK232,1))-P233&lt;0),-1,MIN(1,IF($A233=$A232,AK232,1)-P233+$D$3))</f>
        <v>#N/A</v>
      </c>
      <c r="AL233" t="e">
        <f>IF(OR($J233=0,COUNTIFS($A$4:$A232,"&gt;="&amp;$A233-1,$A$4:$A232,"&lt;="&amp;$A233,$B$4:$B232,$B233)&gt;0,MIN(AL$1,IF($A233=$A232,AL232,1))-Q233&lt;0),-1,MIN(1,IF($A233=$A232,AL232,1)-Q233+$D$3))</f>
        <v>#N/A</v>
      </c>
      <c r="AM233" t="e">
        <f>IF(OR($J233=0,COUNTIFS($A$4:$A232,"&gt;="&amp;$A233-1,$A$4:$A232,"&lt;="&amp;$A233,$B$4:$B232,$B233)&gt;0,MIN(AM$1,IF($A233=$A232,AM232,1))-R233&lt;0),-1,MIN(1,IF($A233=$A232,AM232,1)-R233+$D$3))</f>
        <v>#N/A</v>
      </c>
      <c r="AN233" t="e">
        <f>IF(OR($J233=0,COUNTIFS($A$4:$A232,"&gt;="&amp;$A233-1,$A$4:$A232,"&lt;="&amp;$A233,$B$4:$B232,$B233)&gt;0,MIN(AN$1,IF($A233=$A232,AN232,1))-S233&lt;0),-1,MIN(1,IF($A233=$A232,AN232,1)-S233+$D$3))</f>
        <v>#N/A</v>
      </c>
      <c r="AO233" t="e">
        <f>IF(OR($J233=0,COUNTIFS($A$4:$A232,"&gt;="&amp;$A233-1,$A$4:$A232,"&lt;="&amp;$A233,$B$4:$B232,$B233)&gt;0,MIN(AO$1,IF($A233=$A232,AO232,1))-T233&lt;0),-1,MIN(1,IF($A233=$A232,AO232,1)-T233+$D$3))</f>
        <v>#N/A</v>
      </c>
      <c r="AP233" t="e">
        <f>IF(OR($J233=0,COUNTIFS($A$4:$A232,"&gt;="&amp;$A233-1,$A$4:$A232,"&lt;="&amp;$A233,$B$4:$B232,$B233)&gt;0,MIN(AP$1,IF($A233=$A232,AP232,1))-U233&lt;0),-1,MIN(1,IF($A233=$A232,AP232,1)-U233+$D$3))</f>
        <v>#N/A</v>
      </c>
      <c r="AQ233" t="e">
        <f>IF(OR($J233=0,COUNTIFS($A$4:$A232,"&gt;="&amp;$A233-1,$A$4:$A232,"&lt;="&amp;$A233,$B$4:$B232,$B233)&gt;0,MIN(AQ$1,IF($A233=$A232,AQ232,1))-V233&lt;0),-1,MIN(1,IF($A233=$A232,AQ232,1)-V233+$D$3))</f>
        <v>#N/A</v>
      </c>
      <c r="AR233" t="e">
        <f>IF(OR($J233=0,COUNTIFS($A$4:$A232,"&gt;="&amp;$A233-1,$A$4:$A232,"&lt;="&amp;$A233,$B$4:$B232,$B233)&gt;0,MIN(AR$1,IF($A233=$A232,AR232,1))-W233&lt;0),-1,MIN(1,IF($A233=$A232,AR232,1)-W233+$D$3))</f>
        <v>#N/A</v>
      </c>
      <c r="AS233" t="e">
        <f>IF(OR($J233=0,COUNTIFS($A$4:$A232,"&gt;="&amp;$A233-1,$A$4:$A232,"&lt;="&amp;$A233,$B$4:$B232,$B233)&gt;0,MIN(AS$1,IF($A233=$A232,AS232,1))-X233&lt;0),-1,MIN(1,IF($A233=$A232,AS232,1)-X233+$D$3))</f>
        <v>#N/A</v>
      </c>
      <c r="AT233" t="e">
        <f>IF(OR($J233=0,COUNTIFS($A$4:$A232,"&gt;="&amp;$A233-1,$A$4:$A232,"&lt;="&amp;$A233,$B$4:$B232,$B233)&gt;0,MIN(AT$1,IF($A233=$A232,AT232,1))-Y233&lt;0),-1,MIN(1,IF($A233=$A232,AT232,1)-Y233+$D$3))</f>
        <v>#N/A</v>
      </c>
      <c r="AU233" t="e">
        <f>IF(OR($J233=0,COUNTIFS($A$4:$A232,"&gt;="&amp;$A233-1,$A$4:$A232,"&lt;="&amp;$A233,$B$4:$B232,$B233)&gt;0,MIN(AU$1,IF($A233=$A232,AU232,1))-Z233&lt;0),-1,MIN(1,IF($A233=$A232,AU232,1)-Z233+$D$3))</f>
        <v>#N/A</v>
      </c>
      <c r="AV233" t="e">
        <f>IF(OR($J233=0,COUNTIFS($A$4:$A232,"&gt;="&amp;$A233-1,$A$4:$A232,"&lt;="&amp;$A233,$B$4:$B232,$B233)&gt;0,MIN(AV$1,IF($A233=$A232,AV232,1))-AA233&lt;0),-1,MIN(1,IF($A233=$A232,AV232,1)-AA233+$D$3))</f>
        <v>#N/A</v>
      </c>
      <c r="AW233" t="e">
        <f>IF(OR($J233=0,COUNTIFS($A$4:$A232,"&gt;="&amp;$A233-1,$A$4:$A232,"&lt;="&amp;$A233,$B$4:$B232,$B233)&gt;0,MIN(AW$1,IF($A233=$A232,AW232,1))-AB233&lt;0),-1,MIN(1,IF($A233=$A232,AW232,1)-AB233+$D$3))</f>
        <v>#N/A</v>
      </c>
      <c r="AX233" t="e">
        <f>IF(OR($J233=0,COUNTIFS($A$4:$A232,"&gt;="&amp;$A233-1,$A$4:$A232,"&lt;="&amp;$A233,$B$4:$B232,$B233)&gt;0,MIN(AX$1,IF($A233=$A232,AX232,1))-AC233&lt;0),-1,MIN(1,IF($A233=$A232,AX232,1)-AC233+$D$3))</f>
        <v>#N/A</v>
      </c>
      <c r="AY233" t="e">
        <f>IF(OR($J233=0,COUNTIFS($A$4:$A232,"&gt;="&amp;$A233-1,$A$4:$A232,"&lt;="&amp;$A233,$B$4:$B232,$B233)&gt;0,MIN(AY$1,IF($A233=$A232,AY232,1))-AD233&lt;0),-1,MIN(1,IF($A233=$A232,AY232,1)-AD233+$D$3))</f>
        <v>#N/A</v>
      </c>
      <c r="AZ233" t="e">
        <f>IF(OR($J233=0,COUNTIFS($A$4:$A232,"&gt;="&amp;$A233-1,$A$4:$A232,"&lt;="&amp;$A233,$B$4:$B232,$B233)&gt;0,MIN(AZ$1,IF($A233=$A232,AZ232,1))-AE233&lt;0),-1,MIN(1,IF($A233=$A232,AZ232,1)-AE233+$D$3))</f>
        <v>#N/A</v>
      </c>
      <c r="BA233" t="e">
        <f>IF(OR($J233=0,COUNTIFS($A$4:$A232,"&gt;="&amp;$A233-1,$A$4:$A232,"&lt;="&amp;$A233,$B$4:$B232,$B233)&gt;0,MIN(BA$1,IF($A233=$A232,BA232,1))-AF233&lt;0),-1,MIN(1,IF($A233=$A232,BA232,1)-AF233+$D$3))</f>
        <v>#N/A</v>
      </c>
      <c r="BB233" t="e">
        <f>IF(OR($J233=0,COUNTIFS($A$4:$A232,"&gt;="&amp;$A233-1,$A$4:$A232,"&lt;="&amp;$A233,$B$4:$B232,$B233)&gt;0,MIN(BB$1,IF($A233=$A232,BB232,1))-AG233&lt;0),-1,MIN(1,IF($A233=$A232,BB232,1)-AG233+$D$3))</f>
        <v>#N/A</v>
      </c>
      <c r="BC233" t="e">
        <f>IF(OR($J233=0,COUNTIFS($A$4:$A232,"&gt;="&amp;$A233-1,$A$4:$A232,"&lt;="&amp;$A233,$B$4:$B232,$B233)&gt;0,MIN(BC$1,IF($A233=$A232,BC232,1))-AH233&lt;0),-1,MIN(1,IF($A233=$A232,BC232,1)-AH233+$D$3))</f>
        <v>#N/A</v>
      </c>
      <c r="BD233" t="e">
        <f>IF(OR($J233=0,COUNTIFS($A$4:$A232,"&gt;="&amp;$A233-1,$A$4:$A232,"&lt;="&amp;$A233,$B$4:$B232,$B233)&gt;0,MIN(BD$1,IF($A233=$A232,BD232,1))-AI233&lt;0),-1,MIN(1,IF($A233=$A232,BD232,1)-AI233+$D$3))</f>
        <v>#N/A</v>
      </c>
      <c r="BF233" s="44">
        <f t="shared" si="267"/>
        <v>1.6788484919479472E-5</v>
      </c>
      <c r="BG233" s="44">
        <f t="shared" si="268"/>
        <v>4.1287621812851561E-5</v>
      </c>
      <c r="BH233" s="44">
        <f t="shared" si="269"/>
        <v>4.231546932569619E-5</v>
      </c>
      <c r="BI233" s="44">
        <f t="shared" si="270"/>
        <v>3.9087745262822152E-5</v>
      </c>
      <c r="BJ233" s="44">
        <f t="shared" si="271"/>
        <v>4.0400895561739499E-5</v>
      </c>
      <c r="BK233" s="44">
        <f t="shared" si="272"/>
        <v>1.7349650899161317E-5</v>
      </c>
      <c r="BL233" s="44">
        <f t="shared" si="273"/>
        <v>9.3725543672757219E-6</v>
      </c>
      <c r="BM233" s="44">
        <f t="shared" si="274"/>
        <v>2.3842683829978089E-5</v>
      </c>
      <c r="BN233" s="44">
        <f t="shared" si="275"/>
        <v>2.4798249371828538E-5</v>
      </c>
      <c r="BO233" s="44">
        <f t="shared" si="276"/>
        <v>1.1621400641199471E-5</v>
      </c>
      <c r="BP233" s="44">
        <f t="shared" si="277"/>
        <v>3.9076700728920984E-5</v>
      </c>
      <c r="BQ233" s="44">
        <f t="shared" si="278"/>
        <v>1.0545183934620613E-5</v>
      </c>
      <c r="BR233" s="44">
        <f t="shared" si="279"/>
        <v>3.1153113078468211E-5</v>
      </c>
      <c r="BS233" s="44">
        <f t="shared" si="280"/>
        <v>1.6801287288574932E-5</v>
      </c>
      <c r="BT233" s="44">
        <f t="shared" si="281"/>
        <v>6.6487844679865714E-5</v>
      </c>
      <c r="BU233" s="44">
        <f t="shared" si="282"/>
        <v>6.351589862640074E-5</v>
      </c>
      <c r="BV233" s="44">
        <f t="shared" si="283"/>
        <v>6.0998567663401414E-5</v>
      </c>
      <c r="BW233" s="44">
        <f t="shared" si="284"/>
        <v>3.9896420028492922E-5</v>
      </c>
      <c r="BX233" s="44">
        <f t="shared" si="285"/>
        <v>2.9474750627893256E-5</v>
      </c>
      <c r="BY233" s="44">
        <f t="shared" si="286"/>
        <v>2.5307461151962137E-5</v>
      </c>
      <c r="CA233" s="44" t="str">
        <f t="shared" si="287"/>
        <v/>
      </c>
      <c r="CB233" s="44" t="str">
        <f t="shared" si="288"/>
        <v/>
      </c>
      <c r="CC233" s="44" t="str">
        <f t="shared" si="289"/>
        <v/>
      </c>
      <c r="CD233" s="44" t="str">
        <f t="shared" si="290"/>
        <v/>
      </c>
      <c r="CE233" s="44" t="str">
        <f t="shared" si="291"/>
        <v/>
      </c>
      <c r="CF233" s="44" t="str">
        <f t="shared" si="292"/>
        <v/>
      </c>
      <c r="CG233" s="44" t="str">
        <f t="shared" si="293"/>
        <v/>
      </c>
      <c r="CH233" s="44" t="str">
        <f t="shared" si="294"/>
        <v/>
      </c>
      <c r="CI233" s="44" t="str">
        <f t="shared" si="295"/>
        <v/>
      </c>
      <c r="CJ233" s="44" t="str">
        <f t="shared" si="296"/>
        <v/>
      </c>
      <c r="CK233" s="44" t="str">
        <f t="shared" si="297"/>
        <v/>
      </c>
      <c r="CL233" s="44" t="str">
        <f t="shared" si="298"/>
        <v/>
      </c>
      <c r="CM233" s="44" t="str">
        <f t="shared" si="299"/>
        <v/>
      </c>
      <c r="CN233" s="44" t="str">
        <f t="shared" si="300"/>
        <v/>
      </c>
      <c r="CO233" s="44" t="str">
        <f t="shared" si="301"/>
        <v/>
      </c>
      <c r="CP233" s="44" t="str">
        <f t="shared" si="302"/>
        <v/>
      </c>
      <c r="CQ233" s="44" t="str">
        <f t="shared" si="303"/>
        <v/>
      </c>
      <c r="CR233" s="44" t="str">
        <f t="shared" si="304"/>
        <v/>
      </c>
      <c r="CS233" s="44" t="str">
        <f t="shared" si="305"/>
        <v/>
      </c>
      <c r="CT233" s="44" t="str">
        <f t="shared" si="306"/>
        <v/>
      </c>
      <c r="CV233" s="44">
        <f t="shared" si="307"/>
        <v>0</v>
      </c>
    </row>
    <row r="234" spans="1:100" x14ac:dyDescent="0.25">
      <c r="A234" s="41"/>
      <c r="B234" s="42"/>
      <c r="C234" s="43" t="str" cm="1">
        <f t="array" ref="C234">IF(B234="","",INDEX(UWS!$B$10:$B$41,B234))</f>
        <v/>
      </c>
      <c r="D234" s="40" t="str">
        <f t="shared" si="264"/>
        <v/>
      </c>
      <c r="E234" s="69" t="str">
        <f t="shared" si="265"/>
        <v/>
      </c>
      <c r="F234" s="48" cm="1">
        <f t="array" ref="F234">0.1+IFERROR(INDEX($F$5:$F233,SUMPRODUCT(MAX(ROW($C$5:$C233)*($C234=$C$5:$C233))-ROW($A$4)))*0.9^($A234-INDEX($A$5:A233,SUMPRODUCT(MAX(ROW($C$5:$C233)*($C234=$C$5:$C233))-ROW($A$4)))),0)</f>
        <v>16.89999999999997</v>
      </c>
      <c r="G234" s="55" t="e">
        <f>INDEX(UWS!$AB$10:$AB$41,MATCH(C234,UWS!$B$10:$B$41,0))</f>
        <v>#N/A</v>
      </c>
      <c r="H234" s="48" t="e">
        <f>INDEX(UWS!$C$10:$C$41,MATCH(C234,UWS!$B$10:$B$41,0))</f>
        <v>#N/A</v>
      </c>
      <c r="I234" s="27">
        <f t="shared" si="266"/>
        <v>5</v>
      </c>
      <c r="J234" s="27" t="e">
        <f>INDEX(UWS!$E$10:$E$41,MATCH(C234,UWS!$B$10:$B$41,0))</f>
        <v>#N/A</v>
      </c>
      <c r="L234" s="108" t="str" cm="1">
        <f t="array" ref="L234">IF(K234="","",INDEX(UWS!$B$10:$B$41,K234))</f>
        <v/>
      </c>
      <c r="N234" s="108" t="str" cm="1">
        <f t="array" ref="N234">IF(M234="","",INDEX(UWS!$B$10:$B$41,M234))</f>
        <v/>
      </c>
      <c r="P234">
        <f>IFERROR(INDEX(UWS!$G$10:$Z$41,MATCH($C234,UWS!$B$10:$B$41,0),MATCH(P$4,UWS!$G$3:$Z$3,0)),0)</f>
        <v>0</v>
      </c>
      <c r="Q234">
        <f>IFERROR(INDEX(UWS!$G$10:$Z$41,MATCH($C234,UWS!$B$10:$B$41,0),MATCH(Q$4,UWS!$G$3:$Z$3,0)),0)</f>
        <v>0</v>
      </c>
      <c r="R234">
        <f>IFERROR(INDEX(UWS!$G$10:$Z$41,MATCH($C234,UWS!$B$10:$B$41,0),MATCH(R$4,UWS!$G$3:$Z$3,0)),0)</f>
        <v>0</v>
      </c>
      <c r="S234">
        <f>IFERROR(INDEX(UWS!$G$10:$Z$41,MATCH($C234,UWS!$B$10:$B$41,0),MATCH(S$4,UWS!$G$3:$Z$3,0)),0)</f>
        <v>0</v>
      </c>
      <c r="T234">
        <f>IFERROR(INDEX(UWS!$G$10:$Z$41,MATCH($C234,UWS!$B$10:$B$41,0),MATCH(T$4,UWS!$G$3:$Z$3,0)),0)</f>
        <v>0</v>
      </c>
      <c r="U234">
        <f>IFERROR(INDEX(UWS!$G$10:$Z$41,MATCH($C234,UWS!$B$10:$B$41,0),MATCH(U$4,UWS!$G$3:$Z$3,0)),0)</f>
        <v>0</v>
      </c>
      <c r="V234">
        <f>IFERROR(INDEX(UWS!$G$10:$Z$41,MATCH($C234,UWS!$B$10:$B$41,0),MATCH(V$4,UWS!$G$3:$Z$3,0)),0)</f>
        <v>0</v>
      </c>
      <c r="W234">
        <f>IFERROR(INDEX(UWS!$G$10:$Z$41,MATCH($C234,UWS!$B$10:$B$41,0),MATCH(W$4,UWS!$G$3:$Z$3,0)),0)</f>
        <v>0</v>
      </c>
      <c r="X234">
        <f>IFERROR(INDEX(UWS!$G$10:$Z$41,MATCH($C234,UWS!$B$10:$B$41,0),MATCH(X$4,UWS!$G$3:$Z$3,0)),0)</f>
        <v>0</v>
      </c>
      <c r="Y234">
        <f>IFERROR(INDEX(UWS!$G$10:$Z$41,MATCH($C234,UWS!$B$10:$B$41,0),MATCH(Y$4,UWS!$G$3:$Z$3,0)),0)</f>
        <v>0</v>
      </c>
      <c r="Z234">
        <f>IFERROR(INDEX(UWS!$G$10:$Z$41,MATCH($C234,UWS!$B$10:$B$41,0),MATCH(Z$4,UWS!$G$3:$Z$3,0)),0)</f>
        <v>0</v>
      </c>
      <c r="AA234">
        <f>IFERROR(INDEX(UWS!$G$10:$Z$41,MATCH($C234,UWS!$B$10:$B$41,0),MATCH(AA$4,UWS!$G$3:$Z$3,0)),0)</f>
        <v>0</v>
      </c>
      <c r="AB234">
        <f>IFERROR(INDEX(UWS!$G$10:$Z$41,MATCH($C234,UWS!$B$10:$B$41,0),MATCH(AB$4,UWS!$G$3:$Z$3,0)),0)</f>
        <v>0</v>
      </c>
      <c r="AC234">
        <f>IFERROR(INDEX(UWS!$G$10:$Z$41,MATCH($C234,UWS!$B$10:$B$41,0),MATCH(AC$4,UWS!$G$3:$Z$3,0)),0)</f>
        <v>0</v>
      </c>
      <c r="AD234">
        <f>IFERROR(INDEX(UWS!$G$10:$Z$41,MATCH($C234,UWS!$B$10:$B$41,0),MATCH(AD$4,UWS!$G$3:$Z$3,0)),0)</f>
        <v>0</v>
      </c>
      <c r="AE234">
        <f>IFERROR(INDEX(UWS!$G$10:$Z$41,MATCH($C234,UWS!$B$10:$B$41,0),MATCH(AE$4,UWS!$G$3:$Z$3,0)),0)</f>
        <v>0</v>
      </c>
      <c r="AF234">
        <f>IFERROR(INDEX(UWS!$G$10:$Z$41,MATCH($C234,UWS!$B$10:$B$41,0),MATCH(AF$4,UWS!$G$3:$Z$3,0)),0)</f>
        <v>0</v>
      </c>
      <c r="AG234">
        <f>IFERROR(INDEX(UWS!$G$10:$Z$41,MATCH($C234,UWS!$B$10:$B$41,0),MATCH(AG$4,UWS!$G$3:$Z$3,0)),0)</f>
        <v>0</v>
      </c>
      <c r="AH234">
        <f>IFERROR(INDEX(UWS!$G$10:$Z$41,MATCH($C234,UWS!$B$10:$B$41,0),MATCH(AH$4,UWS!$G$3:$Z$3,0)),0)</f>
        <v>0</v>
      </c>
      <c r="AI234">
        <f>IFERROR(INDEX(UWS!$G$10:$Z$41,MATCH($C234,UWS!$B$10:$B$41,0),MATCH(AI$4,UWS!$G$3:$Z$3,0)),0)</f>
        <v>0</v>
      </c>
      <c r="AK234" t="e">
        <f>IF(OR($J234=0,COUNTIFS($A$4:$A233,"&gt;="&amp;$A234-1,$A$4:$A233,"&lt;="&amp;$A234,$B$4:$B233,$B234)&gt;0,MIN(AK$1,IF($A234=$A233,AK233,1))-P234&lt;0),-1,MIN(1,IF($A234=$A233,AK233,1)-P234+$D$3))</f>
        <v>#N/A</v>
      </c>
      <c r="AL234" t="e">
        <f>IF(OR($J234=0,COUNTIFS($A$4:$A233,"&gt;="&amp;$A234-1,$A$4:$A233,"&lt;="&amp;$A234,$B$4:$B233,$B234)&gt;0,MIN(AL$1,IF($A234=$A233,AL233,1))-Q234&lt;0),-1,MIN(1,IF($A234=$A233,AL233,1)-Q234+$D$3))</f>
        <v>#N/A</v>
      </c>
      <c r="AM234" t="e">
        <f>IF(OR($J234=0,COUNTIFS($A$4:$A233,"&gt;="&amp;$A234-1,$A$4:$A233,"&lt;="&amp;$A234,$B$4:$B233,$B234)&gt;0,MIN(AM$1,IF($A234=$A233,AM233,1))-R234&lt;0),-1,MIN(1,IF($A234=$A233,AM233,1)-R234+$D$3))</f>
        <v>#N/A</v>
      </c>
      <c r="AN234" t="e">
        <f>IF(OR($J234=0,COUNTIFS($A$4:$A233,"&gt;="&amp;$A234-1,$A$4:$A233,"&lt;="&amp;$A234,$B$4:$B233,$B234)&gt;0,MIN(AN$1,IF($A234=$A233,AN233,1))-S234&lt;0),-1,MIN(1,IF($A234=$A233,AN233,1)-S234+$D$3))</f>
        <v>#N/A</v>
      </c>
      <c r="AO234" t="e">
        <f>IF(OR($J234=0,COUNTIFS($A$4:$A233,"&gt;="&amp;$A234-1,$A$4:$A233,"&lt;="&amp;$A234,$B$4:$B233,$B234)&gt;0,MIN(AO$1,IF($A234=$A233,AO233,1))-T234&lt;0),-1,MIN(1,IF($A234=$A233,AO233,1)-T234+$D$3))</f>
        <v>#N/A</v>
      </c>
      <c r="AP234" t="e">
        <f>IF(OR($J234=0,COUNTIFS($A$4:$A233,"&gt;="&amp;$A234-1,$A$4:$A233,"&lt;="&amp;$A234,$B$4:$B233,$B234)&gt;0,MIN(AP$1,IF($A234=$A233,AP233,1))-U234&lt;0),-1,MIN(1,IF($A234=$A233,AP233,1)-U234+$D$3))</f>
        <v>#N/A</v>
      </c>
      <c r="AQ234" t="e">
        <f>IF(OR($J234=0,COUNTIFS($A$4:$A233,"&gt;="&amp;$A234-1,$A$4:$A233,"&lt;="&amp;$A234,$B$4:$B233,$B234)&gt;0,MIN(AQ$1,IF($A234=$A233,AQ233,1))-V234&lt;0),-1,MIN(1,IF($A234=$A233,AQ233,1)-V234+$D$3))</f>
        <v>#N/A</v>
      </c>
      <c r="AR234" t="e">
        <f>IF(OR($J234=0,COUNTIFS($A$4:$A233,"&gt;="&amp;$A234-1,$A$4:$A233,"&lt;="&amp;$A234,$B$4:$B233,$B234)&gt;0,MIN(AR$1,IF($A234=$A233,AR233,1))-W234&lt;0),-1,MIN(1,IF($A234=$A233,AR233,1)-W234+$D$3))</f>
        <v>#N/A</v>
      </c>
      <c r="AS234" t="e">
        <f>IF(OR($J234=0,COUNTIFS($A$4:$A233,"&gt;="&amp;$A234-1,$A$4:$A233,"&lt;="&amp;$A234,$B$4:$B233,$B234)&gt;0,MIN(AS$1,IF($A234=$A233,AS233,1))-X234&lt;0),-1,MIN(1,IF($A234=$A233,AS233,1)-X234+$D$3))</f>
        <v>#N/A</v>
      </c>
      <c r="AT234" t="e">
        <f>IF(OR($J234=0,COUNTIFS($A$4:$A233,"&gt;="&amp;$A234-1,$A$4:$A233,"&lt;="&amp;$A234,$B$4:$B233,$B234)&gt;0,MIN(AT$1,IF($A234=$A233,AT233,1))-Y234&lt;0),-1,MIN(1,IF($A234=$A233,AT233,1)-Y234+$D$3))</f>
        <v>#N/A</v>
      </c>
      <c r="AU234" t="e">
        <f>IF(OR($J234=0,COUNTIFS($A$4:$A233,"&gt;="&amp;$A234-1,$A$4:$A233,"&lt;="&amp;$A234,$B$4:$B233,$B234)&gt;0,MIN(AU$1,IF($A234=$A233,AU233,1))-Z234&lt;0),-1,MIN(1,IF($A234=$A233,AU233,1)-Z234+$D$3))</f>
        <v>#N/A</v>
      </c>
      <c r="AV234" t="e">
        <f>IF(OR($J234=0,COUNTIFS($A$4:$A233,"&gt;="&amp;$A234-1,$A$4:$A233,"&lt;="&amp;$A234,$B$4:$B233,$B234)&gt;0,MIN(AV$1,IF($A234=$A233,AV233,1))-AA234&lt;0),-1,MIN(1,IF($A234=$A233,AV233,1)-AA234+$D$3))</f>
        <v>#N/A</v>
      </c>
      <c r="AW234" t="e">
        <f>IF(OR($J234=0,COUNTIFS($A$4:$A233,"&gt;="&amp;$A234-1,$A$4:$A233,"&lt;="&amp;$A234,$B$4:$B233,$B234)&gt;0,MIN(AW$1,IF($A234=$A233,AW233,1))-AB234&lt;0),-1,MIN(1,IF($A234=$A233,AW233,1)-AB234+$D$3))</f>
        <v>#N/A</v>
      </c>
      <c r="AX234" t="e">
        <f>IF(OR($J234=0,COUNTIFS($A$4:$A233,"&gt;="&amp;$A234-1,$A$4:$A233,"&lt;="&amp;$A234,$B$4:$B233,$B234)&gt;0,MIN(AX$1,IF($A234=$A233,AX233,1))-AC234&lt;0),-1,MIN(1,IF($A234=$A233,AX233,1)-AC234+$D$3))</f>
        <v>#N/A</v>
      </c>
      <c r="AY234" t="e">
        <f>IF(OR($J234=0,COUNTIFS($A$4:$A233,"&gt;="&amp;$A234-1,$A$4:$A233,"&lt;="&amp;$A234,$B$4:$B233,$B234)&gt;0,MIN(AY$1,IF($A234=$A233,AY233,1))-AD234&lt;0),-1,MIN(1,IF($A234=$A233,AY233,1)-AD234+$D$3))</f>
        <v>#N/A</v>
      </c>
      <c r="AZ234" t="e">
        <f>IF(OR($J234=0,COUNTIFS($A$4:$A233,"&gt;="&amp;$A234-1,$A$4:$A233,"&lt;="&amp;$A234,$B$4:$B233,$B234)&gt;0,MIN(AZ$1,IF($A234=$A233,AZ233,1))-AE234&lt;0),-1,MIN(1,IF($A234=$A233,AZ233,1)-AE234+$D$3))</f>
        <v>#N/A</v>
      </c>
      <c r="BA234" t="e">
        <f>IF(OR($J234=0,COUNTIFS($A$4:$A233,"&gt;="&amp;$A234-1,$A$4:$A233,"&lt;="&amp;$A234,$B$4:$B233,$B234)&gt;0,MIN(BA$1,IF($A234=$A233,BA233,1))-AF234&lt;0),-1,MIN(1,IF($A234=$A233,BA233,1)-AF234+$D$3))</f>
        <v>#N/A</v>
      </c>
      <c r="BB234" t="e">
        <f>IF(OR($J234=0,COUNTIFS($A$4:$A233,"&gt;="&amp;$A234-1,$A$4:$A233,"&lt;="&amp;$A234,$B$4:$B233,$B234)&gt;0,MIN(BB$1,IF($A234=$A233,BB233,1))-AG234&lt;0),-1,MIN(1,IF($A234=$A233,BB233,1)-AG234+$D$3))</f>
        <v>#N/A</v>
      </c>
      <c r="BC234" t="e">
        <f>IF(OR($J234=0,COUNTIFS($A$4:$A233,"&gt;="&amp;$A234-1,$A$4:$A233,"&lt;="&amp;$A234,$B$4:$B233,$B234)&gt;0,MIN(BC$1,IF($A234=$A233,BC233,1))-AH234&lt;0),-1,MIN(1,IF($A234=$A233,BC233,1)-AH234+$D$3))</f>
        <v>#N/A</v>
      </c>
      <c r="BD234" t="e">
        <f>IF(OR($J234=0,COUNTIFS($A$4:$A233,"&gt;="&amp;$A234-1,$A$4:$A233,"&lt;="&amp;$A234,$B$4:$B233,$B234)&gt;0,MIN(BD$1,IF($A234=$A233,BD233,1))-AI234&lt;0),-1,MIN(1,IF($A234=$A233,BD233,1)-AI234+$D$3))</f>
        <v>#N/A</v>
      </c>
      <c r="BF234" s="44">
        <f t="shared" si="267"/>
        <v>1.5949060673505499E-5</v>
      </c>
      <c r="BG234" s="44">
        <f t="shared" si="268"/>
        <v>3.9223240722208978E-5</v>
      </c>
      <c r="BH234" s="44">
        <f t="shared" si="269"/>
        <v>4.0199695859411379E-5</v>
      </c>
      <c r="BI234" s="44">
        <f t="shared" si="270"/>
        <v>3.7133357999681039E-5</v>
      </c>
      <c r="BJ234" s="44">
        <f t="shared" si="271"/>
        <v>3.8380850783652521E-5</v>
      </c>
      <c r="BK234" s="44">
        <f t="shared" si="272"/>
        <v>1.6482168354203251E-5</v>
      </c>
      <c r="BL234" s="44">
        <f t="shared" si="273"/>
        <v>8.9039266489119348E-6</v>
      </c>
      <c r="BM234" s="44">
        <f t="shared" si="274"/>
        <v>2.2650549638479185E-5</v>
      </c>
      <c r="BN234" s="44">
        <f t="shared" si="275"/>
        <v>2.355833690323711E-5</v>
      </c>
      <c r="BO234" s="44">
        <f t="shared" si="276"/>
        <v>1.1040330609139497E-5</v>
      </c>
      <c r="BP234" s="44">
        <f t="shared" si="277"/>
        <v>3.7122865692474934E-5</v>
      </c>
      <c r="BQ234" s="44">
        <f t="shared" si="278"/>
        <v>1.0017924737889582E-5</v>
      </c>
      <c r="BR234" s="44">
        <f t="shared" si="279"/>
        <v>2.9595457424544799E-5</v>
      </c>
      <c r="BS234" s="44">
        <f t="shared" si="280"/>
        <v>1.5961222924146186E-5</v>
      </c>
      <c r="BT234" s="44">
        <f t="shared" si="281"/>
        <v>6.3163452445872426E-5</v>
      </c>
      <c r="BU234" s="44">
        <f t="shared" si="282"/>
        <v>6.0340103695080702E-5</v>
      </c>
      <c r="BV234" s="44">
        <f t="shared" si="283"/>
        <v>5.794863928023134E-5</v>
      </c>
      <c r="BW234" s="44">
        <f t="shared" si="284"/>
        <v>3.7901599027068273E-5</v>
      </c>
      <c r="BX234" s="44">
        <f t="shared" si="285"/>
        <v>2.8001013096498592E-5</v>
      </c>
      <c r="BY234" s="44">
        <f t="shared" si="286"/>
        <v>2.4042088094364029E-5</v>
      </c>
      <c r="CA234" s="44" t="str">
        <f t="shared" si="287"/>
        <v/>
      </c>
      <c r="CB234" s="44" t="str">
        <f t="shared" si="288"/>
        <v/>
      </c>
      <c r="CC234" s="44" t="str">
        <f t="shared" si="289"/>
        <v/>
      </c>
      <c r="CD234" s="44" t="str">
        <f t="shared" si="290"/>
        <v/>
      </c>
      <c r="CE234" s="44" t="str">
        <f t="shared" si="291"/>
        <v/>
      </c>
      <c r="CF234" s="44" t="str">
        <f t="shared" si="292"/>
        <v/>
      </c>
      <c r="CG234" s="44" t="str">
        <f t="shared" si="293"/>
        <v/>
      </c>
      <c r="CH234" s="44" t="str">
        <f t="shared" si="294"/>
        <v/>
      </c>
      <c r="CI234" s="44" t="str">
        <f t="shared" si="295"/>
        <v/>
      </c>
      <c r="CJ234" s="44" t="str">
        <f t="shared" si="296"/>
        <v/>
      </c>
      <c r="CK234" s="44" t="str">
        <f t="shared" si="297"/>
        <v/>
      </c>
      <c r="CL234" s="44" t="str">
        <f t="shared" si="298"/>
        <v/>
      </c>
      <c r="CM234" s="44" t="str">
        <f t="shared" si="299"/>
        <v/>
      </c>
      <c r="CN234" s="44" t="str">
        <f t="shared" si="300"/>
        <v/>
      </c>
      <c r="CO234" s="44" t="str">
        <f t="shared" si="301"/>
        <v/>
      </c>
      <c r="CP234" s="44" t="str">
        <f t="shared" si="302"/>
        <v/>
      </c>
      <c r="CQ234" s="44" t="str">
        <f t="shared" si="303"/>
        <v/>
      </c>
      <c r="CR234" s="44" t="str">
        <f t="shared" si="304"/>
        <v/>
      </c>
      <c r="CS234" s="44" t="str">
        <f t="shared" si="305"/>
        <v/>
      </c>
      <c r="CT234" s="44" t="str">
        <f t="shared" si="306"/>
        <v/>
      </c>
      <c r="CV234" s="44">
        <f t="shared" si="307"/>
        <v>0</v>
      </c>
    </row>
    <row r="235" spans="1:100" x14ac:dyDescent="0.25">
      <c r="A235" s="49"/>
      <c r="B235" s="50"/>
      <c r="C235" s="51" t="str" cm="1">
        <f t="array" ref="C235">IF(B235="","",INDEX(UWS!$B$10:$B$41,B235))</f>
        <v/>
      </c>
      <c r="D235" s="45" t="str">
        <f t="shared" si="264"/>
        <v/>
      </c>
      <c r="E235" s="70" t="str">
        <f t="shared" si="265"/>
        <v/>
      </c>
      <c r="F235" s="52" cm="1">
        <f t="array" ref="F235">0.1+IFERROR(INDEX($F$5:$F234,SUMPRODUCT(MAX(ROW($C$5:$C234)*($C235=$C$5:$C234))-ROW($A$4)))*0.9^($A235-INDEX($A$5:A234,SUMPRODUCT(MAX(ROW($C$5:$C234)*($C235=$C$5:$C234))-ROW($A$4)))),0)</f>
        <v>16.999999999999972</v>
      </c>
      <c r="G235" s="56" t="e">
        <f>INDEX(UWS!$AB$10:$AB$41,MATCH(C235,UWS!$B$10:$B$41,0))</f>
        <v>#N/A</v>
      </c>
      <c r="H235" s="52" t="e">
        <f>INDEX(UWS!$C$10:$C$41,MATCH(C235,UWS!$B$10:$B$41,0))</f>
        <v>#N/A</v>
      </c>
      <c r="I235" s="46">
        <f t="shared" si="266"/>
        <v>5</v>
      </c>
      <c r="J235" s="46" t="e">
        <f>INDEX(UWS!$E$10:$E$41,MATCH(C235,UWS!$B$10:$B$41,0))</f>
        <v>#N/A</v>
      </c>
      <c r="K235" s="46"/>
      <c r="L235" s="109" t="str" cm="1">
        <f t="array" ref="L235">IF(K235="","",INDEX(UWS!$B$10:$B$41,K235))</f>
        <v/>
      </c>
      <c r="M235" s="46"/>
      <c r="N235" s="109" t="str" cm="1">
        <f t="array" ref="N235">IF(M235="","",INDEX(UWS!$B$10:$B$41,M235))</f>
        <v/>
      </c>
      <c r="O235" s="47"/>
      <c r="P235" s="47">
        <f>IFERROR(INDEX(UWS!$G$10:$Z$41,MATCH($C235,UWS!$B$10:$B$41,0),MATCH(P$4,UWS!$G$3:$Z$3,0)),0)</f>
        <v>0</v>
      </c>
      <c r="Q235" s="47">
        <f>IFERROR(INDEX(UWS!$G$10:$Z$41,MATCH($C235,UWS!$B$10:$B$41,0),MATCH(Q$4,UWS!$G$3:$Z$3,0)),0)</f>
        <v>0</v>
      </c>
      <c r="R235" s="47">
        <f>IFERROR(INDEX(UWS!$G$10:$Z$41,MATCH($C235,UWS!$B$10:$B$41,0),MATCH(R$4,UWS!$G$3:$Z$3,0)),0)</f>
        <v>0</v>
      </c>
      <c r="S235" s="47">
        <f>IFERROR(INDEX(UWS!$G$10:$Z$41,MATCH($C235,UWS!$B$10:$B$41,0),MATCH(S$4,UWS!$G$3:$Z$3,0)),0)</f>
        <v>0</v>
      </c>
      <c r="T235" s="47">
        <f>IFERROR(INDEX(UWS!$G$10:$Z$41,MATCH($C235,UWS!$B$10:$B$41,0),MATCH(T$4,UWS!$G$3:$Z$3,0)),0)</f>
        <v>0</v>
      </c>
      <c r="U235" s="47">
        <f>IFERROR(INDEX(UWS!$G$10:$Z$41,MATCH($C235,UWS!$B$10:$B$41,0),MATCH(U$4,UWS!$G$3:$Z$3,0)),0)</f>
        <v>0</v>
      </c>
      <c r="V235" s="47">
        <f>IFERROR(INDEX(UWS!$G$10:$Z$41,MATCH($C235,UWS!$B$10:$B$41,0),MATCH(V$4,UWS!$G$3:$Z$3,0)),0)</f>
        <v>0</v>
      </c>
      <c r="W235" s="47">
        <f>IFERROR(INDEX(UWS!$G$10:$Z$41,MATCH($C235,UWS!$B$10:$B$41,0),MATCH(W$4,UWS!$G$3:$Z$3,0)),0)</f>
        <v>0</v>
      </c>
      <c r="X235" s="47">
        <f>IFERROR(INDEX(UWS!$G$10:$Z$41,MATCH($C235,UWS!$B$10:$B$41,0),MATCH(X$4,UWS!$G$3:$Z$3,0)),0)</f>
        <v>0</v>
      </c>
      <c r="Y235" s="47">
        <f>IFERROR(INDEX(UWS!$G$10:$Z$41,MATCH($C235,UWS!$B$10:$B$41,0),MATCH(Y$4,UWS!$G$3:$Z$3,0)),0)</f>
        <v>0</v>
      </c>
      <c r="Z235" s="47">
        <f>IFERROR(INDEX(UWS!$G$10:$Z$41,MATCH($C235,UWS!$B$10:$B$41,0),MATCH(Z$4,UWS!$G$3:$Z$3,0)),0)</f>
        <v>0</v>
      </c>
      <c r="AA235" s="47">
        <f>IFERROR(INDEX(UWS!$G$10:$Z$41,MATCH($C235,UWS!$B$10:$B$41,0),MATCH(AA$4,UWS!$G$3:$Z$3,0)),0)</f>
        <v>0</v>
      </c>
      <c r="AB235" s="47">
        <f>IFERROR(INDEX(UWS!$G$10:$Z$41,MATCH($C235,UWS!$B$10:$B$41,0),MATCH(AB$4,UWS!$G$3:$Z$3,0)),0)</f>
        <v>0</v>
      </c>
      <c r="AC235" s="47">
        <f>IFERROR(INDEX(UWS!$G$10:$Z$41,MATCH($C235,UWS!$B$10:$B$41,0),MATCH(AC$4,UWS!$G$3:$Z$3,0)),0)</f>
        <v>0</v>
      </c>
      <c r="AD235" s="47">
        <f>IFERROR(INDEX(UWS!$G$10:$Z$41,MATCH($C235,UWS!$B$10:$B$41,0),MATCH(AD$4,UWS!$G$3:$Z$3,0)),0)</f>
        <v>0</v>
      </c>
      <c r="AE235" s="47">
        <f>IFERROR(INDEX(UWS!$G$10:$Z$41,MATCH($C235,UWS!$B$10:$B$41,0),MATCH(AE$4,UWS!$G$3:$Z$3,0)),0)</f>
        <v>0</v>
      </c>
      <c r="AF235" s="47">
        <f>IFERROR(INDEX(UWS!$G$10:$Z$41,MATCH($C235,UWS!$B$10:$B$41,0),MATCH(AF$4,UWS!$G$3:$Z$3,0)),0)</f>
        <v>0</v>
      </c>
      <c r="AG235" s="47">
        <f>IFERROR(INDEX(UWS!$G$10:$Z$41,MATCH($C235,UWS!$B$10:$B$41,0),MATCH(AG$4,UWS!$G$3:$Z$3,0)),0)</f>
        <v>0</v>
      </c>
      <c r="AH235" s="47">
        <f>IFERROR(INDEX(UWS!$G$10:$Z$41,MATCH($C235,UWS!$B$10:$B$41,0),MATCH(AH$4,UWS!$G$3:$Z$3,0)),0)</f>
        <v>0</v>
      </c>
      <c r="AI235" s="47">
        <f>IFERROR(INDEX(UWS!$G$10:$Z$41,MATCH($C235,UWS!$B$10:$B$41,0),MATCH(AI$4,UWS!$G$3:$Z$3,0)),0)</f>
        <v>0</v>
      </c>
      <c r="AJ235" s="47"/>
      <c r="AK235" s="47" t="e">
        <f>IF(OR($J235=0,COUNTIFS($A$4:$A234,"&gt;="&amp;$A235-1,$A$4:$A234,"&lt;="&amp;$A235,$B$4:$B234,$B235)&gt;0,MIN(AK$1,IF($A235=$A234,AK234,1))-P235&lt;0),-1,MIN(1,IF($A235=$A234,AK234,1)-P235+$D$3))</f>
        <v>#N/A</v>
      </c>
      <c r="AL235" s="47" t="e">
        <f>IF(OR($J235=0,COUNTIFS($A$4:$A234,"&gt;="&amp;$A235-1,$A$4:$A234,"&lt;="&amp;$A235,$B$4:$B234,$B235)&gt;0,MIN(AL$1,IF($A235=$A234,AL234,1))-Q235&lt;0),-1,MIN(1,IF($A235=$A234,AL234,1)-Q235+$D$3))</f>
        <v>#N/A</v>
      </c>
      <c r="AM235" s="47" t="e">
        <f>IF(OR($J235=0,COUNTIFS($A$4:$A234,"&gt;="&amp;$A235-1,$A$4:$A234,"&lt;="&amp;$A235,$B$4:$B234,$B235)&gt;0,MIN(AM$1,IF($A235=$A234,AM234,1))-R235&lt;0),-1,MIN(1,IF($A235=$A234,AM234,1)-R235+$D$3))</f>
        <v>#N/A</v>
      </c>
      <c r="AN235" s="47" t="e">
        <f>IF(OR($J235=0,COUNTIFS($A$4:$A234,"&gt;="&amp;$A235-1,$A$4:$A234,"&lt;="&amp;$A235,$B$4:$B234,$B235)&gt;0,MIN(AN$1,IF($A235=$A234,AN234,1))-S235&lt;0),-1,MIN(1,IF($A235=$A234,AN234,1)-S235+$D$3))</f>
        <v>#N/A</v>
      </c>
      <c r="AO235" s="47" t="e">
        <f>IF(OR($J235=0,COUNTIFS($A$4:$A234,"&gt;="&amp;$A235-1,$A$4:$A234,"&lt;="&amp;$A235,$B$4:$B234,$B235)&gt;0,MIN(AO$1,IF($A235=$A234,AO234,1))-T235&lt;0),-1,MIN(1,IF($A235=$A234,AO234,1)-T235+$D$3))</f>
        <v>#N/A</v>
      </c>
      <c r="AP235" s="47" t="e">
        <f>IF(OR($J235=0,COUNTIFS($A$4:$A234,"&gt;="&amp;$A235-1,$A$4:$A234,"&lt;="&amp;$A235,$B$4:$B234,$B235)&gt;0,MIN(AP$1,IF($A235=$A234,AP234,1))-U235&lt;0),-1,MIN(1,IF($A235=$A234,AP234,1)-U235+$D$3))</f>
        <v>#N/A</v>
      </c>
      <c r="AQ235" s="47" t="e">
        <f>IF(OR($J235=0,COUNTIFS($A$4:$A234,"&gt;="&amp;$A235-1,$A$4:$A234,"&lt;="&amp;$A235,$B$4:$B234,$B235)&gt;0,MIN(AQ$1,IF($A235=$A234,AQ234,1))-V235&lt;0),-1,MIN(1,IF($A235=$A234,AQ234,1)-V235+$D$3))</f>
        <v>#N/A</v>
      </c>
      <c r="AR235" s="47" t="e">
        <f>IF(OR($J235=0,COUNTIFS($A$4:$A234,"&gt;="&amp;$A235-1,$A$4:$A234,"&lt;="&amp;$A235,$B$4:$B234,$B235)&gt;0,MIN(AR$1,IF($A235=$A234,AR234,1))-W235&lt;0),-1,MIN(1,IF($A235=$A234,AR234,1)-W235+$D$3))</f>
        <v>#N/A</v>
      </c>
      <c r="AS235" s="47" t="e">
        <f>IF(OR($J235=0,COUNTIFS($A$4:$A234,"&gt;="&amp;$A235-1,$A$4:$A234,"&lt;="&amp;$A235,$B$4:$B234,$B235)&gt;0,MIN(AS$1,IF($A235=$A234,AS234,1))-X235&lt;0),-1,MIN(1,IF($A235=$A234,AS234,1)-X235+$D$3))</f>
        <v>#N/A</v>
      </c>
      <c r="AT235" s="47" t="e">
        <f>IF(OR($J235=0,COUNTIFS($A$4:$A234,"&gt;="&amp;$A235-1,$A$4:$A234,"&lt;="&amp;$A235,$B$4:$B234,$B235)&gt;0,MIN(AT$1,IF($A235=$A234,AT234,1))-Y235&lt;0),-1,MIN(1,IF($A235=$A234,AT234,1)-Y235+$D$3))</f>
        <v>#N/A</v>
      </c>
      <c r="AU235" s="47" t="e">
        <f>IF(OR($J235=0,COUNTIFS($A$4:$A234,"&gt;="&amp;$A235-1,$A$4:$A234,"&lt;="&amp;$A235,$B$4:$B234,$B235)&gt;0,MIN(AU$1,IF($A235=$A234,AU234,1))-Z235&lt;0),-1,MIN(1,IF($A235=$A234,AU234,1)-Z235+$D$3))</f>
        <v>#N/A</v>
      </c>
      <c r="AV235" s="47" t="e">
        <f>IF(OR($J235=0,COUNTIFS($A$4:$A234,"&gt;="&amp;$A235-1,$A$4:$A234,"&lt;="&amp;$A235,$B$4:$B234,$B235)&gt;0,MIN(AV$1,IF($A235=$A234,AV234,1))-AA235&lt;0),-1,MIN(1,IF($A235=$A234,AV234,1)-AA235+$D$3))</f>
        <v>#N/A</v>
      </c>
      <c r="AW235" s="47" t="e">
        <f>IF(OR($J235=0,COUNTIFS($A$4:$A234,"&gt;="&amp;$A235-1,$A$4:$A234,"&lt;="&amp;$A235,$B$4:$B234,$B235)&gt;0,MIN(AW$1,IF($A235=$A234,AW234,1))-AB235&lt;0),-1,MIN(1,IF($A235=$A234,AW234,1)-AB235+$D$3))</f>
        <v>#N/A</v>
      </c>
      <c r="AX235" s="47" t="e">
        <f>IF(OR($J235=0,COUNTIFS($A$4:$A234,"&gt;="&amp;$A235-1,$A$4:$A234,"&lt;="&amp;$A235,$B$4:$B234,$B235)&gt;0,MIN(AX$1,IF($A235=$A234,AX234,1))-AC235&lt;0),-1,MIN(1,IF($A235=$A234,AX234,1)-AC235+$D$3))</f>
        <v>#N/A</v>
      </c>
      <c r="AY235" s="47" t="e">
        <f>IF(OR($J235=0,COUNTIFS($A$4:$A234,"&gt;="&amp;$A235-1,$A$4:$A234,"&lt;="&amp;$A235,$B$4:$B234,$B235)&gt;0,MIN(AY$1,IF($A235=$A234,AY234,1))-AD235&lt;0),-1,MIN(1,IF($A235=$A234,AY234,1)-AD235+$D$3))</f>
        <v>#N/A</v>
      </c>
      <c r="AZ235" s="47" t="e">
        <f>IF(OR($J235=0,COUNTIFS($A$4:$A234,"&gt;="&amp;$A235-1,$A$4:$A234,"&lt;="&amp;$A235,$B$4:$B234,$B235)&gt;0,MIN(AZ$1,IF($A235=$A234,AZ234,1))-AE235&lt;0),-1,MIN(1,IF($A235=$A234,AZ234,1)-AE235+$D$3))</f>
        <v>#N/A</v>
      </c>
      <c r="BA235" s="47" t="e">
        <f>IF(OR($J235=0,COUNTIFS($A$4:$A234,"&gt;="&amp;$A235-1,$A$4:$A234,"&lt;="&amp;$A235,$B$4:$B234,$B235)&gt;0,MIN(BA$1,IF($A235=$A234,BA234,1))-AF235&lt;0),-1,MIN(1,IF($A235=$A234,BA234,1)-AF235+$D$3))</f>
        <v>#N/A</v>
      </c>
      <c r="BB235" s="47" t="e">
        <f>IF(OR($J235=0,COUNTIFS($A$4:$A234,"&gt;="&amp;$A235-1,$A$4:$A234,"&lt;="&amp;$A235,$B$4:$B234,$B235)&gt;0,MIN(BB$1,IF($A235=$A234,BB234,1))-AG235&lt;0),-1,MIN(1,IF($A235=$A234,BB234,1)-AG235+$D$3))</f>
        <v>#N/A</v>
      </c>
      <c r="BC235" s="47" t="e">
        <f>IF(OR($J235=0,COUNTIFS($A$4:$A234,"&gt;="&amp;$A235-1,$A$4:$A234,"&lt;="&amp;$A235,$B$4:$B234,$B235)&gt;0,MIN(BC$1,IF($A235=$A234,BC234,1))-AH235&lt;0),-1,MIN(1,IF($A235=$A234,BC234,1)-AH235+$D$3))</f>
        <v>#N/A</v>
      </c>
      <c r="BD235" s="47" t="e">
        <f>IF(OR($J235=0,COUNTIFS($A$4:$A234,"&gt;="&amp;$A235-1,$A$4:$A234,"&lt;="&amp;$A235,$B$4:$B234,$B235)&gt;0,MIN(BD$1,IF($A235=$A234,BD234,1))-AI235&lt;0),-1,MIN(1,IF($A235=$A234,BD234,1)-AI235+$D$3))</f>
        <v>#N/A</v>
      </c>
      <c r="BE235" s="47"/>
      <c r="BF235" s="53">
        <f t="shared" si="267"/>
        <v>1.5151607639830223E-5</v>
      </c>
      <c r="BG235" s="53">
        <f t="shared" si="268"/>
        <v>3.7262078686098527E-5</v>
      </c>
      <c r="BH235" s="53">
        <f t="shared" si="269"/>
        <v>3.8189711066440805E-5</v>
      </c>
      <c r="BI235" s="53">
        <f t="shared" si="270"/>
        <v>3.5276690099696984E-5</v>
      </c>
      <c r="BJ235" s="53">
        <f t="shared" si="271"/>
        <v>3.6461808244469896E-5</v>
      </c>
      <c r="BK235" s="53">
        <f t="shared" si="272"/>
        <v>1.5658059936493087E-5</v>
      </c>
      <c r="BL235" s="53">
        <f t="shared" si="273"/>
        <v>8.4587303164663385E-6</v>
      </c>
      <c r="BM235" s="53">
        <f t="shared" si="274"/>
        <v>2.1518022156555226E-5</v>
      </c>
      <c r="BN235" s="53">
        <f t="shared" si="275"/>
        <v>2.2380420058075254E-5</v>
      </c>
      <c r="BO235" s="53">
        <f t="shared" si="276"/>
        <v>1.0488314078682523E-5</v>
      </c>
      <c r="BP235" s="53">
        <f t="shared" si="277"/>
        <v>3.5266722407851188E-5</v>
      </c>
      <c r="BQ235" s="53">
        <f t="shared" si="278"/>
        <v>9.5170285009951029E-6</v>
      </c>
      <c r="BR235" s="53">
        <f t="shared" si="279"/>
        <v>2.811568455331756E-5</v>
      </c>
      <c r="BS235" s="53">
        <f t="shared" si="280"/>
        <v>1.5163161777938875E-5</v>
      </c>
      <c r="BT235" s="53">
        <f t="shared" si="281"/>
        <v>6.0005279823578804E-5</v>
      </c>
      <c r="BU235" s="53">
        <f t="shared" si="282"/>
        <v>5.7323098510326666E-5</v>
      </c>
      <c r="BV235" s="53">
        <f t="shared" si="283"/>
        <v>5.5051207316219773E-5</v>
      </c>
      <c r="BW235" s="53">
        <f t="shared" si="284"/>
        <v>3.6006519075714859E-5</v>
      </c>
      <c r="BX235" s="53">
        <f t="shared" si="285"/>
        <v>2.6600962441673659E-5</v>
      </c>
      <c r="BY235" s="53">
        <f t="shared" si="286"/>
        <v>2.2839983689645828E-5</v>
      </c>
      <c r="BZ235" s="47"/>
      <c r="CA235" s="53" t="str">
        <f t="shared" si="287"/>
        <v/>
      </c>
      <c r="CB235" s="53" t="str">
        <f t="shared" si="288"/>
        <v/>
      </c>
      <c r="CC235" s="53" t="str">
        <f t="shared" si="289"/>
        <v/>
      </c>
      <c r="CD235" s="53" t="str">
        <f t="shared" si="290"/>
        <v/>
      </c>
      <c r="CE235" s="53" t="str">
        <f t="shared" si="291"/>
        <v/>
      </c>
      <c r="CF235" s="53" t="str">
        <f t="shared" si="292"/>
        <v/>
      </c>
      <c r="CG235" s="53" t="str">
        <f t="shared" si="293"/>
        <v/>
      </c>
      <c r="CH235" s="53" t="str">
        <f t="shared" si="294"/>
        <v/>
      </c>
      <c r="CI235" s="53" t="str">
        <f t="shared" si="295"/>
        <v/>
      </c>
      <c r="CJ235" s="53" t="str">
        <f t="shared" si="296"/>
        <v/>
      </c>
      <c r="CK235" s="53" t="str">
        <f t="shared" si="297"/>
        <v/>
      </c>
      <c r="CL235" s="53" t="str">
        <f t="shared" si="298"/>
        <v/>
      </c>
      <c r="CM235" s="53" t="str">
        <f t="shared" si="299"/>
        <v/>
      </c>
      <c r="CN235" s="53" t="str">
        <f t="shared" si="300"/>
        <v/>
      </c>
      <c r="CO235" s="53" t="str">
        <f t="shared" si="301"/>
        <v/>
      </c>
      <c r="CP235" s="53" t="str">
        <f t="shared" si="302"/>
        <v/>
      </c>
      <c r="CQ235" s="53" t="str">
        <f t="shared" si="303"/>
        <v/>
      </c>
      <c r="CR235" s="53" t="str">
        <f t="shared" si="304"/>
        <v/>
      </c>
      <c r="CS235" s="53" t="str">
        <f t="shared" si="305"/>
        <v/>
      </c>
      <c r="CT235" s="53" t="str">
        <f t="shared" si="306"/>
        <v/>
      </c>
      <c r="CU235" s="47"/>
      <c r="CV235" s="53">
        <f t="shared" si="307"/>
        <v>0</v>
      </c>
    </row>
    <row r="236" spans="1:100" x14ac:dyDescent="0.25">
      <c r="A236" s="41"/>
      <c r="B236" s="42"/>
      <c r="C236" s="43" t="str" cm="1">
        <f t="array" ref="C236">IF(B236="","",INDEX(UWS!$B$10:$B$41,B236))</f>
        <v/>
      </c>
      <c r="D236" s="40" t="str">
        <f t="shared" si="264"/>
        <v/>
      </c>
      <c r="E236" s="69" t="str">
        <f t="shared" si="265"/>
        <v/>
      </c>
      <c r="F236" s="48" cm="1">
        <f t="array" ref="F236">0.1+IFERROR(INDEX($F$5:$F235,SUMPRODUCT(MAX(ROW($C$5:$C235)*($C236=$C$5:$C235))-ROW($A$4)))*0.9^($A236-INDEX($A$5:A235,SUMPRODUCT(MAX(ROW($C$5:$C235)*($C236=$C$5:$C235))-ROW($A$4)))),0)</f>
        <v>17.099999999999973</v>
      </c>
      <c r="G236" s="55" t="e">
        <f>INDEX(UWS!$AB$10:$AB$41,MATCH(C236,UWS!$B$10:$B$41,0))</f>
        <v>#N/A</v>
      </c>
      <c r="H236" s="48" t="e">
        <f>INDEX(UWS!$C$10:$C$41,MATCH(C236,UWS!$B$10:$B$41,0))</f>
        <v>#N/A</v>
      </c>
      <c r="I236" s="82">
        <f t="shared" si="266"/>
        <v>5</v>
      </c>
      <c r="J236" s="27" t="e">
        <f>INDEX(UWS!$E$10:$E$41,MATCH(C236,UWS!$B$10:$B$41,0))</f>
        <v>#N/A</v>
      </c>
      <c r="L236" s="108" t="str" cm="1">
        <f t="array" ref="L236">IF(K236="","",INDEX(UWS!$B$10:$B$41,K236))</f>
        <v/>
      </c>
      <c r="N236" s="108" t="str" cm="1">
        <f t="array" ref="N236">IF(M236="","",INDEX(UWS!$B$10:$B$41,M236))</f>
        <v/>
      </c>
      <c r="P236">
        <f>IFERROR(INDEX(UWS!$G$10:$Z$41,MATCH($C236,UWS!$B$10:$B$41,0),MATCH(P$4,UWS!$G$3:$Z$3,0)),0)</f>
        <v>0</v>
      </c>
      <c r="Q236">
        <f>IFERROR(INDEX(UWS!$G$10:$Z$41,MATCH($C236,UWS!$B$10:$B$41,0),MATCH(Q$4,UWS!$G$3:$Z$3,0)),0)</f>
        <v>0</v>
      </c>
      <c r="R236">
        <f>IFERROR(INDEX(UWS!$G$10:$Z$41,MATCH($C236,UWS!$B$10:$B$41,0),MATCH(R$4,UWS!$G$3:$Z$3,0)),0)</f>
        <v>0</v>
      </c>
      <c r="S236">
        <f>IFERROR(INDEX(UWS!$G$10:$Z$41,MATCH($C236,UWS!$B$10:$B$41,0),MATCH(S$4,UWS!$G$3:$Z$3,0)),0)</f>
        <v>0</v>
      </c>
      <c r="T236">
        <f>IFERROR(INDEX(UWS!$G$10:$Z$41,MATCH($C236,UWS!$B$10:$B$41,0),MATCH(T$4,UWS!$G$3:$Z$3,0)),0)</f>
        <v>0</v>
      </c>
      <c r="U236">
        <f>IFERROR(INDEX(UWS!$G$10:$Z$41,MATCH($C236,UWS!$B$10:$B$41,0),MATCH(U$4,UWS!$G$3:$Z$3,0)),0)</f>
        <v>0</v>
      </c>
      <c r="V236">
        <f>IFERROR(INDEX(UWS!$G$10:$Z$41,MATCH($C236,UWS!$B$10:$B$41,0),MATCH(V$4,UWS!$G$3:$Z$3,0)),0)</f>
        <v>0</v>
      </c>
      <c r="W236">
        <f>IFERROR(INDEX(UWS!$G$10:$Z$41,MATCH($C236,UWS!$B$10:$B$41,0),MATCH(W$4,UWS!$G$3:$Z$3,0)),0)</f>
        <v>0</v>
      </c>
      <c r="X236">
        <f>IFERROR(INDEX(UWS!$G$10:$Z$41,MATCH($C236,UWS!$B$10:$B$41,0),MATCH(X$4,UWS!$G$3:$Z$3,0)),0)</f>
        <v>0</v>
      </c>
      <c r="Y236">
        <f>IFERROR(INDEX(UWS!$G$10:$Z$41,MATCH($C236,UWS!$B$10:$B$41,0),MATCH(Y$4,UWS!$G$3:$Z$3,0)),0)</f>
        <v>0</v>
      </c>
      <c r="Z236">
        <f>IFERROR(INDEX(UWS!$G$10:$Z$41,MATCH($C236,UWS!$B$10:$B$41,0),MATCH(Z$4,UWS!$G$3:$Z$3,0)),0)</f>
        <v>0</v>
      </c>
      <c r="AA236">
        <f>IFERROR(INDEX(UWS!$G$10:$Z$41,MATCH($C236,UWS!$B$10:$B$41,0),MATCH(AA$4,UWS!$G$3:$Z$3,0)),0)</f>
        <v>0</v>
      </c>
      <c r="AB236">
        <f>IFERROR(INDEX(UWS!$G$10:$Z$41,MATCH($C236,UWS!$B$10:$B$41,0),MATCH(AB$4,UWS!$G$3:$Z$3,0)),0)</f>
        <v>0</v>
      </c>
      <c r="AC236">
        <f>IFERROR(INDEX(UWS!$G$10:$Z$41,MATCH($C236,UWS!$B$10:$B$41,0),MATCH(AC$4,UWS!$G$3:$Z$3,0)),0)</f>
        <v>0</v>
      </c>
      <c r="AD236">
        <f>IFERROR(INDEX(UWS!$G$10:$Z$41,MATCH($C236,UWS!$B$10:$B$41,0),MATCH(AD$4,UWS!$G$3:$Z$3,0)),0)</f>
        <v>0</v>
      </c>
      <c r="AE236">
        <f>IFERROR(INDEX(UWS!$G$10:$Z$41,MATCH($C236,UWS!$B$10:$B$41,0),MATCH(AE$4,UWS!$G$3:$Z$3,0)),0)</f>
        <v>0</v>
      </c>
      <c r="AF236">
        <f>IFERROR(INDEX(UWS!$G$10:$Z$41,MATCH($C236,UWS!$B$10:$B$41,0),MATCH(AF$4,UWS!$G$3:$Z$3,0)),0)</f>
        <v>0</v>
      </c>
      <c r="AG236">
        <f>IFERROR(INDEX(UWS!$G$10:$Z$41,MATCH($C236,UWS!$B$10:$B$41,0),MATCH(AG$4,UWS!$G$3:$Z$3,0)),0)</f>
        <v>0</v>
      </c>
      <c r="AH236">
        <f>IFERROR(INDEX(UWS!$G$10:$Z$41,MATCH($C236,UWS!$B$10:$B$41,0),MATCH(AH$4,UWS!$G$3:$Z$3,0)),0)</f>
        <v>0</v>
      </c>
      <c r="AI236">
        <f>IFERROR(INDEX(UWS!$G$10:$Z$41,MATCH($C236,UWS!$B$10:$B$41,0),MATCH(AI$4,UWS!$G$3:$Z$3,0)),0)</f>
        <v>0</v>
      </c>
      <c r="AK236" t="e">
        <f>IF(OR($J236=0,COUNTIFS($A$4:$A235,"&gt;="&amp;$A236-1,$A$4:$A235,"&lt;="&amp;$A236,$B$4:$B235,$B236)&gt;0,MIN(AK$1,IF($A236=$A235,AK235,1))-P236&lt;0),-1,MIN(1,IF($A236=$A235,AK235,1)-P236+$D$3))</f>
        <v>#N/A</v>
      </c>
      <c r="AL236" t="e">
        <f>IF(OR($J236=0,COUNTIFS($A$4:$A235,"&gt;="&amp;$A236-1,$A$4:$A235,"&lt;="&amp;$A236,$B$4:$B235,$B236)&gt;0,MIN(AL$1,IF($A236=$A235,AL235,1))-Q236&lt;0),-1,MIN(1,IF($A236=$A235,AL235,1)-Q236+$D$3))</f>
        <v>#N/A</v>
      </c>
      <c r="AM236" t="e">
        <f>IF(OR($J236=0,COUNTIFS($A$4:$A235,"&gt;="&amp;$A236-1,$A$4:$A235,"&lt;="&amp;$A236,$B$4:$B235,$B236)&gt;0,MIN(AM$1,IF($A236=$A235,AM235,1))-R236&lt;0),-1,MIN(1,IF($A236=$A235,AM235,1)-R236+$D$3))</f>
        <v>#N/A</v>
      </c>
      <c r="AN236" t="e">
        <f>IF(OR($J236=0,COUNTIFS($A$4:$A235,"&gt;="&amp;$A236-1,$A$4:$A235,"&lt;="&amp;$A236,$B$4:$B235,$B236)&gt;0,MIN(AN$1,IF($A236=$A235,AN235,1))-S236&lt;0),-1,MIN(1,IF($A236=$A235,AN235,1)-S236+$D$3))</f>
        <v>#N/A</v>
      </c>
      <c r="AO236" t="e">
        <f>IF(OR($J236=0,COUNTIFS($A$4:$A235,"&gt;="&amp;$A236-1,$A$4:$A235,"&lt;="&amp;$A236,$B$4:$B235,$B236)&gt;0,MIN(AO$1,IF($A236=$A235,AO235,1))-T236&lt;0),-1,MIN(1,IF($A236=$A235,AO235,1)-T236+$D$3))</f>
        <v>#N/A</v>
      </c>
      <c r="AP236" t="e">
        <f>IF(OR($J236=0,COUNTIFS($A$4:$A235,"&gt;="&amp;$A236-1,$A$4:$A235,"&lt;="&amp;$A236,$B$4:$B235,$B236)&gt;0,MIN(AP$1,IF($A236=$A235,AP235,1))-U236&lt;0),-1,MIN(1,IF($A236=$A235,AP235,1)-U236+$D$3))</f>
        <v>#N/A</v>
      </c>
      <c r="AQ236" t="e">
        <f>IF(OR($J236=0,COUNTIFS($A$4:$A235,"&gt;="&amp;$A236-1,$A$4:$A235,"&lt;="&amp;$A236,$B$4:$B235,$B236)&gt;0,MIN(AQ$1,IF($A236=$A235,AQ235,1))-V236&lt;0),-1,MIN(1,IF($A236=$A235,AQ235,1)-V236+$D$3))</f>
        <v>#N/A</v>
      </c>
      <c r="AR236" t="e">
        <f>IF(OR($J236=0,COUNTIFS($A$4:$A235,"&gt;="&amp;$A236-1,$A$4:$A235,"&lt;="&amp;$A236,$B$4:$B235,$B236)&gt;0,MIN(AR$1,IF($A236=$A235,AR235,1))-W236&lt;0),-1,MIN(1,IF($A236=$A235,AR235,1)-W236+$D$3))</f>
        <v>#N/A</v>
      </c>
      <c r="AS236" t="e">
        <f>IF(OR($J236=0,COUNTIFS($A$4:$A235,"&gt;="&amp;$A236-1,$A$4:$A235,"&lt;="&amp;$A236,$B$4:$B235,$B236)&gt;0,MIN(AS$1,IF($A236=$A235,AS235,1))-X236&lt;0),-1,MIN(1,IF($A236=$A235,AS235,1)-X236+$D$3))</f>
        <v>#N/A</v>
      </c>
      <c r="AT236" t="e">
        <f>IF(OR($J236=0,COUNTIFS($A$4:$A235,"&gt;="&amp;$A236-1,$A$4:$A235,"&lt;="&amp;$A236,$B$4:$B235,$B236)&gt;0,MIN(AT$1,IF($A236=$A235,AT235,1))-Y236&lt;0),-1,MIN(1,IF($A236=$A235,AT235,1)-Y236+$D$3))</f>
        <v>#N/A</v>
      </c>
      <c r="AU236" t="e">
        <f>IF(OR($J236=0,COUNTIFS($A$4:$A235,"&gt;="&amp;$A236-1,$A$4:$A235,"&lt;="&amp;$A236,$B$4:$B235,$B236)&gt;0,MIN(AU$1,IF($A236=$A235,AU235,1))-Z236&lt;0),-1,MIN(1,IF($A236=$A235,AU235,1)-Z236+$D$3))</f>
        <v>#N/A</v>
      </c>
      <c r="AV236" t="e">
        <f>IF(OR($J236=0,COUNTIFS($A$4:$A235,"&gt;="&amp;$A236-1,$A$4:$A235,"&lt;="&amp;$A236,$B$4:$B235,$B236)&gt;0,MIN(AV$1,IF($A236=$A235,AV235,1))-AA236&lt;0),-1,MIN(1,IF($A236=$A235,AV235,1)-AA236+$D$3))</f>
        <v>#N/A</v>
      </c>
      <c r="AW236" t="e">
        <f>IF(OR($J236=0,COUNTIFS($A$4:$A235,"&gt;="&amp;$A236-1,$A$4:$A235,"&lt;="&amp;$A236,$B$4:$B235,$B236)&gt;0,MIN(AW$1,IF($A236=$A235,AW235,1))-AB236&lt;0),-1,MIN(1,IF($A236=$A235,AW235,1)-AB236+$D$3))</f>
        <v>#N/A</v>
      </c>
      <c r="AX236" t="e">
        <f>IF(OR($J236=0,COUNTIFS($A$4:$A235,"&gt;="&amp;$A236-1,$A$4:$A235,"&lt;="&amp;$A236,$B$4:$B235,$B236)&gt;0,MIN(AX$1,IF($A236=$A235,AX235,1))-AC236&lt;0),-1,MIN(1,IF($A236=$A235,AX235,1)-AC236+$D$3))</f>
        <v>#N/A</v>
      </c>
      <c r="AY236" t="e">
        <f>IF(OR($J236=0,COUNTIFS($A$4:$A235,"&gt;="&amp;$A236-1,$A$4:$A235,"&lt;="&amp;$A236,$B$4:$B235,$B236)&gt;0,MIN(AY$1,IF($A236=$A235,AY235,1))-AD236&lt;0),-1,MIN(1,IF($A236=$A235,AY235,1)-AD236+$D$3))</f>
        <v>#N/A</v>
      </c>
      <c r="AZ236" t="e">
        <f>IF(OR($J236=0,COUNTIFS($A$4:$A235,"&gt;="&amp;$A236-1,$A$4:$A235,"&lt;="&amp;$A236,$B$4:$B235,$B236)&gt;0,MIN(AZ$1,IF($A236=$A235,AZ235,1))-AE236&lt;0),-1,MIN(1,IF($A236=$A235,AZ235,1)-AE236+$D$3))</f>
        <v>#N/A</v>
      </c>
      <c r="BA236" t="e">
        <f>IF(OR($J236=0,COUNTIFS($A$4:$A235,"&gt;="&amp;$A236-1,$A$4:$A235,"&lt;="&amp;$A236,$B$4:$B235,$B236)&gt;0,MIN(BA$1,IF($A236=$A235,BA235,1))-AF236&lt;0),-1,MIN(1,IF($A236=$A235,BA235,1)-AF236+$D$3))</f>
        <v>#N/A</v>
      </c>
      <c r="BB236" t="e">
        <f>IF(OR($J236=0,COUNTIFS($A$4:$A235,"&gt;="&amp;$A236-1,$A$4:$A235,"&lt;="&amp;$A236,$B$4:$B235,$B236)&gt;0,MIN(BB$1,IF($A236=$A235,BB235,1))-AG236&lt;0),-1,MIN(1,IF($A236=$A235,BB235,1)-AG236+$D$3))</f>
        <v>#N/A</v>
      </c>
      <c r="BC236" t="e">
        <f>IF(OR($J236=0,COUNTIFS($A$4:$A235,"&gt;="&amp;$A236-1,$A$4:$A235,"&lt;="&amp;$A236,$B$4:$B235,$B236)&gt;0,MIN(BC$1,IF($A236=$A235,BC235,1))-AH236&lt;0),-1,MIN(1,IF($A236=$A235,BC235,1)-AH236+$D$3))</f>
        <v>#N/A</v>
      </c>
      <c r="BD236" t="e">
        <f>IF(OR($J236=0,COUNTIFS($A$4:$A235,"&gt;="&amp;$A236-1,$A$4:$A235,"&lt;="&amp;$A236,$B$4:$B235,$B236)&gt;0,MIN(BD$1,IF($A236=$A235,BD235,1))-AI236&lt;0),-1,MIN(1,IF($A236=$A235,BD235,1)-AI236+$D$3))</f>
        <v>#N/A</v>
      </c>
      <c r="BF236" s="44">
        <f t="shared" si="267"/>
        <v>1.4394027257838712E-5</v>
      </c>
      <c r="BG236" s="44">
        <f t="shared" si="268"/>
        <v>3.5398974751793599E-5</v>
      </c>
      <c r="BH236" s="44">
        <f t="shared" si="269"/>
        <v>3.6280225513118763E-5</v>
      </c>
      <c r="BI236" s="44">
        <f t="shared" si="270"/>
        <v>3.3512855594712131E-5</v>
      </c>
      <c r="BJ236" s="44">
        <f t="shared" si="271"/>
        <v>3.4638717832246399E-5</v>
      </c>
      <c r="BK236" s="44">
        <f t="shared" si="272"/>
        <v>1.4875156939668432E-5</v>
      </c>
      <c r="BL236" s="44">
        <f t="shared" si="273"/>
        <v>8.0357938006430206E-6</v>
      </c>
      <c r="BM236" s="44">
        <f t="shared" si="274"/>
        <v>2.0442121048727464E-5</v>
      </c>
      <c r="BN236" s="44">
        <f t="shared" si="275"/>
        <v>2.1261399055171491E-5</v>
      </c>
      <c r="BO236" s="44">
        <f t="shared" si="276"/>
        <v>9.9638983747483966E-6</v>
      </c>
      <c r="BP236" s="44">
        <f t="shared" si="277"/>
        <v>3.3503386287458625E-5</v>
      </c>
      <c r="BQ236" s="44">
        <f t="shared" si="278"/>
        <v>9.041177075945348E-6</v>
      </c>
      <c r="BR236" s="44">
        <f t="shared" si="279"/>
        <v>2.6709900325651679E-5</v>
      </c>
      <c r="BS236" s="44">
        <f t="shared" si="280"/>
        <v>1.4405003689041931E-5</v>
      </c>
      <c r="BT236" s="44">
        <f t="shared" si="281"/>
        <v>5.7005015832399858E-5</v>
      </c>
      <c r="BU236" s="44">
        <f t="shared" si="282"/>
        <v>5.4456943584810332E-5</v>
      </c>
      <c r="BV236" s="44">
        <f t="shared" si="283"/>
        <v>5.2298646950408779E-5</v>
      </c>
      <c r="BW236" s="44">
        <f t="shared" si="284"/>
        <v>3.4206193121929118E-5</v>
      </c>
      <c r="BX236" s="44">
        <f t="shared" si="285"/>
        <v>2.5270914319589977E-5</v>
      </c>
      <c r="BY236" s="44">
        <f t="shared" si="286"/>
        <v>2.1697984505163535E-5</v>
      </c>
      <c r="CA236" s="44" t="str">
        <f t="shared" si="287"/>
        <v/>
      </c>
      <c r="CB236" s="44" t="str">
        <f t="shared" si="288"/>
        <v/>
      </c>
      <c r="CC236" s="44" t="str">
        <f t="shared" si="289"/>
        <v/>
      </c>
      <c r="CD236" s="44" t="str">
        <f t="shared" si="290"/>
        <v/>
      </c>
      <c r="CE236" s="44" t="str">
        <f t="shared" si="291"/>
        <v/>
      </c>
      <c r="CF236" s="44" t="str">
        <f t="shared" si="292"/>
        <v/>
      </c>
      <c r="CG236" s="44" t="str">
        <f t="shared" si="293"/>
        <v/>
      </c>
      <c r="CH236" s="44" t="str">
        <f t="shared" si="294"/>
        <v/>
      </c>
      <c r="CI236" s="44" t="str">
        <f t="shared" si="295"/>
        <v/>
      </c>
      <c r="CJ236" s="44" t="str">
        <f t="shared" si="296"/>
        <v/>
      </c>
      <c r="CK236" s="44" t="str">
        <f t="shared" si="297"/>
        <v/>
      </c>
      <c r="CL236" s="44" t="str">
        <f t="shared" si="298"/>
        <v/>
      </c>
      <c r="CM236" s="44" t="str">
        <f t="shared" si="299"/>
        <v/>
      </c>
      <c r="CN236" s="44" t="str">
        <f t="shared" si="300"/>
        <v/>
      </c>
      <c r="CO236" s="44" t="str">
        <f t="shared" si="301"/>
        <v/>
      </c>
      <c r="CP236" s="44" t="str">
        <f t="shared" si="302"/>
        <v/>
      </c>
      <c r="CQ236" s="44" t="str">
        <f t="shared" si="303"/>
        <v/>
      </c>
      <c r="CR236" s="44" t="str">
        <f t="shared" si="304"/>
        <v/>
      </c>
      <c r="CS236" s="44" t="str">
        <f t="shared" si="305"/>
        <v/>
      </c>
      <c r="CT236" s="44" t="str">
        <f t="shared" si="306"/>
        <v/>
      </c>
      <c r="CV236" s="44">
        <f t="shared" si="307"/>
        <v>0</v>
      </c>
    </row>
    <row r="237" spans="1:100" x14ac:dyDescent="0.25">
      <c r="A237" s="41"/>
      <c r="B237" s="42"/>
      <c r="C237" s="43" t="str" cm="1">
        <f t="array" ref="C237">IF(B237="","",INDEX(UWS!$B$10:$B$41,B237))</f>
        <v/>
      </c>
      <c r="D237" s="40" t="str">
        <f t="shared" si="264"/>
        <v/>
      </c>
      <c r="E237" s="69" t="str">
        <f t="shared" si="265"/>
        <v/>
      </c>
      <c r="F237" s="48" cm="1">
        <f t="array" ref="F237">0.1+IFERROR(INDEX($F$5:$F236,SUMPRODUCT(MAX(ROW($C$5:$C236)*($C237=$C$5:$C236))-ROW($A$4)))*0.9^($A237-INDEX($A$5:A236,SUMPRODUCT(MAX(ROW($C$5:$C236)*($C237=$C$5:$C236))-ROW($A$4)))),0)</f>
        <v>17.199999999999974</v>
      </c>
      <c r="G237" s="55" t="e">
        <f>INDEX(UWS!$AB$10:$AB$41,MATCH(C237,UWS!$B$10:$B$41,0))</f>
        <v>#N/A</v>
      </c>
      <c r="H237" s="48" t="e">
        <f>INDEX(UWS!$C$10:$C$41,MATCH(C237,UWS!$B$10:$B$41,0))</f>
        <v>#N/A</v>
      </c>
      <c r="I237" s="27">
        <f t="shared" si="266"/>
        <v>5</v>
      </c>
      <c r="J237" s="27" t="e">
        <f>INDEX(UWS!$E$10:$E$41,MATCH(C237,UWS!$B$10:$B$41,0))</f>
        <v>#N/A</v>
      </c>
      <c r="L237" s="108" t="str" cm="1">
        <f t="array" ref="L237">IF(K237="","",INDEX(UWS!$B$10:$B$41,K237))</f>
        <v/>
      </c>
      <c r="N237" s="108" t="str" cm="1">
        <f t="array" ref="N237">IF(M237="","",INDEX(UWS!$B$10:$B$41,M237))</f>
        <v/>
      </c>
      <c r="P237">
        <f>IFERROR(INDEX(UWS!$G$10:$Z$41,MATCH($C237,UWS!$B$10:$B$41,0),MATCH(P$4,UWS!$G$3:$Z$3,0)),0)</f>
        <v>0</v>
      </c>
      <c r="Q237">
        <f>IFERROR(INDEX(UWS!$G$10:$Z$41,MATCH($C237,UWS!$B$10:$B$41,0),MATCH(Q$4,UWS!$G$3:$Z$3,0)),0)</f>
        <v>0</v>
      </c>
      <c r="R237">
        <f>IFERROR(INDEX(UWS!$G$10:$Z$41,MATCH($C237,UWS!$B$10:$B$41,0),MATCH(R$4,UWS!$G$3:$Z$3,0)),0)</f>
        <v>0</v>
      </c>
      <c r="S237">
        <f>IFERROR(INDEX(UWS!$G$10:$Z$41,MATCH($C237,UWS!$B$10:$B$41,0),MATCH(S$4,UWS!$G$3:$Z$3,0)),0)</f>
        <v>0</v>
      </c>
      <c r="T237">
        <f>IFERROR(INDEX(UWS!$G$10:$Z$41,MATCH($C237,UWS!$B$10:$B$41,0),MATCH(T$4,UWS!$G$3:$Z$3,0)),0)</f>
        <v>0</v>
      </c>
      <c r="U237">
        <f>IFERROR(INDEX(UWS!$G$10:$Z$41,MATCH($C237,UWS!$B$10:$B$41,0),MATCH(U$4,UWS!$G$3:$Z$3,0)),0)</f>
        <v>0</v>
      </c>
      <c r="V237">
        <f>IFERROR(INDEX(UWS!$G$10:$Z$41,MATCH($C237,UWS!$B$10:$B$41,0),MATCH(V$4,UWS!$G$3:$Z$3,0)),0)</f>
        <v>0</v>
      </c>
      <c r="W237">
        <f>IFERROR(INDEX(UWS!$G$10:$Z$41,MATCH($C237,UWS!$B$10:$B$41,0),MATCH(W$4,UWS!$G$3:$Z$3,0)),0)</f>
        <v>0</v>
      </c>
      <c r="X237">
        <f>IFERROR(INDEX(UWS!$G$10:$Z$41,MATCH($C237,UWS!$B$10:$B$41,0),MATCH(X$4,UWS!$G$3:$Z$3,0)),0)</f>
        <v>0</v>
      </c>
      <c r="Y237">
        <f>IFERROR(INDEX(UWS!$G$10:$Z$41,MATCH($C237,UWS!$B$10:$B$41,0),MATCH(Y$4,UWS!$G$3:$Z$3,0)),0)</f>
        <v>0</v>
      </c>
      <c r="Z237">
        <f>IFERROR(INDEX(UWS!$G$10:$Z$41,MATCH($C237,UWS!$B$10:$B$41,0),MATCH(Z$4,UWS!$G$3:$Z$3,0)),0)</f>
        <v>0</v>
      </c>
      <c r="AA237">
        <f>IFERROR(INDEX(UWS!$G$10:$Z$41,MATCH($C237,UWS!$B$10:$B$41,0),MATCH(AA$4,UWS!$G$3:$Z$3,0)),0)</f>
        <v>0</v>
      </c>
      <c r="AB237">
        <f>IFERROR(INDEX(UWS!$G$10:$Z$41,MATCH($C237,UWS!$B$10:$B$41,0),MATCH(AB$4,UWS!$G$3:$Z$3,0)),0)</f>
        <v>0</v>
      </c>
      <c r="AC237">
        <f>IFERROR(INDEX(UWS!$G$10:$Z$41,MATCH($C237,UWS!$B$10:$B$41,0),MATCH(AC$4,UWS!$G$3:$Z$3,0)),0)</f>
        <v>0</v>
      </c>
      <c r="AD237">
        <f>IFERROR(INDEX(UWS!$G$10:$Z$41,MATCH($C237,UWS!$B$10:$B$41,0),MATCH(AD$4,UWS!$G$3:$Z$3,0)),0)</f>
        <v>0</v>
      </c>
      <c r="AE237">
        <f>IFERROR(INDEX(UWS!$G$10:$Z$41,MATCH($C237,UWS!$B$10:$B$41,0),MATCH(AE$4,UWS!$G$3:$Z$3,0)),0)</f>
        <v>0</v>
      </c>
      <c r="AF237">
        <f>IFERROR(INDEX(UWS!$G$10:$Z$41,MATCH($C237,UWS!$B$10:$B$41,0),MATCH(AF$4,UWS!$G$3:$Z$3,0)),0)</f>
        <v>0</v>
      </c>
      <c r="AG237">
        <f>IFERROR(INDEX(UWS!$G$10:$Z$41,MATCH($C237,UWS!$B$10:$B$41,0),MATCH(AG$4,UWS!$G$3:$Z$3,0)),0)</f>
        <v>0</v>
      </c>
      <c r="AH237">
        <f>IFERROR(INDEX(UWS!$G$10:$Z$41,MATCH($C237,UWS!$B$10:$B$41,0),MATCH(AH$4,UWS!$G$3:$Z$3,0)),0)</f>
        <v>0</v>
      </c>
      <c r="AI237">
        <f>IFERROR(INDEX(UWS!$G$10:$Z$41,MATCH($C237,UWS!$B$10:$B$41,0),MATCH(AI$4,UWS!$G$3:$Z$3,0)),0)</f>
        <v>0</v>
      </c>
      <c r="AK237" t="e">
        <f>IF(OR($J237=0,COUNTIFS($A$4:$A236,"&gt;="&amp;$A237-1,$A$4:$A236,"&lt;="&amp;$A237,$B$4:$B236,$B237)&gt;0,MIN(AK$1,IF($A237=$A236,AK236,1))-P237&lt;0),-1,MIN(1,IF($A237=$A236,AK236,1)-P237+$D$3))</f>
        <v>#N/A</v>
      </c>
      <c r="AL237" t="e">
        <f>IF(OR($J237=0,COUNTIFS($A$4:$A236,"&gt;="&amp;$A237-1,$A$4:$A236,"&lt;="&amp;$A237,$B$4:$B236,$B237)&gt;0,MIN(AL$1,IF($A237=$A236,AL236,1))-Q237&lt;0),-1,MIN(1,IF($A237=$A236,AL236,1)-Q237+$D$3))</f>
        <v>#N/A</v>
      </c>
      <c r="AM237" t="e">
        <f>IF(OR($J237=0,COUNTIFS($A$4:$A236,"&gt;="&amp;$A237-1,$A$4:$A236,"&lt;="&amp;$A237,$B$4:$B236,$B237)&gt;0,MIN(AM$1,IF($A237=$A236,AM236,1))-R237&lt;0),-1,MIN(1,IF($A237=$A236,AM236,1)-R237+$D$3))</f>
        <v>#N/A</v>
      </c>
      <c r="AN237" t="e">
        <f>IF(OR($J237=0,COUNTIFS($A$4:$A236,"&gt;="&amp;$A237-1,$A$4:$A236,"&lt;="&amp;$A237,$B$4:$B236,$B237)&gt;0,MIN(AN$1,IF($A237=$A236,AN236,1))-S237&lt;0),-1,MIN(1,IF($A237=$A236,AN236,1)-S237+$D$3))</f>
        <v>#N/A</v>
      </c>
      <c r="AO237" t="e">
        <f>IF(OR($J237=0,COUNTIFS($A$4:$A236,"&gt;="&amp;$A237-1,$A$4:$A236,"&lt;="&amp;$A237,$B$4:$B236,$B237)&gt;0,MIN(AO$1,IF($A237=$A236,AO236,1))-T237&lt;0),-1,MIN(1,IF($A237=$A236,AO236,1)-T237+$D$3))</f>
        <v>#N/A</v>
      </c>
      <c r="AP237" t="e">
        <f>IF(OR($J237=0,COUNTIFS($A$4:$A236,"&gt;="&amp;$A237-1,$A$4:$A236,"&lt;="&amp;$A237,$B$4:$B236,$B237)&gt;0,MIN(AP$1,IF($A237=$A236,AP236,1))-U237&lt;0),-1,MIN(1,IF($A237=$A236,AP236,1)-U237+$D$3))</f>
        <v>#N/A</v>
      </c>
      <c r="AQ237" t="e">
        <f>IF(OR($J237=0,COUNTIFS($A$4:$A236,"&gt;="&amp;$A237-1,$A$4:$A236,"&lt;="&amp;$A237,$B$4:$B236,$B237)&gt;0,MIN(AQ$1,IF($A237=$A236,AQ236,1))-V237&lt;0),-1,MIN(1,IF($A237=$A236,AQ236,1)-V237+$D$3))</f>
        <v>#N/A</v>
      </c>
      <c r="AR237" t="e">
        <f>IF(OR($J237=0,COUNTIFS($A$4:$A236,"&gt;="&amp;$A237-1,$A$4:$A236,"&lt;="&amp;$A237,$B$4:$B236,$B237)&gt;0,MIN(AR$1,IF($A237=$A236,AR236,1))-W237&lt;0),-1,MIN(1,IF($A237=$A236,AR236,1)-W237+$D$3))</f>
        <v>#N/A</v>
      </c>
      <c r="AS237" t="e">
        <f>IF(OR($J237=0,COUNTIFS($A$4:$A236,"&gt;="&amp;$A237-1,$A$4:$A236,"&lt;="&amp;$A237,$B$4:$B236,$B237)&gt;0,MIN(AS$1,IF($A237=$A236,AS236,1))-X237&lt;0),-1,MIN(1,IF($A237=$A236,AS236,1)-X237+$D$3))</f>
        <v>#N/A</v>
      </c>
      <c r="AT237" t="e">
        <f>IF(OR($J237=0,COUNTIFS($A$4:$A236,"&gt;="&amp;$A237-1,$A$4:$A236,"&lt;="&amp;$A237,$B$4:$B236,$B237)&gt;0,MIN(AT$1,IF($A237=$A236,AT236,1))-Y237&lt;0),-1,MIN(1,IF($A237=$A236,AT236,1)-Y237+$D$3))</f>
        <v>#N/A</v>
      </c>
      <c r="AU237" t="e">
        <f>IF(OR($J237=0,COUNTIFS($A$4:$A236,"&gt;="&amp;$A237-1,$A$4:$A236,"&lt;="&amp;$A237,$B$4:$B236,$B237)&gt;0,MIN(AU$1,IF($A237=$A236,AU236,1))-Z237&lt;0),-1,MIN(1,IF($A237=$A236,AU236,1)-Z237+$D$3))</f>
        <v>#N/A</v>
      </c>
      <c r="AV237" t="e">
        <f>IF(OR($J237=0,COUNTIFS($A$4:$A236,"&gt;="&amp;$A237-1,$A$4:$A236,"&lt;="&amp;$A237,$B$4:$B236,$B237)&gt;0,MIN(AV$1,IF($A237=$A236,AV236,1))-AA237&lt;0),-1,MIN(1,IF($A237=$A236,AV236,1)-AA237+$D$3))</f>
        <v>#N/A</v>
      </c>
      <c r="AW237" t="e">
        <f>IF(OR($J237=0,COUNTIFS($A$4:$A236,"&gt;="&amp;$A237-1,$A$4:$A236,"&lt;="&amp;$A237,$B$4:$B236,$B237)&gt;0,MIN(AW$1,IF($A237=$A236,AW236,1))-AB237&lt;0),-1,MIN(1,IF($A237=$A236,AW236,1)-AB237+$D$3))</f>
        <v>#N/A</v>
      </c>
      <c r="AX237" t="e">
        <f>IF(OR($J237=0,COUNTIFS($A$4:$A236,"&gt;="&amp;$A237-1,$A$4:$A236,"&lt;="&amp;$A237,$B$4:$B236,$B237)&gt;0,MIN(AX$1,IF($A237=$A236,AX236,1))-AC237&lt;0),-1,MIN(1,IF($A237=$A236,AX236,1)-AC237+$D$3))</f>
        <v>#N/A</v>
      </c>
      <c r="AY237" t="e">
        <f>IF(OR($J237=0,COUNTIFS($A$4:$A236,"&gt;="&amp;$A237-1,$A$4:$A236,"&lt;="&amp;$A237,$B$4:$B236,$B237)&gt;0,MIN(AY$1,IF($A237=$A236,AY236,1))-AD237&lt;0),-1,MIN(1,IF($A237=$A236,AY236,1)-AD237+$D$3))</f>
        <v>#N/A</v>
      </c>
      <c r="AZ237" t="e">
        <f>IF(OR($J237=0,COUNTIFS($A$4:$A236,"&gt;="&amp;$A237-1,$A$4:$A236,"&lt;="&amp;$A237,$B$4:$B236,$B237)&gt;0,MIN(AZ$1,IF($A237=$A236,AZ236,1))-AE237&lt;0),-1,MIN(1,IF($A237=$A236,AZ236,1)-AE237+$D$3))</f>
        <v>#N/A</v>
      </c>
      <c r="BA237" t="e">
        <f>IF(OR($J237=0,COUNTIFS($A$4:$A236,"&gt;="&amp;$A237-1,$A$4:$A236,"&lt;="&amp;$A237,$B$4:$B236,$B237)&gt;0,MIN(BA$1,IF($A237=$A236,BA236,1))-AF237&lt;0),-1,MIN(1,IF($A237=$A236,BA236,1)-AF237+$D$3))</f>
        <v>#N/A</v>
      </c>
      <c r="BB237" t="e">
        <f>IF(OR($J237=0,COUNTIFS($A$4:$A236,"&gt;="&amp;$A237-1,$A$4:$A236,"&lt;="&amp;$A237,$B$4:$B236,$B237)&gt;0,MIN(BB$1,IF($A237=$A236,BB236,1))-AG237&lt;0),-1,MIN(1,IF($A237=$A236,BB236,1)-AG237+$D$3))</f>
        <v>#N/A</v>
      </c>
      <c r="BC237" t="e">
        <f>IF(OR($J237=0,COUNTIFS($A$4:$A236,"&gt;="&amp;$A237-1,$A$4:$A236,"&lt;="&amp;$A237,$B$4:$B236,$B237)&gt;0,MIN(BC$1,IF($A237=$A236,BC236,1))-AH237&lt;0),-1,MIN(1,IF($A237=$A236,BC236,1)-AH237+$D$3))</f>
        <v>#N/A</v>
      </c>
      <c r="BD237" t="e">
        <f>IF(OR($J237=0,COUNTIFS($A$4:$A236,"&gt;="&amp;$A237-1,$A$4:$A236,"&lt;="&amp;$A237,$B$4:$B236,$B237)&gt;0,MIN(BD$1,IF($A237=$A236,BD236,1))-AI237&lt;0),-1,MIN(1,IF($A237=$A236,BD236,1)-AI237+$D$3))</f>
        <v>#N/A</v>
      </c>
      <c r="BF237" s="44">
        <f t="shared" si="267"/>
        <v>1.3674325894946776E-5</v>
      </c>
      <c r="BG237" s="44">
        <f t="shared" si="268"/>
        <v>3.362902601420392E-5</v>
      </c>
      <c r="BH237" s="44">
        <f t="shared" si="269"/>
        <v>3.4466214237462824E-5</v>
      </c>
      <c r="BI237" s="44">
        <f t="shared" si="270"/>
        <v>3.1837212814976525E-5</v>
      </c>
      <c r="BJ237" s="44">
        <f t="shared" si="271"/>
        <v>3.2906781940634075E-5</v>
      </c>
      <c r="BK237" s="44">
        <f t="shared" si="272"/>
        <v>1.413139909268501E-5</v>
      </c>
      <c r="BL237" s="44">
        <f t="shared" si="273"/>
        <v>7.6340041106108691E-6</v>
      </c>
      <c r="BM237" s="44">
        <f t="shared" si="274"/>
        <v>1.9420014996291088E-5</v>
      </c>
      <c r="BN237" s="44">
        <f t="shared" si="275"/>
        <v>2.0198329102412916E-5</v>
      </c>
      <c r="BO237" s="44">
        <f t="shared" si="276"/>
        <v>9.4657034560109764E-6</v>
      </c>
      <c r="BP237" s="44">
        <f t="shared" si="277"/>
        <v>3.1828216973085692E-5</v>
      </c>
      <c r="BQ237" s="44">
        <f t="shared" si="278"/>
        <v>8.5891182221480799E-6</v>
      </c>
      <c r="BR237" s="44">
        <f t="shared" si="279"/>
        <v>2.5374405309369093E-5</v>
      </c>
      <c r="BS237" s="44">
        <f t="shared" si="280"/>
        <v>1.3684753504589834E-5</v>
      </c>
      <c r="BT237" s="44">
        <f t="shared" si="281"/>
        <v>5.4154765040779862E-5</v>
      </c>
      <c r="BU237" s="44">
        <f t="shared" si="282"/>
        <v>5.173409640556981E-5</v>
      </c>
      <c r="BV237" s="44">
        <f t="shared" si="283"/>
        <v>4.9683714602888336E-5</v>
      </c>
      <c r="BW237" s="44">
        <f t="shared" si="284"/>
        <v>3.2495883465832663E-5</v>
      </c>
      <c r="BX237" s="44">
        <f t="shared" si="285"/>
        <v>2.4007368603610477E-5</v>
      </c>
      <c r="BY237" s="44">
        <f t="shared" si="286"/>
        <v>2.0613085279905358E-5</v>
      </c>
      <c r="CA237" s="44" t="str">
        <f t="shared" si="287"/>
        <v/>
      </c>
      <c r="CB237" s="44" t="str">
        <f t="shared" si="288"/>
        <v/>
      </c>
      <c r="CC237" s="44" t="str">
        <f t="shared" si="289"/>
        <v/>
      </c>
      <c r="CD237" s="44" t="str">
        <f t="shared" si="290"/>
        <v/>
      </c>
      <c r="CE237" s="44" t="str">
        <f t="shared" si="291"/>
        <v/>
      </c>
      <c r="CF237" s="44" t="str">
        <f t="shared" si="292"/>
        <v/>
      </c>
      <c r="CG237" s="44" t="str">
        <f t="shared" si="293"/>
        <v/>
      </c>
      <c r="CH237" s="44" t="str">
        <f t="shared" si="294"/>
        <v/>
      </c>
      <c r="CI237" s="44" t="str">
        <f t="shared" si="295"/>
        <v/>
      </c>
      <c r="CJ237" s="44" t="str">
        <f t="shared" si="296"/>
        <v/>
      </c>
      <c r="CK237" s="44" t="str">
        <f t="shared" si="297"/>
        <v/>
      </c>
      <c r="CL237" s="44" t="str">
        <f t="shared" si="298"/>
        <v/>
      </c>
      <c r="CM237" s="44" t="str">
        <f t="shared" si="299"/>
        <v/>
      </c>
      <c r="CN237" s="44" t="str">
        <f t="shared" si="300"/>
        <v/>
      </c>
      <c r="CO237" s="44" t="str">
        <f t="shared" si="301"/>
        <v/>
      </c>
      <c r="CP237" s="44" t="str">
        <f t="shared" si="302"/>
        <v/>
      </c>
      <c r="CQ237" s="44" t="str">
        <f t="shared" si="303"/>
        <v/>
      </c>
      <c r="CR237" s="44" t="str">
        <f t="shared" si="304"/>
        <v/>
      </c>
      <c r="CS237" s="44" t="str">
        <f t="shared" si="305"/>
        <v/>
      </c>
      <c r="CT237" s="44" t="str">
        <f t="shared" si="306"/>
        <v/>
      </c>
      <c r="CV237" s="44">
        <f t="shared" si="307"/>
        <v>0</v>
      </c>
    </row>
    <row r="238" spans="1:100" x14ac:dyDescent="0.25">
      <c r="A238" s="41"/>
      <c r="B238" s="42"/>
      <c r="C238" s="43" t="str" cm="1">
        <f t="array" ref="C238">IF(B238="","",INDEX(UWS!$B$10:$B$41,B238))</f>
        <v/>
      </c>
      <c r="D238" s="40" t="str">
        <f t="shared" si="264"/>
        <v/>
      </c>
      <c r="E238" s="69" t="str">
        <f t="shared" si="265"/>
        <v/>
      </c>
      <c r="F238" s="48" cm="1">
        <f t="array" ref="F238">0.1+IFERROR(INDEX($F$5:$F237,SUMPRODUCT(MAX(ROW($C$5:$C237)*($C238=$C$5:$C237))-ROW($A$4)))*0.9^($A238-INDEX($A$5:A237,SUMPRODUCT(MAX(ROW($C$5:$C237)*($C238=$C$5:$C237))-ROW($A$4)))),0)</f>
        <v>17.299999999999976</v>
      </c>
      <c r="G238" s="55" t="e">
        <f>INDEX(UWS!$AB$10:$AB$41,MATCH(C238,UWS!$B$10:$B$41,0))</f>
        <v>#N/A</v>
      </c>
      <c r="H238" s="48" t="e">
        <f>INDEX(UWS!$C$10:$C$41,MATCH(C238,UWS!$B$10:$B$41,0))</f>
        <v>#N/A</v>
      </c>
      <c r="I238" s="27">
        <f t="shared" si="266"/>
        <v>5</v>
      </c>
      <c r="J238" s="27" t="e">
        <f>INDEX(UWS!$E$10:$E$41,MATCH(C238,UWS!$B$10:$B$41,0))</f>
        <v>#N/A</v>
      </c>
      <c r="L238" s="108" t="str" cm="1">
        <f t="array" ref="L238">IF(K238="","",INDEX(UWS!$B$10:$B$41,K238))</f>
        <v/>
      </c>
      <c r="N238" s="108" t="str" cm="1">
        <f t="array" ref="N238">IF(M238="","",INDEX(UWS!$B$10:$B$41,M238))</f>
        <v/>
      </c>
      <c r="P238">
        <f>IFERROR(INDEX(UWS!$G$10:$Z$41,MATCH($C238,UWS!$B$10:$B$41,0),MATCH(P$4,UWS!$G$3:$Z$3,0)),0)</f>
        <v>0</v>
      </c>
      <c r="Q238">
        <f>IFERROR(INDEX(UWS!$G$10:$Z$41,MATCH($C238,UWS!$B$10:$B$41,0),MATCH(Q$4,UWS!$G$3:$Z$3,0)),0)</f>
        <v>0</v>
      </c>
      <c r="R238">
        <f>IFERROR(INDEX(UWS!$G$10:$Z$41,MATCH($C238,UWS!$B$10:$B$41,0),MATCH(R$4,UWS!$G$3:$Z$3,0)),0)</f>
        <v>0</v>
      </c>
      <c r="S238">
        <f>IFERROR(INDEX(UWS!$G$10:$Z$41,MATCH($C238,UWS!$B$10:$B$41,0),MATCH(S$4,UWS!$G$3:$Z$3,0)),0)</f>
        <v>0</v>
      </c>
      <c r="T238">
        <f>IFERROR(INDEX(UWS!$G$10:$Z$41,MATCH($C238,UWS!$B$10:$B$41,0),MATCH(T$4,UWS!$G$3:$Z$3,0)),0)</f>
        <v>0</v>
      </c>
      <c r="U238">
        <f>IFERROR(INDEX(UWS!$G$10:$Z$41,MATCH($C238,UWS!$B$10:$B$41,0),MATCH(U$4,UWS!$G$3:$Z$3,0)),0)</f>
        <v>0</v>
      </c>
      <c r="V238">
        <f>IFERROR(INDEX(UWS!$G$10:$Z$41,MATCH($C238,UWS!$B$10:$B$41,0),MATCH(V$4,UWS!$G$3:$Z$3,0)),0)</f>
        <v>0</v>
      </c>
      <c r="W238">
        <f>IFERROR(INDEX(UWS!$G$10:$Z$41,MATCH($C238,UWS!$B$10:$B$41,0),MATCH(W$4,UWS!$G$3:$Z$3,0)),0)</f>
        <v>0</v>
      </c>
      <c r="X238">
        <f>IFERROR(INDEX(UWS!$G$10:$Z$41,MATCH($C238,UWS!$B$10:$B$41,0),MATCH(X$4,UWS!$G$3:$Z$3,0)),0)</f>
        <v>0</v>
      </c>
      <c r="Y238">
        <f>IFERROR(INDEX(UWS!$G$10:$Z$41,MATCH($C238,UWS!$B$10:$B$41,0),MATCH(Y$4,UWS!$G$3:$Z$3,0)),0)</f>
        <v>0</v>
      </c>
      <c r="Z238">
        <f>IFERROR(INDEX(UWS!$G$10:$Z$41,MATCH($C238,UWS!$B$10:$B$41,0),MATCH(Z$4,UWS!$G$3:$Z$3,0)),0)</f>
        <v>0</v>
      </c>
      <c r="AA238">
        <f>IFERROR(INDEX(UWS!$G$10:$Z$41,MATCH($C238,UWS!$B$10:$B$41,0),MATCH(AA$4,UWS!$G$3:$Z$3,0)),0)</f>
        <v>0</v>
      </c>
      <c r="AB238">
        <f>IFERROR(INDEX(UWS!$G$10:$Z$41,MATCH($C238,UWS!$B$10:$B$41,0),MATCH(AB$4,UWS!$G$3:$Z$3,0)),0)</f>
        <v>0</v>
      </c>
      <c r="AC238">
        <f>IFERROR(INDEX(UWS!$G$10:$Z$41,MATCH($C238,UWS!$B$10:$B$41,0),MATCH(AC$4,UWS!$G$3:$Z$3,0)),0)</f>
        <v>0</v>
      </c>
      <c r="AD238">
        <f>IFERROR(INDEX(UWS!$G$10:$Z$41,MATCH($C238,UWS!$B$10:$B$41,0),MATCH(AD$4,UWS!$G$3:$Z$3,0)),0)</f>
        <v>0</v>
      </c>
      <c r="AE238">
        <f>IFERROR(INDEX(UWS!$G$10:$Z$41,MATCH($C238,UWS!$B$10:$B$41,0),MATCH(AE$4,UWS!$G$3:$Z$3,0)),0)</f>
        <v>0</v>
      </c>
      <c r="AF238">
        <f>IFERROR(INDEX(UWS!$G$10:$Z$41,MATCH($C238,UWS!$B$10:$B$41,0),MATCH(AF$4,UWS!$G$3:$Z$3,0)),0)</f>
        <v>0</v>
      </c>
      <c r="AG238">
        <f>IFERROR(INDEX(UWS!$G$10:$Z$41,MATCH($C238,UWS!$B$10:$B$41,0),MATCH(AG$4,UWS!$G$3:$Z$3,0)),0)</f>
        <v>0</v>
      </c>
      <c r="AH238">
        <f>IFERROR(INDEX(UWS!$G$10:$Z$41,MATCH($C238,UWS!$B$10:$B$41,0),MATCH(AH$4,UWS!$G$3:$Z$3,0)),0)</f>
        <v>0</v>
      </c>
      <c r="AI238">
        <f>IFERROR(INDEX(UWS!$G$10:$Z$41,MATCH($C238,UWS!$B$10:$B$41,0),MATCH(AI$4,UWS!$G$3:$Z$3,0)),0)</f>
        <v>0</v>
      </c>
      <c r="AK238" t="e">
        <f>IF(OR($J238=0,COUNTIFS($A$4:$A237,"&gt;="&amp;$A238-1,$A$4:$A237,"&lt;="&amp;$A238,$B$4:$B237,$B238)&gt;0,MIN(AK$1,IF($A238=$A237,AK237,1))-P238&lt;0),-1,MIN(1,IF($A238=$A237,AK237,1)-P238+$D$3))</f>
        <v>#N/A</v>
      </c>
      <c r="AL238" t="e">
        <f>IF(OR($J238=0,COUNTIFS($A$4:$A237,"&gt;="&amp;$A238-1,$A$4:$A237,"&lt;="&amp;$A238,$B$4:$B237,$B238)&gt;0,MIN(AL$1,IF($A238=$A237,AL237,1))-Q238&lt;0),-1,MIN(1,IF($A238=$A237,AL237,1)-Q238+$D$3))</f>
        <v>#N/A</v>
      </c>
      <c r="AM238" t="e">
        <f>IF(OR($J238=0,COUNTIFS($A$4:$A237,"&gt;="&amp;$A238-1,$A$4:$A237,"&lt;="&amp;$A238,$B$4:$B237,$B238)&gt;0,MIN(AM$1,IF($A238=$A237,AM237,1))-R238&lt;0),-1,MIN(1,IF($A238=$A237,AM237,1)-R238+$D$3))</f>
        <v>#N/A</v>
      </c>
      <c r="AN238" t="e">
        <f>IF(OR($J238=0,COUNTIFS($A$4:$A237,"&gt;="&amp;$A238-1,$A$4:$A237,"&lt;="&amp;$A238,$B$4:$B237,$B238)&gt;0,MIN(AN$1,IF($A238=$A237,AN237,1))-S238&lt;0),-1,MIN(1,IF($A238=$A237,AN237,1)-S238+$D$3))</f>
        <v>#N/A</v>
      </c>
      <c r="AO238" t="e">
        <f>IF(OR($J238=0,COUNTIFS($A$4:$A237,"&gt;="&amp;$A238-1,$A$4:$A237,"&lt;="&amp;$A238,$B$4:$B237,$B238)&gt;0,MIN(AO$1,IF($A238=$A237,AO237,1))-T238&lt;0),-1,MIN(1,IF($A238=$A237,AO237,1)-T238+$D$3))</f>
        <v>#N/A</v>
      </c>
      <c r="AP238" t="e">
        <f>IF(OR($J238=0,COUNTIFS($A$4:$A237,"&gt;="&amp;$A238-1,$A$4:$A237,"&lt;="&amp;$A238,$B$4:$B237,$B238)&gt;0,MIN(AP$1,IF($A238=$A237,AP237,1))-U238&lt;0),-1,MIN(1,IF($A238=$A237,AP237,1)-U238+$D$3))</f>
        <v>#N/A</v>
      </c>
      <c r="AQ238" t="e">
        <f>IF(OR($J238=0,COUNTIFS($A$4:$A237,"&gt;="&amp;$A238-1,$A$4:$A237,"&lt;="&amp;$A238,$B$4:$B237,$B238)&gt;0,MIN(AQ$1,IF($A238=$A237,AQ237,1))-V238&lt;0),-1,MIN(1,IF($A238=$A237,AQ237,1)-V238+$D$3))</f>
        <v>#N/A</v>
      </c>
      <c r="AR238" t="e">
        <f>IF(OR($J238=0,COUNTIFS($A$4:$A237,"&gt;="&amp;$A238-1,$A$4:$A237,"&lt;="&amp;$A238,$B$4:$B237,$B238)&gt;0,MIN(AR$1,IF($A238=$A237,AR237,1))-W238&lt;0),-1,MIN(1,IF($A238=$A237,AR237,1)-W238+$D$3))</f>
        <v>#N/A</v>
      </c>
      <c r="AS238" t="e">
        <f>IF(OR($J238=0,COUNTIFS($A$4:$A237,"&gt;="&amp;$A238-1,$A$4:$A237,"&lt;="&amp;$A238,$B$4:$B237,$B238)&gt;0,MIN(AS$1,IF($A238=$A237,AS237,1))-X238&lt;0),-1,MIN(1,IF($A238=$A237,AS237,1)-X238+$D$3))</f>
        <v>#N/A</v>
      </c>
      <c r="AT238" t="e">
        <f>IF(OR($J238=0,COUNTIFS($A$4:$A237,"&gt;="&amp;$A238-1,$A$4:$A237,"&lt;="&amp;$A238,$B$4:$B237,$B238)&gt;0,MIN(AT$1,IF($A238=$A237,AT237,1))-Y238&lt;0),-1,MIN(1,IF($A238=$A237,AT237,1)-Y238+$D$3))</f>
        <v>#N/A</v>
      </c>
      <c r="AU238" t="e">
        <f>IF(OR($J238=0,COUNTIFS($A$4:$A237,"&gt;="&amp;$A238-1,$A$4:$A237,"&lt;="&amp;$A238,$B$4:$B237,$B238)&gt;0,MIN(AU$1,IF($A238=$A237,AU237,1))-Z238&lt;0),-1,MIN(1,IF($A238=$A237,AU237,1)-Z238+$D$3))</f>
        <v>#N/A</v>
      </c>
      <c r="AV238" t="e">
        <f>IF(OR($J238=0,COUNTIFS($A$4:$A237,"&gt;="&amp;$A238-1,$A$4:$A237,"&lt;="&amp;$A238,$B$4:$B237,$B238)&gt;0,MIN(AV$1,IF($A238=$A237,AV237,1))-AA238&lt;0),-1,MIN(1,IF($A238=$A237,AV237,1)-AA238+$D$3))</f>
        <v>#N/A</v>
      </c>
      <c r="AW238" t="e">
        <f>IF(OR($J238=0,COUNTIFS($A$4:$A237,"&gt;="&amp;$A238-1,$A$4:$A237,"&lt;="&amp;$A238,$B$4:$B237,$B238)&gt;0,MIN(AW$1,IF($A238=$A237,AW237,1))-AB238&lt;0),-1,MIN(1,IF($A238=$A237,AW237,1)-AB238+$D$3))</f>
        <v>#N/A</v>
      </c>
      <c r="AX238" t="e">
        <f>IF(OR($J238=0,COUNTIFS($A$4:$A237,"&gt;="&amp;$A238-1,$A$4:$A237,"&lt;="&amp;$A238,$B$4:$B237,$B238)&gt;0,MIN(AX$1,IF($A238=$A237,AX237,1))-AC238&lt;0),-1,MIN(1,IF($A238=$A237,AX237,1)-AC238+$D$3))</f>
        <v>#N/A</v>
      </c>
      <c r="AY238" t="e">
        <f>IF(OR($J238=0,COUNTIFS($A$4:$A237,"&gt;="&amp;$A238-1,$A$4:$A237,"&lt;="&amp;$A238,$B$4:$B237,$B238)&gt;0,MIN(AY$1,IF($A238=$A237,AY237,1))-AD238&lt;0),-1,MIN(1,IF($A238=$A237,AY237,1)-AD238+$D$3))</f>
        <v>#N/A</v>
      </c>
      <c r="AZ238" t="e">
        <f>IF(OR($J238=0,COUNTIFS($A$4:$A237,"&gt;="&amp;$A238-1,$A$4:$A237,"&lt;="&amp;$A238,$B$4:$B237,$B238)&gt;0,MIN(AZ$1,IF($A238=$A237,AZ237,1))-AE238&lt;0),-1,MIN(1,IF($A238=$A237,AZ237,1)-AE238+$D$3))</f>
        <v>#N/A</v>
      </c>
      <c r="BA238" t="e">
        <f>IF(OR($J238=0,COUNTIFS($A$4:$A237,"&gt;="&amp;$A238-1,$A$4:$A237,"&lt;="&amp;$A238,$B$4:$B237,$B238)&gt;0,MIN(BA$1,IF($A238=$A237,BA237,1))-AF238&lt;0),-1,MIN(1,IF($A238=$A237,BA237,1)-AF238+$D$3))</f>
        <v>#N/A</v>
      </c>
      <c r="BB238" t="e">
        <f>IF(OR($J238=0,COUNTIFS($A$4:$A237,"&gt;="&amp;$A238-1,$A$4:$A237,"&lt;="&amp;$A238,$B$4:$B237,$B238)&gt;0,MIN(BB$1,IF($A238=$A237,BB237,1))-AG238&lt;0),-1,MIN(1,IF($A238=$A237,BB237,1)-AG238+$D$3))</f>
        <v>#N/A</v>
      </c>
      <c r="BC238" t="e">
        <f>IF(OR($J238=0,COUNTIFS($A$4:$A237,"&gt;="&amp;$A238-1,$A$4:$A237,"&lt;="&amp;$A238,$B$4:$B237,$B238)&gt;0,MIN(BC$1,IF($A238=$A237,BC237,1))-AH238&lt;0),-1,MIN(1,IF($A238=$A237,BC237,1)-AH238+$D$3))</f>
        <v>#N/A</v>
      </c>
      <c r="BD238" t="e">
        <f>IF(OR($J238=0,COUNTIFS($A$4:$A237,"&gt;="&amp;$A238-1,$A$4:$A237,"&lt;="&amp;$A238,$B$4:$B237,$B238)&gt;0,MIN(BD$1,IF($A238=$A237,BD237,1))-AI238&lt;0),-1,MIN(1,IF($A238=$A237,BD237,1)-AI238+$D$3))</f>
        <v>#N/A</v>
      </c>
      <c r="BF238" s="44">
        <f t="shared" si="267"/>
        <v>1.2990609600199437E-5</v>
      </c>
      <c r="BG238" s="44">
        <f t="shared" si="268"/>
        <v>3.1947574713493725E-5</v>
      </c>
      <c r="BH238" s="44">
        <f t="shared" si="269"/>
        <v>3.2742903525589679E-5</v>
      </c>
      <c r="BI238" s="44">
        <f t="shared" si="270"/>
        <v>3.0245352174227697E-5</v>
      </c>
      <c r="BJ238" s="44">
        <f t="shared" si="271"/>
        <v>3.1261442843602369E-5</v>
      </c>
      <c r="BK238" s="44">
        <f t="shared" si="272"/>
        <v>1.342482913805076E-5</v>
      </c>
      <c r="BL238" s="44">
        <f t="shared" si="273"/>
        <v>7.2523039050803251E-6</v>
      </c>
      <c r="BM238" s="44">
        <f t="shared" si="274"/>
        <v>1.8449014246476532E-5</v>
      </c>
      <c r="BN238" s="44">
        <f t="shared" si="275"/>
        <v>1.9188412647292268E-5</v>
      </c>
      <c r="BO238" s="44">
        <f t="shared" si="276"/>
        <v>8.9924182832104276E-6</v>
      </c>
      <c r="BP238" s="44">
        <f t="shared" si="277"/>
        <v>3.0236806124431405E-5</v>
      </c>
      <c r="BQ238" s="44">
        <f t="shared" si="278"/>
        <v>8.1596623110406747E-6</v>
      </c>
      <c r="BR238" s="44">
        <f t="shared" si="279"/>
        <v>2.4105685043900638E-5</v>
      </c>
      <c r="BS238" s="44">
        <f t="shared" si="280"/>
        <v>1.3000515829360341E-5</v>
      </c>
      <c r="BT238" s="44">
        <f t="shared" si="281"/>
        <v>5.1447026788740867E-5</v>
      </c>
      <c r="BU238" s="44">
        <f t="shared" si="282"/>
        <v>4.9147391585291315E-5</v>
      </c>
      <c r="BV238" s="44">
        <f t="shared" si="283"/>
        <v>4.7199528872743918E-5</v>
      </c>
      <c r="BW238" s="44">
        <f t="shared" si="284"/>
        <v>3.0871089292541029E-5</v>
      </c>
      <c r="BX238" s="44">
        <f t="shared" si="285"/>
        <v>2.2807000173429952E-5</v>
      </c>
      <c r="BY238" s="44">
        <f t="shared" si="286"/>
        <v>1.958243101591009E-5</v>
      </c>
      <c r="CA238" s="44" t="str">
        <f t="shared" si="287"/>
        <v/>
      </c>
      <c r="CB238" s="44" t="str">
        <f t="shared" si="288"/>
        <v/>
      </c>
      <c r="CC238" s="44" t="str">
        <f t="shared" si="289"/>
        <v/>
      </c>
      <c r="CD238" s="44" t="str">
        <f t="shared" si="290"/>
        <v/>
      </c>
      <c r="CE238" s="44" t="str">
        <f t="shared" si="291"/>
        <v/>
      </c>
      <c r="CF238" s="44" t="str">
        <f t="shared" si="292"/>
        <v/>
      </c>
      <c r="CG238" s="44" t="str">
        <f t="shared" si="293"/>
        <v/>
      </c>
      <c r="CH238" s="44" t="str">
        <f t="shared" si="294"/>
        <v/>
      </c>
      <c r="CI238" s="44" t="str">
        <f t="shared" si="295"/>
        <v/>
      </c>
      <c r="CJ238" s="44" t="str">
        <f t="shared" si="296"/>
        <v/>
      </c>
      <c r="CK238" s="44" t="str">
        <f t="shared" si="297"/>
        <v/>
      </c>
      <c r="CL238" s="44" t="str">
        <f t="shared" si="298"/>
        <v/>
      </c>
      <c r="CM238" s="44" t="str">
        <f t="shared" si="299"/>
        <v/>
      </c>
      <c r="CN238" s="44" t="str">
        <f t="shared" si="300"/>
        <v/>
      </c>
      <c r="CO238" s="44" t="str">
        <f t="shared" si="301"/>
        <v/>
      </c>
      <c r="CP238" s="44" t="str">
        <f t="shared" si="302"/>
        <v/>
      </c>
      <c r="CQ238" s="44" t="str">
        <f t="shared" si="303"/>
        <v/>
      </c>
      <c r="CR238" s="44" t="str">
        <f t="shared" si="304"/>
        <v/>
      </c>
      <c r="CS238" s="44" t="str">
        <f t="shared" si="305"/>
        <v/>
      </c>
      <c r="CT238" s="44" t="str">
        <f t="shared" si="306"/>
        <v/>
      </c>
      <c r="CV238" s="44">
        <f t="shared" si="307"/>
        <v>0</v>
      </c>
    </row>
    <row r="239" spans="1:100" x14ac:dyDescent="0.25">
      <c r="A239" s="41"/>
      <c r="B239" s="42"/>
      <c r="C239" s="43" t="str" cm="1">
        <f t="array" ref="C239">IF(B239="","",INDEX(UWS!$B$10:$B$41,B239))</f>
        <v/>
      </c>
      <c r="D239" s="40" t="str">
        <f t="shared" si="264"/>
        <v/>
      </c>
      <c r="E239" s="69" t="str">
        <f t="shared" si="265"/>
        <v/>
      </c>
      <c r="F239" s="48" cm="1">
        <f t="array" ref="F239">0.1+IFERROR(INDEX($F$5:$F238,SUMPRODUCT(MAX(ROW($C$5:$C238)*($C239=$C$5:$C238))-ROW($A$4)))*0.9^($A239-INDEX($A$5:A238,SUMPRODUCT(MAX(ROW($C$5:$C238)*($C239=$C$5:$C238))-ROW($A$4)))),0)</f>
        <v>17.399999999999977</v>
      </c>
      <c r="G239" s="55" t="e">
        <f>INDEX(UWS!$AB$10:$AB$41,MATCH(C239,UWS!$B$10:$B$41,0))</f>
        <v>#N/A</v>
      </c>
      <c r="H239" s="48" t="e">
        <f>INDEX(UWS!$C$10:$C$41,MATCH(C239,UWS!$B$10:$B$41,0))</f>
        <v>#N/A</v>
      </c>
      <c r="I239" s="27">
        <f t="shared" si="266"/>
        <v>5</v>
      </c>
      <c r="J239" s="27" t="e">
        <f>INDEX(UWS!$E$10:$E$41,MATCH(C239,UWS!$B$10:$B$41,0))</f>
        <v>#N/A</v>
      </c>
      <c r="L239" s="108" t="str" cm="1">
        <f t="array" ref="L239">IF(K239="","",INDEX(UWS!$B$10:$B$41,K239))</f>
        <v/>
      </c>
      <c r="N239" s="108" t="str" cm="1">
        <f t="array" ref="N239">IF(M239="","",INDEX(UWS!$B$10:$B$41,M239))</f>
        <v/>
      </c>
      <c r="P239">
        <f>IFERROR(INDEX(UWS!$G$10:$Z$41,MATCH($C239,UWS!$B$10:$B$41,0),MATCH(P$4,UWS!$G$3:$Z$3,0)),0)</f>
        <v>0</v>
      </c>
      <c r="Q239">
        <f>IFERROR(INDEX(UWS!$G$10:$Z$41,MATCH($C239,UWS!$B$10:$B$41,0),MATCH(Q$4,UWS!$G$3:$Z$3,0)),0)</f>
        <v>0</v>
      </c>
      <c r="R239">
        <f>IFERROR(INDEX(UWS!$G$10:$Z$41,MATCH($C239,UWS!$B$10:$B$41,0),MATCH(R$4,UWS!$G$3:$Z$3,0)),0)</f>
        <v>0</v>
      </c>
      <c r="S239">
        <f>IFERROR(INDEX(UWS!$G$10:$Z$41,MATCH($C239,UWS!$B$10:$B$41,0),MATCH(S$4,UWS!$G$3:$Z$3,0)),0)</f>
        <v>0</v>
      </c>
      <c r="T239">
        <f>IFERROR(INDEX(UWS!$G$10:$Z$41,MATCH($C239,UWS!$B$10:$B$41,0),MATCH(T$4,UWS!$G$3:$Z$3,0)),0)</f>
        <v>0</v>
      </c>
      <c r="U239">
        <f>IFERROR(INDEX(UWS!$G$10:$Z$41,MATCH($C239,UWS!$B$10:$B$41,0),MATCH(U$4,UWS!$G$3:$Z$3,0)),0)</f>
        <v>0</v>
      </c>
      <c r="V239">
        <f>IFERROR(INDEX(UWS!$G$10:$Z$41,MATCH($C239,UWS!$B$10:$B$41,0),MATCH(V$4,UWS!$G$3:$Z$3,0)),0)</f>
        <v>0</v>
      </c>
      <c r="W239">
        <f>IFERROR(INDEX(UWS!$G$10:$Z$41,MATCH($C239,UWS!$B$10:$B$41,0),MATCH(W$4,UWS!$G$3:$Z$3,0)),0)</f>
        <v>0</v>
      </c>
      <c r="X239">
        <f>IFERROR(INDEX(UWS!$G$10:$Z$41,MATCH($C239,UWS!$B$10:$B$41,0),MATCH(X$4,UWS!$G$3:$Z$3,0)),0)</f>
        <v>0</v>
      </c>
      <c r="Y239">
        <f>IFERROR(INDEX(UWS!$G$10:$Z$41,MATCH($C239,UWS!$B$10:$B$41,0),MATCH(Y$4,UWS!$G$3:$Z$3,0)),0)</f>
        <v>0</v>
      </c>
      <c r="Z239">
        <f>IFERROR(INDEX(UWS!$G$10:$Z$41,MATCH($C239,UWS!$B$10:$B$41,0),MATCH(Z$4,UWS!$G$3:$Z$3,0)),0)</f>
        <v>0</v>
      </c>
      <c r="AA239">
        <f>IFERROR(INDEX(UWS!$G$10:$Z$41,MATCH($C239,UWS!$B$10:$B$41,0),MATCH(AA$4,UWS!$G$3:$Z$3,0)),0)</f>
        <v>0</v>
      </c>
      <c r="AB239">
        <f>IFERROR(INDEX(UWS!$G$10:$Z$41,MATCH($C239,UWS!$B$10:$B$41,0),MATCH(AB$4,UWS!$G$3:$Z$3,0)),0)</f>
        <v>0</v>
      </c>
      <c r="AC239">
        <f>IFERROR(INDEX(UWS!$G$10:$Z$41,MATCH($C239,UWS!$B$10:$B$41,0),MATCH(AC$4,UWS!$G$3:$Z$3,0)),0)</f>
        <v>0</v>
      </c>
      <c r="AD239">
        <f>IFERROR(INDEX(UWS!$G$10:$Z$41,MATCH($C239,UWS!$B$10:$B$41,0),MATCH(AD$4,UWS!$G$3:$Z$3,0)),0)</f>
        <v>0</v>
      </c>
      <c r="AE239">
        <f>IFERROR(INDEX(UWS!$G$10:$Z$41,MATCH($C239,UWS!$B$10:$B$41,0),MATCH(AE$4,UWS!$G$3:$Z$3,0)),0)</f>
        <v>0</v>
      </c>
      <c r="AF239">
        <f>IFERROR(INDEX(UWS!$G$10:$Z$41,MATCH($C239,UWS!$B$10:$B$41,0),MATCH(AF$4,UWS!$G$3:$Z$3,0)),0)</f>
        <v>0</v>
      </c>
      <c r="AG239">
        <f>IFERROR(INDEX(UWS!$G$10:$Z$41,MATCH($C239,UWS!$B$10:$B$41,0),MATCH(AG$4,UWS!$G$3:$Z$3,0)),0)</f>
        <v>0</v>
      </c>
      <c r="AH239">
        <f>IFERROR(INDEX(UWS!$G$10:$Z$41,MATCH($C239,UWS!$B$10:$B$41,0),MATCH(AH$4,UWS!$G$3:$Z$3,0)),0)</f>
        <v>0</v>
      </c>
      <c r="AI239">
        <f>IFERROR(INDEX(UWS!$G$10:$Z$41,MATCH($C239,UWS!$B$10:$B$41,0),MATCH(AI$4,UWS!$G$3:$Z$3,0)),0)</f>
        <v>0</v>
      </c>
      <c r="AK239" t="e">
        <f>IF(OR($J239=0,COUNTIFS($A$4:$A238,"&gt;="&amp;$A239-1,$A$4:$A238,"&lt;="&amp;$A239,$B$4:$B238,$B239)&gt;0,MIN(AK$1,IF($A239=$A238,AK238,1))-P239&lt;0),-1,MIN(1,IF($A239=$A238,AK238,1)-P239+$D$3))</f>
        <v>#N/A</v>
      </c>
      <c r="AL239" t="e">
        <f>IF(OR($J239=0,COUNTIFS($A$4:$A238,"&gt;="&amp;$A239-1,$A$4:$A238,"&lt;="&amp;$A239,$B$4:$B238,$B239)&gt;0,MIN(AL$1,IF($A239=$A238,AL238,1))-Q239&lt;0),-1,MIN(1,IF($A239=$A238,AL238,1)-Q239+$D$3))</f>
        <v>#N/A</v>
      </c>
      <c r="AM239" t="e">
        <f>IF(OR($J239=0,COUNTIFS($A$4:$A238,"&gt;="&amp;$A239-1,$A$4:$A238,"&lt;="&amp;$A239,$B$4:$B238,$B239)&gt;0,MIN(AM$1,IF($A239=$A238,AM238,1))-R239&lt;0),-1,MIN(1,IF($A239=$A238,AM238,1)-R239+$D$3))</f>
        <v>#N/A</v>
      </c>
      <c r="AN239" t="e">
        <f>IF(OR($J239=0,COUNTIFS($A$4:$A238,"&gt;="&amp;$A239-1,$A$4:$A238,"&lt;="&amp;$A239,$B$4:$B238,$B239)&gt;0,MIN(AN$1,IF($A239=$A238,AN238,1))-S239&lt;0),-1,MIN(1,IF($A239=$A238,AN238,1)-S239+$D$3))</f>
        <v>#N/A</v>
      </c>
      <c r="AO239" t="e">
        <f>IF(OR($J239=0,COUNTIFS($A$4:$A238,"&gt;="&amp;$A239-1,$A$4:$A238,"&lt;="&amp;$A239,$B$4:$B238,$B239)&gt;0,MIN(AO$1,IF($A239=$A238,AO238,1))-T239&lt;0),-1,MIN(1,IF($A239=$A238,AO238,1)-T239+$D$3))</f>
        <v>#N/A</v>
      </c>
      <c r="AP239" t="e">
        <f>IF(OR($J239=0,COUNTIFS($A$4:$A238,"&gt;="&amp;$A239-1,$A$4:$A238,"&lt;="&amp;$A239,$B$4:$B238,$B239)&gt;0,MIN(AP$1,IF($A239=$A238,AP238,1))-U239&lt;0),-1,MIN(1,IF($A239=$A238,AP238,1)-U239+$D$3))</f>
        <v>#N/A</v>
      </c>
      <c r="AQ239" t="e">
        <f>IF(OR($J239=0,COUNTIFS($A$4:$A238,"&gt;="&amp;$A239-1,$A$4:$A238,"&lt;="&amp;$A239,$B$4:$B238,$B239)&gt;0,MIN(AQ$1,IF($A239=$A238,AQ238,1))-V239&lt;0),-1,MIN(1,IF($A239=$A238,AQ238,1)-V239+$D$3))</f>
        <v>#N/A</v>
      </c>
      <c r="AR239" t="e">
        <f>IF(OR($J239=0,COUNTIFS($A$4:$A238,"&gt;="&amp;$A239-1,$A$4:$A238,"&lt;="&amp;$A239,$B$4:$B238,$B239)&gt;0,MIN(AR$1,IF($A239=$A238,AR238,1))-W239&lt;0),-1,MIN(1,IF($A239=$A238,AR238,1)-W239+$D$3))</f>
        <v>#N/A</v>
      </c>
      <c r="AS239" t="e">
        <f>IF(OR($J239=0,COUNTIFS($A$4:$A238,"&gt;="&amp;$A239-1,$A$4:$A238,"&lt;="&amp;$A239,$B$4:$B238,$B239)&gt;0,MIN(AS$1,IF($A239=$A238,AS238,1))-X239&lt;0),-1,MIN(1,IF($A239=$A238,AS238,1)-X239+$D$3))</f>
        <v>#N/A</v>
      </c>
      <c r="AT239" t="e">
        <f>IF(OR($J239=0,COUNTIFS($A$4:$A238,"&gt;="&amp;$A239-1,$A$4:$A238,"&lt;="&amp;$A239,$B$4:$B238,$B239)&gt;0,MIN(AT$1,IF($A239=$A238,AT238,1))-Y239&lt;0),-1,MIN(1,IF($A239=$A238,AT238,1)-Y239+$D$3))</f>
        <v>#N/A</v>
      </c>
      <c r="AU239" t="e">
        <f>IF(OR($J239=0,COUNTIFS($A$4:$A238,"&gt;="&amp;$A239-1,$A$4:$A238,"&lt;="&amp;$A239,$B$4:$B238,$B239)&gt;0,MIN(AU$1,IF($A239=$A238,AU238,1))-Z239&lt;0),-1,MIN(1,IF($A239=$A238,AU238,1)-Z239+$D$3))</f>
        <v>#N/A</v>
      </c>
      <c r="AV239" t="e">
        <f>IF(OR($J239=0,COUNTIFS($A$4:$A238,"&gt;="&amp;$A239-1,$A$4:$A238,"&lt;="&amp;$A239,$B$4:$B238,$B239)&gt;0,MIN(AV$1,IF($A239=$A238,AV238,1))-AA239&lt;0),-1,MIN(1,IF($A239=$A238,AV238,1)-AA239+$D$3))</f>
        <v>#N/A</v>
      </c>
      <c r="AW239" t="e">
        <f>IF(OR($J239=0,COUNTIFS($A$4:$A238,"&gt;="&amp;$A239-1,$A$4:$A238,"&lt;="&amp;$A239,$B$4:$B238,$B239)&gt;0,MIN(AW$1,IF($A239=$A238,AW238,1))-AB239&lt;0),-1,MIN(1,IF($A239=$A238,AW238,1)-AB239+$D$3))</f>
        <v>#N/A</v>
      </c>
      <c r="AX239" t="e">
        <f>IF(OR($J239=0,COUNTIFS($A$4:$A238,"&gt;="&amp;$A239-1,$A$4:$A238,"&lt;="&amp;$A239,$B$4:$B238,$B239)&gt;0,MIN(AX$1,IF($A239=$A238,AX238,1))-AC239&lt;0),-1,MIN(1,IF($A239=$A238,AX238,1)-AC239+$D$3))</f>
        <v>#N/A</v>
      </c>
      <c r="AY239" t="e">
        <f>IF(OR($J239=0,COUNTIFS($A$4:$A238,"&gt;="&amp;$A239-1,$A$4:$A238,"&lt;="&amp;$A239,$B$4:$B238,$B239)&gt;0,MIN(AY$1,IF($A239=$A238,AY238,1))-AD239&lt;0),-1,MIN(1,IF($A239=$A238,AY238,1)-AD239+$D$3))</f>
        <v>#N/A</v>
      </c>
      <c r="AZ239" t="e">
        <f>IF(OR($J239=0,COUNTIFS($A$4:$A238,"&gt;="&amp;$A239-1,$A$4:$A238,"&lt;="&amp;$A239,$B$4:$B238,$B239)&gt;0,MIN(AZ$1,IF($A239=$A238,AZ238,1))-AE239&lt;0),-1,MIN(1,IF($A239=$A238,AZ238,1)-AE239+$D$3))</f>
        <v>#N/A</v>
      </c>
      <c r="BA239" t="e">
        <f>IF(OR($J239=0,COUNTIFS($A$4:$A238,"&gt;="&amp;$A239-1,$A$4:$A238,"&lt;="&amp;$A239,$B$4:$B238,$B239)&gt;0,MIN(BA$1,IF($A239=$A238,BA238,1))-AF239&lt;0),-1,MIN(1,IF($A239=$A238,BA238,1)-AF239+$D$3))</f>
        <v>#N/A</v>
      </c>
      <c r="BB239" t="e">
        <f>IF(OR($J239=0,COUNTIFS($A$4:$A238,"&gt;="&amp;$A239-1,$A$4:$A238,"&lt;="&amp;$A239,$B$4:$B238,$B239)&gt;0,MIN(BB$1,IF($A239=$A238,BB238,1))-AG239&lt;0),-1,MIN(1,IF($A239=$A238,BB238,1)-AG239+$D$3))</f>
        <v>#N/A</v>
      </c>
      <c r="BC239" t="e">
        <f>IF(OR($J239=0,COUNTIFS($A$4:$A238,"&gt;="&amp;$A239-1,$A$4:$A238,"&lt;="&amp;$A239,$B$4:$B238,$B239)&gt;0,MIN(BC$1,IF($A239=$A238,BC238,1))-AH239&lt;0),-1,MIN(1,IF($A239=$A238,BC238,1)-AH239+$D$3))</f>
        <v>#N/A</v>
      </c>
      <c r="BD239" t="e">
        <f>IF(OR($J239=0,COUNTIFS($A$4:$A238,"&gt;="&amp;$A239-1,$A$4:$A238,"&lt;="&amp;$A239,$B$4:$B238,$B239)&gt;0,MIN(BD$1,IF($A239=$A238,BD238,1))-AI239&lt;0),-1,MIN(1,IF($A239=$A238,BD238,1)-AI239+$D$3))</f>
        <v>#N/A</v>
      </c>
      <c r="BF239" s="44">
        <f t="shared" si="267"/>
        <v>1.2341079120189464E-5</v>
      </c>
      <c r="BG239" s="44">
        <f t="shared" si="268"/>
        <v>3.0350195977819038E-5</v>
      </c>
      <c r="BH239" s="44">
        <f t="shared" si="269"/>
        <v>3.1105758349310195E-5</v>
      </c>
      <c r="BI239" s="44">
        <f t="shared" si="270"/>
        <v>2.873308456551631E-5</v>
      </c>
      <c r="BJ239" s="44">
        <f t="shared" si="271"/>
        <v>2.9698370701422249E-5</v>
      </c>
      <c r="BK239" s="44">
        <f t="shared" si="272"/>
        <v>1.2753587681148221E-5</v>
      </c>
      <c r="BL239" s="44">
        <f t="shared" si="273"/>
        <v>6.8896887098263085E-6</v>
      </c>
      <c r="BM239" s="44">
        <f t="shared" si="274"/>
        <v>1.7526563534152707E-5</v>
      </c>
      <c r="BN239" s="44">
        <f t="shared" si="275"/>
        <v>1.8228992014927654E-5</v>
      </c>
      <c r="BO239" s="44">
        <f t="shared" si="276"/>
        <v>8.5427973690499062E-6</v>
      </c>
      <c r="BP239" s="44">
        <f t="shared" si="277"/>
        <v>2.8724965818209833E-5</v>
      </c>
      <c r="BQ239" s="44">
        <f t="shared" si="278"/>
        <v>7.7516791954886413E-6</v>
      </c>
      <c r="BR239" s="44">
        <f t="shared" si="279"/>
        <v>2.2900400791705604E-5</v>
      </c>
      <c r="BS239" s="44">
        <f t="shared" si="280"/>
        <v>1.2350490037892325E-5</v>
      </c>
      <c r="BT239" s="44">
        <f t="shared" si="281"/>
        <v>4.8874675449303822E-5</v>
      </c>
      <c r="BU239" s="44">
        <f t="shared" si="282"/>
        <v>4.669002200602675E-5</v>
      </c>
      <c r="BV239" s="44">
        <f t="shared" si="283"/>
        <v>4.483955242910672E-5</v>
      </c>
      <c r="BW239" s="44">
        <f t="shared" si="284"/>
        <v>2.9327534827913977E-5</v>
      </c>
      <c r="BX239" s="44">
        <f t="shared" si="285"/>
        <v>2.1666650164758452E-5</v>
      </c>
      <c r="BY239" s="44">
        <f t="shared" si="286"/>
        <v>1.8603309465114583E-5</v>
      </c>
      <c r="CA239" s="44" t="str">
        <f t="shared" si="287"/>
        <v/>
      </c>
      <c r="CB239" s="44" t="str">
        <f t="shared" si="288"/>
        <v/>
      </c>
      <c r="CC239" s="44" t="str">
        <f t="shared" si="289"/>
        <v/>
      </c>
      <c r="CD239" s="44" t="str">
        <f t="shared" si="290"/>
        <v/>
      </c>
      <c r="CE239" s="44" t="str">
        <f t="shared" si="291"/>
        <v/>
      </c>
      <c r="CF239" s="44" t="str">
        <f t="shared" si="292"/>
        <v/>
      </c>
      <c r="CG239" s="44" t="str">
        <f t="shared" si="293"/>
        <v/>
      </c>
      <c r="CH239" s="44" t="str">
        <f t="shared" si="294"/>
        <v/>
      </c>
      <c r="CI239" s="44" t="str">
        <f t="shared" si="295"/>
        <v/>
      </c>
      <c r="CJ239" s="44" t="str">
        <f t="shared" si="296"/>
        <v/>
      </c>
      <c r="CK239" s="44" t="str">
        <f t="shared" si="297"/>
        <v/>
      </c>
      <c r="CL239" s="44" t="str">
        <f t="shared" si="298"/>
        <v/>
      </c>
      <c r="CM239" s="44" t="str">
        <f t="shared" si="299"/>
        <v/>
      </c>
      <c r="CN239" s="44" t="str">
        <f t="shared" si="300"/>
        <v/>
      </c>
      <c r="CO239" s="44" t="str">
        <f t="shared" si="301"/>
        <v/>
      </c>
      <c r="CP239" s="44" t="str">
        <f t="shared" si="302"/>
        <v/>
      </c>
      <c r="CQ239" s="44" t="str">
        <f t="shared" si="303"/>
        <v/>
      </c>
      <c r="CR239" s="44" t="str">
        <f t="shared" si="304"/>
        <v/>
      </c>
      <c r="CS239" s="44" t="str">
        <f t="shared" si="305"/>
        <v/>
      </c>
      <c r="CT239" s="44" t="str">
        <f t="shared" si="306"/>
        <v/>
      </c>
      <c r="CV239" s="44">
        <f t="shared" si="307"/>
        <v>0</v>
      </c>
    </row>
    <row r="240" spans="1:100" x14ac:dyDescent="0.25">
      <c r="A240" s="49"/>
      <c r="B240" s="50"/>
      <c r="C240" s="51" t="str" cm="1">
        <f t="array" ref="C240">IF(B240="","",INDEX(UWS!$B$10:$B$41,B240))</f>
        <v/>
      </c>
      <c r="D240" s="45" t="str">
        <f t="shared" si="264"/>
        <v/>
      </c>
      <c r="E240" s="70" t="str">
        <f t="shared" si="265"/>
        <v/>
      </c>
      <c r="F240" s="52" cm="1">
        <f t="array" ref="F240">0.1+IFERROR(INDEX($F$5:$F239,SUMPRODUCT(MAX(ROW($C$5:$C239)*($C240=$C$5:$C239))-ROW($A$4)))*0.9^($A240-INDEX($A$5:A239,SUMPRODUCT(MAX(ROW($C$5:$C239)*($C240=$C$5:$C239))-ROW($A$4)))),0)</f>
        <v>17.499999999999979</v>
      </c>
      <c r="G240" s="56" t="e">
        <f>INDEX(UWS!$AB$10:$AB$41,MATCH(C240,UWS!$B$10:$B$41,0))</f>
        <v>#N/A</v>
      </c>
      <c r="H240" s="52" t="e">
        <f>INDEX(UWS!$C$10:$C$41,MATCH(C240,UWS!$B$10:$B$41,0))</f>
        <v>#N/A</v>
      </c>
      <c r="I240" s="46">
        <f t="shared" si="266"/>
        <v>5</v>
      </c>
      <c r="J240" s="46" t="e">
        <f>INDEX(UWS!$E$10:$E$41,MATCH(C240,UWS!$B$10:$B$41,0))</f>
        <v>#N/A</v>
      </c>
      <c r="K240" s="46"/>
      <c r="L240" s="109" t="str" cm="1">
        <f t="array" ref="L240">IF(K240="","",INDEX(UWS!$B$10:$B$41,K240))</f>
        <v/>
      </c>
      <c r="M240" s="46"/>
      <c r="N240" s="109" t="str" cm="1">
        <f t="array" ref="N240">IF(M240="","",INDEX(UWS!$B$10:$B$41,M240))</f>
        <v/>
      </c>
      <c r="O240" s="47"/>
      <c r="P240" s="47">
        <f>IFERROR(INDEX(UWS!$G$10:$Z$41,MATCH($C240,UWS!$B$10:$B$41,0),MATCH(P$4,UWS!$G$3:$Z$3,0)),0)</f>
        <v>0</v>
      </c>
      <c r="Q240" s="47">
        <f>IFERROR(INDEX(UWS!$G$10:$Z$41,MATCH($C240,UWS!$B$10:$B$41,0),MATCH(Q$4,UWS!$G$3:$Z$3,0)),0)</f>
        <v>0</v>
      </c>
      <c r="R240" s="47">
        <f>IFERROR(INDEX(UWS!$G$10:$Z$41,MATCH($C240,UWS!$B$10:$B$41,0),MATCH(R$4,UWS!$G$3:$Z$3,0)),0)</f>
        <v>0</v>
      </c>
      <c r="S240" s="47">
        <f>IFERROR(INDEX(UWS!$G$10:$Z$41,MATCH($C240,UWS!$B$10:$B$41,0),MATCH(S$4,UWS!$G$3:$Z$3,0)),0)</f>
        <v>0</v>
      </c>
      <c r="T240" s="47">
        <f>IFERROR(INDEX(UWS!$G$10:$Z$41,MATCH($C240,UWS!$B$10:$B$41,0),MATCH(T$4,UWS!$G$3:$Z$3,0)),0)</f>
        <v>0</v>
      </c>
      <c r="U240" s="47">
        <f>IFERROR(INDEX(UWS!$G$10:$Z$41,MATCH($C240,UWS!$B$10:$B$41,0),MATCH(U$4,UWS!$G$3:$Z$3,0)),0)</f>
        <v>0</v>
      </c>
      <c r="V240" s="47">
        <f>IFERROR(INDEX(UWS!$G$10:$Z$41,MATCH($C240,UWS!$B$10:$B$41,0),MATCH(V$4,UWS!$G$3:$Z$3,0)),0)</f>
        <v>0</v>
      </c>
      <c r="W240" s="47">
        <f>IFERROR(INDEX(UWS!$G$10:$Z$41,MATCH($C240,UWS!$B$10:$B$41,0),MATCH(W$4,UWS!$G$3:$Z$3,0)),0)</f>
        <v>0</v>
      </c>
      <c r="X240" s="47">
        <f>IFERROR(INDEX(UWS!$G$10:$Z$41,MATCH($C240,UWS!$B$10:$B$41,0),MATCH(X$4,UWS!$G$3:$Z$3,0)),0)</f>
        <v>0</v>
      </c>
      <c r="Y240" s="47">
        <f>IFERROR(INDEX(UWS!$G$10:$Z$41,MATCH($C240,UWS!$B$10:$B$41,0),MATCH(Y$4,UWS!$G$3:$Z$3,0)),0)</f>
        <v>0</v>
      </c>
      <c r="Z240" s="47">
        <f>IFERROR(INDEX(UWS!$G$10:$Z$41,MATCH($C240,UWS!$B$10:$B$41,0),MATCH(Z$4,UWS!$G$3:$Z$3,0)),0)</f>
        <v>0</v>
      </c>
      <c r="AA240" s="47">
        <f>IFERROR(INDEX(UWS!$G$10:$Z$41,MATCH($C240,UWS!$B$10:$B$41,0),MATCH(AA$4,UWS!$G$3:$Z$3,0)),0)</f>
        <v>0</v>
      </c>
      <c r="AB240" s="47">
        <f>IFERROR(INDEX(UWS!$G$10:$Z$41,MATCH($C240,UWS!$B$10:$B$41,0),MATCH(AB$4,UWS!$G$3:$Z$3,0)),0)</f>
        <v>0</v>
      </c>
      <c r="AC240" s="47">
        <f>IFERROR(INDEX(UWS!$G$10:$Z$41,MATCH($C240,UWS!$B$10:$B$41,0),MATCH(AC$4,UWS!$G$3:$Z$3,0)),0)</f>
        <v>0</v>
      </c>
      <c r="AD240" s="47">
        <f>IFERROR(INDEX(UWS!$G$10:$Z$41,MATCH($C240,UWS!$B$10:$B$41,0),MATCH(AD$4,UWS!$G$3:$Z$3,0)),0)</f>
        <v>0</v>
      </c>
      <c r="AE240" s="47">
        <f>IFERROR(INDEX(UWS!$G$10:$Z$41,MATCH($C240,UWS!$B$10:$B$41,0),MATCH(AE$4,UWS!$G$3:$Z$3,0)),0)</f>
        <v>0</v>
      </c>
      <c r="AF240" s="47">
        <f>IFERROR(INDEX(UWS!$G$10:$Z$41,MATCH($C240,UWS!$B$10:$B$41,0),MATCH(AF$4,UWS!$G$3:$Z$3,0)),0)</f>
        <v>0</v>
      </c>
      <c r="AG240" s="47">
        <f>IFERROR(INDEX(UWS!$G$10:$Z$41,MATCH($C240,UWS!$B$10:$B$41,0),MATCH(AG$4,UWS!$G$3:$Z$3,0)),0)</f>
        <v>0</v>
      </c>
      <c r="AH240" s="47">
        <f>IFERROR(INDEX(UWS!$G$10:$Z$41,MATCH($C240,UWS!$B$10:$B$41,0),MATCH(AH$4,UWS!$G$3:$Z$3,0)),0)</f>
        <v>0</v>
      </c>
      <c r="AI240" s="47">
        <f>IFERROR(INDEX(UWS!$G$10:$Z$41,MATCH($C240,UWS!$B$10:$B$41,0),MATCH(AI$4,UWS!$G$3:$Z$3,0)),0)</f>
        <v>0</v>
      </c>
      <c r="AJ240" s="47"/>
      <c r="AK240" s="47" t="e">
        <f>IF(OR($J240=0,COUNTIFS($A$4:$A239,"&gt;="&amp;$A240-1,$A$4:$A239,"&lt;="&amp;$A240,$B$4:$B239,$B240)&gt;0,MIN(AK$1,IF($A240=$A239,AK239,1))-P240&lt;0),-1,MIN(1,IF($A240=$A239,AK239,1)-P240+$D$3))</f>
        <v>#N/A</v>
      </c>
      <c r="AL240" s="47" t="e">
        <f>IF(OR($J240=0,COUNTIFS($A$4:$A239,"&gt;="&amp;$A240-1,$A$4:$A239,"&lt;="&amp;$A240,$B$4:$B239,$B240)&gt;0,MIN(AL$1,IF($A240=$A239,AL239,1))-Q240&lt;0),-1,MIN(1,IF($A240=$A239,AL239,1)-Q240+$D$3))</f>
        <v>#N/A</v>
      </c>
      <c r="AM240" s="47" t="e">
        <f>IF(OR($J240=0,COUNTIFS($A$4:$A239,"&gt;="&amp;$A240-1,$A$4:$A239,"&lt;="&amp;$A240,$B$4:$B239,$B240)&gt;0,MIN(AM$1,IF($A240=$A239,AM239,1))-R240&lt;0),-1,MIN(1,IF($A240=$A239,AM239,1)-R240+$D$3))</f>
        <v>#N/A</v>
      </c>
      <c r="AN240" s="47" t="e">
        <f>IF(OR($J240=0,COUNTIFS($A$4:$A239,"&gt;="&amp;$A240-1,$A$4:$A239,"&lt;="&amp;$A240,$B$4:$B239,$B240)&gt;0,MIN(AN$1,IF($A240=$A239,AN239,1))-S240&lt;0),-1,MIN(1,IF($A240=$A239,AN239,1)-S240+$D$3))</f>
        <v>#N/A</v>
      </c>
      <c r="AO240" s="47" t="e">
        <f>IF(OR($J240=0,COUNTIFS($A$4:$A239,"&gt;="&amp;$A240-1,$A$4:$A239,"&lt;="&amp;$A240,$B$4:$B239,$B240)&gt;0,MIN(AO$1,IF($A240=$A239,AO239,1))-T240&lt;0),-1,MIN(1,IF($A240=$A239,AO239,1)-T240+$D$3))</f>
        <v>#N/A</v>
      </c>
      <c r="AP240" s="47" t="e">
        <f>IF(OR($J240=0,COUNTIFS($A$4:$A239,"&gt;="&amp;$A240-1,$A$4:$A239,"&lt;="&amp;$A240,$B$4:$B239,$B240)&gt;0,MIN(AP$1,IF($A240=$A239,AP239,1))-U240&lt;0),-1,MIN(1,IF($A240=$A239,AP239,1)-U240+$D$3))</f>
        <v>#N/A</v>
      </c>
      <c r="AQ240" s="47" t="e">
        <f>IF(OR($J240=0,COUNTIFS($A$4:$A239,"&gt;="&amp;$A240-1,$A$4:$A239,"&lt;="&amp;$A240,$B$4:$B239,$B240)&gt;0,MIN(AQ$1,IF($A240=$A239,AQ239,1))-V240&lt;0),-1,MIN(1,IF($A240=$A239,AQ239,1)-V240+$D$3))</f>
        <v>#N/A</v>
      </c>
      <c r="AR240" s="47" t="e">
        <f>IF(OR($J240=0,COUNTIFS($A$4:$A239,"&gt;="&amp;$A240-1,$A$4:$A239,"&lt;="&amp;$A240,$B$4:$B239,$B240)&gt;0,MIN(AR$1,IF($A240=$A239,AR239,1))-W240&lt;0),-1,MIN(1,IF($A240=$A239,AR239,1)-W240+$D$3))</f>
        <v>#N/A</v>
      </c>
      <c r="AS240" s="47" t="e">
        <f>IF(OR($J240=0,COUNTIFS($A$4:$A239,"&gt;="&amp;$A240-1,$A$4:$A239,"&lt;="&amp;$A240,$B$4:$B239,$B240)&gt;0,MIN(AS$1,IF($A240=$A239,AS239,1))-X240&lt;0),-1,MIN(1,IF($A240=$A239,AS239,1)-X240+$D$3))</f>
        <v>#N/A</v>
      </c>
      <c r="AT240" s="47" t="e">
        <f>IF(OR($J240=0,COUNTIFS($A$4:$A239,"&gt;="&amp;$A240-1,$A$4:$A239,"&lt;="&amp;$A240,$B$4:$B239,$B240)&gt;0,MIN(AT$1,IF($A240=$A239,AT239,1))-Y240&lt;0),-1,MIN(1,IF($A240=$A239,AT239,1)-Y240+$D$3))</f>
        <v>#N/A</v>
      </c>
      <c r="AU240" s="47" t="e">
        <f>IF(OR($J240=0,COUNTIFS($A$4:$A239,"&gt;="&amp;$A240-1,$A$4:$A239,"&lt;="&amp;$A240,$B$4:$B239,$B240)&gt;0,MIN(AU$1,IF($A240=$A239,AU239,1))-Z240&lt;0),-1,MIN(1,IF($A240=$A239,AU239,1)-Z240+$D$3))</f>
        <v>#N/A</v>
      </c>
      <c r="AV240" s="47" t="e">
        <f>IF(OR($J240=0,COUNTIFS($A$4:$A239,"&gt;="&amp;$A240-1,$A$4:$A239,"&lt;="&amp;$A240,$B$4:$B239,$B240)&gt;0,MIN(AV$1,IF($A240=$A239,AV239,1))-AA240&lt;0),-1,MIN(1,IF($A240=$A239,AV239,1)-AA240+$D$3))</f>
        <v>#N/A</v>
      </c>
      <c r="AW240" s="47" t="e">
        <f>IF(OR($J240=0,COUNTIFS($A$4:$A239,"&gt;="&amp;$A240-1,$A$4:$A239,"&lt;="&amp;$A240,$B$4:$B239,$B240)&gt;0,MIN(AW$1,IF($A240=$A239,AW239,1))-AB240&lt;0),-1,MIN(1,IF($A240=$A239,AW239,1)-AB240+$D$3))</f>
        <v>#N/A</v>
      </c>
      <c r="AX240" s="47" t="e">
        <f>IF(OR($J240=0,COUNTIFS($A$4:$A239,"&gt;="&amp;$A240-1,$A$4:$A239,"&lt;="&amp;$A240,$B$4:$B239,$B240)&gt;0,MIN(AX$1,IF($A240=$A239,AX239,1))-AC240&lt;0),-1,MIN(1,IF($A240=$A239,AX239,1)-AC240+$D$3))</f>
        <v>#N/A</v>
      </c>
      <c r="AY240" s="47" t="e">
        <f>IF(OR($J240=0,COUNTIFS($A$4:$A239,"&gt;="&amp;$A240-1,$A$4:$A239,"&lt;="&amp;$A240,$B$4:$B239,$B240)&gt;0,MIN(AY$1,IF($A240=$A239,AY239,1))-AD240&lt;0),-1,MIN(1,IF($A240=$A239,AY239,1)-AD240+$D$3))</f>
        <v>#N/A</v>
      </c>
      <c r="AZ240" s="47" t="e">
        <f>IF(OR($J240=0,COUNTIFS($A$4:$A239,"&gt;="&amp;$A240-1,$A$4:$A239,"&lt;="&amp;$A240,$B$4:$B239,$B240)&gt;0,MIN(AZ$1,IF($A240=$A239,AZ239,1))-AE240&lt;0),-1,MIN(1,IF($A240=$A239,AZ239,1)-AE240+$D$3))</f>
        <v>#N/A</v>
      </c>
      <c r="BA240" s="47" t="e">
        <f>IF(OR($J240=0,COUNTIFS($A$4:$A239,"&gt;="&amp;$A240-1,$A$4:$A239,"&lt;="&amp;$A240,$B$4:$B239,$B240)&gt;0,MIN(BA$1,IF($A240=$A239,BA239,1))-AF240&lt;0),-1,MIN(1,IF($A240=$A239,BA239,1)-AF240+$D$3))</f>
        <v>#N/A</v>
      </c>
      <c r="BB240" s="47" t="e">
        <f>IF(OR($J240=0,COUNTIFS($A$4:$A239,"&gt;="&amp;$A240-1,$A$4:$A239,"&lt;="&amp;$A240,$B$4:$B239,$B240)&gt;0,MIN(BB$1,IF($A240=$A239,BB239,1))-AG240&lt;0),-1,MIN(1,IF($A240=$A239,BB239,1)-AG240+$D$3))</f>
        <v>#N/A</v>
      </c>
      <c r="BC240" s="47" t="e">
        <f>IF(OR($J240=0,COUNTIFS($A$4:$A239,"&gt;="&amp;$A240-1,$A$4:$A239,"&lt;="&amp;$A240,$B$4:$B239,$B240)&gt;0,MIN(BC$1,IF($A240=$A239,BC239,1))-AH240&lt;0),-1,MIN(1,IF($A240=$A239,BC239,1)-AH240+$D$3))</f>
        <v>#N/A</v>
      </c>
      <c r="BD240" s="47" t="e">
        <f>IF(OR($J240=0,COUNTIFS($A$4:$A239,"&gt;="&amp;$A240-1,$A$4:$A239,"&lt;="&amp;$A240,$B$4:$B239,$B240)&gt;0,MIN(BD$1,IF($A240=$A239,BD239,1))-AI240&lt;0),-1,MIN(1,IF($A240=$A239,BD239,1)-AI240+$D$3))</f>
        <v>#N/A</v>
      </c>
      <c r="BE240" s="47"/>
      <c r="BF240" s="53">
        <f t="shared" si="267"/>
        <v>1.1724025164179991E-5</v>
      </c>
      <c r="BG240" s="53">
        <f t="shared" si="268"/>
        <v>2.8832686178928084E-5</v>
      </c>
      <c r="BH240" s="53">
        <f t="shared" si="269"/>
        <v>2.9550470431844684E-5</v>
      </c>
      <c r="BI240" s="53">
        <f t="shared" si="270"/>
        <v>2.7296430337240493E-5</v>
      </c>
      <c r="BJ240" s="53">
        <f t="shared" si="271"/>
        <v>2.8213452166351134E-5</v>
      </c>
      <c r="BK240" s="53">
        <f t="shared" si="272"/>
        <v>1.211590829709081E-5</v>
      </c>
      <c r="BL240" s="53">
        <f t="shared" si="273"/>
        <v>6.5452042743349927E-6</v>
      </c>
      <c r="BM240" s="53">
        <f t="shared" si="274"/>
        <v>1.6650235357445069E-5</v>
      </c>
      <c r="BN240" s="53">
        <f t="shared" si="275"/>
        <v>1.7317542414181269E-5</v>
      </c>
      <c r="BO240" s="53">
        <f t="shared" si="276"/>
        <v>8.1156575005974103E-6</v>
      </c>
      <c r="BP240" s="53">
        <f t="shared" si="277"/>
        <v>2.728871752729934E-5</v>
      </c>
      <c r="BQ240" s="53">
        <f t="shared" si="278"/>
        <v>7.364095235714209E-6</v>
      </c>
      <c r="BR240" s="53">
        <f t="shared" si="279"/>
        <v>2.1755380752120324E-5</v>
      </c>
      <c r="BS240" s="53">
        <f t="shared" si="280"/>
        <v>1.1732965535997708E-5</v>
      </c>
      <c r="BT240" s="53">
        <f t="shared" si="281"/>
        <v>4.6430941676838626E-5</v>
      </c>
      <c r="BU240" s="53">
        <f t="shared" si="282"/>
        <v>4.4355520905725412E-5</v>
      </c>
      <c r="BV240" s="53">
        <f t="shared" si="283"/>
        <v>4.2597574807651379E-5</v>
      </c>
      <c r="BW240" s="53">
        <f t="shared" si="284"/>
        <v>2.7861158086518278E-5</v>
      </c>
      <c r="BX240" s="53">
        <f t="shared" si="285"/>
        <v>2.0583317656520529E-5</v>
      </c>
      <c r="BY240" s="53">
        <f t="shared" si="286"/>
        <v>1.7673143991858854E-5</v>
      </c>
      <c r="BZ240" s="47"/>
      <c r="CA240" s="53" t="str">
        <f t="shared" si="287"/>
        <v/>
      </c>
      <c r="CB240" s="53" t="str">
        <f t="shared" si="288"/>
        <v/>
      </c>
      <c r="CC240" s="53" t="str">
        <f t="shared" si="289"/>
        <v/>
      </c>
      <c r="CD240" s="53" t="str">
        <f t="shared" si="290"/>
        <v/>
      </c>
      <c r="CE240" s="53" t="str">
        <f t="shared" si="291"/>
        <v/>
      </c>
      <c r="CF240" s="53" t="str">
        <f t="shared" si="292"/>
        <v/>
      </c>
      <c r="CG240" s="53" t="str">
        <f t="shared" si="293"/>
        <v/>
      </c>
      <c r="CH240" s="53" t="str">
        <f t="shared" si="294"/>
        <v/>
      </c>
      <c r="CI240" s="53" t="str">
        <f t="shared" si="295"/>
        <v/>
      </c>
      <c r="CJ240" s="53" t="str">
        <f t="shared" si="296"/>
        <v/>
      </c>
      <c r="CK240" s="53" t="str">
        <f t="shared" si="297"/>
        <v/>
      </c>
      <c r="CL240" s="53" t="str">
        <f t="shared" si="298"/>
        <v/>
      </c>
      <c r="CM240" s="53" t="str">
        <f t="shared" si="299"/>
        <v/>
      </c>
      <c r="CN240" s="53" t="str">
        <f t="shared" si="300"/>
        <v/>
      </c>
      <c r="CO240" s="53" t="str">
        <f t="shared" si="301"/>
        <v/>
      </c>
      <c r="CP240" s="53" t="str">
        <f t="shared" si="302"/>
        <v/>
      </c>
      <c r="CQ240" s="53" t="str">
        <f t="shared" si="303"/>
        <v/>
      </c>
      <c r="CR240" s="53" t="str">
        <f t="shared" si="304"/>
        <v/>
      </c>
      <c r="CS240" s="53" t="str">
        <f t="shared" si="305"/>
        <v/>
      </c>
      <c r="CT240" s="53" t="str">
        <f t="shared" si="306"/>
        <v/>
      </c>
      <c r="CU240" s="47"/>
      <c r="CV240" s="53">
        <f t="shared" si="307"/>
        <v>0</v>
      </c>
    </row>
    <row r="241" spans="1:100" x14ac:dyDescent="0.25">
      <c r="A241" s="41"/>
      <c r="B241" s="42"/>
      <c r="C241" s="43" t="str" cm="1">
        <f t="array" ref="C241">IF(B241="","",INDEX(UWS!$B$10:$B$41,B241))</f>
        <v/>
      </c>
      <c r="D241" s="40" t="str">
        <f t="shared" si="264"/>
        <v/>
      </c>
      <c r="E241" s="69" t="str">
        <f t="shared" si="265"/>
        <v/>
      </c>
      <c r="F241" s="48" cm="1">
        <f t="array" ref="F241">0.1+IFERROR(INDEX($F$5:$F240,SUMPRODUCT(MAX(ROW($C$5:$C240)*($C241=$C$5:$C240))-ROW($A$4)))*0.9^($A241-INDEX($A$5:A240,SUMPRODUCT(MAX(ROW($C$5:$C240)*($C241=$C$5:$C240))-ROW($A$4)))),0)</f>
        <v>17.59999999999998</v>
      </c>
      <c r="G241" s="55" t="e">
        <f>INDEX(UWS!$AB$10:$AB$41,MATCH(C241,UWS!$B$10:$B$41,0))</f>
        <v>#N/A</v>
      </c>
      <c r="H241" s="48" t="e">
        <f>INDEX(UWS!$C$10:$C$41,MATCH(C241,UWS!$B$10:$B$41,0))</f>
        <v>#N/A</v>
      </c>
      <c r="I241" s="82">
        <f t="shared" si="266"/>
        <v>5</v>
      </c>
      <c r="J241" s="27" t="e">
        <f>INDEX(UWS!$E$10:$E$41,MATCH(C241,UWS!$B$10:$B$41,0))</f>
        <v>#N/A</v>
      </c>
      <c r="L241" s="108" t="str" cm="1">
        <f t="array" ref="L241">IF(K241="","",INDEX(UWS!$B$10:$B$41,K241))</f>
        <v/>
      </c>
      <c r="N241" s="108" t="str" cm="1">
        <f t="array" ref="N241">IF(M241="","",INDEX(UWS!$B$10:$B$41,M241))</f>
        <v/>
      </c>
      <c r="P241">
        <f>IFERROR(INDEX(UWS!$G$10:$Z$41,MATCH($C241,UWS!$B$10:$B$41,0),MATCH(P$4,UWS!$G$3:$Z$3,0)),0)</f>
        <v>0</v>
      </c>
      <c r="Q241">
        <f>IFERROR(INDEX(UWS!$G$10:$Z$41,MATCH($C241,UWS!$B$10:$B$41,0),MATCH(Q$4,UWS!$G$3:$Z$3,0)),0)</f>
        <v>0</v>
      </c>
      <c r="R241">
        <f>IFERROR(INDEX(UWS!$G$10:$Z$41,MATCH($C241,UWS!$B$10:$B$41,0),MATCH(R$4,UWS!$G$3:$Z$3,0)),0)</f>
        <v>0</v>
      </c>
      <c r="S241">
        <f>IFERROR(INDEX(UWS!$G$10:$Z$41,MATCH($C241,UWS!$B$10:$B$41,0),MATCH(S$4,UWS!$G$3:$Z$3,0)),0)</f>
        <v>0</v>
      </c>
      <c r="T241">
        <f>IFERROR(INDEX(UWS!$G$10:$Z$41,MATCH($C241,UWS!$B$10:$B$41,0),MATCH(T$4,UWS!$G$3:$Z$3,0)),0)</f>
        <v>0</v>
      </c>
      <c r="U241">
        <f>IFERROR(INDEX(UWS!$G$10:$Z$41,MATCH($C241,UWS!$B$10:$B$41,0),MATCH(U$4,UWS!$G$3:$Z$3,0)),0)</f>
        <v>0</v>
      </c>
      <c r="V241">
        <f>IFERROR(INDEX(UWS!$G$10:$Z$41,MATCH($C241,UWS!$B$10:$B$41,0),MATCH(V$4,UWS!$G$3:$Z$3,0)),0)</f>
        <v>0</v>
      </c>
      <c r="W241">
        <f>IFERROR(INDEX(UWS!$G$10:$Z$41,MATCH($C241,UWS!$B$10:$B$41,0),MATCH(W$4,UWS!$G$3:$Z$3,0)),0)</f>
        <v>0</v>
      </c>
      <c r="X241">
        <f>IFERROR(INDEX(UWS!$G$10:$Z$41,MATCH($C241,UWS!$B$10:$B$41,0),MATCH(X$4,UWS!$G$3:$Z$3,0)),0)</f>
        <v>0</v>
      </c>
      <c r="Y241">
        <f>IFERROR(INDEX(UWS!$G$10:$Z$41,MATCH($C241,UWS!$B$10:$B$41,0),MATCH(Y$4,UWS!$G$3:$Z$3,0)),0)</f>
        <v>0</v>
      </c>
      <c r="Z241">
        <f>IFERROR(INDEX(UWS!$G$10:$Z$41,MATCH($C241,UWS!$B$10:$B$41,0),MATCH(Z$4,UWS!$G$3:$Z$3,0)),0)</f>
        <v>0</v>
      </c>
      <c r="AA241">
        <f>IFERROR(INDEX(UWS!$G$10:$Z$41,MATCH($C241,UWS!$B$10:$B$41,0),MATCH(AA$4,UWS!$G$3:$Z$3,0)),0)</f>
        <v>0</v>
      </c>
      <c r="AB241">
        <f>IFERROR(INDEX(UWS!$G$10:$Z$41,MATCH($C241,UWS!$B$10:$B$41,0),MATCH(AB$4,UWS!$G$3:$Z$3,0)),0)</f>
        <v>0</v>
      </c>
      <c r="AC241">
        <f>IFERROR(INDEX(UWS!$G$10:$Z$41,MATCH($C241,UWS!$B$10:$B$41,0),MATCH(AC$4,UWS!$G$3:$Z$3,0)),0)</f>
        <v>0</v>
      </c>
      <c r="AD241">
        <f>IFERROR(INDEX(UWS!$G$10:$Z$41,MATCH($C241,UWS!$B$10:$B$41,0),MATCH(AD$4,UWS!$G$3:$Z$3,0)),0)</f>
        <v>0</v>
      </c>
      <c r="AE241">
        <f>IFERROR(INDEX(UWS!$G$10:$Z$41,MATCH($C241,UWS!$B$10:$B$41,0),MATCH(AE$4,UWS!$G$3:$Z$3,0)),0)</f>
        <v>0</v>
      </c>
      <c r="AF241">
        <f>IFERROR(INDEX(UWS!$G$10:$Z$41,MATCH($C241,UWS!$B$10:$B$41,0),MATCH(AF$4,UWS!$G$3:$Z$3,0)),0)</f>
        <v>0</v>
      </c>
      <c r="AG241">
        <f>IFERROR(INDEX(UWS!$G$10:$Z$41,MATCH($C241,UWS!$B$10:$B$41,0),MATCH(AG$4,UWS!$G$3:$Z$3,0)),0)</f>
        <v>0</v>
      </c>
      <c r="AH241">
        <f>IFERROR(INDEX(UWS!$G$10:$Z$41,MATCH($C241,UWS!$B$10:$B$41,0),MATCH(AH$4,UWS!$G$3:$Z$3,0)),0)</f>
        <v>0</v>
      </c>
      <c r="AI241">
        <f>IFERROR(INDEX(UWS!$G$10:$Z$41,MATCH($C241,UWS!$B$10:$B$41,0),MATCH(AI$4,UWS!$G$3:$Z$3,0)),0)</f>
        <v>0</v>
      </c>
      <c r="AK241" t="e">
        <f>IF(OR($J241=0,COUNTIFS($A$4:$A240,"&gt;="&amp;$A241-1,$A$4:$A240,"&lt;="&amp;$A241,$B$4:$B240,$B241)&gt;0,MIN(AK$1,IF($A241=$A240,AK240,1))-P241&lt;0),-1,MIN(1,IF($A241=$A240,AK240,1)-P241+$D$3))</f>
        <v>#N/A</v>
      </c>
      <c r="AL241" t="e">
        <f>IF(OR($J241=0,COUNTIFS($A$4:$A240,"&gt;="&amp;$A241-1,$A$4:$A240,"&lt;="&amp;$A241,$B$4:$B240,$B241)&gt;0,MIN(AL$1,IF($A241=$A240,AL240,1))-Q241&lt;0),-1,MIN(1,IF($A241=$A240,AL240,1)-Q241+$D$3))</f>
        <v>#N/A</v>
      </c>
      <c r="AM241" t="e">
        <f>IF(OR($J241=0,COUNTIFS($A$4:$A240,"&gt;="&amp;$A241-1,$A$4:$A240,"&lt;="&amp;$A241,$B$4:$B240,$B241)&gt;0,MIN(AM$1,IF($A241=$A240,AM240,1))-R241&lt;0),-1,MIN(1,IF($A241=$A240,AM240,1)-R241+$D$3))</f>
        <v>#N/A</v>
      </c>
      <c r="AN241" t="e">
        <f>IF(OR($J241=0,COUNTIFS($A$4:$A240,"&gt;="&amp;$A241-1,$A$4:$A240,"&lt;="&amp;$A241,$B$4:$B240,$B241)&gt;0,MIN(AN$1,IF($A241=$A240,AN240,1))-S241&lt;0),-1,MIN(1,IF($A241=$A240,AN240,1)-S241+$D$3))</f>
        <v>#N/A</v>
      </c>
      <c r="AO241" t="e">
        <f>IF(OR($J241=0,COUNTIFS($A$4:$A240,"&gt;="&amp;$A241-1,$A$4:$A240,"&lt;="&amp;$A241,$B$4:$B240,$B241)&gt;0,MIN(AO$1,IF($A241=$A240,AO240,1))-T241&lt;0),-1,MIN(1,IF($A241=$A240,AO240,1)-T241+$D$3))</f>
        <v>#N/A</v>
      </c>
      <c r="AP241" t="e">
        <f>IF(OR($J241=0,COUNTIFS($A$4:$A240,"&gt;="&amp;$A241-1,$A$4:$A240,"&lt;="&amp;$A241,$B$4:$B240,$B241)&gt;0,MIN(AP$1,IF($A241=$A240,AP240,1))-U241&lt;0),-1,MIN(1,IF($A241=$A240,AP240,1)-U241+$D$3))</f>
        <v>#N/A</v>
      </c>
      <c r="AQ241" t="e">
        <f>IF(OR($J241=0,COUNTIFS($A$4:$A240,"&gt;="&amp;$A241-1,$A$4:$A240,"&lt;="&amp;$A241,$B$4:$B240,$B241)&gt;0,MIN(AQ$1,IF($A241=$A240,AQ240,1))-V241&lt;0),-1,MIN(1,IF($A241=$A240,AQ240,1)-V241+$D$3))</f>
        <v>#N/A</v>
      </c>
      <c r="AR241" t="e">
        <f>IF(OR($J241=0,COUNTIFS($A$4:$A240,"&gt;="&amp;$A241-1,$A$4:$A240,"&lt;="&amp;$A241,$B$4:$B240,$B241)&gt;0,MIN(AR$1,IF($A241=$A240,AR240,1))-W241&lt;0),-1,MIN(1,IF($A241=$A240,AR240,1)-W241+$D$3))</f>
        <v>#N/A</v>
      </c>
      <c r="AS241" t="e">
        <f>IF(OR($J241=0,COUNTIFS($A$4:$A240,"&gt;="&amp;$A241-1,$A$4:$A240,"&lt;="&amp;$A241,$B$4:$B240,$B241)&gt;0,MIN(AS$1,IF($A241=$A240,AS240,1))-X241&lt;0),-1,MIN(1,IF($A241=$A240,AS240,1)-X241+$D$3))</f>
        <v>#N/A</v>
      </c>
      <c r="AT241" t="e">
        <f>IF(OR($J241=0,COUNTIFS($A$4:$A240,"&gt;="&amp;$A241-1,$A$4:$A240,"&lt;="&amp;$A241,$B$4:$B240,$B241)&gt;0,MIN(AT$1,IF($A241=$A240,AT240,1))-Y241&lt;0),-1,MIN(1,IF($A241=$A240,AT240,1)-Y241+$D$3))</f>
        <v>#N/A</v>
      </c>
      <c r="AU241" t="e">
        <f>IF(OR($J241=0,COUNTIFS($A$4:$A240,"&gt;="&amp;$A241-1,$A$4:$A240,"&lt;="&amp;$A241,$B$4:$B240,$B241)&gt;0,MIN(AU$1,IF($A241=$A240,AU240,1))-Z241&lt;0),-1,MIN(1,IF($A241=$A240,AU240,1)-Z241+$D$3))</f>
        <v>#N/A</v>
      </c>
      <c r="AV241" t="e">
        <f>IF(OR($J241=0,COUNTIFS($A$4:$A240,"&gt;="&amp;$A241-1,$A$4:$A240,"&lt;="&amp;$A241,$B$4:$B240,$B241)&gt;0,MIN(AV$1,IF($A241=$A240,AV240,1))-AA241&lt;0),-1,MIN(1,IF($A241=$A240,AV240,1)-AA241+$D$3))</f>
        <v>#N/A</v>
      </c>
      <c r="AW241" t="e">
        <f>IF(OR($J241=0,COUNTIFS($A$4:$A240,"&gt;="&amp;$A241-1,$A$4:$A240,"&lt;="&amp;$A241,$B$4:$B240,$B241)&gt;0,MIN(AW$1,IF($A241=$A240,AW240,1))-AB241&lt;0),-1,MIN(1,IF($A241=$A240,AW240,1)-AB241+$D$3))</f>
        <v>#N/A</v>
      </c>
      <c r="AX241" t="e">
        <f>IF(OR($J241=0,COUNTIFS($A$4:$A240,"&gt;="&amp;$A241-1,$A$4:$A240,"&lt;="&amp;$A241,$B$4:$B240,$B241)&gt;0,MIN(AX$1,IF($A241=$A240,AX240,1))-AC241&lt;0),-1,MIN(1,IF($A241=$A240,AX240,1)-AC241+$D$3))</f>
        <v>#N/A</v>
      </c>
      <c r="AY241" t="e">
        <f>IF(OR($J241=0,COUNTIFS($A$4:$A240,"&gt;="&amp;$A241-1,$A$4:$A240,"&lt;="&amp;$A241,$B$4:$B240,$B241)&gt;0,MIN(AY$1,IF($A241=$A240,AY240,1))-AD241&lt;0),-1,MIN(1,IF($A241=$A240,AY240,1)-AD241+$D$3))</f>
        <v>#N/A</v>
      </c>
      <c r="AZ241" t="e">
        <f>IF(OR($J241=0,COUNTIFS($A$4:$A240,"&gt;="&amp;$A241-1,$A$4:$A240,"&lt;="&amp;$A241,$B$4:$B240,$B241)&gt;0,MIN(AZ$1,IF($A241=$A240,AZ240,1))-AE241&lt;0),-1,MIN(1,IF($A241=$A240,AZ240,1)-AE241+$D$3))</f>
        <v>#N/A</v>
      </c>
      <c r="BA241" t="e">
        <f>IF(OR($J241=0,COUNTIFS($A$4:$A240,"&gt;="&amp;$A241-1,$A$4:$A240,"&lt;="&amp;$A241,$B$4:$B240,$B241)&gt;0,MIN(BA$1,IF($A241=$A240,BA240,1))-AF241&lt;0),-1,MIN(1,IF($A241=$A240,BA240,1)-AF241+$D$3))</f>
        <v>#N/A</v>
      </c>
      <c r="BB241" t="e">
        <f>IF(OR($J241=0,COUNTIFS($A$4:$A240,"&gt;="&amp;$A241-1,$A$4:$A240,"&lt;="&amp;$A241,$B$4:$B240,$B241)&gt;0,MIN(BB$1,IF($A241=$A240,BB240,1))-AG241&lt;0),-1,MIN(1,IF($A241=$A240,BB240,1)-AG241+$D$3))</f>
        <v>#N/A</v>
      </c>
      <c r="BC241" t="e">
        <f>IF(OR($J241=0,COUNTIFS($A$4:$A240,"&gt;="&amp;$A241-1,$A$4:$A240,"&lt;="&amp;$A241,$B$4:$B240,$B241)&gt;0,MIN(BC$1,IF($A241=$A240,BC240,1))-AH241&lt;0),-1,MIN(1,IF($A241=$A240,BC240,1)-AH241+$D$3))</f>
        <v>#N/A</v>
      </c>
      <c r="BD241" t="e">
        <f>IF(OR($J241=0,COUNTIFS($A$4:$A240,"&gt;="&amp;$A241-1,$A$4:$A240,"&lt;="&amp;$A241,$B$4:$B240,$B241)&gt;0,MIN(BD$1,IF($A241=$A240,BD240,1))-AI241&lt;0),-1,MIN(1,IF($A241=$A240,BD240,1)-AI241+$D$3))</f>
        <v>#N/A</v>
      </c>
      <c r="BF241" s="44">
        <f t="shared" si="267"/>
        <v>1.113782390597099E-5</v>
      </c>
      <c r="BG241" s="44">
        <f t="shared" si="268"/>
        <v>2.7391051869981677E-5</v>
      </c>
      <c r="BH241" s="44">
        <f t="shared" si="269"/>
        <v>2.8072946910252447E-5</v>
      </c>
      <c r="BI241" s="44">
        <f t="shared" si="270"/>
        <v>2.5931608820378466E-5</v>
      </c>
      <c r="BJ241" s="44">
        <f t="shared" si="271"/>
        <v>2.6802779558033576E-5</v>
      </c>
      <c r="BK241" s="44">
        <f t="shared" si="272"/>
        <v>1.1510112882236268E-5</v>
      </c>
      <c r="BL241" s="44">
        <f t="shared" si="273"/>
        <v>6.217944060618243E-6</v>
      </c>
      <c r="BM241" s="44">
        <f t="shared" si="274"/>
        <v>1.5817723589572816E-5</v>
      </c>
      <c r="BN241" s="44">
        <f t="shared" si="275"/>
        <v>1.6451665293472205E-5</v>
      </c>
      <c r="BO241" s="44">
        <f t="shared" si="276"/>
        <v>7.7098746255675394E-6</v>
      </c>
      <c r="BP241" s="44">
        <f t="shared" si="277"/>
        <v>2.5924281650934371E-5</v>
      </c>
      <c r="BQ241" s="44">
        <f t="shared" si="278"/>
        <v>6.9958904739284979E-6</v>
      </c>
      <c r="BR241" s="44">
        <f t="shared" si="279"/>
        <v>2.0667611714514306E-5</v>
      </c>
      <c r="BS241" s="44">
        <f t="shared" si="280"/>
        <v>1.1146317259197822E-5</v>
      </c>
      <c r="BT241" s="44">
        <f t="shared" si="281"/>
        <v>4.4109394592996692E-5</v>
      </c>
      <c r="BU241" s="44">
        <f t="shared" si="282"/>
        <v>4.2137744860439143E-5</v>
      </c>
      <c r="BV241" s="44">
        <f t="shared" si="283"/>
        <v>4.046769606726881E-5</v>
      </c>
      <c r="BW241" s="44">
        <f t="shared" si="284"/>
        <v>2.6468100182192364E-5</v>
      </c>
      <c r="BX241" s="44">
        <f t="shared" si="285"/>
        <v>1.9554151773694503E-5</v>
      </c>
      <c r="BY241" s="44">
        <f t="shared" si="286"/>
        <v>1.6789486792265909E-5</v>
      </c>
      <c r="CA241" s="44" t="str">
        <f t="shared" si="287"/>
        <v/>
      </c>
      <c r="CB241" s="44" t="str">
        <f t="shared" si="288"/>
        <v/>
      </c>
      <c r="CC241" s="44" t="str">
        <f t="shared" si="289"/>
        <v/>
      </c>
      <c r="CD241" s="44" t="str">
        <f t="shared" si="290"/>
        <v/>
      </c>
      <c r="CE241" s="44" t="str">
        <f t="shared" si="291"/>
        <v/>
      </c>
      <c r="CF241" s="44" t="str">
        <f t="shared" si="292"/>
        <v/>
      </c>
      <c r="CG241" s="44" t="str">
        <f t="shared" si="293"/>
        <v/>
      </c>
      <c r="CH241" s="44" t="str">
        <f t="shared" si="294"/>
        <v/>
      </c>
      <c r="CI241" s="44" t="str">
        <f t="shared" si="295"/>
        <v/>
      </c>
      <c r="CJ241" s="44" t="str">
        <f t="shared" si="296"/>
        <v/>
      </c>
      <c r="CK241" s="44" t="str">
        <f t="shared" si="297"/>
        <v/>
      </c>
      <c r="CL241" s="44" t="str">
        <f t="shared" si="298"/>
        <v/>
      </c>
      <c r="CM241" s="44" t="str">
        <f t="shared" si="299"/>
        <v/>
      </c>
      <c r="CN241" s="44" t="str">
        <f t="shared" si="300"/>
        <v/>
      </c>
      <c r="CO241" s="44" t="str">
        <f t="shared" si="301"/>
        <v/>
      </c>
      <c r="CP241" s="44" t="str">
        <f t="shared" si="302"/>
        <v/>
      </c>
      <c r="CQ241" s="44" t="str">
        <f t="shared" si="303"/>
        <v/>
      </c>
      <c r="CR241" s="44" t="str">
        <f t="shared" si="304"/>
        <v/>
      </c>
      <c r="CS241" s="44" t="str">
        <f t="shared" si="305"/>
        <v/>
      </c>
      <c r="CT241" s="44" t="str">
        <f t="shared" si="306"/>
        <v/>
      </c>
      <c r="CV241" s="44">
        <f t="shared" si="307"/>
        <v>0</v>
      </c>
    </row>
    <row r="242" spans="1:100" x14ac:dyDescent="0.25">
      <c r="A242" s="41"/>
      <c r="B242" s="42"/>
      <c r="C242" s="43" t="str" cm="1">
        <f t="array" ref="C242">IF(B242="","",INDEX(UWS!$B$10:$B$41,B242))</f>
        <v/>
      </c>
      <c r="D242" s="40" t="str">
        <f t="shared" si="264"/>
        <v/>
      </c>
      <c r="E242" s="69" t="str">
        <f t="shared" si="265"/>
        <v/>
      </c>
      <c r="F242" s="48" cm="1">
        <f t="array" ref="F242">0.1+IFERROR(INDEX($F$5:$F241,SUMPRODUCT(MAX(ROW($C$5:$C241)*($C242=$C$5:$C241))-ROW($A$4)))*0.9^($A242-INDEX($A$5:A241,SUMPRODUCT(MAX(ROW($C$5:$C241)*($C242=$C$5:$C241))-ROW($A$4)))),0)</f>
        <v>17.699999999999982</v>
      </c>
      <c r="G242" s="55" t="e">
        <f>INDEX(UWS!$AB$10:$AB$41,MATCH(C242,UWS!$B$10:$B$41,0))</f>
        <v>#N/A</v>
      </c>
      <c r="H242" s="48" t="e">
        <f>INDEX(UWS!$C$10:$C$41,MATCH(C242,UWS!$B$10:$B$41,0))</f>
        <v>#N/A</v>
      </c>
      <c r="I242" s="27">
        <f t="shared" si="266"/>
        <v>5</v>
      </c>
      <c r="J242" s="27" t="e">
        <f>INDEX(UWS!$E$10:$E$41,MATCH(C242,UWS!$B$10:$B$41,0))</f>
        <v>#N/A</v>
      </c>
      <c r="L242" s="108" t="str" cm="1">
        <f t="array" ref="L242">IF(K242="","",INDEX(UWS!$B$10:$B$41,K242))</f>
        <v/>
      </c>
      <c r="N242" s="108" t="str" cm="1">
        <f t="array" ref="N242">IF(M242="","",INDEX(UWS!$B$10:$B$41,M242))</f>
        <v/>
      </c>
      <c r="P242">
        <f>IFERROR(INDEX(UWS!$G$10:$Z$41,MATCH($C242,UWS!$B$10:$B$41,0),MATCH(P$4,UWS!$G$3:$Z$3,0)),0)</f>
        <v>0</v>
      </c>
      <c r="Q242">
        <f>IFERROR(INDEX(UWS!$G$10:$Z$41,MATCH($C242,UWS!$B$10:$B$41,0),MATCH(Q$4,UWS!$G$3:$Z$3,0)),0)</f>
        <v>0</v>
      </c>
      <c r="R242">
        <f>IFERROR(INDEX(UWS!$G$10:$Z$41,MATCH($C242,UWS!$B$10:$B$41,0),MATCH(R$4,UWS!$G$3:$Z$3,0)),0)</f>
        <v>0</v>
      </c>
      <c r="S242">
        <f>IFERROR(INDEX(UWS!$G$10:$Z$41,MATCH($C242,UWS!$B$10:$B$41,0),MATCH(S$4,UWS!$G$3:$Z$3,0)),0)</f>
        <v>0</v>
      </c>
      <c r="T242">
        <f>IFERROR(INDEX(UWS!$G$10:$Z$41,MATCH($C242,UWS!$B$10:$B$41,0),MATCH(T$4,UWS!$G$3:$Z$3,0)),0)</f>
        <v>0</v>
      </c>
      <c r="U242">
        <f>IFERROR(INDEX(UWS!$G$10:$Z$41,MATCH($C242,UWS!$B$10:$B$41,0),MATCH(U$4,UWS!$G$3:$Z$3,0)),0)</f>
        <v>0</v>
      </c>
      <c r="V242">
        <f>IFERROR(INDEX(UWS!$G$10:$Z$41,MATCH($C242,UWS!$B$10:$B$41,0),MATCH(V$4,UWS!$G$3:$Z$3,0)),0)</f>
        <v>0</v>
      </c>
      <c r="W242">
        <f>IFERROR(INDEX(UWS!$G$10:$Z$41,MATCH($C242,UWS!$B$10:$B$41,0),MATCH(W$4,UWS!$G$3:$Z$3,0)),0)</f>
        <v>0</v>
      </c>
      <c r="X242">
        <f>IFERROR(INDEX(UWS!$G$10:$Z$41,MATCH($C242,UWS!$B$10:$B$41,0),MATCH(X$4,UWS!$G$3:$Z$3,0)),0)</f>
        <v>0</v>
      </c>
      <c r="Y242">
        <f>IFERROR(INDEX(UWS!$G$10:$Z$41,MATCH($C242,UWS!$B$10:$B$41,0),MATCH(Y$4,UWS!$G$3:$Z$3,0)),0)</f>
        <v>0</v>
      </c>
      <c r="Z242">
        <f>IFERROR(INDEX(UWS!$G$10:$Z$41,MATCH($C242,UWS!$B$10:$B$41,0),MATCH(Z$4,UWS!$G$3:$Z$3,0)),0)</f>
        <v>0</v>
      </c>
      <c r="AA242">
        <f>IFERROR(INDEX(UWS!$G$10:$Z$41,MATCH($C242,UWS!$B$10:$B$41,0),MATCH(AA$4,UWS!$G$3:$Z$3,0)),0)</f>
        <v>0</v>
      </c>
      <c r="AB242">
        <f>IFERROR(INDEX(UWS!$G$10:$Z$41,MATCH($C242,UWS!$B$10:$B$41,0),MATCH(AB$4,UWS!$G$3:$Z$3,0)),0)</f>
        <v>0</v>
      </c>
      <c r="AC242">
        <f>IFERROR(INDEX(UWS!$G$10:$Z$41,MATCH($C242,UWS!$B$10:$B$41,0),MATCH(AC$4,UWS!$G$3:$Z$3,0)),0)</f>
        <v>0</v>
      </c>
      <c r="AD242">
        <f>IFERROR(INDEX(UWS!$G$10:$Z$41,MATCH($C242,UWS!$B$10:$B$41,0),MATCH(AD$4,UWS!$G$3:$Z$3,0)),0)</f>
        <v>0</v>
      </c>
      <c r="AE242">
        <f>IFERROR(INDEX(UWS!$G$10:$Z$41,MATCH($C242,UWS!$B$10:$B$41,0),MATCH(AE$4,UWS!$G$3:$Z$3,0)),0)</f>
        <v>0</v>
      </c>
      <c r="AF242">
        <f>IFERROR(INDEX(UWS!$G$10:$Z$41,MATCH($C242,UWS!$B$10:$B$41,0),MATCH(AF$4,UWS!$G$3:$Z$3,0)),0)</f>
        <v>0</v>
      </c>
      <c r="AG242">
        <f>IFERROR(INDEX(UWS!$G$10:$Z$41,MATCH($C242,UWS!$B$10:$B$41,0),MATCH(AG$4,UWS!$G$3:$Z$3,0)),0)</f>
        <v>0</v>
      </c>
      <c r="AH242">
        <f>IFERROR(INDEX(UWS!$G$10:$Z$41,MATCH($C242,UWS!$B$10:$B$41,0),MATCH(AH$4,UWS!$G$3:$Z$3,0)),0)</f>
        <v>0</v>
      </c>
      <c r="AI242">
        <f>IFERROR(INDEX(UWS!$G$10:$Z$41,MATCH($C242,UWS!$B$10:$B$41,0),MATCH(AI$4,UWS!$G$3:$Z$3,0)),0)</f>
        <v>0</v>
      </c>
      <c r="AK242" t="e">
        <f>IF(OR($J242=0,COUNTIFS($A$4:$A241,"&gt;="&amp;$A242-1,$A$4:$A241,"&lt;="&amp;$A242,$B$4:$B241,$B242)&gt;0,MIN(AK$1,IF($A242=$A241,AK241,1))-P242&lt;0),-1,MIN(1,IF($A242=$A241,AK241,1)-P242+$D$3))</f>
        <v>#N/A</v>
      </c>
      <c r="AL242" t="e">
        <f>IF(OR($J242=0,COUNTIFS($A$4:$A241,"&gt;="&amp;$A242-1,$A$4:$A241,"&lt;="&amp;$A242,$B$4:$B241,$B242)&gt;0,MIN(AL$1,IF($A242=$A241,AL241,1))-Q242&lt;0),-1,MIN(1,IF($A242=$A241,AL241,1)-Q242+$D$3))</f>
        <v>#N/A</v>
      </c>
      <c r="AM242" t="e">
        <f>IF(OR($J242=0,COUNTIFS($A$4:$A241,"&gt;="&amp;$A242-1,$A$4:$A241,"&lt;="&amp;$A242,$B$4:$B241,$B242)&gt;0,MIN(AM$1,IF($A242=$A241,AM241,1))-R242&lt;0),-1,MIN(1,IF($A242=$A241,AM241,1)-R242+$D$3))</f>
        <v>#N/A</v>
      </c>
      <c r="AN242" t="e">
        <f>IF(OR($J242=0,COUNTIFS($A$4:$A241,"&gt;="&amp;$A242-1,$A$4:$A241,"&lt;="&amp;$A242,$B$4:$B241,$B242)&gt;0,MIN(AN$1,IF($A242=$A241,AN241,1))-S242&lt;0),-1,MIN(1,IF($A242=$A241,AN241,1)-S242+$D$3))</f>
        <v>#N/A</v>
      </c>
      <c r="AO242" t="e">
        <f>IF(OR($J242=0,COUNTIFS($A$4:$A241,"&gt;="&amp;$A242-1,$A$4:$A241,"&lt;="&amp;$A242,$B$4:$B241,$B242)&gt;0,MIN(AO$1,IF($A242=$A241,AO241,1))-T242&lt;0),-1,MIN(1,IF($A242=$A241,AO241,1)-T242+$D$3))</f>
        <v>#N/A</v>
      </c>
      <c r="AP242" t="e">
        <f>IF(OR($J242=0,COUNTIFS($A$4:$A241,"&gt;="&amp;$A242-1,$A$4:$A241,"&lt;="&amp;$A242,$B$4:$B241,$B242)&gt;0,MIN(AP$1,IF($A242=$A241,AP241,1))-U242&lt;0),-1,MIN(1,IF($A242=$A241,AP241,1)-U242+$D$3))</f>
        <v>#N/A</v>
      </c>
      <c r="AQ242" t="e">
        <f>IF(OR($J242=0,COUNTIFS($A$4:$A241,"&gt;="&amp;$A242-1,$A$4:$A241,"&lt;="&amp;$A242,$B$4:$B241,$B242)&gt;0,MIN(AQ$1,IF($A242=$A241,AQ241,1))-V242&lt;0),-1,MIN(1,IF($A242=$A241,AQ241,1)-V242+$D$3))</f>
        <v>#N/A</v>
      </c>
      <c r="AR242" t="e">
        <f>IF(OR($J242=0,COUNTIFS($A$4:$A241,"&gt;="&amp;$A242-1,$A$4:$A241,"&lt;="&amp;$A242,$B$4:$B241,$B242)&gt;0,MIN(AR$1,IF($A242=$A241,AR241,1))-W242&lt;0),-1,MIN(1,IF($A242=$A241,AR241,1)-W242+$D$3))</f>
        <v>#N/A</v>
      </c>
      <c r="AS242" t="e">
        <f>IF(OR($J242=0,COUNTIFS($A$4:$A241,"&gt;="&amp;$A242-1,$A$4:$A241,"&lt;="&amp;$A242,$B$4:$B241,$B242)&gt;0,MIN(AS$1,IF($A242=$A241,AS241,1))-X242&lt;0),-1,MIN(1,IF($A242=$A241,AS241,1)-X242+$D$3))</f>
        <v>#N/A</v>
      </c>
      <c r="AT242" t="e">
        <f>IF(OR($J242=0,COUNTIFS($A$4:$A241,"&gt;="&amp;$A242-1,$A$4:$A241,"&lt;="&amp;$A242,$B$4:$B241,$B242)&gt;0,MIN(AT$1,IF($A242=$A241,AT241,1))-Y242&lt;0),-1,MIN(1,IF($A242=$A241,AT241,1)-Y242+$D$3))</f>
        <v>#N/A</v>
      </c>
      <c r="AU242" t="e">
        <f>IF(OR($J242=0,COUNTIFS($A$4:$A241,"&gt;="&amp;$A242-1,$A$4:$A241,"&lt;="&amp;$A242,$B$4:$B241,$B242)&gt;0,MIN(AU$1,IF($A242=$A241,AU241,1))-Z242&lt;0),-1,MIN(1,IF($A242=$A241,AU241,1)-Z242+$D$3))</f>
        <v>#N/A</v>
      </c>
      <c r="AV242" t="e">
        <f>IF(OR($J242=0,COUNTIFS($A$4:$A241,"&gt;="&amp;$A242-1,$A$4:$A241,"&lt;="&amp;$A242,$B$4:$B241,$B242)&gt;0,MIN(AV$1,IF($A242=$A241,AV241,1))-AA242&lt;0),-1,MIN(1,IF($A242=$A241,AV241,1)-AA242+$D$3))</f>
        <v>#N/A</v>
      </c>
      <c r="AW242" t="e">
        <f>IF(OR($J242=0,COUNTIFS($A$4:$A241,"&gt;="&amp;$A242-1,$A$4:$A241,"&lt;="&amp;$A242,$B$4:$B241,$B242)&gt;0,MIN(AW$1,IF($A242=$A241,AW241,1))-AB242&lt;0),-1,MIN(1,IF($A242=$A241,AW241,1)-AB242+$D$3))</f>
        <v>#N/A</v>
      </c>
      <c r="AX242" t="e">
        <f>IF(OR($J242=0,COUNTIFS($A$4:$A241,"&gt;="&amp;$A242-1,$A$4:$A241,"&lt;="&amp;$A242,$B$4:$B241,$B242)&gt;0,MIN(AX$1,IF($A242=$A241,AX241,1))-AC242&lt;0),-1,MIN(1,IF($A242=$A241,AX241,1)-AC242+$D$3))</f>
        <v>#N/A</v>
      </c>
      <c r="AY242" t="e">
        <f>IF(OR($J242=0,COUNTIFS($A$4:$A241,"&gt;="&amp;$A242-1,$A$4:$A241,"&lt;="&amp;$A242,$B$4:$B241,$B242)&gt;0,MIN(AY$1,IF($A242=$A241,AY241,1))-AD242&lt;0),-1,MIN(1,IF($A242=$A241,AY241,1)-AD242+$D$3))</f>
        <v>#N/A</v>
      </c>
      <c r="AZ242" t="e">
        <f>IF(OR($J242=0,COUNTIFS($A$4:$A241,"&gt;="&amp;$A242-1,$A$4:$A241,"&lt;="&amp;$A242,$B$4:$B241,$B242)&gt;0,MIN(AZ$1,IF($A242=$A241,AZ241,1))-AE242&lt;0),-1,MIN(1,IF($A242=$A241,AZ241,1)-AE242+$D$3))</f>
        <v>#N/A</v>
      </c>
      <c r="BA242" t="e">
        <f>IF(OR($J242=0,COUNTIFS($A$4:$A241,"&gt;="&amp;$A242-1,$A$4:$A241,"&lt;="&amp;$A242,$B$4:$B241,$B242)&gt;0,MIN(BA$1,IF($A242=$A241,BA241,1))-AF242&lt;0),-1,MIN(1,IF($A242=$A241,BA241,1)-AF242+$D$3))</f>
        <v>#N/A</v>
      </c>
      <c r="BB242" t="e">
        <f>IF(OR($J242=0,COUNTIFS($A$4:$A241,"&gt;="&amp;$A242-1,$A$4:$A241,"&lt;="&amp;$A242,$B$4:$B241,$B242)&gt;0,MIN(BB$1,IF($A242=$A241,BB241,1))-AG242&lt;0),-1,MIN(1,IF($A242=$A241,BB241,1)-AG242+$D$3))</f>
        <v>#N/A</v>
      </c>
      <c r="BC242" t="e">
        <f>IF(OR($J242=0,COUNTIFS($A$4:$A241,"&gt;="&amp;$A242-1,$A$4:$A241,"&lt;="&amp;$A242,$B$4:$B241,$B242)&gt;0,MIN(BC$1,IF($A242=$A241,BC241,1))-AH242&lt;0),-1,MIN(1,IF($A242=$A241,BC241,1)-AH242+$D$3))</f>
        <v>#N/A</v>
      </c>
      <c r="BD242" t="e">
        <f>IF(OR($J242=0,COUNTIFS($A$4:$A241,"&gt;="&amp;$A242-1,$A$4:$A241,"&lt;="&amp;$A242,$B$4:$B241,$B242)&gt;0,MIN(BD$1,IF($A242=$A241,BD241,1))-AI242&lt;0),-1,MIN(1,IF($A242=$A241,BD241,1)-AI242+$D$3))</f>
        <v>#N/A</v>
      </c>
      <c r="BF242" s="44">
        <f t="shared" si="267"/>
        <v>1.058093271067244E-5</v>
      </c>
      <c r="BG242" s="44">
        <f t="shared" si="268"/>
        <v>2.6021499276482591E-5</v>
      </c>
      <c r="BH242" s="44">
        <f t="shared" si="269"/>
        <v>2.6669299564739823E-5</v>
      </c>
      <c r="BI242" s="44">
        <f t="shared" si="270"/>
        <v>2.4635028379359542E-5</v>
      </c>
      <c r="BJ242" s="44">
        <f t="shared" si="271"/>
        <v>2.5462640580131895E-5</v>
      </c>
      <c r="BK242" s="44">
        <f t="shared" si="272"/>
        <v>1.0934607238124454E-5</v>
      </c>
      <c r="BL242" s="44">
        <f t="shared" si="273"/>
        <v>5.9070468575873305E-6</v>
      </c>
      <c r="BM242" s="44">
        <f t="shared" si="274"/>
        <v>1.5026837410094175E-5</v>
      </c>
      <c r="BN242" s="44">
        <f t="shared" si="275"/>
        <v>1.5629082028798595E-5</v>
      </c>
      <c r="BO242" s="44">
        <f t="shared" si="276"/>
        <v>7.3243808942891619E-6</v>
      </c>
      <c r="BP242" s="44">
        <f t="shared" si="277"/>
        <v>2.4628067568387651E-5</v>
      </c>
      <c r="BQ242" s="44">
        <f t="shared" si="278"/>
        <v>6.6460959502320723E-6</v>
      </c>
      <c r="BR242" s="44">
        <f t="shared" si="279"/>
        <v>1.9634231128788589E-5</v>
      </c>
      <c r="BS242" s="44">
        <f t="shared" si="280"/>
        <v>1.0589001396237929E-5</v>
      </c>
      <c r="BT242" s="44">
        <f t="shared" si="281"/>
        <v>4.1903924863346859E-5</v>
      </c>
      <c r="BU242" s="44">
        <f t="shared" si="282"/>
        <v>4.0030857617417181E-5</v>
      </c>
      <c r="BV242" s="44">
        <f t="shared" si="283"/>
        <v>3.844431126390537E-5</v>
      </c>
      <c r="BW242" s="44">
        <f t="shared" si="284"/>
        <v>2.5144695173082746E-5</v>
      </c>
      <c r="BX242" s="44">
        <f t="shared" si="285"/>
        <v>1.8576444185009778E-5</v>
      </c>
      <c r="BY242" s="44">
        <f t="shared" si="286"/>
        <v>1.5950012452652612E-5</v>
      </c>
      <c r="CA242" s="44" t="str">
        <f t="shared" si="287"/>
        <v/>
      </c>
      <c r="CB242" s="44" t="str">
        <f t="shared" si="288"/>
        <v/>
      </c>
      <c r="CC242" s="44" t="str">
        <f t="shared" si="289"/>
        <v/>
      </c>
      <c r="CD242" s="44" t="str">
        <f t="shared" si="290"/>
        <v/>
      </c>
      <c r="CE242" s="44" t="str">
        <f t="shared" si="291"/>
        <v/>
      </c>
      <c r="CF242" s="44" t="str">
        <f t="shared" si="292"/>
        <v/>
      </c>
      <c r="CG242" s="44" t="str">
        <f t="shared" si="293"/>
        <v/>
      </c>
      <c r="CH242" s="44" t="str">
        <f t="shared" si="294"/>
        <v/>
      </c>
      <c r="CI242" s="44" t="str">
        <f t="shared" si="295"/>
        <v/>
      </c>
      <c r="CJ242" s="44" t="str">
        <f t="shared" si="296"/>
        <v/>
      </c>
      <c r="CK242" s="44" t="str">
        <f t="shared" si="297"/>
        <v/>
      </c>
      <c r="CL242" s="44" t="str">
        <f t="shared" si="298"/>
        <v/>
      </c>
      <c r="CM242" s="44" t="str">
        <f t="shared" si="299"/>
        <v/>
      </c>
      <c r="CN242" s="44" t="str">
        <f t="shared" si="300"/>
        <v/>
      </c>
      <c r="CO242" s="44" t="str">
        <f t="shared" si="301"/>
        <v/>
      </c>
      <c r="CP242" s="44" t="str">
        <f t="shared" si="302"/>
        <v/>
      </c>
      <c r="CQ242" s="44" t="str">
        <f t="shared" si="303"/>
        <v/>
      </c>
      <c r="CR242" s="44" t="str">
        <f t="shared" si="304"/>
        <v/>
      </c>
      <c r="CS242" s="44" t="str">
        <f t="shared" si="305"/>
        <v/>
      </c>
      <c r="CT242" s="44" t="str">
        <f t="shared" si="306"/>
        <v/>
      </c>
      <c r="CV242" s="44">
        <f t="shared" si="307"/>
        <v>0</v>
      </c>
    </row>
    <row r="243" spans="1:100" x14ac:dyDescent="0.25">
      <c r="A243" s="41"/>
      <c r="B243" s="42"/>
      <c r="C243" s="43" t="str" cm="1">
        <f t="array" ref="C243">IF(B243="","",INDEX(UWS!$B$10:$B$41,B243))</f>
        <v/>
      </c>
      <c r="D243" s="40" t="str">
        <f t="shared" ref="D243:D306" si="308">IF(C243="","",MIN(AK243:BD243))</f>
        <v/>
      </c>
      <c r="E243" s="69" t="str">
        <f t="shared" ref="E243:E306" si="309">IF(C243="","",IFERROR((H243/$H$2)^$H$1*(CV243/$CV242)^$CV$1*(F243/$F$2)^$F$1*(G243/$G$2)^IF(B243&lt;=5,0,($G$1-$G$3*(I243-1))),0))</f>
        <v/>
      </c>
      <c r="F243" s="48" cm="1">
        <f t="array" ref="F243">0.1+IFERROR(INDEX($F$5:$F242,SUMPRODUCT(MAX(ROW($C$5:$C242)*($C243=$C$5:$C242))-ROW($A$4)))*0.9^($A243-INDEX($A$5:A242,SUMPRODUCT(MAX(ROW($C$5:$C242)*($C243=$C$5:$C242))-ROW($A$4)))),0)</f>
        <v>17.799999999999983</v>
      </c>
      <c r="G243" s="55" t="e">
        <f>INDEX(UWS!$AB$10:$AB$41,MATCH(C243,UWS!$B$10:$B$41,0))</f>
        <v>#N/A</v>
      </c>
      <c r="H243" s="48" t="e">
        <f>INDEX(UWS!$C$10:$C$41,MATCH(C243,UWS!$B$10:$B$41,0))</f>
        <v>#N/A</v>
      </c>
      <c r="I243" s="27">
        <f t="shared" ref="I243:I306" si="310">IF(A243&gt;A242,1,IF(A243&gt;A241,2,IF(A243&gt;A240,3,IF(A243&gt;A239,4,5))))</f>
        <v>5</v>
      </c>
      <c r="J243" s="27" t="e">
        <f>INDEX(UWS!$E$10:$E$41,MATCH(C243,UWS!$B$10:$B$41,0))</f>
        <v>#N/A</v>
      </c>
      <c r="L243" s="108" t="str" cm="1">
        <f t="array" ref="L243">IF(K243="","",INDEX(UWS!$B$10:$B$41,K243))</f>
        <v/>
      </c>
      <c r="N243" s="108" t="str" cm="1">
        <f t="array" ref="N243">IF(M243="","",INDEX(UWS!$B$10:$B$41,M243))</f>
        <v/>
      </c>
      <c r="P243">
        <f>IFERROR(INDEX(UWS!$G$10:$Z$41,MATCH($C243,UWS!$B$10:$B$41,0),MATCH(P$4,UWS!$G$3:$Z$3,0)),0)</f>
        <v>0</v>
      </c>
      <c r="Q243">
        <f>IFERROR(INDEX(UWS!$G$10:$Z$41,MATCH($C243,UWS!$B$10:$B$41,0),MATCH(Q$4,UWS!$G$3:$Z$3,0)),0)</f>
        <v>0</v>
      </c>
      <c r="R243">
        <f>IFERROR(INDEX(UWS!$G$10:$Z$41,MATCH($C243,UWS!$B$10:$B$41,0),MATCH(R$4,UWS!$G$3:$Z$3,0)),0)</f>
        <v>0</v>
      </c>
      <c r="S243">
        <f>IFERROR(INDEX(UWS!$G$10:$Z$41,MATCH($C243,UWS!$B$10:$B$41,0),MATCH(S$4,UWS!$G$3:$Z$3,0)),0)</f>
        <v>0</v>
      </c>
      <c r="T243">
        <f>IFERROR(INDEX(UWS!$G$10:$Z$41,MATCH($C243,UWS!$B$10:$B$41,0),MATCH(T$4,UWS!$G$3:$Z$3,0)),0)</f>
        <v>0</v>
      </c>
      <c r="U243">
        <f>IFERROR(INDEX(UWS!$G$10:$Z$41,MATCH($C243,UWS!$B$10:$B$41,0),MATCH(U$4,UWS!$G$3:$Z$3,0)),0)</f>
        <v>0</v>
      </c>
      <c r="V243">
        <f>IFERROR(INDEX(UWS!$G$10:$Z$41,MATCH($C243,UWS!$B$10:$B$41,0),MATCH(V$4,UWS!$G$3:$Z$3,0)),0)</f>
        <v>0</v>
      </c>
      <c r="W243">
        <f>IFERROR(INDEX(UWS!$G$10:$Z$41,MATCH($C243,UWS!$B$10:$B$41,0),MATCH(W$4,UWS!$G$3:$Z$3,0)),0)</f>
        <v>0</v>
      </c>
      <c r="X243">
        <f>IFERROR(INDEX(UWS!$G$10:$Z$41,MATCH($C243,UWS!$B$10:$B$41,0),MATCH(X$4,UWS!$G$3:$Z$3,0)),0)</f>
        <v>0</v>
      </c>
      <c r="Y243">
        <f>IFERROR(INDEX(UWS!$G$10:$Z$41,MATCH($C243,UWS!$B$10:$B$41,0),MATCH(Y$4,UWS!$G$3:$Z$3,0)),0)</f>
        <v>0</v>
      </c>
      <c r="Z243">
        <f>IFERROR(INDEX(UWS!$G$10:$Z$41,MATCH($C243,UWS!$B$10:$B$41,0),MATCH(Z$4,UWS!$G$3:$Z$3,0)),0)</f>
        <v>0</v>
      </c>
      <c r="AA243">
        <f>IFERROR(INDEX(UWS!$G$10:$Z$41,MATCH($C243,UWS!$B$10:$B$41,0),MATCH(AA$4,UWS!$G$3:$Z$3,0)),0)</f>
        <v>0</v>
      </c>
      <c r="AB243">
        <f>IFERROR(INDEX(UWS!$G$10:$Z$41,MATCH($C243,UWS!$B$10:$B$41,0),MATCH(AB$4,UWS!$G$3:$Z$3,0)),0)</f>
        <v>0</v>
      </c>
      <c r="AC243">
        <f>IFERROR(INDEX(UWS!$G$10:$Z$41,MATCH($C243,UWS!$B$10:$B$41,0),MATCH(AC$4,UWS!$G$3:$Z$3,0)),0)</f>
        <v>0</v>
      </c>
      <c r="AD243">
        <f>IFERROR(INDEX(UWS!$G$10:$Z$41,MATCH($C243,UWS!$B$10:$B$41,0),MATCH(AD$4,UWS!$G$3:$Z$3,0)),0)</f>
        <v>0</v>
      </c>
      <c r="AE243">
        <f>IFERROR(INDEX(UWS!$G$10:$Z$41,MATCH($C243,UWS!$B$10:$B$41,0),MATCH(AE$4,UWS!$G$3:$Z$3,0)),0)</f>
        <v>0</v>
      </c>
      <c r="AF243">
        <f>IFERROR(INDEX(UWS!$G$10:$Z$41,MATCH($C243,UWS!$B$10:$B$41,0),MATCH(AF$4,UWS!$G$3:$Z$3,0)),0)</f>
        <v>0</v>
      </c>
      <c r="AG243">
        <f>IFERROR(INDEX(UWS!$G$10:$Z$41,MATCH($C243,UWS!$B$10:$B$41,0),MATCH(AG$4,UWS!$G$3:$Z$3,0)),0)</f>
        <v>0</v>
      </c>
      <c r="AH243">
        <f>IFERROR(INDEX(UWS!$G$10:$Z$41,MATCH($C243,UWS!$B$10:$B$41,0),MATCH(AH$4,UWS!$G$3:$Z$3,0)),0)</f>
        <v>0</v>
      </c>
      <c r="AI243">
        <f>IFERROR(INDEX(UWS!$G$10:$Z$41,MATCH($C243,UWS!$B$10:$B$41,0),MATCH(AI$4,UWS!$G$3:$Z$3,0)),0)</f>
        <v>0</v>
      </c>
      <c r="AK243" t="e">
        <f>IF(OR($J243=0,COUNTIFS($A$4:$A242,"&gt;="&amp;$A243-1,$A$4:$A242,"&lt;="&amp;$A243,$B$4:$B242,$B243)&gt;0,MIN(AK$1,IF($A243=$A242,AK242,1))-P243&lt;0),-1,MIN(1,IF($A243=$A242,AK242,1)-P243+$D$3))</f>
        <v>#N/A</v>
      </c>
      <c r="AL243" t="e">
        <f>IF(OR($J243=0,COUNTIFS($A$4:$A242,"&gt;="&amp;$A243-1,$A$4:$A242,"&lt;="&amp;$A243,$B$4:$B242,$B243)&gt;0,MIN(AL$1,IF($A243=$A242,AL242,1))-Q243&lt;0),-1,MIN(1,IF($A243=$A242,AL242,1)-Q243+$D$3))</f>
        <v>#N/A</v>
      </c>
      <c r="AM243" t="e">
        <f>IF(OR($J243=0,COUNTIFS($A$4:$A242,"&gt;="&amp;$A243-1,$A$4:$A242,"&lt;="&amp;$A243,$B$4:$B242,$B243)&gt;0,MIN(AM$1,IF($A243=$A242,AM242,1))-R243&lt;0),-1,MIN(1,IF($A243=$A242,AM242,1)-R243+$D$3))</f>
        <v>#N/A</v>
      </c>
      <c r="AN243" t="e">
        <f>IF(OR($J243=0,COUNTIFS($A$4:$A242,"&gt;="&amp;$A243-1,$A$4:$A242,"&lt;="&amp;$A243,$B$4:$B242,$B243)&gt;0,MIN(AN$1,IF($A243=$A242,AN242,1))-S243&lt;0),-1,MIN(1,IF($A243=$A242,AN242,1)-S243+$D$3))</f>
        <v>#N/A</v>
      </c>
      <c r="AO243" t="e">
        <f>IF(OR($J243=0,COUNTIFS($A$4:$A242,"&gt;="&amp;$A243-1,$A$4:$A242,"&lt;="&amp;$A243,$B$4:$B242,$B243)&gt;0,MIN(AO$1,IF($A243=$A242,AO242,1))-T243&lt;0),-1,MIN(1,IF($A243=$A242,AO242,1)-T243+$D$3))</f>
        <v>#N/A</v>
      </c>
      <c r="AP243" t="e">
        <f>IF(OR($J243=0,COUNTIFS($A$4:$A242,"&gt;="&amp;$A243-1,$A$4:$A242,"&lt;="&amp;$A243,$B$4:$B242,$B243)&gt;0,MIN(AP$1,IF($A243=$A242,AP242,1))-U243&lt;0),-1,MIN(1,IF($A243=$A242,AP242,1)-U243+$D$3))</f>
        <v>#N/A</v>
      </c>
      <c r="AQ243" t="e">
        <f>IF(OR($J243=0,COUNTIFS($A$4:$A242,"&gt;="&amp;$A243-1,$A$4:$A242,"&lt;="&amp;$A243,$B$4:$B242,$B243)&gt;0,MIN(AQ$1,IF($A243=$A242,AQ242,1))-V243&lt;0),-1,MIN(1,IF($A243=$A242,AQ242,1)-V243+$D$3))</f>
        <v>#N/A</v>
      </c>
      <c r="AR243" t="e">
        <f>IF(OR($J243=0,COUNTIFS($A$4:$A242,"&gt;="&amp;$A243-1,$A$4:$A242,"&lt;="&amp;$A243,$B$4:$B242,$B243)&gt;0,MIN(AR$1,IF($A243=$A242,AR242,1))-W243&lt;0),-1,MIN(1,IF($A243=$A242,AR242,1)-W243+$D$3))</f>
        <v>#N/A</v>
      </c>
      <c r="AS243" t="e">
        <f>IF(OR($J243=0,COUNTIFS($A$4:$A242,"&gt;="&amp;$A243-1,$A$4:$A242,"&lt;="&amp;$A243,$B$4:$B242,$B243)&gt;0,MIN(AS$1,IF($A243=$A242,AS242,1))-X243&lt;0),-1,MIN(1,IF($A243=$A242,AS242,1)-X243+$D$3))</f>
        <v>#N/A</v>
      </c>
      <c r="AT243" t="e">
        <f>IF(OR($J243=0,COUNTIFS($A$4:$A242,"&gt;="&amp;$A243-1,$A$4:$A242,"&lt;="&amp;$A243,$B$4:$B242,$B243)&gt;0,MIN(AT$1,IF($A243=$A242,AT242,1))-Y243&lt;0),-1,MIN(1,IF($A243=$A242,AT242,1)-Y243+$D$3))</f>
        <v>#N/A</v>
      </c>
      <c r="AU243" t="e">
        <f>IF(OR($J243=0,COUNTIFS($A$4:$A242,"&gt;="&amp;$A243-1,$A$4:$A242,"&lt;="&amp;$A243,$B$4:$B242,$B243)&gt;0,MIN(AU$1,IF($A243=$A242,AU242,1))-Z243&lt;0),-1,MIN(1,IF($A243=$A242,AU242,1)-Z243+$D$3))</f>
        <v>#N/A</v>
      </c>
      <c r="AV243" t="e">
        <f>IF(OR($J243=0,COUNTIFS($A$4:$A242,"&gt;="&amp;$A243-1,$A$4:$A242,"&lt;="&amp;$A243,$B$4:$B242,$B243)&gt;0,MIN(AV$1,IF($A243=$A242,AV242,1))-AA243&lt;0),-1,MIN(1,IF($A243=$A242,AV242,1)-AA243+$D$3))</f>
        <v>#N/A</v>
      </c>
      <c r="AW243" t="e">
        <f>IF(OR($J243=0,COUNTIFS($A$4:$A242,"&gt;="&amp;$A243-1,$A$4:$A242,"&lt;="&amp;$A243,$B$4:$B242,$B243)&gt;0,MIN(AW$1,IF($A243=$A242,AW242,1))-AB243&lt;0),-1,MIN(1,IF($A243=$A242,AW242,1)-AB243+$D$3))</f>
        <v>#N/A</v>
      </c>
      <c r="AX243" t="e">
        <f>IF(OR($J243=0,COUNTIFS($A$4:$A242,"&gt;="&amp;$A243-1,$A$4:$A242,"&lt;="&amp;$A243,$B$4:$B242,$B243)&gt;0,MIN(AX$1,IF($A243=$A242,AX242,1))-AC243&lt;0),-1,MIN(1,IF($A243=$A242,AX242,1)-AC243+$D$3))</f>
        <v>#N/A</v>
      </c>
      <c r="AY243" t="e">
        <f>IF(OR($J243=0,COUNTIFS($A$4:$A242,"&gt;="&amp;$A243-1,$A$4:$A242,"&lt;="&amp;$A243,$B$4:$B242,$B243)&gt;0,MIN(AY$1,IF($A243=$A242,AY242,1))-AD243&lt;0),-1,MIN(1,IF($A243=$A242,AY242,1)-AD243+$D$3))</f>
        <v>#N/A</v>
      </c>
      <c r="AZ243" t="e">
        <f>IF(OR($J243=0,COUNTIFS($A$4:$A242,"&gt;="&amp;$A243-1,$A$4:$A242,"&lt;="&amp;$A243,$B$4:$B242,$B243)&gt;0,MIN(AZ$1,IF($A243=$A242,AZ242,1))-AE243&lt;0),-1,MIN(1,IF($A243=$A242,AZ242,1)-AE243+$D$3))</f>
        <v>#N/A</v>
      </c>
      <c r="BA243" t="e">
        <f>IF(OR($J243=0,COUNTIFS($A$4:$A242,"&gt;="&amp;$A243-1,$A$4:$A242,"&lt;="&amp;$A243,$B$4:$B242,$B243)&gt;0,MIN(BA$1,IF($A243=$A242,BA242,1))-AF243&lt;0),-1,MIN(1,IF($A243=$A242,BA242,1)-AF243+$D$3))</f>
        <v>#N/A</v>
      </c>
      <c r="BB243" t="e">
        <f>IF(OR($J243=0,COUNTIFS($A$4:$A242,"&gt;="&amp;$A243-1,$A$4:$A242,"&lt;="&amp;$A243,$B$4:$B242,$B243)&gt;0,MIN(BB$1,IF($A243=$A242,BB242,1))-AG243&lt;0),-1,MIN(1,IF($A243=$A242,BB242,1)-AG243+$D$3))</f>
        <v>#N/A</v>
      </c>
      <c r="BC243" t="e">
        <f>IF(OR($J243=0,COUNTIFS($A$4:$A242,"&gt;="&amp;$A243-1,$A$4:$A242,"&lt;="&amp;$A243,$B$4:$B242,$B243)&gt;0,MIN(BC$1,IF($A243=$A242,BC242,1))-AH243&lt;0),-1,MIN(1,IF($A243=$A242,BC242,1)-AH243+$D$3))</f>
        <v>#N/A</v>
      </c>
      <c r="BD243" t="e">
        <f>IF(OR($J243=0,COUNTIFS($A$4:$A242,"&gt;="&amp;$A243-1,$A$4:$A242,"&lt;="&amp;$A243,$B$4:$B242,$B243)&gt;0,MIN(BD$1,IF($A243=$A242,BD242,1))-AI243&lt;0),-1,MIN(1,IF($A243=$A242,BD242,1)-AI243+$D$3))</f>
        <v>#N/A</v>
      </c>
      <c r="BF243" s="44">
        <f t="shared" ref="BF243:BF306" si="311">$AN$2*P243+(1-$AN$2)*BF242</f>
        <v>1.0051886075138818E-5</v>
      </c>
      <c r="BG243" s="44">
        <f t="shared" ref="BG243:BG306" si="312">$AN$2*Q243+(1-$AN$2)*BG242</f>
        <v>2.4720424312658462E-5</v>
      </c>
      <c r="BH243" s="44">
        <f t="shared" ref="BH243:BH306" si="313">$AN$2*R243+(1-$AN$2)*BH242</f>
        <v>2.533583458650283E-5</v>
      </c>
      <c r="BI243" s="44">
        <f t="shared" ref="BI243:BI306" si="314">$AN$2*S243+(1-$AN$2)*BI242</f>
        <v>2.3403276960391564E-5</v>
      </c>
      <c r="BJ243" s="44">
        <f t="shared" ref="BJ243:BJ306" si="315">$AN$2*T243+(1-$AN$2)*BJ242</f>
        <v>2.4189508551125299E-5</v>
      </c>
      <c r="BK243" s="44">
        <f t="shared" ref="BK243:BK306" si="316">$AN$2*U243+(1-$AN$2)*BK242</f>
        <v>1.0387876876218232E-5</v>
      </c>
      <c r="BL243" s="44">
        <f t="shared" ref="BL243:BL306" si="317">$AN$2*V243+(1-$AN$2)*BL242</f>
        <v>5.6116945147079639E-6</v>
      </c>
      <c r="BM243" s="44">
        <f t="shared" ref="BM243:BM306" si="318">$AN$2*W243+(1-$AN$2)*BM242</f>
        <v>1.4275495539589466E-5</v>
      </c>
      <c r="BN243" s="44">
        <f t="shared" ref="BN243:BN306" si="319">$AN$2*X243+(1-$AN$2)*BN242</f>
        <v>1.4847627927358664E-5</v>
      </c>
      <c r="BO243" s="44">
        <f t="shared" ref="BO243:BO306" si="320">$AN$2*Y243+(1-$AN$2)*BO242</f>
        <v>6.9581618495747031E-6</v>
      </c>
      <c r="BP243" s="44">
        <f t="shared" ref="BP243:BP306" si="321">$AN$2*Z243+(1-$AN$2)*BP242</f>
        <v>2.3396664189968267E-5</v>
      </c>
      <c r="BQ243" s="44">
        <f t="shared" ref="BQ243:BQ306" si="322">$AN$2*AA243+(1-$AN$2)*BQ242</f>
        <v>6.3137911527204681E-6</v>
      </c>
      <c r="BR243" s="44">
        <f t="shared" ref="BR243:BR306" si="323">$AN$2*AB243+(1-$AN$2)*BR242</f>
        <v>1.8652519572349158E-5</v>
      </c>
      <c r="BS243" s="44">
        <f t="shared" ref="BS243:BS306" si="324">$AN$2*AC243+(1-$AN$2)*BS242</f>
        <v>1.0059551326426032E-5</v>
      </c>
      <c r="BT243" s="44">
        <f t="shared" ref="BT243:BT306" si="325">$AN$2*AD243+(1-$AN$2)*BT242</f>
        <v>3.9808728620179513E-5</v>
      </c>
      <c r="BU243" s="44">
        <f t="shared" ref="BU243:BU306" si="326">$AN$2*AE243+(1-$AN$2)*BU242</f>
        <v>3.8029314736546319E-5</v>
      </c>
      <c r="BV243" s="44">
        <f t="shared" ref="BV243:BV306" si="327">$AN$2*AF243+(1-$AN$2)*BV242</f>
        <v>3.65220957007101E-5</v>
      </c>
      <c r="BW243" s="44">
        <f t="shared" ref="BW243:BW306" si="328">$AN$2*AG243+(1-$AN$2)*BW242</f>
        <v>2.3887460414428608E-5</v>
      </c>
      <c r="BX243" s="44">
        <f t="shared" ref="BX243:BX306" si="329">$AN$2*AH243+(1-$AN$2)*BX242</f>
        <v>1.7647621975759286E-5</v>
      </c>
      <c r="BY243" s="44">
        <f t="shared" ref="BY243:BY306" si="330">$AN$2*AI243+(1-$AN$2)*BY242</f>
        <v>1.5152511830019982E-5</v>
      </c>
      <c r="CA243" s="44" t="str">
        <f t="shared" ref="CA243:CA306" si="331">IF($A243="","",BF243/SUM($BF243:$BY243)/CA$2-1)</f>
        <v/>
      </c>
      <c r="CB243" s="44" t="str">
        <f t="shared" ref="CB243:CB306" si="332">IF($A243="","",BG243/SUM($BF243:$BY243)/CB$2-1)</f>
        <v/>
      </c>
      <c r="CC243" s="44" t="str">
        <f t="shared" ref="CC243:CC306" si="333">IF($A243="","",BH243/SUM($BF243:$BY243)/CC$2-1)</f>
        <v/>
      </c>
      <c r="CD243" s="44" t="str">
        <f t="shared" ref="CD243:CD306" si="334">IF($A243="","",BI243/SUM($BF243:$BY243)/CD$2-1)</f>
        <v/>
      </c>
      <c r="CE243" s="44" t="str">
        <f t="shared" ref="CE243:CE306" si="335">IF($A243="","",BJ243/SUM($BF243:$BY243)/CE$2-1)</f>
        <v/>
      </c>
      <c r="CF243" s="44" t="str">
        <f t="shared" ref="CF243:CF306" si="336">IF($A243="","",BK243/SUM($BF243:$BY243)/CF$2-1)</f>
        <v/>
      </c>
      <c r="CG243" s="44" t="str">
        <f t="shared" ref="CG243:CG306" si="337">IF($A243="","",BL243/SUM($BF243:$BY243)/CG$2-1)</f>
        <v/>
      </c>
      <c r="CH243" s="44" t="str">
        <f t="shared" ref="CH243:CH306" si="338">IF($A243="","",BM243/SUM($BF243:$BY243)/CH$2-1)</f>
        <v/>
      </c>
      <c r="CI243" s="44" t="str">
        <f t="shared" ref="CI243:CI306" si="339">IF($A243="","",BN243/SUM($BF243:$BY243)/CI$2-1)</f>
        <v/>
      </c>
      <c r="CJ243" s="44" t="str">
        <f t="shared" ref="CJ243:CJ306" si="340">IF($A243="","",BO243/SUM($BF243:$BY243)/CJ$2-1)</f>
        <v/>
      </c>
      <c r="CK243" s="44" t="str">
        <f t="shared" ref="CK243:CK306" si="341">IF($A243="","",BP243/SUM($BF243:$BY243)/CK$2-1)</f>
        <v/>
      </c>
      <c r="CL243" s="44" t="str">
        <f t="shared" ref="CL243:CL306" si="342">IF($A243="","",BQ243/SUM($BF243:$BY243)/CL$2-1)</f>
        <v/>
      </c>
      <c r="CM243" s="44" t="str">
        <f t="shared" ref="CM243:CM306" si="343">IF($A243="","",BR243/SUM($BF243:$BY243)/CM$2-1)</f>
        <v/>
      </c>
      <c r="CN243" s="44" t="str">
        <f t="shared" ref="CN243:CN306" si="344">IF($A243="","",BS243/SUM($BF243:$BY243)/CN$2-1)</f>
        <v/>
      </c>
      <c r="CO243" s="44" t="str">
        <f t="shared" ref="CO243:CO306" si="345">IF($A243="","",BT243/SUM($BF243:$BY243)/CO$2-1)</f>
        <v/>
      </c>
      <c r="CP243" s="44" t="str">
        <f t="shared" ref="CP243:CP306" si="346">IF($A243="","",BU243/SUM($BF243:$BY243)/CP$2-1)</f>
        <v/>
      </c>
      <c r="CQ243" s="44" t="str">
        <f t="shared" ref="CQ243:CQ306" si="347">IF($A243="","",BV243/SUM($BF243:$BY243)/CQ$2-1)</f>
        <v/>
      </c>
      <c r="CR243" s="44" t="str">
        <f t="shared" ref="CR243:CR306" si="348">IF($A243="","",BW243/SUM($BF243:$BY243)/CR$2-1)</f>
        <v/>
      </c>
      <c r="CS243" s="44" t="str">
        <f t="shared" ref="CS243:CS306" si="349">IF($A243="","",BX243/SUM($BF243:$BY243)/CS$2-1)</f>
        <v/>
      </c>
      <c r="CT243" s="44" t="str">
        <f t="shared" ref="CT243:CT306" si="350">IF($A243="","",BY243/SUM($BF243:$BY243)/CT$2-1)</f>
        <v/>
      </c>
      <c r="CV243" s="44">
        <f t="shared" ref="CV243:CV306" si="351">SQRT(SUMPRODUCT(CA243:CT243,CA243:CT243)/20)</f>
        <v>0</v>
      </c>
    </row>
    <row r="244" spans="1:100" x14ac:dyDescent="0.25">
      <c r="A244" s="41"/>
      <c r="B244" s="42"/>
      <c r="C244" s="43" t="str" cm="1">
        <f t="array" ref="C244">IF(B244="","",INDEX(UWS!$B$10:$B$41,B244))</f>
        <v/>
      </c>
      <c r="D244" s="40" t="str">
        <f t="shared" si="308"/>
        <v/>
      </c>
      <c r="E244" s="69" t="str">
        <f t="shared" si="309"/>
        <v/>
      </c>
      <c r="F244" s="48" cm="1">
        <f t="array" ref="F244">0.1+IFERROR(INDEX($F$5:$F243,SUMPRODUCT(MAX(ROW($C$5:$C243)*($C244=$C$5:$C243))-ROW($A$4)))*0.9^($A244-INDEX($A$5:A243,SUMPRODUCT(MAX(ROW($C$5:$C243)*($C244=$C$5:$C243))-ROW($A$4)))),0)</f>
        <v>17.899999999999984</v>
      </c>
      <c r="G244" s="55" t="e">
        <f>INDEX(UWS!$AB$10:$AB$41,MATCH(C244,UWS!$B$10:$B$41,0))</f>
        <v>#N/A</v>
      </c>
      <c r="H244" s="48" t="e">
        <f>INDEX(UWS!$C$10:$C$41,MATCH(C244,UWS!$B$10:$B$41,0))</f>
        <v>#N/A</v>
      </c>
      <c r="I244" s="27">
        <f t="shared" si="310"/>
        <v>5</v>
      </c>
      <c r="J244" s="27" t="e">
        <f>INDEX(UWS!$E$10:$E$41,MATCH(C244,UWS!$B$10:$B$41,0))</f>
        <v>#N/A</v>
      </c>
      <c r="L244" s="108" t="str" cm="1">
        <f t="array" ref="L244">IF(K244="","",INDEX(UWS!$B$10:$B$41,K244))</f>
        <v/>
      </c>
      <c r="N244" s="108" t="str" cm="1">
        <f t="array" ref="N244">IF(M244="","",INDEX(UWS!$B$10:$B$41,M244))</f>
        <v/>
      </c>
      <c r="P244">
        <f>IFERROR(INDEX(UWS!$G$10:$Z$41,MATCH($C244,UWS!$B$10:$B$41,0),MATCH(P$4,UWS!$G$3:$Z$3,0)),0)</f>
        <v>0</v>
      </c>
      <c r="Q244">
        <f>IFERROR(INDEX(UWS!$G$10:$Z$41,MATCH($C244,UWS!$B$10:$B$41,0),MATCH(Q$4,UWS!$G$3:$Z$3,0)),0)</f>
        <v>0</v>
      </c>
      <c r="R244">
        <f>IFERROR(INDEX(UWS!$G$10:$Z$41,MATCH($C244,UWS!$B$10:$B$41,0),MATCH(R$4,UWS!$G$3:$Z$3,0)),0)</f>
        <v>0</v>
      </c>
      <c r="S244">
        <f>IFERROR(INDEX(UWS!$G$10:$Z$41,MATCH($C244,UWS!$B$10:$B$41,0),MATCH(S$4,UWS!$G$3:$Z$3,0)),0)</f>
        <v>0</v>
      </c>
      <c r="T244">
        <f>IFERROR(INDEX(UWS!$G$10:$Z$41,MATCH($C244,UWS!$B$10:$B$41,0),MATCH(T$4,UWS!$G$3:$Z$3,0)),0)</f>
        <v>0</v>
      </c>
      <c r="U244">
        <f>IFERROR(INDEX(UWS!$G$10:$Z$41,MATCH($C244,UWS!$B$10:$B$41,0),MATCH(U$4,UWS!$G$3:$Z$3,0)),0)</f>
        <v>0</v>
      </c>
      <c r="V244">
        <f>IFERROR(INDEX(UWS!$G$10:$Z$41,MATCH($C244,UWS!$B$10:$B$41,0),MATCH(V$4,UWS!$G$3:$Z$3,0)),0)</f>
        <v>0</v>
      </c>
      <c r="W244">
        <f>IFERROR(INDEX(UWS!$G$10:$Z$41,MATCH($C244,UWS!$B$10:$B$41,0),MATCH(W$4,UWS!$G$3:$Z$3,0)),0)</f>
        <v>0</v>
      </c>
      <c r="X244">
        <f>IFERROR(INDEX(UWS!$G$10:$Z$41,MATCH($C244,UWS!$B$10:$B$41,0),MATCH(X$4,UWS!$G$3:$Z$3,0)),0)</f>
        <v>0</v>
      </c>
      <c r="Y244">
        <f>IFERROR(INDEX(UWS!$G$10:$Z$41,MATCH($C244,UWS!$B$10:$B$41,0),MATCH(Y$4,UWS!$G$3:$Z$3,0)),0)</f>
        <v>0</v>
      </c>
      <c r="Z244">
        <f>IFERROR(INDEX(UWS!$G$10:$Z$41,MATCH($C244,UWS!$B$10:$B$41,0),MATCH(Z$4,UWS!$G$3:$Z$3,0)),0)</f>
        <v>0</v>
      </c>
      <c r="AA244">
        <f>IFERROR(INDEX(UWS!$G$10:$Z$41,MATCH($C244,UWS!$B$10:$B$41,0),MATCH(AA$4,UWS!$G$3:$Z$3,0)),0)</f>
        <v>0</v>
      </c>
      <c r="AB244">
        <f>IFERROR(INDEX(UWS!$G$10:$Z$41,MATCH($C244,UWS!$B$10:$B$41,0),MATCH(AB$4,UWS!$G$3:$Z$3,0)),0)</f>
        <v>0</v>
      </c>
      <c r="AC244">
        <f>IFERROR(INDEX(UWS!$G$10:$Z$41,MATCH($C244,UWS!$B$10:$B$41,0),MATCH(AC$4,UWS!$G$3:$Z$3,0)),0)</f>
        <v>0</v>
      </c>
      <c r="AD244">
        <f>IFERROR(INDEX(UWS!$G$10:$Z$41,MATCH($C244,UWS!$B$10:$B$41,0),MATCH(AD$4,UWS!$G$3:$Z$3,0)),0)</f>
        <v>0</v>
      </c>
      <c r="AE244">
        <f>IFERROR(INDEX(UWS!$G$10:$Z$41,MATCH($C244,UWS!$B$10:$B$41,0),MATCH(AE$4,UWS!$G$3:$Z$3,0)),0)</f>
        <v>0</v>
      </c>
      <c r="AF244">
        <f>IFERROR(INDEX(UWS!$G$10:$Z$41,MATCH($C244,UWS!$B$10:$B$41,0),MATCH(AF$4,UWS!$G$3:$Z$3,0)),0)</f>
        <v>0</v>
      </c>
      <c r="AG244">
        <f>IFERROR(INDEX(UWS!$G$10:$Z$41,MATCH($C244,UWS!$B$10:$B$41,0),MATCH(AG$4,UWS!$G$3:$Z$3,0)),0)</f>
        <v>0</v>
      </c>
      <c r="AH244">
        <f>IFERROR(INDEX(UWS!$G$10:$Z$41,MATCH($C244,UWS!$B$10:$B$41,0),MATCH(AH$4,UWS!$G$3:$Z$3,0)),0)</f>
        <v>0</v>
      </c>
      <c r="AI244">
        <f>IFERROR(INDEX(UWS!$G$10:$Z$41,MATCH($C244,UWS!$B$10:$B$41,0),MATCH(AI$4,UWS!$G$3:$Z$3,0)),0)</f>
        <v>0</v>
      </c>
      <c r="AK244" t="e">
        <f>IF(OR($J244=0,COUNTIFS($A$4:$A243,"&gt;="&amp;$A244-1,$A$4:$A243,"&lt;="&amp;$A244,$B$4:$B243,$B244)&gt;0,MIN(AK$1,IF($A244=$A243,AK243,1))-P244&lt;0),-1,MIN(1,IF($A244=$A243,AK243,1)-P244+$D$3))</f>
        <v>#N/A</v>
      </c>
      <c r="AL244" t="e">
        <f>IF(OR($J244=0,COUNTIFS($A$4:$A243,"&gt;="&amp;$A244-1,$A$4:$A243,"&lt;="&amp;$A244,$B$4:$B243,$B244)&gt;0,MIN(AL$1,IF($A244=$A243,AL243,1))-Q244&lt;0),-1,MIN(1,IF($A244=$A243,AL243,1)-Q244+$D$3))</f>
        <v>#N/A</v>
      </c>
      <c r="AM244" t="e">
        <f>IF(OR($J244=0,COUNTIFS($A$4:$A243,"&gt;="&amp;$A244-1,$A$4:$A243,"&lt;="&amp;$A244,$B$4:$B243,$B244)&gt;0,MIN(AM$1,IF($A244=$A243,AM243,1))-R244&lt;0),-1,MIN(1,IF($A244=$A243,AM243,1)-R244+$D$3))</f>
        <v>#N/A</v>
      </c>
      <c r="AN244" t="e">
        <f>IF(OR($J244=0,COUNTIFS($A$4:$A243,"&gt;="&amp;$A244-1,$A$4:$A243,"&lt;="&amp;$A244,$B$4:$B243,$B244)&gt;0,MIN(AN$1,IF($A244=$A243,AN243,1))-S244&lt;0),-1,MIN(1,IF($A244=$A243,AN243,1)-S244+$D$3))</f>
        <v>#N/A</v>
      </c>
      <c r="AO244" t="e">
        <f>IF(OR($J244=0,COUNTIFS($A$4:$A243,"&gt;="&amp;$A244-1,$A$4:$A243,"&lt;="&amp;$A244,$B$4:$B243,$B244)&gt;0,MIN(AO$1,IF($A244=$A243,AO243,1))-T244&lt;0),-1,MIN(1,IF($A244=$A243,AO243,1)-T244+$D$3))</f>
        <v>#N/A</v>
      </c>
      <c r="AP244" t="e">
        <f>IF(OR($J244=0,COUNTIFS($A$4:$A243,"&gt;="&amp;$A244-1,$A$4:$A243,"&lt;="&amp;$A244,$B$4:$B243,$B244)&gt;0,MIN(AP$1,IF($A244=$A243,AP243,1))-U244&lt;0),-1,MIN(1,IF($A244=$A243,AP243,1)-U244+$D$3))</f>
        <v>#N/A</v>
      </c>
      <c r="AQ244" t="e">
        <f>IF(OR($J244=0,COUNTIFS($A$4:$A243,"&gt;="&amp;$A244-1,$A$4:$A243,"&lt;="&amp;$A244,$B$4:$B243,$B244)&gt;0,MIN(AQ$1,IF($A244=$A243,AQ243,1))-V244&lt;0),-1,MIN(1,IF($A244=$A243,AQ243,1)-V244+$D$3))</f>
        <v>#N/A</v>
      </c>
      <c r="AR244" t="e">
        <f>IF(OR($J244=0,COUNTIFS($A$4:$A243,"&gt;="&amp;$A244-1,$A$4:$A243,"&lt;="&amp;$A244,$B$4:$B243,$B244)&gt;0,MIN(AR$1,IF($A244=$A243,AR243,1))-W244&lt;0),-1,MIN(1,IF($A244=$A243,AR243,1)-W244+$D$3))</f>
        <v>#N/A</v>
      </c>
      <c r="AS244" t="e">
        <f>IF(OR($J244=0,COUNTIFS($A$4:$A243,"&gt;="&amp;$A244-1,$A$4:$A243,"&lt;="&amp;$A244,$B$4:$B243,$B244)&gt;0,MIN(AS$1,IF($A244=$A243,AS243,1))-X244&lt;0),-1,MIN(1,IF($A244=$A243,AS243,1)-X244+$D$3))</f>
        <v>#N/A</v>
      </c>
      <c r="AT244" t="e">
        <f>IF(OR($J244=0,COUNTIFS($A$4:$A243,"&gt;="&amp;$A244-1,$A$4:$A243,"&lt;="&amp;$A244,$B$4:$B243,$B244)&gt;0,MIN(AT$1,IF($A244=$A243,AT243,1))-Y244&lt;0),-1,MIN(1,IF($A244=$A243,AT243,1)-Y244+$D$3))</f>
        <v>#N/A</v>
      </c>
      <c r="AU244" t="e">
        <f>IF(OR($J244=0,COUNTIFS($A$4:$A243,"&gt;="&amp;$A244-1,$A$4:$A243,"&lt;="&amp;$A244,$B$4:$B243,$B244)&gt;0,MIN(AU$1,IF($A244=$A243,AU243,1))-Z244&lt;0),-1,MIN(1,IF($A244=$A243,AU243,1)-Z244+$D$3))</f>
        <v>#N/A</v>
      </c>
      <c r="AV244" t="e">
        <f>IF(OR($J244=0,COUNTIFS($A$4:$A243,"&gt;="&amp;$A244-1,$A$4:$A243,"&lt;="&amp;$A244,$B$4:$B243,$B244)&gt;0,MIN(AV$1,IF($A244=$A243,AV243,1))-AA244&lt;0),-1,MIN(1,IF($A244=$A243,AV243,1)-AA244+$D$3))</f>
        <v>#N/A</v>
      </c>
      <c r="AW244" t="e">
        <f>IF(OR($J244=0,COUNTIFS($A$4:$A243,"&gt;="&amp;$A244-1,$A$4:$A243,"&lt;="&amp;$A244,$B$4:$B243,$B244)&gt;0,MIN(AW$1,IF($A244=$A243,AW243,1))-AB244&lt;0),-1,MIN(1,IF($A244=$A243,AW243,1)-AB244+$D$3))</f>
        <v>#N/A</v>
      </c>
      <c r="AX244" t="e">
        <f>IF(OR($J244=0,COUNTIFS($A$4:$A243,"&gt;="&amp;$A244-1,$A$4:$A243,"&lt;="&amp;$A244,$B$4:$B243,$B244)&gt;0,MIN(AX$1,IF($A244=$A243,AX243,1))-AC244&lt;0),-1,MIN(1,IF($A244=$A243,AX243,1)-AC244+$D$3))</f>
        <v>#N/A</v>
      </c>
      <c r="AY244" t="e">
        <f>IF(OR($J244=0,COUNTIFS($A$4:$A243,"&gt;="&amp;$A244-1,$A$4:$A243,"&lt;="&amp;$A244,$B$4:$B243,$B244)&gt;0,MIN(AY$1,IF($A244=$A243,AY243,1))-AD244&lt;0),-1,MIN(1,IF($A244=$A243,AY243,1)-AD244+$D$3))</f>
        <v>#N/A</v>
      </c>
      <c r="AZ244" t="e">
        <f>IF(OR($J244=0,COUNTIFS($A$4:$A243,"&gt;="&amp;$A244-1,$A$4:$A243,"&lt;="&amp;$A244,$B$4:$B243,$B244)&gt;0,MIN(AZ$1,IF($A244=$A243,AZ243,1))-AE244&lt;0),-1,MIN(1,IF($A244=$A243,AZ243,1)-AE244+$D$3))</f>
        <v>#N/A</v>
      </c>
      <c r="BA244" t="e">
        <f>IF(OR($J244=0,COUNTIFS($A$4:$A243,"&gt;="&amp;$A244-1,$A$4:$A243,"&lt;="&amp;$A244,$B$4:$B243,$B244)&gt;0,MIN(BA$1,IF($A244=$A243,BA243,1))-AF244&lt;0),-1,MIN(1,IF($A244=$A243,BA243,1)-AF244+$D$3))</f>
        <v>#N/A</v>
      </c>
      <c r="BB244" t="e">
        <f>IF(OR($J244=0,COUNTIFS($A$4:$A243,"&gt;="&amp;$A244-1,$A$4:$A243,"&lt;="&amp;$A244,$B$4:$B243,$B244)&gt;0,MIN(BB$1,IF($A244=$A243,BB243,1))-AG244&lt;0),-1,MIN(1,IF($A244=$A243,BB243,1)-AG244+$D$3))</f>
        <v>#N/A</v>
      </c>
      <c r="BC244" t="e">
        <f>IF(OR($J244=0,COUNTIFS($A$4:$A243,"&gt;="&amp;$A244-1,$A$4:$A243,"&lt;="&amp;$A244,$B$4:$B243,$B244)&gt;0,MIN(BC$1,IF($A244=$A243,BC243,1))-AH244&lt;0),-1,MIN(1,IF($A244=$A243,BC243,1)-AH244+$D$3))</f>
        <v>#N/A</v>
      </c>
      <c r="BD244" t="e">
        <f>IF(OR($J244=0,COUNTIFS($A$4:$A243,"&gt;="&amp;$A244-1,$A$4:$A243,"&lt;="&amp;$A244,$B$4:$B243,$B244)&gt;0,MIN(BD$1,IF($A244=$A243,BD243,1))-AI244&lt;0),-1,MIN(1,IF($A244=$A243,BD243,1)-AI244+$D$3))</f>
        <v>#N/A</v>
      </c>
      <c r="BF244" s="44">
        <f t="shared" si="311"/>
        <v>9.5492917713818773E-6</v>
      </c>
      <c r="BG244" s="44">
        <f t="shared" si="312"/>
        <v>2.3484403097025537E-5</v>
      </c>
      <c r="BH244" s="44">
        <f t="shared" si="313"/>
        <v>2.4069042857177686E-5</v>
      </c>
      <c r="BI244" s="44">
        <f t="shared" si="314"/>
        <v>2.2233113112371986E-5</v>
      </c>
      <c r="BJ244" s="44">
        <f t="shared" si="315"/>
        <v>2.2980033123569033E-5</v>
      </c>
      <c r="BK244" s="44">
        <f t="shared" si="316"/>
        <v>9.8684830324073203E-6</v>
      </c>
      <c r="BL244" s="44">
        <f t="shared" si="317"/>
        <v>5.3311097889725658E-6</v>
      </c>
      <c r="BM244" s="44">
        <f t="shared" si="318"/>
        <v>1.3561720762609992E-5</v>
      </c>
      <c r="BN244" s="44">
        <f t="shared" si="319"/>
        <v>1.410524653099073E-5</v>
      </c>
      <c r="BO244" s="44">
        <f t="shared" si="320"/>
        <v>6.6102537570959679E-6</v>
      </c>
      <c r="BP244" s="44">
        <f t="shared" si="321"/>
        <v>2.2226830980469853E-5</v>
      </c>
      <c r="BQ244" s="44">
        <f t="shared" si="322"/>
        <v>5.9981015950844443E-6</v>
      </c>
      <c r="BR244" s="44">
        <f t="shared" si="323"/>
        <v>1.7719893593731699E-5</v>
      </c>
      <c r="BS244" s="44">
        <f t="shared" si="324"/>
        <v>9.5565737601047295E-6</v>
      </c>
      <c r="BT244" s="44">
        <f t="shared" si="325"/>
        <v>3.7818292189170533E-5</v>
      </c>
      <c r="BU244" s="44">
        <f t="shared" si="326"/>
        <v>3.6127848999718999E-5</v>
      </c>
      <c r="BV244" s="44">
        <f t="shared" si="327"/>
        <v>3.4695990915674594E-5</v>
      </c>
      <c r="BW244" s="44">
        <f t="shared" si="328"/>
        <v>2.2693087393707178E-5</v>
      </c>
      <c r="BX244" s="44">
        <f t="shared" si="329"/>
        <v>1.6765240876971323E-5</v>
      </c>
      <c r="BY244" s="44">
        <f t="shared" si="330"/>
        <v>1.4394886238518982E-5</v>
      </c>
      <c r="CA244" s="44" t="str">
        <f t="shared" si="331"/>
        <v/>
      </c>
      <c r="CB244" s="44" t="str">
        <f t="shared" si="332"/>
        <v/>
      </c>
      <c r="CC244" s="44" t="str">
        <f t="shared" si="333"/>
        <v/>
      </c>
      <c r="CD244" s="44" t="str">
        <f t="shared" si="334"/>
        <v/>
      </c>
      <c r="CE244" s="44" t="str">
        <f t="shared" si="335"/>
        <v/>
      </c>
      <c r="CF244" s="44" t="str">
        <f t="shared" si="336"/>
        <v/>
      </c>
      <c r="CG244" s="44" t="str">
        <f t="shared" si="337"/>
        <v/>
      </c>
      <c r="CH244" s="44" t="str">
        <f t="shared" si="338"/>
        <v/>
      </c>
      <c r="CI244" s="44" t="str">
        <f t="shared" si="339"/>
        <v/>
      </c>
      <c r="CJ244" s="44" t="str">
        <f t="shared" si="340"/>
        <v/>
      </c>
      <c r="CK244" s="44" t="str">
        <f t="shared" si="341"/>
        <v/>
      </c>
      <c r="CL244" s="44" t="str">
        <f t="shared" si="342"/>
        <v/>
      </c>
      <c r="CM244" s="44" t="str">
        <f t="shared" si="343"/>
        <v/>
      </c>
      <c r="CN244" s="44" t="str">
        <f t="shared" si="344"/>
        <v/>
      </c>
      <c r="CO244" s="44" t="str">
        <f t="shared" si="345"/>
        <v/>
      </c>
      <c r="CP244" s="44" t="str">
        <f t="shared" si="346"/>
        <v/>
      </c>
      <c r="CQ244" s="44" t="str">
        <f t="shared" si="347"/>
        <v/>
      </c>
      <c r="CR244" s="44" t="str">
        <f t="shared" si="348"/>
        <v/>
      </c>
      <c r="CS244" s="44" t="str">
        <f t="shared" si="349"/>
        <v/>
      </c>
      <c r="CT244" s="44" t="str">
        <f t="shared" si="350"/>
        <v/>
      </c>
      <c r="CV244" s="44">
        <f t="shared" si="351"/>
        <v>0</v>
      </c>
    </row>
    <row r="245" spans="1:100" x14ac:dyDescent="0.25">
      <c r="A245" s="49"/>
      <c r="B245" s="50"/>
      <c r="C245" s="51" t="str" cm="1">
        <f t="array" ref="C245">IF(B245="","",INDEX(UWS!$B$10:$B$41,B245))</f>
        <v/>
      </c>
      <c r="D245" s="45" t="str">
        <f t="shared" si="308"/>
        <v/>
      </c>
      <c r="E245" s="70" t="str">
        <f t="shared" si="309"/>
        <v/>
      </c>
      <c r="F245" s="52" cm="1">
        <f t="array" ref="F245">0.1+IFERROR(INDEX($F$5:$F244,SUMPRODUCT(MAX(ROW($C$5:$C244)*($C245=$C$5:$C244))-ROW($A$4)))*0.9^($A245-INDEX($A$5:A244,SUMPRODUCT(MAX(ROW($C$5:$C244)*($C245=$C$5:$C244))-ROW($A$4)))),0)</f>
        <v>17.999999999999986</v>
      </c>
      <c r="G245" s="56" t="e">
        <f>INDEX(UWS!$AB$10:$AB$41,MATCH(C245,UWS!$B$10:$B$41,0))</f>
        <v>#N/A</v>
      </c>
      <c r="H245" s="52" t="e">
        <f>INDEX(UWS!$C$10:$C$41,MATCH(C245,UWS!$B$10:$B$41,0))</f>
        <v>#N/A</v>
      </c>
      <c r="I245" s="46">
        <f t="shared" si="310"/>
        <v>5</v>
      </c>
      <c r="J245" s="46" t="e">
        <f>INDEX(UWS!$E$10:$E$41,MATCH(C245,UWS!$B$10:$B$41,0))</f>
        <v>#N/A</v>
      </c>
      <c r="K245" s="46"/>
      <c r="L245" s="109" t="str" cm="1">
        <f t="array" ref="L245">IF(K245="","",INDEX(UWS!$B$10:$B$41,K245))</f>
        <v/>
      </c>
      <c r="M245" s="46"/>
      <c r="N245" s="109" t="str" cm="1">
        <f t="array" ref="N245">IF(M245="","",INDEX(UWS!$B$10:$B$41,M245))</f>
        <v/>
      </c>
      <c r="O245" s="47"/>
      <c r="P245" s="47">
        <f>IFERROR(INDEX(UWS!$G$10:$Z$41,MATCH($C245,UWS!$B$10:$B$41,0),MATCH(P$4,UWS!$G$3:$Z$3,0)),0)</f>
        <v>0</v>
      </c>
      <c r="Q245" s="47">
        <f>IFERROR(INDEX(UWS!$G$10:$Z$41,MATCH($C245,UWS!$B$10:$B$41,0),MATCH(Q$4,UWS!$G$3:$Z$3,0)),0)</f>
        <v>0</v>
      </c>
      <c r="R245" s="47">
        <f>IFERROR(INDEX(UWS!$G$10:$Z$41,MATCH($C245,UWS!$B$10:$B$41,0),MATCH(R$4,UWS!$G$3:$Z$3,0)),0)</f>
        <v>0</v>
      </c>
      <c r="S245" s="47">
        <f>IFERROR(INDEX(UWS!$G$10:$Z$41,MATCH($C245,UWS!$B$10:$B$41,0),MATCH(S$4,UWS!$G$3:$Z$3,0)),0)</f>
        <v>0</v>
      </c>
      <c r="T245" s="47">
        <f>IFERROR(INDEX(UWS!$G$10:$Z$41,MATCH($C245,UWS!$B$10:$B$41,0),MATCH(T$4,UWS!$G$3:$Z$3,0)),0)</f>
        <v>0</v>
      </c>
      <c r="U245" s="47">
        <f>IFERROR(INDEX(UWS!$G$10:$Z$41,MATCH($C245,UWS!$B$10:$B$41,0),MATCH(U$4,UWS!$G$3:$Z$3,0)),0)</f>
        <v>0</v>
      </c>
      <c r="V245" s="47">
        <f>IFERROR(INDEX(UWS!$G$10:$Z$41,MATCH($C245,UWS!$B$10:$B$41,0),MATCH(V$4,UWS!$G$3:$Z$3,0)),0)</f>
        <v>0</v>
      </c>
      <c r="W245" s="47">
        <f>IFERROR(INDEX(UWS!$G$10:$Z$41,MATCH($C245,UWS!$B$10:$B$41,0),MATCH(W$4,UWS!$G$3:$Z$3,0)),0)</f>
        <v>0</v>
      </c>
      <c r="X245" s="47">
        <f>IFERROR(INDEX(UWS!$G$10:$Z$41,MATCH($C245,UWS!$B$10:$B$41,0),MATCH(X$4,UWS!$G$3:$Z$3,0)),0)</f>
        <v>0</v>
      </c>
      <c r="Y245" s="47">
        <f>IFERROR(INDEX(UWS!$G$10:$Z$41,MATCH($C245,UWS!$B$10:$B$41,0),MATCH(Y$4,UWS!$G$3:$Z$3,0)),0)</f>
        <v>0</v>
      </c>
      <c r="Z245" s="47">
        <f>IFERROR(INDEX(UWS!$G$10:$Z$41,MATCH($C245,UWS!$B$10:$B$41,0),MATCH(Z$4,UWS!$G$3:$Z$3,0)),0)</f>
        <v>0</v>
      </c>
      <c r="AA245" s="47">
        <f>IFERROR(INDEX(UWS!$G$10:$Z$41,MATCH($C245,UWS!$B$10:$B$41,0),MATCH(AA$4,UWS!$G$3:$Z$3,0)),0)</f>
        <v>0</v>
      </c>
      <c r="AB245" s="47">
        <f>IFERROR(INDEX(UWS!$G$10:$Z$41,MATCH($C245,UWS!$B$10:$B$41,0),MATCH(AB$4,UWS!$G$3:$Z$3,0)),0)</f>
        <v>0</v>
      </c>
      <c r="AC245" s="47">
        <f>IFERROR(INDEX(UWS!$G$10:$Z$41,MATCH($C245,UWS!$B$10:$B$41,0),MATCH(AC$4,UWS!$G$3:$Z$3,0)),0)</f>
        <v>0</v>
      </c>
      <c r="AD245" s="47">
        <f>IFERROR(INDEX(UWS!$G$10:$Z$41,MATCH($C245,UWS!$B$10:$B$41,0),MATCH(AD$4,UWS!$G$3:$Z$3,0)),0)</f>
        <v>0</v>
      </c>
      <c r="AE245" s="47">
        <f>IFERROR(INDEX(UWS!$G$10:$Z$41,MATCH($C245,UWS!$B$10:$B$41,0),MATCH(AE$4,UWS!$G$3:$Z$3,0)),0)</f>
        <v>0</v>
      </c>
      <c r="AF245" s="47">
        <f>IFERROR(INDEX(UWS!$G$10:$Z$41,MATCH($C245,UWS!$B$10:$B$41,0),MATCH(AF$4,UWS!$G$3:$Z$3,0)),0)</f>
        <v>0</v>
      </c>
      <c r="AG245" s="47">
        <f>IFERROR(INDEX(UWS!$G$10:$Z$41,MATCH($C245,UWS!$B$10:$B$41,0),MATCH(AG$4,UWS!$G$3:$Z$3,0)),0)</f>
        <v>0</v>
      </c>
      <c r="AH245" s="47">
        <f>IFERROR(INDEX(UWS!$G$10:$Z$41,MATCH($C245,UWS!$B$10:$B$41,0),MATCH(AH$4,UWS!$G$3:$Z$3,0)),0)</f>
        <v>0</v>
      </c>
      <c r="AI245" s="47">
        <f>IFERROR(INDEX(UWS!$G$10:$Z$41,MATCH($C245,UWS!$B$10:$B$41,0),MATCH(AI$4,UWS!$G$3:$Z$3,0)),0)</f>
        <v>0</v>
      </c>
      <c r="AJ245" s="47"/>
      <c r="AK245" s="47" t="e">
        <f>IF(OR($J245=0,COUNTIFS($A$4:$A244,"&gt;="&amp;$A245-1,$A$4:$A244,"&lt;="&amp;$A245,$B$4:$B244,$B245)&gt;0,MIN(AK$1,IF($A245=$A244,AK244,1))-P245&lt;0),-1,MIN(1,IF($A245=$A244,AK244,1)-P245+$D$3))</f>
        <v>#N/A</v>
      </c>
      <c r="AL245" s="47" t="e">
        <f>IF(OR($J245=0,COUNTIFS($A$4:$A244,"&gt;="&amp;$A245-1,$A$4:$A244,"&lt;="&amp;$A245,$B$4:$B244,$B245)&gt;0,MIN(AL$1,IF($A245=$A244,AL244,1))-Q245&lt;0),-1,MIN(1,IF($A245=$A244,AL244,1)-Q245+$D$3))</f>
        <v>#N/A</v>
      </c>
      <c r="AM245" s="47" t="e">
        <f>IF(OR($J245=0,COUNTIFS($A$4:$A244,"&gt;="&amp;$A245-1,$A$4:$A244,"&lt;="&amp;$A245,$B$4:$B244,$B245)&gt;0,MIN(AM$1,IF($A245=$A244,AM244,1))-R245&lt;0),-1,MIN(1,IF($A245=$A244,AM244,1)-R245+$D$3))</f>
        <v>#N/A</v>
      </c>
      <c r="AN245" s="47" t="e">
        <f>IF(OR($J245=0,COUNTIFS($A$4:$A244,"&gt;="&amp;$A245-1,$A$4:$A244,"&lt;="&amp;$A245,$B$4:$B244,$B245)&gt;0,MIN(AN$1,IF($A245=$A244,AN244,1))-S245&lt;0),-1,MIN(1,IF($A245=$A244,AN244,1)-S245+$D$3))</f>
        <v>#N/A</v>
      </c>
      <c r="AO245" s="47" t="e">
        <f>IF(OR($J245=0,COUNTIFS($A$4:$A244,"&gt;="&amp;$A245-1,$A$4:$A244,"&lt;="&amp;$A245,$B$4:$B244,$B245)&gt;0,MIN(AO$1,IF($A245=$A244,AO244,1))-T245&lt;0),-1,MIN(1,IF($A245=$A244,AO244,1)-T245+$D$3))</f>
        <v>#N/A</v>
      </c>
      <c r="AP245" s="47" t="e">
        <f>IF(OR($J245=0,COUNTIFS($A$4:$A244,"&gt;="&amp;$A245-1,$A$4:$A244,"&lt;="&amp;$A245,$B$4:$B244,$B245)&gt;0,MIN(AP$1,IF($A245=$A244,AP244,1))-U245&lt;0),-1,MIN(1,IF($A245=$A244,AP244,1)-U245+$D$3))</f>
        <v>#N/A</v>
      </c>
      <c r="AQ245" s="47" t="e">
        <f>IF(OR($J245=0,COUNTIFS($A$4:$A244,"&gt;="&amp;$A245-1,$A$4:$A244,"&lt;="&amp;$A245,$B$4:$B244,$B245)&gt;0,MIN(AQ$1,IF($A245=$A244,AQ244,1))-V245&lt;0),-1,MIN(1,IF($A245=$A244,AQ244,1)-V245+$D$3))</f>
        <v>#N/A</v>
      </c>
      <c r="AR245" s="47" t="e">
        <f>IF(OR($J245=0,COUNTIFS($A$4:$A244,"&gt;="&amp;$A245-1,$A$4:$A244,"&lt;="&amp;$A245,$B$4:$B244,$B245)&gt;0,MIN(AR$1,IF($A245=$A244,AR244,1))-W245&lt;0),-1,MIN(1,IF($A245=$A244,AR244,1)-W245+$D$3))</f>
        <v>#N/A</v>
      </c>
      <c r="AS245" s="47" t="e">
        <f>IF(OR($J245=0,COUNTIFS($A$4:$A244,"&gt;="&amp;$A245-1,$A$4:$A244,"&lt;="&amp;$A245,$B$4:$B244,$B245)&gt;0,MIN(AS$1,IF($A245=$A244,AS244,1))-X245&lt;0),-1,MIN(1,IF($A245=$A244,AS244,1)-X245+$D$3))</f>
        <v>#N/A</v>
      </c>
      <c r="AT245" s="47" t="e">
        <f>IF(OR($J245=0,COUNTIFS($A$4:$A244,"&gt;="&amp;$A245-1,$A$4:$A244,"&lt;="&amp;$A245,$B$4:$B244,$B245)&gt;0,MIN(AT$1,IF($A245=$A244,AT244,1))-Y245&lt;0),-1,MIN(1,IF($A245=$A244,AT244,1)-Y245+$D$3))</f>
        <v>#N/A</v>
      </c>
      <c r="AU245" s="47" t="e">
        <f>IF(OR($J245=0,COUNTIFS($A$4:$A244,"&gt;="&amp;$A245-1,$A$4:$A244,"&lt;="&amp;$A245,$B$4:$B244,$B245)&gt;0,MIN(AU$1,IF($A245=$A244,AU244,1))-Z245&lt;0),-1,MIN(1,IF($A245=$A244,AU244,1)-Z245+$D$3))</f>
        <v>#N/A</v>
      </c>
      <c r="AV245" s="47" t="e">
        <f>IF(OR($J245=0,COUNTIFS($A$4:$A244,"&gt;="&amp;$A245-1,$A$4:$A244,"&lt;="&amp;$A245,$B$4:$B244,$B245)&gt;0,MIN(AV$1,IF($A245=$A244,AV244,1))-AA245&lt;0),-1,MIN(1,IF($A245=$A244,AV244,1)-AA245+$D$3))</f>
        <v>#N/A</v>
      </c>
      <c r="AW245" s="47" t="e">
        <f>IF(OR($J245=0,COUNTIFS($A$4:$A244,"&gt;="&amp;$A245-1,$A$4:$A244,"&lt;="&amp;$A245,$B$4:$B244,$B245)&gt;0,MIN(AW$1,IF($A245=$A244,AW244,1))-AB245&lt;0),-1,MIN(1,IF($A245=$A244,AW244,1)-AB245+$D$3))</f>
        <v>#N/A</v>
      </c>
      <c r="AX245" s="47" t="e">
        <f>IF(OR($J245=0,COUNTIFS($A$4:$A244,"&gt;="&amp;$A245-1,$A$4:$A244,"&lt;="&amp;$A245,$B$4:$B244,$B245)&gt;0,MIN(AX$1,IF($A245=$A244,AX244,1))-AC245&lt;0),-1,MIN(1,IF($A245=$A244,AX244,1)-AC245+$D$3))</f>
        <v>#N/A</v>
      </c>
      <c r="AY245" s="47" t="e">
        <f>IF(OR($J245=0,COUNTIFS($A$4:$A244,"&gt;="&amp;$A245-1,$A$4:$A244,"&lt;="&amp;$A245,$B$4:$B244,$B245)&gt;0,MIN(AY$1,IF($A245=$A244,AY244,1))-AD245&lt;0),-1,MIN(1,IF($A245=$A244,AY244,1)-AD245+$D$3))</f>
        <v>#N/A</v>
      </c>
      <c r="AZ245" s="47" t="e">
        <f>IF(OR($J245=0,COUNTIFS($A$4:$A244,"&gt;="&amp;$A245-1,$A$4:$A244,"&lt;="&amp;$A245,$B$4:$B244,$B245)&gt;0,MIN(AZ$1,IF($A245=$A244,AZ244,1))-AE245&lt;0),-1,MIN(1,IF($A245=$A244,AZ244,1)-AE245+$D$3))</f>
        <v>#N/A</v>
      </c>
      <c r="BA245" s="47" t="e">
        <f>IF(OR($J245=0,COUNTIFS($A$4:$A244,"&gt;="&amp;$A245-1,$A$4:$A244,"&lt;="&amp;$A245,$B$4:$B244,$B245)&gt;0,MIN(BA$1,IF($A245=$A244,BA244,1))-AF245&lt;0),-1,MIN(1,IF($A245=$A244,BA244,1)-AF245+$D$3))</f>
        <v>#N/A</v>
      </c>
      <c r="BB245" s="47" t="e">
        <f>IF(OR($J245=0,COUNTIFS($A$4:$A244,"&gt;="&amp;$A245-1,$A$4:$A244,"&lt;="&amp;$A245,$B$4:$B244,$B245)&gt;0,MIN(BB$1,IF($A245=$A244,BB244,1))-AG245&lt;0),-1,MIN(1,IF($A245=$A244,BB244,1)-AG245+$D$3))</f>
        <v>#N/A</v>
      </c>
      <c r="BC245" s="47" t="e">
        <f>IF(OR($J245=0,COUNTIFS($A$4:$A244,"&gt;="&amp;$A245-1,$A$4:$A244,"&lt;="&amp;$A245,$B$4:$B244,$B245)&gt;0,MIN(BC$1,IF($A245=$A244,BC244,1))-AH245&lt;0),-1,MIN(1,IF($A245=$A244,BC244,1)-AH245+$D$3))</f>
        <v>#N/A</v>
      </c>
      <c r="BD245" s="47" t="e">
        <f>IF(OR($J245=0,COUNTIFS($A$4:$A244,"&gt;="&amp;$A245-1,$A$4:$A244,"&lt;="&amp;$A245,$B$4:$B244,$B245)&gt;0,MIN(BD$1,IF($A245=$A244,BD244,1))-AI245&lt;0),-1,MIN(1,IF($A245=$A244,BD244,1)-AI245+$D$3))</f>
        <v>#N/A</v>
      </c>
      <c r="BE245" s="47"/>
      <c r="BF245" s="53">
        <f t="shared" si="311"/>
        <v>9.0718271828127822E-6</v>
      </c>
      <c r="BG245" s="53">
        <f t="shared" si="312"/>
        <v>2.2310182942174259E-5</v>
      </c>
      <c r="BH245" s="53">
        <f t="shared" si="313"/>
        <v>2.2865590714318801E-5</v>
      </c>
      <c r="BI245" s="53">
        <f t="shared" si="314"/>
        <v>2.1121457456753386E-5</v>
      </c>
      <c r="BJ245" s="53">
        <f t="shared" si="315"/>
        <v>2.1831031467390581E-5</v>
      </c>
      <c r="BK245" s="53">
        <f t="shared" si="316"/>
        <v>9.3750588807869539E-6</v>
      </c>
      <c r="BL245" s="53">
        <f t="shared" si="317"/>
        <v>5.0645542995239374E-6</v>
      </c>
      <c r="BM245" s="53">
        <f t="shared" si="318"/>
        <v>1.2883634724479492E-5</v>
      </c>
      <c r="BN245" s="53">
        <f t="shared" si="319"/>
        <v>1.3399984204441194E-5</v>
      </c>
      <c r="BO245" s="53">
        <f t="shared" si="320"/>
        <v>6.2797410692411689E-6</v>
      </c>
      <c r="BP245" s="53">
        <f t="shared" si="321"/>
        <v>2.111548943144636E-5</v>
      </c>
      <c r="BQ245" s="53">
        <f t="shared" si="322"/>
        <v>5.6981965153302218E-6</v>
      </c>
      <c r="BR245" s="53">
        <f t="shared" si="323"/>
        <v>1.6833898914045115E-5</v>
      </c>
      <c r="BS245" s="53">
        <f t="shared" si="324"/>
        <v>9.0787450720994934E-6</v>
      </c>
      <c r="BT245" s="53">
        <f t="shared" si="325"/>
        <v>3.5927377579712007E-5</v>
      </c>
      <c r="BU245" s="53">
        <f t="shared" si="326"/>
        <v>3.4321456549733049E-5</v>
      </c>
      <c r="BV245" s="53">
        <f t="shared" si="327"/>
        <v>3.2961191369890859E-5</v>
      </c>
      <c r="BW245" s="53">
        <f t="shared" si="328"/>
        <v>2.1558433024021818E-5</v>
      </c>
      <c r="BX245" s="53">
        <f t="shared" si="329"/>
        <v>1.5926978833122757E-5</v>
      </c>
      <c r="BY245" s="53">
        <f t="shared" si="330"/>
        <v>1.3675141926593032E-5</v>
      </c>
      <c r="BZ245" s="47"/>
      <c r="CA245" s="53" t="str">
        <f t="shared" si="331"/>
        <v/>
      </c>
      <c r="CB245" s="53" t="str">
        <f t="shared" si="332"/>
        <v/>
      </c>
      <c r="CC245" s="53" t="str">
        <f t="shared" si="333"/>
        <v/>
      </c>
      <c r="CD245" s="53" t="str">
        <f t="shared" si="334"/>
        <v/>
      </c>
      <c r="CE245" s="53" t="str">
        <f t="shared" si="335"/>
        <v/>
      </c>
      <c r="CF245" s="53" t="str">
        <f t="shared" si="336"/>
        <v/>
      </c>
      <c r="CG245" s="53" t="str">
        <f t="shared" si="337"/>
        <v/>
      </c>
      <c r="CH245" s="53" t="str">
        <f t="shared" si="338"/>
        <v/>
      </c>
      <c r="CI245" s="53" t="str">
        <f t="shared" si="339"/>
        <v/>
      </c>
      <c r="CJ245" s="53" t="str">
        <f t="shared" si="340"/>
        <v/>
      </c>
      <c r="CK245" s="53" t="str">
        <f t="shared" si="341"/>
        <v/>
      </c>
      <c r="CL245" s="53" t="str">
        <f t="shared" si="342"/>
        <v/>
      </c>
      <c r="CM245" s="53" t="str">
        <f t="shared" si="343"/>
        <v/>
      </c>
      <c r="CN245" s="53" t="str">
        <f t="shared" si="344"/>
        <v/>
      </c>
      <c r="CO245" s="53" t="str">
        <f t="shared" si="345"/>
        <v/>
      </c>
      <c r="CP245" s="53" t="str">
        <f t="shared" si="346"/>
        <v/>
      </c>
      <c r="CQ245" s="53" t="str">
        <f t="shared" si="347"/>
        <v/>
      </c>
      <c r="CR245" s="53" t="str">
        <f t="shared" si="348"/>
        <v/>
      </c>
      <c r="CS245" s="53" t="str">
        <f t="shared" si="349"/>
        <v/>
      </c>
      <c r="CT245" s="53" t="str">
        <f t="shared" si="350"/>
        <v/>
      </c>
      <c r="CU245" s="47"/>
      <c r="CV245" s="53">
        <f t="shared" si="351"/>
        <v>0</v>
      </c>
    </row>
    <row r="246" spans="1:100" x14ac:dyDescent="0.25">
      <c r="A246" s="41"/>
      <c r="B246" s="42"/>
      <c r="C246" s="43" t="str" cm="1">
        <f t="array" ref="C246">IF(B246="","",INDEX(UWS!$B$10:$B$41,B246))</f>
        <v/>
      </c>
      <c r="D246" s="40" t="str">
        <f t="shared" si="308"/>
        <v/>
      </c>
      <c r="E246" s="69" t="str">
        <f t="shared" si="309"/>
        <v/>
      </c>
      <c r="F246" s="48" cm="1">
        <f t="array" ref="F246">0.1+IFERROR(INDEX($F$5:$F245,SUMPRODUCT(MAX(ROW($C$5:$C245)*($C246=$C$5:$C245))-ROW($A$4)))*0.9^($A246-INDEX($A$5:A245,SUMPRODUCT(MAX(ROW($C$5:$C245)*($C246=$C$5:$C245))-ROW($A$4)))),0)</f>
        <v>18.099999999999987</v>
      </c>
      <c r="G246" s="55" t="e">
        <f>INDEX(UWS!$AB$10:$AB$41,MATCH(C246,UWS!$B$10:$B$41,0))</f>
        <v>#N/A</v>
      </c>
      <c r="H246" s="48" t="e">
        <f>INDEX(UWS!$C$10:$C$41,MATCH(C246,UWS!$B$10:$B$41,0))</f>
        <v>#N/A</v>
      </c>
      <c r="I246" s="82">
        <f t="shared" si="310"/>
        <v>5</v>
      </c>
      <c r="J246" s="27" t="e">
        <f>INDEX(UWS!$E$10:$E$41,MATCH(C246,UWS!$B$10:$B$41,0))</f>
        <v>#N/A</v>
      </c>
      <c r="L246" s="108" t="str" cm="1">
        <f t="array" ref="L246">IF(K246="","",INDEX(UWS!$B$10:$B$41,K246))</f>
        <v/>
      </c>
      <c r="N246" s="108" t="str" cm="1">
        <f t="array" ref="N246">IF(M246="","",INDEX(UWS!$B$10:$B$41,M246))</f>
        <v/>
      </c>
      <c r="P246">
        <f>IFERROR(INDEX(UWS!$G$10:$Z$41,MATCH($C246,UWS!$B$10:$B$41,0),MATCH(P$4,UWS!$G$3:$Z$3,0)),0)</f>
        <v>0</v>
      </c>
      <c r="Q246">
        <f>IFERROR(INDEX(UWS!$G$10:$Z$41,MATCH($C246,UWS!$B$10:$B$41,0),MATCH(Q$4,UWS!$G$3:$Z$3,0)),0)</f>
        <v>0</v>
      </c>
      <c r="R246">
        <f>IFERROR(INDEX(UWS!$G$10:$Z$41,MATCH($C246,UWS!$B$10:$B$41,0),MATCH(R$4,UWS!$G$3:$Z$3,0)),0)</f>
        <v>0</v>
      </c>
      <c r="S246">
        <f>IFERROR(INDEX(UWS!$G$10:$Z$41,MATCH($C246,UWS!$B$10:$B$41,0),MATCH(S$4,UWS!$G$3:$Z$3,0)),0)</f>
        <v>0</v>
      </c>
      <c r="T246">
        <f>IFERROR(INDEX(UWS!$G$10:$Z$41,MATCH($C246,UWS!$B$10:$B$41,0),MATCH(T$4,UWS!$G$3:$Z$3,0)),0)</f>
        <v>0</v>
      </c>
      <c r="U246">
        <f>IFERROR(INDEX(UWS!$G$10:$Z$41,MATCH($C246,UWS!$B$10:$B$41,0),MATCH(U$4,UWS!$G$3:$Z$3,0)),0)</f>
        <v>0</v>
      </c>
      <c r="V246">
        <f>IFERROR(INDEX(UWS!$G$10:$Z$41,MATCH($C246,UWS!$B$10:$B$41,0),MATCH(V$4,UWS!$G$3:$Z$3,0)),0)</f>
        <v>0</v>
      </c>
      <c r="W246">
        <f>IFERROR(INDEX(UWS!$G$10:$Z$41,MATCH($C246,UWS!$B$10:$B$41,0),MATCH(W$4,UWS!$G$3:$Z$3,0)),0)</f>
        <v>0</v>
      </c>
      <c r="X246">
        <f>IFERROR(INDEX(UWS!$G$10:$Z$41,MATCH($C246,UWS!$B$10:$B$41,0),MATCH(X$4,UWS!$G$3:$Z$3,0)),0)</f>
        <v>0</v>
      </c>
      <c r="Y246">
        <f>IFERROR(INDEX(UWS!$G$10:$Z$41,MATCH($C246,UWS!$B$10:$B$41,0),MATCH(Y$4,UWS!$G$3:$Z$3,0)),0)</f>
        <v>0</v>
      </c>
      <c r="Z246">
        <f>IFERROR(INDEX(UWS!$G$10:$Z$41,MATCH($C246,UWS!$B$10:$B$41,0),MATCH(Z$4,UWS!$G$3:$Z$3,0)),0)</f>
        <v>0</v>
      </c>
      <c r="AA246">
        <f>IFERROR(INDEX(UWS!$G$10:$Z$41,MATCH($C246,UWS!$B$10:$B$41,0),MATCH(AA$4,UWS!$G$3:$Z$3,0)),0)</f>
        <v>0</v>
      </c>
      <c r="AB246">
        <f>IFERROR(INDEX(UWS!$G$10:$Z$41,MATCH($C246,UWS!$B$10:$B$41,0),MATCH(AB$4,UWS!$G$3:$Z$3,0)),0)</f>
        <v>0</v>
      </c>
      <c r="AC246">
        <f>IFERROR(INDEX(UWS!$G$10:$Z$41,MATCH($C246,UWS!$B$10:$B$41,0),MATCH(AC$4,UWS!$G$3:$Z$3,0)),0)</f>
        <v>0</v>
      </c>
      <c r="AD246">
        <f>IFERROR(INDEX(UWS!$G$10:$Z$41,MATCH($C246,UWS!$B$10:$B$41,0),MATCH(AD$4,UWS!$G$3:$Z$3,0)),0)</f>
        <v>0</v>
      </c>
      <c r="AE246">
        <f>IFERROR(INDEX(UWS!$G$10:$Z$41,MATCH($C246,UWS!$B$10:$B$41,0),MATCH(AE$4,UWS!$G$3:$Z$3,0)),0)</f>
        <v>0</v>
      </c>
      <c r="AF246">
        <f>IFERROR(INDEX(UWS!$G$10:$Z$41,MATCH($C246,UWS!$B$10:$B$41,0),MATCH(AF$4,UWS!$G$3:$Z$3,0)),0)</f>
        <v>0</v>
      </c>
      <c r="AG246">
        <f>IFERROR(INDEX(UWS!$G$10:$Z$41,MATCH($C246,UWS!$B$10:$B$41,0),MATCH(AG$4,UWS!$G$3:$Z$3,0)),0)</f>
        <v>0</v>
      </c>
      <c r="AH246">
        <f>IFERROR(INDEX(UWS!$G$10:$Z$41,MATCH($C246,UWS!$B$10:$B$41,0),MATCH(AH$4,UWS!$G$3:$Z$3,0)),0)</f>
        <v>0</v>
      </c>
      <c r="AI246">
        <f>IFERROR(INDEX(UWS!$G$10:$Z$41,MATCH($C246,UWS!$B$10:$B$41,0),MATCH(AI$4,UWS!$G$3:$Z$3,0)),0)</f>
        <v>0</v>
      </c>
      <c r="AK246" t="e">
        <f>IF(OR($J246=0,COUNTIFS($A$4:$A245,"&gt;="&amp;$A246-1,$A$4:$A245,"&lt;="&amp;$A246,$B$4:$B245,$B246)&gt;0,MIN(AK$1,IF($A246=$A245,AK245,1))-P246&lt;0),-1,MIN(1,IF($A246=$A245,AK245,1)-P246+$D$3))</f>
        <v>#N/A</v>
      </c>
      <c r="AL246" t="e">
        <f>IF(OR($J246=0,COUNTIFS($A$4:$A245,"&gt;="&amp;$A246-1,$A$4:$A245,"&lt;="&amp;$A246,$B$4:$B245,$B246)&gt;0,MIN(AL$1,IF($A246=$A245,AL245,1))-Q246&lt;0),-1,MIN(1,IF($A246=$A245,AL245,1)-Q246+$D$3))</f>
        <v>#N/A</v>
      </c>
      <c r="AM246" t="e">
        <f>IF(OR($J246=0,COUNTIFS($A$4:$A245,"&gt;="&amp;$A246-1,$A$4:$A245,"&lt;="&amp;$A246,$B$4:$B245,$B246)&gt;0,MIN(AM$1,IF($A246=$A245,AM245,1))-R246&lt;0),-1,MIN(1,IF($A246=$A245,AM245,1)-R246+$D$3))</f>
        <v>#N/A</v>
      </c>
      <c r="AN246" t="e">
        <f>IF(OR($J246=0,COUNTIFS($A$4:$A245,"&gt;="&amp;$A246-1,$A$4:$A245,"&lt;="&amp;$A246,$B$4:$B245,$B246)&gt;0,MIN(AN$1,IF($A246=$A245,AN245,1))-S246&lt;0),-1,MIN(1,IF($A246=$A245,AN245,1)-S246+$D$3))</f>
        <v>#N/A</v>
      </c>
      <c r="AO246" t="e">
        <f>IF(OR($J246=0,COUNTIFS($A$4:$A245,"&gt;="&amp;$A246-1,$A$4:$A245,"&lt;="&amp;$A246,$B$4:$B245,$B246)&gt;0,MIN(AO$1,IF($A246=$A245,AO245,1))-T246&lt;0),-1,MIN(1,IF($A246=$A245,AO245,1)-T246+$D$3))</f>
        <v>#N/A</v>
      </c>
      <c r="AP246" t="e">
        <f>IF(OR($J246=0,COUNTIFS($A$4:$A245,"&gt;="&amp;$A246-1,$A$4:$A245,"&lt;="&amp;$A246,$B$4:$B245,$B246)&gt;0,MIN(AP$1,IF($A246=$A245,AP245,1))-U246&lt;0),-1,MIN(1,IF($A246=$A245,AP245,1)-U246+$D$3))</f>
        <v>#N/A</v>
      </c>
      <c r="AQ246" t="e">
        <f>IF(OR($J246=0,COUNTIFS($A$4:$A245,"&gt;="&amp;$A246-1,$A$4:$A245,"&lt;="&amp;$A246,$B$4:$B245,$B246)&gt;0,MIN(AQ$1,IF($A246=$A245,AQ245,1))-V246&lt;0),-1,MIN(1,IF($A246=$A245,AQ245,1)-V246+$D$3))</f>
        <v>#N/A</v>
      </c>
      <c r="AR246" t="e">
        <f>IF(OR($J246=0,COUNTIFS($A$4:$A245,"&gt;="&amp;$A246-1,$A$4:$A245,"&lt;="&amp;$A246,$B$4:$B245,$B246)&gt;0,MIN(AR$1,IF($A246=$A245,AR245,1))-W246&lt;0),-1,MIN(1,IF($A246=$A245,AR245,1)-W246+$D$3))</f>
        <v>#N/A</v>
      </c>
      <c r="AS246" t="e">
        <f>IF(OR($J246=0,COUNTIFS($A$4:$A245,"&gt;="&amp;$A246-1,$A$4:$A245,"&lt;="&amp;$A246,$B$4:$B245,$B246)&gt;0,MIN(AS$1,IF($A246=$A245,AS245,1))-X246&lt;0),-1,MIN(1,IF($A246=$A245,AS245,1)-X246+$D$3))</f>
        <v>#N/A</v>
      </c>
      <c r="AT246" t="e">
        <f>IF(OR($J246=0,COUNTIFS($A$4:$A245,"&gt;="&amp;$A246-1,$A$4:$A245,"&lt;="&amp;$A246,$B$4:$B245,$B246)&gt;0,MIN(AT$1,IF($A246=$A245,AT245,1))-Y246&lt;0),-1,MIN(1,IF($A246=$A245,AT245,1)-Y246+$D$3))</f>
        <v>#N/A</v>
      </c>
      <c r="AU246" t="e">
        <f>IF(OR($J246=0,COUNTIFS($A$4:$A245,"&gt;="&amp;$A246-1,$A$4:$A245,"&lt;="&amp;$A246,$B$4:$B245,$B246)&gt;0,MIN(AU$1,IF($A246=$A245,AU245,1))-Z246&lt;0),-1,MIN(1,IF($A246=$A245,AU245,1)-Z246+$D$3))</f>
        <v>#N/A</v>
      </c>
      <c r="AV246" t="e">
        <f>IF(OR($J246=0,COUNTIFS($A$4:$A245,"&gt;="&amp;$A246-1,$A$4:$A245,"&lt;="&amp;$A246,$B$4:$B245,$B246)&gt;0,MIN(AV$1,IF($A246=$A245,AV245,1))-AA246&lt;0),-1,MIN(1,IF($A246=$A245,AV245,1)-AA246+$D$3))</f>
        <v>#N/A</v>
      </c>
      <c r="AW246" t="e">
        <f>IF(OR($J246=0,COUNTIFS($A$4:$A245,"&gt;="&amp;$A246-1,$A$4:$A245,"&lt;="&amp;$A246,$B$4:$B245,$B246)&gt;0,MIN(AW$1,IF($A246=$A245,AW245,1))-AB246&lt;0),-1,MIN(1,IF($A246=$A245,AW245,1)-AB246+$D$3))</f>
        <v>#N/A</v>
      </c>
      <c r="AX246" t="e">
        <f>IF(OR($J246=0,COUNTIFS($A$4:$A245,"&gt;="&amp;$A246-1,$A$4:$A245,"&lt;="&amp;$A246,$B$4:$B245,$B246)&gt;0,MIN(AX$1,IF($A246=$A245,AX245,1))-AC246&lt;0),-1,MIN(1,IF($A246=$A245,AX245,1)-AC246+$D$3))</f>
        <v>#N/A</v>
      </c>
      <c r="AY246" t="e">
        <f>IF(OR($J246=0,COUNTIFS($A$4:$A245,"&gt;="&amp;$A246-1,$A$4:$A245,"&lt;="&amp;$A246,$B$4:$B245,$B246)&gt;0,MIN(AY$1,IF($A246=$A245,AY245,1))-AD246&lt;0),-1,MIN(1,IF($A246=$A245,AY245,1)-AD246+$D$3))</f>
        <v>#N/A</v>
      </c>
      <c r="AZ246" t="e">
        <f>IF(OR($J246=0,COUNTIFS($A$4:$A245,"&gt;="&amp;$A246-1,$A$4:$A245,"&lt;="&amp;$A246,$B$4:$B245,$B246)&gt;0,MIN(AZ$1,IF($A246=$A245,AZ245,1))-AE246&lt;0),-1,MIN(1,IF($A246=$A245,AZ245,1)-AE246+$D$3))</f>
        <v>#N/A</v>
      </c>
      <c r="BA246" t="e">
        <f>IF(OR($J246=0,COUNTIFS($A$4:$A245,"&gt;="&amp;$A246-1,$A$4:$A245,"&lt;="&amp;$A246,$B$4:$B245,$B246)&gt;0,MIN(BA$1,IF($A246=$A245,BA245,1))-AF246&lt;0),-1,MIN(1,IF($A246=$A245,BA245,1)-AF246+$D$3))</f>
        <v>#N/A</v>
      </c>
      <c r="BB246" t="e">
        <f>IF(OR($J246=0,COUNTIFS($A$4:$A245,"&gt;="&amp;$A246-1,$A$4:$A245,"&lt;="&amp;$A246,$B$4:$B245,$B246)&gt;0,MIN(BB$1,IF($A246=$A245,BB245,1))-AG246&lt;0),-1,MIN(1,IF($A246=$A245,BB245,1)-AG246+$D$3))</f>
        <v>#N/A</v>
      </c>
      <c r="BC246" t="e">
        <f>IF(OR($J246=0,COUNTIFS($A$4:$A245,"&gt;="&amp;$A246-1,$A$4:$A245,"&lt;="&amp;$A246,$B$4:$B245,$B246)&gt;0,MIN(BC$1,IF($A246=$A245,BC245,1))-AH246&lt;0),-1,MIN(1,IF($A246=$A245,BC245,1)-AH246+$D$3))</f>
        <v>#N/A</v>
      </c>
      <c r="BD246" t="e">
        <f>IF(OR($J246=0,COUNTIFS($A$4:$A245,"&gt;="&amp;$A246-1,$A$4:$A245,"&lt;="&amp;$A246,$B$4:$B245,$B246)&gt;0,MIN(BD$1,IF($A246=$A245,BD245,1))-AI246&lt;0),-1,MIN(1,IF($A246=$A245,BD245,1)-AI246+$D$3))</f>
        <v>#N/A</v>
      </c>
      <c r="BF246" s="44">
        <f t="shared" si="311"/>
        <v>8.6182358236721435E-6</v>
      </c>
      <c r="BG246" s="44">
        <f t="shared" si="312"/>
        <v>2.1194673795065546E-5</v>
      </c>
      <c r="BH246" s="44">
        <f t="shared" si="313"/>
        <v>2.1722311178602861E-5</v>
      </c>
      <c r="BI246" s="44">
        <f t="shared" si="314"/>
        <v>2.0065384583915717E-5</v>
      </c>
      <c r="BJ246" s="44">
        <f t="shared" si="315"/>
        <v>2.0739479894021053E-5</v>
      </c>
      <c r="BK246" s="44">
        <f t="shared" si="316"/>
        <v>8.9063059367476058E-6</v>
      </c>
      <c r="BL246" s="44">
        <f t="shared" si="317"/>
        <v>4.8113265845477405E-6</v>
      </c>
      <c r="BM246" s="44">
        <f t="shared" si="318"/>
        <v>1.2239452988255517E-5</v>
      </c>
      <c r="BN246" s="44">
        <f t="shared" si="319"/>
        <v>1.2729984994219133E-5</v>
      </c>
      <c r="BO246" s="44">
        <f t="shared" si="320"/>
        <v>5.9657540157791105E-6</v>
      </c>
      <c r="BP246" s="44">
        <f t="shared" si="321"/>
        <v>2.0059714959874042E-5</v>
      </c>
      <c r="BQ246" s="44">
        <f t="shared" si="322"/>
        <v>5.4132866895637104E-6</v>
      </c>
      <c r="BR246" s="44">
        <f t="shared" si="323"/>
        <v>1.5992203968342859E-5</v>
      </c>
      <c r="BS246" s="44">
        <f t="shared" si="324"/>
        <v>8.6248078184945184E-6</v>
      </c>
      <c r="BT246" s="44">
        <f t="shared" si="325"/>
        <v>3.4131008700726407E-5</v>
      </c>
      <c r="BU246" s="44">
        <f t="shared" si="326"/>
        <v>3.2605383722246398E-5</v>
      </c>
      <c r="BV246" s="44">
        <f t="shared" si="327"/>
        <v>3.1313131801396318E-5</v>
      </c>
      <c r="BW246" s="44">
        <f t="shared" si="328"/>
        <v>2.0480511372820727E-5</v>
      </c>
      <c r="BX246" s="44">
        <f t="shared" si="329"/>
        <v>1.5130629891466618E-5</v>
      </c>
      <c r="BY246" s="44">
        <f t="shared" si="330"/>
        <v>1.2991384830263379E-5</v>
      </c>
      <c r="CA246" s="44" t="str">
        <f t="shared" si="331"/>
        <v/>
      </c>
      <c r="CB246" s="44" t="str">
        <f t="shared" si="332"/>
        <v/>
      </c>
      <c r="CC246" s="44" t="str">
        <f t="shared" si="333"/>
        <v/>
      </c>
      <c r="CD246" s="44" t="str">
        <f t="shared" si="334"/>
        <v/>
      </c>
      <c r="CE246" s="44" t="str">
        <f t="shared" si="335"/>
        <v/>
      </c>
      <c r="CF246" s="44" t="str">
        <f t="shared" si="336"/>
        <v/>
      </c>
      <c r="CG246" s="44" t="str">
        <f t="shared" si="337"/>
        <v/>
      </c>
      <c r="CH246" s="44" t="str">
        <f t="shared" si="338"/>
        <v/>
      </c>
      <c r="CI246" s="44" t="str">
        <f t="shared" si="339"/>
        <v/>
      </c>
      <c r="CJ246" s="44" t="str">
        <f t="shared" si="340"/>
        <v/>
      </c>
      <c r="CK246" s="44" t="str">
        <f t="shared" si="341"/>
        <v/>
      </c>
      <c r="CL246" s="44" t="str">
        <f t="shared" si="342"/>
        <v/>
      </c>
      <c r="CM246" s="44" t="str">
        <f t="shared" si="343"/>
        <v/>
      </c>
      <c r="CN246" s="44" t="str">
        <f t="shared" si="344"/>
        <v/>
      </c>
      <c r="CO246" s="44" t="str">
        <f t="shared" si="345"/>
        <v/>
      </c>
      <c r="CP246" s="44" t="str">
        <f t="shared" si="346"/>
        <v/>
      </c>
      <c r="CQ246" s="44" t="str">
        <f t="shared" si="347"/>
        <v/>
      </c>
      <c r="CR246" s="44" t="str">
        <f t="shared" si="348"/>
        <v/>
      </c>
      <c r="CS246" s="44" t="str">
        <f t="shared" si="349"/>
        <v/>
      </c>
      <c r="CT246" s="44" t="str">
        <f t="shared" si="350"/>
        <v/>
      </c>
      <c r="CV246" s="44">
        <f t="shared" si="351"/>
        <v>0</v>
      </c>
    </row>
    <row r="247" spans="1:100" x14ac:dyDescent="0.25">
      <c r="A247" s="41"/>
      <c r="B247" s="42"/>
      <c r="C247" s="43" t="str" cm="1">
        <f t="array" ref="C247">IF(B247="","",INDEX(UWS!$B$10:$B$41,B247))</f>
        <v/>
      </c>
      <c r="D247" s="40" t="str">
        <f t="shared" si="308"/>
        <v/>
      </c>
      <c r="E247" s="69" t="str">
        <f t="shared" si="309"/>
        <v/>
      </c>
      <c r="F247" s="48" cm="1">
        <f t="array" ref="F247">0.1+IFERROR(INDEX($F$5:$F246,SUMPRODUCT(MAX(ROW($C$5:$C246)*($C247=$C$5:$C246))-ROW($A$4)))*0.9^($A247-INDEX($A$5:A246,SUMPRODUCT(MAX(ROW($C$5:$C246)*($C247=$C$5:$C246))-ROW($A$4)))),0)</f>
        <v>18.199999999999989</v>
      </c>
      <c r="G247" s="55" t="e">
        <f>INDEX(UWS!$AB$10:$AB$41,MATCH(C247,UWS!$B$10:$B$41,0))</f>
        <v>#N/A</v>
      </c>
      <c r="H247" s="48" t="e">
        <f>INDEX(UWS!$C$10:$C$41,MATCH(C247,UWS!$B$10:$B$41,0))</f>
        <v>#N/A</v>
      </c>
      <c r="I247" s="27">
        <f t="shared" si="310"/>
        <v>5</v>
      </c>
      <c r="J247" s="27" t="e">
        <f>INDEX(UWS!$E$10:$E$41,MATCH(C247,UWS!$B$10:$B$41,0))</f>
        <v>#N/A</v>
      </c>
      <c r="L247" s="108" t="str" cm="1">
        <f t="array" ref="L247">IF(K247="","",INDEX(UWS!$B$10:$B$41,K247))</f>
        <v/>
      </c>
      <c r="N247" s="108" t="str" cm="1">
        <f t="array" ref="N247">IF(M247="","",INDEX(UWS!$B$10:$B$41,M247))</f>
        <v/>
      </c>
      <c r="P247">
        <f>IFERROR(INDEX(UWS!$G$10:$Z$41,MATCH($C247,UWS!$B$10:$B$41,0),MATCH(P$4,UWS!$G$3:$Z$3,0)),0)</f>
        <v>0</v>
      </c>
      <c r="Q247">
        <f>IFERROR(INDEX(UWS!$G$10:$Z$41,MATCH($C247,UWS!$B$10:$B$41,0),MATCH(Q$4,UWS!$G$3:$Z$3,0)),0)</f>
        <v>0</v>
      </c>
      <c r="R247">
        <f>IFERROR(INDEX(UWS!$G$10:$Z$41,MATCH($C247,UWS!$B$10:$B$41,0),MATCH(R$4,UWS!$G$3:$Z$3,0)),0)</f>
        <v>0</v>
      </c>
      <c r="S247">
        <f>IFERROR(INDEX(UWS!$G$10:$Z$41,MATCH($C247,UWS!$B$10:$B$41,0),MATCH(S$4,UWS!$G$3:$Z$3,0)),0)</f>
        <v>0</v>
      </c>
      <c r="T247">
        <f>IFERROR(INDEX(UWS!$G$10:$Z$41,MATCH($C247,UWS!$B$10:$B$41,0),MATCH(T$4,UWS!$G$3:$Z$3,0)),0)</f>
        <v>0</v>
      </c>
      <c r="U247">
        <f>IFERROR(INDEX(UWS!$G$10:$Z$41,MATCH($C247,UWS!$B$10:$B$41,0),MATCH(U$4,UWS!$G$3:$Z$3,0)),0)</f>
        <v>0</v>
      </c>
      <c r="V247">
        <f>IFERROR(INDEX(UWS!$G$10:$Z$41,MATCH($C247,UWS!$B$10:$B$41,0),MATCH(V$4,UWS!$G$3:$Z$3,0)),0)</f>
        <v>0</v>
      </c>
      <c r="W247">
        <f>IFERROR(INDEX(UWS!$G$10:$Z$41,MATCH($C247,UWS!$B$10:$B$41,0),MATCH(W$4,UWS!$G$3:$Z$3,0)),0)</f>
        <v>0</v>
      </c>
      <c r="X247">
        <f>IFERROR(INDEX(UWS!$G$10:$Z$41,MATCH($C247,UWS!$B$10:$B$41,0),MATCH(X$4,UWS!$G$3:$Z$3,0)),0)</f>
        <v>0</v>
      </c>
      <c r="Y247">
        <f>IFERROR(INDEX(UWS!$G$10:$Z$41,MATCH($C247,UWS!$B$10:$B$41,0),MATCH(Y$4,UWS!$G$3:$Z$3,0)),0)</f>
        <v>0</v>
      </c>
      <c r="Z247">
        <f>IFERROR(INDEX(UWS!$G$10:$Z$41,MATCH($C247,UWS!$B$10:$B$41,0),MATCH(Z$4,UWS!$G$3:$Z$3,0)),0)</f>
        <v>0</v>
      </c>
      <c r="AA247">
        <f>IFERROR(INDEX(UWS!$G$10:$Z$41,MATCH($C247,UWS!$B$10:$B$41,0),MATCH(AA$4,UWS!$G$3:$Z$3,0)),0)</f>
        <v>0</v>
      </c>
      <c r="AB247">
        <f>IFERROR(INDEX(UWS!$G$10:$Z$41,MATCH($C247,UWS!$B$10:$B$41,0),MATCH(AB$4,UWS!$G$3:$Z$3,0)),0)</f>
        <v>0</v>
      </c>
      <c r="AC247">
        <f>IFERROR(INDEX(UWS!$G$10:$Z$41,MATCH($C247,UWS!$B$10:$B$41,0),MATCH(AC$4,UWS!$G$3:$Z$3,0)),0)</f>
        <v>0</v>
      </c>
      <c r="AD247">
        <f>IFERROR(INDEX(UWS!$G$10:$Z$41,MATCH($C247,UWS!$B$10:$B$41,0),MATCH(AD$4,UWS!$G$3:$Z$3,0)),0)</f>
        <v>0</v>
      </c>
      <c r="AE247">
        <f>IFERROR(INDEX(UWS!$G$10:$Z$41,MATCH($C247,UWS!$B$10:$B$41,0),MATCH(AE$4,UWS!$G$3:$Z$3,0)),0)</f>
        <v>0</v>
      </c>
      <c r="AF247">
        <f>IFERROR(INDEX(UWS!$G$10:$Z$41,MATCH($C247,UWS!$B$10:$B$41,0),MATCH(AF$4,UWS!$G$3:$Z$3,0)),0)</f>
        <v>0</v>
      </c>
      <c r="AG247">
        <f>IFERROR(INDEX(UWS!$G$10:$Z$41,MATCH($C247,UWS!$B$10:$B$41,0),MATCH(AG$4,UWS!$G$3:$Z$3,0)),0)</f>
        <v>0</v>
      </c>
      <c r="AH247">
        <f>IFERROR(INDEX(UWS!$G$10:$Z$41,MATCH($C247,UWS!$B$10:$B$41,0),MATCH(AH$4,UWS!$G$3:$Z$3,0)),0)</f>
        <v>0</v>
      </c>
      <c r="AI247">
        <f>IFERROR(INDEX(UWS!$G$10:$Z$41,MATCH($C247,UWS!$B$10:$B$41,0),MATCH(AI$4,UWS!$G$3:$Z$3,0)),0)</f>
        <v>0</v>
      </c>
      <c r="AK247" t="e">
        <f>IF(OR($J247=0,COUNTIFS($A$4:$A246,"&gt;="&amp;$A247-1,$A$4:$A246,"&lt;="&amp;$A247,$B$4:$B246,$B247)&gt;0,MIN(AK$1,IF($A247=$A246,AK246,1))-P247&lt;0),-1,MIN(1,IF($A247=$A246,AK246,1)-P247+$D$3))</f>
        <v>#N/A</v>
      </c>
      <c r="AL247" t="e">
        <f>IF(OR($J247=0,COUNTIFS($A$4:$A246,"&gt;="&amp;$A247-1,$A$4:$A246,"&lt;="&amp;$A247,$B$4:$B246,$B247)&gt;0,MIN(AL$1,IF($A247=$A246,AL246,1))-Q247&lt;0),-1,MIN(1,IF($A247=$A246,AL246,1)-Q247+$D$3))</f>
        <v>#N/A</v>
      </c>
      <c r="AM247" t="e">
        <f>IF(OR($J247=0,COUNTIFS($A$4:$A246,"&gt;="&amp;$A247-1,$A$4:$A246,"&lt;="&amp;$A247,$B$4:$B246,$B247)&gt;0,MIN(AM$1,IF($A247=$A246,AM246,1))-R247&lt;0),-1,MIN(1,IF($A247=$A246,AM246,1)-R247+$D$3))</f>
        <v>#N/A</v>
      </c>
      <c r="AN247" t="e">
        <f>IF(OR($J247=0,COUNTIFS($A$4:$A246,"&gt;="&amp;$A247-1,$A$4:$A246,"&lt;="&amp;$A247,$B$4:$B246,$B247)&gt;0,MIN(AN$1,IF($A247=$A246,AN246,1))-S247&lt;0),-1,MIN(1,IF($A247=$A246,AN246,1)-S247+$D$3))</f>
        <v>#N/A</v>
      </c>
      <c r="AO247" t="e">
        <f>IF(OR($J247=0,COUNTIFS($A$4:$A246,"&gt;="&amp;$A247-1,$A$4:$A246,"&lt;="&amp;$A247,$B$4:$B246,$B247)&gt;0,MIN(AO$1,IF($A247=$A246,AO246,1))-T247&lt;0),-1,MIN(1,IF($A247=$A246,AO246,1)-T247+$D$3))</f>
        <v>#N/A</v>
      </c>
      <c r="AP247" t="e">
        <f>IF(OR($J247=0,COUNTIFS($A$4:$A246,"&gt;="&amp;$A247-1,$A$4:$A246,"&lt;="&amp;$A247,$B$4:$B246,$B247)&gt;0,MIN(AP$1,IF($A247=$A246,AP246,1))-U247&lt;0),-1,MIN(1,IF($A247=$A246,AP246,1)-U247+$D$3))</f>
        <v>#N/A</v>
      </c>
      <c r="AQ247" t="e">
        <f>IF(OR($J247=0,COUNTIFS($A$4:$A246,"&gt;="&amp;$A247-1,$A$4:$A246,"&lt;="&amp;$A247,$B$4:$B246,$B247)&gt;0,MIN(AQ$1,IF($A247=$A246,AQ246,1))-V247&lt;0),-1,MIN(1,IF($A247=$A246,AQ246,1)-V247+$D$3))</f>
        <v>#N/A</v>
      </c>
      <c r="AR247" t="e">
        <f>IF(OR($J247=0,COUNTIFS($A$4:$A246,"&gt;="&amp;$A247-1,$A$4:$A246,"&lt;="&amp;$A247,$B$4:$B246,$B247)&gt;0,MIN(AR$1,IF($A247=$A246,AR246,1))-W247&lt;0),-1,MIN(1,IF($A247=$A246,AR246,1)-W247+$D$3))</f>
        <v>#N/A</v>
      </c>
      <c r="AS247" t="e">
        <f>IF(OR($J247=0,COUNTIFS($A$4:$A246,"&gt;="&amp;$A247-1,$A$4:$A246,"&lt;="&amp;$A247,$B$4:$B246,$B247)&gt;0,MIN(AS$1,IF($A247=$A246,AS246,1))-X247&lt;0),-1,MIN(1,IF($A247=$A246,AS246,1)-X247+$D$3))</f>
        <v>#N/A</v>
      </c>
      <c r="AT247" t="e">
        <f>IF(OR($J247=0,COUNTIFS($A$4:$A246,"&gt;="&amp;$A247-1,$A$4:$A246,"&lt;="&amp;$A247,$B$4:$B246,$B247)&gt;0,MIN(AT$1,IF($A247=$A246,AT246,1))-Y247&lt;0),-1,MIN(1,IF($A247=$A246,AT246,1)-Y247+$D$3))</f>
        <v>#N/A</v>
      </c>
      <c r="AU247" t="e">
        <f>IF(OR($J247=0,COUNTIFS($A$4:$A246,"&gt;="&amp;$A247-1,$A$4:$A246,"&lt;="&amp;$A247,$B$4:$B246,$B247)&gt;0,MIN(AU$1,IF($A247=$A246,AU246,1))-Z247&lt;0),-1,MIN(1,IF($A247=$A246,AU246,1)-Z247+$D$3))</f>
        <v>#N/A</v>
      </c>
      <c r="AV247" t="e">
        <f>IF(OR($J247=0,COUNTIFS($A$4:$A246,"&gt;="&amp;$A247-1,$A$4:$A246,"&lt;="&amp;$A247,$B$4:$B246,$B247)&gt;0,MIN(AV$1,IF($A247=$A246,AV246,1))-AA247&lt;0),-1,MIN(1,IF($A247=$A246,AV246,1)-AA247+$D$3))</f>
        <v>#N/A</v>
      </c>
      <c r="AW247" t="e">
        <f>IF(OR($J247=0,COUNTIFS($A$4:$A246,"&gt;="&amp;$A247-1,$A$4:$A246,"&lt;="&amp;$A247,$B$4:$B246,$B247)&gt;0,MIN(AW$1,IF($A247=$A246,AW246,1))-AB247&lt;0),-1,MIN(1,IF($A247=$A246,AW246,1)-AB247+$D$3))</f>
        <v>#N/A</v>
      </c>
      <c r="AX247" t="e">
        <f>IF(OR($J247=0,COUNTIFS($A$4:$A246,"&gt;="&amp;$A247-1,$A$4:$A246,"&lt;="&amp;$A247,$B$4:$B246,$B247)&gt;0,MIN(AX$1,IF($A247=$A246,AX246,1))-AC247&lt;0),-1,MIN(1,IF($A247=$A246,AX246,1)-AC247+$D$3))</f>
        <v>#N/A</v>
      </c>
      <c r="AY247" t="e">
        <f>IF(OR($J247=0,COUNTIFS($A$4:$A246,"&gt;="&amp;$A247-1,$A$4:$A246,"&lt;="&amp;$A247,$B$4:$B246,$B247)&gt;0,MIN(AY$1,IF($A247=$A246,AY246,1))-AD247&lt;0),-1,MIN(1,IF($A247=$A246,AY246,1)-AD247+$D$3))</f>
        <v>#N/A</v>
      </c>
      <c r="AZ247" t="e">
        <f>IF(OR($J247=0,COUNTIFS($A$4:$A246,"&gt;="&amp;$A247-1,$A$4:$A246,"&lt;="&amp;$A247,$B$4:$B246,$B247)&gt;0,MIN(AZ$1,IF($A247=$A246,AZ246,1))-AE247&lt;0),-1,MIN(1,IF($A247=$A246,AZ246,1)-AE247+$D$3))</f>
        <v>#N/A</v>
      </c>
      <c r="BA247" t="e">
        <f>IF(OR($J247=0,COUNTIFS($A$4:$A246,"&gt;="&amp;$A247-1,$A$4:$A246,"&lt;="&amp;$A247,$B$4:$B246,$B247)&gt;0,MIN(BA$1,IF($A247=$A246,BA246,1))-AF247&lt;0),-1,MIN(1,IF($A247=$A246,BA246,1)-AF247+$D$3))</f>
        <v>#N/A</v>
      </c>
      <c r="BB247" t="e">
        <f>IF(OR($J247=0,COUNTIFS($A$4:$A246,"&gt;="&amp;$A247-1,$A$4:$A246,"&lt;="&amp;$A247,$B$4:$B246,$B247)&gt;0,MIN(BB$1,IF($A247=$A246,BB246,1))-AG247&lt;0),-1,MIN(1,IF($A247=$A246,BB246,1)-AG247+$D$3))</f>
        <v>#N/A</v>
      </c>
      <c r="BC247" t="e">
        <f>IF(OR($J247=0,COUNTIFS($A$4:$A246,"&gt;="&amp;$A247-1,$A$4:$A246,"&lt;="&amp;$A247,$B$4:$B246,$B247)&gt;0,MIN(BC$1,IF($A247=$A246,BC246,1))-AH247&lt;0),-1,MIN(1,IF($A247=$A246,BC246,1)-AH247+$D$3))</f>
        <v>#N/A</v>
      </c>
      <c r="BD247" t="e">
        <f>IF(OR($J247=0,COUNTIFS($A$4:$A246,"&gt;="&amp;$A247-1,$A$4:$A246,"&lt;="&amp;$A247,$B$4:$B246,$B247)&gt;0,MIN(BD$1,IF($A247=$A246,BD246,1))-AI247&lt;0),-1,MIN(1,IF($A247=$A246,BD246,1)-AI247+$D$3))</f>
        <v>#N/A</v>
      </c>
      <c r="BF247" s="44">
        <f t="shared" si="311"/>
        <v>8.1873240324885359E-6</v>
      </c>
      <c r="BG247" s="44">
        <f t="shared" si="312"/>
        <v>2.0134940105312269E-5</v>
      </c>
      <c r="BH247" s="44">
        <f t="shared" si="313"/>
        <v>2.0636195619672716E-5</v>
      </c>
      <c r="BI247" s="44">
        <f t="shared" si="314"/>
        <v>1.9062115354719932E-5</v>
      </c>
      <c r="BJ247" s="44">
        <f t="shared" si="315"/>
        <v>1.970250589932E-5</v>
      </c>
      <c r="BK247" s="44">
        <f t="shared" si="316"/>
        <v>8.4609906399102254E-6</v>
      </c>
      <c r="BL247" s="44">
        <f t="shared" si="317"/>
        <v>4.5707602553203536E-6</v>
      </c>
      <c r="BM247" s="44">
        <f t="shared" si="318"/>
        <v>1.1627480338842741E-5</v>
      </c>
      <c r="BN247" s="44">
        <f t="shared" si="319"/>
        <v>1.2093485744508175E-5</v>
      </c>
      <c r="BO247" s="44">
        <f t="shared" si="320"/>
        <v>5.6674663149901543E-6</v>
      </c>
      <c r="BP247" s="44">
        <f t="shared" si="321"/>
        <v>1.9056729211880338E-5</v>
      </c>
      <c r="BQ247" s="44">
        <f t="shared" si="322"/>
        <v>5.1426223550855245E-6</v>
      </c>
      <c r="BR247" s="44">
        <f t="shared" si="323"/>
        <v>1.5192593769925715E-5</v>
      </c>
      <c r="BS247" s="44">
        <f t="shared" si="324"/>
        <v>8.1935674275697926E-6</v>
      </c>
      <c r="BT247" s="44">
        <f t="shared" si="325"/>
        <v>3.2424458265690084E-5</v>
      </c>
      <c r="BU247" s="44">
        <f t="shared" si="326"/>
        <v>3.0975114536134077E-5</v>
      </c>
      <c r="BV247" s="44">
        <f t="shared" si="327"/>
        <v>2.9747475211326502E-5</v>
      </c>
      <c r="BW247" s="44">
        <f t="shared" si="328"/>
        <v>1.9456485804179688E-5</v>
      </c>
      <c r="BX247" s="44">
        <f t="shared" si="329"/>
        <v>1.4374098396893288E-5</v>
      </c>
      <c r="BY247" s="44">
        <f t="shared" si="330"/>
        <v>1.234181558875021E-5</v>
      </c>
      <c r="CA247" s="44" t="str">
        <f t="shared" si="331"/>
        <v/>
      </c>
      <c r="CB247" s="44" t="str">
        <f t="shared" si="332"/>
        <v/>
      </c>
      <c r="CC247" s="44" t="str">
        <f t="shared" si="333"/>
        <v/>
      </c>
      <c r="CD247" s="44" t="str">
        <f t="shared" si="334"/>
        <v/>
      </c>
      <c r="CE247" s="44" t="str">
        <f t="shared" si="335"/>
        <v/>
      </c>
      <c r="CF247" s="44" t="str">
        <f t="shared" si="336"/>
        <v/>
      </c>
      <c r="CG247" s="44" t="str">
        <f t="shared" si="337"/>
        <v/>
      </c>
      <c r="CH247" s="44" t="str">
        <f t="shared" si="338"/>
        <v/>
      </c>
      <c r="CI247" s="44" t="str">
        <f t="shared" si="339"/>
        <v/>
      </c>
      <c r="CJ247" s="44" t="str">
        <f t="shared" si="340"/>
        <v/>
      </c>
      <c r="CK247" s="44" t="str">
        <f t="shared" si="341"/>
        <v/>
      </c>
      <c r="CL247" s="44" t="str">
        <f t="shared" si="342"/>
        <v/>
      </c>
      <c r="CM247" s="44" t="str">
        <f t="shared" si="343"/>
        <v/>
      </c>
      <c r="CN247" s="44" t="str">
        <f t="shared" si="344"/>
        <v/>
      </c>
      <c r="CO247" s="44" t="str">
        <f t="shared" si="345"/>
        <v/>
      </c>
      <c r="CP247" s="44" t="str">
        <f t="shared" si="346"/>
        <v/>
      </c>
      <c r="CQ247" s="44" t="str">
        <f t="shared" si="347"/>
        <v/>
      </c>
      <c r="CR247" s="44" t="str">
        <f t="shared" si="348"/>
        <v/>
      </c>
      <c r="CS247" s="44" t="str">
        <f t="shared" si="349"/>
        <v/>
      </c>
      <c r="CT247" s="44" t="str">
        <f t="shared" si="350"/>
        <v/>
      </c>
      <c r="CV247" s="44">
        <f t="shared" si="351"/>
        <v>0</v>
      </c>
    </row>
    <row r="248" spans="1:100" x14ac:dyDescent="0.25">
      <c r="A248" s="41"/>
      <c r="B248" s="42"/>
      <c r="C248" s="43" t="str" cm="1">
        <f t="array" ref="C248">IF(B248="","",INDEX(UWS!$B$10:$B$41,B248))</f>
        <v/>
      </c>
      <c r="D248" s="40" t="str">
        <f t="shared" si="308"/>
        <v/>
      </c>
      <c r="E248" s="69" t="str">
        <f t="shared" si="309"/>
        <v/>
      </c>
      <c r="F248" s="48" cm="1">
        <f t="array" ref="F248">0.1+IFERROR(INDEX($F$5:$F247,SUMPRODUCT(MAX(ROW($C$5:$C247)*($C248=$C$5:$C247))-ROW($A$4)))*0.9^($A248-INDEX($A$5:A247,SUMPRODUCT(MAX(ROW($C$5:$C247)*($C248=$C$5:$C247))-ROW($A$4)))),0)</f>
        <v>18.29999999999999</v>
      </c>
      <c r="G248" s="55" t="e">
        <f>INDEX(UWS!$AB$10:$AB$41,MATCH(C248,UWS!$B$10:$B$41,0))</f>
        <v>#N/A</v>
      </c>
      <c r="H248" s="48" t="e">
        <f>INDEX(UWS!$C$10:$C$41,MATCH(C248,UWS!$B$10:$B$41,0))</f>
        <v>#N/A</v>
      </c>
      <c r="I248" s="27">
        <f t="shared" si="310"/>
        <v>5</v>
      </c>
      <c r="J248" s="27" t="e">
        <f>INDEX(UWS!$E$10:$E$41,MATCH(C248,UWS!$B$10:$B$41,0))</f>
        <v>#N/A</v>
      </c>
      <c r="L248" s="108" t="str" cm="1">
        <f t="array" ref="L248">IF(K248="","",INDEX(UWS!$B$10:$B$41,K248))</f>
        <v/>
      </c>
      <c r="N248" s="108" t="str" cm="1">
        <f t="array" ref="N248">IF(M248="","",INDEX(UWS!$B$10:$B$41,M248))</f>
        <v/>
      </c>
      <c r="P248">
        <f>IFERROR(INDEX(UWS!$G$10:$Z$41,MATCH($C248,UWS!$B$10:$B$41,0),MATCH(P$4,UWS!$G$3:$Z$3,0)),0)</f>
        <v>0</v>
      </c>
      <c r="Q248">
        <f>IFERROR(INDEX(UWS!$G$10:$Z$41,MATCH($C248,UWS!$B$10:$B$41,0),MATCH(Q$4,UWS!$G$3:$Z$3,0)),0)</f>
        <v>0</v>
      </c>
      <c r="R248">
        <f>IFERROR(INDEX(UWS!$G$10:$Z$41,MATCH($C248,UWS!$B$10:$B$41,0),MATCH(R$4,UWS!$G$3:$Z$3,0)),0)</f>
        <v>0</v>
      </c>
      <c r="S248">
        <f>IFERROR(INDEX(UWS!$G$10:$Z$41,MATCH($C248,UWS!$B$10:$B$41,0),MATCH(S$4,UWS!$G$3:$Z$3,0)),0)</f>
        <v>0</v>
      </c>
      <c r="T248">
        <f>IFERROR(INDEX(UWS!$G$10:$Z$41,MATCH($C248,UWS!$B$10:$B$41,0),MATCH(T$4,UWS!$G$3:$Z$3,0)),0)</f>
        <v>0</v>
      </c>
      <c r="U248">
        <f>IFERROR(INDEX(UWS!$G$10:$Z$41,MATCH($C248,UWS!$B$10:$B$41,0),MATCH(U$4,UWS!$G$3:$Z$3,0)),0)</f>
        <v>0</v>
      </c>
      <c r="V248">
        <f>IFERROR(INDEX(UWS!$G$10:$Z$41,MATCH($C248,UWS!$B$10:$B$41,0),MATCH(V$4,UWS!$G$3:$Z$3,0)),0)</f>
        <v>0</v>
      </c>
      <c r="W248">
        <f>IFERROR(INDEX(UWS!$G$10:$Z$41,MATCH($C248,UWS!$B$10:$B$41,0),MATCH(W$4,UWS!$G$3:$Z$3,0)),0)</f>
        <v>0</v>
      </c>
      <c r="X248">
        <f>IFERROR(INDEX(UWS!$G$10:$Z$41,MATCH($C248,UWS!$B$10:$B$41,0),MATCH(X$4,UWS!$G$3:$Z$3,0)),0)</f>
        <v>0</v>
      </c>
      <c r="Y248">
        <f>IFERROR(INDEX(UWS!$G$10:$Z$41,MATCH($C248,UWS!$B$10:$B$41,0),MATCH(Y$4,UWS!$G$3:$Z$3,0)),0)</f>
        <v>0</v>
      </c>
      <c r="Z248">
        <f>IFERROR(INDEX(UWS!$G$10:$Z$41,MATCH($C248,UWS!$B$10:$B$41,0),MATCH(Z$4,UWS!$G$3:$Z$3,0)),0)</f>
        <v>0</v>
      </c>
      <c r="AA248">
        <f>IFERROR(INDEX(UWS!$G$10:$Z$41,MATCH($C248,UWS!$B$10:$B$41,0),MATCH(AA$4,UWS!$G$3:$Z$3,0)),0)</f>
        <v>0</v>
      </c>
      <c r="AB248">
        <f>IFERROR(INDEX(UWS!$G$10:$Z$41,MATCH($C248,UWS!$B$10:$B$41,0),MATCH(AB$4,UWS!$G$3:$Z$3,0)),0)</f>
        <v>0</v>
      </c>
      <c r="AC248">
        <f>IFERROR(INDEX(UWS!$G$10:$Z$41,MATCH($C248,UWS!$B$10:$B$41,0),MATCH(AC$4,UWS!$G$3:$Z$3,0)),0)</f>
        <v>0</v>
      </c>
      <c r="AD248">
        <f>IFERROR(INDEX(UWS!$G$10:$Z$41,MATCH($C248,UWS!$B$10:$B$41,0),MATCH(AD$4,UWS!$G$3:$Z$3,0)),0)</f>
        <v>0</v>
      </c>
      <c r="AE248">
        <f>IFERROR(INDEX(UWS!$G$10:$Z$41,MATCH($C248,UWS!$B$10:$B$41,0),MATCH(AE$4,UWS!$G$3:$Z$3,0)),0)</f>
        <v>0</v>
      </c>
      <c r="AF248">
        <f>IFERROR(INDEX(UWS!$G$10:$Z$41,MATCH($C248,UWS!$B$10:$B$41,0),MATCH(AF$4,UWS!$G$3:$Z$3,0)),0)</f>
        <v>0</v>
      </c>
      <c r="AG248">
        <f>IFERROR(INDEX(UWS!$G$10:$Z$41,MATCH($C248,UWS!$B$10:$B$41,0),MATCH(AG$4,UWS!$G$3:$Z$3,0)),0)</f>
        <v>0</v>
      </c>
      <c r="AH248">
        <f>IFERROR(INDEX(UWS!$G$10:$Z$41,MATCH($C248,UWS!$B$10:$B$41,0),MATCH(AH$4,UWS!$G$3:$Z$3,0)),0)</f>
        <v>0</v>
      </c>
      <c r="AI248">
        <f>IFERROR(INDEX(UWS!$G$10:$Z$41,MATCH($C248,UWS!$B$10:$B$41,0),MATCH(AI$4,UWS!$G$3:$Z$3,0)),0)</f>
        <v>0</v>
      </c>
      <c r="AK248" t="e">
        <f>IF(OR($J248=0,COUNTIFS($A$4:$A247,"&gt;="&amp;$A248-1,$A$4:$A247,"&lt;="&amp;$A248,$B$4:$B247,$B248)&gt;0,MIN(AK$1,IF($A248=$A247,AK247,1))-P248&lt;0),-1,MIN(1,IF($A248=$A247,AK247,1)-P248+$D$3))</f>
        <v>#N/A</v>
      </c>
      <c r="AL248" t="e">
        <f>IF(OR($J248=0,COUNTIFS($A$4:$A247,"&gt;="&amp;$A248-1,$A$4:$A247,"&lt;="&amp;$A248,$B$4:$B247,$B248)&gt;0,MIN(AL$1,IF($A248=$A247,AL247,1))-Q248&lt;0),-1,MIN(1,IF($A248=$A247,AL247,1)-Q248+$D$3))</f>
        <v>#N/A</v>
      </c>
      <c r="AM248" t="e">
        <f>IF(OR($J248=0,COUNTIFS($A$4:$A247,"&gt;="&amp;$A248-1,$A$4:$A247,"&lt;="&amp;$A248,$B$4:$B247,$B248)&gt;0,MIN(AM$1,IF($A248=$A247,AM247,1))-R248&lt;0),-1,MIN(1,IF($A248=$A247,AM247,1)-R248+$D$3))</f>
        <v>#N/A</v>
      </c>
      <c r="AN248" t="e">
        <f>IF(OR($J248=0,COUNTIFS($A$4:$A247,"&gt;="&amp;$A248-1,$A$4:$A247,"&lt;="&amp;$A248,$B$4:$B247,$B248)&gt;0,MIN(AN$1,IF($A248=$A247,AN247,1))-S248&lt;0),-1,MIN(1,IF($A248=$A247,AN247,1)-S248+$D$3))</f>
        <v>#N/A</v>
      </c>
      <c r="AO248" t="e">
        <f>IF(OR($J248=0,COUNTIFS($A$4:$A247,"&gt;="&amp;$A248-1,$A$4:$A247,"&lt;="&amp;$A248,$B$4:$B247,$B248)&gt;0,MIN(AO$1,IF($A248=$A247,AO247,1))-T248&lt;0),-1,MIN(1,IF($A248=$A247,AO247,1)-T248+$D$3))</f>
        <v>#N/A</v>
      </c>
      <c r="AP248" t="e">
        <f>IF(OR($J248=0,COUNTIFS($A$4:$A247,"&gt;="&amp;$A248-1,$A$4:$A247,"&lt;="&amp;$A248,$B$4:$B247,$B248)&gt;0,MIN(AP$1,IF($A248=$A247,AP247,1))-U248&lt;0),-1,MIN(1,IF($A248=$A247,AP247,1)-U248+$D$3))</f>
        <v>#N/A</v>
      </c>
      <c r="AQ248" t="e">
        <f>IF(OR($J248=0,COUNTIFS($A$4:$A247,"&gt;="&amp;$A248-1,$A$4:$A247,"&lt;="&amp;$A248,$B$4:$B247,$B248)&gt;0,MIN(AQ$1,IF($A248=$A247,AQ247,1))-V248&lt;0),-1,MIN(1,IF($A248=$A247,AQ247,1)-V248+$D$3))</f>
        <v>#N/A</v>
      </c>
      <c r="AR248" t="e">
        <f>IF(OR($J248=0,COUNTIFS($A$4:$A247,"&gt;="&amp;$A248-1,$A$4:$A247,"&lt;="&amp;$A248,$B$4:$B247,$B248)&gt;0,MIN(AR$1,IF($A248=$A247,AR247,1))-W248&lt;0),-1,MIN(1,IF($A248=$A247,AR247,1)-W248+$D$3))</f>
        <v>#N/A</v>
      </c>
      <c r="AS248" t="e">
        <f>IF(OR($J248=0,COUNTIFS($A$4:$A247,"&gt;="&amp;$A248-1,$A$4:$A247,"&lt;="&amp;$A248,$B$4:$B247,$B248)&gt;0,MIN(AS$1,IF($A248=$A247,AS247,1))-X248&lt;0),-1,MIN(1,IF($A248=$A247,AS247,1)-X248+$D$3))</f>
        <v>#N/A</v>
      </c>
      <c r="AT248" t="e">
        <f>IF(OR($J248=0,COUNTIFS($A$4:$A247,"&gt;="&amp;$A248-1,$A$4:$A247,"&lt;="&amp;$A248,$B$4:$B247,$B248)&gt;0,MIN(AT$1,IF($A248=$A247,AT247,1))-Y248&lt;0),-1,MIN(1,IF($A248=$A247,AT247,1)-Y248+$D$3))</f>
        <v>#N/A</v>
      </c>
      <c r="AU248" t="e">
        <f>IF(OR($J248=0,COUNTIFS($A$4:$A247,"&gt;="&amp;$A248-1,$A$4:$A247,"&lt;="&amp;$A248,$B$4:$B247,$B248)&gt;0,MIN(AU$1,IF($A248=$A247,AU247,1))-Z248&lt;0),-1,MIN(1,IF($A248=$A247,AU247,1)-Z248+$D$3))</f>
        <v>#N/A</v>
      </c>
      <c r="AV248" t="e">
        <f>IF(OR($J248=0,COUNTIFS($A$4:$A247,"&gt;="&amp;$A248-1,$A$4:$A247,"&lt;="&amp;$A248,$B$4:$B247,$B248)&gt;0,MIN(AV$1,IF($A248=$A247,AV247,1))-AA248&lt;0),-1,MIN(1,IF($A248=$A247,AV247,1)-AA248+$D$3))</f>
        <v>#N/A</v>
      </c>
      <c r="AW248" t="e">
        <f>IF(OR($J248=0,COUNTIFS($A$4:$A247,"&gt;="&amp;$A248-1,$A$4:$A247,"&lt;="&amp;$A248,$B$4:$B247,$B248)&gt;0,MIN(AW$1,IF($A248=$A247,AW247,1))-AB248&lt;0),-1,MIN(1,IF($A248=$A247,AW247,1)-AB248+$D$3))</f>
        <v>#N/A</v>
      </c>
      <c r="AX248" t="e">
        <f>IF(OR($J248=0,COUNTIFS($A$4:$A247,"&gt;="&amp;$A248-1,$A$4:$A247,"&lt;="&amp;$A248,$B$4:$B247,$B248)&gt;0,MIN(AX$1,IF($A248=$A247,AX247,1))-AC248&lt;0),-1,MIN(1,IF($A248=$A247,AX247,1)-AC248+$D$3))</f>
        <v>#N/A</v>
      </c>
      <c r="AY248" t="e">
        <f>IF(OR($J248=0,COUNTIFS($A$4:$A247,"&gt;="&amp;$A248-1,$A$4:$A247,"&lt;="&amp;$A248,$B$4:$B247,$B248)&gt;0,MIN(AY$1,IF($A248=$A247,AY247,1))-AD248&lt;0),-1,MIN(1,IF($A248=$A247,AY247,1)-AD248+$D$3))</f>
        <v>#N/A</v>
      </c>
      <c r="AZ248" t="e">
        <f>IF(OR($J248=0,COUNTIFS($A$4:$A247,"&gt;="&amp;$A248-1,$A$4:$A247,"&lt;="&amp;$A248,$B$4:$B247,$B248)&gt;0,MIN(AZ$1,IF($A248=$A247,AZ247,1))-AE248&lt;0),-1,MIN(1,IF($A248=$A247,AZ247,1)-AE248+$D$3))</f>
        <v>#N/A</v>
      </c>
      <c r="BA248" t="e">
        <f>IF(OR($J248=0,COUNTIFS($A$4:$A247,"&gt;="&amp;$A248-1,$A$4:$A247,"&lt;="&amp;$A248,$B$4:$B247,$B248)&gt;0,MIN(BA$1,IF($A248=$A247,BA247,1))-AF248&lt;0),-1,MIN(1,IF($A248=$A247,BA247,1)-AF248+$D$3))</f>
        <v>#N/A</v>
      </c>
      <c r="BB248" t="e">
        <f>IF(OR($J248=0,COUNTIFS($A$4:$A247,"&gt;="&amp;$A248-1,$A$4:$A247,"&lt;="&amp;$A248,$B$4:$B247,$B248)&gt;0,MIN(BB$1,IF($A248=$A247,BB247,1))-AG248&lt;0),-1,MIN(1,IF($A248=$A247,BB247,1)-AG248+$D$3))</f>
        <v>#N/A</v>
      </c>
      <c r="BC248" t="e">
        <f>IF(OR($J248=0,COUNTIFS($A$4:$A247,"&gt;="&amp;$A248-1,$A$4:$A247,"&lt;="&amp;$A248,$B$4:$B247,$B248)&gt;0,MIN(BC$1,IF($A248=$A247,BC247,1))-AH248&lt;0),-1,MIN(1,IF($A248=$A247,BC247,1)-AH248+$D$3))</f>
        <v>#N/A</v>
      </c>
      <c r="BD248" t="e">
        <f>IF(OR($J248=0,COUNTIFS($A$4:$A247,"&gt;="&amp;$A248-1,$A$4:$A247,"&lt;="&amp;$A248,$B$4:$B247,$B248)&gt;0,MIN(BD$1,IF($A248=$A247,BD247,1))-AI248&lt;0),-1,MIN(1,IF($A248=$A247,BD247,1)-AI248+$D$3))</f>
        <v>#N/A</v>
      </c>
      <c r="BF248" s="44">
        <f t="shared" si="311"/>
        <v>7.7779578308641079E-6</v>
      </c>
      <c r="BG248" s="44">
        <f t="shared" si="312"/>
        <v>1.9128193100046655E-5</v>
      </c>
      <c r="BH248" s="44">
        <f t="shared" si="313"/>
        <v>1.960438583868908E-5</v>
      </c>
      <c r="BI248" s="44">
        <f t="shared" si="314"/>
        <v>1.8109009586983936E-5</v>
      </c>
      <c r="BJ248" s="44">
        <f t="shared" si="315"/>
        <v>1.8717380604354E-5</v>
      </c>
      <c r="BK248" s="44">
        <f t="shared" si="316"/>
        <v>8.0379411079147133E-6</v>
      </c>
      <c r="BL248" s="44">
        <f t="shared" si="317"/>
        <v>4.3422222425543362E-6</v>
      </c>
      <c r="BM248" s="44">
        <f t="shared" si="318"/>
        <v>1.1046106321900603E-5</v>
      </c>
      <c r="BN248" s="44">
        <f t="shared" si="319"/>
        <v>1.1488811457282765E-5</v>
      </c>
      <c r="BO248" s="44">
        <f t="shared" si="320"/>
        <v>5.3840929992406467E-6</v>
      </c>
      <c r="BP248" s="44">
        <f t="shared" si="321"/>
        <v>1.8103892751286321E-5</v>
      </c>
      <c r="BQ248" s="44">
        <f t="shared" si="322"/>
        <v>4.8854912373312478E-6</v>
      </c>
      <c r="BR248" s="44">
        <f t="shared" si="323"/>
        <v>1.4432964081429428E-5</v>
      </c>
      <c r="BS248" s="44">
        <f t="shared" si="324"/>
        <v>7.7838890561913018E-6</v>
      </c>
      <c r="BT248" s="44">
        <f t="shared" si="325"/>
        <v>3.0803235352405577E-5</v>
      </c>
      <c r="BU248" s="44">
        <f t="shared" si="326"/>
        <v>2.9426358809327372E-5</v>
      </c>
      <c r="BV248" s="44">
        <f t="shared" si="327"/>
        <v>2.8260101450760174E-5</v>
      </c>
      <c r="BW248" s="44">
        <f t="shared" si="328"/>
        <v>1.8483661513970703E-5</v>
      </c>
      <c r="BX248" s="44">
        <f t="shared" si="329"/>
        <v>1.3655393477048623E-5</v>
      </c>
      <c r="BY248" s="44">
        <f t="shared" si="330"/>
        <v>1.1724724809312699E-5</v>
      </c>
      <c r="CA248" s="44" t="str">
        <f t="shared" si="331"/>
        <v/>
      </c>
      <c r="CB248" s="44" t="str">
        <f t="shared" si="332"/>
        <v/>
      </c>
      <c r="CC248" s="44" t="str">
        <f t="shared" si="333"/>
        <v/>
      </c>
      <c r="CD248" s="44" t="str">
        <f t="shared" si="334"/>
        <v/>
      </c>
      <c r="CE248" s="44" t="str">
        <f t="shared" si="335"/>
        <v/>
      </c>
      <c r="CF248" s="44" t="str">
        <f t="shared" si="336"/>
        <v/>
      </c>
      <c r="CG248" s="44" t="str">
        <f t="shared" si="337"/>
        <v/>
      </c>
      <c r="CH248" s="44" t="str">
        <f t="shared" si="338"/>
        <v/>
      </c>
      <c r="CI248" s="44" t="str">
        <f t="shared" si="339"/>
        <v/>
      </c>
      <c r="CJ248" s="44" t="str">
        <f t="shared" si="340"/>
        <v/>
      </c>
      <c r="CK248" s="44" t="str">
        <f t="shared" si="341"/>
        <v/>
      </c>
      <c r="CL248" s="44" t="str">
        <f t="shared" si="342"/>
        <v/>
      </c>
      <c r="CM248" s="44" t="str">
        <f t="shared" si="343"/>
        <v/>
      </c>
      <c r="CN248" s="44" t="str">
        <f t="shared" si="344"/>
        <v/>
      </c>
      <c r="CO248" s="44" t="str">
        <f t="shared" si="345"/>
        <v/>
      </c>
      <c r="CP248" s="44" t="str">
        <f t="shared" si="346"/>
        <v/>
      </c>
      <c r="CQ248" s="44" t="str">
        <f t="shared" si="347"/>
        <v/>
      </c>
      <c r="CR248" s="44" t="str">
        <f t="shared" si="348"/>
        <v/>
      </c>
      <c r="CS248" s="44" t="str">
        <f t="shared" si="349"/>
        <v/>
      </c>
      <c r="CT248" s="44" t="str">
        <f t="shared" si="350"/>
        <v/>
      </c>
      <c r="CV248" s="44">
        <f t="shared" si="351"/>
        <v>0</v>
      </c>
    </row>
    <row r="249" spans="1:100" x14ac:dyDescent="0.25">
      <c r="A249" s="41"/>
      <c r="B249" s="42"/>
      <c r="C249" s="43" t="str" cm="1">
        <f t="array" ref="C249">IF(B249="","",INDEX(UWS!$B$10:$B$41,B249))</f>
        <v/>
      </c>
      <c r="D249" s="40" t="str">
        <f t="shared" si="308"/>
        <v/>
      </c>
      <c r="E249" s="69" t="str">
        <f t="shared" si="309"/>
        <v/>
      </c>
      <c r="F249" s="48" cm="1">
        <f t="array" ref="F249">0.1+IFERROR(INDEX($F$5:$F248,SUMPRODUCT(MAX(ROW($C$5:$C248)*($C249=$C$5:$C248))-ROW($A$4)))*0.9^($A249-INDEX($A$5:A248,SUMPRODUCT(MAX(ROW($C$5:$C248)*($C249=$C$5:$C248))-ROW($A$4)))),0)</f>
        <v>18.399999999999991</v>
      </c>
      <c r="G249" s="55" t="e">
        <f>INDEX(UWS!$AB$10:$AB$41,MATCH(C249,UWS!$B$10:$B$41,0))</f>
        <v>#N/A</v>
      </c>
      <c r="H249" s="48" t="e">
        <f>INDEX(UWS!$C$10:$C$41,MATCH(C249,UWS!$B$10:$B$41,0))</f>
        <v>#N/A</v>
      </c>
      <c r="I249" s="27">
        <f t="shared" si="310"/>
        <v>5</v>
      </c>
      <c r="J249" s="27" t="e">
        <f>INDEX(UWS!$E$10:$E$41,MATCH(C249,UWS!$B$10:$B$41,0))</f>
        <v>#N/A</v>
      </c>
      <c r="L249" s="108" t="str" cm="1">
        <f t="array" ref="L249">IF(K249="","",INDEX(UWS!$B$10:$B$41,K249))</f>
        <v/>
      </c>
      <c r="N249" s="108" t="str" cm="1">
        <f t="array" ref="N249">IF(M249="","",INDEX(UWS!$B$10:$B$41,M249))</f>
        <v/>
      </c>
      <c r="P249">
        <f>IFERROR(INDEX(UWS!$G$10:$Z$41,MATCH($C249,UWS!$B$10:$B$41,0),MATCH(P$4,UWS!$G$3:$Z$3,0)),0)</f>
        <v>0</v>
      </c>
      <c r="Q249">
        <f>IFERROR(INDEX(UWS!$G$10:$Z$41,MATCH($C249,UWS!$B$10:$B$41,0),MATCH(Q$4,UWS!$G$3:$Z$3,0)),0)</f>
        <v>0</v>
      </c>
      <c r="R249">
        <f>IFERROR(INDEX(UWS!$G$10:$Z$41,MATCH($C249,UWS!$B$10:$B$41,0),MATCH(R$4,UWS!$G$3:$Z$3,0)),0)</f>
        <v>0</v>
      </c>
      <c r="S249">
        <f>IFERROR(INDEX(UWS!$G$10:$Z$41,MATCH($C249,UWS!$B$10:$B$41,0),MATCH(S$4,UWS!$G$3:$Z$3,0)),0)</f>
        <v>0</v>
      </c>
      <c r="T249">
        <f>IFERROR(INDEX(UWS!$G$10:$Z$41,MATCH($C249,UWS!$B$10:$B$41,0),MATCH(T$4,UWS!$G$3:$Z$3,0)),0)</f>
        <v>0</v>
      </c>
      <c r="U249">
        <f>IFERROR(INDEX(UWS!$G$10:$Z$41,MATCH($C249,UWS!$B$10:$B$41,0),MATCH(U$4,UWS!$G$3:$Z$3,0)),0)</f>
        <v>0</v>
      </c>
      <c r="V249">
        <f>IFERROR(INDEX(UWS!$G$10:$Z$41,MATCH($C249,UWS!$B$10:$B$41,0),MATCH(V$4,UWS!$G$3:$Z$3,0)),0)</f>
        <v>0</v>
      </c>
      <c r="W249">
        <f>IFERROR(INDEX(UWS!$G$10:$Z$41,MATCH($C249,UWS!$B$10:$B$41,0),MATCH(W$4,UWS!$G$3:$Z$3,0)),0)</f>
        <v>0</v>
      </c>
      <c r="X249">
        <f>IFERROR(INDEX(UWS!$G$10:$Z$41,MATCH($C249,UWS!$B$10:$B$41,0),MATCH(X$4,UWS!$G$3:$Z$3,0)),0)</f>
        <v>0</v>
      </c>
      <c r="Y249">
        <f>IFERROR(INDEX(UWS!$G$10:$Z$41,MATCH($C249,UWS!$B$10:$B$41,0),MATCH(Y$4,UWS!$G$3:$Z$3,0)),0)</f>
        <v>0</v>
      </c>
      <c r="Z249">
        <f>IFERROR(INDEX(UWS!$G$10:$Z$41,MATCH($C249,UWS!$B$10:$B$41,0),MATCH(Z$4,UWS!$G$3:$Z$3,0)),0)</f>
        <v>0</v>
      </c>
      <c r="AA249">
        <f>IFERROR(INDEX(UWS!$G$10:$Z$41,MATCH($C249,UWS!$B$10:$B$41,0),MATCH(AA$4,UWS!$G$3:$Z$3,0)),0)</f>
        <v>0</v>
      </c>
      <c r="AB249">
        <f>IFERROR(INDEX(UWS!$G$10:$Z$41,MATCH($C249,UWS!$B$10:$B$41,0),MATCH(AB$4,UWS!$G$3:$Z$3,0)),0)</f>
        <v>0</v>
      </c>
      <c r="AC249">
        <f>IFERROR(INDEX(UWS!$G$10:$Z$41,MATCH($C249,UWS!$B$10:$B$41,0),MATCH(AC$4,UWS!$G$3:$Z$3,0)),0)</f>
        <v>0</v>
      </c>
      <c r="AD249">
        <f>IFERROR(INDEX(UWS!$G$10:$Z$41,MATCH($C249,UWS!$B$10:$B$41,0),MATCH(AD$4,UWS!$G$3:$Z$3,0)),0)</f>
        <v>0</v>
      </c>
      <c r="AE249">
        <f>IFERROR(INDEX(UWS!$G$10:$Z$41,MATCH($C249,UWS!$B$10:$B$41,0),MATCH(AE$4,UWS!$G$3:$Z$3,0)),0)</f>
        <v>0</v>
      </c>
      <c r="AF249">
        <f>IFERROR(INDEX(UWS!$G$10:$Z$41,MATCH($C249,UWS!$B$10:$B$41,0),MATCH(AF$4,UWS!$G$3:$Z$3,0)),0)</f>
        <v>0</v>
      </c>
      <c r="AG249">
        <f>IFERROR(INDEX(UWS!$G$10:$Z$41,MATCH($C249,UWS!$B$10:$B$41,0),MATCH(AG$4,UWS!$G$3:$Z$3,0)),0)</f>
        <v>0</v>
      </c>
      <c r="AH249">
        <f>IFERROR(INDEX(UWS!$G$10:$Z$41,MATCH($C249,UWS!$B$10:$B$41,0),MATCH(AH$4,UWS!$G$3:$Z$3,0)),0)</f>
        <v>0</v>
      </c>
      <c r="AI249">
        <f>IFERROR(INDEX(UWS!$G$10:$Z$41,MATCH($C249,UWS!$B$10:$B$41,0),MATCH(AI$4,UWS!$G$3:$Z$3,0)),0)</f>
        <v>0</v>
      </c>
      <c r="AK249" t="e">
        <f>IF(OR($J249=0,COUNTIFS($A$4:$A248,"&gt;="&amp;$A249-1,$A$4:$A248,"&lt;="&amp;$A249,$B$4:$B248,$B249)&gt;0,MIN(AK$1,IF($A249=$A248,AK248,1))-P249&lt;0),-1,MIN(1,IF($A249=$A248,AK248,1)-P249+$D$3))</f>
        <v>#N/A</v>
      </c>
      <c r="AL249" t="e">
        <f>IF(OR($J249=0,COUNTIFS($A$4:$A248,"&gt;="&amp;$A249-1,$A$4:$A248,"&lt;="&amp;$A249,$B$4:$B248,$B249)&gt;0,MIN(AL$1,IF($A249=$A248,AL248,1))-Q249&lt;0),-1,MIN(1,IF($A249=$A248,AL248,1)-Q249+$D$3))</f>
        <v>#N/A</v>
      </c>
      <c r="AM249" t="e">
        <f>IF(OR($J249=0,COUNTIFS($A$4:$A248,"&gt;="&amp;$A249-1,$A$4:$A248,"&lt;="&amp;$A249,$B$4:$B248,$B249)&gt;0,MIN(AM$1,IF($A249=$A248,AM248,1))-R249&lt;0),-1,MIN(1,IF($A249=$A248,AM248,1)-R249+$D$3))</f>
        <v>#N/A</v>
      </c>
      <c r="AN249" t="e">
        <f>IF(OR($J249=0,COUNTIFS($A$4:$A248,"&gt;="&amp;$A249-1,$A$4:$A248,"&lt;="&amp;$A249,$B$4:$B248,$B249)&gt;0,MIN(AN$1,IF($A249=$A248,AN248,1))-S249&lt;0),-1,MIN(1,IF($A249=$A248,AN248,1)-S249+$D$3))</f>
        <v>#N/A</v>
      </c>
      <c r="AO249" t="e">
        <f>IF(OR($J249=0,COUNTIFS($A$4:$A248,"&gt;="&amp;$A249-1,$A$4:$A248,"&lt;="&amp;$A249,$B$4:$B248,$B249)&gt;0,MIN(AO$1,IF($A249=$A248,AO248,1))-T249&lt;0),-1,MIN(1,IF($A249=$A248,AO248,1)-T249+$D$3))</f>
        <v>#N/A</v>
      </c>
      <c r="AP249" t="e">
        <f>IF(OR($J249=0,COUNTIFS($A$4:$A248,"&gt;="&amp;$A249-1,$A$4:$A248,"&lt;="&amp;$A249,$B$4:$B248,$B249)&gt;0,MIN(AP$1,IF($A249=$A248,AP248,1))-U249&lt;0),-1,MIN(1,IF($A249=$A248,AP248,1)-U249+$D$3))</f>
        <v>#N/A</v>
      </c>
      <c r="AQ249" t="e">
        <f>IF(OR($J249=0,COUNTIFS($A$4:$A248,"&gt;="&amp;$A249-1,$A$4:$A248,"&lt;="&amp;$A249,$B$4:$B248,$B249)&gt;0,MIN(AQ$1,IF($A249=$A248,AQ248,1))-V249&lt;0),-1,MIN(1,IF($A249=$A248,AQ248,1)-V249+$D$3))</f>
        <v>#N/A</v>
      </c>
      <c r="AR249" t="e">
        <f>IF(OR($J249=0,COUNTIFS($A$4:$A248,"&gt;="&amp;$A249-1,$A$4:$A248,"&lt;="&amp;$A249,$B$4:$B248,$B249)&gt;0,MIN(AR$1,IF($A249=$A248,AR248,1))-W249&lt;0),-1,MIN(1,IF($A249=$A248,AR248,1)-W249+$D$3))</f>
        <v>#N/A</v>
      </c>
      <c r="AS249" t="e">
        <f>IF(OR($J249=0,COUNTIFS($A$4:$A248,"&gt;="&amp;$A249-1,$A$4:$A248,"&lt;="&amp;$A249,$B$4:$B248,$B249)&gt;0,MIN(AS$1,IF($A249=$A248,AS248,1))-X249&lt;0),-1,MIN(1,IF($A249=$A248,AS248,1)-X249+$D$3))</f>
        <v>#N/A</v>
      </c>
      <c r="AT249" t="e">
        <f>IF(OR($J249=0,COUNTIFS($A$4:$A248,"&gt;="&amp;$A249-1,$A$4:$A248,"&lt;="&amp;$A249,$B$4:$B248,$B249)&gt;0,MIN(AT$1,IF($A249=$A248,AT248,1))-Y249&lt;0),-1,MIN(1,IF($A249=$A248,AT248,1)-Y249+$D$3))</f>
        <v>#N/A</v>
      </c>
      <c r="AU249" t="e">
        <f>IF(OR($J249=0,COUNTIFS($A$4:$A248,"&gt;="&amp;$A249-1,$A$4:$A248,"&lt;="&amp;$A249,$B$4:$B248,$B249)&gt;0,MIN(AU$1,IF($A249=$A248,AU248,1))-Z249&lt;0),-1,MIN(1,IF($A249=$A248,AU248,1)-Z249+$D$3))</f>
        <v>#N/A</v>
      </c>
      <c r="AV249" t="e">
        <f>IF(OR($J249=0,COUNTIFS($A$4:$A248,"&gt;="&amp;$A249-1,$A$4:$A248,"&lt;="&amp;$A249,$B$4:$B248,$B249)&gt;0,MIN(AV$1,IF($A249=$A248,AV248,1))-AA249&lt;0),-1,MIN(1,IF($A249=$A248,AV248,1)-AA249+$D$3))</f>
        <v>#N/A</v>
      </c>
      <c r="AW249" t="e">
        <f>IF(OR($J249=0,COUNTIFS($A$4:$A248,"&gt;="&amp;$A249-1,$A$4:$A248,"&lt;="&amp;$A249,$B$4:$B248,$B249)&gt;0,MIN(AW$1,IF($A249=$A248,AW248,1))-AB249&lt;0),-1,MIN(1,IF($A249=$A248,AW248,1)-AB249+$D$3))</f>
        <v>#N/A</v>
      </c>
      <c r="AX249" t="e">
        <f>IF(OR($J249=0,COUNTIFS($A$4:$A248,"&gt;="&amp;$A249-1,$A$4:$A248,"&lt;="&amp;$A249,$B$4:$B248,$B249)&gt;0,MIN(AX$1,IF($A249=$A248,AX248,1))-AC249&lt;0),-1,MIN(1,IF($A249=$A248,AX248,1)-AC249+$D$3))</f>
        <v>#N/A</v>
      </c>
      <c r="AY249" t="e">
        <f>IF(OR($J249=0,COUNTIFS($A$4:$A248,"&gt;="&amp;$A249-1,$A$4:$A248,"&lt;="&amp;$A249,$B$4:$B248,$B249)&gt;0,MIN(AY$1,IF($A249=$A248,AY248,1))-AD249&lt;0),-1,MIN(1,IF($A249=$A248,AY248,1)-AD249+$D$3))</f>
        <v>#N/A</v>
      </c>
      <c r="AZ249" t="e">
        <f>IF(OR($J249=0,COUNTIFS($A$4:$A248,"&gt;="&amp;$A249-1,$A$4:$A248,"&lt;="&amp;$A249,$B$4:$B248,$B249)&gt;0,MIN(AZ$1,IF($A249=$A248,AZ248,1))-AE249&lt;0),-1,MIN(1,IF($A249=$A248,AZ248,1)-AE249+$D$3))</f>
        <v>#N/A</v>
      </c>
      <c r="BA249" t="e">
        <f>IF(OR($J249=0,COUNTIFS($A$4:$A248,"&gt;="&amp;$A249-1,$A$4:$A248,"&lt;="&amp;$A249,$B$4:$B248,$B249)&gt;0,MIN(BA$1,IF($A249=$A248,BA248,1))-AF249&lt;0),-1,MIN(1,IF($A249=$A248,BA248,1)-AF249+$D$3))</f>
        <v>#N/A</v>
      </c>
      <c r="BB249" t="e">
        <f>IF(OR($J249=0,COUNTIFS($A$4:$A248,"&gt;="&amp;$A249-1,$A$4:$A248,"&lt;="&amp;$A249,$B$4:$B248,$B249)&gt;0,MIN(BB$1,IF($A249=$A248,BB248,1))-AG249&lt;0),-1,MIN(1,IF($A249=$A248,BB248,1)-AG249+$D$3))</f>
        <v>#N/A</v>
      </c>
      <c r="BC249" t="e">
        <f>IF(OR($J249=0,COUNTIFS($A$4:$A248,"&gt;="&amp;$A249-1,$A$4:$A248,"&lt;="&amp;$A249,$B$4:$B248,$B249)&gt;0,MIN(BC$1,IF($A249=$A248,BC248,1))-AH249&lt;0),-1,MIN(1,IF($A249=$A248,BC248,1)-AH249+$D$3))</f>
        <v>#N/A</v>
      </c>
      <c r="BD249" t="e">
        <f>IF(OR($J249=0,COUNTIFS($A$4:$A248,"&gt;="&amp;$A249-1,$A$4:$A248,"&lt;="&amp;$A249,$B$4:$B248,$B249)&gt;0,MIN(BD$1,IF($A249=$A248,BD248,1))-AI249&lt;0),-1,MIN(1,IF($A249=$A248,BD248,1)-AI249+$D$3))</f>
        <v>#N/A</v>
      </c>
      <c r="BF249" s="44">
        <f t="shared" si="311"/>
        <v>7.3890599393209024E-6</v>
      </c>
      <c r="BG249" s="44">
        <f t="shared" si="312"/>
        <v>1.8171783445044322E-5</v>
      </c>
      <c r="BH249" s="44">
        <f t="shared" si="313"/>
        <v>1.8624166546754625E-5</v>
      </c>
      <c r="BI249" s="44">
        <f t="shared" si="314"/>
        <v>1.7203559107634737E-5</v>
      </c>
      <c r="BJ249" s="44">
        <f t="shared" si="315"/>
        <v>1.7781511574136298E-5</v>
      </c>
      <c r="BK249" s="44">
        <f t="shared" si="316"/>
        <v>7.6360440525189766E-6</v>
      </c>
      <c r="BL249" s="44">
        <f t="shared" si="317"/>
        <v>4.1251111304266192E-6</v>
      </c>
      <c r="BM249" s="44">
        <f t="shared" si="318"/>
        <v>1.0493801005805573E-5</v>
      </c>
      <c r="BN249" s="44">
        <f t="shared" si="319"/>
        <v>1.0914370884418626E-5</v>
      </c>
      <c r="BO249" s="44">
        <f t="shared" si="320"/>
        <v>5.1148883492786145E-6</v>
      </c>
      <c r="BP249" s="44">
        <f t="shared" si="321"/>
        <v>1.7198698113722003E-5</v>
      </c>
      <c r="BQ249" s="44">
        <f t="shared" si="322"/>
        <v>4.641216675464685E-6</v>
      </c>
      <c r="BR249" s="44">
        <f t="shared" si="323"/>
        <v>1.3711315877357956E-5</v>
      </c>
      <c r="BS249" s="44">
        <f t="shared" si="324"/>
        <v>7.3946946033817363E-6</v>
      </c>
      <c r="BT249" s="44">
        <f t="shared" si="325"/>
        <v>2.9263073584785296E-5</v>
      </c>
      <c r="BU249" s="44">
        <f t="shared" si="326"/>
        <v>2.7955040868861002E-5</v>
      </c>
      <c r="BV249" s="44">
        <f t="shared" si="327"/>
        <v>2.6847096378222164E-5</v>
      </c>
      <c r="BW249" s="44">
        <f t="shared" si="328"/>
        <v>1.7559478438272167E-5</v>
      </c>
      <c r="BX249" s="44">
        <f t="shared" si="329"/>
        <v>1.2972623803196192E-5</v>
      </c>
      <c r="BY249" s="44">
        <f t="shared" si="330"/>
        <v>1.1138488568847064E-5</v>
      </c>
      <c r="CA249" s="44" t="str">
        <f t="shared" si="331"/>
        <v/>
      </c>
      <c r="CB249" s="44" t="str">
        <f t="shared" si="332"/>
        <v/>
      </c>
      <c r="CC249" s="44" t="str">
        <f t="shared" si="333"/>
        <v/>
      </c>
      <c r="CD249" s="44" t="str">
        <f t="shared" si="334"/>
        <v/>
      </c>
      <c r="CE249" s="44" t="str">
        <f t="shared" si="335"/>
        <v/>
      </c>
      <c r="CF249" s="44" t="str">
        <f t="shared" si="336"/>
        <v/>
      </c>
      <c r="CG249" s="44" t="str">
        <f t="shared" si="337"/>
        <v/>
      </c>
      <c r="CH249" s="44" t="str">
        <f t="shared" si="338"/>
        <v/>
      </c>
      <c r="CI249" s="44" t="str">
        <f t="shared" si="339"/>
        <v/>
      </c>
      <c r="CJ249" s="44" t="str">
        <f t="shared" si="340"/>
        <v/>
      </c>
      <c r="CK249" s="44" t="str">
        <f t="shared" si="341"/>
        <v/>
      </c>
      <c r="CL249" s="44" t="str">
        <f t="shared" si="342"/>
        <v/>
      </c>
      <c r="CM249" s="44" t="str">
        <f t="shared" si="343"/>
        <v/>
      </c>
      <c r="CN249" s="44" t="str">
        <f t="shared" si="344"/>
        <v/>
      </c>
      <c r="CO249" s="44" t="str">
        <f t="shared" si="345"/>
        <v/>
      </c>
      <c r="CP249" s="44" t="str">
        <f t="shared" si="346"/>
        <v/>
      </c>
      <c r="CQ249" s="44" t="str">
        <f t="shared" si="347"/>
        <v/>
      </c>
      <c r="CR249" s="44" t="str">
        <f t="shared" si="348"/>
        <v/>
      </c>
      <c r="CS249" s="44" t="str">
        <f t="shared" si="349"/>
        <v/>
      </c>
      <c r="CT249" s="44" t="str">
        <f t="shared" si="350"/>
        <v/>
      </c>
      <c r="CV249" s="44">
        <f t="shared" si="351"/>
        <v>0</v>
      </c>
    </row>
    <row r="250" spans="1:100" x14ac:dyDescent="0.25">
      <c r="A250" s="49"/>
      <c r="B250" s="50"/>
      <c r="C250" s="51" t="str" cm="1">
        <f t="array" ref="C250">IF(B250="","",INDEX(UWS!$B$10:$B$41,B250))</f>
        <v/>
      </c>
      <c r="D250" s="45" t="str">
        <f t="shared" si="308"/>
        <v/>
      </c>
      <c r="E250" s="70" t="str">
        <f t="shared" si="309"/>
        <v/>
      </c>
      <c r="F250" s="52" cm="1">
        <f t="array" ref="F250">0.1+IFERROR(INDEX($F$5:$F249,SUMPRODUCT(MAX(ROW($C$5:$C249)*($C250=$C$5:$C249))-ROW($A$4)))*0.9^($A250-INDEX($A$5:A249,SUMPRODUCT(MAX(ROW($C$5:$C249)*($C250=$C$5:$C249))-ROW($A$4)))),0)</f>
        <v>18.499999999999993</v>
      </c>
      <c r="G250" s="56" t="e">
        <f>INDEX(UWS!$AB$10:$AB$41,MATCH(C250,UWS!$B$10:$B$41,0))</f>
        <v>#N/A</v>
      </c>
      <c r="H250" s="52" t="e">
        <f>INDEX(UWS!$C$10:$C$41,MATCH(C250,UWS!$B$10:$B$41,0))</f>
        <v>#N/A</v>
      </c>
      <c r="I250" s="46">
        <f t="shared" si="310"/>
        <v>5</v>
      </c>
      <c r="J250" s="46" t="e">
        <f>INDEX(UWS!$E$10:$E$41,MATCH(C250,UWS!$B$10:$B$41,0))</f>
        <v>#N/A</v>
      </c>
      <c r="K250" s="46"/>
      <c r="L250" s="109" t="str" cm="1">
        <f t="array" ref="L250">IF(K250="","",INDEX(UWS!$B$10:$B$41,K250))</f>
        <v/>
      </c>
      <c r="M250" s="46"/>
      <c r="N250" s="109" t="str" cm="1">
        <f t="array" ref="N250">IF(M250="","",INDEX(UWS!$B$10:$B$41,M250))</f>
        <v/>
      </c>
      <c r="O250" s="47"/>
      <c r="P250" s="47">
        <f>IFERROR(INDEX(UWS!$G$10:$Z$41,MATCH($C250,UWS!$B$10:$B$41,0),MATCH(P$4,UWS!$G$3:$Z$3,0)),0)</f>
        <v>0</v>
      </c>
      <c r="Q250" s="47">
        <f>IFERROR(INDEX(UWS!$G$10:$Z$41,MATCH($C250,UWS!$B$10:$B$41,0),MATCH(Q$4,UWS!$G$3:$Z$3,0)),0)</f>
        <v>0</v>
      </c>
      <c r="R250" s="47">
        <f>IFERROR(INDEX(UWS!$G$10:$Z$41,MATCH($C250,UWS!$B$10:$B$41,0),MATCH(R$4,UWS!$G$3:$Z$3,0)),0)</f>
        <v>0</v>
      </c>
      <c r="S250" s="47">
        <f>IFERROR(INDEX(UWS!$G$10:$Z$41,MATCH($C250,UWS!$B$10:$B$41,0),MATCH(S$4,UWS!$G$3:$Z$3,0)),0)</f>
        <v>0</v>
      </c>
      <c r="T250" s="47">
        <f>IFERROR(INDEX(UWS!$G$10:$Z$41,MATCH($C250,UWS!$B$10:$B$41,0),MATCH(T$4,UWS!$G$3:$Z$3,0)),0)</f>
        <v>0</v>
      </c>
      <c r="U250" s="47">
        <f>IFERROR(INDEX(UWS!$G$10:$Z$41,MATCH($C250,UWS!$B$10:$B$41,0),MATCH(U$4,UWS!$G$3:$Z$3,0)),0)</f>
        <v>0</v>
      </c>
      <c r="V250" s="47">
        <f>IFERROR(INDEX(UWS!$G$10:$Z$41,MATCH($C250,UWS!$B$10:$B$41,0),MATCH(V$4,UWS!$G$3:$Z$3,0)),0)</f>
        <v>0</v>
      </c>
      <c r="W250" s="47">
        <f>IFERROR(INDEX(UWS!$G$10:$Z$41,MATCH($C250,UWS!$B$10:$B$41,0),MATCH(W$4,UWS!$G$3:$Z$3,0)),0)</f>
        <v>0</v>
      </c>
      <c r="X250" s="47">
        <f>IFERROR(INDEX(UWS!$G$10:$Z$41,MATCH($C250,UWS!$B$10:$B$41,0),MATCH(X$4,UWS!$G$3:$Z$3,0)),0)</f>
        <v>0</v>
      </c>
      <c r="Y250" s="47">
        <f>IFERROR(INDEX(UWS!$G$10:$Z$41,MATCH($C250,UWS!$B$10:$B$41,0),MATCH(Y$4,UWS!$G$3:$Z$3,0)),0)</f>
        <v>0</v>
      </c>
      <c r="Z250" s="47">
        <f>IFERROR(INDEX(UWS!$G$10:$Z$41,MATCH($C250,UWS!$B$10:$B$41,0),MATCH(Z$4,UWS!$G$3:$Z$3,0)),0)</f>
        <v>0</v>
      </c>
      <c r="AA250" s="47">
        <f>IFERROR(INDEX(UWS!$G$10:$Z$41,MATCH($C250,UWS!$B$10:$B$41,0),MATCH(AA$4,UWS!$G$3:$Z$3,0)),0)</f>
        <v>0</v>
      </c>
      <c r="AB250" s="47">
        <f>IFERROR(INDEX(UWS!$G$10:$Z$41,MATCH($C250,UWS!$B$10:$B$41,0),MATCH(AB$4,UWS!$G$3:$Z$3,0)),0)</f>
        <v>0</v>
      </c>
      <c r="AC250" s="47">
        <f>IFERROR(INDEX(UWS!$G$10:$Z$41,MATCH($C250,UWS!$B$10:$B$41,0),MATCH(AC$4,UWS!$G$3:$Z$3,0)),0)</f>
        <v>0</v>
      </c>
      <c r="AD250" s="47">
        <f>IFERROR(INDEX(UWS!$G$10:$Z$41,MATCH($C250,UWS!$B$10:$B$41,0),MATCH(AD$4,UWS!$G$3:$Z$3,0)),0)</f>
        <v>0</v>
      </c>
      <c r="AE250" s="47">
        <f>IFERROR(INDEX(UWS!$G$10:$Z$41,MATCH($C250,UWS!$B$10:$B$41,0),MATCH(AE$4,UWS!$G$3:$Z$3,0)),0)</f>
        <v>0</v>
      </c>
      <c r="AF250" s="47">
        <f>IFERROR(INDEX(UWS!$G$10:$Z$41,MATCH($C250,UWS!$B$10:$B$41,0),MATCH(AF$4,UWS!$G$3:$Z$3,0)),0)</f>
        <v>0</v>
      </c>
      <c r="AG250" s="47">
        <f>IFERROR(INDEX(UWS!$G$10:$Z$41,MATCH($C250,UWS!$B$10:$B$41,0),MATCH(AG$4,UWS!$G$3:$Z$3,0)),0)</f>
        <v>0</v>
      </c>
      <c r="AH250" s="47">
        <f>IFERROR(INDEX(UWS!$G$10:$Z$41,MATCH($C250,UWS!$B$10:$B$41,0),MATCH(AH$4,UWS!$G$3:$Z$3,0)),0)</f>
        <v>0</v>
      </c>
      <c r="AI250" s="47">
        <f>IFERROR(INDEX(UWS!$G$10:$Z$41,MATCH($C250,UWS!$B$10:$B$41,0),MATCH(AI$4,UWS!$G$3:$Z$3,0)),0)</f>
        <v>0</v>
      </c>
      <c r="AJ250" s="47"/>
      <c r="AK250" s="47" t="e">
        <f>IF(OR($J250=0,COUNTIFS($A$4:$A249,"&gt;="&amp;$A250-1,$A$4:$A249,"&lt;="&amp;$A250,$B$4:$B249,$B250)&gt;0,MIN(AK$1,IF($A250=$A249,AK249,1))-P250&lt;0),-1,MIN(1,IF($A250=$A249,AK249,1)-P250+$D$3))</f>
        <v>#N/A</v>
      </c>
      <c r="AL250" s="47" t="e">
        <f>IF(OR($J250=0,COUNTIFS($A$4:$A249,"&gt;="&amp;$A250-1,$A$4:$A249,"&lt;="&amp;$A250,$B$4:$B249,$B250)&gt;0,MIN(AL$1,IF($A250=$A249,AL249,1))-Q250&lt;0),-1,MIN(1,IF($A250=$A249,AL249,1)-Q250+$D$3))</f>
        <v>#N/A</v>
      </c>
      <c r="AM250" s="47" t="e">
        <f>IF(OR($J250=0,COUNTIFS($A$4:$A249,"&gt;="&amp;$A250-1,$A$4:$A249,"&lt;="&amp;$A250,$B$4:$B249,$B250)&gt;0,MIN(AM$1,IF($A250=$A249,AM249,1))-R250&lt;0),-1,MIN(1,IF($A250=$A249,AM249,1)-R250+$D$3))</f>
        <v>#N/A</v>
      </c>
      <c r="AN250" s="47" t="e">
        <f>IF(OR($J250=0,COUNTIFS($A$4:$A249,"&gt;="&amp;$A250-1,$A$4:$A249,"&lt;="&amp;$A250,$B$4:$B249,$B250)&gt;0,MIN(AN$1,IF($A250=$A249,AN249,1))-S250&lt;0),-1,MIN(1,IF($A250=$A249,AN249,1)-S250+$D$3))</f>
        <v>#N/A</v>
      </c>
      <c r="AO250" s="47" t="e">
        <f>IF(OR($J250=0,COUNTIFS($A$4:$A249,"&gt;="&amp;$A250-1,$A$4:$A249,"&lt;="&amp;$A250,$B$4:$B249,$B250)&gt;0,MIN(AO$1,IF($A250=$A249,AO249,1))-T250&lt;0),-1,MIN(1,IF($A250=$A249,AO249,1)-T250+$D$3))</f>
        <v>#N/A</v>
      </c>
      <c r="AP250" s="47" t="e">
        <f>IF(OR($J250=0,COUNTIFS($A$4:$A249,"&gt;="&amp;$A250-1,$A$4:$A249,"&lt;="&amp;$A250,$B$4:$B249,$B250)&gt;0,MIN(AP$1,IF($A250=$A249,AP249,1))-U250&lt;0),-1,MIN(1,IF($A250=$A249,AP249,1)-U250+$D$3))</f>
        <v>#N/A</v>
      </c>
      <c r="AQ250" s="47" t="e">
        <f>IF(OR($J250=0,COUNTIFS($A$4:$A249,"&gt;="&amp;$A250-1,$A$4:$A249,"&lt;="&amp;$A250,$B$4:$B249,$B250)&gt;0,MIN(AQ$1,IF($A250=$A249,AQ249,1))-V250&lt;0),-1,MIN(1,IF($A250=$A249,AQ249,1)-V250+$D$3))</f>
        <v>#N/A</v>
      </c>
      <c r="AR250" s="47" t="e">
        <f>IF(OR($J250=0,COUNTIFS($A$4:$A249,"&gt;="&amp;$A250-1,$A$4:$A249,"&lt;="&amp;$A250,$B$4:$B249,$B250)&gt;0,MIN(AR$1,IF($A250=$A249,AR249,1))-W250&lt;0),-1,MIN(1,IF($A250=$A249,AR249,1)-W250+$D$3))</f>
        <v>#N/A</v>
      </c>
      <c r="AS250" s="47" t="e">
        <f>IF(OR($J250=0,COUNTIFS($A$4:$A249,"&gt;="&amp;$A250-1,$A$4:$A249,"&lt;="&amp;$A250,$B$4:$B249,$B250)&gt;0,MIN(AS$1,IF($A250=$A249,AS249,1))-X250&lt;0),-1,MIN(1,IF($A250=$A249,AS249,1)-X250+$D$3))</f>
        <v>#N/A</v>
      </c>
      <c r="AT250" s="47" t="e">
        <f>IF(OR($J250=0,COUNTIFS($A$4:$A249,"&gt;="&amp;$A250-1,$A$4:$A249,"&lt;="&amp;$A250,$B$4:$B249,$B250)&gt;0,MIN(AT$1,IF($A250=$A249,AT249,1))-Y250&lt;0),-1,MIN(1,IF($A250=$A249,AT249,1)-Y250+$D$3))</f>
        <v>#N/A</v>
      </c>
      <c r="AU250" s="47" t="e">
        <f>IF(OR($J250=0,COUNTIFS($A$4:$A249,"&gt;="&amp;$A250-1,$A$4:$A249,"&lt;="&amp;$A250,$B$4:$B249,$B250)&gt;0,MIN(AU$1,IF($A250=$A249,AU249,1))-Z250&lt;0),-1,MIN(1,IF($A250=$A249,AU249,1)-Z250+$D$3))</f>
        <v>#N/A</v>
      </c>
      <c r="AV250" s="47" t="e">
        <f>IF(OR($J250=0,COUNTIFS($A$4:$A249,"&gt;="&amp;$A250-1,$A$4:$A249,"&lt;="&amp;$A250,$B$4:$B249,$B250)&gt;0,MIN(AV$1,IF($A250=$A249,AV249,1))-AA250&lt;0),-1,MIN(1,IF($A250=$A249,AV249,1)-AA250+$D$3))</f>
        <v>#N/A</v>
      </c>
      <c r="AW250" s="47" t="e">
        <f>IF(OR($J250=0,COUNTIFS($A$4:$A249,"&gt;="&amp;$A250-1,$A$4:$A249,"&lt;="&amp;$A250,$B$4:$B249,$B250)&gt;0,MIN(AW$1,IF($A250=$A249,AW249,1))-AB250&lt;0),-1,MIN(1,IF($A250=$A249,AW249,1)-AB250+$D$3))</f>
        <v>#N/A</v>
      </c>
      <c r="AX250" s="47" t="e">
        <f>IF(OR($J250=0,COUNTIFS($A$4:$A249,"&gt;="&amp;$A250-1,$A$4:$A249,"&lt;="&amp;$A250,$B$4:$B249,$B250)&gt;0,MIN(AX$1,IF($A250=$A249,AX249,1))-AC250&lt;0),-1,MIN(1,IF($A250=$A249,AX249,1)-AC250+$D$3))</f>
        <v>#N/A</v>
      </c>
      <c r="AY250" s="47" t="e">
        <f>IF(OR($J250=0,COUNTIFS($A$4:$A249,"&gt;="&amp;$A250-1,$A$4:$A249,"&lt;="&amp;$A250,$B$4:$B249,$B250)&gt;0,MIN(AY$1,IF($A250=$A249,AY249,1))-AD250&lt;0),-1,MIN(1,IF($A250=$A249,AY249,1)-AD250+$D$3))</f>
        <v>#N/A</v>
      </c>
      <c r="AZ250" s="47" t="e">
        <f>IF(OR($J250=0,COUNTIFS($A$4:$A249,"&gt;="&amp;$A250-1,$A$4:$A249,"&lt;="&amp;$A250,$B$4:$B249,$B250)&gt;0,MIN(AZ$1,IF($A250=$A249,AZ249,1))-AE250&lt;0),-1,MIN(1,IF($A250=$A249,AZ249,1)-AE250+$D$3))</f>
        <v>#N/A</v>
      </c>
      <c r="BA250" s="47" t="e">
        <f>IF(OR($J250=0,COUNTIFS($A$4:$A249,"&gt;="&amp;$A250-1,$A$4:$A249,"&lt;="&amp;$A250,$B$4:$B249,$B250)&gt;0,MIN(BA$1,IF($A250=$A249,BA249,1))-AF250&lt;0),-1,MIN(1,IF($A250=$A249,BA249,1)-AF250+$D$3))</f>
        <v>#N/A</v>
      </c>
      <c r="BB250" s="47" t="e">
        <f>IF(OR($J250=0,COUNTIFS($A$4:$A249,"&gt;="&amp;$A250-1,$A$4:$A249,"&lt;="&amp;$A250,$B$4:$B249,$B250)&gt;0,MIN(BB$1,IF($A250=$A249,BB249,1))-AG250&lt;0),-1,MIN(1,IF($A250=$A249,BB249,1)-AG250+$D$3))</f>
        <v>#N/A</v>
      </c>
      <c r="BC250" s="47" t="e">
        <f>IF(OR($J250=0,COUNTIFS($A$4:$A249,"&gt;="&amp;$A250-1,$A$4:$A249,"&lt;="&amp;$A250,$B$4:$B249,$B250)&gt;0,MIN(BC$1,IF($A250=$A249,BC249,1))-AH250&lt;0),-1,MIN(1,IF($A250=$A249,BC249,1)-AH250+$D$3))</f>
        <v>#N/A</v>
      </c>
      <c r="BD250" s="47" t="e">
        <f>IF(OR($J250=0,COUNTIFS($A$4:$A249,"&gt;="&amp;$A250-1,$A$4:$A249,"&lt;="&amp;$A250,$B$4:$B249,$B250)&gt;0,MIN(BD$1,IF($A250=$A249,BD249,1))-AI250&lt;0),-1,MIN(1,IF($A250=$A249,BD249,1)-AI250+$D$3))</f>
        <v>#N/A</v>
      </c>
      <c r="BE250" s="47"/>
      <c r="BF250" s="53">
        <f t="shared" si="311"/>
        <v>7.0196069423548573E-6</v>
      </c>
      <c r="BG250" s="53">
        <f t="shared" si="312"/>
        <v>1.7263194272792105E-5</v>
      </c>
      <c r="BH250" s="53">
        <f t="shared" si="313"/>
        <v>1.7692958219416892E-5</v>
      </c>
      <c r="BI250" s="53">
        <f t="shared" si="314"/>
        <v>1.6343381152252998E-5</v>
      </c>
      <c r="BJ250" s="53">
        <f t="shared" si="315"/>
        <v>1.6892435995429484E-5</v>
      </c>
      <c r="BK250" s="53">
        <f t="shared" si="316"/>
        <v>7.2542418498930273E-6</v>
      </c>
      <c r="BL250" s="53">
        <f t="shared" si="317"/>
        <v>3.918855573905288E-6</v>
      </c>
      <c r="BM250" s="53">
        <f t="shared" si="318"/>
        <v>9.9691109555152942E-6</v>
      </c>
      <c r="BN250" s="53">
        <f t="shared" si="319"/>
        <v>1.0368652340197695E-5</v>
      </c>
      <c r="BO250" s="53">
        <f t="shared" si="320"/>
        <v>4.8591439318146839E-6</v>
      </c>
      <c r="BP250" s="53">
        <f t="shared" si="321"/>
        <v>1.6338763208035902E-5</v>
      </c>
      <c r="BQ250" s="53">
        <f t="shared" si="322"/>
        <v>4.4091558416914502E-6</v>
      </c>
      <c r="BR250" s="53">
        <f t="shared" si="323"/>
        <v>1.3025750083490059E-5</v>
      </c>
      <c r="BS250" s="53">
        <f t="shared" si="324"/>
        <v>7.0249598732126494E-6</v>
      </c>
      <c r="BT250" s="53">
        <f t="shared" si="325"/>
        <v>2.7799919905546031E-5</v>
      </c>
      <c r="BU250" s="53">
        <f t="shared" si="326"/>
        <v>2.6557288825417952E-5</v>
      </c>
      <c r="BV250" s="53">
        <f t="shared" si="327"/>
        <v>2.5504741559311056E-5</v>
      </c>
      <c r="BW250" s="53">
        <f t="shared" si="328"/>
        <v>1.6681504516358559E-5</v>
      </c>
      <c r="BX250" s="53">
        <f t="shared" si="329"/>
        <v>1.2323992613036381E-5</v>
      </c>
      <c r="BY250" s="53">
        <f t="shared" si="330"/>
        <v>1.058156414040471E-5</v>
      </c>
      <c r="BZ250" s="47"/>
      <c r="CA250" s="53" t="str">
        <f t="shared" si="331"/>
        <v/>
      </c>
      <c r="CB250" s="53" t="str">
        <f t="shared" si="332"/>
        <v/>
      </c>
      <c r="CC250" s="53" t="str">
        <f t="shared" si="333"/>
        <v/>
      </c>
      <c r="CD250" s="53" t="str">
        <f t="shared" si="334"/>
        <v/>
      </c>
      <c r="CE250" s="53" t="str">
        <f t="shared" si="335"/>
        <v/>
      </c>
      <c r="CF250" s="53" t="str">
        <f t="shared" si="336"/>
        <v/>
      </c>
      <c r="CG250" s="53" t="str">
        <f t="shared" si="337"/>
        <v/>
      </c>
      <c r="CH250" s="53" t="str">
        <f t="shared" si="338"/>
        <v/>
      </c>
      <c r="CI250" s="53" t="str">
        <f t="shared" si="339"/>
        <v/>
      </c>
      <c r="CJ250" s="53" t="str">
        <f t="shared" si="340"/>
        <v/>
      </c>
      <c r="CK250" s="53" t="str">
        <f t="shared" si="341"/>
        <v/>
      </c>
      <c r="CL250" s="53" t="str">
        <f t="shared" si="342"/>
        <v/>
      </c>
      <c r="CM250" s="53" t="str">
        <f t="shared" si="343"/>
        <v/>
      </c>
      <c r="CN250" s="53" t="str">
        <f t="shared" si="344"/>
        <v/>
      </c>
      <c r="CO250" s="53" t="str">
        <f t="shared" si="345"/>
        <v/>
      </c>
      <c r="CP250" s="53" t="str">
        <f t="shared" si="346"/>
        <v/>
      </c>
      <c r="CQ250" s="53" t="str">
        <f t="shared" si="347"/>
        <v/>
      </c>
      <c r="CR250" s="53" t="str">
        <f t="shared" si="348"/>
        <v/>
      </c>
      <c r="CS250" s="53" t="str">
        <f t="shared" si="349"/>
        <v/>
      </c>
      <c r="CT250" s="53" t="str">
        <f t="shared" si="350"/>
        <v/>
      </c>
      <c r="CU250" s="47"/>
      <c r="CV250" s="53">
        <f t="shared" si="351"/>
        <v>0</v>
      </c>
    </row>
    <row r="251" spans="1:100" x14ac:dyDescent="0.25">
      <c r="A251" s="41"/>
      <c r="B251" s="42"/>
      <c r="C251" s="43" t="str" cm="1">
        <f t="array" ref="C251">IF(B251="","",INDEX(UWS!$B$10:$B$41,B251))</f>
        <v/>
      </c>
      <c r="D251" s="40" t="str">
        <f t="shared" si="308"/>
        <v/>
      </c>
      <c r="E251" s="69" t="str">
        <f t="shared" si="309"/>
        <v/>
      </c>
      <c r="F251" s="48" cm="1">
        <f t="array" ref="F251">0.1+IFERROR(INDEX($F$5:$F250,SUMPRODUCT(MAX(ROW($C$5:$C250)*($C251=$C$5:$C250))-ROW($A$4)))*0.9^($A251-INDEX($A$5:A250,SUMPRODUCT(MAX(ROW($C$5:$C250)*($C251=$C$5:$C250))-ROW($A$4)))),0)</f>
        <v>18.599999999999994</v>
      </c>
      <c r="G251" s="55" t="e">
        <f>INDEX(UWS!$AB$10:$AB$41,MATCH(C251,UWS!$B$10:$B$41,0))</f>
        <v>#N/A</v>
      </c>
      <c r="H251" s="48" t="e">
        <f>INDEX(UWS!$C$10:$C$41,MATCH(C251,UWS!$B$10:$B$41,0))</f>
        <v>#N/A</v>
      </c>
      <c r="I251" s="82">
        <f t="shared" si="310"/>
        <v>5</v>
      </c>
      <c r="J251" s="27" t="e">
        <f>INDEX(UWS!$E$10:$E$41,MATCH(C251,UWS!$B$10:$B$41,0))</f>
        <v>#N/A</v>
      </c>
      <c r="L251" s="108" t="str" cm="1">
        <f t="array" ref="L251">IF(K251="","",INDEX(UWS!$B$10:$B$41,K251))</f>
        <v/>
      </c>
      <c r="N251" s="108" t="str" cm="1">
        <f t="array" ref="N251">IF(M251="","",INDEX(UWS!$B$10:$B$41,M251))</f>
        <v/>
      </c>
      <c r="P251">
        <f>IFERROR(INDEX(UWS!$G$10:$Z$41,MATCH($C251,UWS!$B$10:$B$41,0),MATCH(P$4,UWS!$G$3:$Z$3,0)),0)</f>
        <v>0</v>
      </c>
      <c r="Q251">
        <f>IFERROR(INDEX(UWS!$G$10:$Z$41,MATCH($C251,UWS!$B$10:$B$41,0),MATCH(Q$4,UWS!$G$3:$Z$3,0)),0)</f>
        <v>0</v>
      </c>
      <c r="R251">
        <f>IFERROR(INDEX(UWS!$G$10:$Z$41,MATCH($C251,UWS!$B$10:$B$41,0),MATCH(R$4,UWS!$G$3:$Z$3,0)),0)</f>
        <v>0</v>
      </c>
      <c r="S251">
        <f>IFERROR(INDEX(UWS!$G$10:$Z$41,MATCH($C251,UWS!$B$10:$B$41,0),MATCH(S$4,UWS!$G$3:$Z$3,0)),0)</f>
        <v>0</v>
      </c>
      <c r="T251">
        <f>IFERROR(INDEX(UWS!$G$10:$Z$41,MATCH($C251,UWS!$B$10:$B$41,0),MATCH(T$4,UWS!$G$3:$Z$3,0)),0)</f>
        <v>0</v>
      </c>
      <c r="U251">
        <f>IFERROR(INDEX(UWS!$G$10:$Z$41,MATCH($C251,UWS!$B$10:$B$41,0),MATCH(U$4,UWS!$G$3:$Z$3,0)),0)</f>
        <v>0</v>
      </c>
      <c r="V251">
        <f>IFERROR(INDEX(UWS!$G$10:$Z$41,MATCH($C251,UWS!$B$10:$B$41,0),MATCH(V$4,UWS!$G$3:$Z$3,0)),0)</f>
        <v>0</v>
      </c>
      <c r="W251">
        <f>IFERROR(INDEX(UWS!$G$10:$Z$41,MATCH($C251,UWS!$B$10:$B$41,0),MATCH(W$4,UWS!$G$3:$Z$3,0)),0)</f>
        <v>0</v>
      </c>
      <c r="X251">
        <f>IFERROR(INDEX(UWS!$G$10:$Z$41,MATCH($C251,UWS!$B$10:$B$41,0),MATCH(X$4,UWS!$G$3:$Z$3,0)),0)</f>
        <v>0</v>
      </c>
      <c r="Y251">
        <f>IFERROR(INDEX(UWS!$G$10:$Z$41,MATCH($C251,UWS!$B$10:$B$41,0),MATCH(Y$4,UWS!$G$3:$Z$3,0)),0)</f>
        <v>0</v>
      </c>
      <c r="Z251">
        <f>IFERROR(INDEX(UWS!$G$10:$Z$41,MATCH($C251,UWS!$B$10:$B$41,0),MATCH(Z$4,UWS!$G$3:$Z$3,0)),0)</f>
        <v>0</v>
      </c>
      <c r="AA251">
        <f>IFERROR(INDEX(UWS!$G$10:$Z$41,MATCH($C251,UWS!$B$10:$B$41,0),MATCH(AA$4,UWS!$G$3:$Z$3,0)),0)</f>
        <v>0</v>
      </c>
      <c r="AB251">
        <f>IFERROR(INDEX(UWS!$G$10:$Z$41,MATCH($C251,UWS!$B$10:$B$41,0),MATCH(AB$4,UWS!$G$3:$Z$3,0)),0)</f>
        <v>0</v>
      </c>
      <c r="AC251">
        <f>IFERROR(INDEX(UWS!$G$10:$Z$41,MATCH($C251,UWS!$B$10:$B$41,0),MATCH(AC$4,UWS!$G$3:$Z$3,0)),0)</f>
        <v>0</v>
      </c>
      <c r="AD251">
        <f>IFERROR(INDEX(UWS!$G$10:$Z$41,MATCH($C251,UWS!$B$10:$B$41,0),MATCH(AD$4,UWS!$G$3:$Z$3,0)),0)</f>
        <v>0</v>
      </c>
      <c r="AE251">
        <f>IFERROR(INDEX(UWS!$G$10:$Z$41,MATCH($C251,UWS!$B$10:$B$41,0),MATCH(AE$4,UWS!$G$3:$Z$3,0)),0)</f>
        <v>0</v>
      </c>
      <c r="AF251">
        <f>IFERROR(INDEX(UWS!$G$10:$Z$41,MATCH($C251,UWS!$B$10:$B$41,0),MATCH(AF$4,UWS!$G$3:$Z$3,0)),0)</f>
        <v>0</v>
      </c>
      <c r="AG251">
        <f>IFERROR(INDEX(UWS!$G$10:$Z$41,MATCH($C251,UWS!$B$10:$B$41,0),MATCH(AG$4,UWS!$G$3:$Z$3,0)),0)</f>
        <v>0</v>
      </c>
      <c r="AH251">
        <f>IFERROR(INDEX(UWS!$G$10:$Z$41,MATCH($C251,UWS!$B$10:$B$41,0),MATCH(AH$4,UWS!$G$3:$Z$3,0)),0)</f>
        <v>0</v>
      </c>
      <c r="AI251">
        <f>IFERROR(INDEX(UWS!$G$10:$Z$41,MATCH($C251,UWS!$B$10:$B$41,0),MATCH(AI$4,UWS!$G$3:$Z$3,0)),0)</f>
        <v>0</v>
      </c>
      <c r="AK251" t="e">
        <f>IF(OR($J251=0,COUNTIFS($A$4:$A250,"&gt;="&amp;$A251-1,$A$4:$A250,"&lt;="&amp;$A251,$B$4:$B250,$B251)&gt;0,MIN(AK$1,IF($A251=$A250,AK250,1))-P251&lt;0),-1,MIN(1,IF($A251=$A250,AK250,1)-P251+$D$3))</f>
        <v>#N/A</v>
      </c>
      <c r="AL251" t="e">
        <f>IF(OR($J251=0,COUNTIFS($A$4:$A250,"&gt;="&amp;$A251-1,$A$4:$A250,"&lt;="&amp;$A251,$B$4:$B250,$B251)&gt;0,MIN(AL$1,IF($A251=$A250,AL250,1))-Q251&lt;0),-1,MIN(1,IF($A251=$A250,AL250,1)-Q251+$D$3))</f>
        <v>#N/A</v>
      </c>
      <c r="AM251" t="e">
        <f>IF(OR($J251=0,COUNTIFS($A$4:$A250,"&gt;="&amp;$A251-1,$A$4:$A250,"&lt;="&amp;$A251,$B$4:$B250,$B251)&gt;0,MIN(AM$1,IF($A251=$A250,AM250,1))-R251&lt;0),-1,MIN(1,IF($A251=$A250,AM250,1)-R251+$D$3))</f>
        <v>#N/A</v>
      </c>
      <c r="AN251" t="e">
        <f>IF(OR($J251=0,COUNTIFS($A$4:$A250,"&gt;="&amp;$A251-1,$A$4:$A250,"&lt;="&amp;$A251,$B$4:$B250,$B251)&gt;0,MIN(AN$1,IF($A251=$A250,AN250,1))-S251&lt;0),-1,MIN(1,IF($A251=$A250,AN250,1)-S251+$D$3))</f>
        <v>#N/A</v>
      </c>
      <c r="AO251" t="e">
        <f>IF(OR($J251=0,COUNTIFS($A$4:$A250,"&gt;="&amp;$A251-1,$A$4:$A250,"&lt;="&amp;$A251,$B$4:$B250,$B251)&gt;0,MIN(AO$1,IF($A251=$A250,AO250,1))-T251&lt;0),-1,MIN(1,IF($A251=$A250,AO250,1)-T251+$D$3))</f>
        <v>#N/A</v>
      </c>
      <c r="AP251" t="e">
        <f>IF(OR($J251=0,COUNTIFS($A$4:$A250,"&gt;="&amp;$A251-1,$A$4:$A250,"&lt;="&amp;$A251,$B$4:$B250,$B251)&gt;0,MIN(AP$1,IF($A251=$A250,AP250,1))-U251&lt;0),-1,MIN(1,IF($A251=$A250,AP250,1)-U251+$D$3))</f>
        <v>#N/A</v>
      </c>
      <c r="AQ251" t="e">
        <f>IF(OR($J251=0,COUNTIFS($A$4:$A250,"&gt;="&amp;$A251-1,$A$4:$A250,"&lt;="&amp;$A251,$B$4:$B250,$B251)&gt;0,MIN(AQ$1,IF($A251=$A250,AQ250,1))-V251&lt;0),-1,MIN(1,IF($A251=$A250,AQ250,1)-V251+$D$3))</f>
        <v>#N/A</v>
      </c>
      <c r="AR251" t="e">
        <f>IF(OR($J251=0,COUNTIFS($A$4:$A250,"&gt;="&amp;$A251-1,$A$4:$A250,"&lt;="&amp;$A251,$B$4:$B250,$B251)&gt;0,MIN(AR$1,IF($A251=$A250,AR250,1))-W251&lt;0),-1,MIN(1,IF($A251=$A250,AR250,1)-W251+$D$3))</f>
        <v>#N/A</v>
      </c>
      <c r="AS251" t="e">
        <f>IF(OR($J251=0,COUNTIFS($A$4:$A250,"&gt;="&amp;$A251-1,$A$4:$A250,"&lt;="&amp;$A251,$B$4:$B250,$B251)&gt;0,MIN(AS$1,IF($A251=$A250,AS250,1))-X251&lt;0),-1,MIN(1,IF($A251=$A250,AS250,1)-X251+$D$3))</f>
        <v>#N/A</v>
      </c>
      <c r="AT251" t="e">
        <f>IF(OR($J251=0,COUNTIFS($A$4:$A250,"&gt;="&amp;$A251-1,$A$4:$A250,"&lt;="&amp;$A251,$B$4:$B250,$B251)&gt;0,MIN(AT$1,IF($A251=$A250,AT250,1))-Y251&lt;0),-1,MIN(1,IF($A251=$A250,AT250,1)-Y251+$D$3))</f>
        <v>#N/A</v>
      </c>
      <c r="AU251" t="e">
        <f>IF(OR($J251=0,COUNTIFS($A$4:$A250,"&gt;="&amp;$A251-1,$A$4:$A250,"&lt;="&amp;$A251,$B$4:$B250,$B251)&gt;0,MIN(AU$1,IF($A251=$A250,AU250,1))-Z251&lt;0),-1,MIN(1,IF($A251=$A250,AU250,1)-Z251+$D$3))</f>
        <v>#N/A</v>
      </c>
      <c r="AV251" t="e">
        <f>IF(OR($J251=0,COUNTIFS($A$4:$A250,"&gt;="&amp;$A251-1,$A$4:$A250,"&lt;="&amp;$A251,$B$4:$B250,$B251)&gt;0,MIN(AV$1,IF($A251=$A250,AV250,1))-AA251&lt;0),-1,MIN(1,IF($A251=$A250,AV250,1)-AA251+$D$3))</f>
        <v>#N/A</v>
      </c>
      <c r="AW251" t="e">
        <f>IF(OR($J251=0,COUNTIFS($A$4:$A250,"&gt;="&amp;$A251-1,$A$4:$A250,"&lt;="&amp;$A251,$B$4:$B250,$B251)&gt;0,MIN(AW$1,IF($A251=$A250,AW250,1))-AB251&lt;0),-1,MIN(1,IF($A251=$A250,AW250,1)-AB251+$D$3))</f>
        <v>#N/A</v>
      </c>
      <c r="AX251" t="e">
        <f>IF(OR($J251=0,COUNTIFS($A$4:$A250,"&gt;="&amp;$A251-1,$A$4:$A250,"&lt;="&amp;$A251,$B$4:$B250,$B251)&gt;0,MIN(AX$1,IF($A251=$A250,AX250,1))-AC251&lt;0),-1,MIN(1,IF($A251=$A250,AX250,1)-AC251+$D$3))</f>
        <v>#N/A</v>
      </c>
      <c r="AY251" t="e">
        <f>IF(OR($J251=0,COUNTIFS($A$4:$A250,"&gt;="&amp;$A251-1,$A$4:$A250,"&lt;="&amp;$A251,$B$4:$B250,$B251)&gt;0,MIN(AY$1,IF($A251=$A250,AY250,1))-AD251&lt;0),-1,MIN(1,IF($A251=$A250,AY250,1)-AD251+$D$3))</f>
        <v>#N/A</v>
      </c>
      <c r="AZ251" t="e">
        <f>IF(OR($J251=0,COUNTIFS($A$4:$A250,"&gt;="&amp;$A251-1,$A$4:$A250,"&lt;="&amp;$A251,$B$4:$B250,$B251)&gt;0,MIN(AZ$1,IF($A251=$A250,AZ250,1))-AE251&lt;0),-1,MIN(1,IF($A251=$A250,AZ250,1)-AE251+$D$3))</f>
        <v>#N/A</v>
      </c>
      <c r="BA251" t="e">
        <f>IF(OR($J251=0,COUNTIFS($A$4:$A250,"&gt;="&amp;$A251-1,$A$4:$A250,"&lt;="&amp;$A251,$B$4:$B250,$B251)&gt;0,MIN(BA$1,IF($A251=$A250,BA250,1))-AF251&lt;0),-1,MIN(1,IF($A251=$A250,BA250,1)-AF251+$D$3))</f>
        <v>#N/A</v>
      </c>
      <c r="BB251" t="e">
        <f>IF(OR($J251=0,COUNTIFS($A$4:$A250,"&gt;="&amp;$A251-1,$A$4:$A250,"&lt;="&amp;$A251,$B$4:$B250,$B251)&gt;0,MIN(BB$1,IF($A251=$A250,BB250,1))-AG251&lt;0),-1,MIN(1,IF($A251=$A250,BB250,1)-AG251+$D$3))</f>
        <v>#N/A</v>
      </c>
      <c r="BC251" t="e">
        <f>IF(OR($J251=0,COUNTIFS($A$4:$A250,"&gt;="&amp;$A251-1,$A$4:$A250,"&lt;="&amp;$A251,$B$4:$B250,$B251)&gt;0,MIN(BC$1,IF($A251=$A250,BC250,1))-AH251&lt;0),-1,MIN(1,IF($A251=$A250,BC250,1)-AH251+$D$3))</f>
        <v>#N/A</v>
      </c>
      <c r="BD251" t="e">
        <f>IF(OR($J251=0,COUNTIFS($A$4:$A250,"&gt;="&amp;$A251-1,$A$4:$A250,"&lt;="&amp;$A251,$B$4:$B250,$B251)&gt;0,MIN(BD$1,IF($A251=$A250,BD250,1))-AI251&lt;0),-1,MIN(1,IF($A251=$A250,BD250,1)-AI251+$D$3))</f>
        <v>#N/A</v>
      </c>
      <c r="BF251" s="44">
        <f t="shared" si="311"/>
        <v>6.6686265952371142E-6</v>
      </c>
      <c r="BG251" s="44">
        <f t="shared" si="312"/>
        <v>1.6400034559152498E-5</v>
      </c>
      <c r="BH251" s="44">
        <f t="shared" si="313"/>
        <v>1.6808310308446045E-5</v>
      </c>
      <c r="BI251" s="44">
        <f t="shared" si="314"/>
        <v>1.5526212094640346E-5</v>
      </c>
      <c r="BJ251" s="44">
        <f t="shared" si="315"/>
        <v>1.6047814195658008E-5</v>
      </c>
      <c r="BK251" s="44">
        <f t="shared" si="316"/>
        <v>6.891529757398376E-6</v>
      </c>
      <c r="BL251" s="44">
        <f t="shared" si="317"/>
        <v>3.7229127952100234E-6</v>
      </c>
      <c r="BM251" s="44">
        <f t="shared" si="318"/>
        <v>9.4706554077395287E-6</v>
      </c>
      <c r="BN251" s="44">
        <f t="shared" si="319"/>
        <v>9.850219723187809E-6</v>
      </c>
      <c r="BO251" s="44">
        <f t="shared" si="320"/>
        <v>4.6161867352239494E-6</v>
      </c>
      <c r="BP251" s="44">
        <f t="shared" si="321"/>
        <v>1.5521825047634107E-5</v>
      </c>
      <c r="BQ251" s="44">
        <f t="shared" si="322"/>
        <v>4.1886980496068773E-6</v>
      </c>
      <c r="BR251" s="44">
        <f t="shared" si="323"/>
        <v>1.2374462579315556E-5</v>
      </c>
      <c r="BS251" s="44">
        <f t="shared" si="324"/>
        <v>6.673711879552017E-6</v>
      </c>
      <c r="BT251" s="44">
        <f t="shared" si="325"/>
        <v>2.6409923910268726E-5</v>
      </c>
      <c r="BU251" s="44">
        <f t="shared" si="326"/>
        <v>2.5229424384147051E-5</v>
      </c>
      <c r="BV251" s="44">
        <f t="shared" si="327"/>
        <v>2.4229504481345503E-5</v>
      </c>
      <c r="BW251" s="44">
        <f t="shared" si="328"/>
        <v>1.5847429290540632E-5</v>
      </c>
      <c r="BX251" s="44">
        <f t="shared" si="329"/>
        <v>1.1707792982384562E-5</v>
      </c>
      <c r="BY251" s="44">
        <f t="shared" si="330"/>
        <v>1.0052485933384475E-5</v>
      </c>
      <c r="CA251" s="44" t="str">
        <f t="shared" si="331"/>
        <v/>
      </c>
      <c r="CB251" s="44" t="str">
        <f t="shared" si="332"/>
        <v/>
      </c>
      <c r="CC251" s="44" t="str">
        <f t="shared" si="333"/>
        <v/>
      </c>
      <c r="CD251" s="44" t="str">
        <f t="shared" si="334"/>
        <v/>
      </c>
      <c r="CE251" s="44" t="str">
        <f t="shared" si="335"/>
        <v/>
      </c>
      <c r="CF251" s="44" t="str">
        <f t="shared" si="336"/>
        <v/>
      </c>
      <c r="CG251" s="44" t="str">
        <f t="shared" si="337"/>
        <v/>
      </c>
      <c r="CH251" s="44" t="str">
        <f t="shared" si="338"/>
        <v/>
      </c>
      <c r="CI251" s="44" t="str">
        <f t="shared" si="339"/>
        <v/>
      </c>
      <c r="CJ251" s="44" t="str">
        <f t="shared" si="340"/>
        <v/>
      </c>
      <c r="CK251" s="44" t="str">
        <f t="shared" si="341"/>
        <v/>
      </c>
      <c r="CL251" s="44" t="str">
        <f t="shared" si="342"/>
        <v/>
      </c>
      <c r="CM251" s="44" t="str">
        <f t="shared" si="343"/>
        <v/>
      </c>
      <c r="CN251" s="44" t="str">
        <f t="shared" si="344"/>
        <v/>
      </c>
      <c r="CO251" s="44" t="str">
        <f t="shared" si="345"/>
        <v/>
      </c>
      <c r="CP251" s="44" t="str">
        <f t="shared" si="346"/>
        <v/>
      </c>
      <c r="CQ251" s="44" t="str">
        <f t="shared" si="347"/>
        <v/>
      </c>
      <c r="CR251" s="44" t="str">
        <f t="shared" si="348"/>
        <v/>
      </c>
      <c r="CS251" s="44" t="str">
        <f t="shared" si="349"/>
        <v/>
      </c>
      <c r="CT251" s="44" t="str">
        <f t="shared" si="350"/>
        <v/>
      </c>
      <c r="CV251" s="44">
        <f t="shared" si="351"/>
        <v>0</v>
      </c>
    </row>
    <row r="252" spans="1:100" x14ac:dyDescent="0.25">
      <c r="A252" s="41"/>
      <c r="B252" s="42"/>
      <c r="C252" s="43" t="str" cm="1">
        <f t="array" ref="C252">IF(B252="","",INDEX(UWS!$B$10:$B$41,B252))</f>
        <v/>
      </c>
      <c r="D252" s="40" t="str">
        <f t="shared" si="308"/>
        <v/>
      </c>
      <c r="E252" s="69" t="str">
        <f t="shared" si="309"/>
        <v/>
      </c>
      <c r="F252" s="48" cm="1">
        <f t="array" ref="F252">0.1+IFERROR(INDEX($F$5:$F251,SUMPRODUCT(MAX(ROW($C$5:$C251)*($C252=$C$5:$C251))-ROW($A$4)))*0.9^($A252-INDEX($A$5:A251,SUMPRODUCT(MAX(ROW($C$5:$C251)*($C252=$C$5:$C251))-ROW($A$4)))),0)</f>
        <v>18.699999999999996</v>
      </c>
      <c r="G252" s="55" t="e">
        <f>INDEX(UWS!$AB$10:$AB$41,MATCH(C252,UWS!$B$10:$B$41,0))</f>
        <v>#N/A</v>
      </c>
      <c r="H252" s="48" t="e">
        <f>INDEX(UWS!$C$10:$C$41,MATCH(C252,UWS!$B$10:$B$41,0))</f>
        <v>#N/A</v>
      </c>
      <c r="I252" s="27">
        <f t="shared" si="310"/>
        <v>5</v>
      </c>
      <c r="J252" s="27" t="e">
        <f>INDEX(UWS!$E$10:$E$41,MATCH(C252,UWS!$B$10:$B$41,0))</f>
        <v>#N/A</v>
      </c>
      <c r="L252" s="108" t="str" cm="1">
        <f t="array" ref="L252">IF(K252="","",INDEX(UWS!$B$10:$B$41,K252))</f>
        <v/>
      </c>
      <c r="N252" s="108" t="str" cm="1">
        <f t="array" ref="N252">IF(M252="","",INDEX(UWS!$B$10:$B$41,M252))</f>
        <v/>
      </c>
      <c r="P252">
        <f>IFERROR(INDEX(UWS!$G$10:$Z$41,MATCH($C252,UWS!$B$10:$B$41,0),MATCH(P$4,UWS!$G$3:$Z$3,0)),0)</f>
        <v>0</v>
      </c>
      <c r="Q252">
        <f>IFERROR(INDEX(UWS!$G$10:$Z$41,MATCH($C252,UWS!$B$10:$B$41,0),MATCH(Q$4,UWS!$G$3:$Z$3,0)),0)</f>
        <v>0</v>
      </c>
      <c r="R252">
        <f>IFERROR(INDEX(UWS!$G$10:$Z$41,MATCH($C252,UWS!$B$10:$B$41,0),MATCH(R$4,UWS!$G$3:$Z$3,0)),0)</f>
        <v>0</v>
      </c>
      <c r="S252">
        <f>IFERROR(INDEX(UWS!$G$10:$Z$41,MATCH($C252,UWS!$B$10:$B$41,0),MATCH(S$4,UWS!$G$3:$Z$3,0)),0)</f>
        <v>0</v>
      </c>
      <c r="T252">
        <f>IFERROR(INDEX(UWS!$G$10:$Z$41,MATCH($C252,UWS!$B$10:$B$41,0),MATCH(T$4,UWS!$G$3:$Z$3,0)),0)</f>
        <v>0</v>
      </c>
      <c r="U252">
        <f>IFERROR(INDEX(UWS!$G$10:$Z$41,MATCH($C252,UWS!$B$10:$B$41,0),MATCH(U$4,UWS!$G$3:$Z$3,0)),0)</f>
        <v>0</v>
      </c>
      <c r="V252">
        <f>IFERROR(INDEX(UWS!$G$10:$Z$41,MATCH($C252,UWS!$B$10:$B$41,0),MATCH(V$4,UWS!$G$3:$Z$3,0)),0)</f>
        <v>0</v>
      </c>
      <c r="W252">
        <f>IFERROR(INDEX(UWS!$G$10:$Z$41,MATCH($C252,UWS!$B$10:$B$41,0),MATCH(W$4,UWS!$G$3:$Z$3,0)),0)</f>
        <v>0</v>
      </c>
      <c r="X252">
        <f>IFERROR(INDEX(UWS!$G$10:$Z$41,MATCH($C252,UWS!$B$10:$B$41,0),MATCH(X$4,UWS!$G$3:$Z$3,0)),0)</f>
        <v>0</v>
      </c>
      <c r="Y252">
        <f>IFERROR(INDEX(UWS!$G$10:$Z$41,MATCH($C252,UWS!$B$10:$B$41,0),MATCH(Y$4,UWS!$G$3:$Z$3,0)),0)</f>
        <v>0</v>
      </c>
      <c r="Z252">
        <f>IFERROR(INDEX(UWS!$G$10:$Z$41,MATCH($C252,UWS!$B$10:$B$41,0),MATCH(Z$4,UWS!$G$3:$Z$3,0)),0)</f>
        <v>0</v>
      </c>
      <c r="AA252">
        <f>IFERROR(INDEX(UWS!$G$10:$Z$41,MATCH($C252,UWS!$B$10:$B$41,0),MATCH(AA$4,UWS!$G$3:$Z$3,0)),0)</f>
        <v>0</v>
      </c>
      <c r="AB252">
        <f>IFERROR(INDEX(UWS!$G$10:$Z$41,MATCH($C252,UWS!$B$10:$B$41,0),MATCH(AB$4,UWS!$G$3:$Z$3,0)),0)</f>
        <v>0</v>
      </c>
      <c r="AC252">
        <f>IFERROR(INDEX(UWS!$G$10:$Z$41,MATCH($C252,UWS!$B$10:$B$41,0),MATCH(AC$4,UWS!$G$3:$Z$3,0)),0)</f>
        <v>0</v>
      </c>
      <c r="AD252">
        <f>IFERROR(INDEX(UWS!$G$10:$Z$41,MATCH($C252,UWS!$B$10:$B$41,0),MATCH(AD$4,UWS!$G$3:$Z$3,0)),0)</f>
        <v>0</v>
      </c>
      <c r="AE252">
        <f>IFERROR(INDEX(UWS!$G$10:$Z$41,MATCH($C252,UWS!$B$10:$B$41,0),MATCH(AE$4,UWS!$G$3:$Z$3,0)),0)</f>
        <v>0</v>
      </c>
      <c r="AF252">
        <f>IFERROR(INDEX(UWS!$G$10:$Z$41,MATCH($C252,UWS!$B$10:$B$41,0),MATCH(AF$4,UWS!$G$3:$Z$3,0)),0)</f>
        <v>0</v>
      </c>
      <c r="AG252">
        <f>IFERROR(INDEX(UWS!$G$10:$Z$41,MATCH($C252,UWS!$B$10:$B$41,0),MATCH(AG$4,UWS!$G$3:$Z$3,0)),0)</f>
        <v>0</v>
      </c>
      <c r="AH252">
        <f>IFERROR(INDEX(UWS!$G$10:$Z$41,MATCH($C252,UWS!$B$10:$B$41,0),MATCH(AH$4,UWS!$G$3:$Z$3,0)),0)</f>
        <v>0</v>
      </c>
      <c r="AI252">
        <f>IFERROR(INDEX(UWS!$G$10:$Z$41,MATCH($C252,UWS!$B$10:$B$41,0),MATCH(AI$4,UWS!$G$3:$Z$3,0)),0)</f>
        <v>0</v>
      </c>
      <c r="AK252" t="e">
        <f>IF(OR($J252=0,COUNTIFS($A$4:$A251,"&gt;="&amp;$A252-1,$A$4:$A251,"&lt;="&amp;$A252,$B$4:$B251,$B252)&gt;0,MIN(AK$1,IF($A252=$A251,AK251,1))-P252&lt;0),-1,MIN(1,IF($A252=$A251,AK251,1)-P252+$D$3))</f>
        <v>#N/A</v>
      </c>
      <c r="AL252" t="e">
        <f>IF(OR($J252=0,COUNTIFS($A$4:$A251,"&gt;="&amp;$A252-1,$A$4:$A251,"&lt;="&amp;$A252,$B$4:$B251,$B252)&gt;0,MIN(AL$1,IF($A252=$A251,AL251,1))-Q252&lt;0),-1,MIN(1,IF($A252=$A251,AL251,1)-Q252+$D$3))</f>
        <v>#N/A</v>
      </c>
      <c r="AM252" t="e">
        <f>IF(OR($J252=0,COUNTIFS($A$4:$A251,"&gt;="&amp;$A252-1,$A$4:$A251,"&lt;="&amp;$A252,$B$4:$B251,$B252)&gt;0,MIN(AM$1,IF($A252=$A251,AM251,1))-R252&lt;0),-1,MIN(1,IF($A252=$A251,AM251,1)-R252+$D$3))</f>
        <v>#N/A</v>
      </c>
      <c r="AN252" t="e">
        <f>IF(OR($J252=0,COUNTIFS($A$4:$A251,"&gt;="&amp;$A252-1,$A$4:$A251,"&lt;="&amp;$A252,$B$4:$B251,$B252)&gt;0,MIN(AN$1,IF($A252=$A251,AN251,1))-S252&lt;0),-1,MIN(1,IF($A252=$A251,AN251,1)-S252+$D$3))</f>
        <v>#N/A</v>
      </c>
      <c r="AO252" t="e">
        <f>IF(OR($J252=0,COUNTIFS($A$4:$A251,"&gt;="&amp;$A252-1,$A$4:$A251,"&lt;="&amp;$A252,$B$4:$B251,$B252)&gt;0,MIN(AO$1,IF($A252=$A251,AO251,1))-T252&lt;0),-1,MIN(1,IF($A252=$A251,AO251,1)-T252+$D$3))</f>
        <v>#N/A</v>
      </c>
      <c r="AP252" t="e">
        <f>IF(OR($J252=0,COUNTIFS($A$4:$A251,"&gt;="&amp;$A252-1,$A$4:$A251,"&lt;="&amp;$A252,$B$4:$B251,$B252)&gt;0,MIN(AP$1,IF($A252=$A251,AP251,1))-U252&lt;0),-1,MIN(1,IF($A252=$A251,AP251,1)-U252+$D$3))</f>
        <v>#N/A</v>
      </c>
      <c r="AQ252" t="e">
        <f>IF(OR($J252=0,COUNTIFS($A$4:$A251,"&gt;="&amp;$A252-1,$A$4:$A251,"&lt;="&amp;$A252,$B$4:$B251,$B252)&gt;0,MIN(AQ$1,IF($A252=$A251,AQ251,1))-V252&lt;0),-1,MIN(1,IF($A252=$A251,AQ251,1)-V252+$D$3))</f>
        <v>#N/A</v>
      </c>
      <c r="AR252" t="e">
        <f>IF(OR($J252=0,COUNTIFS($A$4:$A251,"&gt;="&amp;$A252-1,$A$4:$A251,"&lt;="&amp;$A252,$B$4:$B251,$B252)&gt;0,MIN(AR$1,IF($A252=$A251,AR251,1))-W252&lt;0),-1,MIN(1,IF($A252=$A251,AR251,1)-W252+$D$3))</f>
        <v>#N/A</v>
      </c>
      <c r="AS252" t="e">
        <f>IF(OR($J252=0,COUNTIFS($A$4:$A251,"&gt;="&amp;$A252-1,$A$4:$A251,"&lt;="&amp;$A252,$B$4:$B251,$B252)&gt;0,MIN(AS$1,IF($A252=$A251,AS251,1))-X252&lt;0),-1,MIN(1,IF($A252=$A251,AS251,1)-X252+$D$3))</f>
        <v>#N/A</v>
      </c>
      <c r="AT252" t="e">
        <f>IF(OR($J252=0,COUNTIFS($A$4:$A251,"&gt;="&amp;$A252-1,$A$4:$A251,"&lt;="&amp;$A252,$B$4:$B251,$B252)&gt;0,MIN(AT$1,IF($A252=$A251,AT251,1))-Y252&lt;0),-1,MIN(1,IF($A252=$A251,AT251,1)-Y252+$D$3))</f>
        <v>#N/A</v>
      </c>
      <c r="AU252" t="e">
        <f>IF(OR($J252=0,COUNTIFS($A$4:$A251,"&gt;="&amp;$A252-1,$A$4:$A251,"&lt;="&amp;$A252,$B$4:$B251,$B252)&gt;0,MIN(AU$1,IF($A252=$A251,AU251,1))-Z252&lt;0),-1,MIN(1,IF($A252=$A251,AU251,1)-Z252+$D$3))</f>
        <v>#N/A</v>
      </c>
      <c r="AV252" t="e">
        <f>IF(OR($J252=0,COUNTIFS($A$4:$A251,"&gt;="&amp;$A252-1,$A$4:$A251,"&lt;="&amp;$A252,$B$4:$B251,$B252)&gt;0,MIN(AV$1,IF($A252=$A251,AV251,1))-AA252&lt;0),-1,MIN(1,IF($A252=$A251,AV251,1)-AA252+$D$3))</f>
        <v>#N/A</v>
      </c>
      <c r="AW252" t="e">
        <f>IF(OR($J252=0,COUNTIFS($A$4:$A251,"&gt;="&amp;$A252-1,$A$4:$A251,"&lt;="&amp;$A252,$B$4:$B251,$B252)&gt;0,MIN(AW$1,IF($A252=$A251,AW251,1))-AB252&lt;0),-1,MIN(1,IF($A252=$A251,AW251,1)-AB252+$D$3))</f>
        <v>#N/A</v>
      </c>
      <c r="AX252" t="e">
        <f>IF(OR($J252=0,COUNTIFS($A$4:$A251,"&gt;="&amp;$A252-1,$A$4:$A251,"&lt;="&amp;$A252,$B$4:$B251,$B252)&gt;0,MIN(AX$1,IF($A252=$A251,AX251,1))-AC252&lt;0),-1,MIN(1,IF($A252=$A251,AX251,1)-AC252+$D$3))</f>
        <v>#N/A</v>
      </c>
      <c r="AY252" t="e">
        <f>IF(OR($J252=0,COUNTIFS($A$4:$A251,"&gt;="&amp;$A252-1,$A$4:$A251,"&lt;="&amp;$A252,$B$4:$B251,$B252)&gt;0,MIN(AY$1,IF($A252=$A251,AY251,1))-AD252&lt;0),-1,MIN(1,IF($A252=$A251,AY251,1)-AD252+$D$3))</f>
        <v>#N/A</v>
      </c>
      <c r="AZ252" t="e">
        <f>IF(OR($J252=0,COUNTIFS($A$4:$A251,"&gt;="&amp;$A252-1,$A$4:$A251,"&lt;="&amp;$A252,$B$4:$B251,$B252)&gt;0,MIN(AZ$1,IF($A252=$A251,AZ251,1))-AE252&lt;0),-1,MIN(1,IF($A252=$A251,AZ251,1)-AE252+$D$3))</f>
        <v>#N/A</v>
      </c>
      <c r="BA252" t="e">
        <f>IF(OR($J252=0,COUNTIFS($A$4:$A251,"&gt;="&amp;$A252-1,$A$4:$A251,"&lt;="&amp;$A252,$B$4:$B251,$B252)&gt;0,MIN(BA$1,IF($A252=$A251,BA251,1))-AF252&lt;0),-1,MIN(1,IF($A252=$A251,BA251,1)-AF252+$D$3))</f>
        <v>#N/A</v>
      </c>
      <c r="BB252" t="e">
        <f>IF(OR($J252=0,COUNTIFS($A$4:$A251,"&gt;="&amp;$A252-1,$A$4:$A251,"&lt;="&amp;$A252,$B$4:$B251,$B252)&gt;0,MIN(BB$1,IF($A252=$A251,BB251,1))-AG252&lt;0),-1,MIN(1,IF($A252=$A251,BB251,1)-AG252+$D$3))</f>
        <v>#N/A</v>
      </c>
      <c r="BC252" t="e">
        <f>IF(OR($J252=0,COUNTIFS($A$4:$A251,"&gt;="&amp;$A252-1,$A$4:$A251,"&lt;="&amp;$A252,$B$4:$B251,$B252)&gt;0,MIN(BC$1,IF($A252=$A251,BC251,1))-AH252&lt;0),-1,MIN(1,IF($A252=$A251,BC251,1)-AH252+$D$3))</f>
        <v>#N/A</v>
      </c>
      <c r="BD252" t="e">
        <f>IF(OR($J252=0,COUNTIFS($A$4:$A251,"&gt;="&amp;$A252-1,$A$4:$A251,"&lt;="&amp;$A252,$B$4:$B251,$B252)&gt;0,MIN(BD$1,IF($A252=$A251,BD251,1))-AI252&lt;0),-1,MIN(1,IF($A252=$A251,BD251,1)-AI252+$D$3))</f>
        <v>#N/A</v>
      </c>
      <c r="BF252" s="44">
        <f t="shared" si="311"/>
        <v>6.3351952654752583E-6</v>
      </c>
      <c r="BG252" s="44">
        <f t="shared" si="312"/>
        <v>1.5580032831194872E-5</v>
      </c>
      <c r="BH252" s="44">
        <f t="shared" si="313"/>
        <v>1.5967894793023742E-5</v>
      </c>
      <c r="BI252" s="44">
        <f t="shared" si="314"/>
        <v>1.4749901489908329E-5</v>
      </c>
      <c r="BJ252" s="44">
        <f t="shared" si="315"/>
        <v>1.5245423485875106E-5</v>
      </c>
      <c r="BK252" s="44">
        <f t="shared" si="316"/>
        <v>6.546953269528457E-6</v>
      </c>
      <c r="BL252" s="44">
        <f t="shared" si="317"/>
        <v>3.5367671554495222E-6</v>
      </c>
      <c r="BM252" s="44">
        <f t="shared" si="318"/>
        <v>8.9971226373525525E-6</v>
      </c>
      <c r="BN252" s="44">
        <f t="shared" si="319"/>
        <v>9.357708737028418E-6</v>
      </c>
      <c r="BO252" s="44">
        <f t="shared" si="320"/>
        <v>4.3853773984627518E-6</v>
      </c>
      <c r="BP252" s="44">
        <f t="shared" si="321"/>
        <v>1.4745733795252401E-5</v>
      </c>
      <c r="BQ252" s="44">
        <f t="shared" si="322"/>
        <v>3.9792631471265336E-6</v>
      </c>
      <c r="BR252" s="44">
        <f t="shared" si="323"/>
        <v>1.1755739450349778E-5</v>
      </c>
      <c r="BS252" s="44">
        <f t="shared" si="324"/>
        <v>6.3400262855744161E-6</v>
      </c>
      <c r="BT252" s="44">
        <f t="shared" si="325"/>
        <v>2.5089427714755289E-5</v>
      </c>
      <c r="BU252" s="44">
        <f t="shared" si="326"/>
        <v>2.3967953164939696E-5</v>
      </c>
      <c r="BV252" s="44">
        <f t="shared" si="327"/>
        <v>2.3018029257278226E-5</v>
      </c>
      <c r="BW252" s="44">
        <f t="shared" si="328"/>
        <v>1.5055057826013599E-5</v>
      </c>
      <c r="BX252" s="44">
        <f t="shared" si="329"/>
        <v>1.1122403333265334E-5</v>
      </c>
      <c r="BY252" s="44">
        <f t="shared" si="330"/>
        <v>9.5498616367152507E-6</v>
      </c>
      <c r="CA252" s="44" t="str">
        <f t="shared" si="331"/>
        <v/>
      </c>
      <c r="CB252" s="44" t="str">
        <f t="shared" si="332"/>
        <v/>
      </c>
      <c r="CC252" s="44" t="str">
        <f t="shared" si="333"/>
        <v/>
      </c>
      <c r="CD252" s="44" t="str">
        <f t="shared" si="334"/>
        <v/>
      </c>
      <c r="CE252" s="44" t="str">
        <f t="shared" si="335"/>
        <v/>
      </c>
      <c r="CF252" s="44" t="str">
        <f t="shared" si="336"/>
        <v/>
      </c>
      <c r="CG252" s="44" t="str">
        <f t="shared" si="337"/>
        <v/>
      </c>
      <c r="CH252" s="44" t="str">
        <f t="shared" si="338"/>
        <v/>
      </c>
      <c r="CI252" s="44" t="str">
        <f t="shared" si="339"/>
        <v/>
      </c>
      <c r="CJ252" s="44" t="str">
        <f t="shared" si="340"/>
        <v/>
      </c>
      <c r="CK252" s="44" t="str">
        <f t="shared" si="341"/>
        <v/>
      </c>
      <c r="CL252" s="44" t="str">
        <f t="shared" si="342"/>
        <v/>
      </c>
      <c r="CM252" s="44" t="str">
        <f t="shared" si="343"/>
        <v/>
      </c>
      <c r="CN252" s="44" t="str">
        <f t="shared" si="344"/>
        <v/>
      </c>
      <c r="CO252" s="44" t="str">
        <f t="shared" si="345"/>
        <v/>
      </c>
      <c r="CP252" s="44" t="str">
        <f t="shared" si="346"/>
        <v/>
      </c>
      <c r="CQ252" s="44" t="str">
        <f t="shared" si="347"/>
        <v/>
      </c>
      <c r="CR252" s="44" t="str">
        <f t="shared" si="348"/>
        <v/>
      </c>
      <c r="CS252" s="44" t="str">
        <f t="shared" si="349"/>
        <v/>
      </c>
      <c r="CT252" s="44" t="str">
        <f t="shared" si="350"/>
        <v/>
      </c>
      <c r="CV252" s="44">
        <f t="shared" si="351"/>
        <v>0</v>
      </c>
    </row>
    <row r="253" spans="1:100" x14ac:dyDescent="0.25">
      <c r="A253" s="41"/>
      <c r="B253" s="42"/>
      <c r="C253" s="43" t="str" cm="1">
        <f t="array" ref="C253">IF(B253="","",INDEX(UWS!$B$10:$B$41,B253))</f>
        <v/>
      </c>
      <c r="D253" s="40" t="str">
        <f t="shared" si="308"/>
        <v/>
      </c>
      <c r="E253" s="69" t="str">
        <f t="shared" si="309"/>
        <v/>
      </c>
      <c r="F253" s="48" cm="1">
        <f t="array" ref="F253">0.1+IFERROR(INDEX($F$5:$F252,SUMPRODUCT(MAX(ROW($C$5:$C252)*($C253=$C$5:$C252))-ROW($A$4)))*0.9^($A253-INDEX($A$5:A252,SUMPRODUCT(MAX(ROW($C$5:$C252)*($C253=$C$5:$C252))-ROW($A$4)))),0)</f>
        <v>18.799999999999997</v>
      </c>
      <c r="G253" s="55" t="e">
        <f>INDEX(UWS!$AB$10:$AB$41,MATCH(C253,UWS!$B$10:$B$41,0))</f>
        <v>#N/A</v>
      </c>
      <c r="H253" s="48" t="e">
        <f>INDEX(UWS!$C$10:$C$41,MATCH(C253,UWS!$B$10:$B$41,0))</f>
        <v>#N/A</v>
      </c>
      <c r="I253" s="27">
        <f t="shared" si="310"/>
        <v>5</v>
      </c>
      <c r="J253" s="27" t="e">
        <f>INDEX(UWS!$E$10:$E$41,MATCH(C253,UWS!$B$10:$B$41,0))</f>
        <v>#N/A</v>
      </c>
      <c r="L253" s="108" t="str" cm="1">
        <f t="array" ref="L253">IF(K253="","",INDEX(UWS!$B$10:$B$41,K253))</f>
        <v/>
      </c>
      <c r="N253" s="108" t="str" cm="1">
        <f t="array" ref="N253">IF(M253="","",INDEX(UWS!$B$10:$B$41,M253))</f>
        <v/>
      </c>
      <c r="P253">
        <f>IFERROR(INDEX(UWS!$G$10:$Z$41,MATCH($C253,UWS!$B$10:$B$41,0),MATCH(P$4,UWS!$G$3:$Z$3,0)),0)</f>
        <v>0</v>
      </c>
      <c r="Q253">
        <f>IFERROR(INDEX(UWS!$G$10:$Z$41,MATCH($C253,UWS!$B$10:$B$41,0),MATCH(Q$4,UWS!$G$3:$Z$3,0)),0)</f>
        <v>0</v>
      </c>
      <c r="R253">
        <f>IFERROR(INDEX(UWS!$G$10:$Z$41,MATCH($C253,UWS!$B$10:$B$41,0),MATCH(R$4,UWS!$G$3:$Z$3,0)),0)</f>
        <v>0</v>
      </c>
      <c r="S253">
        <f>IFERROR(INDEX(UWS!$G$10:$Z$41,MATCH($C253,UWS!$B$10:$B$41,0),MATCH(S$4,UWS!$G$3:$Z$3,0)),0)</f>
        <v>0</v>
      </c>
      <c r="T253">
        <f>IFERROR(INDEX(UWS!$G$10:$Z$41,MATCH($C253,UWS!$B$10:$B$41,0),MATCH(T$4,UWS!$G$3:$Z$3,0)),0)</f>
        <v>0</v>
      </c>
      <c r="U253">
        <f>IFERROR(INDEX(UWS!$G$10:$Z$41,MATCH($C253,UWS!$B$10:$B$41,0),MATCH(U$4,UWS!$G$3:$Z$3,0)),0)</f>
        <v>0</v>
      </c>
      <c r="V253">
        <f>IFERROR(INDEX(UWS!$G$10:$Z$41,MATCH($C253,UWS!$B$10:$B$41,0),MATCH(V$4,UWS!$G$3:$Z$3,0)),0)</f>
        <v>0</v>
      </c>
      <c r="W253">
        <f>IFERROR(INDEX(UWS!$G$10:$Z$41,MATCH($C253,UWS!$B$10:$B$41,0),MATCH(W$4,UWS!$G$3:$Z$3,0)),0)</f>
        <v>0</v>
      </c>
      <c r="X253">
        <f>IFERROR(INDEX(UWS!$G$10:$Z$41,MATCH($C253,UWS!$B$10:$B$41,0),MATCH(X$4,UWS!$G$3:$Z$3,0)),0)</f>
        <v>0</v>
      </c>
      <c r="Y253">
        <f>IFERROR(INDEX(UWS!$G$10:$Z$41,MATCH($C253,UWS!$B$10:$B$41,0),MATCH(Y$4,UWS!$G$3:$Z$3,0)),0)</f>
        <v>0</v>
      </c>
      <c r="Z253">
        <f>IFERROR(INDEX(UWS!$G$10:$Z$41,MATCH($C253,UWS!$B$10:$B$41,0),MATCH(Z$4,UWS!$G$3:$Z$3,0)),0)</f>
        <v>0</v>
      </c>
      <c r="AA253">
        <f>IFERROR(INDEX(UWS!$G$10:$Z$41,MATCH($C253,UWS!$B$10:$B$41,0),MATCH(AA$4,UWS!$G$3:$Z$3,0)),0)</f>
        <v>0</v>
      </c>
      <c r="AB253">
        <f>IFERROR(INDEX(UWS!$G$10:$Z$41,MATCH($C253,UWS!$B$10:$B$41,0),MATCH(AB$4,UWS!$G$3:$Z$3,0)),0)</f>
        <v>0</v>
      </c>
      <c r="AC253">
        <f>IFERROR(INDEX(UWS!$G$10:$Z$41,MATCH($C253,UWS!$B$10:$B$41,0),MATCH(AC$4,UWS!$G$3:$Z$3,0)),0)</f>
        <v>0</v>
      </c>
      <c r="AD253">
        <f>IFERROR(INDEX(UWS!$G$10:$Z$41,MATCH($C253,UWS!$B$10:$B$41,0),MATCH(AD$4,UWS!$G$3:$Z$3,0)),0)</f>
        <v>0</v>
      </c>
      <c r="AE253">
        <f>IFERROR(INDEX(UWS!$G$10:$Z$41,MATCH($C253,UWS!$B$10:$B$41,0),MATCH(AE$4,UWS!$G$3:$Z$3,0)),0)</f>
        <v>0</v>
      </c>
      <c r="AF253">
        <f>IFERROR(INDEX(UWS!$G$10:$Z$41,MATCH($C253,UWS!$B$10:$B$41,0),MATCH(AF$4,UWS!$G$3:$Z$3,0)),0)</f>
        <v>0</v>
      </c>
      <c r="AG253">
        <f>IFERROR(INDEX(UWS!$G$10:$Z$41,MATCH($C253,UWS!$B$10:$B$41,0),MATCH(AG$4,UWS!$G$3:$Z$3,0)),0)</f>
        <v>0</v>
      </c>
      <c r="AH253">
        <f>IFERROR(INDEX(UWS!$G$10:$Z$41,MATCH($C253,UWS!$B$10:$B$41,0),MATCH(AH$4,UWS!$G$3:$Z$3,0)),0)</f>
        <v>0</v>
      </c>
      <c r="AI253">
        <f>IFERROR(INDEX(UWS!$G$10:$Z$41,MATCH($C253,UWS!$B$10:$B$41,0),MATCH(AI$4,UWS!$G$3:$Z$3,0)),0)</f>
        <v>0</v>
      </c>
      <c r="AK253" t="e">
        <f>IF(OR($J253=0,COUNTIFS($A$4:$A252,"&gt;="&amp;$A253-1,$A$4:$A252,"&lt;="&amp;$A253,$B$4:$B252,$B253)&gt;0,MIN(AK$1,IF($A253=$A252,AK252,1))-P253&lt;0),-1,MIN(1,IF($A253=$A252,AK252,1)-P253+$D$3))</f>
        <v>#N/A</v>
      </c>
      <c r="AL253" t="e">
        <f>IF(OR($J253=0,COUNTIFS($A$4:$A252,"&gt;="&amp;$A253-1,$A$4:$A252,"&lt;="&amp;$A253,$B$4:$B252,$B253)&gt;0,MIN(AL$1,IF($A253=$A252,AL252,1))-Q253&lt;0),-1,MIN(1,IF($A253=$A252,AL252,1)-Q253+$D$3))</f>
        <v>#N/A</v>
      </c>
      <c r="AM253" t="e">
        <f>IF(OR($J253=0,COUNTIFS($A$4:$A252,"&gt;="&amp;$A253-1,$A$4:$A252,"&lt;="&amp;$A253,$B$4:$B252,$B253)&gt;0,MIN(AM$1,IF($A253=$A252,AM252,1))-R253&lt;0),-1,MIN(1,IF($A253=$A252,AM252,1)-R253+$D$3))</f>
        <v>#N/A</v>
      </c>
      <c r="AN253" t="e">
        <f>IF(OR($J253=0,COUNTIFS($A$4:$A252,"&gt;="&amp;$A253-1,$A$4:$A252,"&lt;="&amp;$A253,$B$4:$B252,$B253)&gt;0,MIN(AN$1,IF($A253=$A252,AN252,1))-S253&lt;0),-1,MIN(1,IF($A253=$A252,AN252,1)-S253+$D$3))</f>
        <v>#N/A</v>
      </c>
      <c r="AO253" t="e">
        <f>IF(OR($J253=0,COUNTIFS($A$4:$A252,"&gt;="&amp;$A253-1,$A$4:$A252,"&lt;="&amp;$A253,$B$4:$B252,$B253)&gt;0,MIN(AO$1,IF($A253=$A252,AO252,1))-T253&lt;0),-1,MIN(1,IF($A253=$A252,AO252,1)-T253+$D$3))</f>
        <v>#N/A</v>
      </c>
      <c r="AP253" t="e">
        <f>IF(OR($J253=0,COUNTIFS($A$4:$A252,"&gt;="&amp;$A253-1,$A$4:$A252,"&lt;="&amp;$A253,$B$4:$B252,$B253)&gt;0,MIN(AP$1,IF($A253=$A252,AP252,1))-U253&lt;0),-1,MIN(1,IF($A253=$A252,AP252,1)-U253+$D$3))</f>
        <v>#N/A</v>
      </c>
      <c r="AQ253" t="e">
        <f>IF(OR($J253=0,COUNTIFS($A$4:$A252,"&gt;="&amp;$A253-1,$A$4:$A252,"&lt;="&amp;$A253,$B$4:$B252,$B253)&gt;0,MIN(AQ$1,IF($A253=$A252,AQ252,1))-V253&lt;0),-1,MIN(1,IF($A253=$A252,AQ252,1)-V253+$D$3))</f>
        <v>#N/A</v>
      </c>
      <c r="AR253" t="e">
        <f>IF(OR($J253=0,COUNTIFS($A$4:$A252,"&gt;="&amp;$A253-1,$A$4:$A252,"&lt;="&amp;$A253,$B$4:$B252,$B253)&gt;0,MIN(AR$1,IF($A253=$A252,AR252,1))-W253&lt;0),-1,MIN(1,IF($A253=$A252,AR252,1)-W253+$D$3))</f>
        <v>#N/A</v>
      </c>
      <c r="AS253" t="e">
        <f>IF(OR($J253=0,COUNTIFS($A$4:$A252,"&gt;="&amp;$A253-1,$A$4:$A252,"&lt;="&amp;$A253,$B$4:$B252,$B253)&gt;0,MIN(AS$1,IF($A253=$A252,AS252,1))-X253&lt;0),-1,MIN(1,IF($A253=$A252,AS252,1)-X253+$D$3))</f>
        <v>#N/A</v>
      </c>
      <c r="AT253" t="e">
        <f>IF(OR($J253=0,COUNTIFS($A$4:$A252,"&gt;="&amp;$A253-1,$A$4:$A252,"&lt;="&amp;$A253,$B$4:$B252,$B253)&gt;0,MIN(AT$1,IF($A253=$A252,AT252,1))-Y253&lt;0),-1,MIN(1,IF($A253=$A252,AT252,1)-Y253+$D$3))</f>
        <v>#N/A</v>
      </c>
      <c r="AU253" t="e">
        <f>IF(OR($J253=0,COUNTIFS($A$4:$A252,"&gt;="&amp;$A253-1,$A$4:$A252,"&lt;="&amp;$A253,$B$4:$B252,$B253)&gt;0,MIN(AU$1,IF($A253=$A252,AU252,1))-Z253&lt;0),-1,MIN(1,IF($A253=$A252,AU252,1)-Z253+$D$3))</f>
        <v>#N/A</v>
      </c>
      <c r="AV253" t="e">
        <f>IF(OR($J253=0,COUNTIFS($A$4:$A252,"&gt;="&amp;$A253-1,$A$4:$A252,"&lt;="&amp;$A253,$B$4:$B252,$B253)&gt;0,MIN(AV$1,IF($A253=$A252,AV252,1))-AA253&lt;0),-1,MIN(1,IF($A253=$A252,AV252,1)-AA253+$D$3))</f>
        <v>#N/A</v>
      </c>
      <c r="AW253" t="e">
        <f>IF(OR($J253=0,COUNTIFS($A$4:$A252,"&gt;="&amp;$A253-1,$A$4:$A252,"&lt;="&amp;$A253,$B$4:$B252,$B253)&gt;0,MIN(AW$1,IF($A253=$A252,AW252,1))-AB253&lt;0),-1,MIN(1,IF($A253=$A252,AW252,1)-AB253+$D$3))</f>
        <v>#N/A</v>
      </c>
      <c r="AX253" t="e">
        <f>IF(OR($J253=0,COUNTIFS($A$4:$A252,"&gt;="&amp;$A253-1,$A$4:$A252,"&lt;="&amp;$A253,$B$4:$B252,$B253)&gt;0,MIN(AX$1,IF($A253=$A252,AX252,1))-AC253&lt;0),-1,MIN(1,IF($A253=$A252,AX252,1)-AC253+$D$3))</f>
        <v>#N/A</v>
      </c>
      <c r="AY253" t="e">
        <f>IF(OR($J253=0,COUNTIFS($A$4:$A252,"&gt;="&amp;$A253-1,$A$4:$A252,"&lt;="&amp;$A253,$B$4:$B252,$B253)&gt;0,MIN(AY$1,IF($A253=$A252,AY252,1))-AD253&lt;0),-1,MIN(1,IF($A253=$A252,AY252,1)-AD253+$D$3))</f>
        <v>#N/A</v>
      </c>
      <c r="AZ253" t="e">
        <f>IF(OR($J253=0,COUNTIFS($A$4:$A252,"&gt;="&amp;$A253-1,$A$4:$A252,"&lt;="&amp;$A253,$B$4:$B252,$B253)&gt;0,MIN(AZ$1,IF($A253=$A252,AZ252,1))-AE253&lt;0),-1,MIN(1,IF($A253=$A252,AZ252,1)-AE253+$D$3))</f>
        <v>#N/A</v>
      </c>
      <c r="BA253" t="e">
        <f>IF(OR($J253=0,COUNTIFS($A$4:$A252,"&gt;="&amp;$A253-1,$A$4:$A252,"&lt;="&amp;$A253,$B$4:$B252,$B253)&gt;0,MIN(BA$1,IF($A253=$A252,BA252,1))-AF253&lt;0),-1,MIN(1,IF($A253=$A252,BA252,1)-AF253+$D$3))</f>
        <v>#N/A</v>
      </c>
      <c r="BB253" t="e">
        <f>IF(OR($J253=0,COUNTIFS($A$4:$A252,"&gt;="&amp;$A253-1,$A$4:$A252,"&lt;="&amp;$A253,$B$4:$B252,$B253)&gt;0,MIN(BB$1,IF($A253=$A252,BB252,1))-AG253&lt;0),-1,MIN(1,IF($A253=$A252,BB252,1)-AG253+$D$3))</f>
        <v>#N/A</v>
      </c>
      <c r="BC253" t="e">
        <f>IF(OR($J253=0,COUNTIFS($A$4:$A252,"&gt;="&amp;$A253-1,$A$4:$A252,"&lt;="&amp;$A253,$B$4:$B252,$B253)&gt;0,MIN(BC$1,IF($A253=$A252,BC252,1))-AH253&lt;0),-1,MIN(1,IF($A253=$A252,BC252,1)-AH253+$D$3))</f>
        <v>#N/A</v>
      </c>
      <c r="BD253" t="e">
        <f>IF(OR($J253=0,COUNTIFS($A$4:$A252,"&gt;="&amp;$A253-1,$A$4:$A252,"&lt;="&amp;$A253,$B$4:$B252,$B253)&gt;0,MIN(BD$1,IF($A253=$A252,BD252,1))-AI253&lt;0),-1,MIN(1,IF($A253=$A252,BD252,1)-AI253+$D$3))</f>
        <v>#N/A</v>
      </c>
      <c r="BF253" s="44">
        <f t="shared" si="311"/>
        <v>6.0184355022014948E-6</v>
      </c>
      <c r="BG253" s="44">
        <f t="shared" si="312"/>
        <v>1.4801031189635128E-5</v>
      </c>
      <c r="BH253" s="44">
        <f t="shared" si="313"/>
        <v>1.5169500053372553E-5</v>
      </c>
      <c r="BI253" s="44">
        <f t="shared" si="314"/>
        <v>1.4012406415412912E-5</v>
      </c>
      <c r="BJ253" s="44">
        <f t="shared" si="315"/>
        <v>1.448315231158135E-5</v>
      </c>
      <c r="BK253" s="44">
        <f t="shared" si="316"/>
        <v>6.219605606052034E-6</v>
      </c>
      <c r="BL253" s="44">
        <f t="shared" si="317"/>
        <v>3.3599287976770461E-6</v>
      </c>
      <c r="BM253" s="44">
        <f t="shared" si="318"/>
        <v>8.5472665054849249E-6</v>
      </c>
      <c r="BN253" s="44">
        <f t="shared" si="319"/>
        <v>8.8898233001769962E-6</v>
      </c>
      <c r="BO253" s="44">
        <f t="shared" si="320"/>
        <v>4.1661085285396144E-6</v>
      </c>
      <c r="BP253" s="44">
        <f t="shared" si="321"/>
        <v>1.400844710548978E-5</v>
      </c>
      <c r="BQ253" s="44">
        <f t="shared" si="322"/>
        <v>3.7802999897702065E-6</v>
      </c>
      <c r="BR253" s="44">
        <f t="shared" si="323"/>
        <v>1.1167952477832288E-5</v>
      </c>
      <c r="BS253" s="44">
        <f t="shared" si="324"/>
        <v>6.0230249712956948E-6</v>
      </c>
      <c r="BT253" s="44">
        <f t="shared" si="325"/>
        <v>2.3834956329017525E-5</v>
      </c>
      <c r="BU253" s="44">
        <f t="shared" si="326"/>
        <v>2.276955550669271E-5</v>
      </c>
      <c r="BV253" s="44">
        <f t="shared" si="327"/>
        <v>2.1867127794414315E-5</v>
      </c>
      <c r="BW253" s="44">
        <f t="shared" si="328"/>
        <v>1.4302304934712919E-5</v>
      </c>
      <c r="BX253" s="44">
        <f t="shared" si="329"/>
        <v>1.0566283166602066E-5</v>
      </c>
      <c r="BY253" s="44">
        <f t="shared" si="330"/>
        <v>9.0723685548794885E-6</v>
      </c>
      <c r="CA253" s="44" t="str">
        <f t="shared" si="331"/>
        <v/>
      </c>
      <c r="CB253" s="44" t="str">
        <f t="shared" si="332"/>
        <v/>
      </c>
      <c r="CC253" s="44" t="str">
        <f t="shared" si="333"/>
        <v/>
      </c>
      <c r="CD253" s="44" t="str">
        <f t="shared" si="334"/>
        <v/>
      </c>
      <c r="CE253" s="44" t="str">
        <f t="shared" si="335"/>
        <v/>
      </c>
      <c r="CF253" s="44" t="str">
        <f t="shared" si="336"/>
        <v/>
      </c>
      <c r="CG253" s="44" t="str">
        <f t="shared" si="337"/>
        <v/>
      </c>
      <c r="CH253" s="44" t="str">
        <f t="shared" si="338"/>
        <v/>
      </c>
      <c r="CI253" s="44" t="str">
        <f t="shared" si="339"/>
        <v/>
      </c>
      <c r="CJ253" s="44" t="str">
        <f t="shared" si="340"/>
        <v/>
      </c>
      <c r="CK253" s="44" t="str">
        <f t="shared" si="341"/>
        <v/>
      </c>
      <c r="CL253" s="44" t="str">
        <f t="shared" si="342"/>
        <v/>
      </c>
      <c r="CM253" s="44" t="str">
        <f t="shared" si="343"/>
        <v/>
      </c>
      <c r="CN253" s="44" t="str">
        <f t="shared" si="344"/>
        <v/>
      </c>
      <c r="CO253" s="44" t="str">
        <f t="shared" si="345"/>
        <v/>
      </c>
      <c r="CP253" s="44" t="str">
        <f t="shared" si="346"/>
        <v/>
      </c>
      <c r="CQ253" s="44" t="str">
        <f t="shared" si="347"/>
        <v/>
      </c>
      <c r="CR253" s="44" t="str">
        <f t="shared" si="348"/>
        <v/>
      </c>
      <c r="CS253" s="44" t="str">
        <f t="shared" si="349"/>
        <v/>
      </c>
      <c r="CT253" s="44" t="str">
        <f t="shared" si="350"/>
        <v/>
      </c>
      <c r="CV253" s="44">
        <f t="shared" si="351"/>
        <v>0</v>
      </c>
    </row>
    <row r="254" spans="1:100" x14ac:dyDescent="0.25">
      <c r="A254" s="41"/>
      <c r="B254" s="42"/>
      <c r="C254" s="43" t="str" cm="1">
        <f t="array" ref="C254">IF(B254="","",INDEX(UWS!$B$10:$B$41,B254))</f>
        <v/>
      </c>
      <c r="D254" s="40" t="str">
        <f t="shared" si="308"/>
        <v/>
      </c>
      <c r="E254" s="69" t="str">
        <f t="shared" si="309"/>
        <v/>
      </c>
      <c r="F254" s="48" cm="1">
        <f t="array" ref="F254">0.1+IFERROR(INDEX($F$5:$F253,SUMPRODUCT(MAX(ROW($C$5:$C253)*($C254=$C$5:$C253))-ROW($A$4)))*0.9^($A254-INDEX($A$5:A253,SUMPRODUCT(MAX(ROW($C$5:$C253)*($C254=$C$5:$C253))-ROW($A$4)))),0)</f>
        <v>18.899999999999999</v>
      </c>
      <c r="G254" s="55" t="e">
        <f>INDEX(UWS!$AB$10:$AB$41,MATCH(C254,UWS!$B$10:$B$41,0))</f>
        <v>#N/A</v>
      </c>
      <c r="H254" s="48" t="e">
        <f>INDEX(UWS!$C$10:$C$41,MATCH(C254,UWS!$B$10:$B$41,0))</f>
        <v>#N/A</v>
      </c>
      <c r="I254" s="27">
        <f t="shared" si="310"/>
        <v>5</v>
      </c>
      <c r="J254" s="27" t="e">
        <f>INDEX(UWS!$E$10:$E$41,MATCH(C254,UWS!$B$10:$B$41,0))</f>
        <v>#N/A</v>
      </c>
      <c r="L254" s="108" t="str" cm="1">
        <f t="array" ref="L254">IF(K254="","",INDEX(UWS!$B$10:$B$41,K254))</f>
        <v/>
      </c>
      <c r="N254" s="108" t="str" cm="1">
        <f t="array" ref="N254">IF(M254="","",INDEX(UWS!$B$10:$B$41,M254))</f>
        <v/>
      </c>
      <c r="P254">
        <f>IFERROR(INDEX(UWS!$G$10:$Z$41,MATCH($C254,UWS!$B$10:$B$41,0),MATCH(P$4,UWS!$G$3:$Z$3,0)),0)</f>
        <v>0</v>
      </c>
      <c r="Q254">
        <f>IFERROR(INDEX(UWS!$G$10:$Z$41,MATCH($C254,UWS!$B$10:$B$41,0),MATCH(Q$4,UWS!$G$3:$Z$3,0)),0)</f>
        <v>0</v>
      </c>
      <c r="R254">
        <f>IFERROR(INDEX(UWS!$G$10:$Z$41,MATCH($C254,UWS!$B$10:$B$41,0),MATCH(R$4,UWS!$G$3:$Z$3,0)),0)</f>
        <v>0</v>
      </c>
      <c r="S254">
        <f>IFERROR(INDEX(UWS!$G$10:$Z$41,MATCH($C254,UWS!$B$10:$B$41,0),MATCH(S$4,UWS!$G$3:$Z$3,0)),0)</f>
        <v>0</v>
      </c>
      <c r="T254">
        <f>IFERROR(INDEX(UWS!$G$10:$Z$41,MATCH($C254,UWS!$B$10:$B$41,0),MATCH(T$4,UWS!$G$3:$Z$3,0)),0)</f>
        <v>0</v>
      </c>
      <c r="U254">
        <f>IFERROR(INDEX(UWS!$G$10:$Z$41,MATCH($C254,UWS!$B$10:$B$41,0),MATCH(U$4,UWS!$G$3:$Z$3,0)),0)</f>
        <v>0</v>
      </c>
      <c r="V254">
        <f>IFERROR(INDEX(UWS!$G$10:$Z$41,MATCH($C254,UWS!$B$10:$B$41,0),MATCH(V$4,UWS!$G$3:$Z$3,0)),0)</f>
        <v>0</v>
      </c>
      <c r="W254">
        <f>IFERROR(INDEX(UWS!$G$10:$Z$41,MATCH($C254,UWS!$B$10:$B$41,0),MATCH(W$4,UWS!$G$3:$Z$3,0)),0)</f>
        <v>0</v>
      </c>
      <c r="X254">
        <f>IFERROR(INDEX(UWS!$G$10:$Z$41,MATCH($C254,UWS!$B$10:$B$41,0),MATCH(X$4,UWS!$G$3:$Z$3,0)),0)</f>
        <v>0</v>
      </c>
      <c r="Y254">
        <f>IFERROR(INDEX(UWS!$G$10:$Z$41,MATCH($C254,UWS!$B$10:$B$41,0),MATCH(Y$4,UWS!$G$3:$Z$3,0)),0)</f>
        <v>0</v>
      </c>
      <c r="Z254">
        <f>IFERROR(INDEX(UWS!$G$10:$Z$41,MATCH($C254,UWS!$B$10:$B$41,0),MATCH(Z$4,UWS!$G$3:$Z$3,0)),0)</f>
        <v>0</v>
      </c>
      <c r="AA254">
        <f>IFERROR(INDEX(UWS!$G$10:$Z$41,MATCH($C254,UWS!$B$10:$B$41,0),MATCH(AA$4,UWS!$G$3:$Z$3,0)),0)</f>
        <v>0</v>
      </c>
      <c r="AB254">
        <f>IFERROR(INDEX(UWS!$G$10:$Z$41,MATCH($C254,UWS!$B$10:$B$41,0),MATCH(AB$4,UWS!$G$3:$Z$3,0)),0)</f>
        <v>0</v>
      </c>
      <c r="AC254">
        <f>IFERROR(INDEX(UWS!$G$10:$Z$41,MATCH($C254,UWS!$B$10:$B$41,0),MATCH(AC$4,UWS!$G$3:$Z$3,0)),0)</f>
        <v>0</v>
      </c>
      <c r="AD254">
        <f>IFERROR(INDEX(UWS!$G$10:$Z$41,MATCH($C254,UWS!$B$10:$B$41,0),MATCH(AD$4,UWS!$G$3:$Z$3,0)),0)</f>
        <v>0</v>
      </c>
      <c r="AE254">
        <f>IFERROR(INDEX(UWS!$G$10:$Z$41,MATCH($C254,UWS!$B$10:$B$41,0),MATCH(AE$4,UWS!$G$3:$Z$3,0)),0)</f>
        <v>0</v>
      </c>
      <c r="AF254">
        <f>IFERROR(INDEX(UWS!$G$10:$Z$41,MATCH($C254,UWS!$B$10:$B$41,0),MATCH(AF$4,UWS!$G$3:$Z$3,0)),0)</f>
        <v>0</v>
      </c>
      <c r="AG254">
        <f>IFERROR(INDEX(UWS!$G$10:$Z$41,MATCH($C254,UWS!$B$10:$B$41,0),MATCH(AG$4,UWS!$G$3:$Z$3,0)),0)</f>
        <v>0</v>
      </c>
      <c r="AH254">
        <f>IFERROR(INDEX(UWS!$G$10:$Z$41,MATCH($C254,UWS!$B$10:$B$41,0),MATCH(AH$4,UWS!$G$3:$Z$3,0)),0)</f>
        <v>0</v>
      </c>
      <c r="AI254">
        <f>IFERROR(INDEX(UWS!$G$10:$Z$41,MATCH($C254,UWS!$B$10:$B$41,0),MATCH(AI$4,UWS!$G$3:$Z$3,0)),0)</f>
        <v>0</v>
      </c>
      <c r="AK254" t="e">
        <f>IF(OR($J254=0,COUNTIFS($A$4:$A253,"&gt;="&amp;$A254-1,$A$4:$A253,"&lt;="&amp;$A254,$B$4:$B253,$B254)&gt;0,MIN(AK$1,IF($A254=$A253,AK253,1))-P254&lt;0),-1,MIN(1,IF($A254=$A253,AK253,1)-P254+$D$3))</f>
        <v>#N/A</v>
      </c>
      <c r="AL254" t="e">
        <f>IF(OR($J254=0,COUNTIFS($A$4:$A253,"&gt;="&amp;$A254-1,$A$4:$A253,"&lt;="&amp;$A254,$B$4:$B253,$B254)&gt;0,MIN(AL$1,IF($A254=$A253,AL253,1))-Q254&lt;0),-1,MIN(1,IF($A254=$A253,AL253,1)-Q254+$D$3))</f>
        <v>#N/A</v>
      </c>
      <c r="AM254" t="e">
        <f>IF(OR($J254=0,COUNTIFS($A$4:$A253,"&gt;="&amp;$A254-1,$A$4:$A253,"&lt;="&amp;$A254,$B$4:$B253,$B254)&gt;0,MIN(AM$1,IF($A254=$A253,AM253,1))-R254&lt;0),-1,MIN(1,IF($A254=$A253,AM253,1)-R254+$D$3))</f>
        <v>#N/A</v>
      </c>
      <c r="AN254" t="e">
        <f>IF(OR($J254=0,COUNTIFS($A$4:$A253,"&gt;="&amp;$A254-1,$A$4:$A253,"&lt;="&amp;$A254,$B$4:$B253,$B254)&gt;0,MIN(AN$1,IF($A254=$A253,AN253,1))-S254&lt;0),-1,MIN(1,IF($A254=$A253,AN253,1)-S254+$D$3))</f>
        <v>#N/A</v>
      </c>
      <c r="AO254" t="e">
        <f>IF(OR($J254=0,COUNTIFS($A$4:$A253,"&gt;="&amp;$A254-1,$A$4:$A253,"&lt;="&amp;$A254,$B$4:$B253,$B254)&gt;0,MIN(AO$1,IF($A254=$A253,AO253,1))-T254&lt;0),-1,MIN(1,IF($A254=$A253,AO253,1)-T254+$D$3))</f>
        <v>#N/A</v>
      </c>
      <c r="AP254" t="e">
        <f>IF(OR($J254=0,COUNTIFS($A$4:$A253,"&gt;="&amp;$A254-1,$A$4:$A253,"&lt;="&amp;$A254,$B$4:$B253,$B254)&gt;0,MIN(AP$1,IF($A254=$A253,AP253,1))-U254&lt;0),-1,MIN(1,IF($A254=$A253,AP253,1)-U254+$D$3))</f>
        <v>#N/A</v>
      </c>
      <c r="AQ254" t="e">
        <f>IF(OR($J254=0,COUNTIFS($A$4:$A253,"&gt;="&amp;$A254-1,$A$4:$A253,"&lt;="&amp;$A254,$B$4:$B253,$B254)&gt;0,MIN(AQ$1,IF($A254=$A253,AQ253,1))-V254&lt;0),-1,MIN(1,IF($A254=$A253,AQ253,1)-V254+$D$3))</f>
        <v>#N/A</v>
      </c>
      <c r="AR254" t="e">
        <f>IF(OR($J254=0,COUNTIFS($A$4:$A253,"&gt;="&amp;$A254-1,$A$4:$A253,"&lt;="&amp;$A254,$B$4:$B253,$B254)&gt;0,MIN(AR$1,IF($A254=$A253,AR253,1))-W254&lt;0),-1,MIN(1,IF($A254=$A253,AR253,1)-W254+$D$3))</f>
        <v>#N/A</v>
      </c>
      <c r="AS254" t="e">
        <f>IF(OR($J254=0,COUNTIFS($A$4:$A253,"&gt;="&amp;$A254-1,$A$4:$A253,"&lt;="&amp;$A254,$B$4:$B253,$B254)&gt;0,MIN(AS$1,IF($A254=$A253,AS253,1))-X254&lt;0),-1,MIN(1,IF($A254=$A253,AS253,1)-X254+$D$3))</f>
        <v>#N/A</v>
      </c>
      <c r="AT254" t="e">
        <f>IF(OR($J254=0,COUNTIFS($A$4:$A253,"&gt;="&amp;$A254-1,$A$4:$A253,"&lt;="&amp;$A254,$B$4:$B253,$B254)&gt;0,MIN(AT$1,IF($A254=$A253,AT253,1))-Y254&lt;0),-1,MIN(1,IF($A254=$A253,AT253,1)-Y254+$D$3))</f>
        <v>#N/A</v>
      </c>
      <c r="AU254" t="e">
        <f>IF(OR($J254=0,COUNTIFS($A$4:$A253,"&gt;="&amp;$A254-1,$A$4:$A253,"&lt;="&amp;$A254,$B$4:$B253,$B254)&gt;0,MIN(AU$1,IF($A254=$A253,AU253,1))-Z254&lt;0),-1,MIN(1,IF($A254=$A253,AU253,1)-Z254+$D$3))</f>
        <v>#N/A</v>
      </c>
      <c r="AV254" t="e">
        <f>IF(OR($J254=0,COUNTIFS($A$4:$A253,"&gt;="&amp;$A254-1,$A$4:$A253,"&lt;="&amp;$A254,$B$4:$B253,$B254)&gt;0,MIN(AV$1,IF($A254=$A253,AV253,1))-AA254&lt;0),-1,MIN(1,IF($A254=$A253,AV253,1)-AA254+$D$3))</f>
        <v>#N/A</v>
      </c>
      <c r="AW254" t="e">
        <f>IF(OR($J254=0,COUNTIFS($A$4:$A253,"&gt;="&amp;$A254-1,$A$4:$A253,"&lt;="&amp;$A254,$B$4:$B253,$B254)&gt;0,MIN(AW$1,IF($A254=$A253,AW253,1))-AB254&lt;0),-1,MIN(1,IF($A254=$A253,AW253,1)-AB254+$D$3))</f>
        <v>#N/A</v>
      </c>
      <c r="AX254" t="e">
        <f>IF(OR($J254=0,COUNTIFS($A$4:$A253,"&gt;="&amp;$A254-1,$A$4:$A253,"&lt;="&amp;$A254,$B$4:$B253,$B254)&gt;0,MIN(AX$1,IF($A254=$A253,AX253,1))-AC254&lt;0),-1,MIN(1,IF($A254=$A253,AX253,1)-AC254+$D$3))</f>
        <v>#N/A</v>
      </c>
      <c r="AY254" t="e">
        <f>IF(OR($J254=0,COUNTIFS($A$4:$A253,"&gt;="&amp;$A254-1,$A$4:$A253,"&lt;="&amp;$A254,$B$4:$B253,$B254)&gt;0,MIN(AY$1,IF($A254=$A253,AY253,1))-AD254&lt;0),-1,MIN(1,IF($A254=$A253,AY253,1)-AD254+$D$3))</f>
        <v>#N/A</v>
      </c>
      <c r="AZ254" t="e">
        <f>IF(OR($J254=0,COUNTIFS($A$4:$A253,"&gt;="&amp;$A254-1,$A$4:$A253,"&lt;="&amp;$A254,$B$4:$B253,$B254)&gt;0,MIN(AZ$1,IF($A254=$A253,AZ253,1))-AE254&lt;0),-1,MIN(1,IF($A254=$A253,AZ253,1)-AE254+$D$3))</f>
        <v>#N/A</v>
      </c>
      <c r="BA254" t="e">
        <f>IF(OR($J254=0,COUNTIFS($A$4:$A253,"&gt;="&amp;$A254-1,$A$4:$A253,"&lt;="&amp;$A254,$B$4:$B253,$B254)&gt;0,MIN(BA$1,IF($A254=$A253,BA253,1))-AF254&lt;0),-1,MIN(1,IF($A254=$A253,BA253,1)-AF254+$D$3))</f>
        <v>#N/A</v>
      </c>
      <c r="BB254" t="e">
        <f>IF(OR($J254=0,COUNTIFS($A$4:$A253,"&gt;="&amp;$A254-1,$A$4:$A253,"&lt;="&amp;$A254,$B$4:$B253,$B254)&gt;0,MIN(BB$1,IF($A254=$A253,BB253,1))-AG254&lt;0),-1,MIN(1,IF($A254=$A253,BB253,1)-AG254+$D$3))</f>
        <v>#N/A</v>
      </c>
      <c r="BC254" t="e">
        <f>IF(OR($J254=0,COUNTIFS($A$4:$A253,"&gt;="&amp;$A254-1,$A$4:$A253,"&lt;="&amp;$A254,$B$4:$B253,$B254)&gt;0,MIN(BC$1,IF($A254=$A253,BC253,1))-AH254&lt;0),-1,MIN(1,IF($A254=$A253,BC253,1)-AH254+$D$3))</f>
        <v>#N/A</v>
      </c>
      <c r="BD254" t="e">
        <f>IF(OR($J254=0,COUNTIFS($A$4:$A253,"&gt;="&amp;$A254-1,$A$4:$A253,"&lt;="&amp;$A254,$B$4:$B253,$B254)&gt;0,MIN(BD$1,IF($A254=$A253,BD253,1))-AI254&lt;0),-1,MIN(1,IF($A254=$A253,BD253,1)-AI254+$D$3))</f>
        <v>#N/A</v>
      </c>
      <c r="BF254" s="44">
        <f t="shared" si="311"/>
        <v>5.7175137270914197E-6</v>
      </c>
      <c r="BG254" s="44">
        <f t="shared" si="312"/>
        <v>1.406097963015337E-5</v>
      </c>
      <c r="BH254" s="44">
        <f t="shared" si="313"/>
        <v>1.4411025050703926E-5</v>
      </c>
      <c r="BI254" s="44">
        <f t="shared" si="314"/>
        <v>1.3311786094642266E-5</v>
      </c>
      <c r="BJ254" s="44">
        <f t="shared" si="315"/>
        <v>1.3758994696002282E-5</v>
      </c>
      <c r="BK254" s="44">
        <f t="shared" si="316"/>
        <v>5.9086253257494318E-6</v>
      </c>
      <c r="BL254" s="44">
        <f t="shared" si="317"/>
        <v>3.1919323577931937E-6</v>
      </c>
      <c r="BM254" s="44">
        <f t="shared" si="318"/>
        <v>8.1199031802106775E-6</v>
      </c>
      <c r="BN254" s="44">
        <f t="shared" si="319"/>
        <v>8.4453321351681467E-6</v>
      </c>
      <c r="BO254" s="44">
        <f t="shared" si="320"/>
        <v>3.9578031021126334E-6</v>
      </c>
      <c r="BP254" s="44">
        <f t="shared" si="321"/>
        <v>1.330802475021529E-5</v>
      </c>
      <c r="BQ254" s="44">
        <f t="shared" si="322"/>
        <v>3.5912849902816958E-6</v>
      </c>
      <c r="BR254" s="44">
        <f t="shared" si="323"/>
        <v>1.0609554853940672E-5</v>
      </c>
      <c r="BS254" s="44">
        <f t="shared" si="324"/>
        <v>5.7218737227309094E-6</v>
      </c>
      <c r="BT254" s="44">
        <f t="shared" si="325"/>
        <v>2.2643208512566649E-5</v>
      </c>
      <c r="BU254" s="44">
        <f t="shared" si="326"/>
        <v>2.1631077731358073E-5</v>
      </c>
      <c r="BV254" s="44">
        <f t="shared" si="327"/>
        <v>2.0773771404693597E-5</v>
      </c>
      <c r="BW254" s="44">
        <f t="shared" si="328"/>
        <v>1.3587189687977272E-5</v>
      </c>
      <c r="BX254" s="44">
        <f t="shared" si="329"/>
        <v>1.0037969008271962E-5</v>
      </c>
      <c r="BY254" s="44">
        <f t="shared" si="330"/>
        <v>8.618750127135513E-6</v>
      </c>
      <c r="CA254" s="44" t="str">
        <f t="shared" si="331"/>
        <v/>
      </c>
      <c r="CB254" s="44" t="str">
        <f t="shared" si="332"/>
        <v/>
      </c>
      <c r="CC254" s="44" t="str">
        <f t="shared" si="333"/>
        <v/>
      </c>
      <c r="CD254" s="44" t="str">
        <f t="shared" si="334"/>
        <v/>
      </c>
      <c r="CE254" s="44" t="str">
        <f t="shared" si="335"/>
        <v/>
      </c>
      <c r="CF254" s="44" t="str">
        <f t="shared" si="336"/>
        <v/>
      </c>
      <c r="CG254" s="44" t="str">
        <f t="shared" si="337"/>
        <v/>
      </c>
      <c r="CH254" s="44" t="str">
        <f t="shared" si="338"/>
        <v/>
      </c>
      <c r="CI254" s="44" t="str">
        <f t="shared" si="339"/>
        <v/>
      </c>
      <c r="CJ254" s="44" t="str">
        <f t="shared" si="340"/>
        <v/>
      </c>
      <c r="CK254" s="44" t="str">
        <f t="shared" si="341"/>
        <v/>
      </c>
      <c r="CL254" s="44" t="str">
        <f t="shared" si="342"/>
        <v/>
      </c>
      <c r="CM254" s="44" t="str">
        <f t="shared" si="343"/>
        <v/>
      </c>
      <c r="CN254" s="44" t="str">
        <f t="shared" si="344"/>
        <v/>
      </c>
      <c r="CO254" s="44" t="str">
        <f t="shared" si="345"/>
        <v/>
      </c>
      <c r="CP254" s="44" t="str">
        <f t="shared" si="346"/>
        <v/>
      </c>
      <c r="CQ254" s="44" t="str">
        <f t="shared" si="347"/>
        <v/>
      </c>
      <c r="CR254" s="44" t="str">
        <f t="shared" si="348"/>
        <v/>
      </c>
      <c r="CS254" s="44" t="str">
        <f t="shared" si="349"/>
        <v/>
      </c>
      <c r="CT254" s="44" t="str">
        <f t="shared" si="350"/>
        <v/>
      </c>
      <c r="CV254" s="44">
        <f t="shared" si="351"/>
        <v>0</v>
      </c>
    </row>
    <row r="255" spans="1:100" x14ac:dyDescent="0.25">
      <c r="A255" s="49"/>
      <c r="B255" s="50"/>
      <c r="C255" s="51" t="str" cm="1">
        <f t="array" ref="C255">IF(B255="","",INDEX(UWS!$B$10:$B$41,B255))</f>
        <v/>
      </c>
      <c r="D255" s="45" t="str">
        <f t="shared" si="308"/>
        <v/>
      </c>
      <c r="E255" s="70" t="str">
        <f t="shared" si="309"/>
        <v/>
      </c>
      <c r="F255" s="52" cm="1">
        <f t="array" ref="F255">0.1+IFERROR(INDEX($F$5:$F254,SUMPRODUCT(MAX(ROW($C$5:$C254)*($C255=$C$5:$C254))-ROW($A$4)))*0.9^($A255-INDEX($A$5:A254,SUMPRODUCT(MAX(ROW($C$5:$C254)*($C255=$C$5:$C254))-ROW($A$4)))),0)</f>
        <v>19</v>
      </c>
      <c r="G255" s="56" t="e">
        <f>INDEX(UWS!$AB$10:$AB$41,MATCH(C255,UWS!$B$10:$B$41,0))</f>
        <v>#N/A</v>
      </c>
      <c r="H255" s="52" t="e">
        <f>INDEX(UWS!$C$10:$C$41,MATCH(C255,UWS!$B$10:$B$41,0))</f>
        <v>#N/A</v>
      </c>
      <c r="I255" s="46">
        <f t="shared" si="310"/>
        <v>5</v>
      </c>
      <c r="J255" s="46" t="e">
        <f>INDEX(UWS!$E$10:$E$41,MATCH(C255,UWS!$B$10:$B$41,0))</f>
        <v>#N/A</v>
      </c>
      <c r="K255" s="46"/>
      <c r="L255" s="109" t="str" cm="1">
        <f t="array" ref="L255">IF(K255="","",INDEX(UWS!$B$10:$B$41,K255))</f>
        <v/>
      </c>
      <c r="M255" s="46"/>
      <c r="N255" s="109" t="str" cm="1">
        <f t="array" ref="N255">IF(M255="","",INDEX(UWS!$B$10:$B$41,M255))</f>
        <v/>
      </c>
      <c r="O255" s="47"/>
      <c r="P255" s="47">
        <f>IFERROR(INDEX(UWS!$G$10:$Z$41,MATCH($C255,UWS!$B$10:$B$41,0),MATCH(P$4,UWS!$G$3:$Z$3,0)),0)</f>
        <v>0</v>
      </c>
      <c r="Q255" s="47">
        <f>IFERROR(INDEX(UWS!$G$10:$Z$41,MATCH($C255,UWS!$B$10:$B$41,0),MATCH(Q$4,UWS!$G$3:$Z$3,0)),0)</f>
        <v>0</v>
      </c>
      <c r="R255" s="47">
        <f>IFERROR(INDEX(UWS!$G$10:$Z$41,MATCH($C255,UWS!$B$10:$B$41,0),MATCH(R$4,UWS!$G$3:$Z$3,0)),0)</f>
        <v>0</v>
      </c>
      <c r="S255" s="47">
        <f>IFERROR(INDEX(UWS!$G$10:$Z$41,MATCH($C255,UWS!$B$10:$B$41,0),MATCH(S$4,UWS!$G$3:$Z$3,0)),0)</f>
        <v>0</v>
      </c>
      <c r="T255" s="47">
        <f>IFERROR(INDEX(UWS!$G$10:$Z$41,MATCH($C255,UWS!$B$10:$B$41,0),MATCH(T$4,UWS!$G$3:$Z$3,0)),0)</f>
        <v>0</v>
      </c>
      <c r="U255" s="47">
        <f>IFERROR(INDEX(UWS!$G$10:$Z$41,MATCH($C255,UWS!$B$10:$B$41,0),MATCH(U$4,UWS!$G$3:$Z$3,0)),0)</f>
        <v>0</v>
      </c>
      <c r="V255" s="47">
        <f>IFERROR(INDEX(UWS!$G$10:$Z$41,MATCH($C255,UWS!$B$10:$B$41,0),MATCH(V$4,UWS!$G$3:$Z$3,0)),0)</f>
        <v>0</v>
      </c>
      <c r="W255" s="47">
        <f>IFERROR(INDEX(UWS!$G$10:$Z$41,MATCH($C255,UWS!$B$10:$B$41,0),MATCH(W$4,UWS!$G$3:$Z$3,0)),0)</f>
        <v>0</v>
      </c>
      <c r="X255" s="47">
        <f>IFERROR(INDEX(UWS!$G$10:$Z$41,MATCH($C255,UWS!$B$10:$B$41,0),MATCH(X$4,UWS!$G$3:$Z$3,0)),0)</f>
        <v>0</v>
      </c>
      <c r="Y255" s="47">
        <f>IFERROR(INDEX(UWS!$G$10:$Z$41,MATCH($C255,UWS!$B$10:$B$41,0),MATCH(Y$4,UWS!$G$3:$Z$3,0)),0)</f>
        <v>0</v>
      </c>
      <c r="Z255" s="47">
        <f>IFERROR(INDEX(UWS!$G$10:$Z$41,MATCH($C255,UWS!$B$10:$B$41,0),MATCH(Z$4,UWS!$G$3:$Z$3,0)),0)</f>
        <v>0</v>
      </c>
      <c r="AA255" s="47">
        <f>IFERROR(INDEX(UWS!$G$10:$Z$41,MATCH($C255,UWS!$B$10:$B$41,0),MATCH(AA$4,UWS!$G$3:$Z$3,0)),0)</f>
        <v>0</v>
      </c>
      <c r="AB255" s="47">
        <f>IFERROR(INDEX(UWS!$G$10:$Z$41,MATCH($C255,UWS!$B$10:$B$41,0),MATCH(AB$4,UWS!$G$3:$Z$3,0)),0)</f>
        <v>0</v>
      </c>
      <c r="AC255" s="47">
        <f>IFERROR(INDEX(UWS!$G$10:$Z$41,MATCH($C255,UWS!$B$10:$B$41,0),MATCH(AC$4,UWS!$G$3:$Z$3,0)),0)</f>
        <v>0</v>
      </c>
      <c r="AD255" s="47">
        <f>IFERROR(INDEX(UWS!$G$10:$Z$41,MATCH($C255,UWS!$B$10:$B$41,0),MATCH(AD$4,UWS!$G$3:$Z$3,0)),0)</f>
        <v>0</v>
      </c>
      <c r="AE255" s="47">
        <f>IFERROR(INDEX(UWS!$G$10:$Z$41,MATCH($C255,UWS!$B$10:$B$41,0),MATCH(AE$4,UWS!$G$3:$Z$3,0)),0)</f>
        <v>0</v>
      </c>
      <c r="AF255" s="47">
        <f>IFERROR(INDEX(UWS!$G$10:$Z$41,MATCH($C255,UWS!$B$10:$B$41,0),MATCH(AF$4,UWS!$G$3:$Z$3,0)),0)</f>
        <v>0</v>
      </c>
      <c r="AG255" s="47">
        <f>IFERROR(INDEX(UWS!$G$10:$Z$41,MATCH($C255,UWS!$B$10:$B$41,0),MATCH(AG$4,UWS!$G$3:$Z$3,0)),0)</f>
        <v>0</v>
      </c>
      <c r="AH255" s="47">
        <f>IFERROR(INDEX(UWS!$G$10:$Z$41,MATCH($C255,UWS!$B$10:$B$41,0),MATCH(AH$4,UWS!$G$3:$Z$3,0)),0)</f>
        <v>0</v>
      </c>
      <c r="AI255" s="47">
        <f>IFERROR(INDEX(UWS!$G$10:$Z$41,MATCH($C255,UWS!$B$10:$B$41,0),MATCH(AI$4,UWS!$G$3:$Z$3,0)),0)</f>
        <v>0</v>
      </c>
      <c r="AJ255" s="47"/>
      <c r="AK255" s="47" t="e">
        <f>IF(OR($J255=0,COUNTIFS($A$4:$A254,"&gt;="&amp;$A255-1,$A$4:$A254,"&lt;="&amp;$A255,$B$4:$B254,$B255)&gt;0,MIN(AK$1,IF($A255=$A254,AK254,1))-P255&lt;0),-1,MIN(1,IF($A255=$A254,AK254,1)-P255+$D$3))</f>
        <v>#N/A</v>
      </c>
      <c r="AL255" s="47" t="e">
        <f>IF(OR($J255=0,COUNTIFS($A$4:$A254,"&gt;="&amp;$A255-1,$A$4:$A254,"&lt;="&amp;$A255,$B$4:$B254,$B255)&gt;0,MIN(AL$1,IF($A255=$A254,AL254,1))-Q255&lt;0),-1,MIN(1,IF($A255=$A254,AL254,1)-Q255+$D$3))</f>
        <v>#N/A</v>
      </c>
      <c r="AM255" s="47" t="e">
        <f>IF(OR($J255=0,COUNTIFS($A$4:$A254,"&gt;="&amp;$A255-1,$A$4:$A254,"&lt;="&amp;$A255,$B$4:$B254,$B255)&gt;0,MIN(AM$1,IF($A255=$A254,AM254,1))-R255&lt;0),-1,MIN(1,IF($A255=$A254,AM254,1)-R255+$D$3))</f>
        <v>#N/A</v>
      </c>
      <c r="AN255" s="47" t="e">
        <f>IF(OR($J255=0,COUNTIFS($A$4:$A254,"&gt;="&amp;$A255-1,$A$4:$A254,"&lt;="&amp;$A255,$B$4:$B254,$B255)&gt;0,MIN(AN$1,IF($A255=$A254,AN254,1))-S255&lt;0),-1,MIN(1,IF($A255=$A254,AN254,1)-S255+$D$3))</f>
        <v>#N/A</v>
      </c>
      <c r="AO255" s="47" t="e">
        <f>IF(OR($J255=0,COUNTIFS($A$4:$A254,"&gt;="&amp;$A255-1,$A$4:$A254,"&lt;="&amp;$A255,$B$4:$B254,$B255)&gt;0,MIN(AO$1,IF($A255=$A254,AO254,1))-T255&lt;0),-1,MIN(1,IF($A255=$A254,AO254,1)-T255+$D$3))</f>
        <v>#N/A</v>
      </c>
      <c r="AP255" s="47" t="e">
        <f>IF(OR($J255=0,COUNTIFS($A$4:$A254,"&gt;="&amp;$A255-1,$A$4:$A254,"&lt;="&amp;$A255,$B$4:$B254,$B255)&gt;0,MIN(AP$1,IF($A255=$A254,AP254,1))-U255&lt;0),-1,MIN(1,IF($A255=$A254,AP254,1)-U255+$D$3))</f>
        <v>#N/A</v>
      </c>
      <c r="AQ255" s="47" t="e">
        <f>IF(OR($J255=0,COUNTIFS($A$4:$A254,"&gt;="&amp;$A255-1,$A$4:$A254,"&lt;="&amp;$A255,$B$4:$B254,$B255)&gt;0,MIN(AQ$1,IF($A255=$A254,AQ254,1))-V255&lt;0),-1,MIN(1,IF($A255=$A254,AQ254,1)-V255+$D$3))</f>
        <v>#N/A</v>
      </c>
      <c r="AR255" s="47" t="e">
        <f>IF(OR($J255=0,COUNTIFS($A$4:$A254,"&gt;="&amp;$A255-1,$A$4:$A254,"&lt;="&amp;$A255,$B$4:$B254,$B255)&gt;0,MIN(AR$1,IF($A255=$A254,AR254,1))-W255&lt;0),-1,MIN(1,IF($A255=$A254,AR254,1)-W255+$D$3))</f>
        <v>#N/A</v>
      </c>
      <c r="AS255" s="47" t="e">
        <f>IF(OR($J255=0,COUNTIFS($A$4:$A254,"&gt;="&amp;$A255-1,$A$4:$A254,"&lt;="&amp;$A255,$B$4:$B254,$B255)&gt;0,MIN(AS$1,IF($A255=$A254,AS254,1))-X255&lt;0),-1,MIN(1,IF($A255=$A254,AS254,1)-X255+$D$3))</f>
        <v>#N/A</v>
      </c>
      <c r="AT255" s="47" t="e">
        <f>IF(OR($J255=0,COUNTIFS($A$4:$A254,"&gt;="&amp;$A255-1,$A$4:$A254,"&lt;="&amp;$A255,$B$4:$B254,$B255)&gt;0,MIN(AT$1,IF($A255=$A254,AT254,1))-Y255&lt;0),-1,MIN(1,IF($A255=$A254,AT254,1)-Y255+$D$3))</f>
        <v>#N/A</v>
      </c>
      <c r="AU255" s="47" t="e">
        <f>IF(OR($J255=0,COUNTIFS($A$4:$A254,"&gt;="&amp;$A255-1,$A$4:$A254,"&lt;="&amp;$A255,$B$4:$B254,$B255)&gt;0,MIN(AU$1,IF($A255=$A254,AU254,1))-Z255&lt;0),-1,MIN(1,IF($A255=$A254,AU254,1)-Z255+$D$3))</f>
        <v>#N/A</v>
      </c>
      <c r="AV255" s="47" t="e">
        <f>IF(OR($J255=0,COUNTIFS($A$4:$A254,"&gt;="&amp;$A255-1,$A$4:$A254,"&lt;="&amp;$A255,$B$4:$B254,$B255)&gt;0,MIN(AV$1,IF($A255=$A254,AV254,1))-AA255&lt;0),-1,MIN(1,IF($A255=$A254,AV254,1)-AA255+$D$3))</f>
        <v>#N/A</v>
      </c>
      <c r="AW255" s="47" t="e">
        <f>IF(OR($J255=0,COUNTIFS($A$4:$A254,"&gt;="&amp;$A255-1,$A$4:$A254,"&lt;="&amp;$A255,$B$4:$B254,$B255)&gt;0,MIN(AW$1,IF($A255=$A254,AW254,1))-AB255&lt;0),-1,MIN(1,IF($A255=$A254,AW254,1)-AB255+$D$3))</f>
        <v>#N/A</v>
      </c>
      <c r="AX255" s="47" t="e">
        <f>IF(OR($J255=0,COUNTIFS($A$4:$A254,"&gt;="&amp;$A255-1,$A$4:$A254,"&lt;="&amp;$A255,$B$4:$B254,$B255)&gt;0,MIN(AX$1,IF($A255=$A254,AX254,1))-AC255&lt;0),-1,MIN(1,IF($A255=$A254,AX254,1)-AC255+$D$3))</f>
        <v>#N/A</v>
      </c>
      <c r="AY255" s="47" t="e">
        <f>IF(OR($J255=0,COUNTIFS($A$4:$A254,"&gt;="&amp;$A255-1,$A$4:$A254,"&lt;="&amp;$A255,$B$4:$B254,$B255)&gt;0,MIN(AY$1,IF($A255=$A254,AY254,1))-AD255&lt;0),-1,MIN(1,IF($A255=$A254,AY254,1)-AD255+$D$3))</f>
        <v>#N/A</v>
      </c>
      <c r="AZ255" s="47" t="e">
        <f>IF(OR($J255=0,COUNTIFS($A$4:$A254,"&gt;="&amp;$A255-1,$A$4:$A254,"&lt;="&amp;$A255,$B$4:$B254,$B255)&gt;0,MIN(AZ$1,IF($A255=$A254,AZ254,1))-AE255&lt;0),-1,MIN(1,IF($A255=$A254,AZ254,1)-AE255+$D$3))</f>
        <v>#N/A</v>
      </c>
      <c r="BA255" s="47" t="e">
        <f>IF(OR($J255=0,COUNTIFS($A$4:$A254,"&gt;="&amp;$A255-1,$A$4:$A254,"&lt;="&amp;$A255,$B$4:$B254,$B255)&gt;0,MIN(BA$1,IF($A255=$A254,BA254,1))-AF255&lt;0),-1,MIN(1,IF($A255=$A254,BA254,1)-AF255+$D$3))</f>
        <v>#N/A</v>
      </c>
      <c r="BB255" s="47" t="e">
        <f>IF(OR($J255=0,COUNTIFS($A$4:$A254,"&gt;="&amp;$A255-1,$A$4:$A254,"&lt;="&amp;$A255,$B$4:$B254,$B255)&gt;0,MIN(BB$1,IF($A255=$A254,BB254,1))-AG255&lt;0),-1,MIN(1,IF($A255=$A254,BB254,1)-AG255+$D$3))</f>
        <v>#N/A</v>
      </c>
      <c r="BC255" s="47" t="e">
        <f>IF(OR($J255=0,COUNTIFS($A$4:$A254,"&gt;="&amp;$A255-1,$A$4:$A254,"&lt;="&amp;$A255,$B$4:$B254,$B255)&gt;0,MIN(BC$1,IF($A255=$A254,BC254,1))-AH255&lt;0),-1,MIN(1,IF($A255=$A254,BC254,1)-AH255+$D$3))</f>
        <v>#N/A</v>
      </c>
      <c r="BD255" s="47" t="e">
        <f>IF(OR($J255=0,COUNTIFS($A$4:$A254,"&gt;="&amp;$A255-1,$A$4:$A254,"&lt;="&amp;$A255,$B$4:$B254,$B255)&gt;0,MIN(BD$1,IF($A255=$A254,BD254,1))-AI255&lt;0),-1,MIN(1,IF($A255=$A254,BD254,1)-AI255+$D$3))</f>
        <v>#N/A</v>
      </c>
      <c r="BE255" s="47"/>
      <c r="BF255" s="53">
        <f t="shared" si="311"/>
        <v>5.4316380407368481E-6</v>
      </c>
      <c r="BG255" s="53">
        <f t="shared" si="312"/>
        <v>1.3357930648645702E-5</v>
      </c>
      <c r="BH255" s="53">
        <f t="shared" si="313"/>
        <v>1.3690473798168729E-5</v>
      </c>
      <c r="BI255" s="53">
        <f t="shared" si="314"/>
        <v>1.2646196789910152E-5</v>
      </c>
      <c r="BJ255" s="53">
        <f t="shared" si="315"/>
        <v>1.3071044961202168E-5</v>
      </c>
      <c r="BK255" s="53">
        <f t="shared" si="316"/>
        <v>5.6131940594619595E-6</v>
      </c>
      <c r="BL255" s="53">
        <f t="shared" si="317"/>
        <v>3.0323357399035338E-6</v>
      </c>
      <c r="BM255" s="53">
        <f t="shared" si="318"/>
        <v>7.713908021200143E-6</v>
      </c>
      <c r="BN255" s="53">
        <f t="shared" si="319"/>
        <v>8.0230655284097393E-6</v>
      </c>
      <c r="BO255" s="53">
        <f t="shared" si="320"/>
        <v>3.7599129470070014E-6</v>
      </c>
      <c r="BP255" s="53">
        <f t="shared" si="321"/>
        <v>1.2642623512704524E-5</v>
      </c>
      <c r="BQ255" s="53">
        <f t="shared" si="322"/>
        <v>3.4117207407676111E-6</v>
      </c>
      <c r="BR255" s="53">
        <f t="shared" si="323"/>
        <v>1.0079077111243637E-5</v>
      </c>
      <c r="BS255" s="53">
        <f t="shared" si="324"/>
        <v>5.4357800365943636E-6</v>
      </c>
      <c r="BT255" s="53">
        <f t="shared" si="325"/>
        <v>2.1511048086938316E-5</v>
      </c>
      <c r="BU255" s="53">
        <f t="shared" si="326"/>
        <v>2.054952384479017E-5</v>
      </c>
      <c r="BV255" s="53">
        <f t="shared" si="327"/>
        <v>1.9735082834458917E-5</v>
      </c>
      <c r="BW255" s="53">
        <f t="shared" si="328"/>
        <v>1.2907830203578408E-5</v>
      </c>
      <c r="BX255" s="53">
        <f t="shared" si="329"/>
        <v>9.5360705578583636E-6</v>
      </c>
      <c r="BY255" s="53">
        <f t="shared" si="330"/>
        <v>8.1878126207787369E-6</v>
      </c>
      <c r="BZ255" s="47"/>
      <c r="CA255" s="53" t="str">
        <f t="shared" si="331"/>
        <v/>
      </c>
      <c r="CB255" s="53" t="str">
        <f t="shared" si="332"/>
        <v/>
      </c>
      <c r="CC255" s="53" t="str">
        <f t="shared" si="333"/>
        <v/>
      </c>
      <c r="CD255" s="53" t="str">
        <f t="shared" si="334"/>
        <v/>
      </c>
      <c r="CE255" s="53" t="str">
        <f t="shared" si="335"/>
        <v/>
      </c>
      <c r="CF255" s="53" t="str">
        <f t="shared" si="336"/>
        <v/>
      </c>
      <c r="CG255" s="53" t="str">
        <f t="shared" si="337"/>
        <v/>
      </c>
      <c r="CH255" s="53" t="str">
        <f t="shared" si="338"/>
        <v/>
      </c>
      <c r="CI255" s="53" t="str">
        <f t="shared" si="339"/>
        <v/>
      </c>
      <c r="CJ255" s="53" t="str">
        <f t="shared" si="340"/>
        <v/>
      </c>
      <c r="CK255" s="53" t="str">
        <f t="shared" si="341"/>
        <v/>
      </c>
      <c r="CL255" s="53" t="str">
        <f t="shared" si="342"/>
        <v/>
      </c>
      <c r="CM255" s="53" t="str">
        <f t="shared" si="343"/>
        <v/>
      </c>
      <c r="CN255" s="53" t="str">
        <f t="shared" si="344"/>
        <v/>
      </c>
      <c r="CO255" s="53" t="str">
        <f t="shared" si="345"/>
        <v/>
      </c>
      <c r="CP255" s="53" t="str">
        <f t="shared" si="346"/>
        <v/>
      </c>
      <c r="CQ255" s="53" t="str">
        <f t="shared" si="347"/>
        <v/>
      </c>
      <c r="CR255" s="53" t="str">
        <f t="shared" si="348"/>
        <v/>
      </c>
      <c r="CS255" s="53" t="str">
        <f t="shared" si="349"/>
        <v/>
      </c>
      <c r="CT255" s="53" t="str">
        <f t="shared" si="350"/>
        <v/>
      </c>
      <c r="CU255" s="47"/>
      <c r="CV255" s="53">
        <f t="shared" si="351"/>
        <v>0</v>
      </c>
    </row>
    <row r="256" spans="1:100" x14ac:dyDescent="0.25">
      <c r="A256" s="41"/>
      <c r="B256" s="42"/>
      <c r="C256" s="43" t="str" cm="1">
        <f t="array" ref="C256">IF(B256="","",INDEX(UWS!$B$10:$B$41,B256))</f>
        <v/>
      </c>
      <c r="D256" s="40" t="str">
        <f t="shared" si="308"/>
        <v/>
      </c>
      <c r="E256" s="69" t="str">
        <f t="shared" si="309"/>
        <v/>
      </c>
      <c r="F256" s="48" cm="1">
        <f t="array" ref="F256">0.1+IFERROR(INDEX($F$5:$F255,SUMPRODUCT(MAX(ROW($C$5:$C255)*($C256=$C$5:$C255))-ROW($A$4)))*0.9^($A256-INDEX($A$5:A255,SUMPRODUCT(MAX(ROW($C$5:$C255)*($C256=$C$5:$C255))-ROW($A$4)))),0)</f>
        <v>19.100000000000001</v>
      </c>
      <c r="G256" s="55" t="e">
        <f>INDEX(UWS!$AB$10:$AB$41,MATCH(C256,UWS!$B$10:$B$41,0))</f>
        <v>#N/A</v>
      </c>
      <c r="H256" s="48" t="e">
        <f>INDEX(UWS!$C$10:$C$41,MATCH(C256,UWS!$B$10:$B$41,0))</f>
        <v>#N/A</v>
      </c>
      <c r="I256" s="82">
        <f t="shared" si="310"/>
        <v>5</v>
      </c>
      <c r="J256" s="27" t="e">
        <f>INDEX(UWS!$E$10:$E$41,MATCH(C256,UWS!$B$10:$B$41,0))</f>
        <v>#N/A</v>
      </c>
      <c r="L256" s="108" t="str" cm="1">
        <f t="array" ref="L256">IF(K256="","",INDEX(UWS!$B$10:$B$41,K256))</f>
        <v/>
      </c>
      <c r="N256" s="108" t="str" cm="1">
        <f t="array" ref="N256">IF(M256="","",INDEX(UWS!$B$10:$B$41,M256))</f>
        <v/>
      </c>
      <c r="P256">
        <f>IFERROR(INDEX(UWS!$G$10:$Z$41,MATCH($C256,UWS!$B$10:$B$41,0),MATCH(P$4,UWS!$G$3:$Z$3,0)),0)</f>
        <v>0</v>
      </c>
      <c r="Q256">
        <f>IFERROR(INDEX(UWS!$G$10:$Z$41,MATCH($C256,UWS!$B$10:$B$41,0),MATCH(Q$4,UWS!$G$3:$Z$3,0)),0)</f>
        <v>0</v>
      </c>
      <c r="R256">
        <f>IFERROR(INDEX(UWS!$G$10:$Z$41,MATCH($C256,UWS!$B$10:$B$41,0),MATCH(R$4,UWS!$G$3:$Z$3,0)),0)</f>
        <v>0</v>
      </c>
      <c r="S256">
        <f>IFERROR(INDEX(UWS!$G$10:$Z$41,MATCH($C256,UWS!$B$10:$B$41,0),MATCH(S$4,UWS!$G$3:$Z$3,0)),0)</f>
        <v>0</v>
      </c>
      <c r="T256">
        <f>IFERROR(INDEX(UWS!$G$10:$Z$41,MATCH($C256,UWS!$B$10:$B$41,0),MATCH(T$4,UWS!$G$3:$Z$3,0)),0)</f>
        <v>0</v>
      </c>
      <c r="U256">
        <f>IFERROR(INDEX(UWS!$G$10:$Z$41,MATCH($C256,UWS!$B$10:$B$41,0),MATCH(U$4,UWS!$G$3:$Z$3,0)),0)</f>
        <v>0</v>
      </c>
      <c r="V256">
        <f>IFERROR(INDEX(UWS!$G$10:$Z$41,MATCH($C256,UWS!$B$10:$B$41,0),MATCH(V$4,UWS!$G$3:$Z$3,0)),0)</f>
        <v>0</v>
      </c>
      <c r="W256">
        <f>IFERROR(INDEX(UWS!$G$10:$Z$41,MATCH($C256,UWS!$B$10:$B$41,0),MATCH(W$4,UWS!$G$3:$Z$3,0)),0)</f>
        <v>0</v>
      </c>
      <c r="X256">
        <f>IFERROR(INDEX(UWS!$G$10:$Z$41,MATCH($C256,UWS!$B$10:$B$41,0),MATCH(X$4,UWS!$G$3:$Z$3,0)),0)</f>
        <v>0</v>
      </c>
      <c r="Y256">
        <f>IFERROR(INDEX(UWS!$G$10:$Z$41,MATCH($C256,UWS!$B$10:$B$41,0),MATCH(Y$4,UWS!$G$3:$Z$3,0)),0)</f>
        <v>0</v>
      </c>
      <c r="Z256">
        <f>IFERROR(INDEX(UWS!$G$10:$Z$41,MATCH($C256,UWS!$B$10:$B$41,0),MATCH(Z$4,UWS!$G$3:$Z$3,0)),0)</f>
        <v>0</v>
      </c>
      <c r="AA256">
        <f>IFERROR(INDEX(UWS!$G$10:$Z$41,MATCH($C256,UWS!$B$10:$B$41,0),MATCH(AA$4,UWS!$G$3:$Z$3,0)),0)</f>
        <v>0</v>
      </c>
      <c r="AB256">
        <f>IFERROR(INDEX(UWS!$G$10:$Z$41,MATCH($C256,UWS!$B$10:$B$41,0),MATCH(AB$4,UWS!$G$3:$Z$3,0)),0)</f>
        <v>0</v>
      </c>
      <c r="AC256">
        <f>IFERROR(INDEX(UWS!$G$10:$Z$41,MATCH($C256,UWS!$B$10:$B$41,0),MATCH(AC$4,UWS!$G$3:$Z$3,0)),0)</f>
        <v>0</v>
      </c>
      <c r="AD256">
        <f>IFERROR(INDEX(UWS!$G$10:$Z$41,MATCH($C256,UWS!$B$10:$B$41,0),MATCH(AD$4,UWS!$G$3:$Z$3,0)),0)</f>
        <v>0</v>
      </c>
      <c r="AE256">
        <f>IFERROR(INDEX(UWS!$G$10:$Z$41,MATCH($C256,UWS!$B$10:$B$41,0),MATCH(AE$4,UWS!$G$3:$Z$3,0)),0)</f>
        <v>0</v>
      </c>
      <c r="AF256">
        <f>IFERROR(INDEX(UWS!$G$10:$Z$41,MATCH($C256,UWS!$B$10:$B$41,0),MATCH(AF$4,UWS!$G$3:$Z$3,0)),0)</f>
        <v>0</v>
      </c>
      <c r="AG256">
        <f>IFERROR(INDEX(UWS!$G$10:$Z$41,MATCH($C256,UWS!$B$10:$B$41,0),MATCH(AG$4,UWS!$G$3:$Z$3,0)),0)</f>
        <v>0</v>
      </c>
      <c r="AH256">
        <f>IFERROR(INDEX(UWS!$G$10:$Z$41,MATCH($C256,UWS!$B$10:$B$41,0),MATCH(AH$4,UWS!$G$3:$Z$3,0)),0)</f>
        <v>0</v>
      </c>
      <c r="AI256">
        <f>IFERROR(INDEX(UWS!$G$10:$Z$41,MATCH($C256,UWS!$B$10:$B$41,0),MATCH(AI$4,UWS!$G$3:$Z$3,0)),0)</f>
        <v>0</v>
      </c>
      <c r="AK256" t="e">
        <f>IF(OR($J256=0,COUNTIFS($A$4:$A255,"&gt;="&amp;$A256-1,$A$4:$A255,"&lt;="&amp;$A256,$B$4:$B255,$B256)&gt;0,MIN(AK$1,IF($A256=$A255,AK255,1))-P256&lt;0),-1,MIN(1,IF($A256=$A255,AK255,1)-P256+$D$3))</f>
        <v>#N/A</v>
      </c>
      <c r="AL256" t="e">
        <f>IF(OR($J256=0,COUNTIFS($A$4:$A255,"&gt;="&amp;$A256-1,$A$4:$A255,"&lt;="&amp;$A256,$B$4:$B255,$B256)&gt;0,MIN(AL$1,IF($A256=$A255,AL255,1))-Q256&lt;0),-1,MIN(1,IF($A256=$A255,AL255,1)-Q256+$D$3))</f>
        <v>#N/A</v>
      </c>
      <c r="AM256" t="e">
        <f>IF(OR($J256=0,COUNTIFS($A$4:$A255,"&gt;="&amp;$A256-1,$A$4:$A255,"&lt;="&amp;$A256,$B$4:$B255,$B256)&gt;0,MIN(AM$1,IF($A256=$A255,AM255,1))-R256&lt;0),-1,MIN(1,IF($A256=$A255,AM255,1)-R256+$D$3))</f>
        <v>#N/A</v>
      </c>
      <c r="AN256" t="e">
        <f>IF(OR($J256=0,COUNTIFS($A$4:$A255,"&gt;="&amp;$A256-1,$A$4:$A255,"&lt;="&amp;$A256,$B$4:$B255,$B256)&gt;0,MIN(AN$1,IF($A256=$A255,AN255,1))-S256&lt;0),-1,MIN(1,IF($A256=$A255,AN255,1)-S256+$D$3))</f>
        <v>#N/A</v>
      </c>
      <c r="AO256" t="e">
        <f>IF(OR($J256=0,COUNTIFS($A$4:$A255,"&gt;="&amp;$A256-1,$A$4:$A255,"&lt;="&amp;$A256,$B$4:$B255,$B256)&gt;0,MIN(AO$1,IF($A256=$A255,AO255,1))-T256&lt;0),-1,MIN(1,IF($A256=$A255,AO255,1)-T256+$D$3))</f>
        <v>#N/A</v>
      </c>
      <c r="AP256" t="e">
        <f>IF(OR($J256=0,COUNTIFS($A$4:$A255,"&gt;="&amp;$A256-1,$A$4:$A255,"&lt;="&amp;$A256,$B$4:$B255,$B256)&gt;0,MIN(AP$1,IF($A256=$A255,AP255,1))-U256&lt;0),-1,MIN(1,IF($A256=$A255,AP255,1)-U256+$D$3))</f>
        <v>#N/A</v>
      </c>
      <c r="AQ256" t="e">
        <f>IF(OR($J256=0,COUNTIFS($A$4:$A255,"&gt;="&amp;$A256-1,$A$4:$A255,"&lt;="&amp;$A256,$B$4:$B255,$B256)&gt;0,MIN(AQ$1,IF($A256=$A255,AQ255,1))-V256&lt;0),-1,MIN(1,IF($A256=$A255,AQ255,1)-V256+$D$3))</f>
        <v>#N/A</v>
      </c>
      <c r="AR256" t="e">
        <f>IF(OR($J256=0,COUNTIFS($A$4:$A255,"&gt;="&amp;$A256-1,$A$4:$A255,"&lt;="&amp;$A256,$B$4:$B255,$B256)&gt;0,MIN(AR$1,IF($A256=$A255,AR255,1))-W256&lt;0),-1,MIN(1,IF($A256=$A255,AR255,1)-W256+$D$3))</f>
        <v>#N/A</v>
      </c>
      <c r="AS256" t="e">
        <f>IF(OR($J256=0,COUNTIFS($A$4:$A255,"&gt;="&amp;$A256-1,$A$4:$A255,"&lt;="&amp;$A256,$B$4:$B255,$B256)&gt;0,MIN(AS$1,IF($A256=$A255,AS255,1))-X256&lt;0),-1,MIN(1,IF($A256=$A255,AS255,1)-X256+$D$3))</f>
        <v>#N/A</v>
      </c>
      <c r="AT256" t="e">
        <f>IF(OR($J256=0,COUNTIFS($A$4:$A255,"&gt;="&amp;$A256-1,$A$4:$A255,"&lt;="&amp;$A256,$B$4:$B255,$B256)&gt;0,MIN(AT$1,IF($A256=$A255,AT255,1))-Y256&lt;0),-1,MIN(1,IF($A256=$A255,AT255,1)-Y256+$D$3))</f>
        <v>#N/A</v>
      </c>
      <c r="AU256" t="e">
        <f>IF(OR($J256=0,COUNTIFS($A$4:$A255,"&gt;="&amp;$A256-1,$A$4:$A255,"&lt;="&amp;$A256,$B$4:$B255,$B256)&gt;0,MIN(AU$1,IF($A256=$A255,AU255,1))-Z256&lt;0),-1,MIN(1,IF($A256=$A255,AU255,1)-Z256+$D$3))</f>
        <v>#N/A</v>
      </c>
      <c r="AV256" t="e">
        <f>IF(OR($J256=0,COUNTIFS($A$4:$A255,"&gt;="&amp;$A256-1,$A$4:$A255,"&lt;="&amp;$A256,$B$4:$B255,$B256)&gt;0,MIN(AV$1,IF($A256=$A255,AV255,1))-AA256&lt;0),-1,MIN(1,IF($A256=$A255,AV255,1)-AA256+$D$3))</f>
        <v>#N/A</v>
      </c>
      <c r="AW256" t="e">
        <f>IF(OR($J256=0,COUNTIFS($A$4:$A255,"&gt;="&amp;$A256-1,$A$4:$A255,"&lt;="&amp;$A256,$B$4:$B255,$B256)&gt;0,MIN(AW$1,IF($A256=$A255,AW255,1))-AB256&lt;0),-1,MIN(1,IF($A256=$A255,AW255,1)-AB256+$D$3))</f>
        <v>#N/A</v>
      </c>
      <c r="AX256" t="e">
        <f>IF(OR($J256=0,COUNTIFS($A$4:$A255,"&gt;="&amp;$A256-1,$A$4:$A255,"&lt;="&amp;$A256,$B$4:$B255,$B256)&gt;0,MIN(AX$1,IF($A256=$A255,AX255,1))-AC256&lt;0),-1,MIN(1,IF($A256=$A255,AX255,1)-AC256+$D$3))</f>
        <v>#N/A</v>
      </c>
      <c r="AY256" t="e">
        <f>IF(OR($J256=0,COUNTIFS($A$4:$A255,"&gt;="&amp;$A256-1,$A$4:$A255,"&lt;="&amp;$A256,$B$4:$B255,$B256)&gt;0,MIN(AY$1,IF($A256=$A255,AY255,1))-AD256&lt;0),-1,MIN(1,IF($A256=$A255,AY255,1)-AD256+$D$3))</f>
        <v>#N/A</v>
      </c>
      <c r="AZ256" t="e">
        <f>IF(OR($J256=0,COUNTIFS($A$4:$A255,"&gt;="&amp;$A256-1,$A$4:$A255,"&lt;="&amp;$A256,$B$4:$B255,$B256)&gt;0,MIN(AZ$1,IF($A256=$A255,AZ255,1))-AE256&lt;0),-1,MIN(1,IF($A256=$A255,AZ255,1)-AE256+$D$3))</f>
        <v>#N/A</v>
      </c>
      <c r="BA256" t="e">
        <f>IF(OR($J256=0,COUNTIFS($A$4:$A255,"&gt;="&amp;$A256-1,$A$4:$A255,"&lt;="&amp;$A256,$B$4:$B255,$B256)&gt;0,MIN(BA$1,IF($A256=$A255,BA255,1))-AF256&lt;0),-1,MIN(1,IF($A256=$A255,BA255,1)-AF256+$D$3))</f>
        <v>#N/A</v>
      </c>
      <c r="BB256" t="e">
        <f>IF(OR($J256=0,COUNTIFS($A$4:$A255,"&gt;="&amp;$A256-1,$A$4:$A255,"&lt;="&amp;$A256,$B$4:$B255,$B256)&gt;0,MIN(BB$1,IF($A256=$A255,BB255,1))-AG256&lt;0),-1,MIN(1,IF($A256=$A255,BB255,1)-AG256+$D$3))</f>
        <v>#N/A</v>
      </c>
      <c r="BC256" t="e">
        <f>IF(OR($J256=0,COUNTIFS($A$4:$A255,"&gt;="&amp;$A256-1,$A$4:$A255,"&lt;="&amp;$A256,$B$4:$B255,$B256)&gt;0,MIN(BC$1,IF($A256=$A255,BC255,1))-AH256&lt;0),-1,MIN(1,IF($A256=$A255,BC255,1)-AH256+$D$3))</f>
        <v>#N/A</v>
      </c>
      <c r="BD256" t="e">
        <f>IF(OR($J256=0,COUNTIFS($A$4:$A255,"&gt;="&amp;$A256-1,$A$4:$A255,"&lt;="&amp;$A256,$B$4:$B255,$B256)&gt;0,MIN(BD$1,IF($A256=$A255,BD255,1))-AI256&lt;0),-1,MIN(1,IF($A256=$A255,BD255,1)-AI256+$D$3))</f>
        <v>#N/A</v>
      </c>
      <c r="BF256" s="44">
        <f t="shared" si="311"/>
        <v>5.1600561387000057E-6</v>
      </c>
      <c r="BG256" s="44">
        <f t="shared" si="312"/>
        <v>1.2690034116213415E-5</v>
      </c>
      <c r="BH256" s="44">
        <f t="shared" si="313"/>
        <v>1.3005950108260293E-5</v>
      </c>
      <c r="BI256" s="44">
        <f t="shared" si="314"/>
        <v>1.2013886950414644E-5</v>
      </c>
      <c r="BJ256" s="44">
        <f t="shared" si="315"/>
        <v>1.2417492713142059E-5</v>
      </c>
      <c r="BK256" s="44">
        <f t="shared" si="316"/>
        <v>5.3325343564888616E-6</v>
      </c>
      <c r="BL256" s="44">
        <f t="shared" si="317"/>
        <v>2.8807189529083568E-6</v>
      </c>
      <c r="BM256" s="44">
        <f t="shared" si="318"/>
        <v>7.3282126201401357E-6</v>
      </c>
      <c r="BN256" s="44">
        <f t="shared" si="319"/>
        <v>7.6219122519892518E-6</v>
      </c>
      <c r="BO256" s="44">
        <f t="shared" si="320"/>
        <v>3.5719172996566511E-6</v>
      </c>
      <c r="BP256" s="44">
        <f t="shared" si="321"/>
        <v>1.2010492337069298E-5</v>
      </c>
      <c r="BQ256" s="44">
        <f t="shared" si="322"/>
        <v>3.2411347037292305E-6</v>
      </c>
      <c r="BR256" s="44">
        <f t="shared" si="323"/>
        <v>9.5751232556814543E-6</v>
      </c>
      <c r="BS256" s="44">
        <f t="shared" si="324"/>
        <v>5.1639910347646449E-6</v>
      </c>
      <c r="BT256" s="44">
        <f t="shared" si="325"/>
        <v>2.0435495682591398E-5</v>
      </c>
      <c r="BU256" s="44">
        <f t="shared" si="326"/>
        <v>1.9522047652550661E-5</v>
      </c>
      <c r="BV256" s="44">
        <f t="shared" si="327"/>
        <v>1.874832869273597E-5</v>
      </c>
      <c r="BW256" s="44">
        <f t="shared" si="328"/>
        <v>1.2262438693399487E-5</v>
      </c>
      <c r="BX256" s="44">
        <f t="shared" si="329"/>
        <v>9.0592670299654451E-6</v>
      </c>
      <c r="BY256" s="44">
        <f t="shared" si="330"/>
        <v>7.7784219897398002E-6</v>
      </c>
      <c r="CA256" s="44" t="str">
        <f t="shared" si="331"/>
        <v/>
      </c>
      <c r="CB256" s="44" t="str">
        <f t="shared" si="332"/>
        <v/>
      </c>
      <c r="CC256" s="44" t="str">
        <f t="shared" si="333"/>
        <v/>
      </c>
      <c r="CD256" s="44" t="str">
        <f t="shared" si="334"/>
        <v/>
      </c>
      <c r="CE256" s="44" t="str">
        <f t="shared" si="335"/>
        <v/>
      </c>
      <c r="CF256" s="44" t="str">
        <f t="shared" si="336"/>
        <v/>
      </c>
      <c r="CG256" s="44" t="str">
        <f t="shared" si="337"/>
        <v/>
      </c>
      <c r="CH256" s="44" t="str">
        <f t="shared" si="338"/>
        <v/>
      </c>
      <c r="CI256" s="44" t="str">
        <f t="shared" si="339"/>
        <v/>
      </c>
      <c r="CJ256" s="44" t="str">
        <f t="shared" si="340"/>
        <v/>
      </c>
      <c r="CK256" s="44" t="str">
        <f t="shared" si="341"/>
        <v/>
      </c>
      <c r="CL256" s="44" t="str">
        <f t="shared" si="342"/>
        <v/>
      </c>
      <c r="CM256" s="44" t="str">
        <f t="shared" si="343"/>
        <v/>
      </c>
      <c r="CN256" s="44" t="str">
        <f t="shared" si="344"/>
        <v/>
      </c>
      <c r="CO256" s="44" t="str">
        <f t="shared" si="345"/>
        <v/>
      </c>
      <c r="CP256" s="44" t="str">
        <f t="shared" si="346"/>
        <v/>
      </c>
      <c r="CQ256" s="44" t="str">
        <f t="shared" si="347"/>
        <v/>
      </c>
      <c r="CR256" s="44" t="str">
        <f t="shared" si="348"/>
        <v/>
      </c>
      <c r="CS256" s="44" t="str">
        <f t="shared" si="349"/>
        <v/>
      </c>
      <c r="CT256" s="44" t="str">
        <f t="shared" si="350"/>
        <v/>
      </c>
      <c r="CV256" s="44">
        <f t="shared" si="351"/>
        <v>0</v>
      </c>
    </row>
    <row r="257" spans="1:100" x14ac:dyDescent="0.25">
      <c r="A257" s="41"/>
      <c r="B257" s="42"/>
      <c r="C257" s="43" t="str" cm="1">
        <f t="array" ref="C257">IF(B257="","",INDEX(UWS!$B$10:$B$41,B257))</f>
        <v/>
      </c>
      <c r="D257" s="40" t="str">
        <f t="shared" si="308"/>
        <v/>
      </c>
      <c r="E257" s="69" t="str">
        <f t="shared" si="309"/>
        <v/>
      </c>
      <c r="F257" s="48" cm="1">
        <f t="array" ref="F257">0.1+IFERROR(INDEX($F$5:$F256,SUMPRODUCT(MAX(ROW($C$5:$C256)*($C257=$C$5:$C256))-ROW($A$4)))*0.9^($A257-INDEX($A$5:A256,SUMPRODUCT(MAX(ROW($C$5:$C256)*($C257=$C$5:$C256))-ROW($A$4)))),0)</f>
        <v>19.200000000000003</v>
      </c>
      <c r="G257" s="55" t="e">
        <f>INDEX(UWS!$AB$10:$AB$41,MATCH(C257,UWS!$B$10:$B$41,0))</f>
        <v>#N/A</v>
      </c>
      <c r="H257" s="48" t="e">
        <f>INDEX(UWS!$C$10:$C$41,MATCH(C257,UWS!$B$10:$B$41,0))</f>
        <v>#N/A</v>
      </c>
      <c r="I257" s="27">
        <f t="shared" si="310"/>
        <v>5</v>
      </c>
      <c r="J257" s="27" t="e">
        <f>INDEX(UWS!$E$10:$E$41,MATCH(C257,UWS!$B$10:$B$41,0))</f>
        <v>#N/A</v>
      </c>
      <c r="L257" s="108" t="str" cm="1">
        <f t="array" ref="L257">IF(K257="","",INDEX(UWS!$B$10:$B$41,K257))</f>
        <v/>
      </c>
      <c r="N257" s="108" t="str" cm="1">
        <f t="array" ref="N257">IF(M257="","",INDEX(UWS!$B$10:$B$41,M257))</f>
        <v/>
      </c>
      <c r="P257">
        <f>IFERROR(INDEX(UWS!$G$10:$Z$41,MATCH($C257,UWS!$B$10:$B$41,0),MATCH(P$4,UWS!$G$3:$Z$3,0)),0)</f>
        <v>0</v>
      </c>
      <c r="Q257">
        <f>IFERROR(INDEX(UWS!$G$10:$Z$41,MATCH($C257,UWS!$B$10:$B$41,0),MATCH(Q$4,UWS!$G$3:$Z$3,0)),0)</f>
        <v>0</v>
      </c>
      <c r="R257">
        <f>IFERROR(INDEX(UWS!$G$10:$Z$41,MATCH($C257,UWS!$B$10:$B$41,0),MATCH(R$4,UWS!$G$3:$Z$3,0)),0)</f>
        <v>0</v>
      </c>
      <c r="S257">
        <f>IFERROR(INDEX(UWS!$G$10:$Z$41,MATCH($C257,UWS!$B$10:$B$41,0),MATCH(S$4,UWS!$G$3:$Z$3,0)),0)</f>
        <v>0</v>
      </c>
      <c r="T257">
        <f>IFERROR(INDEX(UWS!$G$10:$Z$41,MATCH($C257,UWS!$B$10:$B$41,0),MATCH(T$4,UWS!$G$3:$Z$3,0)),0)</f>
        <v>0</v>
      </c>
      <c r="U257">
        <f>IFERROR(INDEX(UWS!$G$10:$Z$41,MATCH($C257,UWS!$B$10:$B$41,0),MATCH(U$4,UWS!$G$3:$Z$3,0)),0)</f>
        <v>0</v>
      </c>
      <c r="V257">
        <f>IFERROR(INDEX(UWS!$G$10:$Z$41,MATCH($C257,UWS!$B$10:$B$41,0),MATCH(V$4,UWS!$G$3:$Z$3,0)),0)</f>
        <v>0</v>
      </c>
      <c r="W257">
        <f>IFERROR(INDEX(UWS!$G$10:$Z$41,MATCH($C257,UWS!$B$10:$B$41,0),MATCH(W$4,UWS!$G$3:$Z$3,0)),0)</f>
        <v>0</v>
      </c>
      <c r="X257">
        <f>IFERROR(INDEX(UWS!$G$10:$Z$41,MATCH($C257,UWS!$B$10:$B$41,0),MATCH(X$4,UWS!$G$3:$Z$3,0)),0)</f>
        <v>0</v>
      </c>
      <c r="Y257">
        <f>IFERROR(INDEX(UWS!$G$10:$Z$41,MATCH($C257,UWS!$B$10:$B$41,0),MATCH(Y$4,UWS!$G$3:$Z$3,0)),0)</f>
        <v>0</v>
      </c>
      <c r="Z257">
        <f>IFERROR(INDEX(UWS!$G$10:$Z$41,MATCH($C257,UWS!$B$10:$B$41,0),MATCH(Z$4,UWS!$G$3:$Z$3,0)),0)</f>
        <v>0</v>
      </c>
      <c r="AA257">
        <f>IFERROR(INDEX(UWS!$G$10:$Z$41,MATCH($C257,UWS!$B$10:$B$41,0),MATCH(AA$4,UWS!$G$3:$Z$3,0)),0)</f>
        <v>0</v>
      </c>
      <c r="AB257">
        <f>IFERROR(INDEX(UWS!$G$10:$Z$41,MATCH($C257,UWS!$B$10:$B$41,0),MATCH(AB$4,UWS!$G$3:$Z$3,0)),0)</f>
        <v>0</v>
      </c>
      <c r="AC257">
        <f>IFERROR(INDEX(UWS!$G$10:$Z$41,MATCH($C257,UWS!$B$10:$B$41,0),MATCH(AC$4,UWS!$G$3:$Z$3,0)),0)</f>
        <v>0</v>
      </c>
      <c r="AD257">
        <f>IFERROR(INDEX(UWS!$G$10:$Z$41,MATCH($C257,UWS!$B$10:$B$41,0),MATCH(AD$4,UWS!$G$3:$Z$3,0)),0)</f>
        <v>0</v>
      </c>
      <c r="AE257">
        <f>IFERROR(INDEX(UWS!$G$10:$Z$41,MATCH($C257,UWS!$B$10:$B$41,0),MATCH(AE$4,UWS!$G$3:$Z$3,0)),0)</f>
        <v>0</v>
      </c>
      <c r="AF257">
        <f>IFERROR(INDEX(UWS!$G$10:$Z$41,MATCH($C257,UWS!$B$10:$B$41,0),MATCH(AF$4,UWS!$G$3:$Z$3,0)),0)</f>
        <v>0</v>
      </c>
      <c r="AG257">
        <f>IFERROR(INDEX(UWS!$G$10:$Z$41,MATCH($C257,UWS!$B$10:$B$41,0),MATCH(AG$4,UWS!$G$3:$Z$3,0)),0)</f>
        <v>0</v>
      </c>
      <c r="AH257">
        <f>IFERROR(INDEX(UWS!$G$10:$Z$41,MATCH($C257,UWS!$B$10:$B$41,0),MATCH(AH$4,UWS!$G$3:$Z$3,0)),0)</f>
        <v>0</v>
      </c>
      <c r="AI257">
        <f>IFERROR(INDEX(UWS!$G$10:$Z$41,MATCH($C257,UWS!$B$10:$B$41,0),MATCH(AI$4,UWS!$G$3:$Z$3,0)),0)</f>
        <v>0</v>
      </c>
      <c r="AK257" t="e">
        <f>IF(OR($J257=0,COUNTIFS($A$4:$A256,"&gt;="&amp;$A257-1,$A$4:$A256,"&lt;="&amp;$A257,$B$4:$B256,$B257)&gt;0,MIN(AK$1,IF($A257=$A256,AK256,1))-P257&lt;0),-1,MIN(1,IF($A257=$A256,AK256,1)-P257+$D$3))</f>
        <v>#N/A</v>
      </c>
      <c r="AL257" t="e">
        <f>IF(OR($J257=0,COUNTIFS($A$4:$A256,"&gt;="&amp;$A257-1,$A$4:$A256,"&lt;="&amp;$A257,$B$4:$B256,$B257)&gt;0,MIN(AL$1,IF($A257=$A256,AL256,1))-Q257&lt;0),-1,MIN(1,IF($A257=$A256,AL256,1)-Q257+$D$3))</f>
        <v>#N/A</v>
      </c>
      <c r="AM257" t="e">
        <f>IF(OR($J257=0,COUNTIFS($A$4:$A256,"&gt;="&amp;$A257-1,$A$4:$A256,"&lt;="&amp;$A257,$B$4:$B256,$B257)&gt;0,MIN(AM$1,IF($A257=$A256,AM256,1))-R257&lt;0),-1,MIN(1,IF($A257=$A256,AM256,1)-R257+$D$3))</f>
        <v>#N/A</v>
      </c>
      <c r="AN257" t="e">
        <f>IF(OR($J257=0,COUNTIFS($A$4:$A256,"&gt;="&amp;$A257-1,$A$4:$A256,"&lt;="&amp;$A257,$B$4:$B256,$B257)&gt;0,MIN(AN$1,IF($A257=$A256,AN256,1))-S257&lt;0),-1,MIN(1,IF($A257=$A256,AN256,1)-S257+$D$3))</f>
        <v>#N/A</v>
      </c>
      <c r="AO257" t="e">
        <f>IF(OR($J257=0,COUNTIFS($A$4:$A256,"&gt;="&amp;$A257-1,$A$4:$A256,"&lt;="&amp;$A257,$B$4:$B256,$B257)&gt;0,MIN(AO$1,IF($A257=$A256,AO256,1))-T257&lt;0),-1,MIN(1,IF($A257=$A256,AO256,1)-T257+$D$3))</f>
        <v>#N/A</v>
      </c>
      <c r="AP257" t="e">
        <f>IF(OR($J257=0,COUNTIFS($A$4:$A256,"&gt;="&amp;$A257-1,$A$4:$A256,"&lt;="&amp;$A257,$B$4:$B256,$B257)&gt;0,MIN(AP$1,IF($A257=$A256,AP256,1))-U257&lt;0),-1,MIN(1,IF($A257=$A256,AP256,1)-U257+$D$3))</f>
        <v>#N/A</v>
      </c>
      <c r="AQ257" t="e">
        <f>IF(OR($J257=0,COUNTIFS($A$4:$A256,"&gt;="&amp;$A257-1,$A$4:$A256,"&lt;="&amp;$A257,$B$4:$B256,$B257)&gt;0,MIN(AQ$1,IF($A257=$A256,AQ256,1))-V257&lt;0),-1,MIN(1,IF($A257=$A256,AQ256,1)-V257+$D$3))</f>
        <v>#N/A</v>
      </c>
      <c r="AR257" t="e">
        <f>IF(OR($J257=0,COUNTIFS($A$4:$A256,"&gt;="&amp;$A257-1,$A$4:$A256,"&lt;="&amp;$A257,$B$4:$B256,$B257)&gt;0,MIN(AR$1,IF($A257=$A256,AR256,1))-W257&lt;0),-1,MIN(1,IF($A257=$A256,AR256,1)-W257+$D$3))</f>
        <v>#N/A</v>
      </c>
      <c r="AS257" t="e">
        <f>IF(OR($J257=0,COUNTIFS($A$4:$A256,"&gt;="&amp;$A257-1,$A$4:$A256,"&lt;="&amp;$A257,$B$4:$B256,$B257)&gt;0,MIN(AS$1,IF($A257=$A256,AS256,1))-X257&lt;0),-1,MIN(1,IF($A257=$A256,AS256,1)-X257+$D$3))</f>
        <v>#N/A</v>
      </c>
      <c r="AT257" t="e">
        <f>IF(OR($J257=0,COUNTIFS($A$4:$A256,"&gt;="&amp;$A257-1,$A$4:$A256,"&lt;="&amp;$A257,$B$4:$B256,$B257)&gt;0,MIN(AT$1,IF($A257=$A256,AT256,1))-Y257&lt;0),-1,MIN(1,IF($A257=$A256,AT256,1)-Y257+$D$3))</f>
        <v>#N/A</v>
      </c>
      <c r="AU257" t="e">
        <f>IF(OR($J257=0,COUNTIFS($A$4:$A256,"&gt;="&amp;$A257-1,$A$4:$A256,"&lt;="&amp;$A257,$B$4:$B256,$B257)&gt;0,MIN(AU$1,IF($A257=$A256,AU256,1))-Z257&lt;0),-1,MIN(1,IF($A257=$A256,AU256,1)-Z257+$D$3))</f>
        <v>#N/A</v>
      </c>
      <c r="AV257" t="e">
        <f>IF(OR($J257=0,COUNTIFS($A$4:$A256,"&gt;="&amp;$A257-1,$A$4:$A256,"&lt;="&amp;$A257,$B$4:$B256,$B257)&gt;0,MIN(AV$1,IF($A257=$A256,AV256,1))-AA257&lt;0),-1,MIN(1,IF($A257=$A256,AV256,1)-AA257+$D$3))</f>
        <v>#N/A</v>
      </c>
      <c r="AW257" t="e">
        <f>IF(OR($J257=0,COUNTIFS($A$4:$A256,"&gt;="&amp;$A257-1,$A$4:$A256,"&lt;="&amp;$A257,$B$4:$B256,$B257)&gt;0,MIN(AW$1,IF($A257=$A256,AW256,1))-AB257&lt;0),-1,MIN(1,IF($A257=$A256,AW256,1)-AB257+$D$3))</f>
        <v>#N/A</v>
      </c>
      <c r="AX257" t="e">
        <f>IF(OR($J257=0,COUNTIFS($A$4:$A256,"&gt;="&amp;$A257-1,$A$4:$A256,"&lt;="&amp;$A257,$B$4:$B256,$B257)&gt;0,MIN(AX$1,IF($A257=$A256,AX256,1))-AC257&lt;0),-1,MIN(1,IF($A257=$A256,AX256,1)-AC257+$D$3))</f>
        <v>#N/A</v>
      </c>
      <c r="AY257" t="e">
        <f>IF(OR($J257=0,COUNTIFS($A$4:$A256,"&gt;="&amp;$A257-1,$A$4:$A256,"&lt;="&amp;$A257,$B$4:$B256,$B257)&gt;0,MIN(AY$1,IF($A257=$A256,AY256,1))-AD257&lt;0),-1,MIN(1,IF($A257=$A256,AY256,1)-AD257+$D$3))</f>
        <v>#N/A</v>
      </c>
      <c r="AZ257" t="e">
        <f>IF(OR($J257=0,COUNTIFS($A$4:$A256,"&gt;="&amp;$A257-1,$A$4:$A256,"&lt;="&amp;$A257,$B$4:$B256,$B257)&gt;0,MIN(AZ$1,IF($A257=$A256,AZ256,1))-AE257&lt;0),-1,MIN(1,IF($A257=$A256,AZ256,1)-AE257+$D$3))</f>
        <v>#N/A</v>
      </c>
      <c r="BA257" t="e">
        <f>IF(OR($J257=0,COUNTIFS($A$4:$A256,"&gt;="&amp;$A257-1,$A$4:$A256,"&lt;="&amp;$A257,$B$4:$B256,$B257)&gt;0,MIN(BA$1,IF($A257=$A256,BA256,1))-AF257&lt;0),-1,MIN(1,IF($A257=$A256,BA256,1)-AF257+$D$3))</f>
        <v>#N/A</v>
      </c>
      <c r="BB257" t="e">
        <f>IF(OR($J257=0,COUNTIFS($A$4:$A256,"&gt;="&amp;$A257-1,$A$4:$A256,"&lt;="&amp;$A257,$B$4:$B256,$B257)&gt;0,MIN(BB$1,IF($A257=$A256,BB256,1))-AG257&lt;0),-1,MIN(1,IF($A257=$A256,BB256,1)-AG257+$D$3))</f>
        <v>#N/A</v>
      </c>
      <c r="BC257" t="e">
        <f>IF(OR($J257=0,COUNTIFS($A$4:$A256,"&gt;="&amp;$A257-1,$A$4:$A256,"&lt;="&amp;$A257,$B$4:$B256,$B257)&gt;0,MIN(BC$1,IF($A257=$A256,BC256,1))-AH257&lt;0),-1,MIN(1,IF($A257=$A256,BC256,1)-AH257+$D$3))</f>
        <v>#N/A</v>
      </c>
      <c r="BD257" t="e">
        <f>IF(OR($J257=0,COUNTIFS($A$4:$A256,"&gt;="&amp;$A257-1,$A$4:$A256,"&lt;="&amp;$A257,$B$4:$B256,$B257)&gt;0,MIN(BD$1,IF($A257=$A256,BD256,1))-AI257&lt;0),-1,MIN(1,IF($A257=$A256,BD256,1)-AI257+$D$3))</f>
        <v>#N/A</v>
      </c>
      <c r="BF257" s="44">
        <f t="shared" si="311"/>
        <v>4.9020533317650048E-6</v>
      </c>
      <c r="BG257" s="44">
        <f t="shared" si="312"/>
        <v>1.2055532410402744E-5</v>
      </c>
      <c r="BH257" s="44">
        <f t="shared" si="313"/>
        <v>1.2355652602847277E-5</v>
      </c>
      <c r="BI257" s="44">
        <f t="shared" si="314"/>
        <v>1.1413192602893911E-5</v>
      </c>
      <c r="BJ257" s="44">
        <f t="shared" si="315"/>
        <v>1.1796618077484955E-5</v>
      </c>
      <c r="BK257" s="44">
        <f t="shared" si="316"/>
        <v>5.0659076386644186E-6</v>
      </c>
      <c r="BL257" s="44">
        <f t="shared" si="317"/>
        <v>2.736683005262939E-6</v>
      </c>
      <c r="BM257" s="44">
        <f t="shared" si="318"/>
        <v>6.9618019891331285E-6</v>
      </c>
      <c r="BN257" s="44">
        <f t="shared" si="319"/>
        <v>7.2408166393897886E-6</v>
      </c>
      <c r="BO257" s="44">
        <f t="shared" si="320"/>
        <v>3.3933214346738183E-6</v>
      </c>
      <c r="BP257" s="44">
        <f t="shared" si="321"/>
        <v>1.1409967720215832E-5</v>
      </c>
      <c r="BQ257" s="44">
        <f t="shared" si="322"/>
        <v>3.079077968542769E-6</v>
      </c>
      <c r="BR257" s="44">
        <f t="shared" si="323"/>
        <v>9.0963670928973809E-6</v>
      </c>
      <c r="BS257" s="44">
        <f t="shared" si="324"/>
        <v>4.9057914830264124E-6</v>
      </c>
      <c r="BT257" s="44">
        <f t="shared" si="325"/>
        <v>1.9413720898461828E-5</v>
      </c>
      <c r="BU257" s="44">
        <f t="shared" si="326"/>
        <v>1.8545945269923127E-5</v>
      </c>
      <c r="BV257" s="44">
        <f t="shared" si="327"/>
        <v>1.7810912258099171E-5</v>
      </c>
      <c r="BW257" s="44">
        <f t="shared" si="328"/>
        <v>1.1649316758729513E-5</v>
      </c>
      <c r="BX257" s="44">
        <f t="shared" si="329"/>
        <v>8.6063036784671726E-6</v>
      </c>
      <c r="BY257" s="44">
        <f t="shared" si="330"/>
        <v>7.3895008902528095E-6</v>
      </c>
      <c r="CA257" s="44" t="str">
        <f t="shared" si="331"/>
        <v/>
      </c>
      <c r="CB257" s="44" t="str">
        <f t="shared" si="332"/>
        <v/>
      </c>
      <c r="CC257" s="44" t="str">
        <f t="shared" si="333"/>
        <v/>
      </c>
      <c r="CD257" s="44" t="str">
        <f t="shared" si="334"/>
        <v/>
      </c>
      <c r="CE257" s="44" t="str">
        <f t="shared" si="335"/>
        <v/>
      </c>
      <c r="CF257" s="44" t="str">
        <f t="shared" si="336"/>
        <v/>
      </c>
      <c r="CG257" s="44" t="str">
        <f t="shared" si="337"/>
        <v/>
      </c>
      <c r="CH257" s="44" t="str">
        <f t="shared" si="338"/>
        <v/>
      </c>
      <c r="CI257" s="44" t="str">
        <f t="shared" si="339"/>
        <v/>
      </c>
      <c r="CJ257" s="44" t="str">
        <f t="shared" si="340"/>
        <v/>
      </c>
      <c r="CK257" s="44" t="str">
        <f t="shared" si="341"/>
        <v/>
      </c>
      <c r="CL257" s="44" t="str">
        <f t="shared" si="342"/>
        <v/>
      </c>
      <c r="CM257" s="44" t="str">
        <f t="shared" si="343"/>
        <v/>
      </c>
      <c r="CN257" s="44" t="str">
        <f t="shared" si="344"/>
        <v/>
      </c>
      <c r="CO257" s="44" t="str">
        <f t="shared" si="345"/>
        <v/>
      </c>
      <c r="CP257" s="44" t="str">
        <f t="shared" si="346"/>
        <v/>
      </c>
      <c r="CQ257" s="44" t="str">
        <f t="shared" si="347"/>
        <v/>
      </c>
      <c r="CR257" s="44" t="str">
        <f t="shared" si="348"/>
        <v/>
      </c>
      <c r="CS257" s="44" t="str">
        <f t="shared" si="349"/>
        <v/>
      </c>
      <c r="CT257" s="44" t="str">
        <f t="shared" si="350"/>
        <v/>
      </c>
      <c r="CV257" s="44">
        <f t="shared" si="351"/>
        <v>0</v>
      </c>
    </row>
    <row r="258" spans="1:100" x14ac:dyDescent="0.25">
      <c r="A258" s="41"/>
      <c r="B258" s="42"/>
      <c r="C258" s="43" t="str" cm="1">
        <f t="array" ref="C258">IF(B258="","",INDEX(UWS!$B$10:$B$41,B258))</f>
        <v/>
      </c>
      <c r="D258" s="40" t="str">
        <f t="shared" si="308"/>
        <v/>
      </c>
      <c r="E258" s="69" t="str">
        <f t="shared" si="309"/>
        <v/>
      </c>
      <c r="F258" s="48" cm="1">
        <f t="array" ref="F258">0.1+IFERROR(INDEX($F$5:$F257,SUMPRODUCT(MAX(ROW($C$5:$C257)*($C258=$C$5:$C257))-ROW($A$4)))*0.9^($A258-INDEX($A$5:A257,SUMPRODUCT(MAX(ROW($C$5:$C257)*($C258=$C$5:$C257))-ROW($A$4)))),0)</f>
        <v>19.300000000000004</v>
      </c>
      <c r="G258" s="55" t="e">
        <f>INDEX(UWS!$AB$10:$AB$41,MATCH(C258,UWS!$B$10:$B$41,0))</f>
        <v>#N/A</v>
      </c>
      <c r="H258" s="48" t="e">
        <f>INDEX(UWS!$C$10:$C$41,MATCH(C258,UWS!$B$10:$B$41,0))</f>
        <v>#N/A</v>
      </c>
      <c r="I258" s="27">
        <f t="shared" si="310"/>
        <v>5</v>
      </c>
      <c r="J258" s="27" t="e">
        <f>INDEX(UWS!$E$10:$E$41,MATCH(C258,UWS!$B$10:$B$41,0))</f>
        <v>#N/A</v>
      </c>
      <c r="L258" s="108" t="str" cm="1">
        <f t="array" ref="L258">IF(K258="","",INDEX(UWS!$B$10:$B$41,K258))</f>
        <v/>
      </c>
      <c r="N258" s="108" t="str" cm="1">
        <f t="array" ref="N258">IF(M258="","",INDEX(UWS!$B$10:$B$41,M258))</f>
        <v/>
      </c>
      <c r="P258">
        <f>IFERROR(INDEX(UWS!$G$10:$Z$41,MATCH($C258,UWS!$B$10:$B$41,0),MATCH(P$4,UWS!$G$3:$Z$3,0)),0)</f>
        <v>0</v>
      </c>
      <c r="Q258">
        <f>IFERROR(INDEX(UWS!$G$10:$Z$41,MATCH($C258,UWS!$B$10:$B$41,0),MATCH(Q$4,UWS!$G$3:$Z$3,0)),0)</f>
        <v>0</v>
      </c>
      <c r="R258">
        <f>IFERROR(INDEX(UWS!$G$10:$Z$41,MATCH($C258,UWS!$B$10:$B$41,0),MATCH(R$4,UWS!$G$3:$Z$3,0)),0)</f>
        <v>0</v>
      </c>
      <c r="S258">
        <f>IFERROR(INDEX(UWS!$G$10:$Z$41,MATCH($C258,UWS!$B$10:$B$41,0),MATCH(S$4,UWS!$G$3:$Z$3,0)),0)</f>
        <v>0</v>
      </c>
      <c r="T258">
        <f>IFERROR(INDEX(UWS!$G$10:$Z$41,MATCH($C258,UWS!$B$10:$B$41,0),MATCH(T$4,UWS!$G$3:$Z$3,0)),0)</f>
        <v>0</v>
      </c>
      <c r="U258">
        <f>IFERROR(INDEX(UWS!$G$10:$Z$41,MATCH($C258,UWS!$B$10:$B$41,0),MATCH(U$4,UWS!$G$3:$Z$3,0)),0)</f>
        <v>0</v>
      </c>
      <c r="V258">
        <f>IFERROR(INDEX(UWS!$G$10:$Z$41,MATCH($C258,UWS!$B$10:$B$41,0),MATCH(V$4,UWS!$G$3:$Z$3,0)),0)</f>
        <v>0</v>
      </c>
      <c r="W258">
        <f>IFERROR(INDEX(UWS!$G$10:$Z$41,MATCH($C258,UWS!$B$10:$B$41,0),MATCH(W$4,UWS!$G$3:$Z$3,0)),0)</f>
        <v>0</v>
      </c>
      <c r="X258">
        <f>IFERROR(INDEX(UWS!$G$10:$Z$41,MATCH($C258,UWS!$B$10:$B$41,0),MATCH(X$4,UWS!$G$3:$Z$3,0)),0)</f>
        <v>0</v>
      </c>
      <c r="Y258">
        <f>IFERROR(INDEX(UWS!$G$10:$Z$41,MATCH($C258,UWS!$B$10:$B$41,0),MATCH(Y$4,UWS!$G$3:$Z$3,0)),0)</f>
        <v>0</v>
      </c>
      <c r="Z258">
        <f>IFERROR(INDEX(UWS!$G$10:$Z$41,MATCH($C258,UWS!$B$10:$B$41,0),MATCH(Z$4,UWS!$G$3:$Z$3,0)),0)</f>
        <v>0</v>
      </c>
      <c r="AA258">
        <f>IFERROR(INDEX(UWS!$G$10:$Z$41,MATCH($C258,UWS!$B$10:$B$41,0),MATCH(AA$4,UWS!$G$3:$Z$3,0)),0)</f>
        <v>0</v>
      </c>
      <c r="AB258">
        <f>IFERROR(INDEX(UWS!$G$10:$Z$41,MATCH($C258,UWS!$B$10:$B$41,0),MATCH(AB$4,UWS!$G$3:$Z$3,0)),0)</f>
        <v>0</v>
      </c>
      <c r="AC258">
        <f>IFERROR(INDEX(UWS!$G$10:$Z$41,MATCH($C258,UWS!$B$10:$B$41,0),MATCH(AC$4,UWS!$G$3:$Z$3,0)),0)</f>
        <v>0</v>
      </c>
      <c r="AD258">
        <f>IFERROR(INDEX(UWS!$G$10:$Z$41,MATCH($C258,UWS!$B$10:$B$41,0),MATCH(AD$4,UWS!$G$3:$Z$3,0)),0)</f>
        <v>0</v>
      </c>
      <c r="AE258">
        <f>IFERROR(INDEX(UWS!$G$10:$Z$41,MATCH($C258,UWS!$B$10:$B$41,0),MATCH(AE$4,UWS!$G$3:$Z$3,0)),0)</f>
        <v>0</v>
      </c>
      <c r="AF258">
        <f>IFERROR(INDEX(UWS!$G$10:$Z$41,MATCH($C258,UWS!$B$10:$B$41,0),MATCH(AF$4,UWS!$G$3:$Z$3,0)),0)</f>
        <v>0</v>
      </c>
      <c r="AG258">
        <f>IFERROR(INDEX(UWS!$G$10:$Z$41,MATCH($C258,UWS!$B$10:$B$41,0),MATCH(AG$4,UWS!$G$3:$Z$3,0)),0)</f>
        <v>0</v>
      </c>
      <c r="AH258">
        <f>IFERROR(INDEX(UWS!$G$10:$Z$41,MATCH($C258,UWS!$B$10:$B$41,0),MATCH(AH$4,UWS!$G$3:$Z$3,0)),0)</f>
        <v>0</v>
      </c>
      <c r="AI258">
        <f>IFERROR(INDEX(UWS!$G$10:$Z$41,MATCH($C258,UWS!$B$10:$B$41,0),MATCH(AI$4,UWS!$G$3:$Z$3,0)),0)</f>
        <v>0</v>
      </c>
      <c r="AK258" t="e">
        <f>IF(OR($J258=0,COUNTIFS($A$4:$A257,"&gt;="&amp;$A258-1,$A$4:$A257,"&lt;="&amp;$A258,$B$4:$B257,$B258)&gt;0,MIN(AK$1,IF($A258=$A257,AK257,1))-P258&lt;0),-1,MIN(1,IF($A258=$A257,AK257,1)-P258+$D$3))</f>
        <v>#N/A</v>
      </c>
      <c r="AL258" t="e">
        <f>IF(OR($J258=0,COUNTIFS($A$4:$A257,"&gt;="&amp;$A258-1,$A$4:$A257,"&lt;="&amp;$A258,$B$4:$B257,$B258)&gt;0,MIN(AL$1,IF($A258=$A257,AL257,1))-Q258&lt;0),-1,MIN(1,IF($A258=$A257,AL257,1)-Q258+$D$3))</f>
        <v>#N/A</v>
      </c>
      <c r="AM258" t="e">
        <f>IF(OR($J258=0,COUNTIFS($A$4:$A257,"&gt;="&amp;$A258-1,$A$4:$A257,"&lt;="&amp;$A258,$B$4:$B257,$B258)&gt;0,MIN(AM$1,IF($A258=$A257,AM257,1))-R258&lt;0),-1,MIN(1,IF($A258=$A257,AM257,1)-R258+$D$3))</f>
        <v>#N/A</v>
      </c>
      <c r="AN258" t="e">
        <f>IF(OR($J258=0,COUNTIFS($A$4:$A257,"&gt;="&amp;$A258-1,$A$4:$A257,"&lt;="&amp;$A258,$B$4:$B257,$B258)&gt;0,MIN(AN$1,IF($A258=$A257,AN257,1))-S258&lt;0),-1,MIN(1,IF($A258=$A257,AN257,1)-S258+$D$3))</f>
        <v>#N/A</v>
      </c>
      <c r="AO258" t="e">
        <f>IF(OR($J258=0,COUNTIFS($A$4:$A257,"&gt;="&amp;$A258-1,$A$4:$A257,"&lt;="&amp;$A258,$B$4:$B257,$B258)&gt;0,MIN(AO$1,IF($A258=$A257,AO257,1))-T258&lt;0),-1,MIN(1,IF($A258=$A257,AO257,1)-T258+$D$3))</f>
        <v>#N/A</v>
      </c>
      <c r="AP258" t="e">
        <f>IF(OR($J258=0,COUNTIFS($A$4:$A257,"&gt;="&amp;$A258-1,$A$4:$A257,"&lt;="&amp;$A258,$B$4:$B257,$B258)&gt;0,MIN(AP$1,IF($A258=$A257,AP257,1))-U258&lt;0),-1,MIN(1,IF($A258=$A257,AP257,1)-U258+$D$3))</f>
        <v>#N/A</v>
      </c>
      <c r="AQ258" t="e">
        <f>IF(OR($J258=0,COUNTIFS($A$4:$A257,"&gt;="&amp;$A258-1,$A$4:$A257,"&lt;="&amp;$A258,$B$4:$B257,$B258)&gt;0,MIN(AQ$1,IF($A258=$A257,AQ257,1))-V258&lt;0),-1,MIN(1,IF($A258=$A257,AQ257,1)-V258+$D$3))</f>
        <v>#N/A</v>
      </c>
      <c r="AR258" t="e">
        <f>IF(OR($J258=0,COUNTIFS($A$4:$A257,"&gt;="&amp;$A258-1,$A$4:$A257,"&lt;="&amp;$A258,$B$4:$B257,$B258)&gt;0,MIN(AR$1,IF($A258=$A257,AR257,1))-W258&lt;0),-1,MIN(1,IF($A258=$A257,AR257,1)-W258+$D$3))</f>
        <v>#N/A</v>
      </c>
      <c r="AS258" t="e">
        <f>IF(OR($J258=0,COUNTIFS($A$4:$A257,"&gt;="&amp;$A258-1,$A$4:$A257,"&lt;="&amp;$A258,$B$4:$B257,$B258)&gt;0,MIN(AS$1,IF($A258=$A257,AS257,1))-X258&lt;0),-1,MIN(1,IF($A258=$A257,AS257,1)-X258+$D$3))</f>
        <v>#N/A</v>
      </c>
      <c r="AT258" t="e">
        <f>IF(OR($J258=0,COUNTIFS($A$4:$A257,"&gt;="&amp;$A258-1,$A$4:$A257,"&lt;="&amp;$A258,$B$4:$B257,$B258)&gt;0,MIN(AT$1,IF($A258=$A257,AT257,1))-Y258&lt;0),-1,MIN(1,IF($A258=$A257,AT257,1)-Y258+$D$3))</f>
        <v>#N/A</v>
      </c>
      <c r="AU258" t="e">
        <f>IF(OR($J258=0,COUNTIFS($A$4:$A257,"&gt;="&amp;$A258-1,$A$4:$A257,"&lt;="&amp;$A258,$B$4:$B257,$B258)&gt;0,MIN(AU$1,IF($A258=$A257,AU257,1))-Z258&lt;0),-1,MIN(1,IF($A258=$A257,AU257,1)-Z258+$D$3))</f>
        <v>#N/A</v>
      </c>
      <c r="AV258" t="e">
        <f>IF(OR($J258=0,COUNTIFS($A$4:$A257,"&gt;="&amp;$A258-1,$A$4:$A257,"&lt;="&amp;$A258,$B$4:$B257,$B258)&gt;0,MIN(AV$1,IF($A258=$A257,AV257,1))-AA258&lt;0),-1,MIN(1,IF($A258=$A257,AV257,1)-AA258+$D$3))</f>
        <v>#N/A</v>
      </c>
      <c r="AW258" t="e">
        <f>IF(OR($J258=0,COUNTIFS($A$4:$A257,"&gt;="&amp;$A258-1,$A$4:$A257,"&lt;="&amp;$A258,$B$4:$B257,$B258)&gt;0,MIN(AW$1,IF($A258=$A257,AW257,1))-AB258&lt;0),-1,MIN(1,IF($A258=$A257,AW257,1)-AB258+$D$3))</f>
        <v>#N/A</v>
      </c>
      <c r="AX258" t="e">
        <f>IF(OR($J258=0,COUNTIFS($A$4:$A257,"&gt;="&amp;$A258-1,$A$4:$A257,"&lt;="&amp;$A258,$B$4:$B257,$B258)&gt;0,MIN(AX$1,IF($A258=$A257,AX257,1))-AC258&lt;0),-1,MIN(1,IF($A258=$A257,AX257,1)-AC258+$D$3))</f>
        <v>#N/A</v>
      </c>
      <c r="AY258" t="e">
        <f>IF(OR($J258=0,COUNTIFS($A$4:$A257,"&gt;="&amp;$A258-1,$A$4:$A257,"&lt;="&amp;$A258,$B$4:$B257,$B258)&gt;0,MIN(AY$1,IF($A258=$A257,AY257,1))-AD258&lt;0),-1,MIN(1,IF($A258=$A257,AY257,1)-AD258+$D$3))</f>
        <v>#N/A</v>
      </c>
      <c r="AZ258" t="e">
        <f>IF(OR($J258=0,COUNTIFS($A$4:$A257,"&gt;="&amp;$A258-1,$A$4:$A257,"&lt;="&amp;$A258,$B$4:$B257,$B258)&gt;0,MIN(AZ$1,IF($A258=$A257,AZ257,1))-AE258&lt;0),-1,MIN(1,IF($A258=$A257,AZ257,1)-AE258+$D$3))</f>
        <v>#N/A</v>
      </c>
      <c r="BA258" t="e">
        <f>IF(OR($J258=0,COUNTIFS($A$4:$A257,"&gt;="&amp;$A258-1,$A$4:$A257,"&lt;="&amp;$A258,$B$4:$B257,$B258)&gt;0,MIN(BA$1,IF($A258=$A257,BA257,1))-AF258&lt;0),-1,MIN(1,IF($A258=$A257,BA257,1)-AF258+$D$3))</f>
        <v>#N/A</v>
      </c>
      <c r="BB258" t="e">
        <f>IF(OR($J258=0,COUNTIFS($A$4:$A257,"&gt;="&amp;$A258-1,$A$4:$A257,"&lt;="&amp;$A258,$B$4:$B257,$B258)&gt;0,MIN(BB$1,IF($A258=$A257,BB257,1))-AG258&lt;0),-1,MIN(1,IF($A258=$A257,BB257,1)-AG258+$D$3))</f>
        <v>#N/A</v>
      </c>
      <c r="BC258" t="e">
        <f>IF(OR($J258=0,COUNTIFS($A$4:$A257,"&gt;="&amp;$A258-1,$A$4:$A257,"&lt;="&amp;$A258,$B$4:$B257,$B258)&gt;0,MIN(BC$1,IF($A258=$A257,BC257,1))-AH258&lt;0),-1,MIN(1,IF($A258=$A257,BC257,1)-AH258+$D$3))</f>
        <v>#N/A</v>
      </c>
      <c r="BD258" t="e">
        <f>IF(OR($J258=0,COUNTIFS($A$4:$A257,"&gt;="&amp;$A258-1,$A$4:$A257,"&lt;="&amp;$A258,$B$4:$B257,$B258)&gt;0,MIN(BD$1,IF($A258=$A257,BD257,1))-AI258&lt;0),-1,MIN(1,IF($A258=$A257,BD257,1)-AI258+$D$3))</f>
        <v>#N/A</v>
      </c>
      <c r="BF258" s="44">
        <f t="shared" si="311"/>
        <v>4.6569506651767543E-6</v>
      </c>
      <c r="BG258" s="44">
        <f t="shared" si="312"/>
        <v>1.1452755789882606E-5</v>
      </c>
      <c r="BH258" s="44">
        <f t="shared" si="313"/>
        <v>1.1737869972704912E-5</v>
      </c>
      <c r="BI258" s="44">
        <f t="shared" si="314"/>
        <v>1.0842532972749214E-5</v>
      </c>
      <c r="BJ258" s="44">
        <f t="shared" si="315"/>
        <v>1.1206787173610707E-5</v>
      </c>
      <c r="BK258" s="44">
        <f t="shared" si="316"/>
        <v>4.8126122567311977E-6</v>
      </c>
      <c r="BL258" s="44">
        <f t="shared" si="317"/>
        <v>2.599848854999792E-6</v>
      </c>
      <c r="BM258" s="44">
        <f t="shared" si="318"/>
        <v>6.613711889676472E-6</v>
      </c>
      <c r="BN258" s="44">
        <f t="shared" si="319"/>
        <v>6.8787758074202987E-6</v>
      </c>
      <c r="BO258" s="44">
        <f t="shared" si="320"/>
        <v>3.2236553629401272E-6</v>
      </c>
      <c r="BP258" s="44">
        <f t="shared" si="321"/>
        <v>1.0839469334205041E-5</v>
      </c>
      <c r="BQ258" s="44">
        <f t="shared" si="322"/>
        <v>2.9251240701156302E-6</v>
      </c>
      <c r="BR258" s="44">
        <f t="shared" si="323"/>
        <v>8.6415487382525121E-6</v>
      </c>
      <c r="BS258" s="44">
        <f t="shared" si="324"/>
        <v>4.6605019088750912E-6</v>
      </c>
      <c r="BT258" s="44">
        <f t="shared" si="325"/>
        <v>1.8443034853538735E-5</v>
      </c>
      <c r="BU258" s="44">
        <f t="shared" si="326"/>
        <v>1.761864800642697E-5</v>
      </c>
      <c r="BV258" s="44">
        <f t="shared" si="327"/>
        <v>1.692036664519421E-5</v>
      </c>
      <c r="BW258" s="44">
        <f t="shared" si="328"/>
        <v>1.1066850920793036E-5</v>
      </c>
      <c r="BX258" s="44">
        <f t="shared" si="329"/>
        <v>8.1759884945438131E-6</v>
      </c>
      <c r="BY258" s="44">
        <f t="shared" si="330"/>
        <v>7.0200258457401689E-6</v>
      </c>
      <c r="CA258" s="44" t="str">
        <f t="shared" si="331"/>
        <v/>
      </c>
      <c r="CB258" s="44" t="str">
        <f t="shared" si="332"/>
        <v/>
      </c>
      <c r="CC258" s="44" t="str">
        <f t="shared" si="333"/>
        <v/>
      </c>
      <c r="CD258" s="44" t="str">
        <f t="shared" si="334"/>
        <v/>
      </c>
      <c r="CE258" s="44" t="str">
        <f t="shared" si="335"/>
        <v/>
      </c>
      <c r="CF258" s="44" t="str">
        <f t="shared" si="336"/>
        <v/>
      </c>
      <c r="CG258" s="44" t="str">
        <f t="shared" si="337"/>
        <v/>
      </c>
      <c r="CH258" s="44" t="str">
        <f t="shared" si="338"/>
        <v/>
      </c>
      <c r="CI258" s="44" t="str">
        <f t="shared" si="339"/>
        <v/>
      </c>
      <c r="CJ258" s="44" t="str">
        <f t="shared" si="340"/>
        <v/>
      </c>
      <c r="CK258" s="44" t="str">
        <f t="shared" si="341"/>
        <v/>
      </c>
      <c r="CL258" s="44" t="str">
        <f t="shared" si="342"/>
        <v/>
      </c>
      <c r="CM258" s="44" t="str">
        <f t="shared" si="343"/>
        <v/>
      </c>
      <c r="CN258" s="44" t="str">
        <f t="shared" si="344"/>
        <v/>
      </c>
      <c r="CO258" s="44" t="str">
        <f t="shared" si="345"/>
        <v/>
      </c>
      <c r="CP258" s="44" t="str">
        <f t="shared" si="346"/>
        <v/>
      </c>
      <c r="CQ258" s="44" t="str">
        <f t="shared" si="347"/>
        <v/>
      </c>
      <c r="CR258" s="44" t="str">
        <f t="shared" si="348"/>
        <v/>
      </c>
      <c r="CS258" s="44" t="str">
        <f t="shared" si="349"/>
        <v/>
      </c>
      <c r="CT258" s="44" t="str">
        <f t="shared" si="350"/>
        <v/>
      </c>
      <c r="CV258" s="44">
        <f t="shared" si="351"/>
        <v>0</v>
      </c>
    </row>
    <row r="259" spans="1:100" x14ac:dyDescent="0.25">
      <c r="A259" s="41"/>
      <c r="B259" s="42"/>
      <c r="C259" s="43" t="str" cm="1">
        <f t="array" ref="C259">IF(B259="","",INDEX(UWS!$B$10:$B$41,B259))</f>
        <v/>
      </c>
      <c r="D259" s="40" t="str">
        <f t="shared" si="308"/>
        <v/>
      </c>
      <c r="E259" s="69" t="str">
        <f t="shared" si="309"/>
        <v/>
      </c>
      <c r="F259" s="48" cm="1">
        <f t="array" ref="F259">0.1+IFERROR(INDEX($F$5:$F258,SUMPRODUCT(MAX(ROW($C$5:$C258)*($C259=$C$5:$C258))-ROW($A$4)))*0.9^($A259-INDEX($A$5:A258,SUMPRODUCT(MAX(ROW($C$5:$C258)*($C259=$C$5:$C258))-ROW($A$4)))),0)</f>
        <v>19.400000000000006</v>
      </c>
      <c r="G259" s="55" t="e">
        <f>INDEX(UWS!$AB$10:$AB$41,MATCH(C259,UWS!$B$10:$B$41,0))</f>
        <v>#N/A</v>
      </c>
      <c r="H259" s="48" t="e">
        <f>INDEX(UWS!$C$10:$C$41,MATCH(C259,UWS!$B$10:$B$41,0))</f>
        <v>#N/A</v>
      </c>
      <c r="I259" s="27">
        <f t="shared" si="310"/>
        <v>5</v>
      </c>
      <c r="J259" s="27" t="e">
        <f>INDEX(UWS!$E$10:$E$41,MATCH(C259,UWS!$B$10:$B$41,0))</f>
        <v>#N/A</v>
      </c>
      <c r="L259" s="108" t="str" cm="1">
        <f t="array" ref="L259">IF(K259="","",INDEX(UWS!$B$10:$B$41,K259))</f>
        <v/>
      </c>
      <c r="N259" s="108" t="str" cm="1">
        <f t="array" ref="N259">IF(M259="","",INDEX(UWS!$B$10:$B$41,M259))</f>
        <v/>
      </c>
      <c r="P259">
        <f>IFERROR(INDEX(UWS!$G$10:$Z$41,MATCH($C259,UWS!$B$10:$B$41,0),MATCH(P$4,UWS!$G$3:$Z$3,0)),0)</f>
        <v>0</v>
      </c>
      <c r="Q259">
        <f>IFERROR(INDEX(UWS!$G$10:$Z$41,MATCH($C259,UWS!$B$10:$B$41,0),MATCH(Q$4,UWS!$G$3:$Z$3,0)),0)</f>
        <v>0</v>
      </c>
      <c r="R259">
        <f>IFERROR(INDEX(UWS!$G$10:$Z$41,MATCH($C259,UWS!$B$10:$B$41,0),MATCH(R$4,UWS!$G$3:$Z$3,0)),0)</f>
        <v>0</v>
      </c>
      <c r="S259">
        <f>IFERROR(INDEX(UWS!$G$10:$Z$41,MATCH($C259,UWS!$B$10:$B$41,0),MATCH(S$4,UWS!$G$3:$Z$3,0)),0)</f>
        <v>0</v>
      </c>
      <c r="T259">
        <f>IFERROR(INDEX(UWS!$G$10:$Z$41,MATCH($C259,UWS!$B$10:$B$41,0),MATCH(T$4,UWS!$G$3:$Z$3,0)),0)</f>
        <v>0</v>
      </c>
      <c r="U259">
        <f>IFERROR(INDEX(UWS!$G$10:$Z$41,MATCH($C259,UWS!$B$10:$B$41,0),MATCH(U$4,UWS!$G$3:$Z$3,0)),0)</f>
        <v>0</v>
      </c>
      <c r="V259">
        <f>IFERROR(INDEX(UWS!$G$10:$Z$41,MATCH($C259,UWS!$B$10:$B$41,0),MATCH(V$4,UWS!$G$3:$Z$3,0)),0)</f>
        <v>0</v>
      </c>
      <c r="W259">
        <f>IFERROR(INDEX(UWS!$G$10:$Z$41,MATCH($C259,UWS!$B$10:$B$41,0),MATCH(W$4,UWS!$G$3:$Z$3,0)),0)</f>
        <v>0</v>
      </c>
      <c r="X259">
        <f>IFERROR(INDEX(UWS!$G$10:$Z$41,MATCH($C259,UWS!$B$10:$B$41,0),MATCH(X$4,UWS!$G$3:$Z$3,0)),0)</f>
        <v>0</v>
      </c>
      <c r="Y259">
        <f>IFERROR(INDEX(UWS!$G$10:$Z$41,MATCH($C259,UWS!$B$10:$B$41,0),MATCH(Y$4,UWS!$G$3:$Z$3,0)),0)</f>
        <v>0</v>
      </c>
      <c r="Z259">
        <f>IFERROR(INDEX(UWS!$G$10:$Z$41,MATCH($C259,UWS!$B$10:$B$41,0),MATCH(Z$4,UWS!$G$3:$Z$3,0)),0)</f>
        <v>0</v>
      </c>
      <c r="AA259">
        <f>IFERROR(INDEX(UWS!$G$10:$Z$41,MATCH($C259,UWS!$B$10:$B$41,0),MATCH(AA$4,UWS!$G$3:$Z$3,0)),0)</f>
        <v>0</v>
      </c>
      <c r="AB259">
        <f>IFERROR(INDEX(UWS!$G$10:$Z$41,MATCH($C259,UWS!$B$10:$B$41,0),MATCH(AB$4,UWS!$G$3:$Z$3,0)),0)</f>
        <v>0</v>
      </c>
      <c r="AC259">
        <f>IFERROR(INDEX(UWS!$G$10:$Z$41,MATCH($C259,UWS!$B$10:$B$41,0),MATCH(AC$4,UWS!$G$3:$Z$3,0)),0)</f>
        <v>0</v>
      </c>
      <c r="AD259">
        <f>IFERROR(INDEX(UWS!$G$10:$Z$41,MATCH($C259,UWS!$B$10:$B$41,0),MATCH(AD$4,UWS!$G$3:$Z$3,0)),0)</f>
        <v>0</v>
      </c>
      <c r="AE259">
        <f>IFERROR(INDEX(UWS!$G$10:$Z$41,MATCH($C259,UWS!$B$10:$B$41,0),MATCH(AE$4,UWS!$G$3:$Z$3,0)),0)</f>
        <v>0</v>
      </c>
      <c r="AF259">
        <f>IFERROR(INDEX(UWS!$G$10:$Z$41,MATCH($C259,UWS!$B$10:$B$41,0),MATCH(AF$4,UWS!$G$3:$Z$3,0)),0)</f>
        <v>0</v>
      </c>
      <c r="AG259">
        <f>IFERROR(INDEX(UWS!$G$10:$Z$41,MATCH($C259,UWS!$B$10:$B$41,0),MATCH(AG$4,UWS!$G$3:$Z$3,0)),0)</f>
        <v>0</v>
      </c>
      <c r="AH259">
        <f>IFERROR(INDEX(UWS!$G$10:$Z$41,MATCH($C259,UWS!$B$10:$B$41,0),MATCH(AH$4,UWS!$G$3:$Z$3,0)),0)</f>
        <v>0</v>
      </c>
      <c r="AI259">
        <f>IFERROR(INDEX(UWS!$G$10:$Z$41,MATCH($C259,UWS!$B$10:$B$41,0),MATCH(AI$4,UWS!$G$3:$Z$3,0)),0)</f>
        <v>0</v>
      </c>
      <c r="AK259" t="e">
        <f>IF(OR($J259=0,COUNTIFS($A$4:$A258,"&gt;="&amp;$A259-1,$A$4:$A258,"&lt;="&amp;$A259,$B$4:$B258,$B259)&gt;0,MIN(AK$1,IF($A259=$A258,AK258,1))-P259&lt;0),-1,MIN(1,IF($A259=$A258,AK258,1)-P259+$D$3))</f>
        <v>#N/A</v>
      </c>
      <c r="AL259" t="e">
        <f>IF(OR($J259=0,COUNTIFS($A$4:$A258,"&gt;="&amp;$A259-1,$A$4:$A258,"&lt;="&amp;$A259,$B$4:$B258,$B259)&gt;0,MIN(AL$1,IF($A259=$A258,AL258,1))-Q259&lt;0),-1,MIN(1,IF($A259=$A258,AL258,1)-Q259+$D$3))</f>
        <v>#N/A</v>
      </c>
      <c r="AM259" t="e">
        <f>IF(OR($J259=0,COUNTIFS($A$4:$A258,"&gt;="&amp;$A259-1,$A$4:$A258,"&lt;="&amp;$A259,$B$4:$B258,$B259)&gt;0,MIN(AM$1,IF($A259=$A258,AM258,1))-R259&lt;0),-1,MIN(1,IF($A259=$A258,AM258,1)-R259+$D$3))</f>
        <v>#N/A</v>
      </c>
      <c r="AN259" t="e">
        <f>IF(OR($J259=0,COUNTIFS($A$4:$A258,"&gt;="&amp;$A259-1,$A$4:$A258,"&lt;="&amp;$A259,$B$4:$B258,$B259)&gt;0,MIN(AN$1,IF($A259=$A258,AN258,1))-S259&lt;0),-1,MIN(1,IF($A259=$A258,AN258,1)-S259+$D$3))</f>
        <v>#N/A</v>
      </c>
      <c r="AO259" t="e">
        <f>IF(OR($J259=0,COUNTIFS($A$4:$A258,"&gt;="&amp;$A259-1,$A$4:$A258,"&lt;="&amp;$A259,$B$4:$B258,$B259)&gt;0,MIN(AO$1,IF($A259=$A258,AO258,1))-T259&lt;0),-1,MIN(1,IF($A259=$A258,AO258,1)-T259+$D$3))</f>
        <v>#N/A</v>
      </c>
      <c r="AP259" t="e">
        <f>IF(OR($J259=0,COUNTIFS($A$4:$A258,"&gt;="&amp;$A259-1,$A$4:$A258,"&lt;="&amp;$A259,$B$4:$B258,$B259)&gt;0,MIN(AP$1,IF($A259=$A258,AP258,1))-U259&lt;0),-1,MIN(1,IF($A259=$A258,AP258,1)-U259+$D$3))</f>
        <v>#N/A</v>
      </c>
      <c r="AQ259" t="e">
        <f>IF(OR($J259=0,COUNTIFS($A$4:$A258,"&gt;="&amp;$A259-1,$A$4:$A258,"&lt;="&amp;$A259,$B$4:$B258,$B259)&gt;0,MIN(AQ$1,IF($A259=$A258,AQ258,1))-V259&lt;0),-1,MIN(1,IF($A259=$A258,AQ258,1)-V259+$D$3))</f>
        <v>#N/A</v>
      </c>
      <c r="AR259" t="e">
        <f>IF(OR($J259=0,COUNTIFS($A$4:$A258,"&gt;="&amp;$A259-1,$A$4:$A258,"&lt;="&amp;$A259,$B$4:$B258,$B259)&gt;0,MIN(AR$1,IF($A259=$A258,AR258,1))-W259&lt;0),-1,MIN(1,IF($A259=$A258,AR258,1)-W259+$D$3))</f>
        <v>#N/A</v>
      </c>
      <c r="AS259" t="e">
        <f>IF(OR($J259=0,COUNTIFS($A$4:$A258,"&gt;="&amp;$A259-1,$A$4:$A258,"&lt;="&amp;$A259,$B$4:$B258,$B259)&gt;0,MIN(AS$1,IF($A259=$A258,AS258,1))-X259&lt;0),-1,MIN(1,IF($A259=$A258,AS258,1)-X259+$D$3))</f>
        <v>#N/A</v>
      </c>
      <c r="AT259" t="e">
        <f>IF(OR($J259=0,COUNTIFS($A$4:$A258,"&gt;="&amp;$A259-1,$A$4:$A258,"&lt;="&amp;$A259,$B$4:$B258,$B259)&gt;0,MIN(AT$1,IF($A259=$A258,AT258,1))-Y259&lt;0),-1,MIN(1,IF($A259=$A258,AT258,1)-Y259+$D$3))</f>
        <v>#N/A</v>
      </c>
      <c r="AU259" t="e">
        <f>IF(OR($J259=0,COUNTIFS($A$4:$A258,"&gt;="&amp;$A259-1,$A$4:$A258,"&lt;="&amp;$A259,$B$4:$B258,$B259)&gt;0,MIN(AU$1,IF($A259=$A258,AU258,1))-Z259&lt;0),-1,MIN(1,IF($A259=$A258,AU258,1)-Z259+$D$3))</f>
        <v>#N/A</v>
      </c>
      <c r="AV259" t="e">
        <f>IF(OR($J259=0,COUNTIFS($A$4:$A258,"&gt;="&amp;$A259-1,$A$4:$A258,"&lt;="&amp;$A259,$B$4:$B258,$B259)&gt;0,MIN(AV$1,IF($A259=$A258,AV258,1))-AA259&lt;0),-1,MIN(1,IF($A259=$A258,AV258,1)-AA259+$D$3))</f>
        <v>#N/A</v>
      </c>
      <c r="AW259" t="e">
        <f>IF(OR($J259=0,COUNTIFS($A$4:$A258,"&gt;="&amp;$A259-1,$A$4:$A258,"&lt;="&amp;$A259,$B$4:$B258,$B259)&gt;0,MIN(AW$1,IF($A259=$A258,AW258,1))-AB259&lt;0),-1,MIN(1,IF($A259=$A258,AW258,1)-AB259+$D$3))</f>
        <v>#N/A</v>
      </c>
      <c r="AX259" t="e">
        <f>IF(OR($J259=0,COUNTIFS($A$4:$A258,"&gt;="&amp;$A259-1,$A$4:$A258,"&lt;="&amp;$A259,$B$4:$B258,$B259)&gt;0,MIN(AX$1,IF($A259=$A258,AX258,1))-AC259&lt;0),-1,MIN(1,IF($A259=$A258,AX258,1)-AC259+$D$3))</f>
        <v>#N/A</v>
      </c>
      <c r="AY259" t="e">
        <f>IF(OR($J259=0,COUNTIFS($A$4:$A258,"&gt;="&amp;$A259-1,$A$4:$A258,"&lt;="&amp;$A259,$B$4:$B258,$B259)&gt;0,MIN(AY$1,IF($A259=$A258,AY258,1))-AD259&lt;0),-1,MIN(1,IF($A259=$A258,AY258,1)-AD259+$D$3))</f>
        <v>#N/A</v>
      </c>
      <c r="AZ259" t="e">
        <f>IF(OR($J259=0,COUNTIFS($A$4:$A258,"&gt;="&amp;$A259-1,$A$4:$A258,"&lt;="&amp;$A259,$B$4:$B258,$B259)&gt;0,MIN(AZ$1,IF($A259=$A258,AZ258,1))-AE259&lt;0),-1,MIN(1,IF($A259=$A258,AZ258,1)-AE259+$D$3))</f>
        <v>#N/A</v>
      </c>
      <c r="BA259" t="e">
        <f>IF(OR($J259=0,COUNTIFS($A$4:$A258,"&gt;="&amp;$A259-1,$A$4:$A258,"&lt;="&amp;$A259,$B$4:$B258,$B259)&gt;0,MIN(BA$1,IF($A259=$A258,BA258,1))-AF259&lt;0),-1,MIN(1,IF($A259=$A258,BA258,1)-AF259+$D$3))</f>
        <v>#N/A</v>
      </c>
      <c r="BB259" t="e">
        <f>IF(OR($J259=0,COUNTIFS($A$4:$A258,"&gt;="&amp;$A259-1,$A$4:$A258,"&lt;="&amp;$A259,$B$4:$B258,$B259)&gt;0,MIN(BB$1,IF($A259=$A258,BB258,1))-AG259&lt;0),-1,MIN(1,IF($A259=$A258,BB258,1)-AG259+$D$3))</f>
        <v>#N/A</v>
      </c>
      <c r="BC259" t="e">
        <f>IF(OR($J259=0,COUNTIFS($A$4:$A258,"&gt;="&amp;$A259-1,$A$4:$A258,"&lt;="&amp;$A259,$B$4:$B258,$B259)&gt;0,MIN(BC$1,IF($A259=$A258,BC258,1))-AH259&lt;0),-1,MIN(1,IF($A259=$A258,BC258,1)-AH259+$D$3))</f>
        <v>#N/A</v>
      </c>
      <c r="BD259" t="e">
        <f>IF(OR($J259=0,COUNTIFS($A$4:$A258,"&gt;="&amp;$A259-1,$A$4:$A258,"&lt;="&amp;$A259,$B$4:$B258,$B259)&gt;0,MIN(BD$1,IF($A259=$A258,BD258,1))-AI259&lt;0),-1,MIN(1,IF($A259=$A258,BD258,1)-AI259+$D$3))</f>
        <v>#N/A</v>
      </c>
      <c r="BF259" s="44">
        <f t="shared" si="311"/>
        <v>4.4241031319179162E-6</v>
      </c>
      <c r="BG259" s="44">
        <f t="shared" si="312"/>
        <v>1.0880118000388475E-5</v>
      </c>
      <c r="BH259" s="44">
        <f t="shared" si="313"/>
        <v>1.1150976474069665E-5</v>
      </c>
      <c r="BI259" s="44">
        <f t="shared" si="314"/>
        <v>1.0300406324111753E-5</v>
      </c>
      <c r="BJ259" s="44">
        <f t="shared" si="315"/>
        <v>1.0646447814930172E-5</v>
      </c>
      <c r="BK259" s="44">
        <f t="shared" si="316"/>
        <v>4.5719816438946379E-6</v>
      </c>
      <c r="BL259" s="44">
        <f t="shared" si="317"/>
        <v>2.4698564122498024E-6</v>
      </c>
      <c r="BM259" s="44">
        <f t="shared" si="318"/>
        <v>6.2830262951926483E-6</v>
      </c>
      <c r="BN259" s="44">
        <f t="shared" si="319"/>
        <v>6.5348370170492834E-6</v>
      </c>
      <c r="BO259" s="44">
        <f t="shared" si="320"/>
        <v>3.0624725947931208E-6</v>
      </c>
      <c r="BP259" s="44">
        <f t="shared" si="321"/>
        <v>1.0297495867494789E-5</v>
      </c>
      <c r="BQ259" s="44">
        <f t="shared" si="322"/>
        <v>2.7788678666098484E-6</v>
      </c>
      <c r="BR259" s="44">
        <f t="shared" si="323"/>
        <v>8.2094713013398863E-6</v>
      </c>
      <c r="BS259" s="44">
        <f t="shared" si="324"/>
        <v>4.4274768134313363E-6</v>
      </c>
      <c r="BT259" s="44">
        <f t="shared" si="325"/>
        <v>1.7520883110861797E-5</v>
      </c>
      <c r="BU259" s="44">
        <f t="shared" si="326"/>
        <v>1.6737715606105622E-5</v>
      </c>
      <c r="BV259" s="44">
        <f t="shared" si="327"/>
        <v>1.60743483129345E-5</v>
      </c>
      <c r="BW259" s="44">
        <f t="shared" si="328"/>
        <v>1.0513508374753384E-5</v>
      </c>
      <c r="BX259" s="44">
        <f t="shared" si="329"/>
        <v>7.7671890698166219E-6</v>
      </c>
      <c r="BY259" s="44">
        <f t="shared" si="330"/>
        <v>6.6690245534531605E-6</v>
      </c>
      <c r="CA259" s="44" t="str">
        <f t="shared" si="331"/>
        <v/>
      </c>
      <c r="CB259" s="44" t="str">
        <f t="shared" si="332"/>
        <v/>
      </c>
      <c r="CC259" s="44" t="str">
        <f t="shared" si="333"/>
        <v/>
      </c>
      <c r="CD259" s="44" t="str">
        <f t="shared" si="334"/>
        <v/>
      </c>
      <c r="CE259" s="44" t="str">
        <f t="shared" si="335"/>
        <v/>
      </c>
      <c r="CF259" s="44" t="str">
        <f t="shared" si="336"/>
        <v/>
      </c>
      <c r="CG259" s="44" t="str">
        <f t="shared" si="337"/>
        <v/>
      </c>
      <c r="CH259" s="44" t="str">
        <f t="shared" si="338"/>
        <v/>
      </c>
      <c r="CI259" s="44" t="str">
        <f t="shared" si="339"/>
        <v/>
      </c>
      <c r="CJ259" s="44" t="str">
        <f t="shared" si="340"/>
        <v/>
      </c>
      <c r="CK259" s="44" t="str">
        <f t="shared" si="341"/>
        <v/>
      </c>
      <c r="CL259" s="44" t="str">
        <f t="shared" si="342"/>
        <v/>
      </c>
      <c r="CM259" s="44" t="str">
        <f t="shared" si="343"/>
        <v/>
      </c>
      <c r="CN259" s="44" t="str">
        <f t="shared" si="344"/>
        <v/>
      </c>
      <c r="CO259" s="44" t="str">
        <f t="shared" si="345"/>
        <v/>
      </c>
      <c r="CP259" s="44" t="str">
        <f t="shared" si="346"/>
        <v/>
      </c>
      <c r="CQ259" s="44" t="str">
        <f t="shared" si="347"/>
        <v/>
      </c>
      <c r="CR259" s="44" t="str">
        <f t="shared" si="348"/>
        <v/>
      </c>
      <c r="CS259" s="44" t="str">
        <f t="shared" si="349"/>
        <v/>
      </c>
      <c r="CT259" s="44" t="str">
        <f t="shared" si="350"/>
        <v/>
      </c>
      <c r="CV259" s="44">
        <f t="shared" si="351"/>
        <v>0</v>
      </c>
    </row>
    <row r="260" spans="1:100" x14ac:dyDescent="0.25">
      <c r="A260" s="49"/>
      <c r="B260" s="50"/>
      <c r="C260" s="51" t="str" cm="1">
        <f t="array" ref="C260">IF(B260="","",INDEX(UWS!$B$10:$B$41,B260))</f>
        <v/>
      </c>
      <c r="D260" s="45" t="str">
        <f t="shared" si="308"/>
        <v/>
      </c>
      <c r="E260" s="70" t="str">
        <f t="shared" si="309"/>
        <v/>
      </c>
      <c r="F260" s="52" cm="1">
        <f t="array" ref="F260">0.1+IFERROR(INDEX($F$5:$F259,SUMPRODUCT(MAX(ROW($C$5:$C259)*($C260=$C$5:$C259))-ROW($A$4)))*0.9^($A260-INDEX($A$5:A259,SUMPRODUCT(MAX(ROW($C$5:$C259)*($C260=$C$5:$C259))-ROW($A$4)))),0)</f>
        <v>19.500000000000007</v>
      </c>
      <c r="G260" s="56" t="e">
        <f>INDEX(UWS!$AB$10:$AB$41,MATCH(C260,UWS!$B$10:$B$41,0))</f>
        <v>#N/A</v>
      </c>
      <c r="H260" s="52" t="e">
        <f>INDEX(UWS!$C$10:$C$41,MATCH(C260,UWS!$B$10:$B$41,0))</f>
        <v>#N/A</v>
      </c>
      <c r="I260" s="46">
        <f t="shared" si="310"/>
        <v>5</v>
      </c>
      <c r="J260" s="46" t="e">
        <f>INDEX(UWS!$E$10:$E$41,MATCH(C260,UWS!$B$10:$B$41,0))</f>
        <v>#N/A</v>
      </c>
      <c r="K260" s="46"/>
      <c r="L260" s="109" t="str" cm="1">
        <f t="array" ref="L260">IF(K260="","",INDEX(UWS!$B$10:$B$41,K260))</f>
        <v/>
      </c>
      <c r="M260" s="46"/>
      <c r="N260" s="109" t="str" cm="1">
        <f t="array" ref="N260">IF(M260="","",INDEX(UWS!$B$10:$B$41,M260))</f>
        <v/>
      </c>
      <c r="O260" s="47"/>
      <c r="P260" s="47">
        <f>IFERROR(INDEX(UWS!$G$10:$Z$41,MATCH($C260,UWS!$B$10:$B$41,0),MATCH(P$4,UWS!$G$3:$Z$3,0)),0)</f>
        <v>0</v>
      </c>
      <c r="Q260" s="47">
        <f>IFERROR(INDEX(UWS!$G$10:$Z$41,MATCH($C260,UWS!$B$10:$B$41,0),MATCH(Q$4,UWS!$G$3:$Z$3,0)),0)</f>
        <v>0</v>
      </c>
      <c r="R260" s="47">
        <f>IFERROR(INDEX(UWS!$G$10:$Z$41,MATCH($C260,UWS!$B$10:$B$41,0),MATCH(R$4,UWS!$G$3:$Z$3,0)),0)</f>
        <v>0</v>
      </c>
      <c r="S260" s="47">
        <f>IFERROR(INDEX(UWS!$G$10:$Z$41,MATCH($C260,UWS!$B$10:$B$41,0),MATCH(S$4,UWS!$G$3:$Z$3,0)),0)</f>
        <v>0</v>
      </c>
      <c r="T260" s="47">
        <f>IFERROR(INDEX(UWS!$G$10:$Z$41,MATCH($C260,UWS!$B$10:$B$41,0),MATCH(T$4,UWS!$G$3:$Z$3,0)),0)</f>
        <v>0</v>
      </c>
      <c r="U260" s="47">
        <f>IFERROR(INDEX(UWS!$G$10:$Z$41,MATCH($C260,UWS!$B$10:$B$41,0),MATCH(U$4,UWS!$G$3:$Z$3,0)),0)</f>
        <v>0</v>
      </c>
      <c r="V260" s="47">
        <f>IFERROR(INDEX(UWS!$G$10:$Z$41,MATCH($C260,UWS!$B$10:$B$41,0),MATCH(V$4,UWS!$G$3:$Z$3,0)),0)</f>
        <v>0</v>
      </c>
      <c r="W260" s="47">
        <f>IFERROR(INDEX(UWS!$G$10:$Z$41,MATCH($C260,UWS!$B$10:$B$41,0),MATCH(W$4,UWS!$G$3:$Z$3,0)),0)</f>
        <v>0</v>
      </c>
      <c r="X260" s="47">
        <f>IFERROR(INDEX(UWS!$G$10:$Z$41,MATCH($C260,UWS!$B$10:$B$41,0),MATCH(X$4,UWS!$G$3:$Z$3,0)),0)</f>
        <v>0</v>
      </c>
      <c r="Y260" s="47">
        <f>IFERROR(INDEX(UWS!$G$10:$Z$41,MATCH($C260,UWS!$B$10:$B$41,0),MATCH(Y$4,UWS!$G$3:$Z$3,0)),0)</f>
        <v>0</v>
      </c>
      <c r="Z260" s="47">
        <f>IFERROR(INDEX(UWS!$G$10:$Z$41,MATCH($C260,UWS!$B$10:$B$41,0),MATCH(Z$4,UWS!$G$3:$Z$3,0)),0)</f>
        <v>0</v>
      </c>
      <c r="AA260" s="47">
        <f>IFERROR(INDEX(UWS!$G$10:$Z$41,MATCH($C260,UWS!$B$10:$B$41,0),MATCH(AA$4,UWS!$G$3:$Z$3,0)),0)</f>
        <v>0</v>
      </c>
      <c r="AB260" s="47">
        <f>IFERROR(INDEX(UWS!$G$10:$Z$41,MATCH($C260,UWS!$B$10:$B$41,0),MATCH(AB$4,UWS!$G$3:$Z$3,0)),0)</f>
        <v>0</v>
      </c>
      <c r="AC260" s="47">
        <f>IFERROR(INDEX(UWS!$G$10:$Z$41,MATCH($C260,UWS!$B$10:$B$41,0),MATCH(AC$4,UWS!$G$3:$Z$3,0)),0)</f>
        <v>0</v>
      </c>
      <c r="AD260" s="47">
        <f>IFERROR(INDEX(UWS!$G$10:$Z$41,MATCH($C260,UWS!$B$10:$B$41,0),MATCH(AD$4,UWS!$G$3:$Z$3,0)),0)</f>
        <v>0</v>
      </c>
      <c r="AE260" s="47">
        <f>IFERROR(INDEX(UWS!$G$10:$Z$41,MATCH($C260,UWS!$B$10:$B$41,0),MATCH(AE$4,UWS!$G$3:$Z$3,0)),0)</f>
        <v>0</v>
      </c>
      <c r="AF260" s="47">
        <f>IFERROR(INDEX(UWS!$G$10:$Z$41,MATCH($C260,UWS!$B$10:$B$41,0),MATCH(AF$4,UWS!$G$3:$Z$3,0)),0)</f>
        <v>0</v>
      </c>
      <c r="AG260" s="47">
        <f>IFERROR(INDEX(UWS!$G$10:$Z$41,MATCH($C260,UWS!$B$10:$B$41,0),MATCH(AG$4,UWS!$G$3:$Z$3,0)),0)</f>
        <v>0</v>
      </c>
      <c r="AH260" s="47">
        <f>IFERROR(INDEX(UWS!$G$10:$Z$41,MATCH($C260,UWS!$B$10:$B$41,0),MATCH(AH$4,UWS!$G$3:$Z$3,0)),0)</f>
        <v>0</v>
      </c>
      <c r="AI260" s="47">
        <f>IFERROR(INDEX(UWS!$G$10:$Z$41,MATCH($C260,UWS!$B$10:$B$41,0),MATCH(AI$4,UWS!$G$3:$Z$3,0)),0)</f>
        <v>0</v>
      </c>
      <c r="AJ260" s="47"/>
      <c r="AK260" s="47" t="e">
        <f>IF(OR($J260=0,COUNTIFS($A$4:$A259,"&gt;="&amp;$A260-1,$A$4:$A259,"&lt;="&amp;$A260,$B$4:$B259,$B260)&gt;0,MIN(AK$1,IF($A260=$A259,AK259,1))-P260&lt;0),-1,MIN(1,IF($A260=$A259,AK259,1)-P260+$D$3))</f>
        <v>#N/A</v>
      </c>
      <c r="AL260" s="47" t="e">
        <f>IF(OR($J260=0,COUNTIFS($A$4:$A259,"&gt;="&amp;$A260-1,$A$4:$A259,"&lt;="&amp;$A260,$B$4:$B259,$B260)&gt;0,MIN(AL$1,IF($A260=$A259,AL259,1))-Q260&lt;0),-1,MIN(1,IF($A260=$A259,AL259,1)-Q260+$D$3))</f>
        <v>#N/A</v>
      </c>
      <c r="AM260" s="47" t="e">
        <f>IF(OR($J260=0,COUNTIFS($A$4:$A259,"&gt;="&amp;$A260-1,$A$4:$A259,"&lt;="&amp;$A260,$B$4:$B259,$B260)&gt;0,MIN(AM$1,IF($A260=$A259,AM259,1))-R260&lt;0),-1,MIN(1,IF($A260=$A259,AM259,1)-R260+$D$3))</f>
        <v>#N/A</v>
      </c>
      <c r="AN260" s="47" t="e">
        <f>IF(OR($J260=0,COUNTIFS($A$4:$A259,"&gt;="&amp;$A260-1,$A$4:$A259,"&lt;="&amp;$A260,$B$4:$B259,$B260)&gt;0,MIN(AN$1,IF($A260=$A259,AN259,1))-S260&lt;0),-1,MIN(1,IF($A260=$A259,AN259,1)-S260+$D$3))</f>
        <v>#N/A</v>
      </c>
      <c r="AO260" s="47" t="e">
        <f>IF(OR($J260=0,COUNTIFS($A$4:$A259,"&gt;="&amp;$A260-1,$A$4:$A259,"&lt;="&amp;$A260,$B$4:$B259,$B260)&gt;0,MIN(AO$1,IF($A260=$A259,AO259,1))-T260&lt;0),-1,MIN(1,IF($A260=$A259,AO259,1)-T260+$D$3))</f>
        <v>#N/A</v>
      </c>
      <c r="AP260" s="47" t="e">
        <f>IF(OR($J260=0,COUNTIFS($A$4:$A259,"&gt;="&amp;$A260-1,$A$4:$A259,"&lt;="&amp;$A260,$B$4:$B259,$B260)&gt;0,MIN(AP$1,IF($A260=$A259,AP259,1))-U260&lt;0),-1,MIN(1,IF($A260=$A259,AP259,1)-U260+$D$3))</f>
        <v>#N/A</v>
      </c>
      <c r="AQ260" s="47" t="e">
        <f>IF(OR($J260=0,COUNTIFS($A$4:$A259,"&gt;="&amp;$A260-1,$A$4:$A259,"&lt;="&amp;$A260,$B$4:$B259,$B260)&gt;0,MIN(AQ$1,IF($A260=$A259,AQ259,1))-V260&lt;0),-1,MIN(1,IF($A260=$A259,AQ259,1)-V260+$D$3))</f>
        <v>#N/A</v>
      </c>
      <c r="AR260" s="47" t="e">
        <f>IF(OR($J260=0,COUNTIFS($A$4:$A259,"&gt;="&amp;$A260-1,$A$4:$A259,"&lt;="&amp;$A260,$B$4:$B259,$B260)&gt;0,MIN(AR$1,IF($A260=$A259,AR259,1))-W260&lt;0),-1,MIN(1,IF($A260=$A259,AR259,1)-W260+$D$3))</f>
        <v>#N/A</v>
      </c>
      <c r="AS260" s="47" t="e">
        <f>IF(OR($J260=0,COUNTIFS($A$4:$A259,"&gt;="&amp;$A260-1,$A$4:$A259,"&lt;="&amp;$A260,$B$4:$B259,$B260)&gt;0,MIN(AS$1,IF($A260=$A259,AS259,1))-X260&lt;0),-1,MIN(1,IF($A260=$A259,AS259,1)-X260+$D$3))</f>
        <v>#N/A</v>
      </c>
      <c r="AT260" s="47" t="e">
        <f>IF(OR($J260=0,COUNTIFS($A$4:$A259,"&gt;="&amp;$A260-1,$A$4:$A259,"&lt;="&amp;$A260,$B$4:$B259,$B260)&gt;0,MIN(AT$1,IF($A260=$A259,AT259,1))-Y260&lt;0),-1,MIN(1,IF($A260=$A259,AT259,1)-Y260+$D$3))</f>
        <v>#N/A</v>
      </c>
      <c r="AU260" s="47" t="e">
        <f>IF(OR($J260=0,COUNTIFS($A$4:$A259,"&gt;="&amp;$A260-1,$A$4:$A259,"&lt;="&amp;$A260,$B$4:$B259,$B260)&gt;0,MIN(AU$1,IF($A260=$A259,AU259,1))-Z260&lt;0),-1,MIN(1,IF($A260=$A259,AU259,1)-Z260+$D$3))</f>
        <v>#N/A</v>
      </c>
      <c r="AV260" s="47" t="e">
        <f>IF(OR($J260=0,COUNTIFS($A$4:$A259,"&gt;="&amp;$A260-1,$A$4:$A259,"&lt;="&amp;$A260,$B$4:$B259,$B260)&gt;0,MIN(AV$1,IF($A260=$A259,AV259,1))-AA260&lt;0),-1,MIN(1,IF($A260=$A259,AV259,1)-AA260+$D$3))</f>
        <v>#N/A</v>
      </c>
      <c r="AW260" s="47" t="e">
        <f>IF(OR($J260=0,COUNTIFS($A$4:$A259,"&gt;="&amp;$A260-1,$A$4:$A259,"&lt;="&amp;$A260,$B$4:$B259,$B260)&gt;0,MIN(AW$1,IF($A260=$A259,AW259,1))-AB260&lt;0),-1,MIN(1,IF($A260=$A259,AW259,1)-AB260+$D$3))</f>
        <v>#N/A</v>
      </c>
      <c r="AX260" s="47" t="e">
        <f>IF(OR($J260=0,COUNTIFS($A$4:$A259,"&gt;="&amp;$A260-1,$A$4:$A259,"&lt;="&amp;$A260,$B$4:$B259,$B260)&gt;0,MIN(AX$1,IF($A260=$A259,AX259,1))-AC260&lt;0),-1,MIN(1,IF($A260=$A259,AX259,1)-AC260+$D$3))</f>
        <v>#N/A</v>
      </c>
      <c r="AY260" s="47" t="e">
        <f>IF(OR($J260=0,COUNTIFS($A$4:$A259,"&gt;="&amp;$A260-1,$A$4:$A259,"&lt;="&amp;$A260,$B$4:$B259,$B260)&gt;0,MIN(AY$1,IF($A260=$A259,AY259,1))-AD260&lt;0),-1,MIN(1,IF($A260=$A259,AY259,1)-AD260+$D$3))</f>
        <v>#N/A</v>
      </c>
      <c r="AZ260" s="47" t="e">
        <f>IF(OR($J260=0,COUNTIFS($A$4:$A259,"&gt;="&amp;$A260-1,$A$4:$A259,"&lt;="&amp;$A260,$B$4:$B259,$B260)&gt;0,MIN(AZ$1,IF($A260=$A259,AZ259,1))-AE260&lt;0),-1,MIN(1,IF($A260=$A259,AZ259,1)-AE260+$D$3))</f>
        <v>#N/A</v>
      </c>
      <c r="BA260" s="47" t="e">
        <f>IF(OR($J260=0,COUNTIFS($A$4:$A259,"&gt;="&amp;$A260-1,$A$4:$A259,"&lt;="&amp;$A260,$B$4:$B259,$B260)&gt;0,MIN(BA$1,IF($A260=$A259,BA259,1))-AF260&lt;0),-1,MIN(1,IF($A260=$A259,BA259,1)-AF260+$D$3))</f>
        <v>#N/A</v>
      </c>
      <c r="BB260" s="47" t="e">
        <f>IF(OR($J260=0,COUNTIFS($A$4:$A259,"&gt;="&amp;$A260-1,$A$4:$A259,"&lt;="&amp;$A260,$B$4:$B259,$B260)&gt;0,MIN(BB$1,IF($A260=$A259,BB259,1))-AG260&lt;0),-1,MIN(1,IF($A260=$A259,BB259,1)-AG260+$D$3))</f>
        <v>#N/A</v>
      </c>
      <c r="BC260" s="47" t="e">
        <f>IF(OR($J260=0,COUNTIFS($A$4:$A259,"&gt;="&amp;$A260-1,$A$4:$A259,"&lt;="&amp;$A260,$B$4:$B259,$B260)&gt;0,MIN(BC$1,IF($A260=$A259,BC259,1))-AH260&lt;0),-1,MIN(1,IF($A260=$A259,BC259,1)-AH260+$D$3))</f>
        <v>#N/A</v>
      </c>
      <c r="BD260" s="47" t="e">
        <f>IF(OR($J260=0,COUNTIFS($A$4:$A259,"&gt;="&amp;$A260-1,$A$4:$A259,"&lt;="&amp;$A260,$B$4:$B259,$B260)&gt;0,MIN(BD$1,IF($A260=$A259,BD259,1))-AI260&lt;0),-1,MIN(1,IF($A260=$A259,BD259,1)-AI260+$D$3))</f>
        <v>#N/A</v>
      </c>
      <c r="BE260" s="47"/>
      <c r="BF260" s="53">
        <f t="shared" si="311"/>
        <v>4.2028979753220199E-6</v>
      </c>
      <c r="BG260" s="53">
        <f t="shared" si="312"/>
        <v>1.0336112100369051E-5</v>
      </c>
      <c r="BH260" s="53">
        <f t="shared" si="313"/>
        <v>1.0593427650366181E-5</v>
      </c>
      <c r="BI260" s="53">
        <f t="shared" si="314"/>
        <v>9.7853860079061661E-6</v>
      </c>
      <c r="BJ260" s="53">
        <f t="shared" si="315"/>
        <v>1.0114125424183663E-5</v>
      </c>
      <c r="BK260" s="53">
        <f t="shared" si="316"/>
        <v>4.3433825616999062E-6</v>
      </c>
      <c r="BL260" s="53">
        <f t="shared" si="317"/>
        <v>2.3463635916373121E-6</v>
      </c>
      <c r="BM260" s="53">
        <f t="shared" si="318"/>
        <v>5.968874980433016E-6</v>
      </c>
      <c r="BN260" s="53">
        <f t="shared" si="319"/>
        <v>6.2080951661968186E-6</v>
      </c>
      <c r="BO260" s="53">
        <f t="shared" si="320"/>
        <v>2.9093489650534646E-6</v>
      </c>
      <c r="BP260" s="53">
        <f t="shared" si="321"/>
        <v>9.7826210741200493E-6</v>
      </c>
      <c r="BQ260" s="53">
        <f t="shared" si="322"/>
        <v>2.6399244732793558E-6</v>
      </c>
      <c r="BR260" s="53">
        <f t="shared" si="323"/>
        <v>7.7989977362728908E-6</v>
      </c>
      <c r="BS260" s="53">
        <f t="shared" si="324"/>
        <v>4.2061029727597695E-6</v>
      </c>
      <c r="BT260" s="53">
        <f t="shared" si="325"/>
        <v>1.6644838955318707E-5</v>
      </c>
      <c r="BU260" s="53">
        <f t="shared" si="326"/>
        <v>1.590082982580034E-5</v>
      </c>
      <c r="BV260" s="53">
        <f t="shared" si="327"/>
        <v>1.5270630897287776E-5</v>
      </c>
      <c r="BW260" s="53">
        <f t="shared" si="328"/>
        <v>9.9878329560157133E-6</v>
      </c>
      <c r="BX260" s="53">
        <f t="shared" si="329"/>
        <v>7.3788296163257903E-6</v>
      </c>
      <c r="BY260" s="53">
        <f t="shared" si="330"/>
        <v>6.3355733257805024E-6</v>
      </c>
      <c r="BZ260" s="47"/>
      <c r="CA260" s="53" t="str">
        <f t="shared" si="331"/>
        <v/>
      </c>
      <c r="CB260" s="53" t="str">
        <f t="shared" si="332"/>
        <v/>
      </c>
      <c r="CC260" s="53" t="str">
        <f t="shared" si="333"/>
        <v/>
      </c>
      <c r="CD260" s="53" t="str">
        <f t="shared" si="334"/>
        <v/>
      </c>
      <c r="CE260" s="53" t="str">
        <f t="shared" si="335"/>
        <v/>
      </c>
      <c r="CF260" s="53" t="str">
        <f t="shared" si="336"/>
        <v/>
      </c>
      <c r="CG260" s="53" t="str">
        <f t="shared" si="337"/>
        <v/>
      </c>
      <c r="CH260" s="53" t="str">
        <f t="shared" si="338"/>
        <v/>
      </c>
      <c r="CI260" s="53" t="str">
        <f t="shared" si="339"/>
        <v/>
      </c>
      <c r="CJ260" s="53" t="str">
        <f t="shared" si="340"/>
        <v/>
      </c>
      <c r="CK260" s="53" t="str">
        <f t="shared" si="341"/>
        <v/>
      </c>
      <c r="CL260" s="53" t="str">
        <f t="shared" si="342"/>
        <v/>
      </c>
      <c r="CM260" s="53" t="str">
        <f t="shared" si="343"/>
        <v/>
      </c>
      <c r="CN260" s="53" t="str">
        <f t="shared" si="344"/>
        <v/>
      </c>
      <c r="CO260" s="53" t="str">
        <f t="shared" si="345"/>
        <v/>
      </c>
      <c r="CP260" s="53" t="str">
        <f t="shared" si="346"/>
        <v/>
      </c>
      <c r="CQ260" s="53" t="str">
        <f t="shared" si="347"/>
        <v/>
      </c>
      <c r="CR260" s="53" t="str">
        <f t="shared" si="348"/>
        <v/>
      </c>
      <c r="CS260" s="53" t="str">
        <f t="shared" si="349"/>
        <v/>
      </c>
      <c r="CT260" s="53" t="str">
        <f t="shared" si="350"/>
        <v/>
      </c>
      <c r="CU260" s="47"/>
      <c r="CV260" s="53">
        <f t="shared" si="351"/>
        <v>0</v>
      </c>
    </row>
    <row r="261" spans="1:100" x14ac:dyDescent="0.25">
      <c r="A261" s="41"/>
      <c r="B261" s="42"/>
      <c r="C261" s="43" t="str" cm="1">
        <f t="array" ref="C261">IF(B261="","",INDEX(UWS!$B$10:$B$41,B261))</f>
        <v/>
      </c>
      <c r="D261" s="40" t="str">
        <f t="shared" si="308"/>
        <v/>
      </c>
      <c r="E261" s="69" t="str">
        <f t="shared" si="309"/>
        <v/>
      </c>
      <c r="F261" s="48" cm="1">
        <f t="array" ref="F261">0.1+IFERROR(INDEX($F$5:$F260,SUMPRODUCT(MAX(ROW($C$5:$C260)*($C261=$C$5:$C260))-ROW($A$4)))*0.9^($A261-INDEX($A$5:A260,SUMPRODUCT(MAX(ROW($C$5:$C260)*($C261=$C$5:$C260))-ROW($A$4)))),0)</f>
        <v>19.600000000000009</v>
      </c>
      <c r="G261" s="55" t="e">
        <f>INDEX(UWS!$AB$10:$AB$41,MATCH(C261,UWS!$B$10:$B$41,0))</f>
        <v>#N/A</v>
      </c>
      <c r="H261" s="48" t="e">
        <f>INDEX(UWS!$C$10:$C$41,MATCH(C261,UWS!$B$10:$B$41,0))</f>
        <v>#N/A</v>
      </c>
      <c r="I261" s="82">
        <f t="shared" si="310"/>
        <v>5</v>
      </c>
      <c r="J261" s="27" t="e">
        <f>INDEX(UWS!$E$10:$E$41,MATCH(C261,UWS!$B$10:$B$41,0))</f>
        <v>#N/A</v>
      </c>
      <c r="L261" s="108" t="str" cm="1">
        <f t="array" ref="L261">IF(K261="","",INDEX(UWS!$B$10:$B$41,K261))</f>
        <v/>
      </c>
      <c r="N261" s="108" t="str" cm="1">
        <f t="array" ref="N261">IF(M261="","",INDEX(UWS!$B$10:$B$41,M261))</f>
        <v/>
      </c>
      <c r="P261">
        <f>IFERROR(INDEX(UWS!$G$10:$Z$41,MATCH($C261,UWS!$B$10:$B$41,0),MATCH(P$4,UWS!$G$3:$Z$3,0)),0)</f>
        <v>0</v>
      </c>
      <c r="Q261">
        <f>IFERROR(INDEX(UWS!$G$10:$Z$41,MATCH($C261,UWS!$B$10:$B$41,0),MATCH(Q$4,UWS!$G$3:$Z$3,0)),0)</f>
        <v>0</v>
      </c>
      <c r="R261">
        <f>IFERROR(INDEX(UWS!$G$10:$Z$41,MATCH($C261,UWS!$B$10:$B$41,0),MATCH(R$4,UWS!$G$3:$Z$3,0)),0)</f>
        <v>0</v>
      </c>
      <c r="S261">
        <f>IFERROR(INDEX(UWS!$G$10:$Z$41,MATCH($C261,UWS!$B$10:$B$41,0),MATCH(S$4,UWS!$G$3:$Z$3,0)),0)</f>
        <v>0</v>
      </c>
      <c r="T261">
        <f>IFERROR(INDEX(UWS!$G$10:$Z$41,MATCH($C261,UWS!$B$10:$B$41,0),MATCH(T$4,UWS!$G$3:$Z$3,0)),0)</f>
        <v>0</v>
      </c>
      <c r="U261">
        <f>IFERROR(INDEX(UWS!$G$10:$Z$41,MATCH($C261,UWS!$B$10:$B$41,0),MATCH(U$4,UWS!$G$3:$Z$3,0)),0)</f>
        <v>0</v>
      </c>
      <c r="V261">
        <f>IFERROR(INDEX(UWS!$G$10:$Z$41,MATCH($C261,UWS!$B$10:$B$41,0),MATCH(V$4,UWS!$G$3:$Z$3,0)),0)</f>
        <v>0</v>
      </c>
      <c r="W261">
        <f>IFERROR(INDEX(UWS!$G$10:$Z$41,MATCH($C261,UWS!$B$10:$B$41,0),MATCH(W$4,UWS!$G$3:$Z$3,0)),0)</f>
        <v>0</v>
      </c>
      <c r="X261">
        <f>IFERROR(INDEX(UWS!$G$10:$Z$41,MATCH($C261,UWS!$B$10:$B$41,0),MATCH(X$4,UWS!$G$3:$Z$3,0)),0)</f>
        <v>0</v>
      </c>
      <c r="Y261">
        <f>IFERROR(INDEX(UWS!$G$10:$Z$41,MATCH($C261,UWS!$B$10:$B$41,0),MATCH(Y$4,UWS!$G$3:$Z$3,0)),0)</f>
        <v>0</v>
      </c>
      <c r="Z261">
        <f>IFERROR(INDEX(UWS!$G$10:$Z$41,MATCH($C261,UWS!$B$10:$B$41,0),MATCH(Z$4,UWS!$G$3:$Z$3,0)),0)</f>
        <v>0</v>
      </c>
      <c r="AA261">
        <f>IFERROR(INDEX(UWS!$G$10:$Z$41,MATCH($C261,UWS!$B$10:$B$41,0),MATCH(AA$4,UWS!$G$3:$Z$3,0)),0)</f>
        <v>0</v>
      </c>
      <c r="AB261">
        <f>IFERROR(INDEX(UWS!$G$10:$Z$41,MATCH($C261,UWS!$B$10:$B$41,0),MATCH(AB$4,UWS!$G$3:$Z$3,0)),0)</f>
        <v>0</v>
      </c>
      <c r="AC261">
        <f>IFERROR(INDEX(UWS!$G$10:$Z$41,MATCH($C261,UWS!$B$10:$B$41,0),MATCH(AC$4,UWS!$G$3:$Z$3,0)),0)</f>
        <v>0</v>
      </c>
      <c r="AD261">
        <f>IFERROR(INDEX(UWS!$G$10:$Z$41,MATCH($C261,UWS!$B$10:$B$41,0),MATCH(AD$4,UWS!$G$3:$Z$3,0)),0)</f>
        <v>0</v>
      </c>
      <c r="AE261">
        <f>IFERROR(INDEX(UWS!$G$10:$Z$41,MATCH($C261,UWS!$B$10:$B$41,0),MATCH(AE$4,UWS!$G$3:$Z$3,0)),0)</f>
        <v>0</v>
      </c>
      <c r="AF261">
        <f>IFERROR(INDEX(UWS!$G$10:$Z$41,MATCH($C261,UWS!$B$10:$B$41,0),MATCH(AF$4,UWS!$G$3:$Z$3,0)),0)</f>
        <v>0</v>
      </c>
      <c r="AG261">
        <f>IFERROR(INDEX(UWS!$G$10:$Z$41,MATCH($C261,UWS!$B$10:$B$41,0),MATCH(AG$4,UWS!$G$3:$Z$3,0)),0)</f>
        <v>0</v>
      </c>
      <c r="AH261">
        <f>IFERROR(INDEX(UWS!$G$10:$Z$41,MATCH($C261,UWS!$B$10:$B$41,0),MATCH(AH$4,UWS!$G$3:$Z$3,0)),0)</f>
        <v>0</v>
      </c>
      <c r="AI261">
        <f>IFERROR(INDEX(UWS!$G$10:$Z$41,MATCH($C261,UWS!$B$10:$B$41,0),MATCH(AI$4,UWS!$G$3:$Z$3,0)),0)</f>
        <v>0</v>
      </c>
      <c r="AK261" t="e">
        <f>IF(OR($J261=0,COUNTIFS($A$4:$A260,"&gt;="&amp;$A261-1,$A$4:$A260,"&lt;="&amp;$A261,$B$4:$B260,$B261)&gt;0,MIN(AK$1,IF($A261=$A260,AK260,1))-P261&lt;0),-1,MIN(1,IF($A261=$A260,AK260,1)-P261+$D$3))</f>
        <v>#N/A</v>
      </c>
      <c r="AL261" t="e">
        <f>IF(OR($J261=0,COUNTIFS($A$4:$A260,"&gt;="&amp;$A261-1,$A$4:$A260,"&lt;="&amp;$A261,$B$4:$B260,$B261)&gt;0,MIN(AL$1,IF($A261=$A260,AL260,1))-Q261&lt;0),-1,MIN(1,IF($A261=$A260,AL260,1)-Q261+$D$3))</f>
        <v>#N/A</v>
      </c>
      <c r="AM261" t="e">
        <f>IF(OR($J261=0,COUNTIFS($A$4:$A260,"&gt;="&amp;$A261-1,$A$4:$A260,"&lt;="&amp;$A261,$B$4:$B260,$B261)&gt;0,MIN(AM$1,IF($A261=$A260,AM260,1))-R261&lt;0),-1,MIN(1,IF($A261=$A260,AM260,1)-R261+$D$3))</f>
        <v>#N/A</v>
      </c>
      <c r="AN261" t="e">
        <f>IF(OR($J261=0,COUNTIFS($A$4:$A260,"&gt;="&amp;$A261-1,$A$4:$A260,"&lt;="&amp;$A261,$B$4:$B260,$B261)&gt;0,MIN(AN$1,IF($A261=$A260,AN260,1))-S261&lt;0),-1,MIN(1,IF($A261=$A260,AN260,1)-S261+$D$3))</f>
        <v>#N/A</v>
      </c>
      <c r="AO261" t="e">
        <f>IF(OR($J261=0,COUNTIFS($A$4:$A260,"&gt;="&amp;$A261-1,$A$4:$A260,"&lt;="&amp;$A261,$B$4:$B260,$B261)&gt;0,MIN(AO$1,IF($A261=$A260,AO260,1))-T261&lt;0),-1,MIN(1,IF($A261=$A260,AO260,1)-T261+$D$3))</f>
        <v>#N/A</v>
      </c>
      <c r="AP261" t="e">
        <f>IF(OR($J261=0,COUNTIFS($A$4:$A260,"&gt;="&amp;$A261-1,$A$4:$A260,"&lt;="&amp;$A261,$B$4:$B260,$B261)&gt;0,MIN(AP$1,IF($A261=$A260,AP260,1))-U261&lt;0),-1,MIN(1,IF($A261=$A260,AP260,1)-U261+$D$3))</f>
        <v>#N/A</v>
      </c>
      <c r="AQ261" t="e">
        <f>IF(OR($J261=0,COUNTIFS($A$4:$A260,"&gt;="&amp;$A261-1,$A$4:$A260,"&lt;="&amp;$A261,$B$4:$B260,$B261)&gt;0,MIN(AQ$1,IF($A261=$A260,AQ260,1))-V261&lt;0),-1,MIN(1,IF($A261=$A260,AQ260,1)-V261+$D$3))</f>
        <v>#N/A</v>
      </c>
      <c r="AR261" t="e">
        <f>IF(OR($J261=0,COUNTIFS($A$4:$A260,"&gt;="&amp;$A261-1,$A$4:$A260,"&lt;="&amp;$A261,$B$4:$B260,$B261)&gt;0,MIN(AR$1,IF($A261=$A260,AR260,1))-W261&lt;0),-1,MIN(1,IF($A261=$A260,AR260,1)-W261+$D$3))</f>
        <v>#N/A</v>
      </c>
      <c r="AS261" t="e">
        <f>IF(OR($J261=0,COUNTIFS($A$4:$A260,"&gt;="&amp;$A261-1,$A$4:$A260,"&lt;="&amp;$A261,$B$4:$B260,$B261)&gt;0,MIN(AS$1,IF($A261=$A260,AS260,1))-X261&lt;0),-1,MIN(1,IF($A261=$A260,AS260,1)-X261+$D$3))</f>
        <v>#N/A</v>
      </c>
      <c r="AT261" t="e">
        <f>IF(OR($J261=0,COUNTIFS($A$4:$A260,"&gt;="&amp;$A261-1,$A$4:$A260,"&lt;="&amp;$A261,$B$4:$B260,$B261)&gt;0,MIN(AT$1,IF($A261=$A260,AT260,1))-Y261&lt;0),-1,MIN(1,IF($A261=$A260,AT260,1)-Y261+$D$3))</f>
        <v>#N/A</v>
      </c>
      <c r="AU261" t="e">
        <f>IF(OR($J261=0,COUNTIFS($A$4:$A260,"&gt;="&amp;$A261-1,$A$4:$A260,"&lt;="&amp;$A261,$B$4:$B260,$B261)&gt;0,MIN(AU$1,IF($A261=$A260,AU260,1))-Z261&lt;0),-1,MIN(1,IF($A261=$A260,AU260,1)-Z261+$D$3))</f>
        <v>#N/A</v>
      </c>
      <c r="AV261" t="e">
        <f>IF(OR($J261=0,COUNTIFS($A$4:$A260,"&gt;="&amp;$A261-1,$A$4:$A260,"&lt;="&amp;$A261,$B$4:$B260,$B261)&gt;0,MIN(AV$1,IF($A261=$A260,AV260,1))-AA261&lt;0),-1,MIN(1,IF($A261=$A260,AV260,1)-AA261+$D$3))</f>
        <v>#N/A</v>
      </c>
      <c r="AW261" t="e">
        <f>IF(OR($J261=0,COUNTIFS($A$4:$A260,"&gt;="&amp;$A261-1,$A$4:$A260,"&lt;="&amp;$A261,$B$4:$B260,$B261)&gt;0,MIN(AW$1,IF($A261=$A260,AW260,1))-AB261&lt;0),-1,MIN(1,IF($A261=$A260,AW260,1)-AB261+$D$3))</f>
        <v>#N/A</v>
      </c>
      <c r="AX261" t="e">
        <f>IF(OR($J261=0,COUNTIFS($A$4:$A260,"&gt;="&amp;$A261-1,$A$4:$A260,"&lt;="&amp;$A261,$B$4:$B260,$B261)&gt;0,MIN(AX$1,IF($A261=$A260,AX260,1))-AC261&lt;0),-1,MIN(1,IF($A261=$A260,AX260,1)-AC261+$D$3))</f>
        <v>#N/A</v>
      </c>
      <c r="AY261" t="e">
        <f>IF(OR($J261=0,COUNTIFS($A$4:$A260,"&gt;="&amp;$A261-1,$A$4:$A260,"&lt;="&amp;$A261,$B$4:$B260,$B261)&gt;0,MIN(AY$1,IF($A261=$A260,AY260,1))-AD261&lt;0),-1,MIN(1,IF($A261=$A260,AY260,1)-AD261+$D$3))</f>
        <v>#N/A</v>
      </c>
      <c r="AZ261" t="e">
        <f>IF(OR($J261=0,COUNTIFS($A$4:$A260,"&gt;="&amp;$A261-1,$A$4:$A260,"&lt;="&amp;$A261,$B$4:$B260,$B261)&gt;0,MIN(AZ$1,IF($A261=$A260,AZ260,1))-AE261&lt;0),-1,MIN(1,IF($A261=$A260,AZ260,1)-AE261+$D$3))</f>
        <v>#N/A</v>
      </c>
      <c r="BA261" t="e">
        <f>IF(OR($J261=0,COUNTIFS($A$4:$A260,"&gt;="&amp;$A261-1,$A$4:$A260,"&lt;="&amp;$A261,$B$4:$B260,$B261)&gt;0,MIN(BA$1,IF($A261=$A260,BA260,1))-AF261&lt;0),-1,MIN(1,IF($A261=$A260,BA260,1)-AF261+$D$3))</f>
        <v>#N/A</v>
      </c>
      <c r="BB261" t="e">
        <f>IF(OR($J261=0,COUNTIFS($A$4:$A260,"&gt;="&amp;$A261-1,$A$4:$A260,"&lt;="&amp;$A261,$B$4:$B260,$B261)&gt;0,MIN(BB$1,IF($A261=$A260,BB260,1))-AG261&lt;0),-1,MIN(1,IF($A261=$A260,BB260,1)-AG261+$D$3))</f>
        <v>#N/A</v>
      </c>
      <c r="BC261" t="e">
        <f>IF(OR($J261=0,COUNTIFS($A$4:$A260,"&gt;="&amp;$A261-1,$A$4:$A260,"&lt;="&amp;$A261,$B$4:$B260,$B261)&gt;0,MIN(BC$1,IF($A261=$A260,BC260,1))-AH261&lt;0),-1,MIN(1,IF($A261=$A260,BC260,1)-AH261+$D$3))</f>
        <v>#N/A</v>
      </c>
      <c r="BD261" t="e">
        <f>IF(OR($J261=0,COUNTIFS($A$4:$A260,"&gt;="&amp;$A261-1,$A$4:$A260,"&lt;="&amp;$A261,$B$4:$B260,$B261)&gt;0,MIN(BD$1,IF($A261=$A260,BD260,1))-AI261&lt;0),-1,MIN(1,IF($A261=$A260,BD260,1)-AI261+$D$3))</f>
        <v>#N/A</v>
      </c>
      <c r="BF261" s="44">
        <f t="shared" si="311"/>
        <v>3.9927530765559185E-6</v>
      </c>
      <c r="BG261" s="44">
        <f t="shared" si="312"/>
        <v>9.8193064953505976E-6</v>
      </c>
      <c r="BH261" s="44">
        <f t="shared" si="313"/>
        <v>1.0063756267847872E-5</v>
      </c>
      <c r="BI261" s="44">
        <f t="shared" si="314"/>
        <v>9.296116707510857E-6</v>
      </c>
      <c r="BJ261" s="44">
        <f t="shared" si="315"/>
        <v>9.6084191529744803E-6</v>
      </c>
      <c r="BK261" s="44">
        <f t="shared" si="316"/>
        <v>4.1262134336149107E-6</v>
      </c>
      <c r="BL261" s="44">
        <f t="shared" si="317"/>
        <v>2.2290454120554465E-6</v>
      </c>
      <c r="BM261" s="44">
        <f t="shared" si="318"/>
        <v>5.6704312314113652E-6</v>
      </c>
      <c r="BN261" s="44">
        <f t="shared" si="319"/>
        <v>5.8976904078869772E-6</v>
      </c>
      <c r="BO261" s="44">
        <f t="shared" si="320"/>
        <v>2.7638815168007911E-6</v>
      </c>
      <c r="BP261" s="44">
        <f t="shared" si="321"/>
        <v>9.2934900204140456E-6</v>
      </c>
      <c r="BQ261" s="44">
        <f t="shared" si="322"/>
        <v>2.5079282496153877E-6</v>
      </c>
      <c r="BR261" s="44">
        <f t="shared" si="323"/>
        <v>7.409047849459246E-6</v>
      </c>
      <c r="BS261" s="44">
        <f t="shared" si="324"/>
        <v>3.995797824121781E-6</v>
      </c>
      <c r="BT261" s="44">
        <f t="shared" si="325"/>
        <v>1.5812597007552773E-5</v>
      </c>
      <c r="BU261" s="44">
        <f t="shared" si="326"/>
        <v>1.5105788334510322E-5</v>
      </c>
      <c r="BV261" s="44">
        <f t="shared" si="327"/>
        <v>1.4507099352423387E-5</v>
      </c>
      <c r="BW261" s="44">
        <f t="shared" si="328"/>
        <v>9.4884413082149278E-6</v>
      </c>
      <c r="BX261" s="44">
        <f t="shared" si="329"/>
        <v>7.0098881355095008E-6</v>
      </c>
      <c r="BY261" s="44">
        <f t="shared" si="330"/>
        <v>6.0187946594914774E-6</v>
      </c>
      <c r="CA261" s="44" t="str">
        <f t="shared" si="331"/>
        <v/>
      </c>
      <c r="CB261" s="44" t="str">
        <f t="shared" si="332"/>
        <v/>
      </c>
      <c r="CC261" s="44" t="str">
        <f t="shared" si="333"/>
        <v/>
      </c>
      <c r="CD261" s="44" t="str">
        <f t="shared" si="334"/>
        <v/>
      </c>
      <c r="CE261" s="44" t="str">
        <f t="shared" si="335"/>
        <v/>
      </c>
      <c r="CF261" s="44" t="str">
        <f t="shared" si="336"/>
        <v/>
      </c>
      <c r="CG261" s="44" t="str">
        <f t="shared" si="337"/>
        <v/>
      </c>
      <c r="CH261" s="44" t="str">
        <f t="shared" si="338"/>
        <v/>
      </c>
      <c r="CI261" s="44" t="str">
        <f t="shared" si="339"/>
        <v/>
      </c>
      <c r="CJ261" s="44" t="str">
        <f t="shared" si="340"/>
        <v/>
      </c>
      <c r="CK261" s="44" t="str">
        <f t="shared" si="341"/>
        <v/>
      </c>
      <c r="CL261" s="44" t="str">
        <f t="shared" si="342"/>
        <v/>
      </c>
      <c r="CM261" s="44" t="str">
        <f t="shared" si="343"/>
        <v/>
      </c>
      <c r="CN261" s="44" t="str">
        <f t="shared" si="344"/>
        <v/>
      </c>
      <c r="CO261" s="44" t="str">
        <f t="shared" si="345"/>
        <v/>
      </c>
      <c r="CP261" s="44" t="str">
        <f t="shared" si="346"/>
        <v/>
      </c>
      <c r="CQ261" s="44" t="str">
        <f t="shared" si="347"/>
        <v/>
      </c>
      <c r="CR261" s="44" t="str">
        <f t="shared" si="348"/>
        <v/>
      </c>
      <c r="CS261" s="44" t="str">
        <f t="shared" si="349"/>
        <v/>
      </c>
      <c r="CT261" s="44" t="str">
        <f t="shared" si="350"/>
        <v/>
      </c>
      <c r="CV261" s="44">
        <f t="shared" si="351"/>
        <v>0</v>
      </c>
    </row>
    <row r="262" spans="1:100" x14ac:dyDescent="0.25">
      <c r="A262" s="41"/>
      <c r="B262" s="42"/>
      <c r="C262" s="43" t="str" cm="1">
        <f t="array" ref="C262">IF(B262="","",INDEX(UWS!$B$10:$B$41,B262))</f>
        <v/>
      </c>
      <c r="D262" s="40" t="str">
        <f t="shared" si="308"/>
        <v/>
      </c>
      <c r="E262" s="69" t="str">
        <f t="shared" si="309"/>
        <v/>
      </c>
      <c r="F262" s="48" cm="1">
        <f t="array" ref="F262">0.1+IFERROR(INDEX($F$5:$F261,SUMPRODUCT(MAX(ROW($C$5:$C261)*($C262=$C$5:$C261))-ROW($A$4)))*0.9^($A262-INDEX($A$5:A261,SUMPRODUCT(MAX(ROW($C$5:$C261)*($C262=$C$5:$C261))-ROW($A$4)))),0)</f>
        <v>19.70000000000001</v>
      </c>
      <c r="G262" s="55" t="e">
        <f>INDEX(UWS!$AB$10:$AB$41,MATCH(C262,UWS!$B$10:$B$41,0))</f>
        <v>#N/A</v>
      </c>
      <c r="H262" s="48" t="e">
        <f>INDEX(UWS!$C$10:$C$41,MATCH(C262,UWS!$B$10:$B$41,0))</f>
        <v>#N/A</v>
      </c>
      <c r="I262" s="27">
        <f t="shared" si="310"/>
        <v>5</v>
      </c>
      <c r="J262" s="27" t="e">
        <f>INDEX(UWS!$E$10:$E$41,MATCH(C262,UWS!$B$10:$B$41,0))</f>
        <v>#N/A</v>
      </c>
      <c r="L262" s="108" t="str" cm="1">
        <f t="array" ref="L262">IF(K262="","",INDEX(UWS!$B$10:$B$41,K262))</f>
        <v/>
      </c>
      <c r="N262" s="108" t="str" cm="1">
        <f t="array" ref="N262">IF(M262="","",INDEX(UWS!$B$10:$B$41,M262))</f>
        <v/>
      </c>
      <c r="P262">
        <f>IFERROR(INDEX(UWS!$G$10:$Z$41,MATCH($C262,UWS!$B$10:$B$41,0),MATCH(P$4,UWS!$G$3:$Z$3,0)),0)</f>
        <v>0</v>
      </c>
      <c r="Q262">
        <f>IFERROR(INDEX(UWS!$G$10:$Z$41,MATCH($C262,UWS!$B$10:$B$41,0),MATCH(Q$4,UWS!$G$3:$Z$3,0)),0)</f>
        <v>0</v>
      </c>
      <c r="R262">
        <f>IFERROR(INDEX(UWS!$G$10:$Z$41,MATCH($C262,UWS!$B$10:$B$41,0),MATCH(R$4,UWS!$G$3:$Z$3,0)),0)</f>
        <v>0</v>
      </c>
      <c r="S262">
        <f>IFERROR(INDEX(UWS!$G$10:$Z$41,MATCH($C262,UWS!$B$10:$B$41,0),MATCH(S$4,UWS!$G$3:$Z$3,0)),0)</f>
        <v>0</v>
      </c>
      <c r="T262">
        <f>IFERROR(INDEX(UWS!$G$10:$Z$41,MATCH($C262,UWS!$B$10:$B$41,0),MATCH(T$4,UWS!$G$3:$Z$3,0)),0)</f>
        <v>0</v>
      </c>
      <c r="U262">
        <f>IFERROR(INDEX(UWS!$G$10:$Z$41,MATCH($C262,UWS!$B$10:$B$41,0),MATCH(U$4,UWS!$G$3:$Z$3,0)),0)</f>
        <v>0</v>
      </c>
      <c r="V262">
        <f>IFERROR(INDEX(UWS!$G$10:$Z$41,MATCH($C262,UWS!$B$10:$B$41,0),MATCH(V$4,UWS!$G$3:$Z$3,0)),0)</f>
        <v>0</v>
      </c>
      <c r="W262">
        <f>IFERROR(INDEX(UWS!$G$10:$Z$41,MATCH($C262,UWS!$B$10:$B$41,0),MATCH(W$4,UWS!$G$3:$Z$3,0)),0)</f>
        <v>0</v>
      </c>
      <c r="X262">
        <f>IFERROR(INDEX(UWS!$G$10:$Z$41,MATCH($C262,UWS!$B$10:$B$41,0),MATCH(X$4,UWS!$G$3:$Z$3,0)),0)</f>
        <v>0</v>
      </c>
      <c r="Y262">
        <f>IFERROR(INDEX(UWS!$G$10:$Z$41,MATCH($C262,UWS!$B$10:$B$41,0),MATCH(Y$4,UWS!$G$3:$Z$3,0)),0)</f>
        <v>0</v>
      </c>
      <c r="Z262">
        <f>IFERROR(INDEX(UWS!$G$10:$Z$41,MATCH($C262,UWS!$B$10:$B$41,0),MATCH(Z$4,UWS!$G$3:$Z$3,0)),0)</f>
        <v>0</v>
      </c>
      <c r="AA262">
        <f>IFERROR(INDEX(UWS!$G$10:$Z$41,MATCH($C262,UWS!$B$10:$B$41,0),MATCH(AA$4,UWS!$G$3:$Z$3,0)),0)</f>
        <v>0</v>
      </c>
      <c r="AB262">
        <f>IFERROR(INDEX(UWS!$G$10:$Z$41,MATCH($C262,UWS!$B$10:$B$41,0),MATCH(AB$4,UWS!$G$3:$Z$3,0)),0)</f>
        <v>0</v>
      </c>
      <c r="AC262">
        <f>IFERROR(INDEX(UWS!$G$10:$Z$41,MATCH($C262,UWS!$B$10:$B$41,0),MATCH(AC$4,UWS!$G$3:$Z$3,0)),0)</f>
        <v>0</v>
      </c>
      <c r="AD262">
        <f>IFERROR(INDEX(UWS!$G$10:$Z$41,MATCH($C262,UWS!$B$10:$B$41,0),MATCH(AD$4,UWS!$G$3:$Z$3,0)),0)</f>
        <v>0</v>
      </c>
      <c r="AE262">
        <f>IFERROR(INDEX(UWS!$G$10:$Z$41,MATCH($C262,UWS!$B$10:$B$41,0),MATCH(AE$4,UWS!$G$3:$Z$3,0)),0)</f>
        <v>0</v>
      </c>
      <c r="AF262">
        <f>IFERROR(INDEX(UWS!$G$10:$Z$41,MATCH($C262,UWS!$B$10:$B$41,0),MATCH(AF$4,UWS!$G$3:$Z$3,0)),0)</f>
        <v>0</v>
      </c>
      <c r="AG262">
        <f>IFERROR(INDEX(UWS!$G$10:$Z$41,MATCH($C262,UWS!$B$10:$B$41,0),MATCH(AG$4,UWS!$G$3:$Z$3,0)),0)</f>
        <v>0</v>
      </c>
      <c r="AH262">
        <f>IFERROR(INDEX(UWS!$G$10:$Z$41,MATCH($C262,UWS!$B$10:$B$41,0),MATCH(AH$4,UWS!$G$3:$Z$3,0)),0)</f>
        <v>0</v>
      </c>
      <c r="AI262">
        <f>IFERROR(INDEX(UWS!$G$10:$Z$41,MATCH($C262,UWS!$B$10:$B$41,0),MATCH(AI$4,UWS!$G$3:$Z$3,0)),0)</f>
        <v>0</v>
      </c>
      <c r="AK262" t="e">
        <f>IF(OR($J262=0,COUNTIFS($A$4:$A261,"&gt;="&amp;$A262-1,$A$4:$A261,"&lt;="&amp;$A262,$B$4:$B261,$B262)&gt;0,MIN(AK$1,IF($A262=$A261,AK261,1))-P262&lt;0),-1,MIN(1,IF($A262=$A261,AK261,1)-P262+$D$3))</f>
        <v>#N/A</v>
      </c>
      <c r="AL262" t="e">
        <f>IF(OR($J262=0,COUNTIFS($A$4:$A261,"&gt;="&amp;$A262-1,$A$4:$A261,"&lt;="&amp;$A262,$B$4:$B261,$B262)&gt;0,MIN(AL$1,IF($A262=$A261,AL261,1))-Q262&lt;0),-1,MIN(1,IF($A262=$A261,AL261,1)-Q262+$D$3))</f>
        <v>#N/A</v>
      </c>
      <c r="AM262" t="e">
        <f>IF(OR($J262=0,COUNTIFS($A$4:$A261,"&gt;="&amp;$A262-1,$A$4:$A261,"&lt;="&amp;$A262,$B$4:$B261,$B262)&gt;0,MIN(AM$1,IF($A262=$A261,AM261,1))-R262&lt;0),-1,MIN(1,IF($A262=$A261,AM261,1)-R262+$D$3))</f>
        <v>#N/A</v>
      </c>
      <c r="AN262" t="e">
        <f>IF(OR($J262=0,COUNTIFS($A$4:$A261,"&gt;="&amp;$A262-1,$A$4:$A261,"&lt;="&amp;$A262,$B$4:$B261,$B262)&gt;0,MIN(AN$1,IF($A262=$A261,AN261,1))-S262&lt;0),-1,MIN(1,IF($A262=$A261,AN261,1)-S262+$D$3))</f>
        <v>#N/A</v>
      </c>
      <c r="AO262" t="e">
        <f>IF(OR($J262=0,COUNTIFS($A$4:$A261,"&gt;="&amp;$A262-1,$A$4:$A261,"&lt;="&amp;$A262,$B$4:$B261,$B262)&gt;0,MIN(AO$1,IF($A262=$A261,AO261,1))-T262&lt;0),-1,MIN(1,IF($A262=$A261,AO261,1)-T262+$D$3))</f>
        <v>#N/A</v>
      </c>
      <c r="AP262" t="e">
        <f>IF(OR($J262=0,COUNTIFS($A$4:$A261,"&gt;="&amp;$A262-1,$A$4:$A261,"&lt;="&amp;$A262,$B$4:$B261,$B262)&gt;0,MIN(AP$1,IF($A262=$A261,AP261,1))-U262&lt;0),-1,MIN(1,IF($A262=$A261,AP261,1)-U262+$D$3))</f>
        <v>#N/A</v>
      </c>
      <c r="AQ262" t="e">
        <f>IF(OR($J262=0,COUNTIFS($A$4:$A261,"&gt;="&amp;$A262-1,$A$4:$A261,"&lt;="&amp;$A262,$B$4:$B261,$B262)&gt;0,MIN(AQ$1,IF($A262=$A261,AQ261,1))-V262&lt;0),-1,MIN(1,IF($A262=$A261,AQ261,1)-V262+$D$3))</f>
        <v>#N/A</v>
      </c>
      <c r="AR262" t="e">
        <f>IF(OR($J262=0,COUNTIFS($A$4:$A261,"&gt;="&amp;$A262-1,$A$4:$A261,"&lt;="&amp;$A262,$B$4:$B261,$B262)&gt;0,MIN(AR$1,IF($A262=$A261,AR261,1))-W262&lt;0),-1,MIN(1,IF($A262=$A261,AR261,1)-W262+$D$3))</f>
        <v>#N/A</v>
      </c>
      <c r="AS262" t="e">
        <f>IF(OR($J262=0,COUNTIFS($A$4:$A261,"&gt;="&amp;$A262-1,$A$4:$A261,"&lt;="&amp;$A262,$B$4:$B261,$B262)&gt;0,MIN(AS$1,IF($A262=$A261,AS261,1))-X262&lt;0),-1,MIN(1,IF($A262=$A261,AS261,1)-X262+$D$3))</f>
        <v>#N/A</v>
      </c>
      <c r="AT262" t="e">
        <f>IF(OR($J262=0,COUNTIFS($A$4:$A261,"&gt;="&amp;$A262-1,$A$4:$A261,"&lt;="&amp;$A262,$B$4:$B261,$B262)&gt;0,MIN(AT$1,IF($A262=$A261,AT261,1))-Y262&lt;0),-1,MIN(1,IF($A262=$A261,AT261,1)-Y262+$D$3))</f>
        <v>#N/A</v>
      </c>
      <c r="AU262" t="e">
        <f>IF(OR($J262=0,COUNTIFS($A$4:$A261,"&gt;="&amp;$A262-1,$A$4:$A261,"&lt;="&amp;$A262,$B$4:$B261,$B262)&gt;0,MIN(AU$1,IF($A262=$A261,AU261,1))-Z262&lt;0),-1,MIN(1,IF($A262=$A261,AU261,1)-Z262+$D$3))</f>
        <v>#N/A</v>
      </c>
      <c r="AV262" t="e">
        <f>IF(OR($J262=0,COUNTIFS($A$4:$A261,"&gt;="&amp;$A262-1,$A$4:$A261,"&lt;="&amp;$A262,$B$4:$B261,$B262)&gt;0,MIN(AV$1,IF($A262=$A261,AV261,1))-AA262&lt;0),-1,MIN(1,IF($A262=$A261,AV261,1)-AA262+$D$3))</f>
        <v>#N/A</v>
      </c>
      <c r="AW262" t="e">
        <f>IF(OR($J262=0,COUNTIFS($A$4:$A261,"&gt;="&amp;$A262-1,$A$4:$A261,"&lt;="&amp;$A262,$B$4:$B261,$B262)&gt;0,MIN(AW$1,IF($A262=$A261,AW261,1))-AB262&lt;0),-1,MIN(1,IF($A262=$A261,AW261,1)-AB262+$D$3))</f>
        <v>#N/A</v>
      </c>
      <c r="AX262" t="e">
        <f>IF(OR($J262=0,COUNTIFS($A$4:$A261,"&gt;="&amp;$A262-1,$A$4:$A261,"&lt;="&amp;$A262,$B$4:$B261,$B262)&gt;0,MIN(AX$1,IF($A262=$A261,AX261,1))-AC262&lt;0),-1,MIN(1,IF($A262=$A261,AX261,1)-AC262+$D$3))</f>
        <v>#N/A</v>
      </c>
      <c r="AY262" t="e">
        <f>IF(OR($J262=0,COUNTIFS($A$4:$A261,"&gt;="&amp;$A262-1,$A$4:$A261,"&lt;="&amp;$A262,$B$4:$B261,$B262)&gt;0,MIN(AY$1,IF($A262=$A261,AY261,1))-AD262&lt;0),-1,MIN(1,IF($A262=$A261,AY261,1)-AD262+$D$3))</f>
        <v>#N/A</v>
      </c>
      <c r="AZ262" t="e">
        <f>IF(OR($J262=0,COUNTIFS($A$4:$A261,"&gt;="&amp;$A262-1,$A$4:$A261,"&lt;="&amp;$A262,$B$4:$B261,$B262)&gt;0,MIN(AZ$1,IF($A262=$A261,AZ261,1))-AE262&lt;0),-1,MIN(1,IF($A262=$A261,AZ261,1)-AE262+$D$3))</f>
        <v>#N/A</v>
      </c>
      <c r="BA262" t="e">
        <f>IF(OR($J262=0,COUNTIFS($A$4:$A261,"&gt;="&amp;$A262-1,$A$4:$A261,"&lt;="&amp;$A262,$B$4:$B261,$B262)&gt;0,MIN(BA$1,IF($A262=$A261,BA261,1))-AF262&lt;0),-1,MIN(1,IF($A262=$A261,BA261,1)-AF262+$D$3))</f>
        <v>#N/A</v>
      </c>
      <c r="BB262" t="e">
        <f>IF(OR($J262=0,COUNTIFS($A$4:$A261,"&gt;="&amp;$A262-1,$A$4:$A261,"&lt;="&amp;$A262,$B$4:$B261,$B262)&gt;0,MIN(BB$1,IF($A262=$A261,BB261,1))-AG262&lt;0),-1,MIN(1,IF($A262=$A261,BB261,1)-AG262+$D$3))</f>
        <v>#N/A</v>
      </c>
      <c r="BC262" t="e">
        <f>IF(OR($J262=0,COUNTIFS($A$4:$A261,"&gt;="&amp;$A262-1,$A$4:$A261,"&lt;="&amp;$A262,$B$4:$B261,$B262)&gt;0,MIN(BC$1,IF($A262=$A261,BC261,1))-AH262&lt;0),-1,MIN(1,IF($A262=$A261,BC261,1)-AH262+$D$3))</f>
        <v>#N/A</v>
      </c>
      <c r="BD262" t="e">
        <f>IF(OR($J262=0,COUNTIFS($A$4:$A261,"&gt;="&amp;$A262-1,$A$4:$A261,"&lt;="&amp;$A262,$B$4:$B261,$B262)&gt;0,MIN(BD$1,IF($A262=$A261,BD261,1))-AI262&lt;0),-1,MIN(1,IF($A262=$A261,BD261,1)-AI262+$D$3))</f>
        <v>#N/A</v>
      </c>
      <c r="BF262" s="44">
        <f t="shared" si="311"/>
        <v>3.7931154227281222E-6</v>
      </c>
      <c r="BG262" s="44">
        <f t="shared" si="312"/>
        <v>9.328341170583068E-6</v>
      </c>
      <c r="BH262" s="44">
        <f t="shared" si="313"/>
        <v>9.560568454455479E-6</v>
      </c>
      <c r="BI262" s="44">
        <f t="shared" si="314"/>
        <v>8.8313108721353145E-6</v>
      </c>
      <c r="BJ262" s="44">
        <f t="shared" si="315"/>
        <v>9.1279981953257562E-6</v>
      </c>
      <c r="BK262" s="44">
        <f t="shared" si="316"/>
        <v>3.9199027619341652E-6</v>
      </c>
      <c r="BL262" s="44">
        <f t="shared" si="317"/>
        <v>2.1175931414526742E-6</v>
      </c>
      <c r="BM262" s="44">
        <f t="shared" si="318"/>
        <v>5.3869096698407965E-6</v>
      </c>
      <c r="BN262" s="44">
        <f t="shared" si="319"/>
        <v>5.6028058874926283E-6</v>
      </c>
      <c r="BO262" s="44">
        <f t="shared" si="320"/>
        <v>2.6256874409607512E-6</v>
      </c>
      <c r="BP262" s="44">
        <f t="shared" si="321"/>
        <v>8.8288155193933428E-6</v>
      </c>
      <c r="BQ262" s="44">
        <f t="shared" si="322"/>
        <v>2.3825318371346183E-6</v>
      </c>
      <c r="BR262" s="44">
        <f t="shared" si="323"/>
        <v>7.0385954569862838E-6</v>
      </c>
      <c r="BS262" s="44">
        <f t="shared" si="324"/>
        <v>3.7960079329156919E-6</v>
      </c>
      <c r="BT262" s="44">
        <f t="shared" si="325"/>
        <v>1.5021967157175133E-5</v>
      </c>
      <c r="BU262" s="44">
        <f t="shared" si="326"/>
        <v>1.4350498917784805E-5</v>
      </c>
      <c r="BV262" s="44">
        <f t="shared" si="327"/>
        <v>1.3781744384802217E-5</v>
      </c>
      <c r="BW262" s="44">
        <f t="shared" si="328"/>
        <v>9.0140192428041804E-6</v>
      </c>
      <c r="BX262" s="44">
        <f t="shared" si="329"/>
        <v>6.6593937287340255E-6</v>
      </c>
      <c r="BY262" s="44">
        <f t="shared" si="330"/>
        <v>5.7178549265169037E-6</v>
      </c>
      <c r="CA262" s="44" t="str">
        <f t="shared" si="331"/>
        <v/>
      </c>
      <c r="CB262" s="44" t="str">
        <f t="shared" si="332"/>
        <v/>
      </c>
      <c r="CC262" s="44" t="str">
        <f t="shared" si="333"/>
        <v/>
      </c>
      <c r="CD262" s="44" t="str">
        <f t="shared" si="334"/>
        <v/>
      </c>
      <c r="CE262" s="44" t="str">
        <f t="shared" si="335"/>
        <v/>
      </c>
      <c r="CF262" s="44" t="str">
        <f t="shared" si="336"/>
        <v/>
      </c>
      <c r="CG262" s="44" t="str">
        <f t="shared" si="337"/>
        <v/>
      </c>
      <c r="CH262" s="44" t="str">
        <f t="shared" si="338"/>
        <v/>
      </c>
      <c r="CI262" s="44" t="str">
        <f t="shared" si="339"/>
        <v/>
      </c>
      <c r="CJ262" s="44" t="str">
        <f t="shared" si="340"/>
        <v/>
      </c>
      <c r="CK262" s="44" t="str">
        <f t="shared" si="341"/>
        <v/>
      </c>
      <c r="CL262" s="44" t="str">
        <f t="shared" si="342"/>
        <v/>
      </c>
      <c r="CM262" s="44" t="str">
        <f t="shared" si="343"/>
        <v/>
      </c>
      <c r="CN262" s="44" t="str">
        <f t="shared" si="344"/>
        <v/>
      </c>
      <c r="CO262" s="44" t="str">
        <f t="shared" si="345"/>
        <v/>
      </c>
      <c r="CP262" s="44" t="str">
        <f t="shared" si="346"/>
        <v/>
      </c>
      <c r="CQ262" s="44" t="str">
        <f t="shared" si="347"/>
        <v/>
      </c>
      <c r="CR262" s="44" t="str">
        <f t="shared" si="348"/>
        <v/>
      </c>
      <c r="CS262" s="44" t="str">
        <f t="shared" si="349"/>
        <v/>
      </c>
      <c r="CT262" s="44" t="str">
        <f t="shared" si="350"/>
        <v/>
      </c>
      <c r="CV262" s="44">
        <f t="shared" si="351"/>
        <v>0</v>
      </c>
    </row>
    <row r="263" spans="1:100" x14ac:dyDescent="0.25">
      <c r="A263" s="41"/>
      <c r="B263" s="42"/>
      <c r="C263" s="43" t="str" cm="1">
        <f t="array" ref="C263">IF(B263="","",INDEX(UWS!$B$10:$B$41,B263))</f>
        <v/>
      </c>
      <c r="D263" s="40" t="str">
        <f t="shared" si="308"/>
        <v/>
      </c>
      <c r="E263" s="69" t="str">
        <f t="shared" si="309"/>
        <v/>
      </c>
      <c r="F263" s="48" cm="1">
        <f t="array" ref="F263">0.1+IFERROR(INDEX($F$5:$F262,SUMPRODUCT(MAX(ROW($C$5:$C262)*($C263=$C$5:$C262))-ROW($A$4)))*0.9^($A263-INDEX($A$5:A262,SUMPRODUCT(MAX(ROW($C$5:$C262)*($C263=$C$5:$C262))-ROW($A$4)))),0)</f>
        <v>19.800000000000011</v>
      </c>
      <c r="G263" s="55" t="e">
        <f>INDEX(UWS!$AB$10:$AB$41,MATCH(C263,UWS!$B$10:$B$41,0))</f>
        <v>#N/A</v>
      </c>
      <c r="H263" s="48" t="e">
        <f>INDEX(UWS!$C$10:$C$41,MATCH(C263,UWS!$B$10:$B$41,0))</f>
        <v>#N/A</v>
      </c>
      <c r="I263" s="27">
        <f t="shared" si="310"/>
        <v>5</v>
      </c>
      <c r="J263" s="27" t="e">
        <f>INDEX(UWS!$E$10:$E$41,MATCH(C263,UWS!$B$10:$B$41,0))</f>
        <v>#N/A</v>
      </c>
      <c r="L263" s="108" t="str" cm="1">
        <f t="array" ref="L263">IF(K263="","",INDEX(UWS!$B$10:$B$41,K263))</f>
        <v/>
      </c>
      <c r="N263" s="108" t="str" cm="1">
        <f t="array" ref="N263">IF(M263="","",INDEX(UWS!$B$10:$B$41,M263))</f>
        <v/>
      </c>
      <c r="P263">
        <f>IFERROR(INDEX(UWS!$G$10:$Z$41,MATCH($C263,UWS!$B$10:$B$41,0),MATCH(P$4,UWS!$G$3:$Z$3,0)),0)</f>
        <v>0</v>
      </c>
      <c r="Q263">
        <f>IFERROR(INDEX(UWS!$G$10:$Z$41,MATCH($C263,UWS!$B$10:$B$41,0),MATCH(Q$4,UWS!$G$3:$Z$3,0)),0)</f>
        <v>0</v>
      </c>
      <c r="R263">
        <f>IFERROR(INDEX(UWS!$G$10:$Z$41,MATCH($C263,UWS!$B$10:$B$41,0),MATCH(R$4,UWS!$G$3:$Z$3,0)),0)</f>
        <v>0</v>
      </c>
      <c r="S263">
        <f>IFERROR(INDEX(UWS!$G$10:$Z$41,MATCH($C263,UWS!$B$10:$B$41,0),MATCH(S$4,UWS!$G$3:$Z$3,0)),0)</f>
        <v>0</v>
      </c>
      <c r="T263">
        <f>IFERROR(INDEX(UWS!$G$10:$Z$41,MATCH($C263,UWS!$B$10:$B$41,0),MATCH(T$4,UWS!$G$3:$Z$3,0)),0)</f>
        <v>0</v>
      </c>
      <c r="U263">
        <f>IFERROR(INDEX(UWS!$G$10:$Z$41,MATCH($C263,UWS!$B$10:$B$41,0),MATCH(U$4,UWS!$G$3:$Z$3,0)),0)</f>
        <v>0</v>
      </c>
      <c r="V263">
        <f>IFERROR(INDEX(UWS!$G$10:$Z$41,MATCH($C263,UWS!$B$10:$B$41,0),MATCH(V$4,UWS!$G$3:$Z$3,0)),0)</f>
        <v>0</v>
      </c>
      <c r="W263">
        <f>IFERROR(INDEX(UWS!$G$10:$Z$41,MATCH($C263,UWS!$B$10:$B$41,0),MATCH(W$4,UWS!$G$3:$Z$3,0)),0)</f>
        <v>0</v>
      </c>
      <c r="X263">
        <f>IFERROR(INDEX(UWS!$G$10:$Z$41,MATCH($C263,UWS!$B$10:$B$41,0),MATCH(X$4,UWS!$G$3:$Z$3,0)),0)</f>
        <v>0</v>
      </c>
      <c r="Y263">
        <f>IFERROR(INDEX(UWS!$G$10:$Z$41,MATCH($C263,UWS!$B$10:$B$41,0),MATCH(Y$4,UWS!$G$3:$Z$3,0)),0)</f>
        <v>0</v>
      </c>
      <c r="Z263">
        <f>IFERROR(INDEX(UWS!$G$10:$Z$41,MATCH($C263,UWS!$B$10:$B$41,0),MATCH(Z$4,UWS!$G$3:$Z$3,0)),0)</f>
        <v>0</v>
      </c>
      <c r="AA263">
        <f>IFERROR(INDEX(UWS!$G$10:$Z$41,MATCH($C263,UWS!$B$10:$B$41,0),MATCH(AA$4,UWS!$G$3:$Z$3,0)),0)</f>
        <v>0</v>
      </c>
      <c r="AB263">
        <f>IFERROR(INDEX(UWS!$G$10:$Z$41,MATCH($C263,UWS!$B$10:$B$41,0),MATCH(AB$4,UWS!$G$3:$Z$3,0)),0)</f>
        <v>0</v>
      </c>
      <c r="AC263">
        <f>IFERROR(INDEX(UWS!$G$10:$Z$41,MATCH($C263,UWS!$B$10:$B$41,0),MATCH(AC$4,UWS!$G$3:$Z$3,0)),0)</f>
        <v>0</v>
      </c>
      <c r="AD263">
        <f>IFERROR(INDEX(UWS!$G$10:$Z$41,MATCH($C263,UWS!$B$10:$B$41,0),MATCH(AD$4,UWS!$G$3:$Z$3,0)),0)</f>
        <v>0</v>
      </c>
      <c r="AE263">
        <f>IFERROR(INDEX(UWS!$G$10:$Z$41,MATCH($C263,UWS!$B$10:$B$41,0),MATCH(AE$4,UWS!$G$3:$Z$3,0)),0)</f>
        <v>0</v>
      </c>
      <c r="AF263">
        <f>IFERROR(INDEX(UWS!$G$10:$Z$41,MATCH($C263,UWS!$B$10:$B$41,0),MATCH(AF$4,UWS!$G$3:$Z$3,0)),0)</f>
        <v>0</v>
      </c>
      <c r="AG263">
        <f>IFERROR(INDEX(UWS!$G$10:$Z$41,MATCH($C263,UWS!$B$10:$B$41,0),MATCH(AG$4,UWS!$G$3:$Z$3,0)),0)</f>
        <v>0</v>
      </c>
      <c r="AH263">
        <f>IFERROR(INDEX(UWS!$G$10:$Z$41,MATCH($C263,UWS!$B$10:$B$41,0),MATCH(AH$4,UWS!$G$3:$Z$3,0)),0)</f>
        <v>0</v>
      </c>
      <c r="AI263">
        <f>IFERROR(INDEX(UWS!$G$10:$Z$41,MATCH($C263,UWS!$B$10:$B$41,0),MATCH(AI$4,UWS!$G$3:$Z$3,0)),0)</f>
        <v>0</v>
      </c>
      <c r="AK263" t="e">
        <f>IF(OR($J263=0,COUNTIFS($A$4:$A262,"&gt;="&amp;$A263-1,$A$4:$A262,"&lt;="&amp;$A263,$B$4:$B262,$B263)&gt;0,MIN(AK$1,IF($A263=$A262,AK262,1))-P263&lt;0),-1,MIN(1,IF($A263=$A262,AK262,1)-P263+$D$3))</f>
        <v>#N/A</v>
      </c>
      <c r="AL263" t="e">
        <f>IF(OR($J263=0,COUNTIFS($A$4:$A262,"&gt;="&amp;$A263-1,$A$4:$A262,"&lt;="&amp;$A263,$B$4:$B262,$B263)&gt;0,MIN(AL$1,IF($A263=$A262,AL262,1))-Q263&lt;0),-1,MIN(1,IF($A263=$A262,AL262,1)-Q263+$D$3))</f>
        <v>#N/A</v>
      </c>
      <c r="AM263" t="e">
        <f>IF(OR($J263=0,COUNTIFS($A$4:$A262,"&gt;="&amp;$A263-1,$A$4:$A262,"&lt;="&amp;$A263,$B$4:$B262,$B263)&gt;0,MIN(AM$1,IF($A263=$A262,AM262,1))-R263&lt;0),-1,MIN(1,IF($A263=$A262,AM262,1)-R263+$D$3))</f>
        <v>#N/A</v>
      </c>
      <c r="AN263" t="e">
        <f>IF(OR($J263=0,COUNTIFS($A$4:$A262,"&gt;="&amp;$A263-1,$A$4:$A262,"&lt;="&amp;$A263,$B$4:$B262,$B263)&gt;0,MIN(AN$1,IF($A263=$A262,AN262,1))-S263&lt;0),-1,MIN(1,IF($A263=$A262,AN262,1)-S263+$D$3))</f>
        <v>#N/A</v>
      </c>
      <c r="AO263" t="e">
        <f>IF(OR($J263=0,COUNTIFS($A$4:$A262,"&gt;="&amp;$A263-1,$A$4:$A262,"&lt;="&amp;$A263,$B$4:$B262,$B263)&gt;0,MIN(AO$1,IF($A263=$A262,AO262,1))-T263&lt;0),-1,MIN(1,IF($A263=$A262,AO262,1)-T263+$D$3))</f>
        <v>#N/A</v>
      </c>
      <c r="AP263" t="e">
        <f>IF(OR($J263=0,COUNTIFS($A$4:$A262,"&gt;="&amp;$A263-1,$A$4:$A262,"&lt;="&amp;$A263,$B$4:$B262,$B263)&gt;0,MIN(AP$1,IF($A263=$A262,AP262,1))-U263&lt;0),-1,MIN(1,IF($A263=$A262,AP262,1)-U263+$D$3))</f>
        <v>#N/A</v>
      </c>
      <c r="AQ263" t="e">
        <f>IF(OR($J263=0,COUNTIFS($A$4:$A262,"&gt;="&amp;$A263-1,$A$4:$A262,"&lt;="&amp;$A263,$B$4:$B262,$B263)&gt;0,MIN(AQ$1,IF($A263=$A262,AQ262,1))-V263&lt;0),-1,MIN(1,IF($A263=$A262,AQ262,1)-V263+$D$3))</f>
        <v>#N/A</v>
      </c>
      <c r="AR263" t="e">
        <f>IF(OR($J263=0,COUNTIFS($A$4:$A262,"&gt;="&amp;$A263-1,$A$4:$A262,"&lt;="&amp;$A263,$B$4:$B262,$B263)&gt;0,MIN(AR$1,IF($A263=$A262,AR262,1))-W263&lt;0),-1,MIN(1,IF($A263=$A262,AR262,1)-W263+$D$3))</f>
        <v>#N/A</v>
      </c>
      <c r="AS263" t="e">
        <f>IF(OR($J263=0,COUNTIFS($A$4:$A262,"&gt;="&amp;$A263-1,$A$4:$A262,"&lt;="&amp;$A263,$B$4:$B262,$B263)&gt;0,MIN(AS$1,IF($A263=$A262,AS262,1))-X263&lt;0),-1,MIN(1,IF($A263=$A262,AS262,1)-X263+$D$3))</f>
        <v>#N/A</v>
      </c>
      <c r="AT263" t="e">
        <f>IF(OR($J263=0,COUNTIFS($A$4:$A262,"&gt;="&amp;$A263-1,$A$4:$A262,"&lt;="&amp;$A263,$B$4:$B262,$B263)&gt;0,MIN(AT$1,IF($A263=$A262,AT262,1))-Y263&lt;0),-1,MIN(1,IF($A263=$A262,AT262,1)-Y263+$D$3))</f>
        <v>#N/A</v>
      </c>
      <c r="AU263" t="e">
        <f>IF(OR($J263=0,COUNTIFS($A$4:$A262,"&gt;="&amp;$A263-1,$A$4:$A262,"&lt;="&amp;$A263,$B$4:$B262,$B263)&gt;0,MIN(AU$1,IF($A263=$A262,AU262,1))-Z263&lt;0),-1,MIN(1,IF($A263=$A262,AU262,1)-Z263+$D$3))</f>
        <v>#N/A</v>
      </c>
      <c r="AV263" t="e">
        <f>IF(OR($J263=0,COUNTIFS($A$4:$A262,"&gt;="&amp;$A263-1,$A$4:$A262,"&lt;="&amp;$A263,$B$4:$B262,$B263)&gt;0,MIN(AV$1,IF($A263=$A262,AV262,1))-AA263&lt;0),-1,MIN(1,IF($A263=$A262,AV262,1)-AA263+$D$3))</f>
        <v>#N/A</v>
      </c>
      <c r="AW263" t="e">
        <f>IF(OR($J263=0,COUNTIFS($A$4:$A262,"&gt;="&amp;$A263-1,$A$4:$A262,"&lt;="&amp;$A263,$B$4:$B262,$B263)&gt;0,MIN(AW$1,IF($A263=$A262,AW262,1))-AB263&lt;0),-1,MIN(1,IF($A263=$A262,AW262,1)-AB263+$D$3))</f>
        <v>#N/A</v>
      </c>
      <c r="AX263" t="e">
        <f>IF(OR($J263=0,COUNTIFS($A$4:$A262,"&gt;="&amp;$A263-1,$A$4:$A262,"&lt;="&amp;$A263,$B$4:$B262,$B263)&gt;0,MIN(AX$1,IF($A263=$A262,AX262,1))-AC263&lt;0),-1,MIN(1,IF($A263=$A262,AX262,1)-AC263+$D$3))</f>
        <v>#N/A</v>
      </c>
      <c r="AY263" t="e">
        <f>IF(OR($J263=0,COUNTIFS($A$4:$A262,"&gt;="&amp;$A263-1,$A$4:$A262,"&lt;="&amp;$A263,$B$4:$B262,$B263)&gt;0,MIN(AY$1,IF($A263=$A262,AY262,1))-AD263&lt;0),-1,MIN(1,IF($A263=$A262,AY262,1)-AD263+$D$3))</f>
        <v>#N/A</v>
      </c>
      <c r="AZ263" t="e">
        <f>IF(OR($J263=0,COUNTIFS($A$4:$A262,"&gt;="&amp;$A263-1,$A$4:$A262,"&lt;="&amp;$A263,$B$4:$B262,$B263)&gt;0,MIN(AZ$1,IF($A263=$A262,AZ262,1))-AE263&lt;0),-1,MIN(1,IF($A263=$A262,AZ262,1)-AE263+$D$3))</f>
        <v>#N/A</v>
      </c>
      <c r="BA263" t="e">
        <f>IF(OR($J263=0,COUNTIFS($A$4:$A262,"&gt;="&amp;$A263-1,$A$4:$A262,"&lt;="&amp;$A263,$B$4:$B262,$B263)&gt;0,MIN(BA$1,IF($A263=$A262,BA262,1))-AF263&lt;0),-1,MIN(1,IF($A263=$A262,BA262,1)-AF263+$D$3))</f>
        <v>#N/A</v>
      </c>
      <c r="BB263" t="e">
        <f>IF(OR($J263=0,COUNTIFS($A$4:$A262,"&gt;="&amp;$A263-1,$A$4:$A262,"&lt;="&amp;$A263,$B$4:$B262,$B263)&gt;0,MIN(BB$1,IF($A263=$A262,BB262,1))-AG263&lt;0),-1,MIN(1,IF($A263=$A262,BB262,1)-AG263+$D$3))</f>
        <v>#N/A</v>
      </c>
      <c r="BC263" t="e">
        <f>IF(OR($J263=0,COUNTIFS($A$4:$A262,"&gt;="&amp;$A263-1,$A$4:$A262,"&lt;="&amp;$A263,$B$4:$B262,$B263)&gt;0,MIN(BC$1,IF($A263=$A262,BC262,1))-AH263&lt;0),-1,MIN(1,IF($A263=$A262,BC262,1)-AH263+$D$3))</f>
        <v>#N/A</v>
      </c>
      <c r="BD263" t="e">
        <f>IF(OR($J263=0,COUNTIFS($A$4:$A262,"&gt;="&amp;$A263-1,$A$4:$A262,"&lt;="&amp;$A263,$B$4:$B262,$B263)&gt;0,MIN(BD$1,IF($A263=$A262,BD262,1))-AI263&lt;0),-1,MIN(1,IF($A263=$A262,BD262,1)-AI263+$D$3))</f>
        <v>#N/A</v>
      </c>
      <c r="BF263" s="44">
        <f t="shared" si="311"/>
        <v>3.6034596515917158E-6</v>
      </c>
      <c r="BG263" s="44">
        <f t="shared" si="312"/>
        <v>8.8619241120539137E-6</v>
      </c>
      <c r="BH263" s="44">
        <f t="shared" si="313"/>
        <v>9.0825400317327046E-6</v>
      </c>
      <c r="BI263" s="44">
        <f t="shared" si="314"/>
        <v>8.389745328528549E-6</v>
      </c>
      <c r="BJ263" s="44">
        <f t="shared" si="315"/>
        <v>8.6715982855594684E-6</v>
      </c>
      <c r="BK263" s="44">
        <f t="shared" si="316"/>
        <v>3.7239076238374567E-6</v>
      </c>
      <c r="BL263" s="44">
        <f t="shared" si="317"/>
        <v>2.0117134843800403E-6</v>
      </c>
      <c r="BM263" s="44">
        <f t="shared" si="318"/>
        <v>5.1175641863487567E-6</v>
      </c>
      <c r="BN263" s="44">
        <f t="shared" si="319"/>
        <v>5.3226655931179967E-6</v>
      </c>
      <c r="BO263" s="44">
        <f t="shared" si="320"/>
        <v>2.4944030689127135E-6</v>
      </c>
      <c r="BP263" s="44">
        <f t="shared" si="321"/>
        <v>8.3873747434236748E-6</v>
      </c>
      <c r="BQ263" s="44">
        <f t="shared" si="322"/>
        <v>2.2634052452778874E-6</v>
      </c>
      <c r="BR263" s="44">
        <f t="shared" si="323"/>
        <v>6.6866656841369689E-6</v>
      </c>
      <c r="BS263" s="44">
        <f t="shared" si="324"/>
        <v>3.6062075362699072E-6</v>
      </c>
      <c r="BT263" s="44">
        <f t="shared" si="325"/>
        <v>1.4270868799316376E-5</v>
      </c>
      <c r="BU263" s="44">
        <f t="shared" si="326"/>
        <v>1.3632973971895564E-5</v>
      </c>
      <c r="BV263" s="44">
        <f t="shared" si="327"/>
        <v>1.3092657165562105E-5</v>
      </c>
      <c r="BW263" s="44">
        <f t="shared" si="328"/>
        <v>8.5633182806639714E-6</v>
      </c>
      <c r="BX263" s="44">
        <f t="shared" si="329"/>
        <v>6.3264240422973237E-6</v>
      </c>
      <c r="BY263" s="44">
        <f t="shared" si="330"/>
        <v>5.4319621801910579E-6</v>
      </c>
      <c r="CA263" s="44" t="str">
        <f t="shared" si="331"/>
        <v/>
      </c>
      <c r="CB263" s="44" t="str">
        <f t="shared" si="332"/>
        <v/>
      </c>
      <c r="CC263" s="44" t="str">
        <f t="shared" si="333"/>
        <v/>
      </c>
      <c r="CD263" s="44" t="str">
        <f t="shared" si="334"/>
        <v/>
      </c>
      <c r="CE263" s="44" t="str">
        <f t="shared" si="335"/>
        <v/>
      </c>
      <c r="CF263" s="44" t="str">
        <f t="shared" si="336"/>
        <v/>
      </c>
      <c r="CG263" s="44" t="str">
        <f t="shared" si="337"/>
        <v/>
      </c>
      <c r="CH263" s="44" t="str">
        <f t="shared" si="338"/>
        <v/>
      </c>
      <c r="CI263" s="44" t="str">
        <f t="shared" si="339"/>
        <v/>
      </c>
      <c r="CJ263" s="44" t="str">
        <f t="shared" si="340"/>
        <v/>
      </c>
      <c r="CK263" s="44" t="str">
        <f t="shared" si="341"/>
        <v/>
      </c>
      <c r="CL263" s="44" t="str">
        <f t="shared" si="342"/>
        <v/>
      </c>
      <c r="CM263" s="44" t="str">
        <f t="shared" si="343"/>
        <v/>
      </c>
      <c r="CN263" s="44" t="str">
        <f t="shared" si="344"/>
        <v/>
      </c>
      <c r="CO263" s="44" t="str">
        <f t="shared" si="345"/>
        <v/>
      </c>
      <c r="CP263" s="44" t="str">
        <f t="shared" si="346"/>
        <v/>
      </c>
      <c r="CQ263" s="44" t="str">
        <f t="shared" si="347"/>
        <v/>
      </c>
      <c r="CR263" s="44" t="str">
        <f t="shared" si="348"/>
        <v/>
      </c>
      <c r="CS263" s="44" t="str">
        <f t="shared" si="349"/>
        <v/>
      </c>
      <c r="CT263" s="44" t="str">
        <f t="shared" si="350"/>
        <v/>
      </c>
      <c r="CV263" s="44">
        <f t="shared" si="351"/>
        <v>0</v>
      </c>
    </row>
    <row r="264" spans="1:100" x14ac:dyDescent="0.25">
      <c r="A264" s="41"/>
      <c r="B264" s="42"/>
      <c r="C264" s="43" t="str" cm="1">
        <f t="array" ref="C264">IF(B264="","",INDEX(UWS!$B$10:$B$41,B264))</f>
        <v/>
      </c>
      <c r="D264" s="40" t="str">
        <f t="shared" si="308"/>
        <v/>
      </c>
      <c r="E264" s="69" t="str">
        <f t="shared" si="309"/>
        <v/>
      </c>
      <c r="F264" s="48" cm="1">
        <f t="array" ref="F264">0.1+IFERROR(INDEX($F$5:$F263,SUMPRODUCT(MAX(ROW($C$5:$C263)*($C264=$C$5:$C263))-ROW($A$4)))*0.9^($A264-INDEX($A$5:A263,SUMPRODUCT(MAX(ROW($C$5:$C263)*($C264=$C$5:$C263))-ROW($A$4)))),0)</f>
        <v>19.900000000000013</v>
      </c>
      <c r="G264" s="55" t="e">
        <f>INDEX(UWS!$AB$10:$AB$41,MATCH(C264,UWS!$B$10:$B$41,0))</f>
        <v>#N/A</v>
      </c>
      <c r="H264" s="48" t="e">
        <f>INDEX(UWS!$C$10:$C$41,MATCH(C264,UWS!$B$10:$B$41,0))</f>
        <v>#N/A</v>
      </c>
      <c r="I264" s="27">
        <f t="shared" si="310"/>
        <v>5</v>
      </c>
      <c r="J264" s="27" t="e">
        <f>INDEX(UWS!$E$10:$E$41,MATCH(C264,UWS!$B$10:$B$41,0))</f>
        <v>#N/A</v>
      </c>
      <c r="L264" s="108" t="str" cm="1">
        <f t="array" ref="L264">IF(K264="","",INDEX(UWS!$B$10:$B$41,K264))</f>
        <v/>
      </c>
      <c r="N264" s="108" t="str" cm="1">
        <f t="array" ref="N264">IF(M264="","",INDEX(UWS!$B$10:$B$41,M264))</f>
        <v/>
      </c>
      <c r="P264">
        <f>IFERROR(INDEX(UWS!$G$10:$Z$41,MATCH($C264,UWS!$B$10:$B$41,0),MATCH(P$4,UWS!$G$3:$Z$3,0)),0)</f>
        <v>0</v>
      </c>
      <c r="Q264">
        <f>IFERROR(INDEX(UWS!$G$10:$Z$41,MATCH($C264,UWS!$B$10:$B$41,0),MATCH(Q$4,UWS!$G$3:$Z$3,0)),0)</f>
        <v>0</v>
      </c>
      <c r="R264">
        <f>IFERROR(INDEX(UWS!$G$10:$Z$41,MATCH($C264,UWS!$B$10:$B$41,0),MATCH(R$4,UWS!$G$3:$Z$3,0)),0)</f>
        <v>0</v>
      </c>
      <c r="S264">
        <f>IFERROR(INDEX(UWS!$G$10:$Z$41,MATCH($C264,UWS!$B$10:$B$41,0),MATCH(S$4,UWS!$G$3:$Z$3,0)),0)</f>
        <v>0</v>
      </c>
      <c r="T264">
        <f>IFERROR(INDEX(UWS!$G$10:$Z$41,MATCH($C264,UWS!$B$10:$B$41,0),MATCH(T$4,UWS!$G$3:$Z$3,0)),0)</f>
        <v>0</v>
      </c>
      <c r="U264">
        <f>IFERROR(INDEX(UWS!$G$10:$Z$41,MATCH($C264,UWS!$B$10:$B$41,0),MATCH(U$4,UWS!$G$3:$Z$3,0)),0)</f>
        <v>0</v>
      </c>
      <c r="V264">
        <f>IFERROR(INDEX(UWS!$G$10:$Z$41,MATCH($C264,UWS!$B$10:$B$41,0),MATCH(V$4,UWS!$G$3:$Z$3,0)),0)</f>
        <v>0</v>
      </c>
      <c r="W264">
        <f>IFERROR(INDEX(UWS!$G$10:$Z$41,MATCH($C264,UWS!$B$10:$B$41,0),MATCH(W$4,UWS!$G$3:$Z$3,0)),0)</f>
        <v>0</v>
      </c>
      <c r="X264">
        <f>IFERROR(INDEX(UWS!$G$10:$Z$41,MATCH($C264,UWS!$B$10:$B$41,0),MATCH(X$4,UWS!$G$3:$Z$3,0)),0)</f>
        <v>0</v>
      </c>
      <c r="Y264">
        <f>IFERROR(INDEX(UWS!$G$10:$Z$41,MATCH($C264,UWS!$B$10:$B$41,0),MATCH(Y$4,UWS!$G$3:$Z$3,0)),0)</f>
        <v>0</v>
      </c>
      <c r="Z264">
        <f>IFERROR(INDEX(UWS!$G$10:$Z$41,MATCH($C264,UWS!$B$10:$B$41,0),MATCH(Z$4,UWS!$G$3:$Z$3,0)),0)</f>
        <v>0</v>
      </c>
      <c r="AA264">
        <f>IFERROR(INDEX(UWS!$G$10:$Z$41,MATCH($C264,UWS!$B$10:$B$41,0),MATCH(AA$4,UWS!$G$3:$Z$3,0)),0)</f>
        <v>0</v>
      </c>
      <c r="AB264">
        <f>IFERROR(INDEX(UWS!$G$10:$Z$41,MATCH($C264,UWS!$B$10:$B$41,0),MATCH(AB$4,UWS!$G$3:$Z$3,0)),0)</f>
        <v>0</v>
      </c>
      <c r="AC264">
        <f>IFERROR(INDEX(UWS!$G$10:$Z$41,MATCH($C264,UWS!$B$10:$B$41,0),MATCH(AC$4,UWS!$G$3:$Z$3,0)),0)</f>
        <v>0</v>
      </c>
      <c r="AD264">
        <f>IFERROR(INDEX(UWS!$G$10:$Z$41,MATCH($C264,UWS!$B$10:$B$41,0),MATCH(AD$4,UWS!$G$3:$Z$3,0)),0)</f>
        <v>0</v>
      </c>
      <c r="AE264">
        <f>IFERROR(INDEX(UWS!$G$10:$Z$41,MATCH($C264,UWS!$B$10:$B$41,0),MATCH(AE$4,UWS!$G$3:$Z$3,0)),0)</f>
        <v>0</v>
      </c>
      <c r="AF264">
        <f>IFERROR(INDEX(UWS!$G$10:$Z$41,MATCH($C264,UWS!$B$10:$B$41,0),MATCH(AF$4,UWS!$G$3:$Z$3,0)),0)</f>
        <v>0</v>
      </c>
      <c r="AG264">
        <f>IFERROR(INDEX(UWS!$G$10:$Z$41,MATCH($C264,UWS!$B$10:$B$41,0),MATCH(AG$4,UWS!$G$3:$Z$3,0)),0)</f>
        <v>0</v>
      </c>
      <c r="AH264">
        <f>IFERROR(INDEX(UWS!$G$10:$Z$41,MATCH($C264,UWS!$B$10:$B$41,0),MATCH(AH$4,UWS!$G$3:$Z$3,0)),0)</f>
        <v>0</v>
      </c>
      <c r="AI264">
        <f>IFERROR(INDEX(UWS!$G$10:$Z$41,MATCH($C264,UWS!$B$10:$B$41,0),MATCH(AI$4,UWS!$G$3:$Z$3,0)),0)</f>
        <v>0</v>
      </c>
      <c r="AK264" t="e">
        <f>IF(OR($J264=0,COUNTIFS($A$4:$A263,"&gt;="&amp;$A264-1,$A$4:$A263,"&lt;="&amp;$A264,$B$4:$B263,$B264)&gt;0,MIN(AK$1,IF($A264=$A263,AK263,1))-P264&lt;0),-1,MIN(1,IF($A264=$A263,AK263,1)-P264+$D$3))</f>
        <v>#N/A</v>
      </c>
      <c r="AL264" t="e">
        <f>IF(OR($J264=0,COUNTIFS($A$4:$A263,"&gt;="&amp;$A264-1,$A$4:$A263,"&lt;="&amp;$A264,$B$4:$B263,$B264)&gt;0,MIN(AL$1,IF($A264=$A263,AL263,1))-Q264&lt;0),-1,MIN(1,IF($A264=$A263,AL263,1)-Q264+$D$3))</f>
        <v>#N/A</v>
      </c>
      <c r="AM264" t="e">
        <f>IF(OR($J264=0,COUNTIFS($A$4:$A263,"&gt;="&amp;$A264-1,$A$4:$A263,"&lt;="&amp;$A264,$B$4:$B263,$B264)&gt;0,MIN(AM$1,IF($A264=$A263,AM263,1))-R264&lt;0),-1,MIN(1,IF($A264=$A263,AM263,1)-R264+$D$3))</f>
        <v>#N/A</v>
      </c>
      <c r="AN264" t="e">
        <f>IF(OR($J264=0,COUNTIFS($A$4:$A263,"&gt;="&amp;$A264-1,$A$4:$A263,"&lt;="&amp;$A264,$B$4:$B263,$B264)&gt;0,MIN(AN$1,IF($A264=$A263,AN263,1))-S264&lt;0),-1,MIN(1,IF($A264=$A263,AN263,1)-S264+$D$3))</f>
        <v>#N/A</v>
      </c>
      <c r="AO264" t="e">
        <f>IF(OR($J264=0,COUNTIFS($A$4:$A263,"&gt;="&amp;$A264-1,$A$4:$A263,"&lt;="&amp;$A264,$B$4:$B263,$B264)&gt;0,MIN(AO$1,IF($A264=$A263,AO263,1))-T264&lt;0),-1,MIN(1,IF($A264=$A263,AO263,1)-T264+$D$3))</f>
        <v>#N/A</v>
      </c>
      <c r="AP264" t="e">
        <f>IF(OR($J264=0,COUNTIFS($A$4:$A263,"&gt;="&amp;$A264-1,$A$4:$A263,"&lt;="&amp;$A264,$B$4:$B263,$B264)&gt;0,MIN(AP$1,IF($A264=$A263,AP263,1))-U264&lt;0),-1,MIN(1,IF($A264=$A263,AP263,1)-U264+$D$3))</f>
        <v>#N/A</v>
      </c>
      <c r="AQ264" t="e">
        <f>IF(OR($J264=0,COUNTIFS($A$4:$A263,"&gt;="&amp;$A264-1,$A$4:$A263,"&lt;="&amp;$A264,$B$4:$B263,$B264)&gt;0,MIN(AQ$1,IF($A264=$A263,AQ263,1))-V264&lt;0),-1,MIN(1,IF($A264=$A263,AQ263,1)-V264+$D$3))</f>
        <v>#N/A</v>
      </c>
      <c r="AR264" t="e">
        <f>IF(OR($J264=0,COUNTIFS($A$4:$A263,"&gt;="&amp;$A264-1,$A$4:$A263,"&lt;="&amp;$A264,$B$4:$B263,$B264)&gt;0,MIN(AR$1,IF($A264=$A263,AR263,1))-W264&lt;0),-1,MIN(1,IF($A264=$A263,AR263,1)-W264+$D$3))</f>
        <v>#N/A</v>
      </c>
      <c r="AS264" t="e">
        <f>IF(OR($J264=0,COUNTIFS($A$4:$A263,"&gt;="&amp;$A264-1,$A$4:$A263,"&lt;="&amp;$A264,$B$4:$B263,$B264)&gt;0,MIN(AS$1,IF($A264=$A263,AS263,1))-X264&lt;0),-1,MIN(1,IF($A264=$A263,AS263,1)-X264+$D$3))</f>
        <v>#N/A</v>
      </c>
      <c r="AT264" t="e">
        <f>IF(OR($J264=0,COUNTIFS($A$4:$A263,"&gt;="&amp;$A264-1,$A$4:$A263,"&lt;="&amp;$A264,$B$4:$B263,$B264)&gt;0,MIN(AT$1,IF($A264=$A263,AT263,1))-Y264&lt;0),-1,MIN(1,IF($A264=$A263,AT263,1)-Y264+$D$3))</f>
        <v>#N/A</v>
      </c>
      <c r="AU264" t="e">
        <f>IF(OR($J264=0,COUNTIFS($A$4:$A263,"&gt;="&amp;$A264-1,$A$4:$A263,"&lt;="&amp;$A264,$B$4:$B263,$B264)&gt;0,MIN(AU$1,IF($A264=$A263,AU263,1))-Z264&lt;0),-1,MIN(1,IF($A264=$A263,AU263,1)-Z264+$D$3))</f>
        <v>#N/A</v>
      </c>
      <c r="AV264" t="e">
        <f>IF(OR($J264=0,COUNTIFS($A$4:$A263,"&gt;="&amp;$A264-1,$A$4:$A263,"&lt;="&amp;$A264,$B$4:$B263,$B264)&gt;0,MIN(AV$1,IF($A264=$A263,AV263,1))-AA264&lt;0),-1,MIN(1,IF($A264=$A263,AV263,1)-AA264+$D$3))</f>
        <v>#N/A</v>
      </c>
      <c r="AW264" t="e">
        <f>IF(OR($J264=0,COUNTIFS($A$4:$A263,"&gt;="&amp;$A264-1,$A$4:$A263,"&lt;="&amp;$A264,$B$4:$B263,$B264)&gt;0,MIN(AW$1,IF($A264=$A263,AW263,1))-AB264&lt;0),-1,MIN(1,IF($A264=$A263,AW263,1)-AB264+$D$3))</f>
        <v>#N/A</v>
      </c>
      <c r="AX264" t="e">
        <f>IF(OR($J264=0,COUNTIFS($A$4:$A263,"&gt;="&amp;$A264-1,$A$4:$A263,"&lt;="&amp;$A264,$B$4:$B263,$B264)&gt;0,MIN(AX$1,IF($A264=$A263,AX263,1))-AC264&lt;0),-1,MIN(1,IF($A264=$A263,AX263,1)-AC264+$D$3))</f>
        <v>#N/A</v>
      </c>
      <c r="AY264" t="e">
        <f>IF(OR($J264=0,COUNTIFS($A$4:$A263,"&gt;="&amp;$A264-1,$A$4:$A263,"&lt;="&amp;$A264,$B$4:$B263,$B264)&gt;0,MIN(AY$1,IF($A264=$A263,AY263,1))-AD264&lt;0),-1,MIN(1,IF($A264=$A263,AY263,1)-AD264+$D$3))</f>
        <v>#N/A</v>
      </c>
      <c r="AZ264" t="e">
        <f>IF(OR($J264=0,COUNTIFS($A$4:$A263,"&gt;="&amp;$A264-1,$A$4:$A263,"&lt;="&amp;$A264,$B$4:$B263,$B264)&gt;0,MIN(AZ$1,IF($A264=$A263,AZ263,1))-AE264&lt;0),-1,MIN(1,IF($A264=$A263,AZ263,1)-AE264+$D$3))</f>
        <v>#N/A</v>
      </c>
      <c r="BA264" t="e">
        <f>IF(OR($J264=0,COUNTIFS($A$4:$A263,"&gt;="&amp;$A264-1,$A$4:$A263,"&lt;="&amp;$A264,$B$4:$B263,$B264)&gt;0,MIN(BA$1,IF($A264=$A263,BA263,1))-AF264&lt;0),-1,MIN(1,IF($A264=$A263,BA263,1)-AF264+$D$3))</f>
        <v>#N/A</v>
      </c>
      <c r="BB264" t="e">
        <f>IF(OR($J264=0,COUNTIFS($A$4:$A263,"&gt;="&amp;$A264-1,$A$4:$A263,"&lt;="&amp;$A264,$B$4:$B263,$B264)&gt;0,MIN(BB$1,IF($A264=$A263,BB263,1))-AG264&lt;0),-1,MIN(1,IF($A264=$A263,BB263,1)-AG264+$D$3))</f>
        <v>#N/A</v>
      </c>
      <c r="BC264" t="e">
        <f>IF(OR($J264=0,COUNTIFS($A$4:$A263,"&gt;="&amp;$A264-1,$A$4:$A263,"&lt;="&amp;$A264,$B$4:$B263,$B264)&gt;0,MIN(BC$1,IF($A264=$A263,BC263,1))-AH264&lt;0),-1,MIN(1,IF($A264=$A263,BC263,1)-AH264+$D$3))</f>
        <v>#N/A</v>
      </c>
      <c r="BD264" t="e">
        <f>IF(OR($J264=0,COUNTIFS($A$4:$A263,"&gt;="&amp;$A264-1,$A$4:$A263,"&lt;="&amp;$A264,$B$4:$B263,$B264)&gt;0,MIN(BD$1,IF($A264=$A263,BD263,1))-AI264&lt;0),-1,MIN(1,IF($A264=$A263,BD263,1)-AI264+$D$3))</f>
        <v>#N/A</v>
      </c>
      <c r="BF264" s="44">
        <f t="shared" si="311"/>
        <v>3.4232866690121297E-6</v>
      </c>
      <c r="BG264" s="44">
        <f t="shared" si="312"/>
        <v>8.4188279064512178E-6</v>
      </c>
      <c r="BH264" s="44">
        <f t="shared" si="313"/>
        <v>8.6284130301460694E-6</v>
      </c>
      <c r="BI264" s="44">
        <f t="shared" si="314"/>
        <v>7.970258062102122E-6</v>
      </c>
      <c r="BJ264" s="44">
        <f t="shared" si="315"/>
        <v>8.238018371281494E-6</v>
      </c>
      <c r="BK264" s="44">
        <f t="shared" si="316"/>
        <v>3.5377122426455837E-6</v>
      </c>
      <c r="BL264" s="44">
        <f t="shared" si="317"/>
        <v>1.9111278101610384E-6</v>
      </c>
      <c r="BM264" s="44">
        <f t="shared" si="318"/>
        <v>4.8616859770313189E-6</v>
      </c>
      <c r="BN264" s="44">
        <f t="shared" si="319"/>
        <v>5.0565323134620967E-6</v>
      </c>
      <c r="BO264" s="44">
        <f t="shared" si="320"/>
        <v>2.3696829154670776E-6</v>
      </c>
      <c r="BP264" s="44">
        <f t="shared" si="321"/>
        <v>7.968006006252491E-6</v>
      </c>
      <c r="BQ264" s="44">
        <f t="shared" si="322"/>
        <v>2.1502349830139931E-6</v>
      </c>
      <c r="BR264" s="44">
        <f t="shared" si="323"/>
        <v>6.3523323999301206E-6</v>
      </c>
      <c r="BS264" s="44">
        <f t="shared" si="324"/>
        <v>3.4258971594564115E-6</v>
      </c>
      <c r="BT264" s="44">
        <f t="shared" si="325"/>
        <v>1.3557325359350556E-5</v>
      </c>
      <c r="BU264" s="44">
        <f t="shared" si="326"/>
        <v>1.2951325273300785E-5</v>
      </c>
      <c r="BV264" s="44">
        <f t="shared" si="327"/>
        <v>1.2438024307283999E-5</v>
      </c>
      <c r="BW264" s="44">
        <f t="shared" si="328"/>
        <v>8.1351523666307726E-6</v>
      </c>
      <c r="BX264" s="44">
        <f t="shared" si="329"/>
        <v>6.0101028401824572E-6</v>
      </c>
      <c r="BY264" s="44">
        <f t="shared" si="330"/>
        <v>5.1603640711815052E-6</v>
      </c>
      <c r="CA264" s="44" t="str">
        <f t="shared" si="331"/>
        <v/>
      </c>
      <c r="CB264" s="44" t="str">
        <f t="shared" si="332"/>
        <v/>
      </c>
      <c r="CC264" s="44" t="str">
        <f t="shared" si="333"/>
        <v/>
      </c>
      <c r="CD264" s="44" t="str">
        <f t="shared" si="334"/>
        <v/>
      </c>
      <c r="CE264" s="44" t="str">
        <f t="shared" si="335"/>
        <v/>
      </c>
      <c r="CF264" s="44" t="str">
        <f t="shared" si="336"/>
        <v/>
      </c>
      <c r="CG264" s="44" t="str">
        <f t="shared" si="337"/>
        <v/>
      </c>
      <c r="CH264" s="44" t="str">
        <f t="shared" si="338"/>
        <v/>
      </c>
      <c r="CI264" s="44" t="str">
        <f t="shared" si="339"/>
        <v/>
      </c>
      <c r="CJ264" s="44" t="str">
        <f t="shared" si="340"/>
        <v/>
      </c>
      <c r="CK264" s="44" t="str">
        <f t="shared" si="341"/>
        <v/>
      </c>
      <c r="CL264" s="44" t="str">
        <f t="shared" si="342"/>
        <v/>
      </c>
      <c r="CM264" s="44" t="str">
        <f t="shared" si="343"/>
        <v/>
      </c>
      <c r="CN264" s="44" t="str">
        <f t="shared" si="344"/>
        <v/>
      </c>
      <c r="CO264" s="44" t="str">
        <f t="shared" si="345"/>
        <v/>
      </c>
      <c r="CP264" s="44" t="str">
        <f t="shared" si="346"/>
        <v/>
      </c>
      <c r="CQ264" s="44" t="str">
        <f t="shared" si="347"/>
        <v/>
      </c>
      <c r="CR264" s="44" t="str">
        <f t="shared" si="348"/>
        <v/>
      </c>
      <c r="CS264" s="44" t="str">
        <f t="shared" si="349"/>
        <v/>
      </c>
      <c r="CT264" s="44" t="str">
        <f t="shared" si="350"/>
        <v/>
      </c>
      <c r="CV264" s="44">
        <f t="shared" si="351"/>
        <v>0</v>
      </c>
    </row>
    <row r="265" spans="1:100" x14ac:dyDescent="0.25">
      <c r="A265" s="49"/>
      <c r="B265" s="50"/>
      <c r="C265" s="51" t="str" cm="1">
        <f t="array" ref="C265">IF(B265="","",INDEX(UWS!$B$10:$B$41,B265))</f>
        <v/>
      </c>
      <c r="D265" s="45" t="str">
        <f t="shared" si="308"/>
        <v/>
      </c>
      <c r="E265" s="70" t="str">
        <f t="shared" si="309"/>
        <v/>
      </c>
      <c r="F265" s="52" cm="1">
        <f t="array" ref="F265">0.1+IFERROR(INDEX($F$5:$F264,SUMPRODUCT(MAX(ROW($C$5:$C264)*($C265=$C$5:$C264))-ROW($A$4)))*0.9^($A265-INDEX($A$5:A264,SUMPRODUCT(MAX(ROW($C$5:$C264)*($C265=$C$5:$C264))-ROW($A$4)))),0)</f>
        <v>20.000000000000014</v>
      </c>
      <c r="G265" s="56" t="e">
        <f>INDEX(UWS!$AB$10:$AB$41,MATCH(C265,UWS!$B$10:$B$41,0))</f>
        <v>#N/A</v>
      </c>
      <c r="H265" s="52" t="e">
        <f>INDEX(UWS!$C$10:$C$41,MATCH(C265,UWS!$B$10:$B$41,0))</f>
        <v>#N/A</v>
      </c>
      <c r="I265" s="46">
        <f t="shared" si="310"/>
        <v>5</v>
      </c>
      <c r="J265" s="46" t="e">
        <f>INDEX(UWS!$E$10:$E$41,MATCH(C265,UWS!$B$10:$B$41,0))</f>
        <v>#N/A</v>
      </c>
      <c r="K265" s="46"/>
      <c r="L265" s="109" t="str" cm="1">
        <f t="array" ref="L265">IF(K265="","",INDEX(UWS!$B$10:$B$41,K265))</f>
        <v/>
      </c>
      <c r="M265" s="46"/>
      <c r="N265" s="109" t="str" cm="1">
        <f t="array" ref="N265">IF(M265="","",INDEX(UWS!$B$10:$B$41,M265))</f>
        <v/>
      </c>
      <c r="O265" s="47"/>
      <c r="P265" s="47">
        <f>IFERROR(INDEX(UWS!$G$10:$Z$41,MATCH($C265,UWS!$B$10:$B$41,0),MATCH(P$4,UWS!$G$3:$Z$3,0)),0)</f>
        <v>0</v>
      </c>
      <c r="Q265" s="47">
        <f>IFERROR(INDEX(UWS!$G$10:$Z$41,MATCH($C265,UWS!$B$10:$B$41,0),MATCH(Q$4,UWS!$G$3:$Z$3,0)),0)</f>
        <v>0</v>
      </c>
      <c r="R265" s="47">
        <f>IFERROR(INDEX(UWS!$G$10:$Z$41,MATCH($C265,UWS!$B$10:$B$41,0),MATCH(R$4,UWS!$G$3:$Z$3,0)),0)</f>
        <v>0</v>
      </c>
      <c r="S265" s="47">
        <f>IFERROR(INDEX(UWS!$G$10:$Z$41,MATCH($C265,UWS!$B$10:$B$41,0),MATCH(S$4,UWS!$G$3:$Z$3,0)),0)</f>
        <v>0</v>
      </c>
      <c r="T265" s="47">
        <f>IFERROR(INDEX(UWS!$G$10:$Z$41,MATCH($C265,UWS!$B$10:$B$41,0),MATCH(T$4,UWS!$G$3:$Z$3,0)),0)</f>
        <v>0</v>
      </c>
      <c r="U265" s="47">
        <f>IFERROR(INDEX(UWS!$G$10:$Z$41,MATCH($C265,UWS!$B$10:$B$41,0),MATCH(U$4,UWS!$G$3:$Z$3,0)),0)</f>
        <v>0</v>
      </c>
      <c r="V265" s="47">
        <f>IFERROR(INDEX(UWS!$G$10:$Z$41,MATCH($C265,UWS!$B$10:$B$41,0),MATCH(V$4,UWS!$G$3:$Z$3,0)),0)</f>
        <v>0</v>
      </c>
      <c r="W265" s="47">
        <f>IFERROR(INDEX(UWS!$G$10:$Z$41,MATCH($C265,UWS!$B$10:$B$41,0),MATCH(W$4,UWS!$G$3:$Z$3,0)),0)</f>
        <v>0</v>
      </c>
      <c r="X265" s="47">
        <f>IFERROR(INDEX(UWS!$G$10:$Z$41,MATCH($C265,UWS!$B$10:$B$41,0),MATCH(X$4,UWS!$G$3:$Z$3,0)),0)</f>
        <v>0</v>
      </c>
      <c r="Y265" s="47">
        <f>IFERROR(INDEX(UWS!$G$10:$Z$41,MATCH($C265,UWS!$B$10:$B$41,0),MATCH(Y$4,UWS!$G$3:$Z$3,0)),0)</f>
        <v>0</v>
      </c>
      <c r="Z265" s="47">
        <f>IFERROR(INDEX(UWS!$G$10:$Z$41,MATCH($C265,UWS!$B$10:$B$41,0),MATCH(Z$4,UWS!$G$3:$Z$3,0)),0)</f>
        <v>0</v>
      </c>
      <c r="AA265" s="47">
        <f>IFERROR(INDEX(UWS!$G$10:$Z$41,MATCH($C265,UWS!$B$10:$B$41,0),MATCH(AA$4,UWS!$G$3:$Z$3,0)),0)</f>
        <v>0</v>
      </c>
      <c r="AB265" s="47">
        <f>IFERROR(INDEX(UWS!$G$10:$Z$41,MATCH($C265,UWS!$B$10:$B$41,0),MATCH(AB$4,UWS!$G$3:$Z$3,0)),0)</f>
        <v>0</v>
      </c>
      <c r="AC265" s="47">
        <f>IFERROR(INDEX(UWS!$G$10:$Z$41,MATCH($C265,UWS!$B$10:$B$41,0),MATCH(AC$4,UWS!$G$3:$Z$3,0)),0)</f>
        <v>0</v>
      </c>
      <c r="AD265" s="47">
        <f>IFERROR(INDEX(UWS!$G$10:$Z$41,MATCH($C265,UWS!$B$10:$B$41,0),MATCH(AD$4,UWS!$G$3:$Z$3,0)),0)</f>
        <v>0</v>
      </c>
      <c r="AE265" s="47">
        <f>IFERROR(INDEX(UWS!$G$10:$Z$41,MATCH($C265,UWS!$B$10:$B$41,0),MATCH(AE$4,UWS!$G$3:$Z$3,0)),0)</f>
        <v>0</v>
      </c>
      <c r="AF265" s="47">
        <f>IFERROR(INDEX(UWS!$G$10:$Z$41,MATCH($C265,UWS!$B$10:$B$41,0),MATCH(AF$4,UWS!$G$3:$Z$3,0)),0)</f>
        <v>0</v>
      </c>
      <c r="AG265" s="47">
        <f>IFERROR(INDEX(UWS!$G$10:$Z$41,MATCH($C265,UWS!$B$10:$B$41,0),MATCH(AG$4,UWS!$G$3:$Z$3,0)),0)</f>
        <v>0</v>
      </c>
      <c r="AH265" s="47">
        <f>IFERROR(INDEX(UWS!$G$10:$Z$41,MATCH($C265,UWS!$B$10:$B$41,0),MATCH(AH$4,UWS!$G$3:$Z$3,0)),0)</f>
        <v>0</v>
      </c>
      <c r="AI265" s="47">
        <f>IFERROR(INDEX(UWS!$G$10:$Z$41,MATCH($C265,UWS!$B$10:$B$41,0),MATCH(AI$4,UWS!$G$3:$Z$3,0)),0)</f>
        <v>0</v>
      </c>
      <c r="AJ265" s="47"/>
      <c r="AK265" s="47" t="e">
        <f>IF(OR($J265=0,COUNTIFS($A$4:$A264,"&gt;="&amp;$A265-1,$A$4:$A264,"&lt;="&amp;$A265,$B$4:$B264,$B265)&gt;0,MIN(AK$1,IF($A265=$A264,AK264,1))-P265&lt;0),-1,MIN(1,IF($A265=$A264,AK264,1)-P265+$D$3))</f>
        <v>#N/A</v>
      </c>
      <c r="AL265" s="47" t="e">
        <f>IF(OR($J265=0,COUNTIFS($A$4:$A264,"&gt;="&amp;$A265-1,$A$4:$A264,"&lt;="&amp;$A265,$B$4:$B264,$B265)&gt;0,MIN(AL$1,IF($A265=$A264,AL264,1))-Q265&lt;0),-1,MIN(1,IF($A265=$A264,AL264,1)-Q265+$D$3))</f>
        <v>#N/A</v>
      </c>
      <c r="AM265" s="47" t="e">
        <f>IF(OR($J265=0,COUNTIFS($A$4:$A264,"&gt;="&amp;$A265-1,$A$4:$A264,"&lt;="&amp;$A265,$B$4:$B264,$B265)&gt;0,MIN(AM$1,IF($A265=$A264,AM264,1))-R265&lt;0),-1,MIN(1,IF($A265=$A264,AM264,1)-R265+$D$3))</f>
        <v>#N/A</v>
      </c>
      <c r="AN265" s="47" t="e">
        <f>IF(OR($J265=0,COUNTIFS($A$4:$A264,"&gt;="&amp;$A265-1,$A$4:$A264,"&lt;="&amp;$A265,$B$4:$B264,$B265)&gt;0,MIN(AN$1,IF($A265=$A264,AN264,1))-S265&lt;0),-1,MIN(1,IF($A265=$A264,AN264,1)-S265+$D$3))</f>
        <v>#N/A</v>
      </c>
      <c r="AO265" s="47" t="e">
        <f>IF(OR($J265=0,COUNTIFS($A$4:$A264,"&gt;="&amp;$A265-1,$A$4:$A264,"&lt;="&amp;$A265,$B$4:$B264,$B265)&gt;0,MIN(AO$1,IF($A265=$A264,AO264,1))-T265&lt;0),-1,MIN(1,IF($A265=$A264,AO264,1)-T265+$D$3))</f>
        <v>#N/A</v>
      </c>
      <c r="AP265" s="47" t="e">
        <f>IF(OR($J265=0,COUNTIFS($A$4:$A264,"&gt;="&amp;$A265-1,$A$4:$A264,"&lt;="&amp;$A265,$B$4:$B264,$B265)&gt;0,MIN(AP$1,IF($A265=$A264,AP264,1))-U265&lt;0),-1,MIN(1,IF($A265=$A264,AP264,1)-U265+$D$3))</f>
        <v>#N/A</v>
      </c>
      <c r="AQ265" s="47" t="e">
        <f>IF(OR($J265=0,COUNTIFS($A$4:$A264,"&gt;="&amp;$A265-1,$A$4:$A264,"&lt;="&amp;$A265,$B$4:$B264,$B265)&gt;0,MIN(AQ$1,IF($A265=$A264,AQ264,1))-V265&lt;0),-1,MIN(1,IF($A265=$A264,AQ264,1)-V265+$D$3))</f>
        <v>#N/A</v>
      </c>
      <c r="AR265" s="47" t="e">
        <f>IF(OR($J265=0,COUNTIFS($A$4:$A264,"&gt;="&amp;$A265-1,$A$4:$A264,"&lt;="&amp;$A265,$B$4:$B264,$B265)&gt;0,MIN(AR$1,IF($A265=$A264,AR264,1))-W265&lt;0),-1,MIN(1,IF($A265=$A264,AR264,1)-W265+$D$3))</f>
        <v>#N/A</v>
      </c>
      <c r="AS265" s="47" t="e">
        <f>IF(OR($J265=0,COUNTIFS($A$4:$A264,"&gt;="&amp;$A265-1,$A$4:$A264,"&lt;="&amp;$A265,$B$4:$B264,$B265)&gt;0,MIN(AS$1,IF($A265=$A264,AS264,1))-X265&lt;0),-1,MIN(1,IF($A265=$A264,AS264,1)-X265+$D$3))</f>
        <v>#N/A</v>
      </c>
      <c r="AT265" s="47" t="e">
        <f>IF(OR($J265=0,COUNTIFS($A$4:$A264,"&gt;="&amp;$A265-1,$A$4:$A264,"&lt;="&amp;$A265,$B$4:$B264,$B265)&gt;0,MIN(AT$1,IF($A265=$A264,AT264,1))-Y265&lt;0),-1,MIN(1,IF($A265=$A264,AT264,1)-Y265+$D$3))</f>
        <v>#N/A</v>
      </c>
      <c r="AU265" s="47" t="e">
        <f>IF(OR($J265=0,COUNTIFS($A$4:$A264,"&gt;="&amp;$A265-1,$A$4:$A264,"&lt;="&amp;$A265,$B$4:$B264,$B265)&gt;0,MIN(AU$1,IF($A265=$A264,AU264,1))-Z265&lt;0),-1,MIN(1,IF($A265=$A264,AU264,1)-Z265+$D$3))</f>
        <v>#N/A</v>
      </c>
      <c r="AV265" s="47" t="e">
        <f>IF(OR($J265=0,COUNTIFS($A$4:$A264,"&gt;="&amp;$A265-1,$A$4:$A264,"&lt;="&amp;$A265,$B$4:$B264,$B265)&gt;0,MIN(AV$1,IF($A265=$A264,AV264,1))-AA265&lt;0),-1,MIN(1,IF($A265=$A264,AV264,1)-AA265+$D$3))</f>
        <v>#N/A</v>
      </c>
      <c r="AW265" s="47" t="e">
        <f>IF(OR($J265=0,COUNTIFS($A$4:$A264,"&gt;="&amp;$A265-1,$A$4:$A264,"&lt;="&amp;$A265,$B$4:$B264,$B265)&gt;0,MIN(AW$1,IF($A265=$A264,AW264,1))-AB265&lt;0),-1,MIN(1,IF($A265=$A264,AW264,1)-AB265+$D$3))</f>
        <v>#N/A</v>
      </c>
      <c r="AX265" s="47" t="e">
        <f>IF(OR($J265=0,COUNTIFS($A$4:$A264,"&gt;="&amp;$A265-1,$A$4:$A264,"&lt;="&amp;$A265,$B$4:$B264,$B265)&gt;0,MIN(AX$1,IF($A265=$A264,AX264,1))-AC265&lt;0),-1,MIN(1,IF($A265=$A264,AX264,1)-AC265+$D$3))</f>
        <v>#N/A</v>
      </c>
      <c r="AY265" s="47" t="e">
        <f>IF(OR($J265=0,COUNTIFS($A$4:$A264,"&gt;="&amp;$A265-1,$A$4:$A264,"&lt;="&amp;$A265,$B$4:$B264,$B265)&gt;0,MIN(AY$1,IF($A265=$A264,AY264,1))-AD265&lt;0),-1,MIN(1,IF($A265=$A264,AY264,1)-AD265+$D$3))</f>
        <v>#N/A</v>
      </c>
      <c r="AZ265" s="47" t="e">
        <f>IF(OR($J265=0,COUNTIFS($A$4:$A264,"&gt;="&amp;$A265-1,$A$4:$A264,"&lt;="&amp;$A265,$B$4:$B264,$B265)&gt;0,MIN(AZ$1,IF($A265=$A264,AZ264,1))-AE265&lt;0),-1,MIN(1,IF($A265=$A264,AZ264,1)-AE265+$D$3))</f>
        <v>#N/A</v>
      </c>
      <c r="BA265" s="47" t="e">
        <f>IF(OR($J265=0,COUNTIFS($A$4:$A264,"&gt;="&amp;$A265-1,$A$4:$A264,"&lt;="&amp;$A265,$B$4:$B264,$B265)&gt;0,MIN(BA$1,IF($A265=$A264,BA264,1))-AF265&lt;0),-1,MIN(1,IF($A265=$A264,BA264,1)-AF265+$D$3))</f>
        <v>#N/A</v>
      </c>
      <c r="BB265" s="47" t="e">
        <f>IF(OR($J265=0,COUNTIFS($A$4:$A264,"&gt;="&amp;$A265-1,$A$4:$A264,"&lt;="&amp;$A265,$B$4:$B264,$B265)&gt;0,MIN(BB$1,IF($A265=$A264,BB264,1))-AG265&lt;0),-1,MIN(1,IF($A265=$A264,BB264,1)-AG265+$D$3))</f>
        <v>#N/A</v>
      </c>
      <c r="BC265" s="47" t="e">
        <f>IF(OR($J265=0,COUNTIFS($A$4:$A264,"&gt;="&amp;$A265-1,$A$4:$A264,"&lt;="&amp;$A265,$B$4:$B264,$B265)&gt;0,MIN(BC$1,IF($A265=$A264,BC264,1))-AH265&lt;0),-1,MIN(1,IF($A265=$A264,BC264,1)-AH265+$D$3))</f>
        <v>#N/A</v>
      </c>
      <c r="BD265" s="47" t="e">
        <f>IF(OR($J265=0,COUNTIFS($A$4:$A264,"&gt;="&amp;$A265-1,$A$4:$A264,"&lt;="&amp;$A265,$B$4:$B264,$B265)&gt;0,MIN(BD$1,IF($A265=$A264,BD264,1))-AI265&lt;0),-1,MIN(1,IF($A265=$A264,BD264,1)-AI265+$D$3))</f>
        <v>#N/A</v>
      </c>
      <c r="BE265" s="47"/>
      <c r="BF265" s="53">
        <f t="shared" si="311"/>
        <v>3.2521223355615231E-6</v>
      </c>
      <c r="BG265" s="53">
        <f t="shared" si="312"/>
        <v>7.9978865111286558E-6</v>
      </c>
      <c r="BH265" s="53">
        <f t="shared" si="313"/>
        <v>8.196992378638765E-6</v>
      </c>
      <c r="BI265" s="53">
        <f t="shared" si="314"/>
        <v>7.5717451589970158E-6</v>
      </c>
      <c r="BJ265" s="53">
        <f t="shared" si="315"/>
        <v>7.8261174527174188E-6</v>
      </c>
      <c r="BK265" s="53">
        <f t="shared" si="316"/>
        <v>3.3608266305133044E-6</v>
      </c>
      <c r="BL265" s="53">
        <f t="shared" si="317"/>
        <v>1.8155714196529864E-6</v>
      </c>
      <c r="BM265" s="53">
        <f t="shared" si="318"/>
        <v>4.6186016781797527E-6</v>
      </c>
      <c r="BN265" s="53">
        <f t="shared" si="319"/>
        <v>4.8037056977889918E-6</v>
      </c>
      <c r="BO265" s="53">
        <f t="shared" si="320"/>
        <v>2.2511987696937236E-6</v>
      </c>
      <c r="BP265" s="53">
        <f t="shared" si="321"/>
        <v>7.5696057059398662E-6</v>
      </c>
      <c r="BQ265" s="53">
        <f t="shared" si="322"/>
        <v>2.0427232338632933E-6</v>
      </c>
      <c r="BR265" s="53">
        <f t="shared" si="323"/>
        <v>6.0347157799336139E-6</v>
      </c>
      <c r="BS265" s="53">
        <f t="shared" si="324"/>
        <v>3.2546023014835909E-6</v>
      </c>
      <c r="BT265" s="53">
        <f t="shared" si="325"/>
        <v>1.2879459091383027E-5</v>
      </c>
      <c r="BU265" s="53">
        <f t="shared" si="326"/>
        <v>1.2303759009635745E-5</v>
      </c>
      <c r="BV265" s="53">
        <f t="shared" si="327"/>
        <v>1.1816123091919798E-5</v>
      </c>
      <c r="BW265" s="53">
        <f t="shared" si="328"/>
        <v>7.7283947482992334E-6</v>
      </c>
      <c r="BX265" s="53">
        <f t="shared" si="329"/>
        <v>5.7095976981733337E-6</v>
      </c>
      <c r="BY265" s="53">
        <f t="shared" si="330"/>
        <v>4.9023458676224296E-6</v>
      </c>
      <c r="BZ265" s="47"/>
      <c r="CA265" s="53" t="str">
        <f t="shared" si="331"/>
        <v/>
      </c>
      <c r="CB265" s="53" t="str">
        <f t="shared" si="332"/>
        <v/>
      </c>
      <c r="CC265" s="53" t="str">
        <f t="shared" si="333"/>
        <v/>
      </c>
      <c r="CD265" s="53" t="str">
        <f t="shared" si="334"/>
        <v/>
      </c>
      <c r="CE265" s="53" t="str">
        <f t="shared" si="335"/>
        <v/>
      </c>
      <c r="CF265" s="53" t="str">
        <f t="shared" si="336"/>
        <v/>
      </c>
      <c r="CG265" s="53" t="str">
        <f t="shared" si="337"/>
        <v/>
      </c>
      <c r="CH265" s="53" t="str">
        <f t="shared" si="338"/>
        <v/>
      </c>
      <c r="CI265" s="53" t="str">
        <f t="shared" si="339"/>
        <v/>
      </c>
      <c r="CJ265" s="53" t="str">
        <f t="shared" si="340"/>
        <v/>
      </c>
      <c r="CK265" s="53" t="str">
        <f t="shared" si="341"/>
        <v/>
      </c>
      <c r="CL265" s="53" t="str">
        <f t="shared" si="342"/>
        <v/>
      </c>
      <c r="CM265" s="53" t="str">
        <f t="shared" si="343"/>
        <v/>
      </c>
      <c r="CN265" s="53" t="str">
        <f t="shared" si="344"/>
        <v/>
      </c>
      <c r="CO265" s="53" t="str">
        <f t="shared" si="345"/>
        <v/>
      </c>
      <c r="CP265" s="53" t="str">
        <f t="shared" si="346"/>
        <v/>
      </c>
      <c r="CQ265" s="53" t="str">
        <f t="shared" si="347"/>
        <v/>
      </c>
      <c r="CR265" s="53" t="str">
        <f t="shared" si="348"/>
        <v/>
      </c>
      <c r="CS265" s="53" t="str">
        <f t="shared" si="349"/>
        <v/>
      </c>
      <c r="CT265" s="53" t="str">
        <f t="shared" si="350"/>
        <v/>
      </c>
      <c r="CU265" s="47"/>
      <c r="CV265" s="53">
        <f t="shared" si="351"/>
        <v>0</v>
      </c>
    </row>
    <row r="266" spans="1:100" x14ac:dyDescent="0.25">
      <c r="A266" s="41"/>
      <c r="B266" s="42"/>
      <c r="C266" s="43" t="str" cm="1">
        <f t="array" ref="C266">IF(B266="","",INDEX(UWS!$B$10:$B$41,B266))</f>
        <v/>
      </c>
      <c r="D266" s="40" t="str">
        <f t="shared" si="308"/>
        <v/>
      </c>
      <c r="E266" s="69" t="str">
        <f t="shared" si="309"/>
        <v/>
      </c>
      <c r="F266" s="48" cm="1">
        <f t="array" ref="F266">0.1+IFERROR(INDEX($F$5:$F265,SUMPRODUCT(MAX(ROW($C$5:$C265)*($C266=$C$5:$C265))-ROW($A$4)))*0.9^($A266-INDEX($A$5:A265,SUMPRODUCT(MAX(ROW($C$5:$C265)*($C266=$C$5:$C265))-ROW($A$4)))),0)</f>
        <v>20.100000000000016</v>
      </c>
      <c r="G266" s="55" t="e">
        <f>INDEX(UWS!$AB$10:$AB$41,MATCH(C266,UWS!$B$10:$B$41,0))</f>
        <v>#N/A</v>
      </c>
      <c r="H266" s="48" t="e">
        <f>INDEX(UWS!$C$10:$C$41,MATCH(C266,UWS!$B$10:$B$41,0))</f>
        <v>#N/A</v>
      </c>
      <c r="I266" s="82">
        <f t="shared" si="310"/>
        <v>5</v>
      </c>
      <c r="J266" s="27" t="e">
        <f>INDEX(UWS!$E$10:$E$41,MATCH(C266,UWS!$B$10:$B$41,0))</f>
        <v>#N/A</v>
      </c>
      <c r="L266" s="108" t="str" cm="1">
        <f t="array" ref="L266">IF(K266="","",INDEX(UWS!$B$10:$B$41,K266))</f>
        <v/>
      </c>
      <c r="N266" s="108" t="str" cm="1">
        <f t="array" ref="N266">IF(M266="","",INDEX(UWS!$B$10:$B$41,M266))</f>
        <v/>
      </c>
      <c r="P266">
        <f>IFERROR(INDEX(UWS!$G$10:$Z$41,MATCH($C266,UWS!$B$10:$B$41,0),MATCH(P$4,UWS!$G$3:$Z$3,0)),0)</f>
        <v>0</v>
      </c>
      <c r="Q266">
        <f>IFERROR(INDEX(UWS!$G$10:$Z$41,MATCH($C266,UWS!$B$10:$B$41,0),MATCH(Q$4,UWS!$G$3:$Z$3,0)),0)</f>
        <v>0</v>
      </c>
      <c r="R266">
        <f>IFERROR(INDEX(UWS!$G$10:$Z$41,MATCH($C266,UWS!$B$10:$B$41,0),MATCH(R$4,UWS!$G$3:$Z$3,0)),0)</f>
        <v>0</v>
      </c>
      <c r="S266">
        <f>IFERROR(INDEX(UWS!$G$10:$Z$41,MATCH($C266,UWS!$B$10:$B$41,0),MATCH(S$4,UWS!$G$3:$Z$3,0)),0)</f>
        <v>0</v>
      </c>
      <c r="T266">
        <f>IFERROR(INDEX(UWS!$G$10:$Z$41,MATCH($C266,UWS!$B$10:$B$41,0),MATCH(T$4,UWS!$G$3:$Z$3,0)),0)</f>
        <v>0</v>
      </c>
      <c r="U266">
        <f>IFERROR(INDEX(UWS!$G$10:$Z$41,MATCH($C266,UWS!$B$10:$B$41,0),MATCH(U$4,UWS!$G$3:$Z$3,0)),0)</f>
        <v>0</v>
      </c>
      <c r="V266">
        <f>IFERROR(INDEX(UWS!$G$10:$Z$41,MATCH($C266,UWS!$B$10:$B$41,0),MATCH(V$4,UWS!$G$3:$Z$3,0)),0)</f>
        <v>0</v>
      </c>
      <c r="W266">
        <f>IFERROR(INDEX(UWS!$G$10:$Z$41,MATCH($C266,UWS!$B$10:$B$41,0),MATCH(W$4,UWS!$G$3:$Z$3,0)),0)</f>
        <v>0</v>
      </c>
      <c r="X266">
        <f>IFERROR(INDEX(UWS!$G$10:$Z$41,MATCH($C266,UWS!$B$10:$B$41,0),MATCH(X$4,UWS!$G$3:$Z$3,0)),0)</f>
        <v>0</v>
      </c>
      <c r="Y266">
        <f>IFERROR(INDEX(UWS!$G$10:$Z$41,MATCH($C266,UWS!$B$10:$B$41,0),MATCH(Y$4,UWS!$G$3:$Z$3,0)),0)</f>
        <v>0</v>
      </c>
      <c r="Z266">
        <f>IFERROR(INDEX(UWS!$G$10:$Z$41,MATCH($C266,UWS!$B$10:$B$41,0),MATCH(Z$4,UWS!$G$3:$Z$3,0)),0)</f>
        <v>0</v>
      </c>
      <c r="AA266">
        <f>IFERROR(INDEX(UWS!$G$10:$Z$41,MATCH($C266,UWS!$B$10:$B$41,0),MATCH(AA$4,UWS!$G$3:$Z$3,0)),0)</f>
        <v>0</v>
      </c>
      <c r="AB266">
        <f>IFERROR(INDEX(UWS!$G$10:$Z$41,MATCH($C266,UWS!$B$10:$B$41,0),MATCH(AB$4,UWS!$G$3:$Z$3,0)),0)</f>
        <v>0</v>
      </c>
      <c r="AC266">
        <f>IFERROR(INDEX(UWS!$G$10:$Z$41,MATCH($C266,UWS!$B$10:$B$41,0),MATCH(AC$4,UWS!$G$3:$Z$3,0)),0)</f>
        <v>0</v>
      </c>
      <c r="AD266">
        <f>IFERROR(INDEX(UWS!$G$10:$Z$41,MATCH($C266,UWS!$B$10:$B$41,0),MATCH(AD$4,UWS!$G$3:$Z$3,0)),0)</f>
        <v>0</v>
      </c>
      <c r="AE266">
        <f>IFERROR(INDEX(UWS!$G$10:$Z$41,MATCH($C266,UWS!$B$10:$B$41,0),MATCH(AE$4,UWS!$G$3:$Z$3,0)),0)</f>
        <v>0</v>
      </c>
      <c r="AF266">
        <f>IFERROR(INDEX(UWS!$G$10:$Z$41,MATCH($C266,UWS!$B$10:$B$41,0),MATCH(AF$4,UWS!$G$3:$Z$3,0)),0)</f>
        <v>0</v>
      </c>
      <c r="AG266">
        <f>IFERROR(INDEX(UWS!$G$10:$Z$41,MATCH($C266,UWS!$B$10:$B$41,0),MATCH(AG$4,UWS!$G$3:$Z$3,0)),0)</f>
        <v>0</v>
      </c>
      <c r="AH266">
        <f>IFERROR(INDEX(UWS!$G$10:$Z$41,MATCH($C266,UWS!$B$10:$B$41,0),MATCH(AH$4,UWS!$G$3:$Z$3,0)),0)</f>
        <v>0</v>
      </c>
      <c r="AI266">
        <f>IFERROR(INDEX(UWS!$G$10:$Z$41,MATCH($C266,UWS!$B$10:$B$41,0),MATCH(AI$4,UWS!$G$3:$Z$3,0)),0)</f>
        <v>0</v>
      </c>
      <c r="AK266" t="e">
        <f>IF(OR($J266=0,COUNTIFS($A$4:$A265,"&gt;="&amp;$A266-1,$A$4:$A265,"&lt;="&amp;$A266,$B$4:$B265,$B266)&gt;0,MIN(AK$1,IF($A266=$A265,AK265,1))-P266&lt;0),-1,MIN(1,IF($A266=$A265,AK265,1)-P266+$D$3))</f>
        <v>#N/A</v>
      </c>
      <c r="AL266" t="e">
        <f>IF(OR($J266=0,COUNTIFS($A$4:$A265,"&gt;="&amp;$A266-1,$A$4:$A265,"&lt;="&amp;$A266,$B$4:$B265,$B266)&gt;0,MIN(AL$1,IF($A266=$A265,AL265,1))-Q266&lt;0),-1,MIN(1,IF($A266=$A265,AL265,1)-Q266+$D$3))</f>
        <v>#N/A</v>
      </c>
      <c r="AM266" t="e">
        <f>IF(OR($J266=0,COUNTIFS($A$4:$A265,"&gt;="&amp;$A266-1,$A$4:$A265,"&lt;="&amp;$A266,$B$4:$B265,$B266)&gt;0,MIN(AM$1,IF($A266=$A265,AM265,1))-R266&lt;0),-1,MIN(1,IF($A266=$A265,AM265,1)-R266+$D$3))</f>
        <v>#N/A</v>
      </c>
      <c r="AN266" t="e">
        <f>IF(OR($J266=0,COUNTIFS($A$4:$A265,"&gt;="&amp;$A266-1,$A$4:$A265,"&lt;="&amp;$A266,$B$4:$B265,$B266)&gt;0,MIN(AN$1,IF($A266=$A265,AN265,1))-S266&lt;0),-1,MIN(1,IF($A266=$A265,AN265,1)-S266+$D$3))</f>
        <v>#N/A</v>
      </c>
      <c r="AO266" t="e">
        <f>IF(OR($J266=0,COUNTIFS($A$4:$A265,"&gt;="&amp;$A266-1,$A$4:$A265,"&lt;="&amp;$A266,$B$4:$B265,$B266)&gt;0,MIN(AO$1,IF($A266=$A265,AO265,1))-T266&lt;0),-1,MIN(1,IF($A266=$A265,AO265,1)-T266+$D$3))</f>
        <v>#N/A</v>
      </c>
      <c r="AP266" t="e">
        <f>IF(OR($J266=0,COUNTIFS($A$4:$A265,"&gt;="&amp;$A266-1,$A$4:$A265,"&lt;="&amp;$A266,$B$4:$B265,$B266)&gt;0,MIN(AP$1,IF($A266=$A265,AP265,1))-U266&lt;0),-1,MIN(1,IF($A266=$A265,AP265,1)-U266+$D$3))</f>
        <v>#N/A</v>
      </c>
      <c r="AQ266" t="e">
        <f>IF(OR($J266=0,COUNTIFS($A$4:$A265,"&gt;="&amp;$A266-1,$A$4:$A265,"&lt;="&amp;$A266,$B$4:$B265,$B266)&gt;0,MIN(AQ$1,IF($A266=$A265,AQ265,1))-V266&lt;0),-1,MIN(1,IF($A266=$A265,AQ265,1)-V266+$D$3))</f>
        <v>#N/A</v>
      </c>
      <c r="AR266" t="e">
        <f>IF(OR($J266=0,COUNTIFS($A$4:$A265,"&gt;="&amp;$A266-1,$A$4:$A265,"&lt;="&amp;$A266,$B$4:$B265,$B266)&gt;0,MIN(AR$1,IF($A266=$A265,AR265,1))-W266&lt;0),-1,MIN(1,IF($A266=$A265,AR265,1)-W266+$D$3))</f>
        <v>#N/A</v>
      </c>
      <c r="AS266" t="e">
        <f>IF(OR($J266=0,COUNTIFS($A$4:$A265,"&gt;="&amp;$A266-1,$A$4:$A265,"&lt;="&amp;$A266,$B$4:$B265,$B266)&gt;0,MIN(AS$1,IF($A266=$A265,AS265,1))-X266&lt;0),-1,MIN(1,IF($A266=$A265,AS265,1)-X266+$D$3))</f>
        <v>#N/A</v>
      </c>
      <c r="AT266" t="e">
        <f>IF(OR($J266=0,COUNTIFS($A$4:$A265,"&gt;="&amp;$A266-1,$A$4:$A265,"&lt;="&amp;$A266,$B$4:$B265,$B266)&gt;0,MIN(AT$1,IF($A266=$A265,AT265,1))-Y266&lt;0),-1,MIN(1,IF($A266=$A265,AT265,1)-Y266+$D$3))</f>
        <v>#N/A</v>
      </c>
      <c r="AU266" t="e">
        <f>IF(OR($J266=0,COUNTIFS($A$4:$A265,"&gt;="&amp;$A266-1,$A$4:$A265,"&lt;="&amp;$A266,$B$4:$B265,$B266)&gt;0,MIN(AU$1,IF($A266=$A265,AU265,1))-Z266&lt;0),-1,MIN(1,IF($A266=$A265,AU265,1)-Z266+$D$3))</f>
        <v>#N/A</v>
      </c>
      <c r="AV266" t="e">
        <f>IF(OR($J266=0,COUNTIFS($A$4:$A265,"&gt;="&amp;$A266-1,$A$4:$A265,"&lt;="&amp;$A266,$B$4:$B265,$B266)&gt;0,MIN(AV$1,IF($A266=$A265,AV265,1))-AA266&lt;0),-1,MIN(1,IF($A266=$A265,AV265,1)-AA266+$D$3))</f>
        <v>#N/A</v>
      </c>
      <c r="AW266" t="e">
        <f>IF(OR($J266=0,COUNTIFS($A$4:$A265,"&gt;="&amp;$A266-1,$A$4:$A265,"&lt;="&amp;$A266,$B$4:$B265,$B266)&gt;0,MIN(AW$1,IF($A266=$A265,AW265,1))-AB266&lt;0),-1,MIN(1,IF($A266=$A265,AW265,1)-AB266+$D$3))</f>
        <v>#N/A</v>
      </c>
      <c r="AX266" t="e">
        <f>IF(OR($J266=0,COUNTIFS($A$4:$A265,"&gt;="&amp;$A266-1,$A$4:$A265,"&lt;="&amp;$A266,$B$4:$B265,$B266)&gt;0,MIN(AX$1,IF($A266=$A265,AX265,1))-AC266&lt;0),-1,MIN(1,IF($A266=$A265,AX265,1)-AC266+$D$3))</f>
        <v>#N/A</v>
      </c>
      <c r="AY266" t="e">
        <f>IF(OR($J266=0,COUNTIFS($A$4:$A265,"&gt;="&amp;$A266-1,$A$4:$A265,"&lt;="&amp;$A266,$B$4:$B265,$B266)&gt;0,MIN(AY$1,IF($A266=$A265,AY265,1))-AD266&lt;0),-1,MIN(1,IF($A266=$A265,AY265,1)-AD266+$D$3))</f>
        <v>#N/A</v>
      </c>
      <c r="AZ266" t="e">
        <f>IF(OR($J266=0,COUNTIFS($A$4:$A265,"&gt;="&amp;$A266-1,$A$4:$A265,"&lt;="&amp;$A266,$B$4:$B265,$B266)&gt;0,MIN(AZ$1,IF($A266=$A265,AZ265,1))-AE266&lt;0),-1,MIN(1,IF($A266=$A265,AZ265,1)-AE266+$D$3))</f>
        <v>#N/A</v>
      </c>
      <c r="BA266" t="e">
        <f>IF(OR($J266=0,COUNTIFS($A$4:$A265,"&gt;="&amp;$A266-1,$A$4:$A265,"&lt;="&amp;$A266,$B$4:$B265,$B266)&gt;0,MIN(BA$1,IF($A266=$A265,BA265,1))-AF266&lt;0),-1,MIN(1,IF($A266=$A265,BA265,1)-AF266+$D$3))</f>
        <v>#N/A</v>
      </c>
      <c r="BB266" t="e">
        <f>IF(OR($J266=0,COUNTIFS($A$4:$A265,"&gt;="&amp;$A266-1,$A$4:$A265,"&lt;="&amp;$A266,$B$4:$B265,$B266)&gt;0,MIN(BB$1,IF($A266=$A265,BB265,1))-AG266&lt;0),-1,MIN(1,IF($A266=$A265,BB265,1)-AG266+$D$3))</f>
        <v>#N/A</v>
      </c>
      <c r="BC266" t="e">
        <f>IF(OR($J266=0,COUNTIFS($A$4:$A265,"&gt;="&amp;$A266-1,$A$4:$A265,"&lt;="&amp;$A266,$B$4:$B265,$B266)&gt;0,MIN(BC$1,IF($A266=$A265,BC265,1))-AH266&lt;0),-1,MIN(1,IF($A266=$A265,BC265,1)-AH266+$D$3))</f>
        <v>#N/A</v>
      </c>
      <c r="BD266" t="e">
        <f>IF(OR($J266=0,COUNTIFS($A$4:$A265,"&gt;="&amp;$A266-1,$A$4:$A265,"&lt;="&amp;$A266,$B$4:$B265,$B266)&gt;0,MIN(BD$1,IF($A266=$A265,BD265,1))-AI266&lt;0),-1,MIN(1,IF($A266=$A265,BD265,1)-AI266+$D$3))</f>
        <v>#N/A</v>
      </c>
      <c r="BF266" s="44">
        <f t="shared" si="311"/>
        <v>3.089516218783447E-6</v>
      </c>
      <c r="BG266" s="44">
        <f t="shared" si="312"/>
        <v>7.5979921855722223E-6</v>
      </c>
      <c r="BH266" s="44">
        <f t="shared" si="313"/>
        <v>7.7871427597068271E-6</v>
      </c>
      <c r="BI266" s="44">
        <f t="shared" si="314"/>
        <v>7.193157901047165E-6</v>
      </c>
      <c r="BJ266" s="44">
        <f t="shared" si="315"/>
        <v>7.4348115800815477E-6</v>
      </c>
      <c r="BK266" s="44">
        <f t="shared" si="316"/>
        <v>3.1927852989876391E-6</v>
      </c>
      <c r="BL266" s="44">
        <f t="shared" si="317"/>
        <v>1.7247928486703371E-6</v>
      </c>
      <c r="BM266" s="44">
        <f t="shared" si="318"/>
        <v>4.3876715942707647E-6</v>
      </c>
      <c r="BN266" s="44">
        <f t="shared" si="319"/>
        <v>4.5635204128995417E-6</v>
      </c>
      <c r="BO266" s="44">
        <f t="shared" si="320"/>
        <v>2.1386388312090372E-6</v>
      </c>
      <c r="BP266" s="44">
        <f t="shared" si="321"/>
        <v>7.1911254206428725E-6</v>
      </c>
      <c r="BQ266" s="44">
        <f t="shared" si="322"/>
        <v>1.9405870721701285E-6</v>
      </c>
      <c r="BR266" s="44">
        <f t="shared" si="323"/>
        <v>5.7329799909369333E-6</v>
      </c>
      <c r="BS266" s="44">
        <f t="shared" si="324"/>
        <v>3.0918721864094114E-6</v>
      </c>
      <c r="BT266" s="44">
        <f t="shared" si="325"/>
        <v>1.2235486136813876E-5</v>
      </c>
      <c r="BU266" s="44">
        <f t="shared" si="326"/>
        <v>1.1688571059153958E-5</v>
      </c>
      <c r="BV266" s="44">
        <f t="shared" si="327"/>
        <v>1.1225316937323808E-5</v>
      </c>
      <c r="BW266" s="44">
        <f t="shared" si="328"/>
        <v>7.341975010884271E-6</v>
      </c>
      <c r="BX266" s="44">
        <f t="shared" si="329"/>
        <v>5.4241178132646669E-6</v>
      </c>
      <c r="BY266" s="44">
        <f t="shared" si="330"/>
        <v>4.6572285742413076E-6</v>
      </c>
      <c r="CA266" s="44" t="str">
        <f t="shared" si="331"/>
        <v/>
      </c>
      <c r="CB266" s="44" t="str">
        <f t="shared" si="332"/>
        <v/>
      </c>
      <c r="CC266" s="44" t="str">
        <f t="shared" si="333"/>
        <v/>
      </c>
      <c r="CD266" s="44" t="str">
        <f t="shared" si="334"/>
        <v/>
      </c>
      <c r="CE266" s="44" t="str">
        <f t="shared" si="335"/>
        <v/>
      </c>
      <c r="CF266" s="44" t="str">
        <f t="shared" si="336"/>
        <v/>
      </c>
      <c r="CG266" s="44" t="str">
        <f t="shared" si="337"/>
        <v/>
      </c>
      <c r="CH266" s="44" t="str">
        <f t="shared" si="338"/>
        <v/>
      </c>
      <c r="CI266" s="44" t="str">
        <f t="shared" si="339"/>
        <v/>
      </c>
      <c r="CJ266" s="44" t="str">
        <f t="shared" si="340"/>
        <v/>
      </c>
      <c r="CK266" s="44" t="str">
        <f t="shared" si="341"/>
        <v/>
      </c>
      <c r="CL266" s="44" t="str">
        <f t="shared" si="342"/>
        <v/>
      </c>
      <c r="CM266" s="44" t="str">
        <f t="shared" si="343"/>
        <v/>
      </c>
      <c r="CN266" s="44" t="str">
        <f t="shared" si="344"/>
        <v/>
      </c>
      <c r="CO266" s="44" t="str">
        <f t="shared" si="345"/>
        <v/>
      </c>
      <c r="CP266" s="44" t="str">
        <f t="shared" si="346"/>
        <v/>
      </c>
      <c r="CQ266" s="44" t="str">
        <f t="shared" si="347"/>
        <v/>
      </c>
      <c r="CR266" s="44" t="str">
        <f t="shared" si="348"/>
        <v/>
      </c>
      <c r="CS266" s="44" t="str">
        <f t="shared" si="349"/>
        <v/>
      </c>
      <c r="CT266" s="44" t="str">
        <f t="shared" si="350"/>
        <v/>
      </c>
      <c r="CV266" s="44">
        <f t="shared" si="351"/>
        <v>0</v>
      </c>
    </row>
    <row r="267" spans="1:100" x14ac:dyDescent="0.25">
      <c r="A267" s="41"/>
      <c r="B267" s="42"/>
      <c r="C267" s="43" t="str" cm="1">
        <f t="array" ref="C267">IF(B267="","",INDEX(UWS!$B$10:$B$41,B267))</f>
        <v/>
      </c>
      <c r="D267" s="40" t="str">
        <f t="shared" si="308"/>
        <v/>
      </c>
      <c r="E267" s="69" t="str">
        <f t="shared" si="309"/>
        <v/>
      </c>
      <c r="F267" s="48" cm="1">
        <f t="array" ref="F267">0.1+IFERROR(INDEX($F$5:$F266,SUMPRODUCT(MAX(ROW($C$5:$C266)*($C267=$C$5:$C266))-ROW($A$4)))*0.9^($A267-INDEX($A$5:A266,SUMPRODUCT(MAX(ROW($C$5:$C266)*($C267=$C$5:$C266))-ROW($A$4)))),0)</f>
        <v>20.200000000000017</v>
      </c>
      <c r="G267" s="55" t="e">
        <f>INDEX(UWS!$AB$10:$AB$41,MATCH(C267,UWS!$B$10:$B$41,0))</f>
        <v>#N/A</v>
      </c>
      <c r="H267" s="48" t="e">
        <f>INDEX(UWS!$C$10:$C$41,MATCH(C267,UWS!$B$10:$B$41,0))</f>
        <v>#N/A</v>
      </c>
      <c r="I267" s="27">
        <f t="shared" si="310"/>
        <v>5</v>
      </c>
      <c r="J267" s="27" t="e">
        <f>INDEX(UWS!$E$10:$E$41,MATCH(C267,UWS!$B$10:$B$41,0))</f>
        <v>#N/A</v>
      </c>
      <c r="L267" s="108" t="str" cm="1">
        <f t="array" ref="L267">IF(K267="","",INDEX(UWS!$B$10:$B$41,K267))</f>
        <v/>
      </c>
      <c r="N267" s="108" t="str" cm="1">
        <f t="array" ref="N267">IF(M267="","",INDEX(UWS!$B$10:$B$41,M267))</f>
        <v/>
      </c>
      <c r="P267">
        <f>IFERROR(INDEX(UWS!$G$10:$Z$41,MATCH($C267,UWS!$B$10:$B$41,0),MATCH(P$4,UWS!$G$3:$Z$3,0)),0)</f>
        <v>0</v>
      </c>
      <c r="Q267">
        <f>IFERROR(INDEX(UWS!$G$10:$Z$41,MATCH($C267,UWS!$B$10:$B$41,0),MATCH(Q$4,UWS!$G$3:$Z$3,0)),0)</f>
        <v>0</v>
      </c>
      <c r="R267">
        <f>IFERROR(INDEX(UWS!$G$10:$Z$41,MATCH($C267,UWS!$B$10:$B$41,0),MATCH(R$4,UWS!$G$3:$Z$3,0)),0)</f>
        <v>0</v>
      </c>
      <c r="S267">
        <f>IFERROR(INDEX(UWS!$G$10:$Z$41,MATCH($C267,UWS!$B$10:$B$41,0),MATCH(S$4,UWS!$G$3:$Z$3,0)),0)</f>
        <v>0</v>
      </c>
      <c r="T267">
        <f>IFERROR(INDEX(UWS!$G$10:$Z$41,MATCH($C267,UWS!$B$10:$B$41,0),MATCH(T$4,UWS!$G$3:$Z$3,0)),0)</f>
        <v>0</v>
      </c>
      <c r="U267">
        <f>IFERROR(INDEX(UWS!$G$10:$Z$41,MATCH($C267,UWS!$B$10:$B$41,0),MATCH(U$4,UWS!$G$3:$Z$3,0)),0)</f>
        <v>0</v>
      </c>
      <c r="V267">
        <f>IFERROR(INDEX(UWS!$G$10:$Z$41,MATCH($C267,UWS!$B$10:$B$41,0),MATCH(V$4,UWS!$G$3:$Z$3,0)),0)</f>
        <v>0</v>
      </c>
      <c r="W267">
        <f>IFERROR(INDEX(UWS!$G$10:$Z$41,MATCH($C267,UWS!$B$10:$B$41,0),MATCH(W$4,UWS!$G$3:$Z$3,0)),0)</f>
        <v>0</v>
      </c>
      <c r="X267">
        <f>IFERROR(INDEX(UWS!$G$10:$Z$41,MATCH($C267,UWS!$B$10:$B$41,0),MATCH(X$4,UWS!$G$3:$Z$3,0)),0)</f>
        <v>0</v>
      </c>
      <c r="Y267">
        <f>IFERROR(INDEX(UWS!$G$10:$Z$41,MATCH($C267,UWS!$B$10:$B$41,0),MATCH(Y$4,UWS!$G$3:$Z$3,0)),0)</f>
        <v>0</v>
      </c>
      <c r="Z267">
        <f>IFERROR(INDEX(UWS!$G$10:$Z$41,MATCH($C267,UWS!$B$10:$B$41,0),MATCH(Z$4,UWS!$G$3:$Z$3,0)),0)</f>
        <v>0</v>
      </c>
      <c r="AA267">
        <f>IFERROR(INDEX(UWS!$G$10:$Z$41,MATCH($C267,UWS!$B$10:$B$41,0),MATCH(AA$4,UWS!$G$3:$Z$3,0)),0)</f>
        <v>0</v>
      </c>
      <c r="AB267">
        <f>IFERROR(INDEX(UWS!$G$10:$Z$41,MATCH($C267,UWS!$B$10:$B$41,0),MATCH(AB$4,UWS!$G$3:$Z$3,0)),0)</f>
        <v>0</v>
      </c>
      <c r="AC267">
        <f>IFERROR(INDEX(UWS!$G$10:$Z$41,MATCH($C267,UWS!$B$10:$B$41,0),MATCH(AC$4,UWS!$G$3:$Z$3,0)),0)</f>
        <v>0</v>
      </c>
      <c r="AD267">
        <f>IFERROR(INDEX(UWS!$G$10:$Z$41,MATCH($C267,UWS!$B$10:$B$41,0),MATCH(AD$4,UWS!$G$3:$Z$3,0)),0)</f>
        <v>0</v>
      </c>
      <c r="AE267">
        <f>IFERROR(INDEX(UWS!$G$10:$Z$41,MATCH($C267,UWS!$B$10:$B$41,0),MATCH(AE$4,UWS!$G$3:$Z$3,0)),0)</f>
        <v>0</v>
      </c>
      <c r="AF267">
        <f>IFERROR(INDEX(UWS!$G$10:$Z$41,MATCH($C267,UWS!$B$10:$B$41,0),MATCH(AF$4,UWS!$G$3:$Z$3,0)),0)</f>
        <v>0</v>
      </c>
      <c r="AG267">
        <f>IFERROR(INDEX(UWS!$G$10:$Z$41,MATCH($C267,UWS!$B$10:$B$41,0),MATCH(AG$4,UWS!$G$3:$Z$3,0)),0)</f>
        <v>0</v>
      </c>
      <c r="AH267">
        <f>IFERROR(INDEX(UWS!$G$10:$Z$41,MATCH($C267,UWS!$B$10:$B$41,0),MATCH(AH$4,UWS!$G$3:$Z$3,0)),0)</f>
        <v>0</v>
      </c>
      <c r="AI267">
        <f>IFERROR(INDEX(UWS!$G$10:$Z$41,MATCH($C267,UWS!$B$10:$B$41,0),MATCH(AI$4,UWS!$G$3:$Z$3,0)),0)</f>
        <v>0</v>
      </c>
      <c r="AK267" t="e">
        <f>IF(OR($J267=0,COUNTIFS($A$4:$A266,"&gt;="&amp;$A267-1,$A$4:$A266,"&lt;="&amp;$A267,$B$4:$B266,$B267)&gt;0,MIN(AK$1,IF($A267=$A266,AK266,1))-P267&lt;0),-1,MIN(1,IF($A267=$A266,AK266,1)-P267+$D$3))</f>
        <v>#N/A</v>
      </c>
      <c r="AL267" t="e">
        <f>IF(OR($J267=0,COUNTIFS($A$4:$A266,"&gt;="&amp;$A267-1,$A$4:$A266,"&lt;="&amp;$A267,$B$4:$B266,$B267)&gt;0,MIN(AL$1,IF($A267=$A266,AL266,1))-Q267&lt;0),-1,MIN(1,IF($A267=$A266,AL266,1)-Q267+$D$3))</f>
        <v>#N/A</v>
      </c>
      <c r="AM267" t="e">
        <f>IF(OR($J267=0,COUNTIFS($A$4:$A266,"&gt;="&amp;$A267-1,$A$4:$A266,"&lt;="&amp;$A267,$B$4:$B266,$B267)&gt;0,MIN(AM$1,IF($A267=$A266,AM266,1))-R267&lt;0),-1,MIN(1,IF($A267=$A266,AM266,1)-R267+$D$3))</f>
        <v>#N/A</v>
      </c>
      <c r="AN267" t="e">
        <f>IF(OR($J267=0,COUNTIFS($A$4:$A266,"&gt;="&amp;$A267-1,$A$4:$A266,"&lt;="&amp;$A267,$B$4:$B266,$B267)&gt;0,MIN(AN$1,IF($A267=$A266,AN266,1))-S267&lt;0),-1,MIN(1,IF($A267=$A266,AN266,1)-S267+$D$3))</f>
        <v>#N/A</v>
      </c>
      <c r="AO267" t="e">
        <f>IF(OR($J267=0,COUNTIFS($A$4:$A266,"&gt;="&amp;$A267-1,$A$4:$A266,"&lt;="&amp;$A267,$B$4:$B266,$B267)&gt;0,MIN(AO$1,IF($A267=$A266,AO266,1))-T267&lt;0),-1,MIN(1,IF($A267=$A266,AO266,1)-T267+$D$3))</f>
        <v>#N/A</v>
      </c>
      <c r="AP267" t="e">
        <f>IF(OR($J267=0,COUNTIFS($A$4:$A266,"&gt;="&amp;$A267-1,$A$4:$A266,"&lt;="&amp;$A267,$B$4:$B266,$B267)&gt;0,MIN(AP$1,IF($A267=$A266,AP266,1))-U267&lt;0),-1,MIN(1,IF($A267=$A266,AP266,1)-U267+$D$3))</f>
        <v>#N/A</v>
      </c>
      <c r="AQ267" t="e">
        <f>IF(OR($J267=0,COUNTIFS($A$4:$A266,"&gt;="&amp;$A267-1,$A$4:$A266,"&lt;="&amp;$A267,$B$4:$B266,$B267)&gt;0,MIN(AQ$1,IF($A267=$A266,AQ266,1))-V267&lt;0),-1,MIN(1,IF($A267=$A266,AQ266,1)-V267+$D$3))</f>
        <v>#N/A</v>
      </c>
      <c r="AR267" t="e">
        <f>IF(OR($J267=0,COUNTIFS($A$4:$A266,"&gt;="&amp;$A267-1,$A$4:$A266,"&lt;="&amp;$A267,$B$4:$B266,$B267)&gt;0,MIN(AR$1,IF($A267=$A266,AR266,1))-W267&lt;0),-1,MIN(1,IF($A267=$A266,AR266,1)-W267+$D$3))</f>
        <v>#N/A</v>
      </c>
      <c r="AS267" t="e">
        <f>IF(OR($J267=0,COUNTIFS($A$4:$A266,"&gt;="&amp;$A267-1,$A$4:$A266,"&lt;="&amp;$A267,$B$4:$B266,$B267)&gt;0,MIN(AS$1,IF($A267=$A266,AS266,1))-X267&lt;0),-1,MIN(1,IF($A267=$A266,AS266,1)-X267+$D$3))</f>
        <v>#N/A</v>
      </c>
      <c r="AT267" t="e">
        <f>IF(OR($J267=0,COUNTIFS($A$4:$A266,"&gt;="&amp;$A267-1,$A$4:$A266,"&lt;="&amp;$A267,$B$4:$B266,$B267)&gt;0,MIN(AT$1,IF($A267=$A266,AT266,1))-Y267&lt;0),-1,MIN(1,IF($A267=$A266,AT266,1)-Y267+$D$3))</f>
        <v>#N/A</v>
      </c>
      <c r="AU267" t="e">
        <f>IF(OR($J267=0,COUNTIFS($A$4:$A266,"&gt;="&amp;$A267-1,$A$4:$A266,"&lt;="&amp;$A267,$B$4:$B266,$B267)&gt;0,MIN(AU$1,IF($A267=$A266,AU266,1))-Z267&lt;0),-1,MIN(1,IF($A267=$A266,AU266,1)-Z267+$D$3))</f>
        <v>#N/A</v>
      </c>
      <c r="AV267" t="e">
        <f>IF(OR($J267=0,COUNTIFS($A$4:$A266,"&gt;="&amp;$A267-1,$A$4:$A266,"&lt;="&amp;$A267,$B$4:$B266,$B267)&gt;0,MIN(AV$1,IF($A267=$A266,AV266,1))-AA267&lt;0),-1,MIN(1,IF($A267=$A266,AV266,1)-AA267+$D$3))</f>
        <v>#N/A</v>
      </c>
      <c r="AW267" t="e">
        <f>IF(OR($J267=0,COUNTIFS($A$4:$A266,"&gt;="&amp;$A267-1,$A$4:$A266,"&lt;="&amp;$A267,$B$4:$B266,$B267)&gt;0,MIN(AW$1,IF($A267=$A266,AW266,1))-AB267&lt;0),-1,MIN(1,IF($A267=$A266,AW266,1)-AB267+$D$3))</f>
        <v>#N/A</v>
      </c>
      <c r="AX267" t="e">
        <f>IF(OR($J267=0,COUNTIFS($A$4:$A266,"&gt;="&amp;$A267-1,$A$4:$A266,"&lt;="&amp;$A267,$B$4:$B266,$B267)&gt;0,MIN(AX$1,IF($A267=$A266,AX266,1))-AC267&lt;0),-1,MIN(1,IF($A267=$A266,AX266,1)-AC267+$D$3))</f>
        <v>#N/A</v>
      </c>
      <c r="AY267" t="e">
        <f>IF(OR($J267=0,COUNTIFS($A$4:$A266,"&gt;="&amp;$A267-1,$A$4:$A266,"&lt;="&amp;$A267,$B$4:$B266,$B267)&gt;0,MIN(AY$1,IF($A267=$A266,AY266,1))-AD267&lt;0),-1,MIN(1,IF($A267=$A266,AY266,1)-AD267+$D$3))</f>
        <v>#N/A</v>
      </c>
      <c r="AZ267" t="e">
        <f>IF(OR($J267=0,COUNTIFS($A$4:$A266,"&gt;="&amp;$A267-1,$A$4:$A266,"&lt;="&amp;$A267,$B$4:$B266,$B267)&gt;0,MIN(AZ$1,IF($A267=$A266,AZ266,1))-AE267&lt;0),-1,MIN(1,IF($A267=$A266,AZ266,1)-AE267+$D$3))</f>
        <v>#N/A</v>
      </c>
      <c r="BA267" t="e">
        <f>IF(OR($J267=0,COUNTIFS($A$4:$A266,"&gt;="&amp;$A267-1,$A$4:$A266,"&lt;="&amp;$A267,$B$4:$B266,$B267)&gt;0,MIN(BA$1,IF($A267=$A266,BA266,1))-AF267&lt;0),-1,MIN(1,IF($A267=$A266,BA266,1)-AF267+$D$3))</f>
        <v>#N/A</v>
      </c>
      <c r="BB267" t="e">
        <f>IF(OR($J267=0,COUNTIFS($A$4:$A266,"&gt;="&amp;$A267-1,$A$4:$A266,"&lt;="&amp;$A267,$B$4:$B266,$B267)&gt;0,MIN(BB$1,IF($A267=$A266,BB266,1))-AG267&lt;0),-1,MIN(1,IF($A267=$A266,BB266,1)-AG267+$D$3))</f>
        <v>#N/A</v>
      </c>
      <c r="BC267" t="e">
        <f>IF(OR($J267=0,COUNTIFS($A$4:$A266,"&gt;="&amp;$A267-1,$A$4:$A266,"&lt;="&amp;$A267,$B$4:$B266,$B267)&gt;0,MIN(BC$1,IF($A267=$A266,BC266,1))-AH267&lt;0),-1,MIN(1,IF($A267=$A266,BC266,1)-AH267+$D$3))</f>
        <v>#N/A</v>
      </c>
      <c r="BD267" t="e">
        <f>IF(OR($J267=0,COUNTIFS($A$4:$A266,"&gt;="&amp;$A267-1,$A$4:$A266,"&lt;="&amp;$A267,$B$4:$B266,$B267)&gt;0,MIN(BD$1,IF($A267=$A266,BD266,1))-AI267&lt;0),-1,MIN(1,IF($A267=$A266,BD266,1)-AI267+$D$3))</f>
        <v>#N/A</v>
      </c>
      <c r="BF267" s="44">
        <f t="shared" si="311"/>
        <v>2.9350404078442746E-6</v>
      </c>
      <c r="BG267" s="44">
        <f t="shared" si="312"/>
        <v>7.218092576293611E-6</v>
      </c>
      <c r="BH267" s="44">
        <f t="shared" si="313"/>
        <v>7.3977856217214857E-6</v>
      </c>
      <c r="BI267" s="44">
        <f t="shared" si="314"/>
        <v>6.8335000059948061E-6</v>
      </c>
      <c r="BJ267" s="44">
        <f t="shared" si="315"/>
        <v>7.06307100107747E-6</v>
      </c>
      <c r="BK267" s="44">
        <f t="shared" si="316"/>
        <v>3.0331460340382572E-6</v>
      </c>
      <c r="BL267" s="44">
        <f t="shared" si="317"/>
        <v>1.6385532062368202E-6</v>
      </c>
      <c r="BM267" s="44">
        <f t="shared" si="318"/>
        <v>4.168288014557226E-6</v>
      </c>
      <c r="BN267" s="44">
        <f t="shared" si="319"/>
        <v>4.3353443922545646E-6</v>
      </c>
      <c r="BO267" s="44">
        <f t="shared" si="320"/>
        <v>2.0317068896485853E-6</v>
      </c>
      <c r="BP267" s="44">
        <f t="shared" si="321"/>
        <v>6.8315691496107283E-6</v>
      </c>
      <c r="BQ267" s="44">
        <f t="shared" si="322"/>
        <v>1.843557718561622E-6</v>
      </c>
      <c r="BR267" s="44">
        <f t="shared" si="323"/>
        <v>5.4463309913900859E-6</v>
      </c>
      <c r="BS267" s="44">
        <f t="shared" si="324"/>
        <v>2.9372785770889405E-6</v>
      </c>
      <c r="BT267" s="44">
        <f t="shared" si="325"/>
        <v>1.1623711829973182E-5</v>
      </c>
      <c r="BU267" s="44">
        <f t="shared" si="326"/>
        <v>1.110414250619626E-5</v>
      </c>
      <c r="BV267" s="44">
        <f t="shared" si="327"/>
        <v>1.0664051090457618E-5</v>
      </c>
      <c r="BW267" s="44">
        <f t="shared" si="328"/>
        <v>6.9748762603400572E-6</v>
      </c>
      <c r="BX267" s="44">
        <f t="shared" si="329"/>
        <v>5.1529119226014333E-6</v>
      </c>
      <c r="BY267" s="44">
        <f t="shared" si="330"/>
        <v>4.4243671455292424E-6</v>
      </c>
      <c r="CA267" s="44" t="str">
        <f t="shared" si="331"/>
        <v/>
      </c>
      <c r="CB267" s="44" t="str">
        <f t="shared" si="332"/>
        <v/>
      </c>
      <c r="CC267" s="44" t="str">
        <f t="shared" si="333"/>
        <v/>
      </c>
      <c r="CD267" s="44" t="str">
        <f t="shared" si="334"/>
        <v/>
      </c>
      <c r="CE267" s="44" t="str">
        <f t="shared" si="335"/>
        <v/>
      </c>
      <c r="CF267" s="44" t="str">
        <f t="shared" si="336"/>
        <v/>
      </c>
      <c r="CG267" s="44" t="str">
        <f t="shared" si="337"/>
        <v/>
      </c>
      <c r="CH267" s="44" t="str">
        <f t="shared" si="338"/>
        <v/>
      </c>
      <c r="CI267" s="44" t="str">
        <f t="shared" si="339"/>
        <v/>
      </c>
      <c r="CJ267" s="44" t="str">
        <f t="shared" si="340"/>
        <v/>
      </c>
      <c r="CK267" s="44" t="str">
        <f t="shared" si="341"/>
        <v/>
      </c>
      <c r="CL267" s="44" t="str">
        <f t="shared" si="342"/>
        <v/>
      </c>
      <c r="CM267" s="44" t="str">
        <f t="shared" si="343"/>
        <v/>
      </c>
      <c r="CN267" s="44" t="str">
        <f t="shared" si="344"/>
        <v/>
      </c>
      <c r="CO267" s="44" t="str">
        <f t="shared" si="345"/>
        <v/>
      </c>
      <c r="CP267" s="44" t="str">
        <f t="shared" si="346"/>
        <v/>
      </c>
      <c r="CQ267" s="44" t="str">
        <f t="shared" si="347"/>
        <v/>
      </c>
      <c r="CR267" s="44" t="str">
        <f t="shared" si="348"/>
        <v/>
      </c>
      <c r="CS267" s="44" t="str">
        <f t="shared" si="349"/>
        <v/>
      </c>
      <c r="CT267" s="44" t="str">
        <f t="shared" si="350"/>
        <v/>
      </c>
      <c r="CV267" s="44">
        <f t="shared" si="351"/>
        <v>0</v>
      </c>
    </row>
    <row r="268" spans="1:100" x14ac:dyDescent="0.25">
      <c r="A268" s="41"/>
      <c r="B268" s="42"/>
      <c r="C268" s="43" t="str" cm="1">
        <f t="array" ref="C268">IF(B268="","",INDEX(UWS!$B$10:$B$41,B268))</f>
        <v/>
      </c>
      <c r="D268" s="40" t="str">
        <f t="shared" si="308"/>
        <v/>
      </c>
      <c r="E268" s="69" t="str">
        <f t="shared" si="309"/>
        <v/>
      </c>
      <c r="F268" s="48" cm="1">
        <f t="array" ref="F268">0.1+IFERROR(INDEX($F$5:$F267,SUMPRODUCT(MAX(ROW($C$5:$C267)*($C268=$C$5:$C267))-ROW($A$4)))*0.9^($A268-INDEX($A$5:A267,SUMPRODUCT(MAX(ROW($C$5:$C267)*($C268=$C$5:$C267))-ROW($A$4)))),0)</f>
        <v>20.300000000000018</v>
      </c>
      <c r="G268" s="55" t="e">
        <f>INDEX(UWS!$AB$10:$AB$41,MATCH(C268,UWS!$B$10:$B$41,0))</f>
        <v>#N/A</v>
      </c>
      <c r="H268" s="48" t="e">
        <f>INDEX(UWS!$C$10:$C$41,MATCH(C268,UWS!$B$10:$B$41,0))</f>
        <v>#N/A</v>
      </c>
      <c r="I268" s="27">
        <f t="shared" si="310"/>
        <v>5</v>
      </c>
      <c r="J268" s="27" t="e">
        <f>INDEX(UWS!$E$10:$E$41,MATCH(C268,UWS!$B$10:$B$41,0))</f>
        <v>#N/A</v>
      </c>
      <c r="L268" s="108" t="str" cm="1">
        <f t="array" ref="L268">IF(K268="","",INDEX(UWS!$B$10:$B$41,K268))</f>
        <v/>
      </c>
      <c r="N268" s="108" t="str" cm="1">
        <f t="array" ref="N268">IF(M268="","",INDEX(UWS!$B$10:$B$41,M268))</f>
        <v/>
      </c>
      <c r="P268">
        <f>IFERROR(INDEX(UWS!$G$10:$Z$41,MATCH($C268,UWS!$B$10:$B$41,0),MATCH(P$4,UWS!$G$3:$Z$3,0)),0)</f>
        <v>0</v>
      </c>
      <c r="Q268">
        <f>IFERROR(INDEX(UWS!$G$10:$Z$41,MATCH($C268,UWS!$B$10:$B$41,0),MATCH(Q$4,UWS!$G$3:$Z$3,0)),0)</f>
        <v>0</v>
      </c>
      <c r="R268">
        <f>IFERROR(INDEX(UWS!$G$10:$Z$41,MATCH($C268,UWS!$B$10:$B$41,0),MATCH(R$4,UWS!$G$3:$Z$3,0)),0)</f>
        <v>0</v>
      </c>
      <c r="S268">
        <f>IFERROR(INDEX(UWS!$G$10:$Z$41,MATCH($C268,UWS!$B$10:$B$41,0),MATCH(S$4,UWS!$G$3:$Z$3,0)),0)</f>
        <v>0</v>
      </c>
      <c r="T268">
        <f>IFERROR(INDEX(UWS!$G$10:$Z$41,MATCH($C268,UWS!$B$10:$B$41,0),MATCH(T$4,UWS!$G$3:$Z$3,0)),0)</f>
        <v>0</v>
      </c>
      <c r="U268">
        <f>IFERROR(INDEX(UWS!$G$10:$Z$41,MATCH($C268,UWS!$B$10:$B$41,0),MATCH(U$4,UWS!$G$3:$Z$3,0)),0)</f>
        <v>0</v>
      </c>
      <c r="V268">
        <f>IFERROR(INDEX(UWS!$G$10:$Z$41,MATCH($C268,UWS!$B$10:$B$41,0),MATCH(V$4,UWS!$G$3:$Z$3,0)),0)</f>
        <v>0</v>
      </c>
      <c r="W268">
        <f>IFERROR(INDEX(UWS!$G$10:$Z$41,MATCH($C268,UWS!$B$10:$B$41,0),MATCH(W$4,UWS!$G$3:$Z$3,0)),0)</f>
        <v>0</v>
      </c>
      <c r="X268">
        <f>IFERROR(INDEX(UWS!$G$10:$Z$41,MATCH($C268,UWS!$B$10:$B$41,0),MATCH(X$4,UWS!$G$3:$Z$3,0)),0)</f>
        <v>0</v>
      </c>
      <c r="Y268">
        <f>IFERROR(INDEX(UWS!$G$10:$Z$41,MATCH($C268,UWS!$B$10:$B$41,0),MATCH(Y$4,UWS!$G$3:$Z$3,0)),0)</f>
        <v>0</v>
      </c>
      <c r="Z268">
        <f>IFERROR(INDEX(UWS!$G$10:$Z$41,MATCH($C268,UWS!$B$10:$B$41,0),MATCH(Z$4,UWS!$G$3:$Z$3,0)),0)</f>
        <v>0</v>
      </c>
      <c r="AA268">
        <f>IFERROR(INDEX(UWS!$G$10:$Z$41,MATCH($C268,UWS!$B$10:$B$41,0),MATCH(AA$4,UWS!$G$3:$Z$3,0)),0)</f>
        <v>0</v>
      </c>
      <c r="AB268">
        <f>IFERROR(INDEX(UWS!$G$10:$Z$41,MATCH($C268,UWS!$B$10:$B$41,0),MATCH(AB$4,UWS!$G$3:$Z$3,0)),0)</f>
        <v>0</v>
      </c>
      <c r="AC268">
        <f>IFERROR(INDEX(UWS!$G$10:$Z$41,MATCH($C268,UWS!$B$10:$B$41,0),MATCH(AC$4,UWS!$G$3:$Z$3,0)),0)</f>
        <v>0</v>
      </c>
      <c r="AD268">
        <f>IFERROR(INDEX(UWS!$G$10:$Z$41,MATCH($C268,UWS!$B$10:$B$41,0),MATCH(AD$4,UWS!$G$3:$Z$3,0)),0)</f>
        <v>0</v>
      </c>
      <c r="AE268">
        <f>IFERROR(INDEX(UWS!$G$10:$Z$41,MATCH($C268,UWS!$B$10:$B$41,0),MATCH(AE$4,UWS!$G$3:$Z$3,0)),0)</f>
        <v>0</v>
      </c>
      <c r="AF268">
        <f>IFERROR(INDEX(UWS!$G$10:$Z$41,MATCH($C268,UWS!$B$10:$B$41,0),MATCH(AF$4,UWS!$G$3:$Z$3,0)),0)</f>
        <v>0</v>
      </c>
      <c r="AG268">
        <f>IFERROR(INDEX(UWS!$G$10:$Z$41,MATCH($C268,UWS!$B$10:$B$41,0),MATCH(AG$4,UWS!$G$3:$Z$3,0)),0)</f>
        <v>0</v>
      </c>
      <c r="AH268">
        <f>IFERROR(INDEX(UWS!$G$10:$Z$41,MATCH($C268,UWS!$B$10:$B$41,0),MATCH(AH$4,UWS!$G$3:$Z$3,0)),0)</f>
        <v>0</v>
      </c>
      <c r="AI268">
        <f>IFERROR(INDEX(UWS!$G$10:$Z$41,MATCH($C268,UWS!$B$10:$B$41,0),MATCH(AI$4,UWS!$G$3:$Z$3,0)),0)</f>
        <v>0</v>
      </c>
      <c r="AK268" t="e">
        <f>IF(OR($J268=0,COUNTIFS($A$4:$A267,"&gt;="&amp;$A268-1,$A$4:$A267,"&lt;="&amp;$A268,$B$4:$B267,$B268)&gt;0,MIN(AK$1,IF($A268=$A267,AK267,1))-P268&lt;0),-1,MIN(1,IF($A268=$A267,AK267,1)-P268+$D$3))</f>
        <v>#N/A</v>
      </c>
      <c r="AL268" t="e">
        <f>IF(OR($J268=0,COUNTIFS($A$4:$A267,"&gt;="&amp;$A268-1,$A$4:$A267,"&lt;="&amp;$A268,$B$4:$B267,$B268)&gt;0,MIN(AL$1,IF($A268=$A267,AL267,1))-Q268&lt;0),-1,MIN(1,IF($A268=$A267,AL267,1)-Q268+$D$3))</f>
        <v>#N/A</v>
      </c>
      <c r="AM268" t="e">
        <f>IF(OR($J268=0,COUNTIFS($A$4:$A267,"&gt;="&amp;$A268-1,$A$4:$A267,"&lt;="&amp;$A268,$B$4:$B267,$B268)&gt;0,MIN(AM$1,IF($A268=$A267,AM267,1))-R268&lt;0),-1,MIN(1,IF($A268=$A267,AM267,1)-R268+$D$3))</f>
        <v>#N/A</v>
      </c>
      <c r="AN268" t="e">
        <f>IF(OR($J268=0,COUNTIFS($A$4:$A267,"&gt;="&amp;$A268-1,$A$4:$A267,"&lt;="&amp;$A268,$B$4:$B267,$B268)&gt;0,MIN(AN$1,IF($A268=$A267,AN267,1))-S268&lt;0),-1,MIN(1,IF($A268=$A267,AN267,1)-S268+$D$3))</f>
        <v>#N/A</v>
      </c>
      <c r="AO268" t="e">
        <f>IF(OR($J268=0,COUNTIFS($A$4:$A267,"&gt;="&amp;$A268-1,$A$4:$A267,"&lt;="&amp;$A268,$B$4:$B267,$B268)&gt;0,MIN(AO$1,IF($A268=$A267,AO267,1))-T268&lt;0),-1,MIN(1,IF($A268=$A267,AO267,1)-T268+$D$3))</f>
        <v>#N/A</v>
      </c>
      <c r="AP268" t="e">
        <f>IF(OR($J268=0,COUNTIFS($A$4:$A267,"&gt;="&amp;$A268-1,$A$4:$A267,"&lt;="&amp;$A268,$B$4:$B267,$B268)&gt;0,MIN(AP$1,IF($A268=$A267,AP267,1))-U268&lt;0),-1,MIN(1,IF($A268=$A267,AP267,1)-U268+$D$3))</f>
        <v>#N/A</v>
      </c>
      <c r="AQ268" t="e">
        <f>IF(OR($J268=0,COUNTIFS($A$4:$A267,"&gt;="&amp;$A268-1,$A$4:$A267,"&lt;="&amp;$A268,$B$4:$B267,$B268)&gt;0,MIN(AQ$1,IF($A268=$A267,AQ267,1))-V268&lt;0),-1,MIN(1,IF($A268=$A267,AQ267,1)-V268+$D$3))</f>
        <v>#N/A</v>
      </c>
      <c r="AR268" t="e">
        <f>IF(OR($J268=0,COUNTIFS($A$4:$A267,"&gt;="&amp;$A268-1,$A$4:$A267,"&lt;="&amp;$A268,$B$4:$B267,$B268)&gt;0,MIN(AR$1,IF($A268=$A267,AR267,1))-W268&lt;0),-1,MIN(1,IF($A268=$A267,AR267,1)-W268+$D$3))</f>
        <v>#N/A</v>
      </c>
      <c r="AS268" t="e">
        <f>IF(OR($J268=0,COUNTIFS($A$4:$A267,"&gt;="&amp;$A268-1,$A$4:$A267,"&lt;="&amp;$A268,$B$4:$B267,$B268)&gt;0,MIN(AS$1,IF($A268=$A267,AS267,1))-X268&lt;0),-1,MIN(1,IF($A268=$A267,AS267,1)-X268+$D$3))</f>
        <v>#N/A</v>
      </c>
      <c r="AT268" t="e">
        <f>IF(OR($J268=0,COUNTIFS($A$4:$A267,"&gt;="&amp;$A268-1,$A$4:$A267,"&lt;="&amp;$A268,$B$4:$B267,$B268)&gt;0,MIN(AT$1,IF($A268=$A267,AT267,1))-Y268&lt;0),-1,MIN(1,IF($A268=$A267,AT267,1)-Y268+$D$3))</f>
        <v>#N/A</v>
      </c>
      <c r="AU268" t="e">
        <f>IF(OR($J268=0,COUNTIFS($A$4:$A267,"&gt;="&amp;$A268-1,$A$4:$A267,"&lt;="&amp;$A268,$B$4:$B267,$B268)&gt;0,MIN(AU$1,IF($A268=$A267,AU267,1))-Z268&lt;0),-1,MIN(1,IF($A268=$A267,AU267,1)-Z268+$D$3))</f>
        <v>#N/A</v>
      </c>
      <c r="AV268" t="e">
        <f>IF(OR($J268=0,COUNTIFS($A$4:$A267,"&gt;="&amp;$A268-1,$A$4:$A267,"&lt;="&amp;$A268,$B$4:$B267,$B268)&gt;0,MIN(AV$1,IF($A268=$A267,AV267,1))-AA268&lt;0),-1,MIN(1,IF($A268=$A267,AV267,1)-AA268+$D$3))</f>
        <v>#N/A</v>
      </c>
      <c r="AW268" t="e">
        <f>IF(OR($J268=0,COUNTIFS($A$4:$A267,"&gt;="&amp;$A268-1,$A$4:$A267,"&lt;="&amp;$A268,$B$4:$B267,$B268)&gt;0,MIN(AW$1,IF($A268=$A267,AW267,1))-AB268&lt;0),-1,MIN(1,IF($A268=$A267,AW267,1)-AB268+$D$3))</f>
        <v>#N/A</v>
      </c>
      <c r="AX268" t="e">
        <f>IF(OR($J268=0,COUNTIFS($A$4:$A267,"&gt;="&amp;$A268-1,$A$4:$A267,"&lt;="&amp;$A268,$B$4:$B267,$B268)&gt;0,MIN(AX$1,IF($A268=$A267,AX267,1))-AC268&lt;0),-1,MIN(1,IF($A268=$A267,AX267,1)-AC268+$D$3))</f>
        <v>#N/A</v>
      </c>
      <c r="AY268" t="e">
        <f>IF(OR($J268=0,COUNTIFS($A$4:$A267,"&gt;="&amp;$A268-1,$A$4:$A267,"&lt;="&amp;$A268,$B$4:$B267,$B268)&gt;0,MIN(AY$1,IF($A268=$A267,AY267,1))-AD268&lt;0),-1,MIN(1,IF($A268=$A267,AY267,1)-AD268+$D$3))</f>
        <v>#N/A</v>
      </c>
      <c r="AZ268" t="e">
        <f>IF(OR($J268=0,COUNTIFS($A$4:$A267,"&gt;="&amp;$A268-1,$A$4:$A267,"&lt;="&amp;$A268,$B$4:$B267,$B268)&gt;0,MIN(AZ$1,IF($A268=$A267,AZ267,1))-AE268&lt;0),-1,MIN(1,IF($A268=$A267,AZ267,1)-AE268+$D$3))</f>
        <v>#N/A</v>
      </c>
      <c r="BA268" t="e">
        <f>IF(OR($J268=0,COUNTIFS($A$4:$A267,"&gt;="&amp;$A268-1,$A$4:$A267,"&lt;="&amp;$A268,$B$4:$B267,$B268)&gt;0,MIN(BA$1,IF($A268=$A267,BA267,1))-AF268&lt;0),-1,MIN(1,IF($A268=$A267,BA267,1)-AF268+$D$3))</f>
        <v>#N/A</v>
      </c>
      <c r="BB268" t="e">
        <f>IF(OR($J268=0,COUNTIFS($A$4:$A267,"&gt;="&amp;$A268-1,$A$4:$A267,"&lt;="&amp;$A268,$B$4:$B267,$B268)&gt;0,MIN(BB$1,IF($A268=$A267,BB267,1))-AG268&lt;0),-1,MIN(1,IF($A268=$A267,BB267,1)-AG268+$D$3))</f>
        <v>#N/A</v>
      </c>
      <c r="BC268" t="e">
        <f>IF(OR($J268=0,COUNTIFS($A$4:$A267,"&gt;="&amp;$A268-1,$A$4:$A267,"&lt;="&amp;$A268,$B$4:$B267,$B268)&gt;0,MIN(BC$1,IF($A268=$A267,BC267,1))-AH268&lt;0),-1,MIN(1,IF($A268=$A267,BC267,1)-AH268+$D$3))</f>
        <v>#N/A</v>
      </c>
      <c r="BD268" t="e">
        <f>IF(OR($J268=0,COUNTIFS($A$4:$A267,"&gt;="&amp;$A268-1,$A$4:$A267,"&lt;="&amp;$A268,$B$4:$B267,$B268)&gt;0,MIN(BD$1,IF($A268=$A267,BD267,1))-AI268&lt;0),-1,MIN(1,IF($A268=$A267,BD267,1)-AI268+$D$3))</f>
        <v>#N/A</v>
      </c>
      <c r="BF268" s="44">
        <f t="shared" si="311"/>
        <v>2.7882883874520606E-6</v>
      </c>
      <c r="BG268" s="44">
        <f t="shared" si="312"/>
        <v>6.85718794747893E-6</v>
      </c>
      <c r="BH268" s="44">
        <f t="shared" si="313"/>
        <v>7.027896340635411E-6</v>
      </c>
      <c r="BI268" s="44">
        <f t="shared" si="314"/>
        <v>6.4918250056950653E-6</v>
      </c>
      <c r="BJ268" s="44">
        <f t="shared" si="315"/>
        <v>6.7099174510235964E-6</v>
      </c>
      <c r="BK268" s="44">
        <f t="shared" si="316"/>
        <v>2.8814887323363441E-6</v>
      </c>
      <c r="BL268" s="44">
        <f t="shared" si="317"/>
        <v>1.5566255459249791E-6</v>
      </c>
      <c r="BM268" s="44">
        <f t="shared" si="318"/>
        <v>3.9598736138293646E-6</v>
      </c>
      <c r="BN268" s="44">
        <f t="shared" si="319"/>
        <v>4.1185771726418363E-6</v>
      </c>
      <c r="BO268" s="44">
        <f t="shared" si="320"/>
        <v>1.9301215451661558E-6</v>
      </c>
      <c r="BP268" s="44">
        <f t="shared" si="321"/>
        <v>6.4899906921301917E-6</v>
      </c>
      <c r="BQ268" s="44">
        <f t="shared" si="322"/>
        <v>1.7513798326335408E-6</v>
      </c>
      <c r="BR268" s="44">
        <f t="shared" si="323"/>
        <v>5.1740144418205811E-6</v>
      </c>
      <c r="BS268" s="44">
        <f t="shared" si="324"/>
        <v>2.7904146482344932E-6</v>
      </c>
      <c r="BT268" s="44">
        <f t="shared" si="325"/>
        <v>1.1042526238474523E-5</v>
      </c>
      <c r="BU268" s="44">
        <f t="shared" si="326"/>
        <v>1.0548935380886446E-5</v>
      </c>
      <c r="BV268" s="44">
        <f t="shared" si="327"/>
        <v>1.0130848535934736E-5</v>
      </c>
      <c r="BW268" s="44">
        <f t="shared" si="328"/>
        <v>6.6261324473230537E-6</v>
      </c>
      <c r="BX268" s="44">
        <f t="shared" si="329"/>
        <v>4.8952663264713615E-6</v>
      </c>
      <c r="BY268" s="44">
        <f t="shared" si="330"/>
        <v>4.20314878825278E-6</v>
      </c>
      <c r="CA268" s="44" t="str">
        <f t="shared" si="331"/>
        <v/>
      </c>
      <c r="CB268" s="44" t="str">
        <f t="shared" si="332"/>
        <v/>
      </c>
      <c r="CC268" s="44" t="str">
        <f t="shared" si="333"/>
        <v/>
      </c>
      <c r="CD268" s="44" t="str">
        <f t="shared" si="334"/>
        <v/>
      </c>
      <c r="CE268" s="44" t="str">
        <f t="shared" si="335"/>
        <v/>
      </c>
      <c r="CF268" s="44" t="str">
        <f t="shared" si="336"/>
        <v/>
      </c>
      <c r="CG268" s="44" t="str">
        <f t="shared" si="337"/>
        <v/>
      </c>
      <c r="CH268" s="44" t="str">
        <f t="shared" si="338"/>
        <v/>
      </c>
      <c r="CI268" s="44" t="str">
        <f t="shared" si="339"/>
        <v/>
      </c>
      <c r="CJ268" s="44" t="str">
        <f t="shared" si="340"/>
        <v/>
      </c>
      <c r="CK268" s="44" t="str">
        <f t="shared" si="341"/>
        <v/>
      </c>
      <c r="CL268" s="44" t="str">
        <f t="shared" si="342"/>
        <v/>
      </c>
      <c r="CM268" s="44" t="str">
        <f t="shared" si="343"/>
        <v/>
      </c>
      <c r="CN268" s="44" t="str">
        <f t="shared" si="344"/>
        <v/>
      </c>
      <c r="CO268" s="44" t="str">
        <f t="shared" si="345"/>
        <v/>
      </c>
      <c r="CP268" s="44" t="str">
        <f t="shared" si="346"/>
        <v/>
      </c>
      <c r="CQ268" s="44" t="str">
        <f t="shared" si="347"/>
        <v/>
      </c>
      <c r="CR268" s="44" t="str">
        <f t="shared" si="348"/>
        <v/>
      </c>
      <c r="CS268" s="44" t="str">
        <f t="shared" si="349"/>
        <v/>
      </c>
      <c r="CT268" s="44" t="str">
        <f t="shared" si="350"/>
        <v/>
      </c>
      <c r="CV268" s="44">
        <f t="shared" si="351"/>
        <v>0</v>
      </c>
    </row>
    <row r="269" spans="1:100" x14ac:dyDescent="0.25">
      <c r="A269" s="41"/>
      <c r="B269" s="42"/>
      <c r="C269" s="43" t="str" cm="1">
        <f t="array" ref="C269">IF(B269="","",INDEX(UWS!$B$10:$B$41,B269))</f>
        <v/>
      </c>
      <c r="D269" s="40" t="str">
        <f t="shared" si="308"/>
        <v/>
      </c>
      <c r="E269" s="69" t="str">
        <f t="shared" si="309"/>
        <v/>
      </c>
      <c r="F269" s="48" cm="1">
        <f t="array" ref="F269">0.1+IFERROR(INDEX($F$5:$F268,SUMPRODUCT(MAX(ROW($C$5:$C268)*($C269=$C$5:$C268))-ROW($A$4)))*0.9^($A269-INDEX($A$5:A268,SUMPRODUCT(MAX(ROW($C$5:$C268)*($C269=$C$5:$C268))-ROW($A$4)))),0)</f>
        <v>20.40000000000002</v>
      </c>
      <c r="G269" s="55" t="e">
        <f>INDEX(UWS!$AB$10:$AB$41,MATCH(C269,UWS!$B$10:$B$41,0))</f>
        <v>#N/A</v>
      </c>
      <c r="H269" s="48" t="e">
        <f>INDEX(UWS!$C$10:$C$41,MATCH(C269,UWS!$B$10:$B$41,0))</f>
        <v>#N/A</v>
      </c>
      <c r="I269" s="27">
        <f t="shared" si="310"/>
        <v>5</v>
      </c>
      <c r="J269" s="27" t="e">
        <f>INDEX(UWS!$E$10:$E$41,MATCH(C269,UWS!$B$10:$B$41,0))</f>
        <v>#N/A</v>
      </c>
      <c r="L269" s="108" t="str" cm="1">
        <f t="array" ref="L269">IF(K269="","",INDEX(UWS!$B$10:$B$41,K269))</f>
        <v/>
      </c>
      <c r="N269" s="108" t="str" cm="1">
        <f t="array" ref="N269">IF(M269="","",INDEX(UWS!$B$10:$B$41,M269))</f>
        <v/>
      </c>
      <c r="P269">
        <f>IFERROR(INDEX(UWS!$G$10:$Z$41,MATCH($C269,UWS!$B$10:$B$41,0),MATCH(P$4,UWS!$G$3:$Z$3,0)),0)</f>
        <v>0</v>
      </c>
      <c r="Q269">
        <f>IFERROR(INDEX(UWS!$G$10:$Z$41,MATCH($C269,UWS!$B$10:$B$41,0),MATCH(Q$4,UWS!$G$3:$Z$3,0)),0)</f>
        <v>0</v>
      </c>
      <c r="R269">
        <f>IFERROR(INDEX(UWS!$G$10:$Z$41,MATCH($C269,UWS!$B$10:$B$41,0),MATCH(R$4,UWS!$G$3:$Z$3,0)),0)</f>
        <v>0</v>
      </c>
      <c r="S269">
        <f>IFERROR(INDEX(UWS!$G$10:$Z$41,MATCH($C269,UWS!$B$10:$B$41,0),MATCH(S$4,UWS!$G$3:$Z$3,0)),0)</f>
        <v>0</v>
      </c>
      <c r="T269">
        <f>IFERROR(INDEX(UWS!$G$10:$Z$41,MATCH($C269,UWS!$B$10:$B$41,0),MATCH(T$4,UWS!$G$3:$Z$3,0)),0)</f>
        <v>0</v>
      </c>
      <c r="U269">
        <f>IFERROR(INDEX(UWS!$G$10:$Z$41,MATCH($C269,UWS!$B$10:$B$41,0),MATCH(U$4,UWS!$G$3:$Z$3,0)),0)</f>
        <v>0</v>
      </c>
      <c r="V269">
        <f>IFERROR(INDEX(UWS!$G$10:$Z$41,MATCH($C269,UWS!$B$10:$B$41,0),MATCH(V$4,UWS!$G$3:$Z$3,0)),0)</f>
        <v>0</v>
      </c>
      <c r="W269">
        <f>IFERROR(INDEX(UWS!$G$10:$Z$41,MATCH($C269,UWS!$B$10:$B$41,0),MATCH(W$4,UWS!$G$3:$Z$3,0)),0)</f>
        <v>0</v>
      </c>
      <c r="X269">
        <f>IFERROR(INDEX(UWS!$G$10:$Z$41,MATCH($C269,UWS!$B$10:$B$41,0),MATCH(X$4,UWS!$G$3:$Z$3,0)),0)</f>
        <v>0</v>
      </c>
      <c r="Y269">
        <f>IFERROR(INDEX(UWS!$G$10:$Z$41,MATCH($C269,UWS!$B$10:$B$41,0),MATCH(Y$4,UWS!$G$3:$Z$3,0)),0)</f>
        <v>0</v>
      </c>
      <c r="Z269">
        <f>IFERROR(INDEX(UWS!$G$10:$Z$41,MATCH($C269,UWS!$B$10:$B$41,0),MATCH(Z$4,UWS!$G$3:$Z$3,0)),0)</f>
        <v>0</v>
      </c>
      <c r="AA269">
        <f>IFERROR(INDEX(UWS!$G$10:$Z$41,MATCH($C269,UWS!$B$10:$B$41,0),MATCH(AA$4,UWS!$G$3:$Z$3,0)),0)</f>
        <v>0</v>
      </c>
      <c r="AB269">
        <f>IFERROR(INDEX(UWS!$G$10:$Z$41,MATCH($C269,UWS!$B$10:$B$41,0),MATCH(AB$4,UWS!$G$3:$Z$3,0)),0)</f>
        <v>0</v>
      </c>
      <c r="AC269">
        <f>IFERROR(INDEX(UWS!$G$10:$Z$41,MATCH($C269,UWS!$B$10:$B$41,0),MATCH(AC$4,UWS!$G$3:$Z$3,0)),0)</f>
        <v>0</v>
      </c>
      <c r="AD269">
        <f>IFERROR(INDEX(UWS!$G$10:$Z$41,MATCH($C269,UWS!$B$10:$B$41,0),MATCH(AD$4,UWS!$G$3:$Z$3,0)),0)</f>
        <v>0</v>
      </c>
      <c r="AE269">
        <f>IFERROR(INDEX(UWS!$G$10:$Z$41,MATCH($C269,UWS!$B$10:$B$41,0),MATCH(AE$4,UWS!$G$3:$Z$3,0)),0)</f>
        <v>0</v>
      </c>
      <c r="AF269">
        <f>IFERROR(INDEX(UWS!$G$10:$Z$41,MATCH($C269,UWS!$B$10:$B$41,0),MATCH(AF$4,UWS!$G$3:$Z$3,0)),0)</f>
        <v>0</v>
      </c>
      <c r="AG269">
        <f>IFERROR(INDEX(UWS!$G$10:$Z$41,MATCH($C269,UWS!$B$10:$B$41,0),MATCH(AG$4,UWS!$G$3:$Z$3,0)),0)</f>
        <v>0</v>
      </c>
      <c r="AH269">
        <f>IFERROR(INDEX(UWS!$G$10:$Z$41,MATCH($C269,UWS!$B$10:$B$41,0),MATCH(AH$4,UWS!$G$3:$Z$3,0)),0)</f>
        <v>0</v>
      </c>
      <c r="AI269">
        <f>IFERROR(INDEX(UWS!$G$10:$Z$41,MATCH($C269,UWS!$B$10:$B$41,0),MATCH(AI$4,UWS!$G$3:$Z$3,0)),0)</f>
        <v>0</v>
      </c>
      <c r="AK269" t="e">
        <f>IF(OR($J269=0,COUNTIFS($A$4:$A268,"&gt;="&amp;$A269-1,$A$4:$A268,"&lt;="&amp;$A269,$B$4:$B268,$B269)&gt;0,MIN(AK$1,IF($A269=$A268,AK268,1))-P269&lt;0),-1,MIN(1,IF($A269=$A268,AK268,1)-P269+$D$3))</f>
        <v>#N/A</v>
      </c>
      <c r="AL269" t="e">
        <f>IF(OR($J269=0,COUNTIFS($A$4:$A268,"&gt;="&amp;$A269-1,$A$4:$A268,"&lt;="&amp;$A269,$B$4:$B268,$B269)&gt;0,MIN(AL$1,IF($A269=$A268,AL268,1))-Q269&lt;0),-1,MIN(1,IF($A269=$A268,AL268,1)-Q269+$D$3))</f>
        <v>#N/A</v>
      </c>
      <c r="AM269" t="e">
        <f>IF(OR($J269=0,COUNTIFS($A$4:$A268,"&gt;="&amp;$A269-1,$A$4:$A268,"&lt;="&amp;$A269,$B$4:$B268,$B269)&gt;0,MIN(AM$1,IF($A269=$A268,AM268,1))-R269&lt;0),-1,MIN(1,IF($A269=$A268,AM268,1)-R269+$D$3))</f>
        <v>#N/A</v>
      </c>
      <c r="AN269" t="e">
        <f>IF(OR($J269=0,COUNTIFS($A$4:$A268,"&gt;="&amp;$A269-1,$A$4:$A268,"&lt;="&amp;$A269,$B$4:$B268,$B269)&gt;0,MIN(AN$1,IF($A269=$A268,AN268,1))-S269&lt;0),-1,MIN(1,IF($A269=$A268,AN268,1)-S269+$D$3))</f>
        <v>#N/A</v>
      </c>
      <c r="AO269" t="e">
        <f>IF(OR($J269=0,COUNTIFS($A$4:$A268,"&gt;="&amp;$A269-1,$A$4:$A268,"&lt;="&amp;$A269,$B$4:$B268,$B269)&gt;0,MIN(AO$1,IF($A269=$A268,AO268,1))-T269&lt;0),-1,MIN(1,IF($A269=$A268,AO268,1)-T269+$D$3))</f>
        <v>#N/A</v>
      </c>
      <c r="AP269" t="e">
        <f>IF(OR($J269=0,COUNTIFS($A$4:$A268,"&gt;="&amp;$A269-1,$A$4:$A268,"&lt;="&amp;$A269,$B$4:$B268,$B269)&gt;0,MIN(AP$1,IF($A269=$A268,AP268,1))-U269&lt;0),-1,MIN(1,IF($A269=$A268,AP268,1)-U269+$D$3))</f>
        <v>#N/A</v>
      </c>
      <c r="AQ269" t="e">
        <f>IF(OR($J269=0,COUNTIFS($A$4:$A268,"&gt;="&amp;$A269-1,$A$4:$A268,"&lt;="&amp;$A269,$B$4:$B268,$B269)&gt;0,MIN(AQ$1,IF($A269=$A268,AQ268,1))-V269&lt;0),-1,MIN(1,IF($A269=$A268,AQ268,1)-V269+$D$3))</f>
        <v>#N/A</v>
      </c>
      <c r="AR269" t="e">
        <f>IF(OR($J269=0,COUNTIFS($A$4:$A268,"&gt;="&amp;$A269-1,$A$4:$A268,"&lt;="&amp;$A269,$B$4:$B268,$B269)&gt;0,MIN(AR$1,IF($A269=$A268,AR268,1))-W269&lt;0),-1,MIN(1,IF($A269=$A268,AR268,1)-W269+$D$3))</f>
        <v>#N/A</v>
      </c>
      <c r="AS269" t="e">
        <f>IF(OR($J269=0,COUNTIFS($A$4:$A268,"&gt;="&amp;$A269-1,$A$4:$A268,"&lt;="&amp;$A269,$B$4:$B268,$B269)&gt;0,MIN(AS$1,IF($A269=$A268,AS268,1))-X269&lt;0),-1,MIN(1,IF($A269=$A268,AS268,1)-X269+$D$3))</f>
        <v>#N/A</v>
      </c>
      <c r="AT269" t="e">
        <f>IF(OR($J269=0,COUNTIFS($A$4:$A268,"&gt;="&amp;$A269-1,$A$4:$A268,"&lt;="&amp;$A269,$B$4:$B268,$B269)&gt;0,MIN(AT$1,IF($A269=$A268,AT268,1))-Y269&lt;0),-1,MIN(1,IF($A269=$A268,AT268,1)-Y269+$D$3))</f>
        <v>#N/A</v>
      </c>
      <c r="AU269" t="e">
        <f>IF(OR($J269=0,COUNTIFS($A$4:$A268,"&gt;="&amp;$A269-1,$A$4:$A268,"&lt;="&amp;$A269,$B$4:$B268,$B269)&gt;0,MIN(AU$1,IF($A269=$A268,AU268,1))-Z269&lt;0),-1,MIN(1,IF($A269=$A268,AU268,1)-Z269+$D$3))</f>
        <v>#N/A</v>
      </c>
      <c r="AV269" t="e">
        <f>IF(OR($J269=0,COUNTIFS($A$4:$A268,"&gt;="&amp;$A269-1,$A$4:$A268,"&lt;="&amp;$A269,$B$4:$B268,$B269)&gt;0,MIN(AV$1,IF($A269=$A268,AV268,1))-AA269&lt;0),-1,MIN(1,IF($A269=$A268,AV268,1)-AA269+$D$3))</f>
        <v>#N/A</v>
      </c>
      <c r="AW269" t="e">
        <f>IF(OR($J269=0,COUNTIFS($A$4:$A268,"&gt;="&amp;$A269-1,$A$4:$A268,"&lt;="&amp;$A269,$B$4:$B268,$B269)&gt;0,MIN(AW$1,IF($A269=$A268,AW268,1))-AB269&lt;0),-1,MIN(1,IF($A269=$A268,AW268,1)-AB269+$D$3))</f>
        <v>#N/A</v>
      </c>
      <c r="AX269" t="e">
        <f>IF(OR($J269=0,COUNTIFS($A$4:$A268,"&gt;="&amp;$A269-1,$A$4:$A268,"&lt;="&amp;$A269,$B$4:$B268,$B269)&gt;0,MIN(AX$1,IF($A269=$A268,AX268,1))-AC269&lt;0),-1,MIN(1,IF($A269=$A268,AX268,1)-AC269+$D$3))</f>
        <v>#N/A</v>
      </c>
      <c r="AY269" t="e">
        <f>IF(OR($J269=0,COUNTIFS($A$4:$A268,"&gt;="&amp;$A269-1,$A$4:$A268,"&lt;="&amp;$A269,$B$4:$B268,$B269)&gt;0,MIN(AY$1,IF($A269=$A268,AY268,1))-AD269&lt;0),-1,MIN(1,IF($A269=$A268,AY268,1)-AD269+$D$3))</f>
        <v>#N/A</v>
      </c>
      <c r="AZ269" t="e">
        <f>IF(OR($J269=0,COUNTIFS($A$4:$A268,"&gt;="&amp;$A269-1,$A$4:$A268,"&lt;="&amp;$A269,$B$4:$B268,$B269)&gt;0,MIN(AZ$1,IF($A269=$A268,AZ268,1))-AE269&lt;0),-1,MIN(1,IF($A269=$A268,AZ268,1)-AE269+$D$3))</f>
        <v>#N/A</v>
      </c>
      <c r="BA269" t="e">
        <f>IF(OR($J269=0,COUNTIFS($A$4:$A268,"&gt;="&amp;$A269-1,$A$4:$A268,"&lt;="&amp;$A269,$B$4:$B268,$B269)&gt;0,MIN(BA$1,IF($A269=$A268,BA268,1))-AF269&lt;0),-1,MIN(1,IF($A269=$A268,BA268,1)-AF269+$D$3))</f>
        <v>#N/A</v>
      </c>
      <c r="BB269" t="e">
        <f>IF(OR($J269=0,COUNTIFS($A$4:$A268,"&gt;="&amp;$A269-1,$A$4:$A268,"&lt;="&amp;$A269,$B$4:$B268,$B269)&gt;0,MIN(BB$1,IF($A269=$A268,BB268,1))-AG269&lt;0),-1,MIN(1,IF($A269=$A268,BB268,1)-AG269+$D$3))</f>
        <v>#N/A</v>
      </c>
      <c r="BC269" t="e">
        <f>IF(OR($J269=0,COUNTIFS($A$4:$A268,"&gt;="&amp;$A269-1,$A$4:$A268,"&lt;="&amp;$A269,$B$4:$B268,$B269)&gt;0,MIN(BC$1,IF($A269=$A268,BC268,1))-AH269&lt;0),-1,MIN(1,IF($A269=$A268,BC268,1)-AH269+$D$3))</f>
        <v>#N/A</v>
      </c>
      <c r="BD269" t="e">
        <f>IF(OR($J269=0,COUNTIFS($A$4:$A268,"&gt;="&amp;$A269-1,$A$4:$A268,"&lt;="&amp;$A269,$B$4:$B268,$B269)&gt;0,MIN(BD$1,IF($A269=$A268,BD268,1))-AI269&lt;0),-1,MIN(1,IF($A269=$A268,BD268,1)-AI269+$D$3))</f>
        <v>#N/A</v>
      </c>
      <c r="BF269" s="44">
        <f t="shared" si="311"/>
        <v>2.6488739680794574E-6</v>
      </c>
      <c r="BG269" s="44">
        <f t="shared" si="312"/>
        <v>6.514328550104983E-6</v>
      </c>
      <c r="BH269" s="44">
        <f t="shared" si="313"/>
        <v>6.6765015236036398E-6</v>
      </c>
      <c r="BI269" s="44">
        <f t="shared" si="314"/>
        <v>6.1672337554103118E-6</v>
      </c>
      <c r="BJ269" s="44">
        <f t="shared" si="315"/>
        <v>6.3744215784724161E-6</v>
      </c>
      <c r="BK269" s="44">
        <f t="shared" si="316"/>
        <v>2.7374142957195267E-6</v>
      </c>
      <c r="BL269" s="44">
        <f t="shared" si="317"/>
        <v>1.47879426862873E-6</v>
      </c>
      <c r="BM269" s="44">
        <f t="shared" si="318"/>
        <v>3.761879933137896E-6</v>
      </c>
      <c r="BN269" s="44">
        <f t="shared" si="319"/>
        <v>3.9126483140097444E-6</v>
      </c>
      <c r="BO269" s="44">
        <f t="shared" si="320"/>
        <v>1.8336154679078478E-6</v>
      </c>
      <c r="BP269" s="44">
        <f t="shared" si="321"/>
        <v>6.165491157523682E-6</v>
      </c>
      <c r="BQ269" s="44">
        <f t="shared" si="322"/>
        <v>1.6638108410018638E-6</v>
      </c>
      <c r="BR269" s="44">
        <f t="shared" si="323"/>
        <v>4.9153137197295517E-6</v>
      </c>
      <c r="BS269" s="44">
        <f t="shared" si="324"/>
        <v>2.6508939158227684E-6</v>
      </c>
      <c r="BT269" s="44">
        <f t="shared" si="325"/>
        <v>1.0490399926550795E-5</v>
      </c>
      <c r="BU269" s="44">
        <f t="shared" si="326"/>
        <v>1.0021488611842123E-5</v>
      </c>
      <c r="BV269" s="44">
        <f t="shared" si="327"/>
        <v>9.6243061091379998E-6</v>
      </c>
      <c r="BW269" s="44">
        <f t="shared" si="328"/>
        <v>6.2948258249569007E-6</v>
      </c>
      <c r="BX269" s="44">
        <f t="shared" si="329"/>
        <v>4.6505030101477932E-6</v>
      </c>
      <c r="BY269" s="44">
        <f t="shared" si="330"/>
        <v>3.9929913488401407E-6</v>
      </c>
      <c r="CA269" s="44" t="str">
        <f t="shared" si="331"/>
        <v/>
      </c>
      <c r="CB269" s="44" t="str">
        <f t="shared" si="332"/>
        <v/>
      </c>
      <c r="CC269" s="44" t="str">
        <f t="shared" si="333"/>
        <v/>
      </c>
      <c r="CD269" s="44" t="str">
        <f t="shared" si="334"/>
        <v/>
      </c>
      <c r="CE269" s="44" t="str">
        <f t="shared" si="335"/>
        <v/>
      </c>
      <c r="CF269" s="44" t="str">
        <f t="shared" si="336"/>
        <v/>
      </c>
      <c r="CG269" s="44" t="str">
        <f t="shared" si="337"/>
        <v/>
      </c>
      <c r="CH269" s="44" t="str">
        <f t="shared" si="338"/>
        <v/>
      </c>
      <c r="CI269" s="44" t="str">
        <f t="shared" si="339"/>
        <v/>
      </c>
      <c r="CJ269" s="44" t="str">
        <f t="shared" si="340"/>
        <v/>
      </c>
      <c r="CK269" s="44" t="str">
        <f t="shared" si="341"/>
        <v/>
      </c>
      <c r="CL269" s="44" t="str">
        <f t="shared" si="342"/>
        <v/>
      </c>
      <c r="CM269" s="44" t="str">
        <f t="shared" si="343"/>
        <v/>
      </c>
      <c r="CN269" s="44" t="str">
        <f t="shared" si="344"/>
        <v/>
      </c>
      <c r="CO269" s="44" t="str">
        <f t="shared" si="345"/>
        <v/>
      </c>
      <c r="CP269" s="44" t="str">
        <f t="shared" si="346"/>
        <v/>
      </c>
      <c r="CQ269" s="44" t="str">
        <f t="shared" si="347"/>
        <v/>
      </c>
      <c r="CR269" s="44" t="str">
        <f t="shared" si="348"/>
        <v/>
      </c>
      <c r="CS269" s="44" t="str">
        <f t="shared" si="349"/>
        <v/>
      </c>
      <c r="CT269" s="44" t="str">
        <f t="shared" si="350"/>
        <v/>
      </c>
      <c r="CV269" s="44">
        <f t="shared" si="351"/>
        <v>0</v>
      </c>
    </row>
    <row r="270" spans="1:100" x14ac:dyDescent="0.25">
      <c r="A270" s="49"/>
      <c r="B270" s="50"/>
      <c r="C270" s="51" t="str" cm="1">
        <f t="array" ref="C270">IF(B270="","",INDEX(UWS!$B$10:$B$41,B270))</f>
        <v/>
      </c>
      <c r="D270" s="45" t="str">
        <f t="shared" si="308"/>
        <v/>
      </c>
      <c r="E270" s="70" t="str">
        <f t="shared" si="309"/>
        <v/>
      </c>
      <c r="F270" s="52" cm="1">
        <f t="array" ref="F270">0.1+IFERROR(INDEX($F$5:$F269,SUMPRODUCT(MAX(ROW($C$5:$C269)*($C270=$C$5:$C269))-ROW($A$4)))*0.9^($A270-INDEX($A$5:A269,SUMPRODUCT(MAX(ROW($C$5:$C269)*($C270=$C$5:$C269))-ROW($A$4)))),0)</f>
        <v>20.500000000000021</v>
      </c>
      <c r="G270" s="56" t="e">
        <f>INDEX(UWS!$AB$10:$AB$41,MATCH(C270,UWS!$B$10:$B$41,0))</f>
        <v>#N/A</v>
      </c>
      <c r="H270" s="52" t="e">
        <f>INDEX(UWS!$C$10:$C$41,MATCH(C270,UWS!$B$10:$B$41,0))</f>
        <v>#N/A</v>
      </c>
      <c r="I270" s="46">
        <f t="shared" si="310"/>
        <v>5</v>
      </c>
      <c r="J270" s="46" t="e">
        <f>INDEX(UWS!$E$10:$E$41,MATCH(C270,UWS!$B$10:$B$41,0))</f>
        <v>#N/A</v>
      </c>
      <c r="K270" s="46"/>
      <c r="L270" s="109" t="str" cm="1">
        <f t="array" ref="L270">IF(K270="","",INDEX(UWS!$B$10:$B$41,K270))</f>
        <v/>
      </c>
      <c r="M270" s="46"/>
      <c r="N270" s="109" t="str" cm="1">
        <f t="array" ref="N270">IF(M270="","",INDEX(UWS!$B$10:$B$41,M270))</f>
        <v/>
      </c>
      <c r="O270" s="47"/>
      <c r="P270" s="47">
        <f>IFERROR(INDEX(UWS!$G$10:$Z$41,MATCH($C270,UWS!$B$10:$B$41,0),MATCH(P$4,UWS!$G$3:$Z$3,0)),0)</f>
        <v>0</v>
      </c>
      <c r="Q270" s="47">
        <f>IFERROR(INDEX(UWS!$G$10:$Z$41,MATCH($C270,UWS!$B$10:$B$41,0),MATCH(Q$4,UWS!$G$3:$Z$3,0)),0)</f>
        <v>0</v>
      </c>
      <c r="R270" s="47">
        <f>IFERROR(INDEX(UWS!$G$10:$Z$41,MATCH($C270,UWS!$B$10:$B$41,0),MATCH(R$4,UWS!$G$3:$Z$3,0)),0)</f>
        <v>0</v>
      </c>
      <c r="S270" s="47">
        <f>IFERROR(INDEX(UWS!$G$10:$Z$41,MATCH($C270,UWS!$B$10:$B$41,0),MATCH(S$4,UWS!$G$3:$Z$3,0)),0)</f>
        <v>0</v>
      </c>
      <c r="T270" s="47">
        <f>IFERROR(INDEX(UWS!$G$10:$Z$41,MATCH($C270,UWS!$B$10:$B$41,0),MATCH(T$4,UWS!$G$3:$Z$3,0)),0)</f>
        <v>0</v>
      </c>
      <c r="U270" s="47">
        <f>IFERROR(INDEX(UWS!$G$10:$Z$41,MATCH($C270,UWS!$B$10:$B$41,0),MATCH(U$4,UWS!$G$3:$Z$3,0)),0)</f>
        <v>0</v>
      </c>
      <c r="V270" s="47">
        <f>IFERROR(INDEX(UWS!$G$10:$Z$41,MATCH($C270,UWS!$B$10:$B$41,0),MATCH(V$4,UWS!$G$3:$Z$3,0)),0)</f>
        <v>0</v>
      </c>
      <c r="W270" s="47">
        <f>IFERROR(INDEX(UWS!$G$10:$Z$41,MATCH($C270,UWS!$B$10:$B$41,0),MATCH(W$4,UWS!$G$3:$Z$3,0)),0)</f>
        <v>0</v>
      </c>
      <c r="X270" s="47">
        <f>IFERROR(INDEX(UWS!$G$10:$Z$41,MATCH($C270,UWS!$B$10:$B$41,0),MATCH(X$4,UWS!$G$3:$Z$3,0)),0)</f>
        <v>0</v>
      </c>
      <c r="Y270" s="47">
        <f>IFERROR(INDEX(UWS!$G$10:$Z$41,MATCH($C270,UWS!$B$10:$B$41,0),MATCH(Y$4,UWS!$G$3:$Z$3,0)),0)</f>
        <v>0</v>
      </c>
      <c r="Z270" s="47">
        <f>IFERROR(INDEX(UWS!$G$10:$Z$41,MATCH($C270,UWS!$B$10:$B$41,0),MATCH(Z$4,UWS!$G$3:$Z$3,0)),0)</f>
        <v>0</v>
      </c>
      <c r="AA270" s="47">
        <f>IFERROR(INDEX(UWS!$G$10:$Z$41,MATCH($C270,UWS!$B$10:$B$41,0),MATCH(AA$4,UWS!$G$3:$Z$3,0)),0)</f>
        <v>0</v>
      </c>
      <c r="AB270" s="47">
        <f>IFERROR(INDEX(UWS!$G$10:$Z$41,MATCH($C270,UWS!$B$10:$B$41,0),MATCH(AB$4,UWS!$G$3:$Z$3,0)),0)</f>
        <v>0</v>
      </c>
      <c r="AC270" s="47">
        <f>IFERROR(INDEX(UWS!$G$10:$Z$41,MATCH($C270,UWS!$B$10:$B$41,0),MATCH(AC$4,UWS!$G$3:$Z$3,0)),0)</f>
        <v>0</v>
      </c>
      <c r="AD270" s="47">
        <f>IFERROR(INDEX(UWS!$G$10:$Z$41,MATCH($C270,UWS!$B$10:$B$41,0),MATCH(AD$4,UWS!$G$3:$Z$3,0)),0)</f>
        <v>0</v>
      </c>
      <c r="AE270" s="47">
        <f>IFERROR(INDEX(UWS!$G$10:$Z$41,MATCH($C270,UWS!$B$10:$B$41,0),MATCH(AE$4,UWS!$G$3:$Z$3,0)),0)</f>
        <v>0</v>
      </c>
      <c r="AF270" s="47">
        <f>IFERROR(INDEX(UWS!$G$10:$Z$41,MATCH($C270,UWS!$B$10:$B$41,0),MATCH(AF$4,UWS!$G$3:$Z$3,0)),0)</f>
        <v>0</v>
      </c>
      <c r="AG270" s="47">
        <f>IFERROR(INDEX(UWS!$G$10:$Z$41,MATCH($C270,UWS!$B$10:$B$41,0),MATCH(AG$4,UWS!$G$3:$Z$3,0)),0)</f>
        <v>0</v>
      </c>
      <c r="AH270" s="47">
        <f>IFERROR(INDEX(UWS!$G$10:$Z$41,MATCH($C270,UWS!$B$10:$B$41,0),MATCH(AH$4,UWS!$G$3:$Z$3,0)),0)</f>
        <v>0</v>
      </c>
      <c r="AI270" s="47">
        <f>IFERROR(INDEX(UWS!$G$10:$Z$41,MATCH($C270,UWS!$B$10:$B$41,0),MATCH(AI$4,UWS!$G$3:$Z$3,0)),0)</f>
        <v>0</v>
      </c>
      <c r="AJ270" s="47"/>
      <c r="AK270" s="47" t="e">
        <f>IF(OR($J270=0,COUNTIFS($A$4:$A269,"&gt;="&amp;$A270-1,$A$4:$A269,"&lt;="&amp;$A270,$B$4:$B269,$B270)&gt;0,MIN(AK$1,IF($A270=$A269,AK269,1))-P270&lt;0),-1,MIN(1,IF($A270=$A269,AK269,1)-P270+$D$3))</f>
        <v>#N/A</v>
      </c>
      <c r="AL270" s="47" t="e">
        <f>IF(OR($J270=0,COUNTIFS($A$4:$A269,"&gt;="&amp;$A270-1,$A$4:$A269,"&lt;="&amp;$A270,$B$4:$B269,$B270)&gt;0,MIN(AL$1,IF($A270=$A269,AL269,1))-Q270&lt;0),-1,MIN(1,IF($A270=$A269,AL269,1)-Q270+$D$3))</f>
        <v>#N/A</v>
      </c>
      <c r="AM270" s="47" t="e">
        <f>IF(OR($J270=0,COUNTIFS($A$4:$A269,"&gt;="&amp;$A270-1,$A$4:$A269,"&lt;="&amp;$A270,$B$4:$B269,$B270)&gt;0,MIN(AM$1,IF($A270=$A269,AM269,1))-R270&lt;0),-1,MIN(1,IF($A270=$A269,AM269,1)-R270+$D$3))</f>
        <v>#N/A</v>
      </c>
      <c r="AN270" s="47" t="e">
        <f>IF(OR($J270=0,COUNTIFS($A$4:$A269,"&gt;="&amp;$A270-1,$A$4:$A269,"&lt;="&amp;$A270,$B$4:$B269,$B270)&gt;0,MIN(AN$1,IF($A270=$A269,AN269,1))-S270&lt;0),-1,MIN(1,IF($A270=$A269,AN269,1)-S270+$D$3))</f>
        <v>#N/A</v>
      </c>
      <c r="AO270" s="47" t="e">
        <f>IF(OR($J270=0,COUNTIFS($A$4:$A269,"&gt;="&amp;$A270-1,$A$4:$A269,"&lt;="&amp;$A270,$B$4:$B269,$B270)&gt;0,MIN(AO$1,IF($A270=$A269,AO269,1))-T270&lt;0),-1,MIN(1,IF($A270=$A269,AO269,1)-T270+$D$3))</f>
        <v>#N/A</v>
      </c>
      <c r="AP270" s="47" t="e">
        <f>IF(OR($J270=0,COUNTIFS($A$4:$A269,"&gt;="&amp;$A270-1,$A$4:$A269,"&lt;="&amp;$A270,$B$4:$B269,$B270)&gt;0,MIN(AP$1,IF($A270=$A269,AP269,1))-U270&lt;0),-1,MIN(1,IF($A270=$A269,AP269,1)-U270+$D$3))</f>
        <v>#N/A</v>
      </c>
      <c r="AQ270" s="47" t="e">
        <f>IF(OR($J270=0,COUNTIFS($A$4:$A269,"&gt;="&amp;$A270-1,$A$4:$A269,"&lt;="&amp;$A270,$B$4:$B269,$B270)&gt;0,MIN(AQ$1,IF($A270=$A269,AQ269,1))-V270&lt;0),-1,MIN(1,IF($A270=$A269,AQ269,1)-V270+$D$3))</f>
        <v>#N/A</v>
      </c>
      <c r="AR270" s="47" t="e">
        <f>IF(OR($J270=0,COUNTIFS($A$4:$A269,"&gt;="&amp;$A270-1,$A$4:$A269,"&lt;="&amp;$A270,$B$4:$B269,$B270)&gt;0,MIN(AR$1,IF($A270=$A269,AR269,1))-W270&lt;0),-1,MIN(1,IF($A270=$A269,AR269,1)-W270+$D$3))</f>
        <v>#N/A</v>
      </c>
      <c r="AS270" s="47" t="e">
        <f>IF(OR($J270=0,COUNTIFS($A$4:$A269,"&gt;="&amp;$A270-1,$A$4:$A269,"&lt;="&amp;$A270,$B$4:$B269,$B270)&gt;0,MIN(AS$1,IF($A270=$A269,AS269,1))-X270&lt;0),-1,MIN(1,IF($A270=$A269,AS269,1)-X270+$D$3))</f>
        <v>#N/A</v>
      </c>
      <c r="AT270" s="47" t="e">
        <f>IF(OR($J270=0,COUNTIFS($A$4:$A269,"&gt;="&amp;$A270-1,$A$4:$A269,"&lt;="&amp;$A270,$B$4:$B269,$B270)&gt;0,MIN(AT$1,IF($A270=$A269,AT269,1))-Y270&lt;0),-1,MIN(1,IF($A270=$A269,AT269,1)-Y270+$D$3))</f>
        <v>#N/A</v>
      </c>
      <c r="AU270" s="47" t="e">
        <f>IF(OR($J270=0,COUNTIFS($A$4:$A269,"&gt;="&amp;$A270-1,$A$4:$A269,"&lt;="&amp;$A270,$B$4:$B269,$B270)&gt;0,MIN(AU$1,IF($A270=$A269,AU269,1))-Z270&lt;0),-1,MIN(1,IF($A270=$A269,AU269,1)-Z270+$D$3))</f>
        <v>#N/A</v>
      </c>
      <c r="AV270" s="47" t="e">
        <f>IF(OR($J270=0,COUNTIFS($A$4:$A269,"&gt;="&amp;$A270-1,$A$4:$A269,"&lt;="&amp;$A270,$B$4:$B269,$B270)&gt;0,MIN(AV$1,IF($A270=$A269,AV269,1))-AA270&lt;0),-1,MIN(1,IF($A270=$A269,AV269,1)-AA270+$D$3))</f>
        <v>#N/A</v>
      </c>
      <c r="AW270" s="47" t="e">
        <f>IF(OR($J270=0,COUNTIFS($A$4:$A269,"&gt;="&amp;$A270-1,$A$4:$A269,"&lt;="&amp;$A270,$B$4:$B269,$B270)&gt;0,MIN(AW$1,IF($A270=$A269,AW269,1))-AB270&lt;0),-1,MIN(1,IF($A270=$A269,AW269,1)-AB270+$D$3))</f>
        <v>#N/A</v>
      </c>
      <c r="AX270" s="47" t="e">
        <f>IF(OR($J270=0,COUNTIFS($A$4:$A269,"&gt;="&amp;$A270-1,$A$4:$A269,"&lt;="&amp;$A270,$B$4:$B269,$B270)&gt;0,MIN(AX$1,IF($A270=$A269,AX269,1))-AC270&lt;0),-1,MIN(1,IF($A270=$A269,AX269,1)-AC270+$D$3))</f>
        <v>#N/A</v>
      </c>
      <c r="AY270" s="47" t="e">
        <f>IF(OR($J270=0,COUNTIFS($A$4:$A269,"&gt;="&amp;$A270-1,$A$4:$A269,"&lt;="&amp;$A270,$B$4:$B269,$B270)&gt;0,MIN(AY$1,IF($A270=$A269,AY269,1))-AD270&lt;0),-1,MIN(1,IF($A270=$A269,AY269,1)-AD270+$D$3))</f>
        <v>#N/A</v>
      </c>
      <c r="AZ270" s="47" t="e">
        <f>IF(OR($J270=0,COUNTIFS($A$4:$A269,"&gt;="&amp;$A270-1,$A$4:$A269,"&lt;="&amp;$A270,$B$4:$B269,$B270)&gt;0,MIN(AZ$1,IF($A270=$A269,AZ269,1))-AE270&lt;0),-1,MIN(1,IF($A270=$A269,AZ269,1)-AE270+$D$3))</f>
        <v>#N/A</v>
      </c>
      <c r="BA270" s="47" t="e">
        <f>IF(OR($J270=0,COUNTIFS($A$4:$A269,"&gt;="&amp;$A270-1,$A$4:$A269,"&lt;="&amp;$A270,$B$4:$B269,$B270)&gt;0,MIN(BA$1,IF($A270=$A269,BA269,1))-AF270&lt;0),-1,MIN(1,IF($A270=$A269,BA269,1)-AF270+$D$3))</f>
        <v>#N/A</v>
      </c>
      <c r="BB270" s="47" t="e">
        <f>IF(OR($J270=0,COUNTIFS($A$4:$A269,"&gt;="&amp;$A270-1,$A$4:$A269,"&lt;="&amp;$A270,$B$4:$B269,$B270)&gt;0,MIN(BB$1,IF($A270=$A269,BB269,1))-AG270&lt;0),-1,MIN(1,IF($A270=$A269,BB269,1)-AG270+$D$3))</f>
        <v>#N/A</v>
      </c>
      <c r="BC270" s="47" t="e">
        <f>IF(OR($J270=0,COUNTIFS($A$4:$A269,"&gt;="&amp;$A270-1,$A$4:$A269,"&lt;="&amp;$A270,$B$4:$B269,$B270)&gt;0,MIN(BC$1,IF($A270=$A269,BC269,1))-AH270&lt;0),-1,MIN(1,IF($A270=$A269,BC269,1)-AH270+$D$3))</f>
        <v>#N/A</v>
      </c>
      <c r="BD270" s="47" t="e">
        <f>IF(OR($J270=0,COUNTIFS($A$4:$A269,"&gt;="&amp;$A270-1,$A$4:$A269,"&lt;="&amp;$A270,$B$4:$B269,$B270)&gt;0,MIN(BD$1,IF($A270=$A269,BD269,1))-AI270&lt;0),-1,MIN(1,IF($A270=$A269,BD269,1)-AI270+$D$3))</f>
        <v>#N/A</v>
      </c>
      <c r="BE270" s="47"/>
      <c r="BF270" s="53">
        <f t="shared" si="311"/>
        <v>2.5164302696754844E-6</v>
      </c>
      <c r="BG270" s="53">
        <f t="shared" si="312"/>
        <v>6.1886121225997333E-6</v>
      </c>
      <c r="BH270" s="53">
        <f t="shared" si="313"/>
        <v>6.3426764474234573E-6</v>
      </c>
      <c r="BI270" s="53">
        <f t="shared" si="314"/>
        <v>5.8588720676397957E-6</v>
      </c>
      <c r="BJ270" s="53">
        <f t="shared" si="315"/>
        <v>6.0557004995487949E-6</v>
      </c>
      <c r="BK270" s="53">
        <f t="shared" si="316"/>
        <v>2.6005435809335502E-6</v>
      </c>
      <c r="BL270" s="53">
        <f t="shared" si="317"/>
        <v>1.4048545551972933E-6</v>
      </c>
      <c r="BM270" s="53">
        <f t="shared" si="318"/>
        <v>3.573785936481001E-6</v>
      </c>
      <c r="BN270" s="53">
        <f t="shared" si="319"/>
        <v>3.7170158983092568E-6</v>
      </c>
      <c r="BO270" s="53">
        <f t="shared" si="320"/>
        <v>1.7419346945124554E-6</v>
      </c>
      <c r="BP270" s="53">
        <f t="shared" si="321"/>
        <v>5.8572165996474976E-6</v>
      </c>
      <c r="BQ270" s="53">
        <f t="shared" si="322"/>
        <v>1.5806202989517706E-6</v>
      </c>
      <c r="BR270" s="53">
        <f t="shared" si="323"/>
        <v>4.6695480337430741E-6</v>
      </c>
      <c r="BS270" s="53">
        <f t="shared" si="324"/>
        <v>2.5183492200316298E-6</v>
      </c>
      <c r="BT270" s="53">
        <f t="shared" si="325"/>
        <v>9.9658799302232546E-6</v>
      </c>
      <c r="BU270" s="53">
        <f t="shared" si="326"/>
        <v>9.5204141812500154E-6</v>
      </c>
      <c r="BV270" s="53">
        <f t="shared" si="327"/>
        <v>9.1430908036810996E-6</v>
      </c>
      <c r="BW270" s="53">
        <f t="shared" si="328"/>
        <v>5.9800845337090558E-6</v>
      </c>
      <c r="BX270" s="53">
        <f t="shared" si="329"/>
        <v>4.4179778596404036E-6</v>
      </c>
      <c r="BY270" s="53">
        <f t="shared" si="330"/>
        <v>3.7933417813981334E-6</v>
      </c>
      <c r="BZ270" s="47"/>
      <c r="CA270" s="53" t="str">
        <f t="shared" si="331"/>
        <v/>
      </c>
      <c r="CB270" s="53" t="str">
        <f t="shared" si="332"/>
        <v/>
      </c>
      <c r="CC270" s="53" t="str">
        <f t="shared" si="333"/>
        <v/>
      </c>
      <c r="CD270" s="53" t="str">
        <f t="shared" si="334"/>
        <v/>
      </c>
      <c r="CE270" s="53" t="str">
        <f t="shared" si="335"/>
        <v/>
      </c>
      <c r="CF270" s="53" t="str">
        <f t="shared" si="336"/>
        <v/>
      </c>
      <c r="CG270" s="53" t="str">
        <f t="shared" si="337"/>
        <v/>
      </c>
      <c r="CH270" s="53" t="str">
        <f t="shared" si="338"/>
        <v/>
      </c>
      <c r="CI270" s="53" t="str">
        <f t="shared" si="339"/>
        <v/>
      </c>
      <c r="CJ270" s="53" t="str">
        <f t="shared" si="340"/>
        <v/>
      </c>
      <c r="CK270" s="53" t="str">
        <f t="shared" si="341"/>
        <v/>
      </c>
      <c r="CL270" s="53" t="str">
        <f t="shared" si="342"/>
        <v/>
      </c>
      <c r="CM270" s="53" t="str">
        <f t="shared" si="343"/>
        <v/>
      </c>
      <c r="CN270" s="53" t="str">
        <f t="shared" si="344"/>
        <v/>
      </c>
      <c r="CO270" s="53" t="str">
        <f t="shared" si="345"/>
        <v/>
      </c>
      <c r="CP270" s="53" t="str">
        <f t="shared" si="346"/>
        <v/>
      </c>
      <c r="CQ270" s="53" t="str">
        <f t="shared" si="347"/>
        <v/>
      </c>
      <c r="CR270" s="53" t="str">
        <f t="shared" si="348"/>
        <v/>
      </c>
      <c r="CS270" s="53" t="str">
        <f t="shared" si="349"/>
        <v/>
      </c>
      <c r="CT270" s="53" t="str">
        <f t="shared" si="350"/>
        <v/>
      </c>
      <c r="CU270" s="47"/>
      <c r="CV270" s="53">
        <f t="shared" si="351"/>
        <v>0</v>
      </c>
    </row>
    <row r="271" spans="1:100" x14ac:dyDescent="0.25">
      <c r="A271" s="41"/>
      <c r="B271" s="42"/>
      <c r="C271" s="43" t="str" cm="1">
        <f t="array" ref="C271">IF(B271="","",INDEX(UWS!$B$10:$B$41,B271))</f>
        <v/>
      </c>
      <c r="D271" s="40" t="str">
        <f t="shared" si="308"/>
        <v/>
      </c>
      <c r="E271" s="69" t="str">
        <f t="shared" si="309"/>
        <v/>
      </c>
      <c r="F271" s="48" cm="1">
        <f t="array" ref="F271">0.1+IFERROR(INDEX($F$5:$F270,SUMPRODUCT(MAX(ROW($C$5:$C270)*($C271=$C$5:$C270))-ROW($A$4)))*0.9^($A271-INDEX($A$5:A270,SUMPRODUCT(MAX(ROW($C$5:$C270)*($C271=$C$5:$C270))-ROW($A$4)))),0)</f>
        <v>20.600000000000023</v>
      </c>
      <c r="G271" s="55" t="e">
        <f>INDEX(UWS!$AB$10:$AB$41,MATCH(C271,UWS!$B$10:$B$41,0))</f>
        <v>#N/A</v>
      </c>
      <c r="H271" s="48" t="e">
        <f>INDEX(UWS!$C$10:$C$41,MATCH(C271,UWS!$B$10:$B$41,0))</f>
        <v>#N/A</v>
      </c>
      <c r="I271" s="82">
        <f t="shared" si="310"/>
        <v>5</v>
      </c>
      <c r="J271" s="27" t="e">
        <f>INDEX(UWS!$E$10:$E$41,MATCH(C271,UWS!$B$10:$B$41,0))</f>
        <v>#N/A</v>
      </c>
      <c r="L271" s="108" t="str" cm="1">
        <f t="array" ref="L271">IF(K271="","",INDEX(UWS!$B$10:$B$41,K271))</f>
        <v/>
      </c>
      <c r="N271" s="108" t="str" cm="1">
        <f t="array" ref="N271">IF(M271="","",INDEX(UWS!$B$10:$B$41,M271))</f>
        <v/>
      </c>
      <c r="P271">
        <f>IFERROR(INDEX(UWS!$G$10:$Z$41,MATCH($C271,UWS!$B$10:$B$41,0),MATCH(P$4,UWS!$G$3:$Z$3,0)),0)</f>
        <v>0</v>
      </c>
      <c r="Q271">
        <f>IFERROR(INDEX(UWS!$G$10:$Z$41,MATCH($C271,UWS!$B$10:$B$41,0),MATCH(Q$4,UWS!$G$3:$Z$3,0)),0)</f>
        <v>0</v>
      </c>
      <c r="R271">
        <f>IFERROR(INDEX(UWS!$G$10:$Z$41,MATCH($C271,UWS!$B$10:$B$41,0),MATCH(R$4,UWS!$G$3:$Z$3,0)),0)</f>
        <v>0</v>
      </c>
      <c r="S271">
        <f>IFERROR(INDEX(UWS!$G$10:$Z$41,MATCH($C271,UWS!$B$10:$B$41,0),MATCH(S$4,UWS!$G$3:$Z$3,0)),0)</f>
        <v>0</v>
      </c>
      <c r="T271">
        <f>IFERROR(INDEX(UWS!$G$10:$Z$41,MATCH($C271,UWS!$B$10:$B$41,0),MATCH(T$4,UWS!$G$3:$Z$3,0)),0)</f>
        <v>0</v>
      </c>
      <c r="U271">
        <f>IFERROR(INDEX(UWS!$G$10:$Z$41,MATCH($C271,UWS!$B$10:$B$41,0),MATCH(U$4,UWS!$G$3:$Z$3,0)),0)</f>
        <v>0</v>
      </c>
      <c r="V271">
        <f>IFERROR(INDEX(UWS!$G$10:$Z$41,MATCH($C271,UWS!$B$10:$B$41,0),MATCH(V$4,UWS!$G$3:$Z$3,0)),0)</f>
        <v>0</v>
      </c>
      <c r="W271">
        <f>IFERROR(INDEX(UWS!$G$10:$Z$41,MATCH($C271,UWS!$B$10:$B$41,0),MATCH(W$4,UWS!$G$3:$Z$3,0)),0)</f>
        <v>0</v>
      </c>
      <c r="X271">
        <f>IFERROR(INDEX(UWS!$G$10:$Z$41,MATCH($C271,UWS!$B$10:$B$41,0),MATCH(X$4,UWS!$G$3:$Z$3,0)),0)</f>
        <v>0</v>
      </c>
      <c r="Y271">
        <f>IFERROR(INDEX(UWS!$G$10:$Z$41,MATCH($C271,UWS!$B$10:$B$41,0),MATCH(Y$4,UWS!$G$3:$Z$3,0)),0)</f>
        <v>0</v>
      </c>
      <c r="Z271">
        <f>IFERROR(INDEX(UWS!$G$10:$Z$41,MATCH($C271,UWS!$B$10:$B$41,0),MATCH(Z$4,UWS!$G$3:$Z$3,0)),0)</f>
        <v>0</v>
      </c>
      <c r="AA271">
        <f>IFERROR(INDEX(UWS!$G$10:$Z$41,MATCH($C271,UWS!$B$10:$B$41,0),MATCH(AA$4,UWS!$G$3:$Z$3,0)),0)</f>
        <v>0</v>
      </c>
      <c r="AB271">
        <f>IFERROR(INDEX(UWS!$G$10:$Z$41,MATCH($C271,UWS!$B$10:$B$41,0),MATCH(AB$4,UWS!$G$3:$Z$3,0)),0)</f>
        <v>0</v>
      </c>
      <c r="AC271">
        <f>IFERROR(INDEX(UWS!$G$10:$Z$41,MATCH($C271,UWS!$B$10:$B$41,0),MATCH(AC$4,UWS!$G$3:$Z$3,0)),0)</f>
        <v>0</v>
      </c>
      <c r="AD271">
        <f>IFERROR(INDEX(UWS!$G$10:$Z$41,MATCH($C271,UWS!$B$10:$B$41,0),MATCH(AD$4,UWS!$G$3:$Z$3,0)),0)</f>
        <v>0</v>
      </c>
      <c r="AE271">
        <f>IFERROR(INDEX(UWS!$G$10:$Z$41,MATCH($C271,UWS!$B$10:$B$41,0),MATCH(AE$4,UWS!$G$3:$Z$3,0)),0)</f>
        <v>0</v>
      </c>
      <c r="AF271">
        <f>IFERROR(INDEX(UWS!$G$10:$Z$41,MATCH($C271,UWS!$B$10:$B$41,0),MATCH(AF$4,UWS!$G$3:$Z$3,0)),0)</f>
        <v>0</v>
      </c>
      <c r="AG271">
        <f>IFERROR(INDEX(UWS!$G$10:$Z$41,MATCH($C271,UWS!$B$10:$B$41,0),MATCH(AG$4,UWS!$G$3:$Z$3,0)),0)</f>
        <v>0</v>
      </c>
      <c r="AH271">
        <f>IFERROR(INDEX(UWS!$G$10:$Z$41,MATCH($C271,UWS!$B$10:$B$41,0),MATCH(AH$4,UWS!$G$3:$Z$3,0)),0)</f>
        <v>0</v>
      </c>
      <c r="AI271">
        <f>IFERROR(INDEX(UWS!$G$10:$Z$41,MATCH($C271,UWS!$B$10:$B$41,0),MATCH(AI$4,UWS!$G$3:$Z$3,0)),0)</f>
        <v>0</v>
      </c>
      <c r="AK271" t="e">
        <f>IF(OR($J271=0,COUNTIFS($A$4:$A270,"&gt;="&amp;$A271-1,$A$4:$A270,"&lt;="&amp;$A271,$B$4:$B270,$B271)&gt;0,MIN(AK$1,IF($A271=$A270,AK270,1))-P271&lt;0),-1,MIN(1,IF($A271=$A270,AK270,1)-P271+$D$3))</f>
        <v>#N/A</v>
      </c>
      <c r="AL271" t="e">
        <f>IF(OR($J271=0,COUNTIFS($A$4:$A270,"&gt;="&amp;$A271-1,$A$4:$A270,"&lt;="&amp;$A271,$B$4:$B270,$B271)&gt;0,MIN(AL$1,IF($A271=$A270,AL270,1))-Q271&lt;0),-1,MIN(1,IF($A271=$A270,AL270,1)-Q271+$D$3))</f>
        <v>#N/A</v>
      </c>
      <c r="AM271" t="e">
        <f>IF(OR($J271=0,COUNTIFS($A$4:$A270,"&gt;="&amp;$A271-1,$A$4:$A270,"&lt;="&amp;$A271,$B$4:$B270,$B271)&gt;0,MIN(AM$1,IF($A271=$A270,AM270,1))-R271&lt;0),-1,MIN(1,IF($A271=$A270,AM270,1)-R271+$D$3))</f>
        <v>#N/A</v>
      </c>
      <c r="AN271" t="e">
        <f>IF(OR($J271=0,COUNTIFS($A$4:$A270,"&gt;="&amp;$A271-1,$A$4:$A270,"&lt;="&amp;$A271,$B$4:$B270,$B271)&gt;0,MIN(AN$1,IF($A271=$A270,AN270,1))-S271&lt;0),-1,MIN(1,IF($A271=$A270,AN270,1)-S271+$D$3))</f>
        <v>#N/A</v>
      </c>
      <c r="AO271" t="e">
        <f>IF(OR($J271=0,COUNTIFS($A$4:$A270,"&gt;="&amp;$A271-1,$A$4:$A270,"&lt;="&amp;$A271,$B$4:$B270,$B271)&gt;0,MIN(AO$1,IF($A271=$A270,AO270,1))-T271&lt;0),-1,MIN(1,IF($A271=$A270,AO270,1)-T271+$D$3))</f>
        <v>#N/A</v>
      </c>
      <c r="AP271" t="e">
        <f>IF(OR($J271=0,COUNTIFS($A$4:$A270,"&gt;="&amp;$A271-1,$A$4:$A270,"&lt;="&amp;$A271,$B$4:$B270,$B271)&gt;0,MIN(AP$1,IF($A271=$A270,AP270,1))-U271&lt;0),-1,MIN(1,IF($A271=$A270,AP270,1)-U271+$D$3))</f>
        <v>#N/A</v>
      </c>
      <c r="AQ271" t="e">
        <f>IF(OR($J271=0,COUNTIFS($A$4:$A270,"&gt;="&amp;$A271-1,$A$4:$A270,"&lt;="&amp;$A271,$B$4:$B270,$B271)&gt;0,MIN(AQ$1,IF($A271=$A270,AQ270,1))-V271&lt;0),-1,MIN(1,IF($A271=$A270,AQ270,1)-V271+$D$3))</f>
        <v>#N/A</v>
      </c>
      <c r="AR271" t="e">
        <f>IF(OR($J271=0,COUNTIFS($A$4:$A270,"&gt;="&amp;$A271-1,$A$4:$A270,"&lt;="&amp;$A271,$B$4:$B270,$B271)&gt;0,MIN(AR$1,IF($A271=$A270,AR270,1))-W271&lt;0),-1,MIN(1,IF($A271=$A270,AR270,1)-W271+$D$3))</f>
        <v>#N/A</v>
      </c>
      <c r="AS271" t="e">
        <f>IF(OR($J271=0,COUNTIFS($A$4:$A270,"&gt;="&amp;$A271-1,$A$4:$A270,"&lt;="&amp;$A271,$B$4:$B270,$B271)&gt;0,MIN(AS$1,IF($A271=$A270,AS270,1))-X271&lt;0),-1,MIN(1,IF($A271=$A270,AS270,1)-X271+$D$3))</f>
        <v>#N/A</v>
      </c>
      <c r="AT271" t="e">
        <f>IF(OR($J271=0,COUNTIFS($A$4:$A270,"&gt;="&amp;$A271-1,$A$4:$A270,"&lt;="&amp;$A271,$B$4:$B270,$B271)&gt;0,MIN(AT$1,IF($A271=$A270,AT270,1))-Y271&lt;0),-1,MIN(1,IF($A271=$A270,AT270,1)-Y271+$D$3))</f>
        <v>#N/A</v>
      </c>
      <c r="AU271" t="e">
        <f>IF(OR($J271=0,COUNTIFS($A$4:$A270,"&gt;="&amp;$A271-1,$A$4:$A270,"&lt;="&amp;$A271,$B$4:$B270,$B271)&gt;0,MIN(AU$1,IF($A271=$A270,AU270,1))-Z271&lt;0),-1,MIN(1,IF($A271=$A270,AU270,1)-Z271+$D$3))</f>
        <v>#N/A</v>
      </c>
      <c r="AV271" t="e">
        <f>IF(OR($J271=0,COUNTIFS($A$4:$A270,"&gt;="&amp;$A271-1,$A$4:$A270,"&lt;="&amp;$A271,$B$4:$B270,$B271)&gt;0,MIN(AV$1,IF($A271=$A270,AV270,1))-AA271&lt;0),-1,MIN(1,IF($A271=$A270,AV270,1)-AA271+$D$3))</f>
        <v>#N/A</v>
      </c>
      <c r="AW271" t="e">
        <f>IF(OR($J271=0,COUNTIFS($A$4:$A270,"&gt;="&amp;$A271-1,$A$4:$A270,"&lt;="&amp;$A271,$B$4:$B270,$B271)&gt;0,MIN(AW$1,IF($A271=$A270,AW270,1))-AB271&lt;0),-1,MIN(1,IF($A271=$A270,AW270,1)-AB271+$D$3))</f>
        <v>#N/A</v>
      </c>
      <c r="AX271" t="e">
        <f>IF(OR($J271=0,COUNTIFS($A$4:$A270,"&gt;="&amp;$A271-1,$A$4:$A270,"&lt;="&amp;$A271,$B$4:$B270,$B271)&gt;0,MIN(AX$1,IF($A271=$A270,AX270,1))-AC271&lt;0),-1,MIN(1,IF($A271=$A270,AX270,1)-AC271+$D$3))</f>
        <v>#N/A</v>
      </c>
      <c r="AY271" t="e">
        <f>IF(OR($J271=0,COUNTIFS($A$4:$A270,"&gt;="&amp;$A271-1,$A$4:$A270,"&lt;="&amp;$A271,$B$4:$B270,$B271)&gt;0,MIN(AY$1,IF($A271=$A270,AY270,1))-AD271&lt;0),-1,MIN(1,IF($A271=$A270,AY270,1)-AD271+$D$3))</f>
        <v>#N/A</v>
      </c>
      <c r="AZ271" t="e">
        <f>IF(OR($J271=0,COUNTIFS($A$4:$A270,"&gt;="&amp;$A271-1,$A$4:$A270,"&lt;="&amp;$A271,$B$4:$B270,$B271)&gt;0,MIN(AZ$1,IF($A271=$A270,AZ270,1))-AE271&lt;0),-1,MIN(1,IF($A271=$A270,AZ270,1)-AE271+$D$3))</f>
        <v>#N/A</v>
      </c>
      <c r="BA271" t="e">
        <f>IF(OR($J271=0,COUNTIFS($A$4:$A270,"&gt;="&amp;$A271-1,$A$4:$A270,"&lt;="&amp;$A271,$B$4:$B270,$B271)&gt;0,MIN(BA$1,IF($A271=$A270,BA270,1))-AF271&lt;0),-1,MIN(1,IF($A271=$A270,BA270,1)-AF271+$D$3))</f>
        <v>#N/A</v>
      </c>
      <c r="BB271" t="e">
        <f>IF(OR($J271=0,COUNTIFS($A$4:$A270,"&gt;="&amp;$A271-1,$A$4:$A270,"&lt;="&amp;$A271,$B$4:$B270,$B271)&gt;0,MIN(BB$1,IF($A271=$A270,BB270,1))-AG271&lt;0),-1,MIN(1,IF($A271=$A270,BB270,1)-AG271+$D$3))</f>
        <v>#N/A</v>
      </c>
      <c r="BC271" t="e">
        <f>IF(OR($J271=0,COUNTIFS($A$4:$A270,"&gt;="&amp;$A271-1,$A$4:$A270,"&lt;="&amp;$A271,$B$4:$B270,$B271)&gt;0,MIN(BC$1,IF($A271=$A270,BC270,1))-AH271&lt;0),-1,MIN(1,IF($A271=$A270,BC270,1)-AH271+$D$3))</f>
        <v>#N/A</v>
      </c>
      <c r="BD271" t="e">
        <f>IF(OR($J271=0,COUNTIFS($A$4:$A270,"&gt;="&amp;$A271-1,$A$4:$A270,"&lt;="&amp;$A271,$B$4:$B270,$B271)&gt;0,MIN(BD$1,IF($A271=$A270,BD270,1))-AI271&lt;0),-1,MIN(1,IF($A271=$A270,BD270,1)-AI271+$D$3))</f>
        <v>#N/A</v>
      </c>
      <c r="BF271" s="44">
        <f t="shared" si="311"/>
        <v>2.3906087561917098E-6</v>
      </c>
      <c r="BG271" s="44">
        <f t="shared" si="312"/>
        <v>5.8791815164697465E-6</v>
      </c>
      <c r="BH271" s="44">
        <f t="shared" si="313"/>
        <v>6.0255426250522841E-6</v>
      </c>
      <c r="BI271" s="44">
        <f t="shared" si="314"/>
        <v>5.5659284642578058E-6</v>
      </c>
      <c r="BJ271" s="44">
        <f t="shared" si="315"/>
        <v>5.7529154745713547E-6</v>
      </c>
      <c r="BK271" s="44">
        <f t="shared" si="316"/>
        <v>2.4705164018868727E-6</v>
      </c>
      <c r="BL271" s="44">
        <f t="shared" si="317"/>
        <v>1.3346118274374287E-6</v>
      </c>
      <c r="BM271" s="44">
        <f t="shared" si="318"/>
        <v>3.3950966396569508E-6</v>
      </c>
      <c r="BN271" s="44">
        <f t="shared" si="319"/>
        <v>3.531165103393794E-6</v>
      </c>
      <c r="BO271" s="44">
        <f t="shared" si="320"/>
        <v>1.6548379597868326E-6</v>
      </c>
      <c r="BP271" s="44">
        <f t="shared" si="321"/>
        <v>5.564355769665122E-6</v>
      </c>
      <c r="BQ271" s="44">
        <f t="shared" si="322"/>
        <v>1.5015892840041821E-6</v>
      </c>
      <c r="BR271" s="44">
        <f t="shared" si="323"/>
        <v>4.4360706320559202E-6</v>
      </c>
      <c r="BS271" s="44">
        <f t="shared" si="324"/>
        <v>2.3924317590300484E-6</v>
      </c>
      <c r="BT271" s="44">
        <f t="shared" si="325"/>
        <v>9.4675859337120916E-6</v>
      </c>
      <c r="BU271" s="44">
        <f t="shared" si="326"/>
        <v>9.0443934721875138E-6</v>
      </c>
      <c r="BV271" s="44">
        <f t="shared" si="327"/>
        <v>8.6859362634970449E-6</v>
      </c>
      <c r="BW271" s="44">
        <f t="shared" si="328"/>
        <v>5.6810803070236029E-6</v>
      </c>
      <c r="BX271" s="44">
        <f t="shared" si="329"/>
        <v>4.1970789666583836E-6</v>
      </c>
      <c r="BY271" s="44">
        <f t="shared" si="330"/>
        <v>3.6036746923282265E-6</v>
      </c>
      <c r="CA271" s="44" t="str">
        <f t="shared" si="331"/>
        <v/>
      </c>
      <c r="CB271" s="44" t="str">
        <f t="shared" si="332"/>
        <v/>
      </c>
      <c r="CC271" s="44" t="str">
        <f t="shared" si="333"/>
        <v/>
      </c>
      <c r="CD271" s="44" t="str">
        <f t="shared" si="334"/>
        <v/>
      </c>
      <c r="CE271" s="44" t="str">
        <f t="shared" si="335"/>
        <v/>
      </c>
      <c r="CF271" s="44" t="str">
        <f t="shared" si="336"/>
        <v/>
      </c>
      <c r="CG271" s="44" t="str">
        <f t="shared" si="337"/>
        <v/>
      </c>
      <c r="CH271" s="44" t="str">
        <f t="shared" si="338"/>
        <v/>
      </c>
      <c r="CI271" s="44" t="str">
        <f t="shared" si="339"/>
        <v/>
      </c>
      <c r="CJ271" s="44" t="str">
        <f t="shared" si="340"/>
        <v/>
      </c>
      <c r="CK271" s="44" t="str">
        <f t="shared" si="341"/>
        <v/>
      </c>
      <c r="CL271" s="44" t="str">
        <f t="shared" si="342"/>
        <v/>
      </c>
      <c r="CM271" s="44" t="str">
        <f t="shared" si="343"/>
        <v/>
      </c>
      <c r="CN271" s="44" t="str">
        <f t="shared" si="344"/>
        <v/>
      </c>
      <c r="CO271" s="44" t="str">
        <f t="shared" si="345"/>
        <v/>
      </c>
      <c r="CP271" s="44" t="str">
        <f t="shared" si="346"/>
        <v/>
      </c>
      <c r="CQ271" s="44" t="str">
        <f t="shared" si="347"/>
        <v/>
      </c>
      <c r="CR271" s="44" t="str">
        <f t="shared" si="348"/>
        <v/>
      </c>
      <c r="CS271" s="44" t="str">
        <f t="shared" si="349"/>
        <v/>
      </c>
      <c r="CT271" s="44" t="str">
        <f t="shared" si="350"/>
        <v/>
      </c>
      <c r="CV271" s="44">
        <f t="shared" si="351"/>
        <v>0</v>
      </c>
    </row>
    <row r="272" spans="1:100" x14ac:dyDescent="0.25">
      <c r="A272" s="41"/>
      <c r="B272" s="42"/>
      <c r="C272" s="43" t="str" cm="1">
        <f t="array" ref="C272">IF(B272="","",INDEX(UWS!$B$10:$B$41,B272))</f>
        <v/>
      </c>
      <c r="D272" s="40" t="str">
        <f t="shared" si="308"/>
        <v/>
      </c>
      <c r="E272" s="69" t="str">
        <f t="shared" si="309"/>
        <v/>
      </c>
      <c r="F272" s="48" cm="1">
        <f t="array" ref="F272">0.1+IFERROR(INDEX($F$5:$F271,SUMPRODUCT(MAX(ROW($C$5:$C271)*($C272=$C$5:$C271))-ROW($A$4)))*0.9^($A272-INDEX($A$5:A271,SUMPRODUCT(MAX(ROW($C$5:$C271)*($C272=$C$5:$C271))-ROW($A$4)))),0)</f>
        <v>20.700000000000024</v>
      </c>
      <c r="G272" s="55" t="e">
        <f>INDEX(UWS!$AB$10:$AB$41,MATCH(C272,UWS!$B$10:$B$41,0))</f>
        <v>#N/A</v>
      </c>
      <c r="H272" s="48" t="e">
        <f>INDEX(UWS!$C$10:$C$41,MATCH(C272,UWS!$B$10:$B$41,0))</f>
        <v>#N/A</v>
      </c>
      <c r="I272" s="27">
        <f t="shared" si="310"/>
        <v>5</v>
      </c>
      <c r="J272" s="27" t="e">
        <f>INDEX(UWS!$E$10:$E$41,MATCH(C272,UWS!$B$10:$B$41,0))</f>
        <v>#N/A</v>
      </c>
      <c r="L272" s="108" t="str" cm="1">
        <f t="array" ref="L272">IF(K272="","",INDEX(UWS!$B$10:$B$41,K272))</f>
        <v/>
      </c>
      <c r="N272" s="108" t="str" cm="1">
        <f t="array" ref="N272">IF(M272="","",INDEX(UWS!$B$10:$B$41,M272))</f>
        <v/>
      </c>
      <c r="P272">
        <f>IFERROR(INDEX(UWS!$G$10:$Z$41,MATCH($C272,UWS!$B$10:$B$41,0),MATCH(P$4,UWS!$G$3:$Z$3,0)),0)</f>
        <v>0</v>
      </c>
      <c r="Q272">
        <f>IFERROR(INDEX(UWS!$G$10:$Z$41,MATCH($C272,UWS!$B$10:$B$41,0),MATCH(Q$4,UWS!$G$3:$Z$3,0)),0)</f>
        <v>0</v>
      </c>
      <c r="R272">
        <f>IFERROR(INDEX(UWS!$G$10:$Z$41,MATCH($C272,UWS!$B$10:$B$41,0),MATCH(R$4,UWS!$G$3:$Z$3,0)),0)</f>
        <v>0</v>
      </c>
      <c r="S272">
        <f>IFERROR(INDEX(UWS!$G$10:$Z$41,MATCH($C272,UWS!$B$10:$B$41,0),MATCH(S$4,UWS!$G$3:$Z$3,0)),0)</f>
        <v>0</v>
      </c>
      <c r="T272">
        <f>IFERROR(INDEX(UWS!$G$10:$Z$41,MATCH($C272,UWS!$B$10:$B$41,0),MATCH(T$4,UWS!$G$3:$Z$3,0)),0)</f>
        <v>0</v>
      </c>
      <c r="U272">
        <f>IFERROR(INDEX(UWS!$G$10:$Z$41,MATCH($C272,UWS!$B$10:$B$41,0),MATCH(U$4,UWS!$G$3:$Z$3,0)),0)</f>
        <v>0</v>
      </c>
      <c r="V272">
        <f>IFERROR(INDEX(UWS!$G$10:$Z$41,MATCH($C272,UWS!$B$10:$B$41,0),MATCH(V$4,UWS!$G$3:$Z$3,0)),0)</f>
        <v>0</v>
      </c>
      <c r="W272">
        <f>IFERROR(INDEX(UWS!$G$10:$Z$41,MATCH($C272,UWS!$B$10:$B$41,0),MATCH(W$4,UWS!$G$3:$Z$3,0)),0)</f>
        <v>0</v>
      </c>
      <c r="X272">
        <f>IFERROR(INDEX(UWS!$G$10:$Z$41,MATCH($C272,UWS!$B$10:$B$41,0),MATCH(X$4,UWS!$G$3:$Z$3,0)),0)</f>
        <v>0</v>
      </c>
      <c r="Y272">
        <f>IFERROR(INDEX(UWS!$G$10:$Z$41,MATCH($C272,UWS!$B$10:$B$41,0),MATCH(Y$4,UWS!$G$3:$Z$3,0)),0)</f>
        <v>0</v>
      </c>
      <c r="Z272">
        <f>IFERROR(INDEX(UWS!$G$10:$Z$41,MATCH($C272,UWS!$B$10:$B$41,0),MATCH(Z$4,UWS!$G$3:$Z$3,0)),0)</f>
        <v>0</v>
      </c>
      <c r="AA272">
        <f>IFERROR(INDEX(UWS!$G$10:$Z$41,MATCH($C272,UWS!$B$10:$B$41,0),MATCH(AA$4,UWS!$G$3:$Z$3,0)),0)</f>
        <v>0</v>
      </c>
      <c r="AB272">
        <f>IFERROR(INDEX(UWS!$G$10:$Z$41,MATCH($C272,UWS!$B$10:$B$41,0),MATCH(AB$4,UWS!$G$3:$Z$3,0)),0)</f>
        <v>0</v>
      </c>
      <c r="AC272">
        <f>IFERROR(INDEX(UWS!$G$10:$Z$41,MATCH($C272,UWS!$B$10:$B$41,0),MATCH(AC$4,UWS!$G$3:$Z$3,0)),0)</f>
        <v>0</v>
      </c>
      <c r="AD272">
        <f>IFERROR(INDEX(UWS!$G$10:$Z$41,MATCH($C272,UWS!$B$10:$B$41,0),MATCH(AD$4,UWS!$G$3:$Z$3,0)),0)</f>
        <v>0</v>
      </c>
      <c r="AE272">
        <f>IFERROR(INDEX(UWS!$G$10:$Z$41,MATCH($C272,UWS!$B$10:$B$41,0),MATCH(AE$4,UWS!$G$3:$Z$3,0)),0)</f>
        <v>0</v>
      </c>
      <c r="AF272">
        <f>IFERROR(INDEX(UWS!$G$10:$Z$41,MATCH($C272,UWS!$B$10:$B$41,0),MATCH(AF$4,UWS!$G$3:$Z$3,0)),0)</f>
        <v>0</v>
      </c>
      <c r="AG272">
        <f>IFERROR(INDEX(UWS!$G$10:$Z$41,MATCH($C272,UWS!$B$10:$B$41,0),MATCH(AG$4,UWS!$G$3:$Z$3,0)),0)</f>
        <v>0</v>
      </c>
      <c r="AH272">
        <f>IFERROR(INDEX(UWS!$G$10:$Z$41,MATCH($C272,UWS!$B$10:$B$41,0),MATCH(AH$4,UWS!$G$3:$Z$3,0)),0)</f>
        <v>0</v>
      </c>
      <c r="AI272">
        <f>IFERROR(INDEX(UWS!$G$10:$Z$41,MATCH($C272,UWS!$B$10:$B$41,0),MATCH(AI$4,UWS!$G$3:$Z$3,0)),0)</f>
        <v>0</v>
      </c>
      <c r="AK272" t="e">
        <f>IF(OR($J272=0,COUNTIFS($A$4:$A271,"&gt;="&amp;$A272-1,$A$4:$A271,"&lt;="&amp;$A272,$B$4:$B271,$B272)&gt;0,MIN(AK$1,IF($A272=$A271,AK271,1))-P272&lt;0),-1,MIN(1,IF($A272=$A271,AK271,1)-P272+$D$3))</f>
        <v>#N/A</v>
      </c>
      <c r="AL272" t="e">
        <f>IF(OR($J272=0,COUNTIFS($A$4:$A271,"&gt;="&amp;$A272-1,$A$4:$A271,"&lt;="&amp;$A272,$B$4:$B271,$B272)&gt;0,MIN(AL$1,IF($A272=$A271,AL271,1))-Q272&lt;0),-1,MIN(1,IF($A272=$A271,AL271,1)-Q272+$D$3))</f>
        <v>#N/A</v>
      </c>
      <c r="AM272" t="e">
        <f>IF(OR($J272=0,COUNTIFS($A$4:$A271,"&gt;="&amp;$A272-1,$A$4:$A271,"&lt;="&amp;$A272,$B$4:$B271,$B272)&gt;0,MIN(AM$1,IF($A272=$A271,AM271,1))-R272&lt;0),-1,MIN(1,IF($A272=$A271,AM271,1)-R272+$D$3))</f>
        <v>#N/A</v>
      </c>
      <c r="AN272" t="e">
        <f>IF(OR($J272=0,COUNTIFS($A$4:$A271,"&gt;="&amp;$A272-1,$A$4:$A271,"&lt;="&amp;$A272,$B$4:$B271,$B272)&gt;0,MIN(AN$1,IF($A272=$A271,AN271,1))-S272&lt;0),-1,MIN(1,IF($A272=$A271,AN271,1)-S272+$D$3))</f>
        <v>#N/A</v>
      </c>
      <c r="AO272" t="e">
        <f>IF(OR($J272=0,COUNTIFS($A$4:$A271,"&gt;="&amp;$A272-1,$A$4:$A271,"&lt;="&amp;$A272,$B$4:$B271,$B272)&gt;0,MIN(AO$1,IF($A272=$A271,AO271,1))-T272&lt;0),-1,MIN(1,IF($A272=$A271,AO271,1)-T272+$D$3))</f>
        <v>#N/A</v>
      </c>
      <c r="AP272" t="e">
        <f>IF(OR($J272=0,COUNTIFS($A$4:$A271,"&gt;="&amp;$A272-1,$A$4:$A271,"&lt;="&amp;$A272,$B$4:$B271,$B272)&gt;0,MIN(AP$1,IF($A272=$A271,AP271,1))-U272&lt;0),-1,MIN(1,IF($A272=$A271,AP271,1)-U272+$D$3))</f>
        <v>#N/A</v>
      </c>
      <c r="AQ272" t="e">
        <f>IF(OR($J272=0,COUNTIFS($A$4:$A271,"&gt;="&amp;$A272-1,$A$4:$A271,"&lt;="&amp;$A272,$B$4:$B271,$B272)&gt;0,MIN(AQ$1,IF($A272=$A271,AQ271,1))-V272&lt;0),-1,MIN(1,IF($A272=$A271,AQ271,1)-V272+$D$3))</f>
        <v>#N/A</v>
      </c>
      <c r="AR272" t="e">
        <f>IF(OR($J272=0,COUNTIFS($A$4:$A271,"&gt;="&amp;$A272-1,$A$4:$A271,"&lt;="&amp;$A272,$B$4:$B271,$B272)&gt;0,MIN(AR$1,IF($A272=$A271,AR271,1))-W272&lt;0),-1,MIN(1,IF($A272=$A271,AR271,1)-W272+$D$3))</f>
        <v>#N/A</v>
      </c>
      <c r="AS272" t="e">
        <f>IF(OR($J272=0,COUNTIFS($A$4:$A271,"&gt;="&amp;$A272-1,$A$4:$A271,"&lt;="&amp;$A272,$B$4:$B271,$B272)&gt;0,MIN(AS$1,IF($A272=$A271,AS271,1))-X272&lt;0),-1,MIN(1,IF($A272=$A271,AS271,1)-X272+$D$3))</f>
        <v>#N/A</v>
      </c>
      <c r="AT272" t="e">
        <f>IF(OR($J272=0,COUNTIFS($A$4:$A271,"&gt;="&amp;$A272-1,$A$4:$A271,"&lt;="&amp;$A272,$B$4:$B271,$B272)&gt;0,MIN(AT$1,IF($A272=$A271,AT271,1))-Y272&lt;0),-1,MIN(1,IF($A272=$A271,AT271,1)-Y272+$D$3))</f>
        <v>#N/A</v>
      </c>
      <c r="AU272" t="e">
        <f>IF(OR($J272=0,COUNTIFS($A$4:$A271,"&gt;="&amp;$A272-1,$A$4:$A271,"&lt;="&amp;$A272,$B$4:$B271,$B272)&gt;0,MIN(AU$1,IF($A272=$A271,AU271,1))-Z272&lt;0),-1,MIN(1,IF($A272=$A271,AU271,1)-Z272+$D$3))</f>
        <v>#N/A</v>
      </c>
      <c r="AV272" t="e">
        <f>IF(OR($J272=0,COUNTIFS($A$4:$A271,"&gt;="&amp;$A272-1,$A$4:$A271,"&lt;="&amp;$A272,$B$4:$B271,$B272)&gt;0,MIN(AV$1,IF($A272=$A271,AV271,1))-AA272&lt;0),-1,MIN(1,IF($A272=$A271,AV271,1)-AA272+$D$3))</f>
        <v>#N/A</v>
      </c>
      <c r="AW272" t="e">
        <f>IF(OR($J272=0,COUNTIFS($A$4:$A271,"&gt;="&amp;$A272-1,$A$4:$A271,"&lt;="&amp;$A272,$B$4:$B271,$B272)&gt;0,MIN(AW$1,IF($A272=$A271,AW271,1))-AB272&lt;0),-1,MIN(1,IF($A272=$A271,AW271,1)-AB272+$D$3))</f>
        <v>#N/A</v>
      </c>
      <c r="AX272" t="e">
        <f>IF(OR($J272=0,COUNTIFS($A$4:$A271,"&gt;="&amp;$A272-1,$A$4:$A271,"&lt;="&amp;$A272,$B$4:$B271,$B272)&gt;0,MIN(AX$1,IF($A272=$A271,AX271,1))-AC272&lt;0),-1,MIN(1,IF($A272=$A271,AX271,1)-AC272+$D$3))</f>
        <v>#N/A</v>
      </c>
      <c r="AY272" t="e">
        <f>IF(OR($J272=0,COUNTIFS($A$4:$A271,"&gt;="&amp;$A272-1,$A$4:$A271,"&lt;="&amp;$A272,$B$4:$B271,$B272)&gt;0,MIN(AY$1,IF($A272=$A271,AY271,1))-AD272&lt;0),-1,MIN(1,IF($A272=$A271,AY271,1)-AD272+$D$3))</f>
        <v>#N/A</v>
      </c>
      <c r="AZ272" t="e">
        <f>IF(OR($J272=0,COUNTIFS($A$4:$A271,"&gt;="&amp;$A272-1,$A$4:$A271,"&lt;="&amp;$A272,$B$4:$B271,$B272)&gt;0,MIN(AZ$1,IF($A272=$A271,AZ271,1))-AE272&lt;0),-1,MIN(1,IF($A272=$A271,AZ271,1)-AE272+$D$3))</f>
        <v>#N/A</v>
      </c>
      <c r="BA272" t="e">
        <f>IF(OR($J272=0,COUNTIFS($A$4:$A271,"&gt;="&amp;$A272-1,$A$4:$A271,"&lt;="&amp;$A272,$B$4:$B271,$B272)&gt;0,MIN(BA$1,IF($A272=$A271,BA271,1))-AF272&lt;0),-1,MIN(1,IF($A272=$A271,BA271,1)-AF272+$D$3))</f>
        <v>#N/A</v>
      </c>
      <c r="BB272" t="e">
        <f>IF(OR($J272=0,COUNTIFS($A$4:$A271,"&gt;="&amp;$A272-1,$A$4:$A271,"&lt;="&amp;$A272,$B$4:$B271,$B272)&gt;0,MIN(BB$1,IF($A272=$A271,BB271,1))-AG272&lt;0),-1,MIN(1,IF($A272=$A271,BB271,1)-AG272+$D$3))</f>
        <v>#N/A</v>
      </c>
      <c r="BC272" t="e">
        <f>IF(OR($J272=0,COUNTIFS($A$4:$A271,"&gt;="&amp;$A272-1,$A$4:$A271,"&lt;="&amp;$A272,$B$4:$B271,$B272)&gt;0,MIN(BC$1,IF($A272=$A271,BC271,1))-AH272&lt;0),-1,MIN(1,IF($A272=$A271,BC271,1)-AH272+$D$3))</f>
        <v>#N/A</v>
      </c>
      <c r="BD272" t="e">
        <f>IF(OR($J272=0,COUNTIFS($A$4:$A271,"&gt;="&amp;$A272-1,$A$4:$A271,"&lt;="&amp;$A272,$B$4:$B271,$B272)&gt;0,MIN(BD$1,IF($A272=$A271,BD271,1))-AI272&lt;0),-1,MIN(1,IF($A272=$A271,BD271,1)-AI272+$D$3))</f>
        <v>#N/A</v>
      </c>
      <c r="BF272" s="44">
        <f t="shared" si="311"/>
        <v>2.2710783183821242E-6</v>
      </c>
      <c r="BG272" s="44">
        <f t="shared" si="312"/>
        <v>5.5852224406462586E-6</v>
      </c>
      <c r="BH272" s="44">
        <f t="shared" si="313"/>
        <v>5.7242654937996699E-6</v>
      </c>
      <c r="BI272" s="44">
        <f t="shared" si="314"/>
        <v>5.2876320410449153E-6</v>
      </c>
      <c r="BJ272" s="44">
        <f t="shared" si="315"/>
        <v>5.4652697008427866E-6</v>
      </c>
      <c r="BK272" s="44">
        <f t="shared" si="316"/>
        <v>2.3469905817925291E-6</v>
      </c>
      <c r="BL272" s="44">
        <f t="shared" si="317"/>
        <v>1.2678812360655573E-6</v>
      </c>
      <c r="BM272" s="44">
        <f t="shared" si="318"/>
        <v>3.2253418076741031E-6</v>
      </c>
      <c r="BN272" s="44">
        <f t="shared" si="319"/>
        <v>3.3546068482241041E-6</v>
      </c>
      <c r="BO272" s="44">
        <f t="shared" si="320"/>
        <v>1.5720960617974908E-6</v>
      </c>
      <c r="BP272" s="44">
        <f t="shared" si="321"/>
        <v>5.2861379811818653E-6</v>
      </c>
      <c r="BQ272" s="44">
        <f t="shared" si="322"/>
        <v>1.4265098198039729E-6</v>
      </c>
      <c r="BR272" s="44">
        <f t="shared" si="323"/>
        <v>4.2142671004531238E-6</v>
      </c>
      <c r="BS272" s="44">
        <f t="shared" si="324"/>
        <v>2.272810171078546E-6</v>
      </c>
      <c r="BT272" s="44">
        <f t="shared" si="325"/>
        <v>8.9942066370264872E-6</v>
      </c>
      <c r="BU272" s="44">
        <f t="shared" si="326"/>
        <v>8.5921737985781378E-6</v>
      </c>
      <c r="BV272" s="44">
        <f t="shared" si="327"/>
        <v>8.2516394503221923E-6</v>
      </c>
      <c r="BW272" s="44">
        <f t="shared" si="328"/>
        <v>5.397026291672423E-6</v>
      </c>
      <c r="BX272" s="44">
        <f t="shared" si="329"/>
        <v>3.9872250183254644E-6</v>
      </c>
      <c r="BY272" s="44">
        <f t="shared" si="330"/>
        <v>3.4234909577118152E-6</v>
      </c>
      <c r="CA272" s="44" t="str">
        <f t="shared" si="331"/>
        <v/>
      </c>
      <c r="CB272" s="44" t="str">
        <f t="shared" si="332"/>
        <v/>
      </c>
      <c r="CC272" s="44" t="str">
        <f t="shared" si="333"/>
        <v/>
      </c>
      <c r="CD272" s="44" t="str">
        <f t="shared" si="334"/>
        <v/>
      </c>
      <c r="CE272" s="44" t="str">
        <f t="shared" si="335"/>
        <v/>
      </c>
      <c r="CF272" s="44" t="str">
        <f t="shared" si="336"/>
        <v/>
      </c>
      <c r="CG272" s="44" t="str">
        <f t="shared" si="337"/>
        <v/>
      </c>
      <c r="CH272" s="44" t="str">
        <f t="shared" si="338"/>
        <v/>
      </c>
      <c r="CI272" s="44" t="str">
        <f t="shared" si="339"/>
        <v/>
      </c>
      <c r="CJ272" s="44" t="str">
        <f t="shared" si="340"/>
        <v/>
      </c>
      <c r="CK272" s="44" t="str">
        <f t="shared" si="341"/>
        <v/>
      </c>
      <c r="CL272" s="44" t="str">
        <f t="shared" si="342"/>
        <v/>
      </c>
      <c r="CM272" s="44" t="str">
        <f t="shared" si="343"/>
        <v/>
      </c>
      <c r="CN272" s="44" t="str">
        <f t="shared" si="344"/>
        <v/>
      </c>
      <c r="CO272" s="44" t="str">
        <f t="shared" si="345"/>
        <v/>
      </c>
      <c r="CP272" s="44" t="str">
        <f t="shared" si="346"/>
        <v/>
      </c>
      <c r="CQ272" s="44" t="str">
        <f t="shared" si="347"/>
        <v/>
      </c>
      <c r="CR272" s="44" t="str">
        <f t="shared" si="348"/>
        <v/>
      </c>
      <c r="CS272" s="44" t="str">
        <f t="shared" si="349"/>
        <v/>
      </c>
      <c r="CT272" s="44" t="str">
        <f t="shared" si="350"/>
        <v/>
      </c>
      <c r="CV272" s="44">
        <f t="shared" si="351"/>
        <v>0</v>
      </c>
    </row>
    <row r="273" spans="1:100" x14ac:dyDescent="0.25">
      <c r="A273" s="41"/>
      <c r="B273" s="42"/>
      <c r="C273" s="43" t="str" cm="1">
        <f t="array" ref="C273">IF(B273="","",INDEX(UWS!$B$10:$B$41,B273))</f>
        <v/>
      </c>
      <c r="D273" s="40" t="str">
        <f t="shared" si="308"/>
        <v/>
      </c>
      <c r="E273" s="69" t="str">
        <f t="shared" si="309"/>
        <v/>
      </c>
      <c r="F273" s="48" cm="1">
        <f t="array" ref="F273">0.1+IFERROR(INDEX($F$5:$F272,SUMPRODUCT(MAX(ROW($C$5:$C272)*($C273=$C$5:$C272))-ROW($A$4)))*0.9^($A273-INDEX($A$5:A272,SUMPRODUCT(MAX(ROW($C$5:$C272)*($C273=$C$5:$C272))-ROW($A$4)))),0)</f>
        <v>20.800000000000026</v>
      </c>
      <c r="G273" s="55" t="e">
        <f>INDEX(UWS!$AB$10:$AB$41,MATCH(C273,UWS!$B$10:$B$41,0))</f>
        <v>#N/A</v>
      </c>
      <c r="H273" s="48" t="e">
        <f>INDEX(UWS!$C$10:$C$41,MATCH(C273,UWS!$B$10:$B$41,0))</f>
        <v>#N/A</v>
      </c>
      <c r="I273" s="27">
        <f t="shared" si="310"/>
        <v>5</v>
      </c>
      <c r="J273" s="27" t="e">
        <f>INDEX(UWS!$E$10:$E$41,MATCH(C273,UWS!$B$10:$B$41,0))</f>
        <v>#N/A</v>
      </c>
      <c r="L273" s="108" t="str" cm="1">
        <f t="array" ref="L273">IF(K273="","",INDEX(UWS!$B$10:$B$41,K273))</f>
        <v/>
      </c>
      <c r="N273" s="108" t="str" cm="1">
        <f t="array" ref="N273">IF(M273="","",INDEX(UWS!$B$10:$B$41,M273))</f>
        <v/>
      </c>
      <c r="P273">
        <f>IFERROR(INDEX(UWS!$G$10:$Z$41,MATCH($C273,UWS!$B$10:$B$41,0),MATCH(P$4,UWS!$G$3:$Z$3,0)),0)</f>
        <v>0</v>
      </c>
      <c r="Q273">
        <f>IFERROR(INDEX(UWS!$G$10:$Z$41,MATCH($C273,UWS!$B$10:$B$41,0),MATCH(Q$4,UWS!$G$3:$Z$3,0)),0)</f>
        <v>0</v>
      </c>
      <c r="R273">
        <f>IFERROR(INDEX(UWS!$G$10:$Z$41,MATCH($C273,UWS!$B$10:$B$41,0),MATCH(R$4,UWS!$G$3:$Z$3,0)),0)</f>
        <v>0</v>
      </c>
      <c r="S273">
        <f>IFERROR(INDEX(UWS!$G$10:$Z$41,MATCH($C273,UWS!$B$10:$B$41,0),MATCH(S$4,UWS!$G$3:$Z$3,0)),0)</f>
        <v>0</v>
      </c>
      <c r="T273">
        <f>IFERROR(INDEX(UWS!$G$10:$Z$41,MATCH($C273,UWS!$B$10:$B$41,0),MATCH(T$4,UWS!$G$3:$Z$3,0)),0)</f>
        <v>0</v>
      </c>
      <c r="U273">
        <f>IFERROR(INDEX(UWS!$G$10:$Z$41,MATCH($C273,UWS!$B$10:$B$41,0),MATCH(U$4,UWS!$G$3:$Z$3,0)),0)</f>
        <v>0</v>
      </c>
      <c r="V273">
        <f>IFERROR(INDEX(UWS!$G$10:$Z$41,MATCH($C273,UWS!$B$10:$B$41,0),MATCH(V$4,UWS!$G$3:$Z$3,0)),0)</f>
        <v>0</v>
      </c>
      <c r="W273">
        <f>IFERROR(INDEX(UWS!$G$10:$Z$41,MATCH($C273,UWS!$B$10:$B$41,0),MATCH(W$4,UWS!$G$3:$Z$3,0)),0)</f>
        <v>0</v>
      </c>
      <c r="X273">
        <f>IFERROR(INDEX(UWS!$G$10:$Z$41,MATCH($C273,UWS!$B$10:$B$41,0),MATCH(X$4,UWS!$G$3:$Z$3,0)),0)</f>
        <v>0</v>
      </c>
      <c r="Y273">
        <f>IFERROR(INDEX(UWS!$G$10:$Z$41,MATCH($C273,UWS!$B$10:$B$41,0),MATCH(Y$4,UWS!$G$3:$Z$3,0)),0)</f>
        <v>0</v>
      </c>
      <c r="Z273">
        <f>IFERROR(INDEX(UWS!$G$10:$Z$41,MATCH($C273,UWS!$B$10:$B$41,0),MATCH(Z$4,UWS!$G$3:$Z$3,0)),0)</f>
        <v>0</v>
      </c>
      <c r="AA273">
        <f>IFERROR(INDEX(UWS!$G$10:$Z$41,MATCH($C273,UWS!$B$10:$B$41,0),MATCH(AA$4,UWS!$G$3:$Z$3,0)),0)</f>
        <v>0</v>
      </c>
      <c r="AB273">
        <f>IFERROR(INDEX(UWS!$G$10:$Z$41,MATCH($C273,UWS!$B$10:$B$41,0),MATCH(AB$4,UWS!$G$3:$Z$3,0)),0)</f>
        <v>0</v>
      </c>
      <c r="AC273">
        <f>IFERROR(INDEX(UWS!$G$10:$Z$41,MATCH($C273,UWS!$B$10:$B$41,0),MATCH(AC$4,UWS!$G$3:$Z$3,0)),0)</f>
        <v>0</v>
      </c>
      <c r="AD273">
        <f>IFERROR(INDEX(UWS!$G$10:$Z$41,MATCH($C273,UWS!$B$10:$B$41,0),MATCH(AD$4,UWS!$G$3:$Z$3,0)),0)</f>
        <v>0</v>
      </c>
      <c r="AE273">
        <f>IFERROR(INDEX(UWS!$G$10:$Z$41,MATCH($C273,UWS!$B$10:$B$41,0),MATCH(AE$4,UWS!$G$3:$Z$3,0)),0)</f>
        <v>0</v>
      </c>
      <c r="AF273">
        <f>IFERROR(INDEX(UWS!$G$10:$Z$41,MATCH($C273,UWS!$B$10:$B$41,0),MATCH(AF$4,UWS!$G$3:$Z$3,0)),0)</f>
        <v>0</v>
      </c>
      <c r="AG273">
        <f>IFERROR(INDEX(UWS!$G$10:$Z$41,MATCH($C273,UWS!$B$10:$B$41,0),MATCH(AG$4,UWS!$G$3:$Z$3,0)),0)</f>
        <v>0</v>
      </c>
      <c r="AH273">
        <f>IFERROR(INDEX(UWS!$G$10:$Z$41,MATCH($C273,UWS!$B$10:$B$41,0),MATCH(AH$4,UWS!$G$3:$Z$3,0)),0)</f>
        <v>0</v>
      </c>
      <c r="AI273">
        <f>IFERROR(INDEX(UWS!$G$10:$Z$41,MATCH($C273,UWS!$B$10:$B$41,0),MATCH(AI$4,UWS!$G$3:$Z$3,0)),0)</f>
        <v>0</v>
      </c>
      <c r="AK273" t="e">
        <f>IF(OR($J273=0,COUNTIFS($A$4:$A272,"&gt;="&amp;$A273-1,$A$4:$A272,"&lt;="&amp;$A273,$B$4:$B272,$B273)&gt;0,MIN(AK$1,IF($A273=$A272,AK272,1))-P273&lt;0),-1,MIN(1,IF($A273=$A272,AK272,1)-P273+$D$3))</f>
        <v>#N/A</v>
      </c>
      <c r="AL273" t="e">
        <f>IF(OR($J273=0,COUNTIFS($A$4:$A272,"&gt;="&amp;$A273-1,$A$4:$A272,"&lt;="&amp;$A273,$B$4:$B272,$B273)&gt;0,MIN(AL$1,IF($A273=$A272,AL272,1))-Q273&lt;0),-1,MIN(1,IF($A273=$A272,AL272,1)-Q273+$D$3))</f>
        <v>#N/A</v>
      </c>
      <c r="AM273" t="e">
        <f>IF(OR($J273=0,COUNTIFS($A$4:$A272,"&gt;="&amp;$A273-1,$A$4:$A272,"&lt;="&amp;$A273,$B$4:$B272,$B273)&gt;0,MIN(AM$1,IF($A273=$A272,AM272,1))-R273&lt;0),-1,MIN(1,IF($A273=$A272,AM272,1)-R273+$D$3))</f>
        <v>#N/A</v>
      </c>
      <c r="AN273" t="e">
        <f>IF(OR($J273=0,COUNTIFS($A$4:$A272,"&gt;="&amp;$A273-1,$A$4:$A272,"&lt;="&amp;$A273,$B$4:$B272,$B273)&gt;0,MIN(AN$1,IF($A273=$A272,AN272,1))-S273&lt;0),-1,MIN(1,IF($A273=$A272,AN272,1)-S273+$D$3))</f>
        <v>#N/A</v>
      </c>
      <c r="AO273" t="e">
        <f>IF(OR($J273=0,COUNTIFS($A$4:$A272,"&gt;="&amp;$A273-1,$A$4:$A272,"&lt;="&amp;$A273,$B$4:$B272,$B273)&gt;0,MIN(AO$1,IF($A273=$A272,AO272,1))-T273&lt;0),-1,MIN(1,IF($A273=$A272,AO272,1)-T273+$D$3))</f>
        <v>#N/A</v>
      </c>
      <c r="AP273" t="e">
        <f>IF(OR($J273=0,COUNTIFS($A$4:$A272,"&gt;="&amp;$A273-1,$A$4:$A272,"&lt;="&amp;$A273,$B$4:$B272,$B273)&gt;0,MIN(AP$1,IF($A273=$A272,AP272,1))-U273&lt;0),-1,MIN(1,IF($A273=$A272,AP272,1)-U273+$D$3))</f>
        <v>#N/A</v>
      </c>
      <c r="AQ273" t="e">
        <f>IF(OR($J273=0,COUNTIFS($A$4:$A272,"&gt;="&amp;$A273-1,$A$4:$A272,"&lt;="&amp;$A273,$B$4:$B272,$B273)&gt;0,MIN(AQ$1,IF($A273=$A272,AQ272,1))-V273&lt;0),-1,MIN(1,IF($A273=$A272,AQ272,1)-V273+$D$3))</f>
        <v>#N/A</v>
      </c>
      <c r="AR273" t="e">
        <f>IF(OR($J273=0,COUNTIFS($A$4:$A272,"&gt;="&amp;$A273-1,$A$4:$A272,"&lt;="&amp;$A273,$B$4:$B272,$B273)&gt;0,MIN(AR$1,IF($A273=$A272,AR272,1))-W273&lt;0),-1,MIN(1,IF($A273=$A272,AR272,1)-W273+$D$3))</f>
        <v>#N/A</v>
      </c>
      <c r="AS273" t="e">
        <f>IF(OR($J273=0,COUNTIFS($A$4:$A272,"&gt;="&amp;$A273-1,$A$4:$A272,"&lt;="&amp;$A273,$B$4:$B272,$B273)&gt;0,MIN(AS$1,IF($A273=$A272,AS272,1))-X273&lt;0),-1,MIN(1,IF($A273=$A272,AS272,1)-X273+$D$3))</f>
        <v>#N/A</v>
      </c>
      <c r="AT273" t="e">
        <f>IF(OR($J273=0,COUNTIFS($A$4:$A272,"&gt;="&amp;$A273-1,$A$4:$A272,"&lt;="&amp;$A273,$B$4:$B272,$B273)&gt;0,MIN(AT$1,IF($A273=$A272,AT272,1))-Y273&lt;0),-1,MIN(1,IF($A273=$A272,AT272,1)-Y273+$D$3))</f>
        <v>#N/A</v>
      </c>
      <c r="AU273" t="e">
        <f>IF(OR($J273=0,COUNTIFS($A$4:$A272,"&gt;="&amp;$A273-1,$A$4:$A272,"&lt;="&amp;$A273,$B$4:$B272,$B273)&gt;0,MIN(AU$1,IF($A273=$A272,AU272,1))-Z273&lt;0),-1,MIN(1,IF($A273=$A272,AU272,1)-Z273+$D$3))</f>
        <v>#N/A</v>
      </c>
      <c r="AV273" t="e">
        <f>IF(OR($J273=0,COUNTIFS($A$4:$A272,"&gt;="&amp;$A273-1,$A$4:$A272,"&lt;="&amp;$A273,$B$4:$B272,$B273)&gt;0,MIN(AV$1,IF($A273=$A272,AV272,1))-AA273&lt;0),-1,MIN(1,IF($A273=$A272,AV272,1)-AA273+$D$3))</f>
        <v>#N/A</v>
      </c>
      <c r="AW273" t="e">
        <f>IF(OR($J273=0,COUNTIFS($A$4:$A272,"&gt;="&amp;$A273-1,$A$4:$A272,"&lt;="&amp;$A273,$B$4:$B272,$B273)&gt;0,MIN(AW$1,IF($A273=$A272,AW272,1))-AB273&lt;0),-1,MIN(1,IF($A273=$A272,AW272,1)-AB273+$D$3))</f>
        <v>#N/A</v>
      </c>
      <c r="AX273" t="e">
        <f>IF(OR($J273=0,COUNTIFS($A$4:$A272,"&gt;="&amp;$A273-1,$A$4:$A272,"&lt;="&amp;$A273,$B$4:$B272,$B273)&gt;0,MIN(AX$1,IF($A273=$A272,AX272,1))-AC273&lt;0),-1,MIN(1,IF($A273=$A272,AX272,1)-AC273+$D$3))</f>
        <v>#N/A</v>
      </c>
      <c r="AY273" t="e">
        <f>IF(OR($J273=0,COUNTIFS($A$4:$A272,"&gt;="&amp;$A273-1,$A$4:$A272,"&lt;="&amp;$A273,$B$4:$B272,$B273)&gt;0,MIN(AY$1,IF($A273=$A272,AY272,1))-AD273&lt;0),-1,MIN(1,IF($A273=$A272,AY272,1)-AD273+$D$3))</f>
        <v>#N/A</v>
      </c>
      <c r="AZ273" t="e">
        <f>IF(OR($J273=0,COUNTIFS($A$4:$A272,"&gt;="&amp;$A273-1,$A$4:$A272,"&lt;="&amp;$A273,$B$4:$B272,$B273)&gt;0,MIN(AZ$1,IF($A273=$A272,AZ272,1))-AE273&lt;0),-1,MIN(1,IF($A273=$A272,AZ272,1)-AE273+$D$3))</f>
        <v>#N/A</v>
      </c>
      <c r="BA273" t="e">
        <f>IF(OR($J273=0,COUNTIFS($A$4:$A272,"&gt;="&amp;$A273-1,$A$4:$A272,"&lt;="&amp;$A273,$B$4:$B272,$B273)&gt;0,MIN(BA$1,IF($A273=$A272,BA272,1))-AF273&lt;0),-1,MIN(1,IF($A273=$A272,BA272,1)-AF273+$D$3))</f>
        <v>#N/A</v>
      </c>
      <c r="BB273" t="e">
        <f>IF(OR($J273=0,COUNTIFS($A$4:$A272,"&gt;="&amp;$A273-1,$A$4:$A272,"&lt;="&amp;$A273,$B$4:$B272,$B273)&gt;0,MIN(BB$1,IF($A273=$A272,BB272,1))-AG273&lt;0),-1,MIN(1,IF($A273=$A272,BB272,1)-AG273+$D$3))</f>
        <v>#N/A</v>
      </c>
      <c r="BC273" t="e">
        <f>IF(OR($J273=0,COUNTIFS($A$4:$A272,"&gt;="&amp;$A273-1,$A$4:$A272,"&lt;="&amp;$A273,$B$4:$B272,$B273)&gt;0,MIN(BC$1,IF($A273=$A272,BC272,1))-AH273&lt;0),-1,MIN(1,IF($A273=$A272,BC272,1)-AH273+$D$3))</f>
        <v>#N/A</v>
      </c>
      <c r="BD273" t="e">
        <f>IF(OR($J273=0,COUNTIFS($A$4:$A272,"&gt;="&amp;$A273-1,$A$4:$A272,"&lt;="&amp;$A273,$B$4:$B272,$B273)&gt;0,MIN(BD$1,IF($A273=$A272,BD272,1))-AI273&lt;0),-1,MIN(1,IF($A273=$A272,BD272,1)-AI273+$D$3))</f>
        <v>#N/A</v>
      </c>
      <c r="BF273" s="44">
        <f t="shared" si="311"/>
        <v>2.1575244024630177E-6</v>
      </c>
      <c r="BG273" s="44">
        <f t="shared" si="312"/>
        <v>5.3059613186139458E-6</v>
      </c>
      <c r="BH273" s="44">
        <f t="shared" si="313"/>
        <v>5.4380522191096858E-6</v>
      </c>
      <c r="BI273" s="44">
        <f t="shared" si="314"/>
        <v>5.0232504389926691E-6</v>
      </c>
      <c r="BJ273" s="44">
        <f t="shared" si="315"/>
        <v>5.1920062158006467E-6</v>
      </c>
      <c r="BK273" s="44">
        <f t="shared" si="316"/>
        <v>2.2296410527029027E-6</v>
      </c>
      <c r="BL273" s="44">
        <f t="shared" si="317"/>
        <v>1.2044871742622794E-6</v>
      </c>
      <c r="BM273" s="44">
        <f t="shared" si="318"/>
        <v>3.0640747172903977E-6</v>
      </c>
      <c r="BN273" s="44">
        <f t="shared" si="319"/>
        <v>3.1868765058128985E-6</v>
      </c>
      <c r="BO273" s="44">
        <f t="shared" si="320"/>
        <v>1.4934912587076162E-6</v>
      </c>
      <c r="BP273" s="44">
        <f t="shared" si="321"/>
        <v>5.0218310821227722E-6</v>
      </c>
      <c r="BQ273" s="44">
        <f t="shared" si="322"/>
        <v>1.3551843288137743E-6</v>
      </c>
      <c r="BR273" s="44">
        <f t="shared" si="323"/>
        <v>4.0035537454304676E-6</v>
      </c>
      <c r="BS273" s="44">
        <f t="shared" si="324"/>
        <v>2.1591696625246186E-6</v>
      </c>
      <c r="BT273" s="44">
        <f t="shared" si="325"/>
        <v>8.5444963051751627E-6</v>
      </c>
      <c r="BU273" s="44">
        <f t="shared" si="326"/>
        <v>8.1625651086492309E-6</v>
      </c>
      <c r="BV273" s="44">
        <f t="shared" si="327"/>
        <v>7.839057477806083E-6</v>
      </c>
      <c r="BW273" s="44">
        <f t="shared" si="328"/>
        <v>5.1271749770888012E-6</v>
      </c>
      <c r="BX273" s="44">
        <f t="shared" si="329"/>
        <v>3.7878637674091912E-6</v>
      </c>
      <c r="BY273" s="44">
        <f t="shared" si="330"/>
        <v>3.2523164098262242E-6</v>
      </c>
      <c r="CA273" s="44" t="str">
        <f t="shared" si="331"/>
        <v/>
      </c>
      <c r="CB273" s="44" t="str">
        <f t="shared" si="332"/>
        <v/>
      </c>
      <c r="CC273" s="44" t="str">
        <f t="shared" si="333"/>
        <v/>
      </c>
      <c r="CD273" s="44" t="str">
        <f t="shared" si="334"/>
        <v/>
      </c>
      <c r="CE273" s="44" t="str">
        <f t="shared" si="335"/>
        <v/>
      </c>
      <c r="CF273" s="44" t="str">
        <f t="shared" si="336"/>
        <v/>
      </c>
      <c r="CG273" s="44" t="str">
        <f t="shared" si="337"/>
        <v/>
      </c>
      <c r="CH273" s="44" t="str">
        <f t="shared" si="338"/>
        <v/>
      </c>
      <c r="CI273" s="44" t="str">
        <f t="shared" si="339"/>
        <v/>
      </c>
      <c r="CJ273" s="44" t="str">
        <f t="shared" si="340"/>
        <v/>
      </c>
      <c r="CK273" s="44" t="str">
        <f t="shared" si="341"/>
        <v/>
      </c>
      <c r="CL273" s="44" t="str">
        <f t="shared" si="342"/>
        <v/>
      </c>
      <c r="CM273" s="44" t="str">
        <f t="shared" si="343"/>
        <v/>
      </c>
      <c r="CN273" s="44" t="str">
        <f t="shared" si="344"/>
        <v/>
      </c>
      <c r="CO273" s="44" t="str">
        <f t="shared" si="345"/>
        <v/>
      </c>
      <c r="CP273" s="44" t="str">
        <f t="shared" si="346"/>
        <v/>
      </c>
      <c r="CQ273" s="44" t="str">
        <f t="shared" si="347"/>
        <v/>
      </c>
      <c r="CR273" s="44" t="str">
        <f t="shared" si="348"/>
        <v/>
      </c>
      <c r="CS273" s="44" t="str">
        <f t="shared" si="349"/>
        <v/>
      </c>
      <c r="CT273" s="44" t="str">
        <f t="shared" si="350"/>
        <v/>
      </c>
      <c r="CV273" s="44">
        <f t="shared" si="351"/>
        <v>0</v>
      </c>
    </row>
    <row r="274" spans="1:100" x14ac:dyDescent="0.25">
      <c r="A274" s="41"/>
      <c r="B274" s="42"/>
      <c r="C274" s="43" t="str" cm="1">
        <f t="array" ref="C274">IF(B274="","",INDEX(UWS!$B$10:$B$41,B274))</f>
        <v/>
      </c>
      <c r="D274" s="40" t="str">
        <f t="shared" si="308"/>
        <v/>
      </c>
      <c r="E274" s="69" t="str">
        <f t="shared" si="309"/>
        <v/>
      </c>
      <c r="F274" s="48" cm="1">
        <f t="array" ref="F274">0.1+IFERROR(INDEX($F$5:$F273,SUMPRODUCT(MAX(ROW($C$5:$C273)*($C274=$C$5:$C273))-ROW($A$4)))*0.9^($A274-INDEX($A$5:A273,SUMPRODUCT(MAX(ROW($C$5:$C273)*($C274=$C$5:$C273))-ROW($A$4)))),0)</f>
        <v>20.900000000000027</v>
      </c>
      <c r="G274" s="55" t="e">
        <f>INDEX(UWS!$AB$10:$AB$41,MATCH(C274,UWS!$B$10:$B$41,0))</f>
        <v>#N/A</v>
      </c>
      <c r="H274" s="48" t="e">
        <f>INDEX(UWS!$C$10:$C$41,MATCH(C274,UWS!$B$10:$B$41,0))</f>
        <v>#N/A</v>
      </c>
      <c r="I274" s="27">
        <f t="shared" si="310"/>
        <v>5</v>
      </c>
      <c r="J274" s="27" t="e">
        <f>INDEX(UWS!$E$10:$E$41,MATCH(C274,UWS!$B$10:$B$41,0))</f>
        <v>#N/A</v>
      </c>
      <c r="L274" s="108" t="str" cm="1">
        <f t="array" ref="L274">IF(K274="","",INDEX(UWS!$B$10:$B$41,K274))</f>
        <v/>
      </c>
      <c r="N274" s="108" t="str" cm="1">
        <f t="array" ref="N274">IF(M274="","",INDEX(UWS!$B$10:$B$41,M274))</f>
        <v/>
      </c>
      <c r="P274">
        <f>IFERROR(INDEX(UWS!$G$10:$Z$41,MATCH($C274,UWS!$B$10:$B$41,0),MATCH(P$4,UWS!$G$3:$Z$3,0)),0)</f>
        <v>0</v>
      </c>
      <c r="Q274">
        <f>IFERROR(INDEX(UWS!$G$10:$Z$41,MATCH($C274,UWS!$B$10:$B$41,0),MATCH(Q$4,UWS!$G$3:$Z$3,0)),0)</f>
        <v>0</v>
      </c>
      <c r="R274">
        <f>IFERROR(INDEX(UWS!$G$10:$Z$41,MATCH($C274,UWS!$B$10:$B$41,0),MATCH(R$4,UWS!$G$3:$Z$3,0)),0)</f>
        <v>0</v>
      </c>
      <c r="S274">
        <f>IFERROR(INDEX(UWS!$G$10:$Z$41,MATCH($C274,UWS!$B$10:$B$41,0),MATCH(S$4,UWS!$G$3:$Z$3,0)),0)</f>
        <v>0</v>
      </c>
      <c r="T274">
        <f>IFERROR(INDEX(UWS!$G$10:$Z$41,MATCH($C274,UWS!$B$10:$B$41,0),MATCH(T$4,UWS!$G$3:$Z$3,0)),0)</f>
        <v>0</v>
      </c>
      <c r="U274">
        <f>IFERROR(INDEX(UWS!$G$10:$Z$41,MATCH($C274,UWS!$B$10:$B$41,0),MATCH(U$4,UWS!$G$3:$Z$3,0)),0)</f>
        <v>0</v>
      </c>
      <c r="V274">
        <f>IFERROR(INDEX(UWS!$G$10:$Z$41,MATCH($C274,UWS!$B$10:$B$41,0),MATCH(V$4,UWS!$G$3:$Z$3,0)),0)</f>
        <v>0</v>
      </c>
      <c r="W274">
        <f>IFERROR(INDEX(UWS!$G$10:$Z$41,MATCH($C274,UWS!$B$10:$B$41,0),MATCH(W$4,UWS!$G$3:$Z$3,0)),0)</f>
        <v>0</v>
      </c>
      <c r="X274">
        <f>IFERROR(INDEX(UWS!$G$10:$Z$41,MATCH($C274,UWS!$B$10:$B$41,0),MATCH(X$4,UWS!$G$3:$Z$3,0)),0)</f>
        <v>0</v>
      </c>
      <c r="Y274">
        <f>IFERROR(INDEX(UWS!$G$10:$Z$41,MATCH($C274,UWS!$B$10:$B$41,0),MATCH(Y$4,UWS!$G$3:$Z$3,0)),0)</f>
        <v>0</v>
      </c>
      <c r="Z274">
        <f>IFERROR(INDEX(UWS!$G$10:$Z$41,MATCH($C274,UWS!$B$10:$B$41,0),MATCH(Z$4,UWS!$G$3:$Z$3,0)),0)</f>
        <v>0</v>
      </c>
      <c r="AA274">
        <f>IFERROR(INDEX(UWS!$G$10:$Z$41,MATCH($C274,UWS!$B$10:$B$41,0),MATCH(AA$4,UWS!$G$3:$Z$3,0)),0)</f>
        <v>0</v>
      </c>
      <c r="AB274">
        <f>IFERROR(INDEX(UWS!$G$10:$Z$41,MATCH($C274,UWS!$B$10:$B$41,0),MATCH(AB$4,UWS!$G$3:$Z$3,0)),0)</f>
        <v>0</v>
      </c>
      <c r="AC274">
        <f>IFERROR(INDEX(UWS!$G$10:$Z$41,MATCH($C274,UWS!$B$10:$B$41,0),MATCH(AC$4,UWS!$G$3:$Z$3,0)),0)</f>
        <v>0</v>
      </c>
      <c r="AD274">
        <f>IFERROR(INDEX(UWS!$G$10:$Z$41,MATCH($C274,UWS!$B$10:$B$41,0),MATCH(AD$4,UWS!$G$3:$Z$3,0)),0)</f>
        <v>0</v>
      </c>
      <c r="AE274">
        <f>IFERROR(INDEX(UWS!$G$10:$Z$41,MATCH($C274,UWS!$B$10:$B$41,0),MATCH(AE$4,UWS!$G$3:$Z$3,0)),0)</f>
        <v>0</v>
      </c>
      <c r="AF274">
        <f>IFERROR(INDEX(UWS!$G$10:$Z$41,MATCH($C274,UWS!$B$10:$B$41,0),MATCH(AF$4,UWS!$G$3:$Z$3,0)),0)</f>
        <v>0</v>
      </c>
      <c r="AG274">
        <f>IFERROR(INDEX(UWS!$G$10:$Z$41,MATCH($C274,UWS!$B$10:$B$41,0),MATCH(AG$4,UWS!$G$3:$Z$3,0)),0)</f>
        <v>0</v>
      </c>
      <c r="AH274">
        <f>IFERROR(INDEX(UWS!$G$10:$Z$41,MATCH($C274,UWS!$B$10:$B$41,0),MATCH(AH$4,UWS!$G$3:$Z$3,0)),0)</f>
        <v>0</v>
      </c>
      <c r="AI274">
        <f>IFERROR(INDEX(UWS!$G$10:$Z$41,MATCH($C274,UWS!$B$10:$B$41,0),MATCH(AI$4,UWS!$G$3:$Z$3,0)),0)</f>
        <v>0</v>
      </c>
      <c r="AK274" t="e">
        <f>IF(OR($J274=0,COUNTIFS($A$4:$A273,"&gt;="&amp;$A274-1,$A$4:$A273,"&lt;="&amp;$A274,$B$4:$B273,$B274)&gt;0,MIN(AK$1,IF($A274=$A273,AK273,1))-P274&lt;0),-1,MIN(1,IF($A274=$A273,AK273,1)-P274+$D$3))</f>
        <v>#N/A</v>
      </c>
      <c r="AL274" t="e">
        <f>IF(OR($J274=0,COUNTIFS($A$4:$A273,"&gt;="&amp;$A274-1,$A$4:$A273,"&lt;="&amp;$A274,$B$4:$B273,$B274)&gt;0,MIN(AL$1,IF($A274=$A273,AL273,1))-Q274&lt;0),-1,MIN(1,IF($A274=$A273,AL273,1)-Q274+$D$3))</f>
        <v>#N/A</v>
      </c>
      <c r="AM274" t="e">
        <f>IF(OR($J274=0,COUNTIFS($A$4:$A273,"&gt;="&amp;$A274-1,$A$4:$A273,"&lt;="&amp;$A274,$B$4:$B273,$B274)&gt;0,MIN(AM$1,IF($A274=$A273,AM273,1))-R274&lt;0),-1,MIN(1,IF($A274=$A273,AM273,1)-R274+$D$3))</f>
        <v>#N/A</v>
      </c>
      <c r="AN274" t="e">
        <f>IF(OR($J274=0,COUNTIFS($A$4:$A273,"&gt;="&amp;$A274-1,$A$4:$A273,"&lt;="&amp;$A274,$B$4:$B273,$B274)&gt;0,MIN(AN$1,IF($A274=$A273,AN273,1))-S274&lt;0),-1,MIN(1,IF($A274=$A273,AN273,1)-S274+$D$3))</f>
        <v>#N/A</v>
      </c>
      <c r="AO274" t="e">
        <f>IF(OR($J274=0,COUNTIFS($A$4:$A273,"&gt;="&amp;$A274-1,$A$4:$A273,"&lt;="&amp;$A274,$B$4:$B273,$B274)&gt;0,MIN(AO$1,IF($A274=$A273,AO273,1))-T274&lt;0),-1,MIN(1,IF($A274=$A273,AO273,1)-T274+$D$3))</f>
        <v>#N/A</v>
      </c>
      <c r="AP274" t="e">
        <f>IF(OR($J274=0,COUNTIFS($A$4:$A273,"&gt;="&amp;$A274-1,$A$4:$A273,"&lt;="&amp;$A274,$B$4:$B273,$B274)&gt;0,MIN(AP$1,IF($A274=$A273,AP273,1))-U274&lt;0),-1,MIN(1,IF($A274=$A273,AP273,1)-U274+$D$3))</f>
        <v>#N/A</v>
      </c>
      <c r="AQ274" t="e">
        <f>IF(OR($J274=0,COUNTIFS($A$4:$A273,"&gt;="&amp;$A274-1,$A$4:$A273,"&lt;="&amp;$A274,$B$4:$B273,$B274)&gt;0,MIN(AQ$1,IF($A274=$A273,AQ273,1))-V274&lt;0),-1,MIN(1,IF($A274=$A273,AQ273,1)-V274+$D$3))</f>
        <v>#N/A</v>
      </c>
      <c r="AR274" t="e">
        <f>IF(OR($J274=0,COUNTIFS($A$4:$A273,"&gt;="&amp;$A274-1,$A$4:$A273,"&lt;="&amp;$A274,$B$4:$B273,$B274)&gt;0,MIN(AR$1,IF($A274=$A273,AR273,1))-W274&lt;0),-1,MIN(1,IF($A274=$A273,AR273,1)-W274+$D$3))</f>
        <v>#N/A</v>
      </c>
      <c r="AS274" t="e">
        <f>IF(OR($J274=0,COUNTIFS($A$4:$A273,"&gt;="&amp;$A274-1,$A$4:$A273,"&lt;="&amp;$A274,$B$4:$B273,$B274)&gt;0,MIN(AS$1,IF($A274=$A273,AS273,1))-X274&lt;0),-1,MIN(1,IF($A274=$A273,AS273,1)-X274+$D$3))</f>
        <v>#N/A</v>
      </c>
      <c r="AT274" t="e">
        <f>IF(OR($J274=0,COUNTIFS($A$4:$A273,"&gt;="&amp;$A274-1,$A$4:$A273,"&lt;="&amp;$A274,$B$4:$B273,$B274)&gt;0,MIN(AT$1,IF($A274=$A273,AT273,1))-Y274&lt;0),-1,MIN(1,IF($A274=$A273,AT273,1)-Y274+$D$3))</f>
        <v>#N/A</v>
      </c>
      <c r="AU274" t="e">
        <f>IF(OR($J274=0,COUNTIFS($A$4:$A273,"&gt;="&amp;$A274-1,$A$4:$A273,"&lt;="&amp;$A274,$B$4:$B273,$B274)&gt;0,MIN(AU$1,IF($A274=$A273,AU273,1))-Z274&lt;0),-1,MIN(1,IF($A274=$A273,AU273,1)-Z274+$D$3))</f>
        <v>#N/A</v>
      </c>
      <c r="AV274" t="e">
        <f>IF(OR($J274=0,COUNTIFS($A$4:$A273,"&gt;="&amp;$A274-1,$A$4:$A273,"&lt;="&amp;$A274,$B$4:$B273,$B274)&gt;0,MIN(AV$1,IF($A274=$A273,AV273,1))-AA274&lt;0),-1,MIN(1,IF($A274=$A273,AV273,1)-AA274+$D$3))</f>
        <v>#N/A</v>
      </c>
      <c r="AW274" t="e">
        <f>IF(OR($J274=0,COUNTIFS($A$4:$A273,"&gt;="&amp;$A274-1,$A$4:$A273,"&lt;="&amp;$A274,$B$4:$B273,$B274)&gt;0,MIN(AW$1,IF($A274=$A273,AW273,1))-AB274&lt;0),-1,MIN(1,IF($A274=$A273,AW273,1)-AB274+$D$3))</f>
        <v>#N/A</v>
      </c>
      <c r="AX274" t="e">
        <f>IF(OR($J274=0,COUNTIFS($A$4:$A273,"&gt;="&amp;$A274-1,$A$4:$A273,"&lt;="&amp;$A274,$B$4:$B273,$B274)&gt;0,MIN(AX$1,IF($A274=$A273,AX273,1))-AC274&lt;0),-1,MIN(1,IF($A274=$A273,AX273,1)-AC274+$D$3))</f>
        <v>#N/A</v>
      </c>
      <c r="AY274" t="e">
        <f>IF(OR($J274=0,COUNTIFS($A$4:$A273,"&gt;="&amp;$A274-1,$A$4:$A273,"&lt;="&amp;$A274,$B$4:$B273,$B274)&gt;0,MIN(AY$1,IF($A274=$A273,AY273,1))-AD274&lt;0),-1,MIN(1,IF($A274=$A273,AY273,1)-AD274+$D$3))</f>
        <v>#N/A</v>
      </c>
      <c r="AZ274" t="e">
        <f>IF(OR($J274=0,COUNTIFS($A$4:$A273,"&gt;="&amp;$A274-1,$A$4:$A273,"&lt;="&amp;$A274,$B$4:$B273,$B274)&gt;0,MIN(AZ$1,IF($A274=$A273,AZ273,1))-AE274&lt;0),-1,MIN(1,IF($A274=$A273,AZ273,1)-AE274+$D$3))</f>
        <v>#N/A</v>
      </c>
      <c r="BA274" t="e">
        <f>IF(OR($J274=0,COUNTIFS($A$4:$A273,"&gt;="&amp;$A274-1,$A$4:$A273,"&lt;="&amp;$A274,$B$4:$B273,$B274)&gt;0,MIN(BA$1,IF($A274=$A273,BA273,1))-AF274&lt;0),-1,MIN(1,IF($A274=$A273,BA273,1)-AF274+$D$3))</f>
        <v>#N/A</v>
      </c>
      <c r="BB274" t="e">
        <f>IF(OR($J274=0,COUNTIFS($A$4:$A273,"&gt;="&amp;$A274-1,$A$4:$A273,"&lt;="&amp;$A274,$B$4:$B273,$B274)&gt;0,MIN(BB$1,IF($A274=$A273,BB273,1))-AG274&lt;0),-1,MIN(1,IF($A274=$A273,BB273,1)-AG274+$D$3))</f>
        <v>#N/A</v>
      </c>
      <c r="BC274" t="e">
        <f>IF(OR($J274=0,COUNTIFS($A$4:$A273,"&gt;="&amp;$A274-1,$A$4:$A273,"&lt;="&amp;$A274,$B$4:$B273,$B274)&gt;0,MIN(BC$1,IF($A274=$A273,BC273,1))-AH274&lt;0),-1,MIN(1,IF($A274=$A273,BC273,1)-AH274+$D$3))</f>
        <v>#N/A</v>
      </c>
      <c r="BD274" t="e">
        <f>IF(OR($J274=0,COUNTIFS($A$4:$A273,"&gt;="&amp;$A274-1,$A$4:$A273,"&lt;="&amp;$A274,$B$4:$B273,$B274)&gt;0,MIN(BD$1,IF($A274=$A273,BD273,1))-AI274&lt;0),-1,MIN(1,IF($A274=$A273,BD273,1)-AI274+$D$3))</f>
        <v>#N/A</v>
      </c>
      <c r="BF274" s="44">
        <f t="shared" si="311"/>
        <v>2.0496481823398668E-6</v>
      </c>
      <c r="BG274" s="44">
        <f t="shared" si="312"/>
        <v>5.0406632526832481E-6</v>
      </c>
      <c r="BH274" s="44">
        <f t="shared" si="313"/>
        <v>5.1661496081542014E-6</v>
      </c>
      <c r="BI274" s="44">
        <f t="shared" si="314"/>
        <v>4.7720879170430358E-6</v>
      </c>
      <c r="BJ274" s="44">
        <f t="shared" si="315"/>
        <v>4.9324059050106143E-6</v>
      </c>
      <c r="BK274" s="44">
        <f t="shared" si="316"/>
        <v>2.1181590000677574E-6</v>
      </c>
      <c r="BL274" s="44">
        <f t="shared" si="317"/>
        <v>1.1442628155491654E-6</v>
      </c>
      <c r="BM274" s="44">
        <f t="shared" si="318"/>
        <v>2.9108709814258776E-6</v>
      </c>
      <c r="BN274" s="44">
        <f t="shared" si="319"/>
        <v>3.0275326805222536E-6</v>
      </c>
      <c r="BO274" s="44">
        <f t="shared" si="320"/>
        <v>1.4188166957722353E-6</v>
      </c>
      <c r="BP274" s="44">
        <f t="shared" si="321"/>
        <v>4.7707395280166333E-6</v>
      </c>
      <c r="BQ274" s="44">
        <f t="shared" si="322"/>
        <v>1.2874251123730856E-6</v>
      </c>
      <c r="BR274" s="44">
        <f t="shared" si="323"/>
        <v>3.8033760581589441E-6</v>
      </c>
      <c r="BS274" s="44">
        <f t="shared" si="324"/>
        <v>2.0512111793983875E-6</v>
      </c>
      <c r="BT274" s="44">
        <f t="shared" si="325"/>
        <v>8.1172714899164045E-6</v>
      </c>
      <c r="BU274" s="44">
        <f t="shared" si="326"/>
        <v>7.7544368532167689E-6</v>
      </c>
      <c r="BV274" s="44">
        <f t="shared" si="327"/>
        <v>7.4471046039157782E-6</v>
      </c>
      <c r="BW274" s="44">
        <f t="shared" si="328"/>
        <v>4.8708162282343613E-6</v>
      </c>
      <c r="BX274" s="44">
        <f t="shared" si="329"/>
        <v>3.5984705790387315E-6</v>
      </c>
      <c r="BY274" s="44">
        <f t="shared" si="330"/>
        <v>3.0897005893349128E-6</v>
      </c>
      <c r="CA274" s="44" t="str">
        <f t="shared" si="331"/>
        <v/>
      </c>
      <c r="CB274" s="44" t="str">
        <f t="shared" si="332"/>
        <v/>
      </c>
      <c r="CC274" s="44" t="str">
        <f t="shared" si="333"/>
        <v/>
      </c>
      <c r="CD274" s="44" t="str">
        <f t="shared" si="334"/>
        <v/>
      </c>
      <c r="CE274" s="44" t="str">
        <f t="shared" si="335"/>
        <v/>
      </c>
      <c r="CF274" s="44" t="str">
        <f t="shared" si="336"/>
        <v/>
      </c>
      <c r="CG274" s="44" t="str">
        <f t="shared" si="337"/>
        <v/>
      </c>
      <c r="CH274" s="44" t="str">
        <f t="shared" si="338"/>
        <v/>
      </c>
      <c r="CI274" s="44" t="str">
        <f t="shared" si="339"/>
        <v/>
      </c>
      <c r="CJ274" s="44" t="str">
        <f t="shared" si="340"/>
        <v/>
      </c>
      <c r="CK274" s="44" t="str">
        <f t="shared" si="341"/>
        <v/>
      </c>
      <c r="CL274" s="44" t="str">
        <f t="shared" si="342"/>
        <v/>
      </c>
      <c r="CM274" s="44" t="str">
        <f t="shared" si="343"/>
        <v/>
      </c>
      <c r="CN274" s="44" t="str">
        <f t="shared" si="344"/>
        <v/>
      </c>
      <c r="CO274" s="44" t="str">
        <f t="shared" si="345"/>
        <v/>
      </c>
      <c r="CP274" s="44" t="str">
        <f t="shared" si="346"/>
        <v/>
      </c>
      <c r="CQ274" s="44" t="str">
        <f t="shared" si="347"/>
        <v/>
      </c>
      <c r="CR274" s="44" t="str">
        <f t="shared" si="348"/>
        <v/>
      </c>
      <c r="CS274" s="44" t="str">
        <f t="shared" si="349"/>
        <v/>
      </c>
      <c r="CT274" s="44" t="str">
        <f t="shared" si="350"/>
        <v/>
      </c>
      <c r="CV274" s="44">
        <f t="shared" si="351"/>
        <v>0</v>
      </c>
    </row>
    <row r="275" spans="1:100" x14ac:dyDescent="0.25">
      <c r="A275" s="49"/>
      <c r="B275" s="50"/>
      <c r="C275" s="51" t="str" cm="1">
        <f t="array" ref="C275">IF(B275="","",INDEX(UWS!$B$10:$B$41,B275))</f>
        <v/>
      </c>
      <c r="D275" s="45" t="str">
        <f t="shared" si="308"/>
        <v/>
      </c>
      <c r="E275" s="70" t="str">
        <f t="shared" si="309"/>
        <v/>
      </c>
      <c r="F275" s="52" cm="1">
        <f t="array" ref="F275">0.1+IFERROR(INDEX($F$5:$F274,SUMPRODUCT(MAX(ROW($C$5:$C274)*($C275=$C$5:$C274))-ROW($A$4)))*0.9^($A275-INDEX($A$5:A274,SUMPRODUCT(MAX(ROW($C$5:$C274)*($C275=$C$5:$C274))-ROW($A$4)))),0)</f>
        <v>21.000000000000028</v>
      </c>
      <c r="G275" s="56" t="e">
        <f>INDEX(UWS!$AB$10:$AB$41,MATCH(C275,UWS!$B$10:$B$41,0))</f>
        <v>#N/A</v>
      </c>
      <c r="H275" s="52" t="e">
        <f>INDEX(UWS!$C$10:$C$41,MATCH(C275,UWS!$B$10:$B$41,0))</f>
        <v>#N/A</v>
      </c>
      <c r="I275" s="46">
        <f t="shared" si="310"/>
        <v>5</v>
      </c>
      <c r="J275" s="46" t="e">
        <f>INDEX(UWS!$E$10:$E$41,MATCH(C275,UWS!$B$10:$B$41,0))</f>
        <v>#N/A</v>
      </c>
      <c r="K275" s="46"/>
      <c r="L275" s="109" t="str" cm="1">
        <f t="array" ref="L275">IF(K275="","",INDEX(UWS!$B$10:$B$41,K275))</f>
        <v/>
      </c>
      <c r="M275" s="46"/>
      <c r="N275" s="109" t="str" cm="1">
        <f t="array" ref="N275">IF(M275="","",INDEX(UWS!$B$10:$B$41,M275))</f>
        <v/>
      </c>
      <c r="O275" s="47"/>
      <c r="P275" s="47">
        <f>IFERROR(INDEX(UWS!$G$10:$Z$41,MATCH($C275,UWS!$B$10:$B$41,0),MATCH(P$4,UWS!$G$3:$Z$3,0)),0)</f>
        <v>0</v>
      </c>
      <c r="Q275" s="47">
        <f>IFERROR(INDEX(UWS!$G$10:$Z$41,MATCH($C275,UWS!$B$10:$B$41,0),MATCH(Q$4,UWS!$G$3:$Z$3,0)),0)</f>
        <v>0</v>
      </c>
      <c r="R275" s="47">
        <f>IFERROR(INDEX(UWS!$G$10:$Z$41,MATCH($C275,UWS!$B$10:$B$41,0),MATCH(R$4,UWS!$G$3:$Z$3,0)),0)</f>
        <v>0</v>
      </c>
      <c r="S275" s="47">
        <f>IFERROR(INDEX(UWS!$G$10:$Z$41,MATCH($C275,UWS!$B$10:$B$41,0),MATCH(S$4,UWS!$G$3:$Z$3,0)),0)</f>
        <v>0</v>
      </c>
      <c r="T275" s="47">
        <f>IFERROR(INDEX(UWS!$G$10:$Z$41,MATCH($C275,UWS!$B$10:$B$41,0),MATCH(T$4,UWS!$G$3:$Z$3,0)),0)</f>
        <v>0</v>
      </c>
      <c r="U275" s="47">
        <f>IFERROR(INDEX(UWS!$G$10:$Z$41,MATCH($C275,UWS!$B$10:$B$41,0),MATCH(U$4,UWS!$G$3:$Z$3,0)),0)</f>
        <v>0</v>
      </c>
      <c r="V275" s="47">
        <f>IFERROR(INDEX(UWS!$G$10:$Z$41,MATCH($C275,UWS!$B$10:$B$41,0),MATCH(V$4,UWS!$G$3:$Z$3,0)),0)</f>
        <v>0</v>
      </c>
      <c r="W275" s="47">
        <f>IFERROR(INDEX(UWS!$G$10:$Z$41,MATCH($C275,UWS!$B$10:$B$41,0),MATCH(W$4,UWS!$G$3:$Z$3,0)),0)</f>
        <v>0</v>
      </c>
      <c r="X275" s="47">
        <f>IFERROR(INDEX(UWS!$G$10:$Z$41,MATCH($C275,UWS!$B$10:$B$41,0),MATCH(X$4,UWS!$G$3:$Z$3,0)),0)</f>
        <v>0</v>
      </c>
      <c r="Y275" s="47">
        <f>IFERROR(INDEX(UWS!$G$10:$Z$41,MATCH($C275,UWS!$B$10:$B$41,0),MATCH(Y$4,UWS!$G$3:$Z$3,0)),0)</f>
        <v>0</v>
      </c>
      <c r="Z275" s="47">
        <f>IFERROR(INDEX(UWS!$G$10:$Z$41,MATCH($C275,UWS!$B$10:$B$41,0),MATCH(Z$4,UWS!$G$3:$Z$3,0)),0)</f>
        <v>0</v>
      </c>
      <c r="AA275" s="47">
        <f>IFERROR(INDEX(UWS!$G$10:$Z$41,MATCH($C275,UWS!$B$10:$B$41,0),MATCH(AA$4,UWS!$G$3:$Z$3,0)),0)</f>
        <v>0</v>
      </c>
      <c r="AB275" s="47">
        <f>IFERROR(INDEX(UWS!$G$10:$Z$41,MATCH($C275,UWS!$B$10:$B$41,0),MATCH(AB$4,UWS!$G$3:$Z$3,0)),0)</f>
        <v>0</v>
      </c>
      <c r="AC275" s="47">
        <f>IFERROR(INDEX(UWS!$G$10:$Z$41,MATCH($C275,UWS!$B$10:$B$41,0),MATCH(AC$4,UWS!$G$3:$Z$3,0)),0)</f>
        <v>0</v>
      </c>
      <c r="AD275" s="47">
        <f>IFERROR(INDEX(UWS!$G$10:$Z$41,MATCH($C275,UWS!$B$10:$B$41,0),MATCH(AD$4,UWS!$G$3:$Z$3,0)),0)</f>
        <v>0</v>
      </c>
      <c r="AE275" s="47">
        <f>IFERROR(INDEX(UWS!$G$10:$Z$41,MATCH($C275,UWS!$B$10:$B$41,0),MATCH(AE$4,UWS!$G$3:$Z$3,0)),0)</f>
        <v>0</v>
      </c>
      <c r="AF275" s="47">
        <f>IFERROR(INDEX(UWS!$G$10:$Z$41,MATCH($C275,UWS!$B$10:$B$41,0),MATCH(AF$4,UWS!$G$3:$Z$3,0)),0)</f>
        <v>0</v>
      </c>
      <c r="AG275" s="47">
        <f>IFERROR(INDEX(UWS!$G$10:$Z$41,MATCH($C275,UWS!$B$10:$B$41,0),MATCH(AG$4,UWS!$G$3:$Z$3,0)),0)</f>
        <v>0</v>
      </c>
      <c r="AH275" s="47">
        <f>IFERROR(INDEX(UWS!$G$10:$Z$41,MATCH($C275,UWS!$B$10:$B$41,0),MATCH(AH$4,UWS!$G$3:$Z$3,0)),0)</f>
        <v>0</v>
      </c>
      <c r="AI275" s="47">
        <f>IFERROR(INDEX(UWS!$G$10:$Z$41,MATCH($C275,UWS!$B$10:$B$41,0),MATCH(AI$4,UWS!$G$3:$Z$3,0)),0)</f>
        <v>0</v>
      </c>
      <c r="AJ275" s="47"/>
      <c r="AK275" s="47" t="e">
        <f>IF(OR($J275=0,COUNTIFS($A$4:$A274,"&gt;="&amp;$A275-1,$A$4:$A274,"&lt;="&amp;$A275,$B$4:$B274,$B275)&gt;0,MIN(AK$1,IF($A275=$A274,AK274,1))-P275&lt;0),-1,MIN(1,IF($A275=$A274,AK274,1)-P275+$D$3))</f>
        <v>#N/A</v>
      </c>
      <c r="AL275" s="47" t="e">
        <f>IF(OR($J275=0,COUNTIFS($A$4:$A274,"&gt;="&amp;$A275-1,$A$4:$A274,"&lt;="&amp;$A275,$B$4:$B274,$B275)&gt;0,MIN(AL$1,IF($A275=$A274,AL274,1))-Q275&lt;0),-1,MIN(1,IF($A275=$A274,AL274,1)-Q275+$D$3))</f>
        <v>#N/A</v>
      </c>
      <c r="AM275" s="47" t="e">
        <f>IF(OR($J275=0,COUNTIFS($A$4:$A274,"&gt;="&amp;$A275-1,$A$4:$A274,"&lt;="&amp;$A275,$B$4:$B274,$B275)&gt;0,MIN(AM$1,IF($A275=$A274,AM274,1))-R275&lt;0),-1,MIN(1,IF($A275=$A274,AM274,1)-R275+$D$3))</f>
        <v>#N/A</v>
      </c>
      <c r="AN275" s="47" t="e">
        <f>IF(OR($J275=0,COUNTIFS($A$4:$A274,"&gt;="&amp;$A275-1,$A$4:$A274,"&lt;="&amp;$A275,$B$4:$B274,$B275)&gt;0,MIN(AN$1,IF($A275=$A274,AN274,1))-S275&lt;0),-1,MIN(1,IF($A275=$A274,AN274,1)-S275+$D$3))</f>
        <v>#N/A</v>
      </c>
      <c r="AO275" s="47" t="e">
        <f>IF(OR($J275=0,COUNTIFS($A$4:$A274,"&gt;="&amp;$A275-1,$A$4:$A274,"&lt;="&amp;$A275,$B$4:$B274,$B275)&gt;0,MIN(AO$1,IF($A275=$A274,AO274,1))-T275&lt;0),-1,MIN(1,IF($A275=$A274,AO274,1)-T275+$D$3))</f>
        <v>#N/A</v>
      </c>
      <c r="AP275" s="47" t="e">
        <f>IF(OR($J275=0,COUNTIFS($A$4:$A274,"&gt;="&amp;$A275-1,$A$4:$A274,"&lt;="&amp;$A275,$B$4:$B274,$B275)&gt;0,MIN(AP$1,IF($A275=$A274,AP274,1))-U275&lt;0),-1,MIN(1,IF($A275=$A274,AP274,1)-U275+$D$3))</f>
        <v>#N/A</v>
      </c>
      <c r="AQ275" s="47" t="e">
        <f>IF(OR($J275=0,COUNTIFS($A$4:$A274,"&gt;="&amp;$A275-1,$A$4:$A274,"&lt;="&amp;$A275,$B$4:$B274,$B275)&gt;0,MIN(AQ$1,IF($A275=$A274,AQ274,1))-V275&lt;0),-1,MIN(1,IF($A275=$A274,AQ274,1)-V275+$D$3))</f>
        <v>#N/A</v>
      </c>
      <c r="AR275" s="47" t="e">
        <f>IF(OR($J275=0,COUNTIFS($A$4:$A274,"&gt;="&amp;$A275-1,$A$4:$A274,"&lt;="&amp;$A275,$B$4:$B274,$B275)&gt;0,MIN(AR$1,IF($A275=$A274,AR274,1))-W275&lt;0),-1,MIN(1,IF($A275=$A274,AR274,1)-W275+$D$3))</f>
        <v>#N/A</v>
      </c>
      <c r="AS275" s="47" t="e">
        <f>IF(OR($J275=0,COUNTIFS($A$4:$A274,"&gt;="&amp;$A275-1,$A$4:$A274,"&lt;="&amp;$A275,$B$4:$B274,$B275)&gt;0,MIN(AS$1,IF($A275=$A274,AS274,1))-X275&lt;0),-1,MIN(1,IF($A275=$A274,AS274,1)-X275+$D$3))</f>
        <v>#N/A</v>
      </c>
      <c r="AT275" s="47" t="e">
        <f>IF(OR($J275=0,COUNTIFS($A$4:$A274,"&gt;="&amp;$A275-1,$A$4:$A274,"&lt;="&amp;$A275,$B$4:$B274,$B275)&gt;0,MIN(AT$1,IF($A275=$A274,AT274,1))-Y275&lt;0),-1,MIN(1,IF($A275=$A274,AT274,1)-Y275+$D$3))</f>
        <v>#N/A</v>
      </c>
      <c r="AU275" s="47" t="e">
        <f>IF(OR($J275=0,COUNTIFS($A$4:$A274,"&gt;="&amp;$A275-1,$A$4:$A274,"&lt;="&amp;$A275,$B$4:$B274,$B275)&gt;0,MIN(AU$1,IF($A275=$A274,AU274,1))-Z275&lt;0),-1,MIN(1,IF($A275=$A274,AU274,1)-Z275+$D$3))</f>
        <v>#N/A</v>
      </c>
      <c r="AV275" s="47" t="e">
        <f>IF(OR($J275=0,COUNTIFS($A$4:$A274,"&gt;="&amp;$A275-1,$A$4:$A274,"&lt;="&amp;$A275,$B$4:$B274,$B275)&gt;0,MIN(AV$1,IF($A275=$A274,AV274,1))-AA275&lt;0),-1,MIN(1,IF($A275=$A274,AV274,1)-AA275+$D$3))</f>
        <v>#N/A</v>
      </c>
      <c r="AW275" s="47" t="e">
        <f>IF(OR($J275=0,COUNTIFS($A$4:$A274,"&gt;="&amp;$A275-1,$A$4:$A274,"&lt;="&amp;$A275,$B$4:$B274,$B275)&gt;0,MIN(AW$1,IF($A275=$A274,AW274,1))-AB275&lt;0),-1,MIN(1,IF($A275=$A274,AW274,1)-AB275+$D$3))</f>
        <v>#N/A</v>
      </c>
      <c r="AX275" s="47" t="e">
        <f>IF(OR($J275=0,COUNTIFS($A$4:$A274,"&gt;="&amp;$A275-1,$A$4:$A274,"&lt;="&amp;$A275,$B$4:$B274,$B275)&gt;0,MIN(AX$1,IF($A275=$A274,AX274,1))-AC275&lt;0),-1,MIN(1,IF($A275=$A274,AX274,1)-AC275+$D$3))</f>
        <v>#N/A</v>
      </c>
      <c r="AY275" s="47" t="e">
        <f>IF(OR($J275=0,COUNTIFS($A$4:$A274,"&gt;="&amp;$A275-1,$A$4:$A274,"&lt;="&amp;$A275,$B$4:$B274,$B275)&gt;0,MIN(AY$1,IF($A275=$A274,AY274,1))-AD275&lt;0),-1,MIN(1,IF($A275=$A274,AY274,1)-AD275+$D$3))</f>
        <v>#N/A</v>
      </c>
      <c r="AZ275" s="47" t="e">
        <f>IF(OR($J275=0,COUNTIFS($A$4:$A274,"&gt;="&amp;$A275-1,$A$4:$A274,"&lt;="&amp;$A275,$B$4:$B274,$B275)&gt;0,MIN(AZ$1,IF($A275=$A274,AZ274,1))-AE275&lt;0),-1,MIN(1,IF($A275=$A274,AZ274,1)-AE275+$D$3))</f>
        <v>#N/A</v>
      </c>
      <c r="BA275" s="47" t="e">
        <f>IF(OR($J275=0,COUNTIFS($A$4:$A274,"&gt;="&amp;$A275-1,$A$4:$A274,"&lt;="&amp;$A275,$B$4:$B274,$B275)&gt;0,MIN(BA$1,IF($A275=$A274,BA274,1))-AF275&lt;0),-1,MIN(1,IF($A275=$A274,BA274,1)-AF275+$D$3))</f>
        <v>#N/A</v>
      </c>
      <c r="BB275" s="47" t="e">
        <f>IF(OR($J275=0,COUNTIFS($A$4:$A274,"&gt;="&amp;$A275-1,$A$4:$A274,"&lt;="&amp;$A275,$B$4:$B274,$B275)&gt;0,MIN(BB$1,IF($A275=$A274,BB274,1))-AG275&lt;0),-1,MIN(1,IF($A275=$A274,BB274,1)-AG275+$D$3))</f>
        <v>#N/A</v>
      </c>
      <c r="BC275" s="47" t="e">
        <f>IF(OR($J275=0,COUNTIFS($A$4:$A274,"&gt;="&amp;$A275-1,$A$4:$A274,"&lt;="&amp;$A275,$B$4:$B274,$B275)&gt;0,MIN(BC$1,IF($A275=$A274,BC274,1))-AH275&lt;0),-1,MIN(1,IF($A275=$A274,BC274,1)-AH275+$D$3))</f>
        <v>#N/A</v>
      </c>
      <c r="BD275" s="47" t="e">
        <f>IF(OR($J275=0,COUNTIFS($A$4:$A274,"&gt;="&amp;$A275-1,$A$4:$A274,"&lt;="&amp;$A275,$B$4:$B274,$B275)&gt;0,MIN(BD$1,IF($A275=$A274,BD274,1))-AI275&lt;0),-1,MIN(1,IF($A275=$A274,BD274,1)-AI275+$D$3))</f>
        <v>#N/A</v>
      </c>
      <c r="BE275" s="47"/>
      <c r="BF275" s="53">
        <f t="shared" si="311"/>
        <v>1.9471657732228734E-6</v>
      </c>
      <c r="BG275" s="53">
        <f t="shared" si="312"/>
        <v>4.7886300900490854E-6</v>
      </c>
      <c r="BH275" s="53">
        <f t="shared" si="313"/>
        <v>4.9078421277464909E-6</v>
      </c>
      <c r="BI275" s="53">
        <f t="shared" si="314"/>
        <v>4.5334835211908837E-6</v>
      </c>
      <c r="BJ275" s="53">
        <f t="shared" si="315"/>
        <v>4.6857856097600832E-6</v>
      </c>
      <c r="BK275" s="53">
        <f t="shared" si="316"/>
        <v>2.0122510500643693E-6</v>
      </c>
      <c r="BL275" s="53">
        <f t="shared" si="317"/>
        <v>1.0870496747717071E-6</v>
      </c>
      <c r="BM275" s="53">
        <f t="shared" si="318"/>
        <v>2.7653274323545837E-6</v>
      </c>
      <c r="BN275" s="53">
        <f t="shared" si="319"/>
        <v>2.8761560464961408E-6</v>
      </c>
      <c r="BO275" s="53">
        <f t="shared" si="320"/>
        <v>1.3478758609836235E-6</v>
      </c>
      <c r="BP275" s="53">
        <f t="shared" si="321"/>
        <v>4.5322025516158015E-6</v>
      </c>
      <c r="BQ275" s="53">
        <f t="shared" si="322"/>
        <v>1.2230538567544312E-6</v>
      </c>
      <c r="BR275" s="53">
        <f t="shared" si="323"/>
        <v>3.6132072552509968E-6</v>
      </c>
      <c r="BS275" s="53">
        <f t="shared" si="324"/>
        <v>1.9486506204284679E-6</v>
      </c>
      <c r="BT275" s="53">
        <f t="shared" si="325"/>
        <v>7.7114079154205845E-6</v>
      </c>
      <c r="BU275" s="53">
        <f t="shared" si="326"/>
        <v>7.3667150105559299E-6</v>
      </c>
      <c r="BV275" s="53">
        <f t="shared" si="327"/>
        <v>7.0747493737199887E-6</v>
      </c>
      <c r="BW275" s="53">
        <f t="shared" si="328"/>
        <v>4.627275416822643E-6</v>
      </c>
      <c r="BX275" s="53">
        <f t="shared" si="329"/>
        <v>3.4185470500867948E-6</v>
      </c>
      <c r="BY275" s="53">
        <f t="shared" si="330"/>
        <v>2.9352155598681669E-6</v>
      </c>
      <c r="BZ275" s="47"/>
      <c r="CA275" s="53" t="str">
        <f t="shared" si="331"/>
        <v/>
      </c>
      <c r="CB275" s="53" t="str">
        <f t="shared" si="332"/>
        <v/>
      </c>
      <c r="CC275" s="53" t="str">
        <f t="shared" si="333"/>
        <v/>
      </c>
      <c r="CD275" s="53" t="str">
        <f t="shared" si="334"/>
        <v/>
      </c>
      <c r="CE275" s="53" t="str">
        <f t="shared" si="335"/>
        <v/>
      </c>
      <c r="CF275" s="53" t="str">
        <f t="shared" si="336"/>
        <v/>
      </c>
      <c r="CG275" s="53" t="str">
        <f t="shared" si="337"/>
        <v/>
      </c>
      <c r="CH275" s="53" t="str">
        <f t="shared" si="338"/>
        <v/>
      </c>
      <c r="CI275" s="53" t="str">
        <f t="shared" si="339"/>
        <v/>
      </c>
      <c r="CJ275" s="53" t="str">
        <f t="shared" si="340"/>
        <v/>
      </c>
      <c r="CK275" s="53" t="str">
        <f t="shared" si="341"/>
        <v/>
      </c>
      <c r="CL275" s="53" t="str">
        <f t="shared" si="342"/>
        <v/>
      </c>
      <c r="CM275" s="53" t="str">
        <f t="shared" si="343"/>
        <v/>
      </c>
      <c r="CN275" s="53" t="str">
        <f t="shared" si="344"/>
        <v/>
      </c>
      <c r="CO275" s="53" t="str">
        <f t="shared" si="345"/>
        <v/>
      </c>
      <c r="CP275" s="53" t="str">
        <f t="shared" si="346"/>
        <v/>
      </c>
      <c r="CQ275" s="53" t="str">
        <f t="shared" si="347"/>
        <v/>
      </c>
      <c r="CR275" s="53" t="str">
        <f t="shared" si="348"/>
        <v/>
      </c>
      <c r="CS275" s="53" t="str">
        <f t="shared" si="349"/>
        <v/>
      </c>
      <c r="CT275" s="53" t="str">
        <f t="shared" si="350"/>
        <v/>
      </c>
      <c r="CU275" s="47"/>
      <c r="CV275" s="53">
        <f t="shared" si="351"/>
        <v>0</v>
      </c>
    </row>
    <row r="276" spans="1:100" x14ac:dyDescent="0.25">
      <c r="A276" s="41"/>
      <c r="B276" s="42"/>
      <c r="C276" s="43" t="str" cm="1">
        <f t="array" ref="C276">IF(B276="","",INDEX(UWS!$B$10:$B$41,B276))</f>
        <v/>
      </c>
      <c r="D276" s="40" t="str">
        <f t="shared" si="308"/>
        <v/>
      </c>
      <c r="E276" s="69" t="str">
        <f t="shared" si="309"/>
        <v/>
      </c>
      <c r="F276" s="48" cm="1">
        <f t="array" ref="F276">0.1+IFERROR(INDEX($F$5:$F275,SUMPRODUCT(MAX(ROW($C$5:$C275)*($C276=$C$5:$C275))-ROW($A$4)))*0.9^($A276-INDEX($A$5:A275,SUMPRODUCT(MAX(ROW($C$5:$C275)*($C276=$C$5:$C275))-ROW($A$4)))),0)</f>
        <v>21.10000000000003</v>
      </c>
      <c r="G276" s="55" t="e">
        <f>INDEX(UWS!$AB$10:$AB$41,MATCH(C276,UWS!$B$10:$B$41,0))</f>
        <v>#N/A</v>
      </c>
      <c r="H276" s="48" t="e">
        <f>INDEX(UWS!$C$10:$C$41,MATCH(C276,UWS!$B$10:$B$41,0))</f>
        <v>#N/A</v>
      </c>
      <c r="I276" s="82">
        <f t="shared" si="310"/>
        <v>5</v>
      </c>
      <c r="J276" s="27" t="e">
        <f>INDEX(UWS!$E$10:$E$41,MATCH(C276,UWS!$B$10:$B$41,0))</f>
        <v>#N/A</v>
      </c>
      <c r="L276" s="108" t="str" cm="1">
        <f t="array" ref="L276">IF(K276="","",INDEX(UWS!$B$10:$B$41,K276))</f>
        <v/>
      </c>
      <c r="N276" s="108" t="str" cm="1">
        <f t="array" ref="N276">IF(M276="","",INDEX(UWS!$B$10:$B$41,M276))</f>
        <v/>
      </c>
      <c r="P276">
        <f>IFERROR(INDEX(UWS!$G$10:$Z$41,MATCH($C276,UWS!$B$10:$B$41,0),MATCH(P$4,UWS!$G$3:$Z$3,0)),0)</f>
        <v>0</v>
      </c>
      <c r="Q276">
        <f>IFERROR(INDEX(UWS!$G$10:$Z$41,MATCH($C276,UWS!$B$10:$B$41,0),MATCH(Q$4,UWS!$G$3:$Z$3,0)),0)</f>
        <v>0</v>
      </c>
      <c r="R276">
        <f>IFERROR(INDEX(UWS!$G$10:$Z$41,MATCH($C276,UWS!$B$10:$B$41,0),MATCH(R$4,UWS!$G$3:$Z$3,0)),0)</f>
        <v>0</v>
      </c>
      <c r="S276">
        <f>IFERROR(INDEX(UWS!$G$10:$Z$41,MATCH($C276,UWS!$B$10:$B$41,0),MATCH(S$4,UWS!$G$3:$Z$3,0)),0)</f>
        <v>0</v>
      </c>
      <c r="T276">
        <f>IFERROR(INDEX(UWS!$G$10:$Z$41,MATCH($C276,UWS!$B$10:$B$41,0),MATCH(T$4,UWS!$G$3:$Z$3,0)),0)</f>
        <v>0</v>
      </c>
      <c r="U276">
        <f>IFERROR(INDEX(UWS!$G$10:$Z$41,MATCH($C276,UWS!$B$10:$B$41,0),MATCH(U$4,UWS!$G$3:$Z$3,0)),0)</f>
        <v>0</v>
      </c>
      <c r="V276">
        <f>IFERROR(INDEX(UWS!$G$10:$Z$41,MATCH($C276,UWS!$B$10:$B$41,0),MATCH(V$4,UWS!$G$3:$Z$3,0)),0)</f>
        <v>0</v>
      </c>
      <c r="W276">
        <f>IFERROR(INDEX(UWS!$G$10:$Z$41,MATCH($C276,UWS!$B$10:$B$41,0),MATCH(W$4,UWS!$G$3:$Z$3,0)),0)</f>
        <v>0</v>
      </c>
      <c r="X276">
        <f>IFERROR(INDEX(UWS!$G$10:$Z$41,MATCH($C276,UWS!$B$10:$B$41,0),MATCH(X$4,UWS!$G$3:$Z$3,0)),0)</f>
        <v>0</v>
      </c>
      <c r="Y276">
        <f>IFERROR(INDEX(UWS!$G$10:$Z$41,MATCH($C276,UWS!$B$10:$B$41,0),MATCH(Y$4,UWS!$G$3:$Z$3,0)),0)</f>
        <v>0</v>
      </c>
      <c r="Z276">
        <f>IFERROR(INDEX(UWS!$G$10:$Z$41,MATCH($C276,UWS!$B$10:$B$41,0),MATCH(Z$4,UWS!$G$3:$Z$3,0)),0)</f>
        <v>0</v>
      </c>
      <c r="AA276">
        <f>IFERROR(INDEX(UWS!$G$10:$Z$41,MATCH($C276,UWS!$B$10:$B$41,0),MATCH(AA$4,UWS!$G$3:$Z$3,0)),0)</f>
        <v>0</v>
      </c>
      <c r="AB276">
        <f>IFERROR(INDEX(UWS!$G$10:$Z$41,MATCH($C276,UWS!$B$10:$B$41,0),MATCH(AB$4,UWS!$G$3:$Z$3,0)),0)</f>
        <v>0</v>
      </c>
      <c r="AC276">
        <f>IFERROR(INDEX(UWS!$G$10:$Z$41,MATCH($C276,UWS!$B$10:$B$41,0),MATCH(AC$4,UWS!$G$3:$Z$3,0)),0)</f>
        <v>0</v>
      </c>
      <c r="AD276">
        <f>IFERROR(INDEX(UWS!$G$10:$Z$41,MATCH($C276,UWS!$B$10:$B$41,0),MATCH(AD$4,UWS!$G$3:$Z$3,0)),0)</f>
        <v>0</v>
      </c>
      <c r="AE276">
        <f>IFERROR(INDEX(UWS!$G$10:$Z$41,MATCH($C276,UWS!$B$10:$B$41,0),MATCH(AE$4,UWS!$G$3:$Z$3,0)),0)</f>
        <v>0</v>
      </c>
      <c r="AF276">
        <f>IFERROR(INDEX(UWS!$G$10:$Z$41,MATCH($C276,UWS!$B$10:$B$41,0),MATCH(AF$4,UWS!$G$3:$Z$3,0)),0)</f>
        <v>0</v>
      </c>
      <c r="AG276">
        <f>IFERROR(INDEX(UWS!$G$10:$Z$41,MATCH($C276,UWS!$B$10:$B$41,0),MATCH(AG$4,UWS!$G$3:$Z$3,0)),0)</f>
        <v>0</v>
      </c>
      <c r="AH276">
        <f>IFERROR(INDEX(UWS!$G$10:$Z$41,MATCH($C276,UWS!$B$10:$B$41,0),MATCH(AH$4,UWS!$G$3:$Z$3,0)),0)</f>
        <v>0</v>
      </c>
      <c r="AI276">
        <f>IFERROR(INDEX(UWS!$G$10:$Z$41,MATCH($C276,UWS!$B$10:$B$41,0),MATCH(AI$4,UWS!$G$3:$Z$3,0)),0)</f>
        <v>0</v>
      </c>
      <c r="AK276" t="e">
        <f>IF(OR($J276=0,COUNTIFS($A$4:$A275,"&gt;="&amp;$A276-1,$A$4:$A275,"&lt;="&amp;$A276,$B$4:$B275,$B276)&gt;0,MIN(AK$1,IF($A276=$A275,AK275,1))-P276&lt;0),-1,MIN(1,IF($A276=$A275,AK275,1)-P276+$D$3))</f>
        <v>#N/A</v>
      </c>
      <c r="AL276" t="e">
        <f>IF(OR($J276=0,COUNTIFS($A$4:$A275,"&gt;="&amp;$A276-1,$A$4:$A275,"&lt;="&amp;$A276,$B$4:$B275,$B276)&gt;0,MIN(AL$1,IF($A276=$A275,AL275,1))-Q276&lt;0),-1,MIN(1,IF($A276=$A275,AL275,1)-Q276+$D$3))</f>
        <v>#N/A</v>
      </c>
      <c r="AM276" t="e">
        <f>IF(OR($J276=0,COUNTIFS($A$4:$A275,"&gt;="&amp;$A276-1,$A$4:$A275,"&lt;="&amp;$A276,$B$4:$B275,$B276)&gt;0,MIN(AM$1,IF($A276=$A275,AM275,1))-R276&lt;0),-1,MIN(1,IF($A276=$A275,AM275,1)-R276+$D$3))</f>
        <v>#N/A</v>
      </c>
      <c r="AN276" t="e">
        <f>IF(OR($J276=0,COUNTIFS($A$4:$A275,"&gt;="&amp;$A276-1,$A$4:$A275,"&lt;="&amp;$A276,$B$4:$B275,$B276)&gt;0,MIN(AN$1,IF($A276=$A275,AN275,1))-S276&lt;0),-1,MIN(1,IF($A276=$A275,AN275,1)-S276+$D$3))</f>
        <v>#N/A</v>
      </c>
      <c r="AO276" t="e">
        <f>IF(OR($J276=0,COUNTIFS($A$4:$A275,"&gt;="&amp;$A276-1,$A$4:$A275,"&lt;="&amp;$A276,$B$4:$B275,$B276)&gt;0,MIN(AO$1,IF($A276=$A275,AO275,1))-T276&lt;0),-1,MIN(1,IF($A276=$A275,AO275,1)-T276+$D$3))</f>
        <v>#N/A</v>
      </c>
      <c r="AP276" t="e">
        <f>IF(OR($J276=0,COUNTIFS($A$4:$A275,"&gt;="&amp;$A276-1,$A$4:$A275,"&lt;="&amp;$A276,$B$4:$B275,$B276)&gt;0,MIN(AP$1,IF($A276=$A275,AP275,1))-U276&lt;0),-1,MIN(1,IF($A276=$A275,AP275,1)-U276+$D$3))</f>
        <v>#N/A</v>
      </c>
      <c r="AQ276" t="e">
        <f>IF(OR($J276=0,COUNTIFS($A$4:$A275,"&gt;="&amp;$A276-1,$A$4:$A275,"&lt;="&amp;$A276,$B$4:$B275,$B276)&gt;0,MIN(AQ$1,IF($A276=$A275,AQ275,1))-V276&lt;0),-1,MIN(1,IF($A276=$A275,AQ275,1)-V276+$D$3))</f>
        <v>#N/A</v>
      </c>
      <c r="AR276" t="e">
        <f>IF(OR($J276=0,COUNTIFS($A$4:$A275,"&gt;="&amp;$A276-1,$A$4:$A275,"&lt;="&amp;$A276,$B$4:$B275,$B276)&gt;0,MIN(AR$1,IF($A276=$A275,AR275,1))-W276&lt;0),-1,MIN(1,IF($A276=$A275,AR275,1)-W276+$D$3))</f>
        <v>#N/A</v>
      </c>
      <c r="AS276" t="e">
        <f>IF(OR($J276=0,COUNTIFS($A$4:$A275,"&gt;="&amp;$A276-1,$A$4:$A275,"&lt;="&amp;$A276,$B$4:$B275,$B276)&gt;0,MIN(AS$1,IF($A276=$A275,AS275,1))-X276&lt;0),-1,MIN(1,IF($A276=$A275,AS275,1)-X276+$D$3))</f>
        <v>#N/A</v>
      </c>
      <c r="AT276" t="e">
        <f>IF(OR($J276=0,COUNTIFS($A$4:$A275,"&gt;="&amp;$A276-1,$A$4:$A275,"&lt;="&amp;$A276,$B$4:$B275,$B276)&gt;0,MIN(AT$1,IF($A276=$A275,AT275,1))-Y276&lt;0),-1,MIN(1,IF($A276=$A275,AT275,1)-Y276+$D$3))</f>
        <v>#N/A</v>
      </c>
      <c r="AU276" t="e">
        <f>IF(OR($J276=0,COUNTIFS($A$4:$A275,"&gt;="&amp;$A276-1,$A$4:$A275,"&lt;="&amp;$A276,$B$4:$B275,$B276)&gt;0,MIN(AU$1,IF($A276=$A275,AU275,1))-Z276&lt;0),-1,MIN(1,IF($A276=$A275,AU275,1)-Z276+$D$3))</f>
        <v>#N/A</v>
      </c>
      <c r="AV276" t="e">
        <f>IF(OR($J276=0,COUNTIFS($A$4:$A275,"&gt;="&amp;$A276-1,$A$4:$A275,"&lt;="&amp;$A276,$B$4:$B275,$B276)&gt;0,MIN(AV$1,IF($A276=$A275,AV275,1))-AA276&lt;0),-1,MIN(1,IF($A276=$A275,AV275,1)-AA276+$D$3))</f>
        <v>#N/A</v>
      </c>
      <c r="AW276" t="e">
        <f>IF(OR($J276=0,COUNTIFS($A$4:$A275,"&gt;="&amp;$A276-1,$A$4:$A275,"&lt;="&amp;$A276,$B$4:$B275,$B276)&gt;0,MIN(AW$1,IF($A276=$A275,AW275,1))-AB276&lt;0),-1,MIN(1,IF($A276=$A275,AW275,1)-AB276+$D$3))</f>
        <v>#N/A</v>
      </c>
      <c r="AX276" t="e">
        <f>IF(OR($J276=0,COUNTIFS($A$4:$A275,"&gt;="&amp;$A276-1,$A$4:$A275,"&lt;="&amp;$A276,$B$4:$B275,$B276)&gt;0,MIN(AX$1,IF($A276=$A275,AX275,1))-AC276&lt;0),-1,MIN(1,IF($A276=$A275,AX275,1)-AC276+$D$3))</f>
        <v>#N/A</v>
      </c>
      <c r="AY276" t="e">
        <f>IF(OR($J276=0,COUNTIFS($A$4:$A275,"&gt;="&amp;$A276-1,$A$4:$A275,"&lt;="&amp;$A276,$B$4:$B275,$B276)&gt;0,MIN(AY$1,IF($A276=$A275,AY275,1))-AD276&lt;0),-1,MIN(1,IF($A276=$A275,AY275,1)-AD276+$D$3))</f>
        <v>#N/A</v>
      </c>
      <c r="AZ276" t="e">
        <f>IF(OR($J276=0,COUNTIFS($A$4:$A275,"&gt;="&amp;$A276-1,$A$4:$A275,"&lt;="&amp;$A276,$B$4:$B275,$B276)&gt;0,MIN(AZ$1,IF($A276=$A275,AZ275,1))-AE276&lt;0),-1,MIN(1,IF($A276=$A275,AZ275,1)-AE276+$D$3))</f>
        <v>#N/A</v>
      </c>
      <c r="BA276" t="e">
        <f>IF(OR($J276=0,COUNTIFS($A$4:$A275,"&gt;="&amp;$A276-1,$A$4:$A275,"&lt;="&amp;$A276,$B$4:$B275,$B276)&gt;0,MIN(BA$1,IF($A276=$A275,BA275,1))-AF276&lt;0),-1,MIN(1,IF($A276=$A275,BA275,1)-AF276+$D$3))</f>
        <v>#N/A</v>
      </c>
      <c r="BB276" t="e">
        <f>IF(OR($J276=0,COUNTIFS($A$4:$A275,"&gt;="&amp;$A276-1,$A$4:$A275,"&lt;="&amp;$A276,$B$4:$B275,$B276)&gt;0,MIN(BB$1,IF($A276=$A275,BB275,1))-AG276&lt;0),-1,MIN(1,IF($A276=$A275,BB275,1)-AG276+$D$3))</f>
        <v>#N/A</v>
      </c>
      <c r="BC276" t="e">
        <f>IF(OR($J276=0,COUNTIFS($A$4:$A275,"&gt;="&amp;$A276-1,$A$4:$A275,"&lt;="&amp;$A276,$B$4:$B275,$B276)&gt;0,MIN(BC$1,IF($A276=$A275,BC275,1))-AH276&lt;0),-1,MIN(1,IF($A276=$A275,BC275,1)-AH276+$D$3))</f>
        <v>#N/A</v>
      </c>
      <c r="BD276" t="e">
        <f>IF(OR($J276=0,COUNTIFS($A$4:$A275,"&gt;="&amp;$A276-1,$A$4:$A275,"&lt;="&amp;$A276,$B$4:$B275,$B276)&gt;0,MIN(BD$1,IF($A276=$A275,BD275,1))-AI276&lt;0),-1,MIN(1,IF($A276=$A275,BD275,1)-AI276+$D$3))</f>
        <v>#N/A</v>
      </c>
      <c r="BF276" s="44">
        <f t="shared" si="311"/>
        <v>1.8498074845617297E-6</v>
      </c>
      <c r="BG276" s="44">
        <f t="shared" si="312"/>
        <v>4.5491985855466309E-6</v>
      </c>
      <c r="BH276" s="44">
        <f t="shared" si="313"/>
        <v>4.6624500213591662E-6</v>
      </c>
      <c r="BI276" s="44">
        <f t="shared" si="314"/>
        <v>4.3068093451313396E-6</v>
      </c>
      <c r="BJ276" s="44">
        <f t="shared" si="315"/>
        <v>4.451496329272079E-6</v>
      </c>
      <c r="BK276" s="44">
        <f t="shared" si="316"/>
        <v>1.9116384975611507E-6</v>
      </c>
      <c r="BL276" s="44">
        <f t="shared" si="317"/>
        <v>1.0326971910331217E-6</v>
      </c>
      <c r="BM276" s="44">
        <f t="shared" si="318"/>
        <v>2.6270610607368543E-6</v>
      </c>
      <c r="BN276" s="44">
        <f t="shared" si="319"/>
        <v>2.7323482441713338E-6</v>
      </c>
      <c r="BO276" s="44">
        <f t="shared" si="320"/>
        <v>1.2804820679344422E-6</v>
      </c>
      <c r="BP276" s="44">
        <f t="shared" si="321"/>
        <v>4.3055924240350108E-6</v>
      </c>
      <c r="BQ276" s="44">
        <f t="shared" si="322"/>
        <v>1.1619011639167096E-6</v>
      </c>
      <c r="BR276" s="44">
        <f t="shared" si="323"/>
        <v>3.4325468924884466E-6</v>
      </c>
      <c r="BS276" s="44">
        <f t="shared" si="324"/>
        <v>1.8512180894070445E-6</v>
      </c>
      <c r="BT276" s="44">
        <f t="shared" si="325"/>
        <v>7.3258375196495545E-6</v>
      </c>
      <c r="BU276" s="44">
        <f t="shared" si="326"/>
        <v>6.9983792600281329E-6</v>
      </c>
      <c r="BV276" s="44">
        <f t="shared" si="327"/>
        <v>6.7210119050339889E-6</v>
      </c>
      <c r="BW276" s="44">
        <f t="shared" si="328"/>
        <v>4.3959116459815108E-6</v>
      </c>
      <c r="BX276" s="44">
        <f t="shared" si="329"/>
        <v>3.2476196975824548E-6</v>
      </c>
      <c r="BY276" s="44">
        <f t="shared" si="330"/>
        <v>2.7884547818747583E-6</v>
      </c>
      <c r="CA276" s="44" t="str">
        <f t="shared" si="331"/>
        <v/>
      </c>
      <c r="CB276" s="44" t="str">
        <f t="shared" si="332"/>
        <v/>
      </c>
      <c r="CC276" s="44" t="str">
        <f t="shared" si="333"/>
        <v/>
      </c>
      <c r="CD276" s="44" t="str">
        <f t="shared" si="334"/>
        <v/>
      </c>
      <c r="CE276" s="44" t="str">
        <f t="shared" si="335"/>
        <v/>
      </c>
      <c r="CF276" s="44" t="str">
        <f t="shared" si="336"/>
        <v/>
      </c>
      <c r="CG276" s="44" t="str">
        <f t="shared" si="337"/>
        <v/>
      </c>
      <c r="CH276" s="44" t="str">
        <f t="shared" si="338"/>
        <v/>
      </c>
      <c r="CI276" s="44" t="str">
        <f t="shared" si="339"/>
        <v/>
      </c>
      <c r="CJ276" s="44" t="str">
        <f t="shared" si="340"/>
        <v/>
      </c>
      <c r="CK276" s="44" t="str">
        <f t="shared" si="341"/>
        <v/>
      </c>
      <c r="CL276" s="44" t="str">
        <f t="shared" si="342"/>
        <v/>
      </c>
      <c r="CM276" s="44" t="str">
        <f t="shared" si="343"/>
        <v/>
      </c>
      <c r="CN276" s="44" t="str">
        <f t="shared" si="344"/>
        <v/>
      </c>
      <c r="CO276" s="44" t="str">
        <f t="shared" si="345"/>
        <v/>
      </c>
      <c r="CP276" s="44" t="str">
        <f t="shared" si="346"/>
        <v/>
      </c>
      <c r="CQ276" s="44" t="str">
        <f t="shared" si="347"/>
        <v/>
      </c>
      <c r="CR276" s="44" t="str">
        <f t="shared" si="348"/>
        <v/>
      </c>
      <c r="CS276" s="44" t="str">
        <f t="shared" si="349"/>
        <v/>
      </c>
      <c r="CT276" s="44" t="str">
        <f t="shared" si="350"/>
        <v/>
      </c>
      <c r="CV276" s="44">
        <f t="shared" si="351"/>
        <v>0</v>
      </c>
    </row>
    <row r="277" spans="1:100" x14ac:dyDescent="0.25">
      <c r="A277" s="41"/>
      <c r="B277" s="42"/>
      <c r="C277" s="43" t="str" cm="1">
        <f t="array" ref="C277">IF(B277="","",INDEX(UWS!$B$10:$B$41,B277))</f>
        <v/>
      </c>
      <c r="D277" s="40" t="str">
        <f t="shared" si="308"/>
        <v/>
      </c>
      <c r="E277" s="69" t="str">
        <f t="shared" si="309"/>
        <v/>
      </c>
      <c r="F277" s="48" cm="1">
        <f t="array" ref="F277">0.1+IFERROR(INDEX($F$5:$F276,SUMPRODUCT(MAX(ROW($C$5:$C276)*($C277=$C$5:$C276))-ROW($A$4)))*0.9^($A277-INDEX($A$5:A276,SUMPRODUCT(MAX(ROW($C$5:$C276)*($C277=$C$5:$C276))-ROW($A$4)))),0)</f>
        <v>21.200000000000031</v>
      </c>
      <c r="G277" s="55" t="e">
        <f>INDEX(UWS!$AB$10:$AB$41,MATCH(C277,UWS!$B$10:$B$41,0))</f>
        <v>#N/A</v>
      </c>
      <c r="H277" s="48" t="e">
        <f>INDEX(UWS!$C$10:$C$41,MATCH(C277,UWS!$B$10:$B$41,0))</f>
        <v>#N/A</v>
      </c>
      <c r="I277" s="27">
        <f t="shared" si="310"/>
        <v>5</v>
      </c>
      <c r="J277" s="27" t="e">
        <f>INDEX(UWS!$E$10:$E$41,MATCH(C277,UWS!$B$10:$B$41,0))</f>
        <v>#N/A</v>
      </c>
      <c r="L277" s="108" t="str" cm="1">
        <f t="array" ref="L277">IF(K277="","",INDEX(UWS!$B$10:$B$41,K277))</f>
        <v/>
      </c>
      <c r="N277" s="108" t="str" cm="1">
        <f t="array" ref="N277">IF(M277="","",INDEX(UWS!$B$10:$B$41,M277))</f>
        <v/>
      </c>
      <c r="P277">
        <f>IFERROR(INDEX(UWS!$G$10:$Z$41,MATCH($C277,UWS!$B$10:$B$41,0),MATCH(P$4,UWS!$G$3:$Z$3,0)),0)</f>
        <v>0</v>
      </c>
      <c r="Q277">
        <f>IFERROR(INDEX(UWS!$G$10:$Z$41,MATCH($C277,UWS!$B$10:$B$41,0),MATCH(Q$4,UWS!$G$3:$Z$3,0)),0)</f>
        <v>0</v>
      </c>
      <c r="R277">
        <f>IFERROR(INDEX(UWS!$G$10:$Z$41,MATCH($C277,UWS!$B$10:$B$41,0),MATCH(R$4,UWS!$G$3:$Z$3,0)),0)</f>
        <v>0</v>
      </c>
      <c r="S277">
        <f>IFERROR(INDEX(UWS!$G$10:$Z$41,MATCH($C277,UWS!$B$10:$B$41,0),MATCH(S$4,UWS!$G$3:$Z$3,0)),0)</f>
        <v>0</v>
      </c>
      <c r="T277">
        <f>IFERROR(INDEX(UWS!$G$10:$Z$41,MATCH($C277,UWS!$B$10:$B$41,0),MATCH(T$4,UWS!$G$3:$Z$3,0)),0)</f>
        <v>0</v>
      </c>
      <c r="U277">
        <f>IFERROR(INDEX(UWS!$G$10:$Z$41,MATCH($C277,UWS!$B$10:$B$41,0),MATCH(U$4,UWS!$G$3:$Z$3,0)),0)</f>
        <v>0</v>
      </c>
      <c r="V277">
        <f>IFERROR(INDEX(UWS!$G$10:$Z$41,MATCH($C277,UWS!$B$10:$B$41,0),MATCH(V$4,UWS!$G$3:$Z$3,0)),0)</f>
        <v>0</v>
      </c>
      <c r="W277">
        <f>IFERROR(INDEX(UWS!$G$10:$Z$41,MATCH($C277,UWS!$B$10:$B$41,0),MATCH(W$4,UWS!$G$3:$Z$3,0)),0)</f>
        <v>0</v>
      </c>
      <c r="X277">
        <f>IFERROR(INDEX(UWS!$G$10:$Z$41,MATCH($C277,UWS!$B$10:$B$41,0),MATCH(X$4,UWS!$G$3:$Z$3,0)),0)</f>
        <v>0</v>
      </c>
      <c r="Y277">
        <f>IFERROR(INDEX(UWS!$G$10:$Z$41,MATCH($C277,UWS!$B$10:$B$41,0),MATCH(Y$4,UWS!$G$3:$Z$3,0)),0)</f>
        <v>0</v>
      </c>
      <c r="Z277">
        <f>IFERROR(INDEX(UWS!$G$10:$Z$41,MATCH($C277,UWS!$B$10:$B$41,0),MATCH(Z$4,UWS!$G$3:$Z$3,0)),0)</f>
        <v>0</v>
      </c>
      <c r="AA277">
        <f>IFERROR(INDEX(UWS!$G$10:$Z$41,MATCH($C277,UWS!$B$10:$B$41,0),MATCH(AA$4,UWS!$G$3:$Z$3,0)),0)</f>
        <v>0</v>
      </c>
      <c r="AB277">
        <f>IFERROR(INDEX(UWS!$G$10:$Z$41,MATCH($C277,UWS!$B$10:$B$41,0),MATCH(AB$4,UWS!$G$3:$Z$3,0)),0)</f>
        <v>0</v>
      </c>
      <c r="AC277">
        <f>IFERROR(INDEX(UWS!$G$10:$Z$41,MATCH($C277,UWS!$B$10:$B$41,0),MATCH(AC$4,UWS!$G$3:$Z$3,0)),0)</f>
        <v>0</v>
      </c>
      <c r="AD277">
        <f>IFERROR(INDEX(UWS!$G$10:$Z$41,MATCH($C277,UWS!$B$10:$B$41,0),MATCH(AD$4,UWS!$G$3:$Z$3,0)),0)</f>
        <v>0</v>
      </c>
      <c r="AE277">
        <f>IFERROR(INDEX(UWS!$G$10:$Z$41,MATCH($C277,UWS!$B$10:$B$41,0),MATCH(AE$4,UWS!$G$3:$Z$3,0)),0)</f>
        <v>0</v>
      </c>
      <c r="AF277">
        <f>IFERROR(INDEX(UWS!$G$10:$Z$41,MATCH($C277,UWS!$B$10:$B$41,0),MATCH(AF$4,UWS!$G$3:$Z$3,0)),0)</f>
        <v>0</v>
      </c>
      <c r="AG277">
        <f>IFERROR(INDEX(UWS!$G$10:$Z$41,MATCH($C277,UWS!$B$10:$B$41,0),MATCH(AG$4,UWS!$G$3:$Z$3,0)),0)</f>
        <v>0</v>
      </c>
      <c r="AH277">
        <f>IFERROR(INDEX(UWS!$G$10:$Z$41,MATCH($C277,UWS!$B$10:$B$41,0),MATCH(AH$4,UWS!$G$3:$Z$3,0)),0)</f>
        <v>0</v>
      </c>
      <c r="AI277">
        <f>IFERROR(INDEX(UWS!$G$10:$Z$41,MATCH($C277,UWS!$B$10:$B$41,0),MATCH(AI$4,UWS!$G$3:$Z$3,0)),0)</f>
        <v>0</v>
      </c>
      <c r="AK277" t="e">
        <f>IF(OR($J277=0,COUNTIFS($A$4:$A276,"&gt;="&amp;$A277-1,$A$4:$A276,"&lt;="&amp;$A277,$B$4:$B276,$B277)&gt;0,MIN(AK$1,IF($A277=$A276,AK276,1))-P277&lt;0),-1,MIN(1,IF($A277=$A276,AK276,1)-P277+$D$3))</f>
        <v>#N/A</v>
      </c>
      <c r="AL277" t="e">
        <f>IF(OR($J277=0,COUNTIFS($A$4:$A276,"&gt;="&amp;$A277-1,$A$4:$A276,"&lt;="&amp;$A277,$B$4:$B276,$B277)&gt;0,MIN(AL$1,IF($A277=$A276,AL276,1))-Q277&lt;0),-1,MIN(1,IF($A277=$A276,AL276,1)-Q277+$D$3))</f>
        <v>#N/A</v>
      </c>
      <c r="AM277" t="e">
        <f>IF(OR($J277=0,COUNTIFS($A$4:$A276,"&gt;="&amp;$A277-1,$A$4:$A276,"&lt;="&amp;$A277,$B$4:$B276,$B277)&gt;0,MIN(AM$1,IF($A277=$A276,AM276,1))-R277&lt;0),-1,MIN(1,IF($A277=$A276,AM276,1)-R277+$D$3))</f>
        <v>#N/A</v>
      </c>
      <c r="AN277" t="e">
        <f>IF(OR($J277=0,COUNTIFS($A$4:$A276,"&gt;="&amp;$A277-1,$A$4:$A276,"&lt;="&amp;$A277,$B$4:$B276,$B277)&gt;0,MIN(AN$1,IF($A277=$A276,AN276,1))-S277&lt;0),-1,MIN(1,IF($A277=$A276,AN276,1)-S277+$D$3))</f>
        <v>#N/A</v>
      </c>
      <c r="AO277" t="e">
        <f>IF(OR($J277=0,COUNTIFS($A$4:$A276,"&gt;="&amp;$A277-1,$A$4:$A276,"&lt;="&amp;$A277,$B$4:$B276,$B277)&gt;0,MIN(AO$1,IF($A277=$A276,AO276,1))-T277&lt;0),-1,MIN(1,IF($A277=$A276,AO276,1)-T277+$D$3))</f>
        <v>#N/A</v>
      </c>
      <c r="AP277" t="e">
        <f>IF(OR($J277=0,COUNTIFS($A$4:$A276,"&gt;="&amp;$A277-1,$A$4:$A276,"&lt;="&amp;$A277,$B$4:$B276,$B277)&gt;0,MIN(AP$1,IF($A277=$A276,AP276,1))-U277&lt;0),-1,MIN(1,IF($A277=$A276,AP276,1)-U277+$D$3))</f>
        <v>#N/A</v>
      </c>
      <c r="AQ277" t="e">
        <f>IF(OR($J277=0,COUNTIFS($A$4:$A276,"&gt;="&amp;$A277-1,$A$4:$A276,"&lt;="&amp;$A277,$B$4:$B276,$B277)&gt;0,MIN(AQ$1,IF($A277=$A276,AQ276,1))-V277&lt;0),-1,MIN(1,IF($A277=$A276,AQ276,1)-V277+$D$3))</f>
        <v>#N/A</v>
      </c>
      <c r="AR277" t="e">
        <f>IF(OR($J277=0,COUNTIFS($A$4:$A276,"&gt;="&amp;$A277-1,$A$4:$A276,"&lt;="&amp;$A277,$B$4:$B276,$B277)&gt;0,MIN(AR$1,IF($A277=$A276,AR276,1))-W277&lt;0),-1,MIN(1,IF($A277=$A276,AR276,1)-W277+$D$3))</f>
        <v>#N/A</v>
      </c>
      <c r="AS277" t="e">
        <f>IF(OR($J277=0,COUNTIFS($A$4:$A276,"&gt;="&amp;$A277-1,$A$4:$A276,"&lt;="&amp;$A277,$B$4:$B276,$B277)&gt;0,MIN(AS$1,IF($A277=$A276,AS276,1))-X277&lt;0),-1,MIN(1,IF($A277=$A276,AS276,1)-X277+$D$3))</f>
        <v>#N/A</v>
      </c>
      <c r="AT277" t="e">
        <f>IF(OR($J277=0,COUNTIFS($A$4:$A276,"&gt;="&amp;$A277-1,$A$4:$A276,"&lt;="&amp;$A277,$B$4:$B276,$B277)&gt;0,MIN(AT$1,IF($A277=$A276,AT276,1))-Y277&lt;0),-1,MIN(1,IF($A277=$A276,AT276,1)-Y277+$D$3))</f>
        <v>#N/A</v>
      </c>
      <c r="AU277" t="e">
        <f>IF(OR($J277=0,COUNTIFS($A$4:$A276,"&gt;="&amp;$A277-1,$A$4:$A276,"&lt;="&amp;$A277,$B$4:$B276,$B277)&gt;0,MIN(AU$1,IF($A277=$A276,AU276,1))-Z277&lt;0),-1,MIN(1,IF($A277=$A276,AU276,1)-Z277+$D$3))</f>
        <v>#N/A</v>
      </c>
      <c r="AV277" t="e">
        <f>IF(OR($J277=0,COUNTIFS($A$4:$A276,"&gt;="&amp;$A277-1,$A$4:$A276,"&lt;="&amp;$A277,$B$4:$B276,$B277)&gt;0,MIN(AV$1,IF($A277=$A276,AV276,1))-AA277&lt;0),-1,MIN(1,IF($A277=$A276,AV276,1)-AA277+$D$3))</f>
        <v>#N/A</v>
      </c>
      <c r="AW277" t="e">
        <f>IF(OR($J277=0,COUNTIFS($A$4:$A276,"&gt;="&amp;$A277-1,$A$4:$A276,"&lt;="&amp;$A277,$B$4:$B276,$B277)&gt;0,MIN(AW$1,IF($A277=$A276,AW276,1))-AB277&lt;0),-1,MIN(1,IF($A277=$A276,AW276,1)-AB277+$D$3))</f>
        <v>#N/A</v>
      </c>
      <c r="AX277" t="e">
        <f>IF(OR($J277=0,COUNTIFS($A$4:$A276,"&gt;="&amp;$A277-1,$A$4:$A276,"&lt;="&amp;$A277,$B$4:$B276,$B277)&gt;0,MIN(AX$1,IF($A277=$A276,AX276,1))-AC277&lt;0),-1,MIN(1,IF($A277=$A276,AX276,1)-AC277+$D$3))</f>
        <v>#N/A</v>
      </c>
      <c r="AY277" t="e">
        <f>IF(OR($J277=0,COUNTIFS($A$4:$A276,"&gt;="&amp;$A277-1,$A$4:$A276,"&lt;="&amp;$A277,$B$4:$B276,$B277)&gt;0,MIN(AY$1,IF($A277=$A276,AY276,1))-AD277&lt;0),-1,MIN(1,IF($A277=$A276,AY276,1)-AD277+$D$3))</f>
        <v>#N/A</v>
      </c>
      <c r="AZ277" t="e">
        <f>IF(OR($J277=0,COUNTIFS($A$4:$A276,"&gt;="&amp;$A277-1,$A$4:$A276,"&lt;="&amp;$A277,$B$4:$B276,$B277)&gt;0,MIN(AZ$1,IF($A277=$A276,AZ276,1))-AE277&lt;0),-1,MIN(1,IF($A277=$A276,AZ276,1)-AE277+$D$3))</f>
        <v>#N/A</v>
      </c>
      <c r="BA277" t="e">
        <f>IF(OR($J277=0,COUNTIFS($A$4:$A276,"&gt;="&amp;$A277-1,$A$4:$A276,"&lt;="&amp;$A277,$B$4:$B276,$B277)&gt;0,MIN(BA$1,IF($A277=$A276,BA276,1))-AF277&lt;0),-1,MIN(1,IF($A277=$A276,BA276,1)-AF277+$D$3))</f>
        <v>#N/A</v>
      </c>
      <c r="BB277" t="e">
        <f>IF(OR($J277=0,COUNTIFS($A$4:$A276,"&gt;="&amp;$A277-1,$A$4:$A276,"&lt;="&amp;$A277,$B$4:$B276,$B277)&gt;0,MIN(BB$1,IF($A277=$A276,BB276,1))-AG277&lt;0),-1,MIN(1,IF($A277=$A276,BB276,1)-AG277+$D$3))</f>
        <v>#N/A</v>
      </c>
      <c r="BC277" t="e">
        <f>IF(OR($J277=0,COUNTIFS($A$4:$A276,"&gt;="&amp;$A277-1,$A$4:$A276,"&lt;="&amp;$A277,$B$4:$B276,$B277)&gt;0,MIN(BC$1,IF($A277=$A276,BC276,1))-AH277&lt;0),-1,MIN(1,IF($A277=$A276,BC276,1)-AH277+$D$3))</f>
        <v>#N/A</v>
      </c>
      <c r="BD277" t="e">
        <f>IF(OR($J277=0,COUNTIFS($A$4:$A276,"&gt;="&amp;$A277-1,$A$4:$A276,"&lt;="&amp;$A277,$B$4:$B276,$B277)&gt;0,MIN(BD$1,IF($A277=$A276,BD276,1))-AI277&lt;0),-1,MIN(1,IF($A277=$A276,BD276,1)-AI277+$D$3))</f>
        <v>#N/A</v>
      </c>
      <c r="BF277" s="44">
        <f t="shared" si="311"/>
        <v>1.7573171103336432E-6</v>
      </c>
      <c r="BG277" s="44">
        <f t="shared" si="312"/>
        <v>4.321738656269299E-6</v>
      </c>
      <c r="BH277" s="44">
        <f t="shared" si="313"/>
        <v>4.4293275202912074E-6</v>
      </c>
      <c r="BI277" s="44">
        <f t="shared" si="314"/>
        <v>4.0914688778747726E-6</v>
      </c>
      <c r="BJ277" s="44">
        <f t="shared" si="315"/>
        <v>4.2289215128084747E-6</v>
      </c>
      <c r="BK277" s="44">
        <f t="shared" si="316"/>
        <v>1.816056572683093E-6</v>
      </c>
      <c r="BL277" s="44">
        <f t="shared" si="317"/>
        <v>9.8106233148146566E-7</v>
      </c>
      <c r="BM277" s="44">
        <f t="shared" si="318"/>
        <v>2.4957080077000113E-6</v>
      </c>
      <c r="BN277" s="44">
        <f t="shared" si="319"/>
        <v>2.595730831962767E-6</v>
      </c>
      <c r="BO277" s="44">
        <f t="shared" si="320"/>
        <v>1.2164579645377201E-6</v>
      </c>
      <c r="BP277" s="44">
        <f t="shared" si="321"/>
        <v>4.0903128028332603E-6</v>
      </c>
      <c r="BQ277" s="44">
        <f t="shared" si="322"/>
        <v>1.1038061057208741E-6</v>
      </c>
      <c r="BR277" s="44">
        <f t="shared" si="323"/>
        <v>3.2609195478640243E-6</v>
      </c>
      <c r="BS277" s="44">
        <f t="shared" si="324"/>
        <v>1.7586571849366921E-6</v>
      </c>
      <c r="BT277" s="44">
        <f t="shared" si="325"/>
        <v>6.9595456436670762E-6</v>
      </c>
      <c r="BU277" s="44">
        <f t="shared" si="326"/>
        <v>6.6484602970267258E-6</v>
      </c>
      <c r="BV277" s="44">
        <f t="shared" si="327"/>
        <v>6.3849613097822891E-6</v>
      </c>
      <c r="BW277" s="44">
        <f t="shared" si="328"/>
        <v>4.176116063682435E-6</v>
      </c>
      <c r="BX277" s="44">
        <f t="shared" si="329"/>
        <v>3.0852387127033321E-6</v>
      </c>
      <c r="BY277" s="44">
        <f t="shared" si="330"/>
        <v>2.6490320427810202E-6</v>
      </c>
      <c r="CA277" s="44" t="str">
        <f t="shared" si="331"/>
        <v/>
      </c>
      <c r="CB277" s="44" t="str">
        <f t="shared" si="332"/>
        <v/>
      </c>
      <c r="CC277" s="44" t="str">
        <f t="shared" si="333"/>
        <v/>
      </c>
      <c r="CD277" s="44" t="str">
        <f t="shared" si="334"/>
        <v/>
      </c>
      <c r="CE277" s="44" t="str">
        <f t="shared" si="335"/>
        <v/>
      </c>
      <c r="CF277" s="44" t="str">
        <f t="shared" si="336"/>
        <v/>
      </c>
      <c r="CG277" s="44" t="str">
        <f t="shared" si="337"/>
        <v/>
      </c>
      <c r="CH277" s="44" t="str">
        <f t="shared" si="338"/>
        <v/>
      </c>
      <c r="CI277" s="44" t="str">
        <f t="shared" si="339"/>
        <v/>
      </c>
      <c r="CJ277" s="44" t="str">
        <f t="shared" si="340"/>
        <v/>
      </c>
      <c r="CK277" s="44" t="str">
        <f t="shared" si="341"/>
        <v/>
      </c>
      <c r="CL277" s="44" t="str">
        <f t="shared" si="342"/>
        <v/>
      </c>
      <c r="CM277" s="44" t="str">
        <f t="shared" si="343"/>
        <v/>
      </c>
      <c r="CN277" s="44" t="str">
        <f t="shared" si="344"/>
        <v/>
      </c>
      <c r="CO277" s="44" t="str">
        <f t="shared" si="345"/>
        <v/>
      </c>
      <c r="CP277" s="44" t="str">
        <f t="shared" si="346"/>
        <v/>
      </c>
      <c r="CQ277" s="44" t="str">
        <f t="shared" si="347"/>
        <v/>
      </c>
      <c r="CR277" s="44" t="str">
        <f t="shared" si="348"/>
        <v/>
      </c>
      <c r="CS277" s="44" t="str">
        <f t="shared" si="349"/>
        <v/>
      </c>
      <c r="CT277" s="44" t="str">
        <f t="shared" si="350"/>
        <v/>
      </c>
      <c r="CV277" s="44">
        <f t="shared" si="351"/>
        <v>0</v>
      </c>
    </row>
    <row r="278" spans="1:100" x14ac:dyDescent="0.25">
      <c r="A278" s="41"/>
      <c r="B278" s="42"/>
      <c r="C278" s="43" t="str" cm="1">
        <f t="array" ref="C278">IF(B278="","",INDEX(UWS!$B$10:$B$41,B278))</f>
        <v/>
      </c>
      <c r="D278" s="40" t="str">
        <f t="shared" si="308"/>
        <v/>
      </c>
      <c r="E278" s="69" t="str">
        <f t="shared" si="309"/>
        <v/>
      </c>
      <c r="F278" s="48" cm="1">
        <f t="array" ref="F278">0.1+IFERROR(INDEX($F$5:$F277,SUMPRODUCT(MAX(ROW($C$5:$C277)*($C278=$C$5:$C277))-ROW($A$4)))*0.9^($A278-INDEX($A$5:A277,SUMPRODUCT(MAX(ROW($C$5:$C277)*($C278=$C$5:$C277))-ROW($A$4)))),0)</f>
        <v>21.300000000000033</v>
      </c>
      <c r="G278" s="55" t="e">
        <f>INDEX(UWS!$AB$10:$AB$41,MATCH(C278,UWS!$B$10:$B$41,0))</f>
        <v>#N/A</v>
      </c>
      <c r="H278" s="48" t="e">
        <f>INDEX(UWS!$C$10:$C$41,MATCH(C278,UWS!$B$10:$B$41,0))</f>
        <v>#N/A</v>
      </c>
      <c r="I278" s="27">
        <f t="shared" si="310"/>
        <v>5</v>
      </c>
      <c r="J278" s="27" t="e">
        <f>INDEX(UWS!$E$10:$E$41,MATCH(C278,UWS!$B$10:$B$41,0))</f>
        <v>#N/A</v>
      </c>
      <c r="L278" s="108" t="str" cm="1">
        <f t="array" ref="L278">IF(K278="","",INDEX(UWS!$B$10:$B$41,K278))</f>
        <v/>
      </c>
      <c r="N278" s="108" t="str" cm="1">
        <f t="array" ref="N278">IF(M278="","",INDEX(UWS!$B$10:$B$41,M278))</f>
        <v/>
      </c>
      <c r="P278">
        <f>IFERROR(INDEX(UWS!$G$10:$Z$41,MATCH($C278,UWS!$B$10:$B$41,0),MATCH(P$4,UWS!$G$3:$Z$3,0)),0)</f>
        <v>0</v>
      </c>
      <c r="Q278">
        <f>IFERROR(INDEX(UWS!$G$10:$Z$41,MATCH($C278,UWS!$B$10:$B$41,0),MATCH(Q$4,UWS!$G$3:$Z$3,0)),0)</f>
        <v>0</v>
      </c>
      <c r="R278">
        <f>IFERROR(INDEX(UWS!$G$10:$Z$41,MATCH($C278,UWS!$B$10:$B$41,0),MATCH(R$4,UWS!$G$3:$Z$3,0)),0)</f>
        <v>0</v>
      </c>
      <c r="S278">
        <f>IFERROR(INDEX(UWS!$G$10:$Z$41,MATCH($C278,UWS!$B$10:$B$41,0),MATCH(S$4,UWS!$G$3:$Z$3,0)),0)</f>
        <v>0</v>
      </c>
      <c r="T278">
        <f>IFERROR(INDEX(UWS!$G$10:$Z$41,MATCH($C278,UWS!$B$10:$B$41,0),MATCH(T$4,UWS!$G$3:$Z$3,0)),0)</f>
        <v>0</v>
      </c>
      <c r="U278">
        <f>IFERROR(INDEX(UWS!$G$10:$Z$41,MATCH($C278,UWS!$B$10:$B$41,0),MATCH(U$4,UWS!$G$3:$Z$3,0)),0)</f>
        <v>0</v>
      </c>
      <c r="V278">
        <f>IFERROR(INDEX(UWS!$G$10:$Z$41,MATCH($C278,UWS!$B$10:$B$41,0),MATCH(V$4,UWS!$G$3:$Z$3,0)),0)</f>
        <v>0</v>
      </c>
      <c r="W278">
        <f>IFERROR(INDEX(UWS!$G$10:$Z$41,MATCH($C278,UWS!$B$10:$B$41,0),MATCH(W$4,UWS!$G$3:$Z$3,0)),0)</f>
        <v>0</v>
      </c>
      <c r="X278">
        <f>IFERROR(INDEX(UWS!$G$10:$Z$41,MATCH($C278,UWS!$B$10:$B$41,0),MATCH(X$4,UWS!$G$3:$Z$3,0)),0)</f>
        <v>0</v>
      </c>
      <c r="Y278">
        <f>IFERROR(INDEX(UWS!$G$10:$Z$41,MATCH($C278,UWS!$B$10:$B$41,0),MATCH(Y$4,UWS!$G$3:$Z$3,0)),0)</f>
        <v>0</v>
      </c>
      <c r="Z278">
        <f>IFERROR(INDEX(UWS!$G$10:$Z$41,MATCH($C278,UWS!$B$10:$B$41,0),MATCH(Z$4,UWS!$G$3:$Z$3,0)),0)</f>
        <v>0</v>
      </c>
      <c r="AA278">
        <f>IFERROR(INDEX(UWS!$G$10:$Z$41,MATCH($C278,UWS!$B$10:$B$41,0),MATCH(AA$4,UWS!$G$3:$Z$3,0)),0)</f>
        <v>0</v>
      </c>
      <c r="AB278">
        <f>IFERROR(INDEX(UWS!$G$10:$Z$41,MATCH($C278,UWS!$B$10:$B$41,0),MATCH(AB$4,UWS!$G$3:$Z$3,0)),0)</f>
        <v>0</v>
      </c>
      <c r="AC278">
        <f>IFERROR(INDEX(UWS!$G$10:$Z$41,MATCH($C278,UWS!$B$10:$B$41,0),MATCH(AC$4,UWS!$G$3:$Z$3,0)),0)</f>
        <v>0</v>
      </c>
      <c r="AD278">
        <f>IFERROR(INDEX(UWS!$G$10:$Z$41,MATCH($C278,UWS!$B$10:$B$41,0),MATCH(AD$4,UWS!$G$3:$Z$3,0)),0)</f>
        <v>0</v>
      </c>
      <c r="AE278">
        <f>IFERROR(INDEX(UWS!$G$10:$Z$41,MATCH($C278,UWS!$B$10:$B$41,0),MATCH(AE$4,UWS!$G$3:$Z$3,0)),0)</f>
        <v>0</v>
      </c>
      <c r="AF278">
        <f>IFERROR(INDEX(UWS!$G$10:$Z$41,MATCH($C278,UWS!$B$10:$B$41,0),MATCH(AF$4,UWS!$G$3:$Z$3,0)),0)</f>
        <v>0</v>
      </c>
      <c r="AG278">
        <f>IFERROR(INDEX(UWS!$G$10:$Z$41,MATCH($C278,UWS!$B$10:$B$41,0),MATCH(AG$4,UWS!$G$3:$Z$3,0)),0)</f>
        <v>0</v>
      </c>
      <c r="AH278">
        <f>IFERROR(INDEX(UWS!$G$10:$Z$41,MATCH($C278,UWS!$B$10:$B$41,0),MATCH(AH$4,UWS!$G$3:$Z$3,0)),0)</f>
        <v>0</v>
      </c>
      <c r="AI278">
        <f>IFERROR(INDEX(UWS!$G$10:$Z$41,MATCH($C278,UWS!$B$10:$B$41,0),MATCH(AI$4,UWS!$G$3:$Z$3,0)),0)</f>
        <v>0</v>
      </c>
      <c r="AK278" t="e">
        <f>IF(OR($J278=0,COUNTIFS($A$4:$A277,"&gt;="&amp;$A278-1,$A$4:$A277,"&lt;="&amp;$A278,$B$4:$B277,$B278)&gt;0,MIN(AK$1,IF($A278=$A277,AK277,1))-P278&lt;0),-1,MIN(1,IF($A278=$A277,AK277,1)-P278+$D$3))</f>
        <v>#N/A</v>
      </c>
      <c r="AL278" t="e">
        <f>IF(OR($J278=0,COUNTIFS($A$4:$A277,"&gt;="&amp;$A278-1,$A$4:$A277,"&lt;="&amp;$A278,$B$4:$B277,$B278)&gt;0,MIN(AL$1,IF($A278=$A277,AL277,1))-Q278&lt;0),-1,MIN(1,IF($A278=$A277,AL277,1)-Q278+$D$3))</f>
        <v>#N/A</v>
      </c>
      <c r="AM278" t="e">
        <f>IF(OR($J278=0,COUNTIFS($A$4:$A277,"&gt;="&amp;$A278-1,$A$4:$A277,"&lt;="&amp;$A278,$B$4:$B277,$B278)&gt;0,MIN(AM$1,IF($A278=$A277,AM277,1))-R278&lt;0),-1,MIN(1,IF($A278=$A277,AM277,1)-R278+$D$3))</f>
        <v>#N/A</v>
      </c>
      <c r="AN278" t="e">
        <f>IF(OR($J278=0,COUNTIFS($A$4:$A277,"&gt;="&amp;$A278-1,$A$4:$A277,"&lt;="&amp;$A278,$B$4:$B277,$B278)&gt;0,MIN(AN$1,IF($A278=$A277,AN277,1))-S278&lt;0),-1,MIN(1,IF($A278=$A277,AN277,1)-S278+$D$3))</f>
        <v>#N/A</v>
      </c>
      <c r="AO278" t="e">
        <f>IF(OR($J278=0,COUNTIFS($A$4:$A277,"&gt;="&amp;$A278-1,$A$4:$A277,"&lt;="&amp;$A278,$B$4:$B277,$B278)&gt;0,MIN(AO$1,IF($A278=$A277,AO277,1))-T278&lt;0),-1,MIN(1,IF($A278=$A277,AO277,1)-T278+$D$3))</f>
        <v>#N/A</v>
      </c>
      <c r="AP278" t="e">
        <f>IF(OR($J278=0,COUNTIFS($A$4:$A277,"&gt;="&amp;$A278-1,$A$4:$A277,"&lt;="&amp;$A278,$B$4:$B277,$B278)&gt;0,MIN(AP$1,IF($A278=$A277,AP277,1))-U278&lt;0),-1,MIN(1,IF($A278=$A277,AP277,1)-U278+$D$3))</f>
        <v>#N/A</v>
      </c>
      <c r="AQ278" t="e">
        <f>IF(OR($J278=0,COUNTIFS($A$4:$A277,"&gt;="&amp;$A278-1,$A$4:$A277,"&lt;="&amp;$A278,$B$4:$B277,$B278)&gt;0,MIN(AQ$1,IF($A278=$A277,AQ277,1))-V278&lt;0),-1,MIN(1,IF($A278=$A277,AQ277,1)-V278+$D$3))</f>
        <v>#N/A</v>
      </c>
      <c r="AR278" t="e">
        <f>IF(OR($J278=0,COUNTIFS($A$4:$A277,"&gt;="&amp;$A278-1,$A$4:$A277,"&lt;="&amp;$A278,$B$4:$B277,$B278)&gt;0,MIN(AR$1,IF($A278=$A277,AR277,1))-W278&lt;0),-1,MIN(1,IF($A278=$A277,AR277,1)-W278+$D$3))</f>
        <v>#N/A</v>
      </c>
      <c r="AS278" t="e">
        <f>IF(OR($J278=0,COUNTIFS($A$4:$A277,"&gt;="&amp;$A278-1,$A$4:$A277,"&lt;="&amp;$A278,$B$4:$B277,$B278)&gt;0,MIN(AS$1,IF($A278=$A277,AS277,1))-X278&lt;0),-1,MIN(1,IF($A278=$A277,AS277,1)-X278+$D$3))</f>
        <v>#N/A</v>
      </c>
      <c r="AT278" t="e">
        <f>IF(OR($J278=0,COUNTIFS($A$4:$A277,"&gt;="&amp;$A278-1,$A$4:$A277,"&lt;="&amp;$A278,$B$4:$B277,$B278)&gt;0,MIN(AT$1,IF($A278=$A277,AT277,1))-Y278&lt;0),-1,MIN(1,IF($A278=$A277,AT277,1)-Y278+$D$3))</f>
        <v>#N/A</v>
      </c>
      <c r="AU278" t="e">
        <f>IF(OR($J278=0,COUNTIFS($A$4:$A277,"&gt;="&amp;$A278-1,$A$4:$A277,"&lt;="&amp;$A278,$B$4:$B277,$B278)&gt;0,MIN(AU$1,IF($A278=$A277,AU277,1))-Z278&lt;0),-1,MIN(1,IF($A278=$A277,AU277,1)-Z278+$D$3))</f>
        <v>#N/A</v>
      </c>
      <c r="AV278" t="e">
        <f>IF(OR($J278=0,COUNTIFS($A$4:$A277,"&gt;="&amp;$A278-1,$A$4:$A277,"&lt;="&amp;$A278,$B$4:$B277,$B278)&gt;0,MIN(AV$1,IF($A278=$A277,AV277,1))-AA278&lt;0),-1,MIN(1,IF($A278=$A277,AV277,1)-AA278+$D$3))</f>
        <v>#N/A</v>
      </c>
      <c r="AW278" t="e">
        <f>IF(OR($J278=0,COUNTIFS($A$4:$A277,"&gt;="&amp;$A278-1,$A$4:$A277,"&lt;="&amp;$A278,$B$4:$B277,$B278)&gt;0,MIN(AW$1,IF($A278=$A277,AW277,1))-AB278&lt;0),-1,MIN(1,IF($A278=$A277,AW277,1)-AB278+$D$3))</f>
        <v>#N/A</v>
      </c>
      <c r="AX278" t="e">
        <f>IF(OR($J278=0,COUNTIFS($A$4:$A277,"&gt;="&amp;$A278-1,$A$4:$A277,"&lt;="&amp;$A278,$B$4:$B277,$B278)&gt;0,MIN(AX$1,IF($A278=$A277,AX277,1))-AC278&lt;0),-1,MIN(1,IF($A278=$A277,AX277,1)-AC278+$D$3))</f>
        <v>#N/A</v>
      </c>
      <c r="AY278" t="e">
        <f>IF(OR($J278=0,COUNTIFS($A$4:$A277,"&gt;="&amp;$A278-1,$A$4:$A277,"&lt;="&amp;$A278,$B$4:$B277,$B278)&gt;0,MIN(AY$1,IF($A278=$A277,AY277,1))-AD278&lt;0),-1,MIN(1,IF($A278=$A277,AY277,1)-AD278+$D$3))</f>
        <v>#N/A</v>
      </c>
      <c r="AZ278" t="e">
        <f>IF(OR($J278=0,COUNTIFS($A$4:$A277,"&gt;="&amp;$A278-1,$A$4:$A277,"&lt;="&amp;$A278,$B$4:$B277,$B278)&gt;0,MIN(AZ$1,IF($A278=$A277,AZ277,1))-AE278&lt;0),-1,MIN(1,IF($A278=$A277,AZ277,1)-AE278+$D$3))</f>
        <v>#N/A</v>
      </c>
      <c r="BA278" t="e">
        <f>IF(OR($J278=0,COUNTIFS($A$4:$A277,"&gt;="&amp;$A278-1,$A$4:$A277,"&lt;="&amp;$A278,$B$4:$B277,$B278)&gt;0,MIN(BA$1,IF($A278=$A277,BA277,1))-AF278&lt;0),-1,MIN(1,IF($A278=$A277,BA277,1)-AF278+$D$3))</f>
        <v>#N/A</v>
      </c>
      <c r="BB278" t="e">
        <f>IF(OR($J278=0,COUNTIFS($A$4:$A277,"&gt;="&amp;$A278-1,$A$4:$A277,"&lt;="&amp;$A278,$B$4:$B277,$B278)&gt;0,MIN(BB$1,IF($A278=$A277,BB277,1))-AG278&lt;0),-1,MIN(1,IF($A278=$A277,BB277,1)-AG278+$D$3))</f>
        <v>#N/A</v>
      </c>
      <c r="BC278" t="e">
        <f>IF(OR($J278=0,COUNTIFS($A$4:$A277,"&gt;="&amp;$A278-1,$A$4:$A277,"&lt;="&amp;$A278,$B$4:$B277,$B278)&gt;0,MIN(BC$1,IF($A278=$A277,BC277,1))-AH278&lt;0),-1,MIN(1,IF($A278=$A277,BC277,1)-AH278+$D$3))</f>
        <v>#N/A</v>
      </c>
      <c r="BD278" t="e">
        <f>IF(OR($J278=0,COUNTIFS($A$4:$A277,"&gt;="&amp;$A278-1,$A$4:$A277,"&lt;="&amp;$A278,$B$4:$B277,$B278)&gt;0,MIN(BD$1,IF($A278=$A277,BD277,1))-AI278&lt;0),-1,MIN(1,IF($A278=$A277,BD277,1)-AI278+$D$3))</f>
        <v>#N/A</v>
      </c>
      <c r="BF278" s="44">
        <f t="shared" si="311"/>
        <v>1.669451254816961E-6</v>
      </c>
      <c r="BG278" s="44">
        <f t="shared" si="312"/>
        <v>4.105651723455834E-6</v>
      </c>
      <c r="BH278" s="44">
        <f t="shared" si="313"/>
        <v>4.2078611442766465E-6</v>
      </c>
      <c r="BI278" s="44">
        <f t="shared" si="314"/>
        <v>3.8868954339810334E-6</v>
      </c>
      <c r="BJ278" s="44">
        <f t="shared" si="315"/>
        <v>4.0174754371680511E-6</v>
      </c>
      <c r="BK278" s="44">
        <f t="shared" si="316"/>
        <v>1.7252537440489383E-6</v>
      </c>
      <c r="BL278" s="44">
        <f t="shared" si="317"/>
        <v>9.320092149073923E-7</v>
      </c>
      <c r="BM278" s="44">
        <f t="shared" si="318"/>
        <v>2.3709226073150107E-6</v>
      </c>
      <c r="BN278" s="44">
        <f t="shared" si="319"/>
        <v>2.4659442903646285E-6</v>
      </c>
      <c r="BO278" s="44">
        <f t="shared" si="320"/>
        <v>1.1556350663108341E-6</v>
      </c>
      <c r="BP278" s="44">
        <f t="shared" si="321"/>
        <v>3.8857971626915971E-6</v>
      </c>
      <c r="BQ278" s="44">
        <f t="shared" si="322"/>
        <v>1.0486158004348304E-6</v>
      </c>
      <c r="BR278" s="44">
        <f t="shared" si="323"/>
        <v>3.0978735704708229E-6</v>
      </c>
      <c r="BS278" s="44">
        <f t="shared" si="324"/>
        <v>1.6707243256898575E-6</v>
      </c>
      <c r="BT278" s="44">
        <f t="shared" si="325"/>
        <v>6.6115683614837221E-6</v>
      </c>
      <c r="BU278" s="44">
        <f t="shared" si="326"/>
        <v>6.3160372821753889E-6</v>
      </c>
      <c r="BV278" s="44">
        <f t="shared" si="327"/>
        <v>6.0657132442931746E-6</v>
      </c>
      <c r="BW278" s="44">
        <f t="shared" si="328"/>
        <v>3.9673102604983134E-6</v>
      </c>
      <c r="BX278" s="44">
        <f t="shared" si="329"/>
        <v>2.9309767770681653E-6</v>
      </c>
      <c r="BY278" s="44">
        <f t="shared" si="330"/>
        <v>2.5165804406419692E-6</v>
      </c>
      <c r="CA278" s="44" t="str">
        <f t="shared" si="331"/>
        <v/>
      </c>
      <c r="CB278" s="44" t="str">
        <f t="shared" si="332"/>
        <v/>
      </c>
      <c r="CC278" s="44" t="str">
        <f t="shared" si="333"/>
        <v/>
      </c>
      <c r="CD278" s="44" t="str">
        <f t="shared" si="334"/>
        <v/>
      </c>
      <c r="CE278" s="44" t="str">
        <f t="shared" si="335"/>
        <v/>
      </c>
      <c r="CF278" s="44" t="str">
        <f t="shared" si="336"/>
        <v/>
      </c>
      <c r="CG278" s="44" t="str">
        <f t="shared" si="337"/>
        <v/>
      </c>
      <c r="CH278" s="44" t="str">
        <f t="shared" si="338"/>
        <v/>
      </c>
      <c r="CI278" s="44" t="str">
        <f t="shared" si="339"/>
        <v/>
      </c>
      <c r="CJ278" s="44" t="str">
        <f t="shared" si="340"/>
        <v/>
      </c>
      <c r="CK278" s="44" t="str">
        <f t="shared" si="341"/>
        <v/>
      </c>
      <c r="CL278" s="44" t="str">
        <f t="shared" si="342"/>
        <v/>
      </c>
      <c r="CM278" s="44" t="str">
        <f t="shared" si="343"/>
        <v/>
      </c>
      <c r="CN278" s="44" t="str">
        <f t="shared" si="344"/>
        <v/>
      </c>
      <c r="CO278" s="44" t="str">
        <f t="shared" si="345"/>
        <v/>
      </c>
      <c r="CP278" s="44" t="str">
        <f t="shared" si="346"/>
        <v/>
      </c>
      <c r="CQ278" s="44" t="str">
        <f t="shared" si="347"/>
        <v/>
      </c>
      <c r="CR278" s="44" t="str">
        <f t="shared" si="348"/>
        <v/>
      </c>
      <c r="CS278" s="44" t="str">
        <f t="shared" si="349"/>
        <v/>
      </c>
      <c r="CT278" s="44" t="str">
        <f t="shared" si="350"/>
        <v/>
      </c>
      <c r="CV278" s="44">
        <f t="shared" si="351"/>
        <v>0</v>
      </c>
    </row>
    <row r="279" spans="1:100" x14ac:dyDescent="0.25">
      <c r="A279" s="41"/>
      <c r="B279" s="42"/>
      <c r="C279" s="43" t="str" cm="1">
        <f t="array" ref="C279">IF(B279="","",INDEX(UWS!$B$10:$B$41,B279))</f>
        <v/>
      </c>
      <c r="D279" s="40" t="str">
        <f t="shared" si="308"/>
        <v/>
      </c>
      <c r="E279" s="69" t="str">
        <f t="shared" si="309"/>
        <v/>
      </c>
      <c r="F279" s="48" cm="1">
        <f t="array" ref="F279">0.1+IFERROR(INDEX($F$5:$F278,SUMPRODUCT(MAX(ROW($C$5:$C278)*($C279=$C$5:$C278))-ROW($A$4)))*0.9^($A279-INDEX($A$5:A278,SUMPRODUCT(MAX(ROW($C$5:$C278)*($C279=$C$5:$C278))-ROW($A$4)))),0)</f>
        <v>21.400000000000034</v>
      </c>
      <c r="G279" s="55" t="e">
        <f>INDEX(UWS!$AB$10:$AB$41,MATCH(C279,UWS!$B$10:$B$41,0))</f>
        <v>#N/A</v>
      </c>
      <c r="H279" s="48" t="e">
        <f>INDEX(UWS!$C$10:$C$41,MATCH(C279,UWS!$B$10:$B$41,0))</f>
        <v>#N/A</v>
      </c>
      <c r="I279" s="27">
        <f t="shared" si="310"/>
        <v>5</v>
      </c>
      <c r="J279" s="27" t="e">
        <f>INDEX(UWS!$E$10:$E$41,MATCH(C279,UWS!$B$10:$B$41,0))</f>
        <v>#N/A</v>
      </c>
      <c r="L279" s="108" t="str" cm="1">
        <f t="array" ref="L279">IF(K279="","",INDEX(UWS!$B$10:$B$41,K279))</f>
        <v/>
      </c>
      <c r="N279" s="108" t="str" cm="1">
        <f t="array" ref="N279">IF(M279="","",INDEX(UWS!$B$10:$B$41,M279))</f>
        <v/>
      </c>
      <c r="P279">
        <f>IFERROR(INDEX(UWS!$G$10:$Z$41,MATCH($C279,UWS!$B$10:$B$41,0),MATCH(P$4,UWS!$G$3:$Z$3,0)),0)</f>
        <v>0</v>
      </c>
      <c r="Q279">
        <f>IFERROR(INDEX(UWS!$G$10:$Z$41,MATCH($C279,UWS!$B$10:$B$41,0),MATCH(Q$4,UWS!$G$3:$Z$3,0)),0)</f>
        <v>0</v>
      </c>
      <c r="R279">
        <f>IFERROR(INDEX(UWS!$G$10:$Z$41,MATCH($C279,UWS!$B$10:$B$41,0),MATCH(R$4,UWS!$G$3:$Z$3,0)),0)</f>
        <v>0</v>
      </c>
      <c r="S279">
        <f>IFERROR(INDEX(UWS!$G$10:$Z$41,MATCH($C279,UWS!$B$10:$B$41,0),MATCH(S$4,UWS!$G$3:$Z$3,0)),0)</f>
        <v>0</v>
      </c>
      <c r="T279">
        <f>IFERROR(INDEX(UWS!$G$10:$Z$41,MATCH($C279,UWS!$B$10:$B$41,0),MATCH(T$4,UWS!$G$3:$Z$3,0)),0)</f>
        <v>0</v>
      </c>
      <c r="U279">
        <f>IFERROR(INDEX(UWS!$G$10:$Z$41,MATCH($C279,UWS!$B$10:$B$41,0),MATCH(U$4,UWS!$G$3:$Z$3,0)),0)</f>
        <v>0</v>
      </c>
      <c r="V279">
        <f>IFERROR(INDEX(UWS!$G$10:$Z$41,MATCH($C279,UWS!$B$10:$B$41,0),MATCH(V$4,UWS!$G$3:$Z$3,0)),0)</f>
        <v>0</v>
      </c>
      <c r="W279">
        <f>IFERROR(INDEX(UWS!$G$10:$Z$41,MATCH($C279,UWS!$B$10:$B$41,0),MATCH(W$4,UWS!$G$3:$Z$3,0)),0)</f>
        <v>0</v>
      </c>
      <c r="X279">
        <f>IFERROR(INDEX(UWS!$G$10:$Z$41,MATCH($C279,UWS!$B$10:$B$41,0),MATCH(X$4,UWS!$G$3:$Z$3,0)),0)</f>
        <v>0</v>
      </c>
      <c r="Y279">
        <f>IFERROR(INDEX(UWS!$G$10:$Z$41,MATCH($C279,UWS!$B$10:$B$41,0),MATCH(Y$4,UWS!$G$3:$Z$3,0)),0)</f>
        <v>0</v>
      </c>
      <c r="Z279">
        <f>IFERROR(INDEX(UWS!$G$10:$Z$41,MATCH($C279,UWS!$B$10:$B$41,0),MATCH(Z$4,UWS!$G$3:$Z$3,0)),0)</f>
        <v>0</v>
      </c>
      <c r="AA279">
        <f>IFERROR(INDEX(UWS!$G$10:$Z$41,MATCH($C279,UWS!$B$10:$B$41,0),MATCH(AA$4,UWS!$G$3:$Z$3,0)),0)</f>
        <v>0</v>
      </c>
      <c r="AB279">
        <f>IFERROR(INDEX(UWS!$G$10:$Z$41,MATCH($C279,UWS!$B$10:$B$41,0),MATCH(AB$4,UWS!$G$3:$Z$3,0)),0)</f>
        <v>0</v>
      </c>
      <c r="AC279">
        <f>IFERROR(INDEX(UWS!$G$10:$Z$41,MATCH($C279,UWS!$B$10:$B$41,0),MATCH(AC$4,UWS!$G$3:$Z$3,0)),0)</f>
        <v>0</v>
      </c>
      <c r="AD279">
        <f>IFERROR(INDEX(UWS!$G$10:$Z$41,MATCH($C279,UWS!$B$10:$B$41,0),MATCH(AD$4,UWS!$G$3:$Z$3,0)),0)</f>
        <v>0</v>
      </c>
      <c r="AE279">
        <f>IFERROR(INDEX(UWS!$G$10:$Z$41,MATCH($C279,UWS!$B$10:$B$41,0),MATCH(AE$4,UWS!$G$3:$Z$3,0)),0)</f>
        <v>0</v>
      </c>
      <c r="AF279">
        <f>IFERROR(INDEX(UWS!$G$10:$Z$41,MATCH($C279,UWS!$B$10:$B$41,0),MATCH(AF$4,UWS!$G$3:$Z$3,0)),0)</f>
        <v>0</v>
      </c>
      <c r="AG279">
        <f>IFERROR(INDEX(UWS!$G$10:$Z$41,MATCH($C279,UWS!$B$10:$B$41,0),MATCH(AG$4,UWS!$G$3:$Z$3,0)),0)</f>
        <v>0</v>
      </c>
      <c r="AH279">
        <f>IFERROR(INDEX(UWS!$G$10:$Z$41,MATCH($C279,UWS!$B$10:$B$41,0),MATCH(AH$4,UWS!$G$3:$Z$3,0)),0)</f>
        <v>0</v>
      </c>
      <c r="AI279">
        <f>IFERROR(INDEX(UWS!$G$10:$Z$41,MATCH($C279,UWS!$B$10:$B$41,0),MATCH(AI$4,UWS!$G$3:$Z$3,0)),0)</f>
        <v>0</v>
      </c>
      <c r="AK279" t="e">
        <f>IF(OR($J279=0,COUNTIFS($A$4:$A278,"&gt;="&amp;$A279-1,$A$4:$A278,"&lt;="&amp;$A279,$B$4:$B278,$B279)&gt;0,MIN(AK$1,IF($A279=$A278,AK278,1))-P279&lt;0),-1,MIN(1,IF($A279=$A278,AK278,1)-P279+$D$3))</f>
        <v>#N/A</v>
      </c>
      <c r="AL279" t="e">
        <f>IF(OR($J279=0,COUNTIFS($A$4:$A278,"&gt;="&amp;$A279-1,$A$4:$A278,"&lt;="&amp;$A279,$B$4:$B278,$B279)&gt;0,MIN(AL$1,IF($A279=$A278,AL278,1))-Q279&lt;0),-1,MIN(1,IF($A279=$A278,AL278,1)-Q279+$D$3))</f>
        <v>#N/A</v>
      </c>
      <c r="AM279" t="e">
        <f>IF(OR($J279=0,COUNTIFS($A$4:$A278,"&gt;="&amp;$A279-1,$A$4:$A278,"&lt;="&amp;$A279,$B$4:$B278,$B279)&gt;0,MIN(AM$1,IF($A279=$A278,AM278,1))-R279&lt;0),-1,MIN(1,IF($A279=$A278,AM278,1)-R279+$D$3))</f>
        <v>#N/A</v>
      </c>
      <c r="AN279" t="e">
        <f>IF(OR($J279=0,COUNTIFS($A$4:$A278,"&gt;="&amp;$A279-1,$A$4:$A278,"&lt;="&amp;$A279,$B$4:$B278,$B279)&gt;0,MIN(AN$1,IF($A279=$A278,AN278,1))-S279&lt;0),-1,MIN(1,IF($A279=$A278,AN278,1)-S279+$D$3))</f>
        <v>#N/A</v>
      </c>
      <c r="AO279" t="e">
        <f>IF(OR($J279=0,COUNTIFS($A$4:$A278,"&gt;="&amp;$A279-1,$A$4:$A278,"&lt;="&amp;$A279,$B$4:$B278,$B279)&gt;0,MIN(AO$1,IF($A279=$A278,AO278,1))-T279&lt;0),-1,MIN(1,IF($A279=$A278,AO278,1)-T279+$D$3))</f>
        <v>#N/A</v>
      </c>
      <c r="AP279" t="e">
        <f>IF(OR($J279=0,COUNTIFS($A$4:$A278,"&gt;="&amp;$A279-1,$A$4:$A278,"&lt;="&amp;$A279,$B$4:$B278,$B279)&gt;0,MIN(AP$1,IF($A279=$A278,AP278,1))-U279&lt;0),-1,MIN(1,IF($A279=$A278,AP278,1)-U279+$D$3))</f>
        <v>#N/A</v>
      </c>
      <c r="AQ279" t="e">
        <f>IF(OR($J279=0,COUNTIFS($A$4:$A278,"&gt;="&amp;$A279-1,$A$4:$A278,"&lt;="&amp;$A279,$B$4:$B278,$B279)&gt;0,MIN(AQ$1,IF($A279=$A278,AQ278,1))-V279&lt;0),-1,MIN(1,IF($A279=$A278,AQ278,1)-V279+$D$3))</f>
        <v>#N/A</v>
      </c>
      <c r="AR279" t="e">
        <f>IF(OR($J279=0,COUNTIFS($A$4:$A278,"&gt;="&amp;$A279-1,$A$4:$A278,"&lt;="&amp;$A279,$B$4:$B278,$B279)&gt;0,MIN(AR$1,IF($A279=$A278,AR278,1))-W279&lt;0),-1,MIN(1,IF($A279=$A278,AR278,1)-W279+$D$3))</f>
        <v>#N/A</v>
      </c>
      <c r="AS279" t="e">
        <f>IF(OR($J279=0,COUNTIFS($A$4:$A278,"&gt;="&amp;$A279-1,$A$4:$A278,"&lt;="&amp;$A279,$B$4:$B278,$B279)&gt;0,MIN(AS$1,IF($A279=$A278,AS278,1))-X279&lt;0),-1,MIN(1,IF($A279=$A278,AS278,1)-X279+$D$3))</f>
        <v>#N/A</v>
      </c>
      <c r="AT279" t="e">
        <f>IF(OR($J279=0,COUNTIFS($A$4:$A278,"&gt;="&amp;$A279-1,$A$4:$A278,"&lt;="&amp;$A279,$B$4:$B278,$B279)&gt;0,MIN(AT$1,IF($A279=$A278,AT278,1))-Y279&lt;0),-1,MIN(1,IF($A279=$A278,AT278,1)-Y279+$D$3))</f>
        <v>#N/A</v>
      </c>
      <c r="AU279" t="e">
        <f>IF(OR($J279=0,COUNTIFS($A$4:$A278,"&gt;="&amp;$A279-1,$A$4:$A278,"&lt;="&amp;$A279,$B$4:$B278,$B279)&gt;0,MIN(AU$1,IF($A279=$A278,AU278,1))-Z279&lt;0),-1,MIN(1,IF($A279=$A278,AU278,1)-Z279+$D$3))</f>
        <v>#N/A</v>
      </c>
      <c r="AV279" t="e">
        <f>IF(OR($J279=0,COUNTIFS($A$4:$A278,"&gt;="&amp;$A279-1,$A$4:$A278,"&lt;="&amp;$A279,$B$4:$B278,$B279)&gt;0,MIN(AV$1,IF($A279=$A278,AV278,1))-AA279&lt;0),-1,MIN(1,IF($A279=$A278,AV278,1)-AA279+$D$3))</f>
        <v>#N/A</v>
      </c>
      <c r="AW279" t="e">
        <f>IF(OR($J279=0,COUNTIFS($A$4:$A278,"&gt;="&amp;$A279-1,$A$4:$A278,"&lt;="&amp;$A279,$B$4:$B278,$B279)&gt;0,MIN(AW$1,IF($A279=$A278,AW278,1))-AB279&lt;0),-1,MIN(1,IF($A279=$A278,AW278,1)-AB279+$D$3))</f>
        <v>#N/A</v>
      </c>
      <c r="AX279" t="e">
        <f>IF(OR($J279=0,COUNTIFS($A$4:$A278,"&gt;="&amp;$A279-1,$A$4:$A278,"&lt;="&amp;$A279,$B$4:$B278,$B279)&gt;0,MIN(AX$1,IF($A279=$A278,AX278,1))-AC279&lt;0),-1,MIN(1,IF($A279=$A278,AX278,1)-AC279+$D$3))</f>
        <v>#N/A</v>
      </c>
      <c r="AY279" t="e">
        <f>IF(OR($J279=0,COUNTIFS($A$4:$A278,"&gt;="&amp;$A279-1,$A$4:$A278,"&lt;="&amp;$A279,$B$4:$B278,$B279)&gt;0,MIN(AY$1,IF($A279=$A278,AY278,1))-AD279&lt;0),-1,MIN(1,IF($A279=$A278,AY278,1)-AD279+$D$3))</f>
        <v>#N/A</v>
      </c>
      <c r="AZ279" t="e">
        <f>IF(OR($J279=0,COUNTIFS($A$4:$A278,"&gt;="&amp;$A279-1,$A$4:$A278,"&lt;="&amp;$A279,$B$4:$B278,$B279)&gt;0,MIN(AZ$1,IF($A279=$A278,AZ278,1))-AE279&lt;0),-1,MIN(1,IF($A279=$A278,AZ278,1)-AE279+$D$3))</f>
        <v>#N/A</v>
      </c>
      <c r="BA279" t="e">
        <f>IF(OR($J279=0,COUNTIFS($A$4:$A278,"&gt;="&amp;$A279-1,$A$4:$A278,"&lt;="&amp;$A279,$B$4:$B278,$B279)&gt;0,MIN(BA$1,IF($A279=$A278,BA278,1))-AF279&lt;0),-1,MIN(1,IF($A279=$A278,BA278,1)-AF279+$D$3))</f>
        <v>#N/A</v>
      </c>
      <c r="BB279" t="e">
        <f>IF(OR($J279=0,COUNTIFS($A$4:$A278,"&gt;="&amp;$A279-1,$A$4:$A278,"&lt;="&amp;$A279,$B$4:$B278,$B279)&gt;0,MIN(BB$1,IF($A279=$A278,BB278,1))-AG279&lt;0),-1,MIN(1,IF($A279=$A278,BB278,1)-AG279+$D$3))</f>
        <v>#N/A</v>
      </c>
      <c r="BC279" t="e">
        <f>IF(OR($J279=0,COUNTIFS($A$4:$A278,"&gt;="&amp;$A279-1,$A$4:$A278,"&lt;="&amp;$A279,$B$4:$B278,$B279)&gt;0,MIN(BC$1,IF($A279=$A278,BC278,1))-AH279&lt;0),-1,MIN(1,IF($A279=$A278,BC278,1)-AH279+$D$3))</f>
        <v>#N/A</v>
      </c>
      <c r="BD279" t="e">
        <f>IF(OR($J279=0,COUNTIFS($A$4:$A278,"&gt;="&amp;$A279-1,$A$4:$A278,"&lt;="&amp;$A279,$B$4:$B278,$B279)&gt;0,MIN(BD$1,IF($A279=$A278,BD278,1))-AI279&lt;0),-1,MIN(1,IF($A279=$A278,BD278,1)-AI279+$D$3))</f>
        <v>#N/A</v>
      </c>
      <c r="BF279" s="44">
        <f t="shared" si="311"/>
        <v>1.5859786920761128E-6</v>
      </c>
      <c r="BG279" s="44">
        <f t="shared" si="312"/>
        <v>3.9003691372830421E-6</v>
      </c>
      <c r="BH279" s="44">
        <f t="shared" si="313"/>
        <v>3.9974680870628137E-6</v>
      </c>
      <c r="BI279" s="44">
        <f t="shared" si="314"/>
        <v>3.6925506622819815E-6</v>
      </c>
      <c r="BJ279" s="44">
        <f t="shared" si="315"/>
        <v>3.8166016653096486E-6</v>
      </c>
      <c r="BK279" s="44">
        <f t="shared" si="316"/>
        <v>1.6389910568464913E-6</v>
      </c>
      <c r="BL279" s="44">
        <f t="shared" si="317"/>
        <v>8.854087541620226E-7</v>
      </c>
      <c r="BM279" s="44">
        <f t="shared" si="318"/>
        <v>2.2523764769492601E-6</v>
      </c>
      <c r="BN279" s="44">
        <f t="shared" si="319"/>
        <v>2.3426470758463968E-6</v>
      </c>
      <c r="BO279" s="44">
        <f t="shared" si="320"/>
        <v>1.0978533129952925E-6</v>
      </c>
      <c r="BP279" s="44">
        <f t="shared" si="321"/>
        <v>3.6915073045570169E-6</v>
      </c>
      <c r="BQ279" s="44">
        <f t="shared" si="322"/>
        <v>9.9618501041308879E-7</v>
      </c>
      <c r="BR279" s="44">
        <f t="shared" si="323"/>
        <v>2.9429798919472814E-6</v>
      </c>
      <c r="BS279" s="44">
        <f t="shared" si="324"/>
        <v>1.5871881094053645E-6</v>
      </c>
      <c r="BT279" s="44">
        <f t="shared" si="325"/>
        <v>6.2809899434095355E-6</v>
      </c>
      <c r="BU279" s="44">
        <f t="shared" si="326"/>
        <v>6.0002354180666192E-6</v>
      </c>
      <c r="BV279" s="44">
        <f t="shared" si="327"/>
        <v>5.7624275820785153E-6</v>
      </c>
      <c r="BW279" s="44">
        <f t="shared" si="328"/>
        <v>3.7689447474733976E-6</v>
      </c>
      <c r="BX279" s="44">
        <f t="shared" si="329"/>
        <v>2.784427938214757E-6</v>
      </c>
      <c r="BY279" s="44">
        <f t="shared" si="330"/>
        <v>2.3907514186098707E-6</v>
      </c>
      <c r="CA279" s="44" t="str">
        <f t="shared" si="331"/>
        <v/>
      </c>
      <c r="CB279" s="44" t="str">
        <f t="shared" si="332"/>
        <v/>
      </c>
      <c r="CC279" s="44" t="str">
        <f t="shared" si="333"/>
        <v/>
      </c>
      <c r="CD279" s="44" t="str">
        <f t="shared" si="334"/>
        <v/>
      </c>
      <c r="CE279" s="44" t="str">
        <f t="shared" si="335"/>
        <v/>
      </c>
      <c r="CF279" s="44" t="str">
        <f t="shared" si="336"/>
        <v/>
      </c>
      <c r="CG279" s="44" t="str">
        <f t="shared" si="337"/>
        <v/>
      </c>
      <c r="CH279" s="44" t="str">
        <f t="shared" si="338"/>
        <v/>
      </c>
      <c r="CI279" s="44" t="str">
        <f t="shared" si="339"/>
        <v/>
      </c>
      <c r="CJ279" s="44" t="str">
        <f t="shared" si="340"/>
        <v/>
      </c>
      <c r="CK279" s="44" t="str">
        <f t="shared" si="341"/>
        <v/>
      </c>
      <c r="CL279" s="44" t="str">
        <f t="shared" si="342"/>
        <v/>
      </c>
      <c r="CM279" s="44" t="str">
        <f t="shared" si="343"/>
        <v/>
      </c>
      <c r="CN279" s="44" t="str">
        <f t="shared" si="344"/>
        <v/>
      </c>
      <c r="CO279" s="44" t="str">
        <f t="shared" si="345"/>
        <v/>
      </c>
      <c r="CP279" s="44" t="str">
        <f t="shared" si="346"/>
        <v/>
      </c>
      <c r="CQ279" s="44" t="str">
        <f t="shared" si="347"/>
        <v/>
      </c>
      <c r="CR279" s="44" t="str">
        <f t="shared" si="348"/>
        <v/>
      </c>
      <c r="CS279" s="44" t="str">
        <f t="shared" si="349"/>
        <v/>
      </c>
      <c r="CT279" s="44" t="str">
        <f t="shared" si="350"/>
        <v/>
      </c>
      <c r="CV279" s="44">
        <f t="shared" si="351"/>
        <v>0</v>
      </c>
    </row>
    <row r="280" spans="1:100" x14ac:dyDescent="0.25">
      <c r="A280" s="49"/>
      <c r="B280" s="50"/>
      <c r="C280" s="51" t="str" cm="1">
        <f t="array" ref="C280">IF(B280="","",INDEX(UWS!$B$10:$B$41,B280))</f>
        <v/>
      </c>
      <c r="D280" s="45" t="str">
        <f t="shared" si="308"/>
        <v/>
      </c>
      <c r="E280" s="70" t="str">
        <f t="shared" si="309"/>
        <v/>
      </c>
      <c r="F280" s="52" cm="1">
        <f t="array" ref="F280">0.1+IFERROR(INDEX($F$5:$F279,SUMPRODUCT(MAX(ROW($C$5:$C279)*($C280=$C$5:$C279))-ROW($A$4)))*0.9^($A280-INDEX($A$5:A279,SUMPRODUCT(MAX(ROW($C$5:$C279)*($C280=$C$5:$C279))-ROW($A$4)))),0)</f>
        <v>21.500000000000036</v>
      </c>
      <c r="G280" s="56" t="e">
        <f>INDEX(UWS!$AB$10:$AB$41,MATCH(C280,UWS!$B$10:$B$41,0))</f>
        <v>#N/A</v>
      </c>
      <c r="H280" s="52" t="e">
        <f>INDEX(UWS!$C$10:$C$41,MATCH(C280,UWS!$B$10:$B$41,0))</f>
        <v>#N/A</v>
      </c>
      <c r="I280" s="46">
        <f t="shared" si="310"/>
        <v>5</v>
      </c>
      <c r="J280" s="46" t="e">
        <f>INDEX(UWS!$E$10:$E$41,MATCH(C280,UWS!$B$10:$B$41,0))</f>
        <v>#N/A</v>
      </c>
      <c r="K280" s="46"/>
      <c r="L280" s="109" t="str" cm="1">
        <f t="array" ref="L280">IF(K280="","",INDEX(UWS!$B$10:$B$41,K280))</f>
        <v/>
      </c>
      <c r="M280" s="46"/>
      <c r="N280" s="109" t="str" cm="1">
        <f t="array" ref="N280">IF(M280="","",INDEX(UWS!$B$10:$B$41,M280))</f>
        <v/>
      </c>
      <c r="O280" s="47"/>
      <c r="P280" s="47">
        <f>IFERROR(INDEX(UWS!$G$10:$Z$41,MATCH($C280,UWS!$B$10:$B$41,0),MATCH(P$4,UWS!$G$3:$Z$3,0)),0)</f>
        <v>0</v>
      </c>
      <c r="Q280" s="47">
        <f>IFERROR(INDEX(UWS!$G$10:$Z$41,MATCH($C280,UWS!$B$10:$B$41,0),MATCH(Q$4,UWS!$G$3:$Z$3,0)),0)</f>
        <v>0</v>
      </c>
      <c r="R280" s="47">
        <f>IFERROR(INDEX(UWS!$G$10:$Z$41,MATCH($C280,UWS!$B$10:$B$41,0),MATCH(R$4,UWS!$G$3:$Z$3,0)),0)</f>
        <v>0</v>
      </c>
      <c r="S280" s="47">
        <f>IFERROR(INDEX(UWS!$G$10:$Z$41,MATCH($C280,UWS!$B$10:$B$41,0),MATCH(S$4,UWS!$G$3:$Z$3,0)),0)</f>
        <v>0</v>
      </c>
      <c r="T280" s="47">
        <f>IFERROR(INDEX(UWS!$G$10:$Z$41,MATCH($C280,UWS!$B$10:$B$41,0),MATCH(T$4,UWS!$G$3:$Z$3,0)),0)</f>
        <v>0</v>
      </c>
      <c r="U280" s="47">
        <f>IFERROR(INDEX(UWS!$G$10:$Z$41,MATCH($C280,UWS!$B$10:$B$41,0),MATCH(U$4,UWS!$G$3:$Z$3,0)),0)</f>
        <v>0</v>
      </c>
      <c r="V280" s="47">
        <f>IFERROR(INDEX(UWS!$G$10:$Z$41,MATCH($C280,UWS!$B$10:$B$41,0),MATCH(V$4,UWS!$G$3:$Z$3,0)),0)</f>
        <v>0</v>
      </c>
      <c r="W280" s="47">
        <f>IFERROR(INDEX(UWS!$G$10:$Z$41,MATCH($C280,UWS!$B$10:$B$41,0),MATCH(W$4,UWS!$G$3:$Z$3,0)),0)</f>
        <v>0</v>
      </c>
      <c r="X280" s="47">
        <f>IFERROR(INDEX(UWS!$G$10:$Z$41,MATCH($C280,UWS!$B$10:$B$41,0),MATCH(X$4,UWS!$G$3:$Z$3,0)),0)</f>
        <v>0</v>
      </c>
      <c r="Y280" s="47">
        <f>IFERROR(INDEX(UWS!$G$10:$Z$41,MATCH($C280,UWS!$B$10:$B$41,0),MATCH(Y$4,UWS!$G$3:$Z$3,0)),0)</f>
        <v>0</v>
      </c>
      <c r="Z280" s="47">
        <f>IFERROR(INDEX(UWS!$G$10:$Z$41,MATCH($C280,UWS!$B$10:$B$41,0),MATCH(Z$4,UWS!$G$3:$Z$3,0)),0)</f>
        <v>0</v>
      </c>
      <c r="AA280" s="47">
        <f>IFERROR(INDEX(UWS!$G$10:$Z$41,MATCH($C280,UWS!$B$10:$B$41,0),MATCH(AA$4,UWS!$G$3:$Z$3,0)),0)</f>
        <v>0</v>
      </c>
      <c r="AB280" s="47">
        <f>IFERROR(INDEX(UWS!$G$10:$Z$41,MATCH($C280,UWS!$B$10:$B$41,0),MATCH(AB$4,UWS!$G$3:$Z$3,0)),0)</f>
        <v>0</v>
      </c>
      <c r="AC280" s="47">
        <f>IFERROR(INDEX(UWS!$G$10:$Z$41,MATCH($C280,UWS!$B$10:$B$41,0),MATCH(AC$4,UWS!$G$3:$Z$3,0)),0)</f>
        <v>0</v>
      </c>
      <c r="AD280" s="47">
        <f>IFERROR(INDEX(UWS!$G$10:$Z$41,MATCH($C280,UWS!$B$10:$B$41,0),MATCH(AD$4,UWS!$G$3:$Z$3,0)),0)</f>
        <v>0</v>
      </c>
      <c r="AE280" s="47">
        <f>IFERROR(INDEX(UWS!$G$10:$Z$41,MATCH($C280,UWS!$B$10:$B$41,0),MATCH(AE$4,UWS!$G$3:$Z$3,0)),0)</f>
        <v>0</v>
      </c>
      <c r="AF280" s="47">
        <f>IFERROR(INDEX(UWS!$G$10:$Z$41,MATCH($C280,UWS!$B$10:$B$41,0),MATCH(AF$4,UWS!$G$3:$Z$3,0)),0)</f>
        <v>0</v>
      </c>
      <c r="AG280" s="47">
        <f>IFERROR(INDEX(UWS!$G$10:$Z$41,MATCH($C280,UWS!$B$10:$B$41,0),MATCH(AG$4,UWS!$G$3:$Z$3,0)),0)</f>
        <v>0</v>
      </c>
      <c r="AH280" s="47">
        <f>IFERROR(INDEX(UWS!$G$10:$Z$41,MATCH($C280,UWS!$B$10:$B$41,0),MATCH(AH$4,UWS!$G$3:$Z$3,0)),0)</f>
        <v>0</v>
      </c>
      <c r="AI280" s="47">
        <f>IFERROR(INDEX(UWS!$G$10:$Z$41,MATCH($C280,UWS!$B$10:$B$41,0),MATCH(AI$4,UWS!$G$3:$Z$3,0)),0)</f>
        <v>0</v>
      </c>
      <c r="AJ280" s="47"/>
      <c r="AK280" s="47" t="e">
        <f>IF(OR($J280=0,COUNTIFS($A$4:$A279,"&gt;="&amp;$A280-1,$A$4:$A279,"&lt;="&amp;$A280,$B$4:$B279,$B280)&gt;0,MIN(AK$1,IF($A280=$A279,AK279,1))-P280&lt;0),-1,MIN(1,IF($A280=$A279,AK279,1)-P280+$D$3))</f>
        <v>#N/A</v>
      </c>
      <c r="AL280" s="47" t="e">
        <f>IF(OR($J280=0,COUNTIFS($A$4:$A279,"&gt;="&amp;$A280-1,$A$4:$A279,"&lt;="&amp;$A280,$B$4:$B279,$B280)&gt;0,MIN(AL$1,IF($A280=$A279,AL279,1))-Q280&lt;0),-1,MIN(1,IF($A280=$A279,AL279,1)-Q280+$D$3))</f>
        <v>#N/A</v>
      </c>
      <c r="AM280" s="47" t="e">
        <f>IF(OR($J280=0,COUNTIFS($A$4:$A279,"&gt;="&amp;$A280-1,$A$4:$A279,"&lt;="&amp;$A280,$B$4:$B279,$B280)&gt;0,MIN(AM$1,IF($A280=$A279,AM279,1))-R280&lt;0),-1,MIN(1,IF($A280=$A279,AM279,1)-R280+$D$3))</f>
        <v>#N/A</v>
      </c>
      <c r="AN280" s="47" t="e">
        <f>IF(OR($J280=0,COUNTIFS($A$4:$A279,"&gt;="&amp;$A280-1,$A$4:$A279,"&lt;="&amp;$A280,$B$4:$B279,$B280)&gt;0,MIN(AN$1,IF($A280=$A279,AN279,1))-S280&lt;0),-1,MIN(1,IF($A280=$A279,AN279,1)-S280+$D$3))</f>
        <v>#N/A</v>
      </c>
      <c r="AO280" s="47" t="e">
        <f>IF(OR($J280=0,COUNTIFS($A$4:$A279,"&gt;="&amp;$A280-1,$A$4:$A279,"&lt;="&amp;$A280,$B$4:$B279,$B280)&gt;0,MIN(AO$1,IF($A280=$A279,AO279,1))-T280&lt;0),-1,MIN(1,IF($A280=$A279,AO279,1)-T280+$D$3))</f>
        <v>#N/A</v>
      </c>
      <c r="AP280" s="47" t="e">
        <f>IF(OR($J280=0,COUNTIFS($A$4:$A279,"&gt;="&amp;$A280-1,$A$4:$A279,"&lt;="&amp;$A280,$B$4:$B279,$B280)&gt;0,MIN(AP$1,IF($A280=$A279,AP279,1))-U280&lt;0),-1,MIN(1,IF($A280=$A279,AP279,1)-U280+$D$3))</f>
        <v>#N/A</v>
      </c>
      <c r="AQ280" s="47" t="e">
        <f>IF(OR($J280=0,COUNTIFS($A$4:$A279,"&gt;="&amp;$A280-1,$A$4:$A279,"&lt;="&amp;$A280,$B$4:$B279,$B280)&gt;0,MIN(AQ$1,IF($A280=$A279,AQ279,1))-V280&lt;0),-1,MIN(1,IF($A280=$A279,AQ279,1)-V280+$D$3))</f>
        <v>#N/A</v>
      </c>
      <c r="AR280" s="47" t="e">
        <f>IF(OR($J280=0,COUNTIFS($A$4:$A279,"&gt;="&amp;$A280-1,$A$4:$A279,"&lt;="&amp;$A280,$B$4:$B279,$B280)&gt;0,MIN(AR$1,IF($A280=$A279,AR279,1))-W280&lt;0),-1,MIN(1,IF($A280=$A279,AR279,1)-W280+$D$3))</f>
        <v>#N/A</v>
      </c>
      <c r="AS280" s="47" t="e">
        <f>IF(OR($J280=0,COUNTIFS($A$4:$A279,"&gt;="&amp;$A280-1,$A$4:$A279,"&lt;="&amp;$A280,$B$4:$B279,$B280)&gt;0,MIN(AS$1,IF($A280=$A279,AS279,1))-X280&lt;0),-1,MIN(1,IF($A280=$A279,AS279,1)-X280+$D$3))</f>
        <v>#N/A</v>
      </c>
      <c r="AT280" s="47" t="e">
        <f>IF(OR($J280=0,COUNTIFS($A$4:$A279,"&gt;="&amp;$A280-1,$A$4:$A279,"&lt;="&amp;$A280,$B$4:$B279,$B280)&gt;0,MIN(AT$1,IF($A280=$A279,AT279,1))-Y280&lt;0),-1,MIN(1,IF($A280=$A279,AT279,1)-Y280+$D$3))</f>
        <v>#N/A</v>
      </c>
      <c r="AU280" s="47" t="e">
        <f>IF(OR($J280=0,COUNTIFS($A$4:$A279,"&gt;="&amp;$A280-1,$A$4:$A279,"&lt;="&amp;$A280,$B$4:$B279,$B280)&gt;0,MIN(AU$1,IF($A280=$A279,AU279,1))-Z280&lt;0),-1,MIN(1,IF($A280=$A279,AU279,1)-Z280+$D$3))</f>
        <v>#N/A</v>
      </c>
      <c r="AV280" s="47" t="e">
        <f>IF(OR($J280=0,COUNTIFS($A$4:$A279,"&gt;="&amp;$A280-1,$A$4:$A279,"&lt;="&amp;$A280,$B$4:$B279,$B280)&gt;0,MIN(AV$1,IF($A280=$A279,AV279,1))-AA280&lt;0),-1,MIN(1,IF($A280=$A279,AV279,1)-AA280+$D$3))</f>
        <v>#N/A</v>
      </c>
      <c r="AW280" s="47" t="e">
        <f>IF(OR($J280=0,COUNTIFS($A$4:$A279,"&gt;="&amp;$A280-1,$A$4:$A279,"&lt;="&amp;$A280,$B$4:$B279,$B280)&gt;0,MIN(AW$1,IF($A280=$A279,AW279,1))-AB280&lt;0),-1,MIN(1,IF($A280=$A279,AW279,1)-AB280+$D$3))</f>
        <v>#N/A</v>
      </c>
      <c r="AX280" s="47" t="e">
        <f>IF(OR($J280=0,COUNTIFS($A$4:$A279,"&gt;="&amp;$A280-1,$A$4:$A279,"&lt;="&amp;$A280,$B$4:$B279,$B280)&gt;0,MIN(AX$1,IF($A280=$A279,AX279,1))-AC280&lt;0),-1,MIN(1,IF($A280=$A279,AX279,1)-AC280+$D$3))</f>
        <v>#N/A</v>
      </c>
      <c r="AY280" s="47" t="e">
        <f>IF(OR($J280=0,COUNTIFS($A$4:$A279,"&gt;="&amp;$A280-1,$A$4:$A279,"&lt;="&amp;$A280,$B$4:$B279,$B280)&gt;0,MIN(AY$1,IF($A280=$A279,AY279,1))-AD280&lt;0),-1,MIN(1,IF($A280=$A279,AY279,1)-AD280+$D$3))</f>
        <v>#N/A</v>
      </c>
      <c r="AZ280" s="47" t="e">
        <f>IF(OR($J280=0,COUNTIFS($A$4:$A279,"&gt;="&amp;$A280-1,$A$4:$A279,"&lt;="&amp;$A280,$B$4:$B279,$B280)&gt;0,MIN(AZ$1,IF($A280=$A279,AZ279,1))-AE280&lt;0),-1,MIN(1,IF($A280=$A279,AZ279,1)-AE280+$D$3))</f>
        <v>#N/A</v>
      </c>
      <c r="BA280" s="47" t="e">
        <f>IF(OR($J280=0,COUNTIFS($A$4:$A279,"&gt;="&amp;$A280-1,$A$4:$A279,"&lt;="&amp;$A280,$B$4:$B279,$B280)&gt;0,MIN(BA$1,IF($A280=$A279,BA279,1))-AF280&lt;0),-1,MIN(1,IF($A280=$A279,BA279,1)-AF280+$D$3))</f>
        <v>#N/A</v>
      </c>
      <c r="BB280" s="47" t="e">
        <f>IF(OR($J280=0,COUNTIFS($A$4:$A279,"&gt;="&amp;$A280-1,$A$4:$A279,"&lt;="&amp;$A280,$B$4:$B279,$B280)&gt;0,MIN(BB$1,IF($A280=$A279,BB279,1))-AG280&lt;0),-1,MIN(1,IF($A280=$A279,BB279,1)-AG280+$D$3))</f>
        <v>#N/A</v>
      </c>
      <c r="BC280" s="47" t="e">
        <f>IF(OR($J280=0,COUNTIFS($A$4:$A279,"&gt;="&amp;$A280-1,$A$4:$A279,"&lt;="&amp;$A280,$B$4:$B279,$B280)&gt;0,MIN(BC$1,IF($A280=$A279,BC279,1))-AH280&lt;0),-1,MIN(1,IF($A280=$A279,BC279,1)-AH280+$D$3))</f>
        <v>#N/A</v>
      </c>
      <c r="BD280" s="47" t="e">
        <f>IF(OR($J280=0,COUNTIFS($A$4:$A279,"&gt;="&amp;$A280-1,$A$4:$A279,"&lt;="&amp;$A280,$B$4:$B279,$B280)&gt;0,MIN(BD$1,IF($A280=$A279,BD279,1))-AI280&lt;0),-1,MIN(1,IF($A280=$A279,BD279,1)-AI280+$D$3))</f>
        <v>#N/A</v>
      </c>
      <c r="BE280" s="47"/>
      <c r="BF280" s="53">
        <f t="shared" si="311"/>
        <v>1.5066797574723071E-6</v>
      </c>
      <c r="BG280" s="53">
        <f t="shared" si="312"/>
        <v>3.7053506804188899E-6</v>
      </c>
      <c r="BH280" s="53">
        <f t="shared" si="313"/>
        <v>3.7975946827096728E-6</v>
      </c>
      <c r="BI280" s="53">
        <f t="shared" si="314"/>
        <v>3.5079231291678822E-6</v>
      </c>
      <c r="BJ280" s="53">
        <f t="shared" si="315"/>
        <v>3.6257715820441661E-6</v>
      </c>
      <c r="BK280" s="53">
        <f t="shared" si="316"/>
        <v>1.5570415040041666E-6</v>
      </c>
      <c r="BL280" s="53">
        <f t="shared" si="317"/>
        <v>8.4113831645392142E-7</v>
      </c>
      <c r="BM280" s="53">
        <f t="shared" si="318"/>
        <v>2.1397576531017971E-6</v>
      </c>
      <c r="BN280" s="53">
        <f t="shared" si="319"/>
        <v>2.2255147220540771E-6</v>
      </c>
      <c r="BO280" s="53">
        <f t="shared" si="320"/>
        <v>1.0429606473455277E-6</v>
      </c>
      <c r="BP280" s="53">
        <f t="shared" si="321"/>
        <v>3.5069319393291661E-6</v>
      </c>
      <c r="BQ280" s="53">
        <f t="shared" si="322"/>
        <v>9.4637575989243434E-7</v>
      </c>
      <c r="BR280" s="53">
        <f t="shared" si="323"/>
        <v>2.7958308973499171E-6</v>
      </c>
      <c r="BS280" s="53">
        <f t="shared" si="324"/>
        <v>1.5078287039350962E-6</v>
      </c>
      <c r="BT280" s="53">
        <f t="shared" si="325"/>
        <v>5.9669404462390581E-6</v>
      </c>
      <c r="BU280" s="53">
        <f t="shared" si="326"/>
        <v>5.7002236471632876E-6</v>
      </c>
      <c r="BV280" s="53">
        <f t="shared" si="327"/>
        <v>5.474306202974589E-6</v>
      </c>
      <c r="BW280" s="53">
        <f t="shared" si="328"/>
        <v>3.5804975100997275E-6</v>
      </c>
      <c r="BX280" s="53">
        <f t="shared" si="329"/>
        <v>2.6452065413040192E-6</v>
      </c>
      <c r="BY280" s="53">
        <f t="shared" si="330"/>
        <v>2.2712138476793771E-6</v>
      </c>
      <c r="BZ280" s="47"/>
      <c r="CA280" s="53" t="str">
        <f t="shared" si="331"/>
        <v/>
      </c>
      <c r="CB280" s="53" t="str">
        <f t="shared" si="332"/>
        <v/>
      </c>
      <c r="CC280" s="53" t="str">
        <f t="shared" si="333"/>
        <v/>
      </c>
      <c r="CD280" s="53" t="str">
        <f t="shared" si="334"/>
        <v/>
      </c>
      <c r="CE280" s="53" t="str">
        <f t="shared" si="335"/>
        <v/>
      </c>
      <c r="CF280" s="53" t="str">
        <f t="shared" si="336"/>
        <v/>
      </c>
      <c r="CG280" s="53" t="str">
        <f t="shared" si="337"/>
        <v/>
      </c>
      <c r="CH280" s="53" t="str">
        <f t="shared" si="338"/>
        <v/>
      </c>
      <c r="CI280" s="53" t="str">
        <f t="shared" si="339"/>
        <v/>
      </c>
      <c r="CJ280" s="53" t="str">
        <f t="shared" si="340"/>
        <v/>
      </c>
      <c r="CK280" s="53" t="str">
        <f t="shared" si="341"/>
        <v/>
      </c>
      <c r="CL280" s="53" t="str">
        <f t="shared" si="342"/>
        <v/>
      </c>
      <c r="CM280" s="53" t="str">
        <f t="shared" si="343"/>
        <v/>
      </c>
      <c r="CN280" s="53" t="str">
        <f t="shared" si="344"/>
        <v/>
      </c>
      <c r="CO280" s="53" t="str">
        <f t="shared" si="345"/>
        <v/>
      </c>
      <c r="CP280" s="53" t="str">
        <f t="shared" si="346"/>
        <v/>
      </c>
      <c r="CQ280" s="53" t="str">
        <f t="shared" si="347"/>
        <v/>
      </c>
      <c r="CR280" s="53" t="str">
        <f t="shared" si="348"/>
        <v/>
      </c>
      <c r="CS280" s="53" t="str">
        <f t="shared" si="349"/>
        <v/>
      </c>
      <c r="CT280" s="53" t="str">
        <f t="shared" si="350"/>
        <v/>
      </c>
      <c r="CU280" s="47"/>
      <c r="CV280" s="53">
        <f t="shared" si="351"/>
        <v>0</v>
      </c>
    </row>
    <row r="281" spans="1:100" x14ac:dyDescent="0.25">
      <c r="A281" s="41"/>
      <c r="B281" s="42"/>
      <c r="C281" s="43" t="str" cm="1">
        <f t="array" ref="C281">IF(B281="","",INDEX(UWS!$B$10:$B$41,B281))</f>
        <v/>
      </c>
      <c r="D281" s="40" t="str">
        <f t="shared" si="308"/>
        <v/>
      </c>
      <c r="E281" s="69" t="str">
        <f t="shared" si="309"/>
        <v/>
      </c>
      <c r="F281" s="48" cm="1">
        <f t="array" ref="F281">0.1+IFERROR(INDEX($F$5:$F280,SUMPRODUCT(MAX(ROW($C$5:$C280)*($C281=$C$5:$C280))-ROW($A$4)))*0.9^($A281-INDEX($A$5:A280,SUMPRODUCT(MAX(ROW($C$5:$C280)*($C281=$C$5:$C280))-ROW($A$4)))),0)</f>
        <v>21.600000000000037</v>
      </c>
      <c r="G281" s="55" t="e">
        <f>INDEX(UWS!$AB$10:$AB$41,MATCH(C281,UWS!$B$10:$B$41,0))</f>
        <v>#N/A</v>
      </c>
      <c r="H281" s="48" t="e">
        <f>INDEX(UWS!$C$10:$C$41,MATCH(C281,UWS!$B$10:$B$41,0))</f>
        <v>#N/A</v>
      </c>
      <c r="I281" s="82">
        <f t="shared" si="310"/>
        <v>5</v>
      </c>
      <c r="J281" s="27" t="e">
        <f>INDEX(UWS!$E$10:$E$41,MATCH(C281,UWS!$B$10:$B$41,0))</f>
        <v>#N/A</v>
      </c>
      <c r="L281" s="108" t="str" cm="1">
        <f t="array" ref="L281">IF(K281="","",INDEX(UWS!$B$10:$B$41,K281))</f>
        <v/>
      </c>
      <c r="N281" s="108" t="str" cm="1">
        <f t="array" ref="N281">IF(M281="","",INDEX(UWS!$B$10:$B$41,M281))</f>
        <v/>
      </c>
      <c r="P281">
        <f>IFERROR(INDEX(UWS!$G$10:$Z$41,MATCH($C281,UWS!$B$10:$B$41,0),MATCH(P$4,UWS!$G$3:$Z$3,0)),0)</f>
        <v>0</v>
      </c>
      <c r="Q281">
        <f>IFERROR(INDEX(UWS!$G$10:$Z$41,MATCH($C281,UWS!$B$10:$B$41,0),MATCH(Q$4,UWS!$G$3:$Z$3,0)),0)</f>
        <v>0</v>
      </c>
      <c r="R281">
        <f>IFERROR(INDEX(UWS!$G$10:$Z$41,MATCH($C281,UWS!$B$10:$B$41,0),MATCH(R$4,UWS!$G$3:$Z$3,0)),0)</f>
        <v>0</v>
      </c>
      <c r="S281">
        <f>IFERROR(INDEX(UWS!$G$10:$Z$41,MATCH($C281,UWS!$B$10:$B$41,0),MATCH(S$4,UWS!$G$3:$Z$3,0)),0)</f>
        <v>0</v>
      </c>
      <c r="T281">
        <f>IFERROR(INDEX(UWS!$G$10:$Z$41,MATCH($C281,UWS!$B$10:$B$41,0),MATCH(T$4,UWS!$G$3:$Z$3,0)),0)</f>
        <v>0</v>
      </c>
      <c r="U281">
        <f>IFERROR(INDEX(UWS!$G$10:$Z$41,MATCH($C281,UWS!$B$10:$B$41,0),MATCH(U$4,UWS!$G$3:$Z$3,0)),0)</f>
        <v>0</v>
      </c>
      <c r="V281">
        <f>IFERROR(INDEX(UWS!$G$10:$Z$41,MATCH($C281,UWS!$B$10:$B$41,0),MATCH(V$4,UWS!$G$3:$Z$3,0)),0)</f>
        <v>0</v>
      </c>
      <c r="W281">
        <f>IFERROR(INDEX(UWS!$G$10:$Z$41,MATCH($C281,UWS!$B$10:$B$41,0),MATCH(W$4,UWS!$G$3:$Z$3,0)),0)</f>
        <v>0</v>
      </c>
      <c r="X281">
        <f>IFERROR(INDEX(UWS!$G$10:$Z$41,MATCH($C281,UWS!$B$10:$B$41,0),MATCH(X$4,UWS!$G$3:$Z$3,0)),0)</f>
        <v>0</v>
      </c>
      <c r="Y281">
        <f>IFERROR(INDEX(UWS!$G$10:$Z$41,MATCH($C281,UWS!$B$10:$B$41,0),MATCH(Y$4,UWS!$G$3:$Z$3,0)),0)</f>
        <v>0</v>
      </c>
      <c r="Z281">
        <f>IFERROR(INDEX(UWS!$G$10:$Z$41,MATCH($C281,UWS!$B$10:$B$41,0),MATCH(Z$4,UWS!$G$3:$Z$3,0)),0)</f>
        <v>0</v>
      </c>
      <c r="AA281">
        <f>IFERROR(INDEX(UWS!$G$10:$Z$41,MATCH($C281,UWS!$B$10:$B$41,0),MATCH(AA$4,UWS!$G$3:$Z$3,0)),0)</f>
        <v>0</v>
      </c>
      <c r="AB281">
        <f>IFERROR(INDEX(UWS!$G$10:$Z$41,MATCH($C281,UWS!$B$10:$B$41,0),MATCH(AB$4,UWS!$G$3:$Z$3,0)),0)</f>
        <v>0</v>
      </c>
      <c r="AC281">
        <f>IFERROR(INDEX(UWS!$G$10:$Z$41,MATCH($C281,UWS!$B$10:$B$41,0),MATCH(AC$4,UWS!$G$3:$Z$3,0)),0)</f>
        <v>0</v>
      </c>
      <c r="AD281">
        <f>IFERROR(INDEX(UWS!$G$10:$Z$41,MATCH($C281,UWS!$B$10:$B$41,0),MATCH(AD$4,UWS!$G$3:$Z$3,0)),0)</f>
        <v>0</v>
      </c>
      <c r="AE281">
        <f>IFERROR(INDEX(UWS!$G$10:$Z$41,MATCH($C281,UWS!$B$10:$B$41,0),MATCH(AE$4,UWS!$G$3:$Z$3,0)),0)</f>
        <v>0</v>
      </c>
      <c r="AF281">
        <f>IFERROR(INDEX(UWS!$G$10:$Z$41,MATCH($C281,UWS!$B$10:$B$41,0),MATCH(AF$4,UWS!$G$3:$Z$3,0)),0)</f>
        <v>0</v>
      </c>
      <c r="AG281">
        <f>IFERROR(INDEX(UWS!$G$10:$Z$41,MATCH($C281,UWS!$B$10:$B$41,0),MATCH(AG$4,UWS!$G$3:$Z$3,0)),0)</f>
        <v>0</v>
      </c>
      <c r="AH281">
        <f>IFERROR(INDEX(UWS!$G$10:$Z$41,MATCH($C281,UWS!$B$10:$B$41,0),MATCH(AH$4,UWS!$G$3:$Z$3,0)),0)</f>
        <v>0</v>
      </c>
      <c r="AI281">
        <f>IFERROR(INDEX(UWS!$G$10:$Z$41,MATCH($C281,UWS!$B$10:$B$41,0),MATCH(AI$4,UWS!$G$3:$Z$3,0)),0)</f>
        <v>0</v>
      </c>
      <c r="AK281" t="e">
        <f>IF(OR($J281=0,COUNTIFS($A$4:$A280,"&gt;="&amp;$A281-1,$A$4:$A280,"&lt;="&amp;$A281,$B$4:$B280,$B281)&gt;0,MIN(AK$1,IF($A281=$A280,AK280,1))-P281&lt;0),-1,MIN(1,IF($A281=$A280,AK280,1)-P281+$D$3))</f>
        <v>#N/A</v>
      </c>
      <c r="AL281" t="e">
        <f>IF(OR($J281=0,COUNTIFS($A$4:$A280,"&gt;="&amp;$A281-1,$A$4:$A280,"&lt;="&amp;$A281,$B$4:$B280,$B281)&gt;0,MIN(AL$1,IF($A281=$A280,AL280,1))-Q281&lt;0),-1,MIN(1,IF($A281=$A280,AL280,1)-Q281+$D$3))</f>
        <v>#N/A</v>
      </c>
      <c r="AM281" t="e">
        <f>IF(OR($J281=0,COUNTIFS($A$4:$A280,"&gt;="&amp;$A281-1,$A$4:$A280,"&lt;="&amp;$A281,$B$4:$B280,$B281)&gt;0,MIN(AM$1,IF($A281=$A280,AM280,1))-R281&lt;0),-1,MIN(1,IF($A281=$A280,AM280,1)-R281+$D$3))</f>
        <v>#N/A</v>
      </c>
      <c r="AN281" t="e">
        <f>IF(OR($J281=0,COUNTIFS($A$4:$A280,"&gt;="&amp;$A281-1,$A$4:$A280,"&lt;="&amp;$A281,$B$4:$B280,$B281)&gt;0,MIN(AN$1,IF($A281=$A280,AN280,1))-S281&lt;0),-1,MIN(1,IF($A281=$A280,AN280,1)-S281+$D$3))</f>
        <v>#N/A</v>
      </c>
      <c r="AO281" t="e">
        <f>IF(OR($J281=0,COUNTIFS($A$4:$A280,"&gt;="&amp;$A281-1,$A$4:$A280,"&lt;="&amp;$A281,$B$4:$B280,$B281)&gt;0,MIN(AO$1,IF($A281=$A280,AO280,1))-T281&lt;0),-1,MIN(1,IF($A281=$A280,AO280,1)-T281+$D$3))</f>
        <v>#N/A</v>
      </c>
      <c r="AP281" t="e">
        <f>IF(OR($J281=0,COUNTIFS($A$4:$A280,"&gt;="&amp;$A281-1,$A$4:$A280,"&lt;="&amp;$A281,$B$4:$B280,$B281)&gt;0,MIN(AP$1,IF($A281=$A280,AP280,1))-U281&lt;0),-1,MIN(1,IF($A281=$A280,AP280,1)-U281+$D$3))</f>
        <v>#N/A</v>
      </c>
      <c r="AQ281" t="e">
        <f>IF(OR($J281=0,COUNTIFS($A$4:$A280,"&gt;="&amp;$A281-1,$A$4:$A280,"&lt;="&amp;$A281,$B$4:$B280,$B281)&gt;0,MIN(AQ$1,IF($A281=$A280,AQ280,1))-V281&lt;0),-1,MIN(1,IF($A281=$A280,AQ280,1)-V281+$D$3))</f>
        <v>#N/A</v>
      </c>
      <c r="AR281" t="e">
        <f>IF(OR($J281=0,COUNTIFS($A$4:$A280,"&gt;="&amp;$A281-1,$A$4:$A280,"&lt;="&amp;$A281,$B$4:$B280,$B281)&gt;0,MIN(AR$1,IF($A281=$A280,AR280,1))-W281&lt;0),-1,MIN(1,IF($A281=$A280,AR280,1)-W281+$D$3))</f>
        <v>#N/A</v>
      </c>
      <c r="AS281" t="e">
        <f>IF(OR($J281=0,COUNTIFS($A$4:$A280,"&gt;="&amp;$A281-1,$A$4:$A280,"&lt;="&amp;$A281,$B$4:$B280,$B281)&gt;0,MIN(AS$1,IF($A281=$A280,AS280,1))-X281&lt;0),-1,MIN(1,IF($A281=$A280,AS280,1)-X281+$D$3))</f>
        <v>#N/A</v>
      </c>
      <c r="AT281" t="e">
        <f>IF(OR($J281=0,COUNTIFS($A$4:$A280,"&gt;="&amp;$A281-1,$A$4:$A280,"&lt;="&amp;$A281,$B$4:$B280,$B281)&gt;0,MIN(AT$1,IF($A281=$A280,AT280,1))-Y281&lt;0),-1,MIN(1,IF($A281=$A280,AT280,1)-Y281+$D$3))</f>
        <v>#N/A</v>
      </c>
      <c r="AU281" t="e">
        <f>IF(OR($J281=0,COUNTIFS($A$4:$A280,"&gt;="&amp;$A281-1,$A$4:$A280,"&lt;="&amp;$A281,$B$4:$B280,$B281)&gt;0,MIN(AU$1,IF($A281=$A280,AU280,1))-Z281&lt;0),-1,MIN(1,IF($A281=$A280,AU280,1)-Z281+$D$3))</f>
        <v>#N/A</v>
      </c>
      <c r="AV281" t="e">
        <f>IF(OR($J281=0,COUNTIFS($A$4:$A280,"&gt;="&amp;$A281-1,$A$4:$A280,"&lt;="&amp;$A281,$B$4:$B280,$B281)&gt;0,MIN(AV$1,IF($A281=$A280,AV280,1))-AA281&lt;0),-1,MIN(1,IF($A281=$A280,AV280,1)-AA281+$D$3))</f>
        <v>#N/A</v>
      </c>
      <c r="AW281" t="e">
        <f>IF(OR($J281=0,COUNTIFS($A$4:$A280,"&gt;="&amp;$A281-1,$A$4:$A280,"&lt;="&amp;$A281,$B$4:$B280,$B281)&gt;0,MIN(AW$1,IF($A281=$A280,AW280,1))-AB281&lt;0),-1,MIN(1,IF($A281=$A280,AW280,1)-AB281+$D$3))</f>
        <v>#N/A</v>
      </c>
      <c r="AX281" t="e">
        <f>IF(OR($J281=0,COUNTIFS($A$4:$A280,"&gt;="&amp;$A281-1,$A$4:$A280,"&lt;="&amp;$A281,$B$4:$B280,$B281)&gt;0,MIN(AX$1,IF($A281=$A280,AX280,1))-AC281&lt;0),-1,MIN(1,IF($A281=$A280,AX280,1)-AC281+$D$3))</f>
        <v>#N/A</v>
      </c>
      <c r="AY281" t="e">
        <f>IF(OR($J281=0,COUNTIFS($A$4:$A280,"&gt;="&amp;$A281-1,$A$4:$A280,"&lt;="&amp;$A281,$B$4:$B280,$B281)&gt;0,MIN(AY$1,IF($A281=$A280,AY280,1))-AD281&lt;0),-1,MIN(1,IF($A281=$A280,AY280,1)-AD281+$D$3))</f>
        <v>#N/A</v>
      </c>
      <c r="AZ281" t="e">
        <f>IF(OR($J281=0,COUNTIFS($A$4:$A280,"&gt;="&amp;$A281-1,$A$4:$A280,"&lt;="&amp;$A281,$B$4:$B280,$B281)&gt;0,MIN(AZ$1,IF($A281=$A280,AZ280,1))-AE281&lt;0),-1,MIN(1,IF($A281=$A280,AZ280,1)-AE281+$D$3))</f>
        <v>#N/A</v>
      </c>
      <c r="BA281" t="e">
        <f>IF(OR($J281=0,COUNTIFS($A$4:$A280,"&gt;="&amp;$A281-1,$A$4:$A280,"&lt;="&amp;$A281,$B$4:$B280,$B281)&gt;0,MIN(BA$1,IF($A281=$A280,BA280,1))-AF281&lt;0),-1,MIN(1,IF($A281=$A280,BA280,1)-AF281+$D$3))</f>
        <v>#N/A</v>
      </c>
      <c r="BB281" t="e">
        <f>IF(OR($J281=0,COUNTIFS($A$4:$A280,"&gt;="&amp;$A281-1,$A$4:$A280,"&lt;="&amp;$A281,$B$4:$B280,$B281)&gt;0,MIN(BB$1,IF($A281=$A280,BB280,1))-AG281&lt;0),-1,MIN(1,IF($A281=$A280,BB280,1)-AG281+$D$3))</f>
        <v>#N/A</v>
      </c>
      <c r="BC281" t="e">
        <f>IF(OR($J281=0,COUNTIFS($A$4:$A280,"&gt;="&amp;$A281-1,$A$4:$A280,"&lt;="&amp;$A281,$B$4:$B280,$B281)&gt;0,MIN(BC$1,IF($A281=$A280,BC280,1))-AH281&lt;0),-1,MIN(1,IF($A281=$A280,BC280,1)-AH281+$D$3))</f>
        <v>#N/A</v>
      </c>
      <c r="BD281" t="e">
        <f>IF(OR($J281=0,COUNTIFS($A$4:$A280,"&gt;="&amp;$A281-1,$A$4:$A280,"&lt;="&amp;$A281,$B$4:$B280,$B281)&gt;0,MIN(BD$1,IF($A281=$A280,BD280,1))-AI281&lt;0),-1,MIN(1,IF($A281=$A280,BD280,1)-AI281+$D$3))</f>
        <v>#N/A</v>
      </c>
      <c r="BF281" s="44">
        <f t="shared" si="311"/>
        <v>1.4313457695986916E-6</v>
      </c>
      <c r="BG281" s="44">
        <f t="shared" si="312"/>
        <v>3.5200831463979454E-6</v>
      </c>
      <c r="BH281" s="44">
        <f t="shared" si="313"/>
        <v>3.607714948574189E-6</v>
      </c>
      <c r="BI281" s="44">
        <f t="shared" si="314"/>
        <v>3.3325269727094878E-6</v>
      </c>
      <c r="BJ281" s="44">
        <f t="shared" si="315"/>
        <v>3.4444830029419576E-6</v>
      </c>
      <c r="BK281" s="44">
        <f t="shared" si="316"/>
        <v>1.4791894288039583E-6</v>
      </c>
      <c r="BL281" s="44">
        <f t="shared" si="317"/>
        <v>7.9908140063122534E-7</v>
      </c>
      <c r="BM281" s="44">
        <f t="shared" si="318"/>
        <v>2.032769770446707E-6</v>
      </c>
      <c r="BN281" s="44">
        <f t="shared" si="319"/>
        <v>2.1142389859513733E-6</v>
      </c>
      <c r="BO281" s="44">
        <f t="shared" si="320"/>
        <v>9.9081261497825118E-7</v>
      </c>
      <c r="BP281" s="44">
        <f t="shared" si="321"/>
        <v>3.3315853423627075E-6</v>
      </c>
      <c r="BQ281" s="44">
        <f t="shared" si="322"/>
        <v>8.9905697189781255E-7</v>
      </c>
      <c r="BR281" s="44">
        <f t="shared" si="323"/>
        <v>2.6560393524824209E-6</v>
      </c>
      <c r="BS281" s="44">
        <f t="shared" si="324"/>
        <v>1.4324372687383414E-6</v>
      </c>
      <c r="BT281" s="44">
        <f t="shared" si="325"/>
        <v>5.6685934239271053E-6</v>
      </c>
      <c r="BU281" s="44">
        <f t="shared" si="326"/>
        <v>5.4152124648051232E-6</v>
      </c>
      <c r="BV281" s="44">
        <f t="shared" si="327"/>
        <v>5.200590892825859E-6</v>
      </c>
      <c r="BW281" s="44">
        <f t="shared" si="328"/>
        <v>3.4014726345947408E-6</v>
      </c>
      <c r="BX281" s="44">
        <f t="shared" si="329"/>
        <v>2.5129462142388182E-6</v>
      </c>
      <c r="BY281" s="44">
        <f t="shared" si="330"/>
        <v>2.1576531552954079E-6</v>
      </c>
      <c r="CA281" s="44" t="str">
        <f t="shared" si="331"/>
        <v/>
      </c>
      <c r="CB281" s="44" t="str">
        <f t="shared" si="332"/>
        <v/>
      </c>
      <c r="CC281" s="44" t="str">
        <f t="shared" si="333"/>
        <v/>
      </c>
      <c r="CD281" s="44" t="str">
        <f t="shared" si="334"/>
        <v/>
      </c>
      <c r="CE281" s="44" t="str">
        <f t="shared" si="335"/>
        <v/>
      </c>
      <c r="CF281" s="44" t="str">
        <f t="shared" si="336"/>
        <v/>
      </c>
      <c r="CG281" s="44" t="str">
        <f t="shared" si="337"/>
        <v/>
      </c>
      <c r="CH281" s="44" t="str">
        <f t="shared" si="338"/>
        <v/>
      </c>
      <c r="CI281" s="44" t="str">
        <f t="shared" si="339"/>
        <v/>
      </c>
      <c r="CJ281" s="44" t="str">
        <f t="shared" si="340"/>
        <v/>
      </c>
      <c r="CK281" s="44" t="str">
        <f t="shared" si="341"/>
        <v/>
      </c>
      <c r="CL281" s="44" t="str">
        <f t="shared" si="342"/>
        <v/>
      </c>
      <c r="CM281" s="44" t="str">
        <f t="shared" si="343"/>
        <v/>
      </c>
      <c r="CN281" s="44" t="str">
        <f t="shared" si="344"/>
        <v/>
      </c>
      <c r="CO281" s="44" t="str">
        <f t="shared" si="345"/>
        <v/>
      </c>
      <c r="CP281" s="44" t="str">
        <f t="shared" si="346"/>
        <v/>
      </c>
      <c r="CQ281" s="44" t="str">
        <f t="shared" si="347"/>
        <v/>
      </c>
      <c r="CR281" s="44" t="str">
        <f t="shared" si="348"/>
        <v/>
      </c>
      <c r="CS281" s="44" t="str">
        <f t="shared" si="349"/>
        <v/>
      </c>
      <c r="CT281" s="44" t="str">
        <f t="shared" si="350"/>
        <v/>
      </c>
      <c r="CV281" s="44">
        <f t="shared" si="351"/>
        <v>0</v>
      </c>
    </row>
    <row r="282" spans="1:100" x14ac:dyDescent="0.25">
      <c r="A282" s="41"/>
      <c r="B282" s="42"/>
      <c r="C282" s="43" t="str" cm="1">
        <f t="array" ref="C282">IF(B282="","",INDEX(UWS!$B$10:$B$41,B282))</f>
        <v/>
      </c>
      <c r="D282" s="40" t="str">
        <f t="shared" si="308"/>
        <v/>
      </c>
      <c r="E282" s="69" t="str">
        <f t="shared" si="309"/>
        <v/>
      </c>
      <c r="F282" s="48" cm="1">
        <f t="array" ref="F282">0.1+IFERROR(INDEX($F$5:$F281,SUMPRODUCT(MAX(ROW($C$5:$C281)*($C282=$C$5:$C281))-ROW($A$4)))*0.9^($A282-INDEX($A$5:A281,SUMPRODUCT(MAX(ROW($C$5:$C281)*($C282=$C$5:$C281))-ROW($A$4)))),0)</f>
        <v>21.700000000000038</v>
      </c>
      <c r="G282" s="55" t="e">
        <f>INDEX(UWS!$AB$10:$AB$41,MATCH(C282,UWS!$B$10:$B$41,0))</f>
        <v>#N/A</v>
      </c>
      <c r="H282" s="48" t="e">
        <f>INDEX(UWS!$C$10:$C$41,MATCH(C282,UWS!$B$10:$B$41,0))</f>
        <v>#N/A</v>
      </c>
      <c r="I282" s="27">
        <f t="shared" si="310"/>
        <v>5</v>
      </c>
      <c r="J282" s="27" t="e">
        <f>INDEX(UWS!$E$10:$E$41,MATCH(C282,UWS!$B$10:$B$41,0))</f>
        <v>#N/A</v>
      </c>
      <c r="L282" s="108" t="str" cm="1">
        <f t="array" ref="L282">IF(K282="","",INDEX(UWS!$B$10:$B$41,K282))</f>
        <v/>
      </c>
      <c r="N282" s="108" t="str" cm="1">
        <f t="array" ref="N282">IF(M282="","",INDEX(UWS!$B$10:$B$41,M282))</f>
        <v/>
      </c>
      <c r="P282">
        <f>IFERROR(INDEX(UWS!$G$10:$Z$41,MATCH($C282,UWS!$B$10:$B$41,0),MATCH(P$4,UWS!$G$3:$Z$3,0)),0)</f>
        <v>0</v>
      </c>
      <c r="Q282">
        <f>IFERROR(INDEX(UWS!$G$10:$Z$41,MATCH($C282,UWS!$B$10:$B$41,0),MATCH(Q$4,UWS!$G$3:$Z$3,0)),0)</f>
        <v>0</v>
      </c>
      <c r="R282">
        <f>IFERROR(INDEX(UWS!$G$10:$Z$41,MATCH($C282,UWS!$B$10:$B$41,0),MATCH(R$4,UWS!$G$3:$Z$3,0)),0)</f>
        <v>0</v>
      </c>
      <c r="S282">
        <f>IFERROR(INDEX(UWS!$G$10:$Z$41,MATCH($C282,UWS!$B$10:$B$41,0),MATCH(S$4,UWS!$G$3:$Z$3,0)),0)</f>
        <v>0</v>
      </c>
      <c r="T282">
        <f>IFERROR(INDEX(UWS!$G$10:$Z$41,MATCH($C282,UWS!$B$10:$B$41,0),MATCH(T$4,UWS!$G$3:$Z$3,0)),0)</f>
        <v>0</v>
      </c>
      <c r="U282">
        <f>IFERROR(INDEX(UWS!$G$10:$Z$41,MATCH($C282,UWS!$B$10:$B$41,0),MATCH(U$4,UWS!$G$3:$Z$3,0)),0)</f>
        <v>0</v>
      </c>
      <c r="V282">
        <f>IFERROR(INDEX(UWS!$G$10:$Z$41,MATCH($C282,UWS!$B$10:$B$41,0),MATCH(V$4,UWS!$G$3:$Z$3,0)),0)</f>
        <v>0</v>
      </c>
      <c r="W282">
        <f>IFERROR(INDEX(UWS!$G$10:$Z$41,MATCH($C282,UWS!$B$10:$B$41,0),MATCH(W$4,UWS!$G$3:$Z$3,0)),0)</f>
        <v>0</v>
      </c>
      <c r="X282">
        <f>IFERROR(INDEX(UWS!$G$10:$Z$41,MATCH($C282,UWS!$B$10:$B$41,0),MATCH(X$4,UWS!$G$3:$Z$3,0)),0)</f>
        <v>0</v>
      </c>
      <c r="Y282">
        <f>IFERROR(INDEX(UWS!$G$10:$Z$41,MATCH($C282,UWS!$B$10:$B$41,0),MATCH(Y$4,UWS!$G$3:$Z$3,0)),0)</f>
        <v>0</v>
      </c>
      <c r="Z282">
        <f>IFERROR(INDEX(UWS!$G$10:$Z$41,MATCH($C282,UWS!$B$10:$B$41,0),MATCH(Z$4,UWS!$G$3:$Z$3,0)),0)</f>
        <v>0</v>
      </c>
      <c r="AA282">
        <f>IFERROR(INDEX(UWS!$G$10:$Z$41,MATCH($C282,UWS!$B$10:$B$41,0),MATCH(AA$4,UWS!$G$3:$Z$3,0)),0)</f>
        <v>0</v>
      </c>
      <c r="AB282">
        <f>IFERROR(INDEX(UWS!$G$10:$Z$41,MATCH($C282,UWS!$B$10:$B$41,0),MATCH(AB$4,UWS!$G$3:$Z$3,0)),0)</f>
        <v>0</v>
      </c>
      <c r="AC282">
        <f>IFERROR(INDEX(UWS!$G$10:$Z$41,MATCH($C282,UWS!$B$10:$B$41,0),MATCH(AC$4,UWS!$G$3:$Z$3,0)),0)</f>
        <v>0</v>
      </c>
      <c r="AD282">
        <f>IFERROR(INDEX(UWS!$G$10:$Z$41,MATCH($C282,UWS!$B$10:$B$41,0),MATCH(AD$4,UWS!$G$3:$Z$3,0)),0)</f>
        <v>0</v>
      </c>
      <c r="AE282">
        <f>IFERROR(INDEX(UWS!$G$10:$Z$41,MATCH($C282,UWS!$B$10:$B$41,0),MATCH(AE$4,UWS!$G$3:$Z$3,0)),0)</f>
        <v>0</v>
      </c>
      <c r="AF282">
        <f>IFERROR(INDEX(UWS!$G$10:$Z$41,MATCH($C282,UWS!$B$10:$B$41,0),MATCH(AF$4,UWS!$G$3:$Z$3,0)),0)</f>
        <v>0</v>
      </c>
      <c r="AG282">
        <f>IFERROR(INDEX(UWS!$G$10:$Z$41,MATCH($C282,UWS!$B$10:$B$41,0),MATCH(AG$4,UWS!$G$3:$Z$3,0)),0)</f>
        <v>0</v>
      </c>
      <c r="AH282">
        <f>IFERROR(INDEX(UWS!$G$10:$Z$41,MATCH($C282,UWS!$B$10:$B$41,0),MATCH(AH$4,UWS!$G$3:$Z$3,0)),0)</f>
        <v>0</v>
      </c>
      <c r="AI282">
        <f>IFERROR(INDEX(UWS!$G$10:$Z$41,MATCH($C282,UWS!$B$10:$B$41,0),MATCH(AI$4,UWS!$G$3:$Z$3,0)),0)</f>
        <v>0</v>
      </c>
      <c r="AK282" t="e">
        <f>IF(OR($J282=0,COUNTIFS($A$4:$A281,"&gt;="&amp;$A282-1,$A$4:$A281,"&lt;="&amp;$A282,$B$4:$B281,$B282)&gt;0,MIN(AK$1,IF($A282=$A281,AK281,1))-P282&lt;0),-1,MIN(1,IF($A282=$A281,AK281,1)-P282+$D$3))</f>
        <v>#N/A</v>
      </c>
      <c r="AL282" t="e">
        <f>IF(OR($J282=0,COUNTIFS($A$4:$A281,"&gt;="&amp;$A282-1,$A$4:$A281,"&lt;="&amp;$A282,$B$4:$B281,$B282)&gt;0,MIN(AL$1,IF($A282=$A281,AL281,1))-Q282&lt;0),-1,MIN(1,IF($A282=$A281,AL281,1)-Q282+$D$3))</f>
        <v>#N/A</v>
      </c>
      <c r="AM282" t="e">
        <f>IF(OR($J282=0,COUNTIFS($A$4:$A281,"&gt;="&amp;$A282-1,$A$4:$A281,"&lt;="&amp;$A282,$B$4:$B281,$B282)&gt;0,MIN(AM$1,IF($A282=$A281,AM281,1))-R282&lt;0),-1,MIN(1,IF($A282=$A281,AM281,1)-R282+$D$3))</f>
        <v>#N/A</v>
      </c>
      <c r="AN282" t="e">
        <f>IF(OR($J282=0,COUNTIFS($A$4:$A281,"&gt;="&amp;$A282-1,$A$4:$A281,"&lt;="&amp;$A282,$B$4:$B281,$B282)&gt;0,MIN(AN$1,IF($A282=$A281,AN281,1))-S282&lt;0),-1,MIN(1,IF($A282=$A281,AN281,1)-S282+$D$3))</f>
        <v>#N/A</v>
      </c>
      <c r="AO282" t="e">
        <f>IF(OR($J282=0,COUNTIFS($A$4:$A281,"&gt;="&amp;$A282-1,$A$4:$A281,"&lt;="&amp;$A282,$B$4:$B281,$B282)&gt;0,MIN(AO$1,IF($A282=$A281,AO281,1))-T282&lt;0),-1,MIN(1,IF($A282=$A281,AO281,1)-T282+$D$3))</f>
        <v>#N/A</v>
      </c>
      <c r="AP282" t="e">
        <f>IF(OR($J282=0,COUNTIFS($A$4:$A281,"&gt;="&amp;$A282-1,$A$4:$A281,"&lt;="&amp;$A282,$B$4:$B281,$B282)&gt;0,MIN(AP$1,IF($A282=$A281,AP281,1))-U282&lt;0),-1,MIN(1,IF($A282=$A281,AP281,1)-U282+$D$3))</f>
        <v>#N/A</v>
      </c>
      <c r="AQ282" t="e">
        <f>IF(OR($J282=0,COUNTIFS($A$4:$A281,"&gt;="&amp;$A282-1,$A$4:$A281,"&lt;="&amp;$A282,$B$4:$B281,$B282)&gt;0,MIN(AQ$1,IF($A282=$A281,AQ281,1))-V282&lt;0),-1,MIN(1,IF($A282=$A281,AQ281,1)-V282+$D$3))</f>
        <v>#N/A</v>
      </c>
      <c r="AR282" t="e">
        <f>IF(OR($J282=0,COUNTIFS($A$4:$A281,"&gt;="&amp;$A282-1,$A$4:$A281,"&lt;="&amp;$A282,$B$4:$B281,$B282)&gt;0,MIN(AR$1,IF($A282=$A281,AR281,1))-W282&lt;0),-1,MIN(1,IF($A282=$A281,AR281,1)-W282+$D$3))</f>
        <v>#N/A</v>
      </c>
      <c r="AS282" t="e">
        <f>IF(OR($J282=0,COUNTIFS($A$4:$A281,"&gt;="&amp;$A282-1,$A$4:$A281,"&lt;="&amp;$A282,$B$4:$B281,$B282)&gt;0,MIN(AS$1,IF($A282=$A281,AS281,1))-X282&lt;0),-1,MIN(1,IF($A282=$A281,AS281,1)-X282+$D$3))</f>
        <v>#N/A</v>
      </c>
      <c r="AT282" t="e">
        <f>IF(OR($J282=0,COUNTIFS($A$4:$A281,"&gt;="&amp;$A282-1,$A$4:$A281,"&lt;="&amp;$A282,$B$4:$B281,$B282)&gt;0,MIN(AT$1,IF($A282=$A281,AT281,1))-Y282&lt;0),-1,MIN(1,IF($A282=$A281,AT281,1)-Y282+$D$3))</f>
        <v>#N/A</v>
      </c>
      <c r="AU282" t="e">
        <f>IF(OR($J282=0,COUNTIFS($A$4:$A281,"&gt;="&amp;$A282-1,$A$4:$A281,"&lt;="&amp;$A282,$B$4:$B281,$B282)&gt;0,MIN(AU$1,IF($A282=$A281,AU281,1))-Z282&lt;0),-1,MIN(1,IF($A282=$A281,AU281,1)-Z282+$D$3))</f>
        <v>#N/A</v>
      </c>
      <c r="AV282" t="e">
        <f>IF(OR($J282=0,COUNTIFS($A$4:$A281,"&gt;="&amp;$A282-1,$A$4:$A281,"&lt;="&amp;$A282,$B$4:$B281,$B282)&gt;0,MIN(AV$1,IF($A282=$A281,AV281,1))-AA282&lt;0),-1,MIN(1,IF($A282=$A281,AV281,1)-AA282+$D$3))</f>
        <v>#N/A</v>
      </c>
      <c r="AW282" t="e">
        <f>IF(OR($J282=0,COUNTIFS($A$4:$A281,"&gt;="&amp;$A282-1,$A$4:$A281,"&lt;="&amp;$A282,$B$4:$B281,$B282)&gt;0,MIN(AW$1,IF($A282=$A281,AW281,1))-AB282&lt;0),-1,MIN(1,IF($A282=$A281,AW281,1)-AB282+$D$3))</f>
        <v>#N/A</v>
      </c>
      <c r="AX282" t="e">
        <f>IF(OR($J282=0,COUNTIFS($A$4:$A281,"&gt;="&amp;$A282-1,$A$4:$A281,"&lt;="&amp;$A282,$B$4:$B281,$B282)&gt;0,MIN(AX$1,IF($A282=$A281,AX281,1))-AC282&lt;0),-1,MIN(1,IF($A282=$A281,AX281,1)-AC282+$D$3))</f>
        <v>#N/A</v>
      </c>
      <c r="AY282" t="e">
        <f>IF(OR($J282=0,COUNTIFS($A$4:$A281,"&gt;="&amp;$A282-1,$A$4:$A281,"&lt;="&amp;$A282,$B$4:$B281,$B282)&gt;0,MIN(AY$1,IF($A282=$A281,AY281,1))-AD282&lt;0),-1,MIN(1,IF($A282=$A281,AY281,1)-AD282+$D$3))</f>
        <v>#N/A</v>
      </c>
      <c r="AZ282" t="e">
        <f>IF(OR($J282=0,COUNTIFS($A$4:$A281,"&gt;="&amp;$A282-1,$A$4:$A281,"&lt;="&amp;$A282,$B$4:$B281,$B282)&gt;0,MIN(AZ$1,IF($A282=$A281,AZ281,1))-AE282&lt;0),-1,MIN(1,IF($A282=$A281,AZ281,1)-AE282+$D$3))</f>
        <v>#N/A</v>
      </c>
      <c r="BA282" t="e">
        <f>IF(OR($J282=0,COUNTIFS($A$4:$A281,"&gt;="&amp;$A282-1,$A$4:$A281,"&lt;="&amp;$A282,$B$4:$B281,$B282)&gt;0,MIN(BA$1,IF($A282=$A281,BA281,1))-AF282&lt;0),-1,MIN(1,IF($A282=$A281,BA281,1)-AF282+$D$3))</f>
        <v>#N/A</v>
      </c>
      <c r="BB282" t="e">
        <f>IF(OR($J282=0,COUNTIFS($A$4:$A281,"&gt;="&amp;$A282-1,$A$4:$A281,"&lt;="&amp;$A282,$B$4:$B281,$B282)&gt;0,MIN(BB$1,IF($A282=$A281,BB281,1))-AG282&lt;0),-1,MIN(1,IF($A282=$A281,BB281,1)-AG282+$D$3))</f>
        <v>#N/A</v>
      </c>
      <c r="BC282" t="e">
        <f>IF(OR($J282=0,COUNTIFS($A$4:$A281,"&gt;="&amp;$A282-1,$A$4:$A281,"&lt;="&amp;$A282,$B$4:$B281,$B282)&gt;0,MIN(BC$1,IF($A282=$A281,BC281,1))-AH282&lt;0),-1,MIN(1,IF($A282=$A281,BC281,1)-AH282+$D$3))</f>
        <v>#N/A</v>
      </c>
      <c r="BD282" t="e">
        <f>IF(OR($J282=0,COUNTIFS($A$4:$A281,"&gt;="&amp;$A282-1,$A$4:$A281,"&lt;="&amp;$A282,$B$4:$B281,$B282)&gt;0,MIN(BD$1,IF($A282=$A281,BD281,1))-AI282&lt;0),-1,MIN(1,IF($A282=$A281,BD281,1)-AI282+$D$3))</f>
        <v>#N/A</v>
      </c>
      <c r="BF282" s="44">
        <f t="shared" si="311"/>
        <v>1.359778481118757E-6</v>
      </c>
      <c r="BG282" s="44">
        <f t="shared" si="312"/>
        <v>3.3440789890780479E-6</v>
      </c>
      <c r="BH282" s="44">
        <f t="shared" si="313"/>
        <v>3.4273292011454793E-6</v>
      </c>
      <c r="BI282" s="44">
        <f t="shared" si="314"/>
        <v>3.1659006240740131E-6</v>
      </c>
      <c r="BJ282" s="44">
        <f t="shared" si="315"/>
        <v>3.2722588527948593E-6</v>
      </c>
      <c r="BK282" s="44">
        <f t="shared" si="316"/>
        <v>1.4052299573637603E-6</v>
      </c>
      <c r="BL282" s="44">
        <f t="shared" si="317"/>
        <v>7.5912733059966407E-7</v>
      </c>
      <c r="BM282" s="44">
        <f t="shared" si="318"/>
        <v>1.9311312819243716E-6</v>
      </c>
      <c r="BN282" s="44">
        <f t="shared" si="319"/>
        <v>2.0085270366538046E-6</v>
      </c>
      <c r="BO282" s="44">
        <f t="shared" si="320"/>
        <v>9.4127198422933863E-7</v>
      </c>
      <c r="BP282" s="44">
        <f t="shared" si="321"/>
        <v>3.1650060752445722E-6</v>
      </c>
      <c r="BQ282" s="44">
        <f t="shared" si="322"/>
        <v>8.5410412330292188E-7</v>
      </c>
      <c r="BR282" s="44">
        <f t="shared" si="323"/>
        <v>2.5232373848582997E-6</v>
      </c>
      <c r="BS282" s="44">
        <f t="shared" si="324"/>
        <v>1.3608154053014243E-6</v>
      </c>
      <c r="BT282" s="44">
        <f t="shared" si="325"/>
        <v>5.3851637527307501E-6</v>
      </c>
      <c r="BU282" s="44">
        <f t="shared" si="326"/>
        <v>5.1444518415648665E-6</v>
      </c>
      <c r="BV282" s="44">
        <f t="shared" si="327"/>
        <v>4.9405613481845657E-6</v>
      </c>
      <c r="BW282" s="44">
        <f t="shared" si="328"/>
        <v>3.2313990028650037E-6</v>
      </c>
      <c r="BX282" s="44">
        <f t="shared" si="329"/>
        <v>2.3872989035268773E-6</v>
      </c>
      <c r="BY282" s="44">
        <f t="shared" si="330"/>
        <v>2.0497704975306376E-6</v>
      </c>
      <c r="CA282" s="44" t="str">
        <f t="shared" si="331"/>
        <v/>
      </c>
      <c r="CB282" s="44" t="str">
        <f t="shared" si="332"/>
        <v/>
      </c>
      <c r="CC282" s="44" t="str">
        <f t="shared" si="333"/>
        <v/>
      </c>
      <c r="CD282" s="44" t="str">
        <f t="shared" si="334"/>
        <v/>
      </c>
      <c r="CE282" s="44" t="str">
        <f t="shared" si="335"/>
        <v/>
      </c>
      <c r="CF282" s="44" t="str">
        <f t="shared" si="336"/>
        <v/>
      </c>
      <c r="CG282" s="44" t="str">
        <f t="shared" si="337"/>
        <v/>
      </c>
      <c r="CH282" s="44" t="str">
        <f t="shared" si="338"/>
        <v/>
      </c>
      <c r="CI282" s="44" t="str">
        <f t="shared" si="339"/>
        <v/>
      </c>
      <c r="CJ282" s="44" t="str">
        <f t="shared" si="340"/>
        <v/>
      </c>
      <c r="CK282" s="44" t="str">
        <f t="shared" si="341"/>
        <v/>
      </c>
      <c r="CL282" s="44" t="str">
        <f t="shared" si="342"/>
        <v/>
      </c>
      <c r="CM282" s="44" t="str">
        <f t="shared" si="343"/>
        <v/>
      </c>
      <c r="CN282" s="44" t="str">
        <f t="shared" si="344"/>
        <v/>
      </c>
      <c r="CO282" s="44" t="str">
        <f t="shared" si="345"/>
        <v/>
      </c>
      <c r="CP282" s="44" t="str">
        <f t="shared" si="346"/>
        <v/>
      </c>
      <c r="CQ282" s="44" t="str">
        <f t="shared" si="347"/>
        <v/>
      </c>
      <c r="CR282" s="44" t="str">
        <f t="shared" si="348"/>
        <v/>
      </c>
      <c r="CS282" s="44" t="str">
        <f t="shared" si="349"/>
        <v/>
      </c>
      <c r="CT282" s="44" t="str">
        <f t="shared" si="350"/>
        <v/>
      </c>
      <c r="CV282" s="44">
        <f t="shared" si="351"/>
        <v>0</v>
      </c>
    </row>
    <row r="283" spans="1:100" x14ac:dyDescent="0.25">
      <c r="A283" s="41"/>
      <c r="B283" s="42"/>
      <c r="C283" s="43" t="str" cm="1">
        <f t="array" ref="C283">IF(B283="","",INDEX(UWS!$B$10:$B$41,B283))</f>
        <v/>
      </c>
      <c r="D283" s="40" t="str">
        <f t="shared" si="308"/>
        <v/>
      </c>
      <c r="E283" s="69" t="str">
        <f t="shared" si="309"/>
        <v/>
      </c>
      <c r="F283" s="48" cm="1">
        <f t="array" ref="F283">0.1+IFERROR(INDEX($F$5:$F282,SUMPRODUCT(MAX(ROW($C$5:$C282)*($C283=$C$5:$C282))-ROW($A$4)))*0.9^($A283-INDEX($A$5:A282,SUMPRODUCT(MAX(ROW($C$5:$C282)*($C283=$C$5:$C282))-ROW($A$4)))),0)</f>
        <v>21.80000000000004</v>
      </c>
      <c r="G283" s="55" t="e">
        <f>INDEX(UWS!$AB$10:$AB$41,MATCH(C283,UWS!$B$10:$B$41,0))</f>
        <v>#N/A</v>
      </c>
      <c r="H283" s="48" t="e">
        <f>INDEX(UWS!$C$10:$C$41,MATCH(C283,UWS!$B$10:$B$41,0))</f>
        <v>#N/A</v>
      </c>
      <c r="I283" s="27">
        <f t="shared" si="310"/>
        <v>5</v>
      </c>
      <c r="J283" s="27" t="e">
        <f>INDEX(UWS!$E$10:$E$41,MATCH(C283,UWS!$B$10:$B$41,0))</f>
        <v>#N/A</v>
      </c>
      <c r="L283" s="108" t="str" cm="1">
        <f t="array" ref="L283">IF(K283="","",INDEX(UWS!$B$10:$B$41,K283))</f>
        <v/>
      </c>
      <c r="N283" s="108" t="str" cm="1">
        <f t="array" ref="N283">IF(M283="","",INDEX(UWS!$B$10:$B$41,M283))</f>
        <v/>
      </c>
      <c r="P283">
        <f>IFERROR(INDEX(UWS!$G$10:$Z$41,MATCH($C283,UWS!$B$10:$B$41,0),MATCH(P$4,UWS!$G$3:$Z$3,0)),0)</f>
        <v>0</v>
      </c>
      <c r="Q283">
        <f>IFERROR(INDEX(UWS!$G$10:$Z$41,MATCH($C283,UWS!$B$10:$B$41,0),MATCH(Q$4,UWS!$G$3:$Z$3,0)),0)</f>
        <v>0</v>
      </c>
      <c r="R283">
        <f>IFERROR(INDEX(UWS!$G$10:$Z$41,MATCH($C283,UWS!$B$10:$B$41,0),MATCH(R$4,UWS!$G$3:$Z$3,0)),0)</f>
        <v>0</v>
      </c>
      <c r="S283">
        <f>IFERROR(INDEX(UWS!$G$10:$Z$41,MATCH($C283,UWS!$B$10:$B$41,0),MATCH(S$4,UWS!$G$3:$Z$3,0)),0)</f>
        <v>0</v>
      </c>
      <c r="T283">
        <f>IFERROR(INDEX(UWS!$G$10:$Z$41,MATCH($C283,UWS!$B$10:$B$41,0),MATCH(T$4,UWS!$G$3:$Z$3,0)),0)</f>
        <v>0</v>
      </c>
      <c r="U283">
        <f>IFERROR(INDEX(UWS!$G$10:$Z$41,MATCH($C283,UWS!$B$10:$B$41,0),MATCH(U$4,UWS!$G$3:$Z$3,0)),0)</f>
        <v>0</v>
      </c>
      <c r="V283">
        <f>IFERROR(INDEX(UWS!$G$10:$Z$41,MATCH($C283,UWS!$B$10:$B$41,0),MATCH(V$4,UWS!$G$3:$Z$3,0)),0)</f>
        <v>0</v>
      </c>
      <c r="W283">
        <f>IFERROR(INDEX(UWS!$G$10:$Z$41,MATCH($C283,UWS!$B$10:$B$41,0),MATCH(W$4,UWS!$G$3:$Z$3,0)),0)</f>
        <v>0</v>
      </c>
      <c r="X283">
        <f>IFERROR(INDEX(UWS!$G$10:$Z$41,MATCH($C283,UWS!$B$10:$B$41,0),MATCH(X$4,UWS!$G$3:$Z$3,0)),0)</f>
        <v>0</v>
      </c>
      <c r="Y283">
        <f>IFERROR(INDEX(UWS!$G$10:$Z$41,MATCH($C283,UWS!$B$10:$B$41,0),MATCH(Y$4,UWS!$G$3:$Z$3,0)),0)</f>
        <v>0</v>
      </c>
      <c r="Z283">
        <f>IFERROR(INDEX(UWS!$G$10:$Z$41,MATCH($C283,UWS!$B$10:$B$41,0),MATCH(Z$4,UWS!$G$3:$Z$3,0)),0)</f>
        <v>0</v>
      </c>
      <c r="AA283">
        <f>IFERROR(INDEX(UWS!$G$10:$Z$41,MATCH($C283,UWS!$B$10:$B$41,0),MATCH(AA$4,UWS!$G$3:$Z$3,0)),0)</f>
        <v>0</v>
      </c>
      <c r="AB283">
        <f>IFERROR(INDEX(UWS!$G$10:$Z$41,MATCH($C283,UWS!$B$10:$B$41,0),MATCH(AB$4,UWS!$G$3:$Z$3,0)),0)</f>
        <v>0</v>
      </c>
      <c r="AC283">
        <f>IFERROR(INDEX(UWS!$G$10:$Z$41,MATCH($C283,UWS!$B$10:$B$41,0),MATCH(AC$4,UWS!$G$3:$Z$3,0)),0)</f>
        <v>0</v>
      </c>
      <c r="AD283">
        <f>IFERROR(INDEX(UWS!$G$10:$Z$41,MATCH($C283,UWS!$B$10:$B$41,0),MATCH(AD$4,UWS!$G$3:$Z$3,0)),0)</f>
        <v>0</v>
      </c>
      <c r="AE283">
        <f>IFERROR(INDEX(UWS!$G$10:$Z$41,MATCH($C283,UWS!$B$10:$B$41,0),MATCH(AE$4,UWS!$G$3:$Z$3,0)),0)</f>
        <v>0</v>
      </c>
      <c r="AF283">
        <f>IFERROR(INDEX(UWS!$G$10:$Z$41,MATCH($C283,UWS!$B$10:$B$41,0),MATCH(AF$4,UWS!$G$3:$Z$3,0)),0)</f>
        <v>0</v>
      </c>
      <c r="AG283">
        <f>IFERROR(INDEX(UWS!$G$10:$Z$41,MATCH($C283,UWS!$B$10:$B$41,0),MATCH(AG$4,UWS!$G$3:$Z$3,0)),0)</f>
        <v>0</v>
      </c>
      <c r="AH283">
        <f>IFERROR(INDEX(UWS!$G$10:$Z$41,MATCH($C283,UWS!$B$10:$B$41,0),MATCH(AH$4,UWS!$G$3:$Z$3,0)),0)</f>
        <v>0</v>
      </c>
      <c r="AI283">
        <f>IFERROR(INDEX(UWS!$G$10:$Z$41,MATCH($C283,UWS!$B$10:$B$41,0),MATCH(AI$4,UWS!$G$3:$Z$3,0)),0)</f>
        <v>0</v>
      </c>
      <c r="AK283" t="e">
        <f>IF(OR($J283=0,COUNTIFS($A$4:$A282,"&gt;="&amp;$A283-1,$A$4:$A282,"&lt;="&amp;$A283,$B$4:$B282,$B283)&gt;0,MIN(AK$1,IF($A283=$A282,AK282,1))-P283&lt;0),-1,MIN(1,IF($A283=$A282,AK282,1)-P283+$D$3))</f>
        <v>#N/A</v>
      </c>
      <c r="AL283" t="e">
        <f>IF(OR($J283=0,COUNTIFS($A$4:$A282,"&gt;="&amp;$A283-1,$A$4:$A282,"&lt;="&amp;$A283,$B$4:$B282,$B283)&gt;0,MIN(AL$1,IF($A283=$A282,AL282,1))-Q283&lt;0),-1,MIN(1,IF($A283=$A282,AL282,1)-Q283+$D$3))</f>
        <v>#N/A</v>
      </c>
      <c r="AM283" t="e">
        <f>IF(OR($J283=0,COUNTIFS($A$4:$A282,"&gt;="&amp;$A283-1,$A$4:$A282,"&lt;="&amp;$A283,$B$4:$B282,$B283)&gt;0,MIN(AM$1,IF($A283=$A282,AM282,1))-R283&lt;0),-1,MIN(1,IF($A283=$A282,AM282,1)-R283+$D$3))</f>
        <v>#N/A</v>
      </c>
      <c r="AN283" t="e">
        <f>IF(OR($J283=0,COUNTIFS($A$4:$A282,"&gt;="&amp;$A283-1,$A$4:$A282,"&lt;="&amp;$A283,$B$4:$B282,$B283)&gt;0,MIN(AN$1,IF($A283=$A282,AN282,1))-S283&lt;0),-1,MIN(1,IF($A283=$A282,AN282,1)-S283+$D$3))</f>
        <v>#N/A</v>
      </c>
      <c r="AO283" t="e">
        <f>IF(OR($J283=0,COUNTIFS($A$4:$A282,"&gt;="&amp;$A283-1,$A$4:$A282,"&lt;="&amp;$A283,$B$4:$B282,$B283)&gt;0,MIN(AO$1,IF($A283=$A282,AO282,1))-T283&lt;0),-1,MIN(1,IF($A283=$A282,AO282,1)-T283+$D$3))</f>
        <v>#N/A</v>
      </c>
      <c r="AP283" t="e">
        <f>IF(OR($J283=0,COUNTIFS($A$4:$A282,"&gt;="&amp;$A283-1,$A$4:$A282,"&lt;="&amp;$A283,$B$4:$B282,$B283)&gt;0,MIN(AP$1,IF($A283=$A282,AP282,1))-U283&lt;0),-1,MIN(1,IF($A283=$A282,AP282,1)-U283+$D$3))</f>
        <v>#N/A</v>
      </c>
      <c r="AQ283" t="e">
        <f>IF(OR($J283=0,COUNTIFS($A$4:$A282,"&gt;="&amp;$A283-1,$A$4:$A282,"&lt;="&amp;$A283,$B$4:$B282,$B283)&gt;0,MIN(AQ$1,IF($A283=$A282,AQ282,1))-V283&lt;0),-1,MIN(1,IF($A283=$A282,AQ282,1)-V283+$D$3))</f>
        <v>#N/A</v>
      </c>
      <c r="AR283" t="e">
        <f>IF(OR($J283=0,COUNTIFS($A$4:$A282,"&gt;="&amp;$A283-1,$A$4:$A282,"&lt;="&amp;$A283,$B$4:$B282,$B283)&gt;0,MIN(AR$1,IF($A283=$A282,AR282,1))-W283&lt;0),-1,MIN(1,IF($A283=$A282,AR282,1)-W283+$D$3))</f>
        <v>#N/A</v>
      </c>
      <c r="AS283" t="e">
        <f>IF(OR($J283=0,COUNTIFS($A$4:$A282,"&gt;="&amp;$A283-1,$A$4:$A282,"&lt;="&amp;$A283,$B$4:$B282,$B283)&gt;0,MIN(AS$1,IF($A283=$A282,AS282,1))-X283&lt;0),-1,MIN(1,IF($A283=$A282,AS282,1)-X283+$D$3))</f>
        <v>#N/A</v>
      </c>
      <c r="AT283" t="e">
        <f>IF(OR($J283=0,COUNTIFS($A$4:$A282,"&gt;="&amp;$A283-1,$A$4:$A282,"&lt;="&amp;$A283,$B$4:$B282,$B283)&gt;0,MIN(AT$1,IF($A283=$A282,AT282,1))-Y283&lt;0),-1,MIN(1,IF($A283=$A282,AT282,1)-Y283+$D$3))</f>
        <v>#N/A</v>
      </c>
      <c r="AU283" t="e">
        <f>IF(OR($J283=0,COUNTIFS($A$4:$A282,"&gt;="&amp;$A283-1,$A$4:$A282,"&lt;="&amp;$A283,$B$4:$B282,$B283)&gt;0,MIN(AU$1,IF($A283=$A282,AU282,1))-Z283&lt;0),-1,MIN(1,IF($A283=$A282,AU282,1)-Z283+$D$3))</f>
        <v>#N/A</v>
      </c>
      <c r="AV283" t="e">
        <f>IF(OR($J283=0,COUNTIFS($A$4:$A282,"&gt;="&amp;$A283-1,$A$4:$A282,"&lt;="&amp;$A283,$B$4:$B282,$B283)&gt;0,MIN(AV$1,IF($A283=$A282,AV282,1))-AA283&lt;0),-1,MIN(1,IF($A283=$A282,AV282,1)-AA283+$D$3))</f>
        <v>#N/A</v>
      </c>
      <c r="AW283" t="e">
        <f>IF(OR($J283=0,COUNTIFS($A$4:$A282,"&gt;="&amp;$A283-1,$A$4:$A282,"&lt;="&amp;$A283,$B$4:$B282,$B283)&gt;0,MIN(AW$1,IF($A283=$A282,AW282,1))-AB283&lt;0),-1,MIN(1,IF($A283=$A282,AW282,1)-AB283+$D$3))</f>
        <v>#N/A</v>
      </c>
      <c r="AX283" t="e">
        <f>IF(OR($J283=0,COUNTIFS($A$4:$A282,"&gt;="&amp;$A283-1,$A$4:$A282,"&lt;="&amp;$A283,$B$4:$B282,$B283)&gt;0,MIN(AX$1,IF($A283=$A282,AX282,1))-AC283&lt;0),-1,MIN(1,IF($A283=$A282,AX282,1)-AC283+$D$3))</f>
        <v>#N/A</v>
      </c>
      <c r="AY283" t="e">
        <f>IF(OR($J283=0,COUNTIFS($A$4:$A282,"&gt;="&amp;$A283-1,$A$4:$A282,"&lt;="&amp;$A283,$B$4:$B282,$B283)&gt;0,MIN(AY$1,IF($A283=$A282,AY282,1))-AD283&lt;0),-1,MIN(1,IF($A283=$A282,AY282,1)-AD283+$D$3))</f>
        <v>#N/A</v>
      </c>
      <c r="AZ283" t="e">
        <f>IF(OR($J283=0,COUNTIFS($A$4:$A282,"&gt;="&amp;$A283-1,$A$4:$A282,"&lt;="&amp;$A283,$B$4:$B282,$B283)&gt;0,MIN(AZ$1,IF($A283=$A282,AZ282,1))-AE283&lt;0),-1,MIN(1,IF($A283=$A282,AZ282,1)-AE283+$D$3))</f>
        <v>#N/A</v>
      </c>
      <c r="BA283" t="e">
        <f>IF(OR($J283=0,COUNTIFS($A$4:$A282,"&gt;="&amp;$A283-1,$A$4:$A282,"&lt;="&amp;$A283,$B$4:$B282,$B283)&gt;0,MIN(BA$1,IF($A283=$A282,BA282,1))-AF283&lt;0),-1,MIN(1,IF($A283=$A282,BA282,1)-AF283+$D$3))</f>
        <v>#N/A</v>
      </c>
      <c r="BB283" t="e">
        <f>IF(OR($J283=0,COUNTIFS($A$4:$A282,"&gt;="&amp;$A283-1,$A$4:$A282,"&lt;="&amp;$A283,$B$4:$B282,$B283)&gt;0,MIN(BB$1,IF($A283=$A282,BB282,1))-AG283&lt;0),-1,MIN(1,IF($A283=$A282,BB282,1)-AG283+$D$3))</f>
        <v>#N/A</v>
      </c>
      <c r="BC283" t="e">
        <f>IF(OR($J283=0,COUNTIFS($A$4:$A282,"&gt;="&amp;$A283-1,$A$4:$A282,"&lt;="&amp;$A283,$B$4:$B282,$B283)&gt;0,MIN(BC$1,IF($A283=$A282,BC282,1))-AH283&lt;0),-1,MIN(1,IF($A283=$A282,BC282,1)-AH283+$D$3))</f>
        <v>#N/A</v>
      </c>
      <c r="BD283" t="e">
        <f>IF(OR($J283=0,COUNTIFS($A$4:$A282,"&gt;="&amp;$A283-1,$A$4:$A282,"&lt;="&amp;$A283,$B$4:$B282,$B283)&gt;0,MIN(BD$1,IF($A283=$A282,BD282,1))-AI283&lt;0),-1,MIN(1,IF($A283=$A282,BD282,1)-AI283+$D$3))</f>
        <v>#N/A</v>
      </c>
      <c r="BF283" s="44">
        <f t="shared" si="311"/>
        <v>1.2917895570628191E-6</v>
      </c>
      <c r="BG283" s="44">
        <f t="shared" si="312"/>
        <v>3.1768750396241453E-6</v>
      </c>
      <c r="BH283" s="44">
        <f t="shared" si="313"/>
        <v>3.255962741088205E-6</v>
      </c>
      <c r="BI283" s="44">
        <f t="shared" si="314"/>
        <v>3.0076055928703121E-6</v>
      </c>
      <c r="BJ283" s="44">
        <f t="shared" si="315"/>
        <v>3.1086459101551164E-6</v>
      </c>
      <c r="BK283" s="44">
        <f t="shared" si="316"/>
        <v>1.3349684594955723E-6</v>
      </c>
      <c r="BL283" s="44">
        <f t="shared" si="317"/>
        <v>7.2117096406968084E-7</v>
      </c>
      <c r="BM283" s="44">
        <f t="shared" si="318"/>
        <v>1.8345747178281529E-6</v>
      </c>
      <c r="BN283" s="44">
        <f t="shared" si="319"/>
        <v>1.9081006848211141E-6</v>
      </c>
      <c r="BO283" s="44">
        <f t="shared" si="320"/>
        <v>8.9420838501787163E-7</v>
      </c>
      <c r="BP283" s="44">
        <f t="shared" si="321"/>
        <v>3.0067557714823433E-6</v>
      </c>
      <c r="BQ283" s="44">
        <f t="shared" si="322"/>
        <v>8.113989171377758E-7</v>
      </c>
      <c r="BR283" s="44">
        <f t="shared" si="323"/>
        <v>2.3970755156153844E-6</v>
      </c>
      <c r="BS283" s="44">
        <f t="shared" si="324"/>
        <v>1.2927746350363531E-6</v>
      </c>
      <c r="BT283" s="44">
        <f t="shared" si="325"/>
        <v>5.1159055650942123E-6</v>
      </c>
      <c r="BU283" s="44">
        <f t="shared" si="326"/>
        <v>4.8872292494866231E-6</v>
      </c>
      <c r="BV283" s="44">
        <f t="shared" si="327"/>
        <v>4.6935332807753372E-6</v>
      </c>
      <c r="BW283" s="44">
        <f t="shared" si="328"/>
        <v>3.0698290527217536E-6</v>
      </c>
      <c r="BX283" s="44">
        <f t="shared" si="329"/>
        <v>2.2679339583505332E-6</v>
      </c>
      <c r="BY283" s="44">
        <f t="shared" si="330"/>
        <v>1.9472819726541057E-6</v>
      </c>
      <c r="CA283" s="44" t="str">
        <f t="shared" si="331"/>
        <v/>
      </c>
      <c r="CB283" s="44" t="str">
        <f t="shared" si="332"/>
        <v/>
      </c>
      <c r="CC283" s="44" t="str">
        <f t="shared" si="333"/>
        <v/>
      </c>
      <c r="CD283" s="44" t="str">
        <f t="shared" si="334"/>
        <v/>
      </c>
      <c r="CE283" s="44" t="str">
        <f t="shared" si="335"/>
        <v/>
      </c>
      <c r="CF283" s="44" t="str">
        <f t="shared" si="336"/>
        <v/>
      </c>
      <c r="CG283" s="44" t="str">
        <f t="shared" si="337"/>
        <v/>
      </c>
      <c r="CH283" s="44" t="str">
        <f t="shared" si="338"/>
        <v/>
      </c>
      <c r="CI283" s="44" t="str">
        <f t="shared" si="339"/>
        <v/>
      </c>
      <c r="CJ283" s="44" t="str">
        <f t="shared" si="340"/>
        <v/>
      </c>
      <c r="CK283" s="44" t="str">
        <f t="shared" si="341"/>
        <v/>
      </c>
      <c r="CL283" s="44" t="str">
        <f t="shared" si="342"/>
        <v/>
      </c>
      <c r="CM283" s="44" t="str">
        <f t="shared" si="343"/>
        <v/>
      </c>
      <c r="CN283" s="44" t="str">
        <f t="shared" si="344"/>
        <v/>
      </c>
      <c r="CO283" s="44" t="str">
        <f t="shared" si="345"/>
        <v/>
      </c>
      <c r="CP283" s="44" t="str">
        <f t="shared" si="346"/>
        <v/>
      </c>
      <c r="CQ283" s="44" t="str">
        <f t="shared" si="347"/>
        <v/>
      </c>
      <c r="CR283" s="44" t="str">
        <f t="shared" si="348"/>
        <v/>
      </c>
      <c r="CS283" s="44" t="str">
        <f t="shared" si="349"/>
        <v/>
      </c>
      <c r="CT283" s="44" t="str">
        <f t="shared" si="350"/>
        <v/>
      </c>
      <c r="CV283" s="44">
        <f t="shared" si="351"/>
        <v>0</v>
      </c>
    </row>
    <row r="284" spans="1:100" x14ac:dyDescent="0.25">
      <c r="A284" s="41"/>
      <c r="B284" s="42"/>
      <c r="C284" s="43" t="str" cm="1">
        <f t="array" ref="C284">IF(B284="","",INDEX(UWS!$B$10:$B$41,B284))</f>
        <v/>
      </c>
      <c r="D284" s="40" t="str">
        <f t="shared" si="308"/>
        <v/>
      </c>
      <c r="E284" s="69" t="str">
        <f t="shared" si="309"/>
        <v/>
      </c>
      <c r="F284" s="48" cm="1">
        <f t="array" ref="F284">0.1+IFERROR(INDEX($F$5:$F283,SUMPRODUCT(MAX(ROW($C$5:$C283)*($C284=$C$5:$C283))-ROW($A$4)))*0.9^($A284-INDEX($A$5:A283,SUMPRODUCT(MAX(ROW($C$5:$C283)*($C284=$C$5:$C283))-ROW($A$4)))),0)</f>
        <v>21.900000000000041</v>
      </c>
      <c r="G284" s="55" t="e">
        <f>INDEX(UWS!$AB$10:$AB$41,MATCH(C284,UWS!$B$10:$B$41,0))</f>
        <v>#N/A</v>
      </c>
      <c r="H284" s="48" t="e">
        <f>INDEX(UWS!$C$10:$C$41,MATCH(C284,UWS!$B$10:$B$41,0))</f>
        <v>#N/A</v>
      </c>
      <c r="I284" s="27">
        <f t="shared" si="310"/>
        <v>5</v>
      </c>
      <c r="J284" s="27" t="e">
        <f>INDEX(UWS!$E$10:$E$41,MATCH(C284,UWS!$B$10:$B$41,0))</f>
        <v>#N/A</v>
      </c>
      <c r="L284" s="108" t="str" cm="1">
        <f t="array" ref="L284">IF(K284="","",INDEX(UWS!$B$10:$B$41,K284))</f>
        <v/>
      </c>
      <c r="N284" s="108" t="str" cm="1">
        <f t="array" ref="N284">IF(M284="","",INDEX(UWS!$B$10:$B$41,M284))</f>
        <v/>
      </c>
      <c r="P284">
        <f>IFERROR(INDEX(UWS!$G$10:$Z$41,MATCH($C284,UWS!$B$10:$B$41,0),MATCH(P$4,UWS!$G$3:$Z$3,0)),0)</f>
        <v>0</v>
      </c>
      <c r="Q284">
        <f>IFERROR(INDEX(UWS!$G$10:$Z$41,MATCH($C284,UWS!$B$10:$B$41,0),MATCH(Q$4,UWS!$G$3:$Z$3,0)),0)</f>
        <v>0</v>
      </c>
      <c r="R284">
        <f>IFERROR(INDEX(UWS!$G$10:$Z$41,MATCH($C284,UWS!$B$10:$B$41,0),MATCH(R$4,UWS!$G$3:$Z$3,0)),0)</f>
        <v>0</v>
      </c>
      <c r="S284">
        <f>IFERROR(INDEX(UWS!$G$10:$Z$41,MATCH($C284,UWS!$B$10:$B$41,0),MATCH(S$4,UWS!$G$3:$Z$3,0)),0)</f>
        <v>0</v>
      </c>
      <c r="T284">
        <f>IFERROR(INDEX(UWS!$G$10:$Z$41,MATCH($C284,UWS!$B$10:$B$41,0),MATCH(T$4,UWS!$G$3:$Z$3,0)),0)</f>
        <v>0</v>
      </c>
      <c r="U284">
        <f>IFERROR(INDEX(UWS!$G$10:$Z$41,MATCH($C284,UWS!$B$10:$B$41,0),MATCH(U$4,UWS!$G$3:$Z$3,0)),0)</f>
        <v>0</v>
      </c>
      <c r="V284">
        <f>IFERROR(INDEX(UWS!$G$10:$Z$41,MATCH($C284,UWS!$B$10:$B$41,0),MATCH(V$4,UWS!$G$3:$Z$3,0)),0)</f>
        <v>0</v>
      </c>
      <c r="W284">
        <f>IFERROR(INDEX(UWS!$G$10:$Z$41,MATCH($C284,UWS!$B$10:$B$41,0),MATCH(W$4,UWS!$G$3:$Z$3,0)),0)</f>
        <v>0</v>
      </c>
      <c r="X284">
        <f>IFERROR(INDEX(UWS!$G$10:$Z$41,MATCH($C284,UWS!$B$10:$B$41,0),MATCH(X$4,UWS!$G$3:$Z$3,0)),0)</f>
        <v>0</v>
      </c>
      <c r="Y284">
        <f>IFERROR(INDEX(UWS!$G$10:$Z$41,MATCH($C284,UWS!$B$10:$B$41,0),MATCH(Y$4,UWS!$G$3:$Z$3,0)),0)</f>
        <v>0</v>
      </c>
      <c r="Z284">
        <f>IFERROR(INDEX(UWS!$G$10:$Z$41,MATCH($C284,UWS!$B$10:$B$41,0),MATCH(Z$4,UWS!$G$3:$Z$3,0)),0)</f>
        <v>0</v>
      </c>
      <c r="AA284">
        <f>IFERROR(INDEX(UWS!$G$10:$Z$41,MATCH($C284,UWS!$B$10:$B$41,0),MATCH(AA$4,UWS!$G$3:$Z$3,0)),0)</f>
        <v>0</v>
      </c>
      <c r="AB284">
        <f>IFERROR(INDEX(UWS!$G$10:$Z$41,MATCH($C284,UWS!$B$10:$B$41,0),MATCH(AB$4,UWS!$G$3:$Z$3,0)),0)</f>
        <v>0</v>
      </c>
      <c r="AC284">
        <f>IFERROR(INDEX(UWS!$G$10:$Z$41,MATCH($C284,UWS!$B$10:$B$41,0),MATCH(AC$4,UWS!$G$3:$Z$3,0)),0)</f>
        <v>0</v>
      </c>
      <c r="AD284">
        <f>IFERROR(INDEX(UWS!$G$10:$Z$41,MATCH($C284,UWS!$B$10:$B$41,0),MATCH(AD$4,UWS!$G$3:$Z$3,0)),0)</f>
        <v>0</v>
      </c>
      <c r="AE284">
        <f>IFERROR(INDEX(UWS!$G$10:$Z$41,MATCH($C284,UWS!$B$10:$B$41,0),MATCH(AE$4,UWS!$G$3:$Z$3,0)),0)</f>
        <v>0</v>
      </c>
      <c r="AF284">
        <f>IFERROR(INDEX(UWS!$G$10:$Z$41,MATCH($C284,UWS!$B$10:$B$41,0),MATCH(AF$4,UWS!$G$3:$Z$3,0)),0)</f>
        <v>0</v>
      </c>
      <c r="AG284">
        <f>IFERROR(INDEX(UWS!$G$10:$Z$41,MATCH($C284,UWS!$B$10:$B$41,0),MATCH(AG$4,UWS!$G$3:$Z$3,0)),0)</f>
        <v>0</v>
      </c>
      <c r="AH284">
        <f>IFERROR(INDEX(UWS!$G$10:$Z$41,MATCH($C284,UWS!$B$10:$B$41,0),MATCH(AH$4,UWS!$G$3:$Z$3,0)),0)</f>
        <v>0</v>
      </c>
      <c r="AI284">
        <f>IFERROR(INDEX(UWS!$G$10:$Z$41,MATCH($C284,UWS!$B$10:$B$41,0),MATCH(AI$4,UWS!$G$3:$Z$3,0)),0)</f>
        <v>0</v>
      </c>
      <c r="AK284" t="e">
        <f>IF(OR($J284=0,COUNTIFS($A$4:$A283,"&gt;="&amp;$A284-1,$A$4:$A283,"&lt;="&amp;$A284,$B$4:$B283,$B284)&gt;0,MIN(AK$1,IF($A284=$A283,AK283,1))-P284&lt;0),-1,MIN(1,IF($A284=$A283,AK283,1)-P284+$D$3))</f>
        <v>#N/A</v>
      </c>
      <c r="AL284" t="e">
        <f>IF(OR($J284=0,COUNTIFS($A$4:$A283,"&gt;="&amp;$A284-1,$A$4:$A283,"&lt;="&amp;$A284,$B$4:$B283,$B284)&gt;0,MIN(AL$1,IF($A284=$A283,AL283,1))-Q284&lt;0),-1,MIN(1,IF($A284=$A283,AL283,1)-Q284+$D$3))</f>
        <v>#N/A</v>
      </c>
      <c r="AM284" t="e">
        <f>IF(OR($J284=0,COUNTIFS($A$4:$A283,"&gt;="&amp;$A284-1,$A$4:$A283,"&lt;="&amp;$A284,$B$4:$B283,$B284)&gt;0,MIN(AM$1,IF($A284=$A283,AM283,1))-R284&lt;0),-1,MIN(1,IF($A284=$A283,AM283,1)-R284+$D$3))</f>
        <v>#N/A</v>
      </c>
      <c r="AN284" t="e">
        <f>IF(OR($J284=0,COUNTIFS($A$4:$A283,"&gt;="&amp;$A284-1,$A$4:$A283,"&lt;="&amp;$A284,$B$4:$B283,$B284)&gt;0,MIN(AN$1,IF($A284=$A283,AN283,1))-S284&lt;0),-1,MIN(1,IF($A284=$A283,AN283,1)-S284+$D$3))</f>
        <v>#N/A</v>
      </c>
      <c r="AO284" t="e">
        <f>IF(OR($J284=0,COUNTIFS($A$4:$A283,"&gt;="&amp;$A284-1,$A$4:$A283,"&lt;="&amp;$A284,$B$4:$B283,$B284)&gt;0,MIN(AO$1,IF($A284=$A283,AO283,1))-T284&lt;0),-1,MIN(1,IF($A284=$A283,AO283,1)-T284+$D$3))</f>
        <v>#N/A</v>
      </c>
      <c r="AP284" t="e">
        <f>IF(OR($J284=0,COUNTIFS($A$4:$A283,"&gt;="&amp;$A284-1,$A$4:$A283,"&lt;="&amp;$A284,$B$4:$B283,$B284)&gt;0,MIN(AP$1,IF($A284=$A283,AP283,1))-U284&lt;0),-1,MIN(1,IF($A284=$A283,AP283,1)-U284+$D$3))</f>
        <v>#N/A</v>
      </c>
      <c r="AQ284" t="e">
        <f>IF(OR($J284=0,COUNTIFS($A$4:$A283,"&gt;="&amp;$A284-1,$A$4:$A283,"&lt;="&amp;$A284,$B$4:$B283,$B284)&gt;0,MIN(AQ$1,IF($A284=$A283,AQ283,1))-V284&lt;0),-1,MIN(1,IF($A284=$A283,AQ283,1)-V284+$D$3))</f>
        <v>#N/A</v>
      </c>
      <c r="AR284" t="e">
        <f>IF(OR($J284=0,COUNTIFS($A$4:$A283,"&gt;="&amp;$A284-1,$A$4:$A283,"&lt;="&amp;$A284,$B$4:$B283,$B284)&gt;0,MIN(AR$1,IF($A284=$A283,AR283,1))-W284&lt;0),-1,MIN(1,IF($A284=$A283,AR283,1)-W284+$D$3))</f>
        <v>#N/A</v>
      </c>
      <c r="AS284" t="e">
        <f>IF(OR($J284=0,COUNTIFS($A$4:$A283,"&gt;="&amp;$A284-1,$A$4:$A283,"&lt;="&amp;$A284,$B$4:$B283,$B284)&gt;0,MIN(AS$1,IF($A284=$A283,AS283,1))-X284&lt;0),-1,MIN(1,IF($A284=$A283,AS283,1)-X284+$D$3))</f>
        <v>#N/A</v>
      </c>
      <c r="AT284" t="e">
        <f>IF(OR($J284=0,COUNTIFS($A$4:$A283,"&gt;="&amp;$A284-1,$A$4:$A283,"&lt;="&amp;$A284,$B$4:$B283,$B284)&gt;0,MIN(AT$1,IF($A284=$A283,AT283,1))-Y284&lt;0),-1,MIN(1,IF($A284=$A283,AT283,1)-Y284+$D$3))</f>
        <v>#N/A</v>
      </c>
      <c r="AU284" t="e">
        <f>IF(OR($J284=0,COUNTIFS($A$4:$A283,"&gt;="&amp;$A284-1,$A$4:$A283,"&lt;="&amp;$A284,$B$4:$B283,$B284)&gt;0,MIN(AU$1,IF($A284=$A283,AU283,1))-Z284&lt;0),-1,MIN(1,IF($A284=$A283,AU283,1)-Z284+$D$3))</f>
        <v>#N/A</v>
      </c>
      <c r="AV284" t="e">
        <f>IF(OR($J284=0,COUNTIFS($A$4:$A283,"&gt;="&amp;$A284-1,$A$4:$A283,"&lt;="&amp;$A284,$B$4:$B283,$B284)&gt;0,MIN(AV$1,IF($A284=$A283,AV283,1))-AA284&lt;0),-1,MIN(1,IF($A284=$A283,AV283,1)-AA284+$D$3))</f>
        <v>#N/A</v>
      </c>
      <c r="AW284" t="e">
        <f>IF(OR($J284=0,COUNTIFS($A$4:$A283,"&gt;="&amp;$A284-1,$A$4:$A283,"&lt;="&amp;$A284,$B$4:$B283,$B284)&gt;0,MIN(AW$1,IF($A284=$A283,AW283,1))-AB284&lt;0),-1,MIN(1,IF($A284=$A283,AW283,1)-AB284+$D$3))</f>
        <v>#N/A</v>
      </c>
      <c r="AX284" t="e">
        <f>IF(OR($J284=0,COUNTIFS($A$4:$A283,"&gt;="&amp;$A284-1,$A$4:$A283,"&lt;="&amp;$A284,$B$4:$B283,$B284)&gt;0,MIN(AX$1,IF($A284=$A283,AX283,1))-AC284&lt;0),-1,MIN(1,IF($A284=$A283,AX283,1)-AC284+$D$3))</f>
        <v>#N/A</v>
      </c>
      <c r="AY284" t="e">
        <f>IF(OR($J284=0,COUNTIFS($A$4:$A283,"&gt;="&amp;$A284-1,$A$4:$A283,"&lt;="&amp;$A284,$B$4:$B283,$B284)&gt;0,MIN(AY$1,IF($A284=$A283,AY283,1))-AD284&lt;0),-1,MIN(1,IF($A284=$A283,AY283,1)-AD284+$D$3))</f>
        <v>#N/A</v>
      </c>
      <c r="AZ284" t="e">
        <f>IF(OR($J284=0,COUNTIFS($A$4:$A283,"&gt;="&amp;$A284-1,$A$4:$A283,"&lt;="&amp;$A284,$B$4:$B283,$B284)&gt;0,MIN(AZ$1,IF($A284=$A283,AZ283,1))-AE284&lt;0),-1,MIN(1,IF($A284=$A283,AZ283,1)-AE284+$D$3))</f>
        <v>#N/A</v>
      </c>
      <c r="BA284" t="e">
        <f>IF(OR($J284=0,COUNTIFS($A$4:$A283,"&gt;="&amp;$A284-1,$A$4:$A283,"&lt;="&amp;$A284,$B$4:$B283,$B284)&gt;0,MIN(BA$1,IF($A284=$A283,BA283,1))-AF284&lt;0),-1,MIN(1,IF($A284=$A283,BA283,1)-AF284+$D$3))</f>
        <v>#N/A</v>
      </c>
      <c r="BB284" t="e">
        <f>IF(OR($J284=0,COUNTIFS($A$4:$A283,"&gt;="&amp;$A284-1,$A$4:$A283,"&lt;="&amp;$A284,$B$4:$B283,$B284)&gt;0,MIN(BB$1,IF($A284=$A283,BB283,1))-AG284&lt;0),-1,MIN(1,IF($A284=$A283,BB283,1)-AG284+$D$3))</f>
        <v>#N/A</v>
      </c>
      <c r="BC284" t="e">
        <f>IF(OR($J284=0,COUNTIFS($A$4:$A283,"&gt;="&amp;$A284-1,$A$4:$A283,"&lt;="&amp;$A284,$B$4:$B283,$B284)&gt;0,MIN(BC$1,IF($A284=$A283,BC283,1))-AH284&lt;0),-1,MIN(1,IF($A284=$A283,BC283,1)-AH284+$D$3))</f>
        <v>#N/A</v>
      </c>
      <c r="BD284" t="e">
        <f>IF(OR($J284=0,COUNTIFS($A$4:$A283,"&gt;="&amp;$A284-1,$A$4:$A283,"&lt;="&amp;$A284,$B$4:$B283,$B284)&gt;0,MIN(BD$1,IF($A284=$A283,BD283,1))-AI284&lt;0),-1,MIN(1,IF($A284=$A283,BD283,1)-AI284+$D$3))</f>
        <v>#N/A</v>
      </c>
      <c r="BF284" s="44">
        <f t="shared" si="311"/>
        <v>1.2272000792096782E-6</v>
      </c>
      <c r="BG284" s="44">
        <f t="shared" si="312"/>
        <v>3.0180312876429381E-6</v>
      </c>
      <c r="BH284" s="44">
        <f t="shared" si="313"/>
        <v>3.0931646040337947E-6</v>
      </c>
      <c r="BI284" s="44">
        <f t="shared" si="314"/>
        <v>2.8572253132267962E-6</v>
      </c>
      <c r="BJ284" s="44">
        <f t="shared" si="315"/>
        <v>2.9532136146473606E-6</v>
      </c>
      <c r="BK284" s="44">
        <f t="shared" si="316"/>
        <v>1.2682200365207936E-6</v>
      </c>
      <c r="BL284" s="44">
        <f t="shared" si="317"/>
        <v>6.851124158661968E-7</v>
      </c>
      <c r="BM284" s="44">
        <f t="shared" si="318"/>
        <v>1.7428459819367451E-6</v>
      </c>
      <c r="BN284" s="44">
        <f t="shared" si="319"/>
        <v>1.8126956505800582E-6</v>
      </c>
      <c r="BO284" s="44">
        <f t="shared" si="320"/>
        <v>8.4949796576697796E-7</v>
      </c>
      <c r="BP284" s="44">
        <f t="shared" si="321"/>
        <v>2.8564179829082261E-6</v>
      </c>
      <c r="BQ284" s="44">
        <f t="shared" si="322"/>
        <v>7.7082897128088698E-7</v>
      </c>
      <c r="BR284" s="44">
        <f t="shared" si="323"/>
        <v>2.2772217398346152E-6</v>
      </c>
      <c r="BS284" s="44">
        <f t="shared" si="324"/>
        <v>1.2281359032845354E-6</v>
      </c>
      <c r="BT284" s="44">
        <f t="shared" si="325"/>
        <v>4.8601102868395017E-6</v>
      </c>
      <c r="BU284" s="44">
        <f t="shared" si="326"/>
        <v>4.6428677870122915E-6</v>
      </c>
      <c r="BV284" s="44">
        <f t="shared" si="327"/>
        <v>4.4588566167365705E-6</v>
      </c>
      <c r="BW284" s="44">
        <f t="shared" si="328"/>
        <v>2.9163376000856659E-6</v>
      </c>
      <c r="BX284" s="44">
        <f t="shared" si="329"/>
        <v>2.1545372604330066E-6</v>
      </c>
      <c r="BY284" s="44">
        <f t="shared" si="330"/>
        <v>1.8499178740214004E-6</v>
      </c>
      <c r="CA284" s="44" t="str">
        <f t="shared" si="331"/>
        <v/>
      </c>
      <c r="CB284" s="44" t="str">
        <f t="shared" si="332"/>
        <v/>
      </c>
      <c r="CC284" s="44" t="str">
        <f t="shared" si="333"/>
        <v/>
      </c>
      <c r="CD284" s="44" t="str">
        <f t="shared" si="334"/>
        <v/>
      </c>
      <c r="CE284" s="44" t="str">
        <f t="shared" si="335"/>
        <v/>
      </c>
      <c r="CF284" s="44" t="str">
        <f t="shared" si="336"/>
        <v/>
      </c>
      <c r="CG284" s="44" t="str">
        <f t="shared" si="337"/>
        <v/>
      </c>
      <c r="CH284" s="44" t="str">
        <f t="shared" si="338"/>
        <v/>
      </c>
      <c r="CI284" s="44" t="str">
        <f t="shared" si="339"/>
        <v/>
      </c>
      <c r="CJ284" s="44" t="str">
        <f t="shared" si="340"/>
        <v/>
      </c>
      <c r="CK284" s="44" t="str">
        <f t="shared" si="341"/>
        <v/>
      </c>
      <c r="CL284" s="44" t="str">
        <f t="shared" si="342"/>
        <v/>
      </c>
      <c r="CM284" s="44" t="str">
        <f t="shared" si="343"/>
        <v/>
      </c>
      <c r="CN284" s="44" t="str">
        <f t="shared" si="344"/>
        <v/>
      </c>
      <c r="CO284" s="44" t="str">
        <f t="shared" si="345"/>
        <v/>
      </c>
      <c r="CP284" s="44" t="str">
        <f t="shared" si="346"/>
        <v/>
      </c>
      <c r="CQ284" s="44" t="str">
        <f t="shared" si="347"/>
        <v/>
      </c>
      <c r="CR284" s="44" t="str">
        <f t="shared" si="348"/>
        <v/>
      </c>
      <c r="CS284" s="44" t="str">
        <f t="shared" si="349"/>
        <v/>
      </c>
      <c r="CT284" s="44" t="str">
        <f t="shared" si="350"/>
        <v/>
      </c>
      <c r="CV284" s="44">
        <f t="shared" si="351"/>
        <v>0</v>
      </c>
    </row>
    <row r="285" spans="1:100" x14ac:dyDescent="0.25">
      <c r="A285" s="49"/>
      <c r="B285" s="50"/>
      <c r="C285" s="51" t="str" cm="1">
        <f t="array" ref="C285">IF(B285="","",INDEX(UWS!$B$10:$B$41,B285))</f>
        <v/>
      </c>
      <c r="D285" s="45" t="str">
        <f t="shared" si="308"/>
        <v/>
      </c>
      <c r="E285" s="70" t="str">
        <f t="shared" si="309"/>
        <v/>
      </c>
      <c r="F285" s="52" cm="1">
        <f t="array" ref="F285">0.1+IFERROR(INDEX($F$5:$F284,SUMPRODUCT(MAX(ROW($C$5:$C284)*($C285=$C$5:$C284))-ROW($A$4)))*0.9^($A285-INDEX($A$5:A284,SUMPRODUCT(MAX(ROW($C$5:$C284)*($C285=$C$5:$C284))-ROW($A$4)))),0)</f>
        <v>22.000000000000043</v>
      </c>
      <c r="G285" s="56" t="e">
        <f>INDEX(UWS!$AB$10:$AB$41,MATCH(C285,UWS!$B$10:$B$41,0))</f>
        <v>#N/A</v>
      </c>
      <c r="H285" s="52" t="e">
        <f>INDEX(UWS!$C$10:$C$41,MATCH(C285,UWS!$B$10:$B$41,0))</f>
        <v>#N/A</v>
      </c>
      <c r="I285" s="46">
        <f t="shared" si="310"/>
        <v>5</v>
      </c>
      <c r="J285" s="46" t="e">
        <f>INDEX(UWS!$E$10:$E$41,MATCH(C285,UWS!$B$10:$B$41,0))</f>
        <v>#N/A</v>
      </c>
      <c r="K285" s="46"/>
      <c r="L285" s="109" t="str" cm="1">
        <f t="array" ref="L285">IF(K285="","",INDEX(UWS!$B$10:$B$41,K285))</f>
        <v/>
      </c>
      <c r="M285" s="46"/>
      <c r="N285" s="109" t="str" cm="1">
        <f t="array" ref="N285">IF(M285="","",INDEX(UWS!$B$10:$B$41,M285))</f>
        <v/>
      </c>
      <c r="O285" s="47"/>
      <c r="P285" s="47">
        <f>IFERROR(INDEX(UWS!$G$10:$Z$41,MATCH($C285,UWS!$B$10:$B$41,0),MATCH(P$4,UWS!$G$3:$Z$3,0)),0)</f>
        <v>0</v>
      </c>
      <c r="Q285" s="47">
        <f>IFERROR(INDEX(UWS!$G$10:$Z$41,MATCH($C285,UWS!$B$10:$B$41,0),MATCH(Q$4,UWS!$G$3:$Z$3,0)),0)</f>
        <v>0</v>
      </c>
      <c r="R285" s="47">
        <f>IFERROR(INDEX(UWS!$G$10:$Z$41,MATCH($C285,UWS!$B$10:$B$41,0),MATCH(R$4,UWS!$G$3:$Z$3,0)),0)</f>
        <v>0</v>
      </c>
      <c r="S285" s="47">
        <f>IFERROR(INDEX(UWS!$G$10:$Z$41,MATCH($C285,UWS!$B$10:$B$41,0),MATCH(S$4,UWS!$G$3:$Z$3,0)),0)</f>
        <v>0</v>
      </c>
      <c r="T285" s="47">
        <f>IFERROR(INDEX(UWS!$G$10:$Z$41,MATCH($C285,UWS!$B$10:$B$41,0),MATCH(T$4,UWS!$G$3:$Z$3,0)),0)</f>
        <v>0</v>
      </c>
      <c r="U285" s="47">
        <f>IFERROR(INDEX(UWS!$G$10:$Z$41,MATCH($C285,UWS!$B$10:$B$41,0),MATCH(U$4,UWS!$G$3:$Z$3,0)),0)</f>
        <v>0</v>
      </c>
      <c r="V285" s="47">
        <f>IFERROR(INDEX(UWS!$G$10:$Z$41,MATCH($C285,UWS!$B$10:$B$41,0),MATCH(V$4,UWS!$G$3:$Z$3,0)),0)</f>
        <v>0</v>
      </c>
      <c r="W285" s="47">
        <f>IFERROR(INDEX(UWS!$G$10:$Z$41,MATCH($C285,UWS!$B$10:$B$41,0),MATCH(W$4,UWS!$G$3:$Z$3,0)),0)</f>
        <v>0</v>
      </c>
      <c r="X285" s="47">
        <f>IFERROR(INDEX(UWS!$G$10:$Z$41,MATCH($C285,UWS!$B$10:$B$41,0),MATCH(X$4,UWS!$G$3:$Z$3,0)),0)</f>
        <v>0</v>
      </c>
      <c r="Y285" s="47">
        <f>IFERROR(INDEX(UWS!$G$10:$Z$41,MATCH($C285,UWS!$B$10:$B$41,0),MATCH(Y$4,UWS!$G$3:$Z$3,0)),0)</f>
        <v>0</v>
      </c>
      <c r="Z285" s="47">
        <f>IFERROR(INDEX(UWS!$G$10:$Z$41,MATCH($C285,UWS!$B$10:$B$41,0),MATCH(Z$4,UWS!$G$3:$Z$3,0)),0)</f>
        <v>0</v>
      </c>
      <c r="AA285" s="47">
        <f>IFERROR(INDEX(UWS!$G$10:$Z$41,MATCH($C285,UWS!$B$10:$B$41,0),MATCH(AA$4,UWS!$G$3:$Z$3,0)),0)</f>
        <v>0</v>
      </c>
      <c r="AB285" s="47">
        <f>IFERROR(INDEX(UWS!$G$10:$Z$41,MATCH($C285,UWS!$B$10:$B$41,0),MATCH(AB$4,UWS!$G$3:$Z$3,0)),0)</f>
        <v>0</v>
      </c>
      <c r="AC285" s="47">
        <f>IFERROR(INDEX(UWS!$G$10:$Z$41,MATCH($C285,UWS!$B$10:$B$41,0),MATCH(AC$4,UWS!$G$3:$Z$3,0)),0)</f>
        <v>0</v>
      </c>
      <c r="AD285" s="47">
        <f>IFERROR(INDEX(UWS!$G$10:$Z$41,MATCH($C285,UWS!$B$10:$B$41,0),MATCH(AD$4,UWS!$G$3:$Z$3,0)),0)</f>
        <v>0</v>
      </c>
      <c r="AE285" s="47">
        <f>IFERROR(INDEX(UWS!$G$10:$Z$41,MATCH($C285,UWS!$B$10:$B$41,0),MATCH(AE$4,UWS!$G$3:$Z$3,0)),0)</f>
        <v>0</v>
      </c>
      <c r="AF285" s="47">
        <f>IFERROR(INDEX(UWS!$G$10:$Z$41,MATCH($C285,UWS!$B$10:$B$41,0),MATCH(AF$4,UWS!$G$3:$Z$3,0)),0)</f>
        <v>0</v>
      </c>
      <c r="AG285" s="47">
        <f>IFERROR(INDEX(UWS!$G$10:$Z$41,MATCH($C285,UWS!$B$10:$B$41,0),MATCH(AG$4,UWS!$G$3:$Z$3,0)),0)</f>
        <v>0</v>
      </c>
      <c r="AH285" s="47">
        <f>IFERROR(INDEX(UWS!$G$10:$Z$41,MATCH($C285,UWS!$B$10:$B$41,0),MATCH(AH$4,UWS!$G$3:$Z$3,0)),0)</f>
        <v>0</v>
      </c>
      <c r="AI285" s="47">
        <f>IFERROR(INDEX(UWS!$G$10:$Z$41,MATCH($C285,UWS!$B$10:$B$41,0),MATCH(AI$4,UWS!$G$3:$Z$3,0)),0)</f>
        <v>0</v>
      </c>
      <c r="AJ285" s="47"/>
      <c r="AK285" s="47" t="e">
        <f>IF(OR($J285=0,COUNTIFS($A$4:$A284,"&gt;="&amp;$A285-1,$A$4:$A284,"&lt;="&amp;$A285,$B$4:$B284,$B285)&gt;0,MIN(AK$1,IF($A285=$A284,AK284,1))-P285&lt;0),-1,MIN(1,IF($A285=$A284,AK284,1)-P285+$D$3))</f>
        <v>#N/A</v>
      </c>
      <c r="AL285" s="47" t="e">
        <f>IF(OR($J285=0,COUNTIFS($A$4:$A284,"&gt;="&amp;$A285-1,$A$4:$A284,"&lt;="&amp;$A285,$B$4:$B284,$B285)&gt;0,MIN(AL$1,IF($A285=$A284,AL284,1))-Q285&lt;0),-1,MIN(1,IF($A285=$A284,AL284,1)-Q285+$D$3))</f>
        <v>#N/A</v>
      </c>
      <c r="AM285" s="47" t="e">
        <f>IF(OR($J285=0,COUNTIFS($A$4:$A284,"&gt;="&amp;$A285-1,$A$4:$A284,"&lt;="&amp;$A285,$B$4:$B284,$B285)&gt;0,MIN(AM$1,IF($A285=$A284,AM284,1))-R285&lt;0),-1,MIN(1,IF($A285=$A284,AM284,1)-R285+$D$3))</f>
        <v>#N/A</v>
      </c>
      <c r="AN285" s="47" t="e">
        <f>IF(OR($J285=0,COUNTIFS($A$4:$A284,"&gt;="&amp;$A285-1,$A$4:$A284,"&lt;="&amp;$A285,$B$4:$B284,$B285)&gt;0,MIN(AN$1,IF($A285=$A284,AN284,1))-S285&lt;0),-1,MIN(1,IF($A285=$A284,AN284,1)-S285+$D$3))</f>
        <v>#N/A</v>
      </c>
      <c r="AO285" s="47" t="e">
        <f>IF(OR($J285=0,COUNTIFS($A$4:$A284,"&gt;="&amp;$A285-1,$A$4:$A284,"&lt;="&amp;$A285,$B$4:$B284,$B285)&gt;0,MIN(AO$1,IF($A285=$A284,AO284,1))-T285&lt;0),-1,MIN(1,IF($A285=$A284,AO284,1)-T285+$D$3))</f>
        <v>#N/A</v>
      </c>
      <c r="AP285" s="47" t="e">
        <f>IF(OR($J285=0,COUNTIFS($A$4:$A284,"&gt;="&amp;$A285-1,$A$4:$A284,"&lt;="&amp;$A285,$B$4:$B284,$B285)&gt;0,MIN(AP$1,IF($A285=$A284,AP284,1))-U285&lt;0),-1,MIN(1,IF($A285=$A284,AP284,1)-U285+$D$3))</f>
        <v>#N/A</v>
      </c>
      <c r="AQ285" s="47" t="e">
        <f>IF(OR($J285=0,COUNTIFS($A$4:$A284,"&gt;="&amp;$A285-1,$A$4:$A284,"&lt;="&amp;$A285,$B$4:$B284,$B285)&gt;0,MIN(AQ$1,IF($A285=$A284,AQ284,1))-V285&lt;0),-1,MIN(1,IF($A285=$A284,AQ284,1)-V285+$D$3))</f>
        <v>#N/A</v>
      </c>
      <c r="AR285" s="47" t="e">
        <f>IF(OR($J285=0,COUNTIFS($A$4:$A284,"&gt;="&amp;$A285-1,$A$4:$A284,"&lt;="&amp;$A285,$B$4:$B284,$B285)&gt;0,MIN(AR$1,IF($A285=$A284,AR284,1))-W285&lt;0),-1,MIN(1,IF($A285=$A284,AR284,1)-W285+$D$3))</f>
        <v>#N/A</v>
      </c>
      <c r="AS285" s="47" t="e">
        <f>IF(OR($J285=0,COUNTIFS($A$4:$A284,"&gt;="&amp;$A285-1,$A$4:$A284,"&lt;="&amp;$A285,$B$4:$B284,$B285)&gt;0,MIN(AS$1,IF($A285=$A284,AS284,1))-X285&lt;0),-1,MIN(1,IF($A285=$A284,AS284,1)-X285+$D$3))</f>
        <v>#N/A</v>
      </c>
      <c r="AT285" s="47" t="e">
        <f>IF(OR($J285=0,COUNTIFS($A$4:$A284,"&gt;="&amp;$A285-1,$A$4:$A284,"&lt;="&amp;$A285,$B$4:$B284,$B285)&gt;0,MIN(AT$1,IF($A285=$A284,AT284,1))-Y285&lt;0),-1,MIN(1,IF($A285=$A284,AT284,1)-Y285+$D$3))</f>
        <v>#N/A</v>
      </c>
      <c r="AU285" s="47" t="e">
        <f>IF(OR($J285=0,COUNTIFS($A$4:$A284,"&gt;="&amp;$A285-1,$A$4:$A284,"&lt;="&amp;$A285,$B$4:$B284,$B285)&gt;0,MIN(AU$1,IF($A285=$A284,AU284,1))-Z285&lt;0),-1,MIN(1,IF($A285=$A284,AU284,1)-Z285+$D$3))</f>
        <v>#N/A</v>
      </c>
      <c r="AV285" s="47" t="e">
        <f>IF(OR($J285=0,COUNTIFS($A$4:$A284,"&gt;="&amp;$A285-1,$A$4:$A284,"&lt;="&amp;$A285,$B$4:$B284,$B285)&gt;0,MIN(AV$1,IF($A285=$A284,AV284,1))-AA285&lt;0),-1,MIN(1,IF($A285=$A284,AV284,1)-AA285+$D$3))</f>
        <v>#N/A</v>
      </c>
      <c r="AW285" s="47" t="e">
        <f>IF(OR($J285=0,COUNTIFS($A$4:$A284,"&gt;="&amp;$A285-1,$A$4:$A284,"&lt;="&amp;$A285,$B$4:$B284,$B285)&gt;0,MIN(AW$1,IF($A285=$A284,AW284,1))-AB285&lt;0),-1,MIN(1,IF($A285=$A284,AW284,1)-AB285+$D$3))</f>
        <v>#N/A</v>
      </c>
      <c r="AX285" s="47" t="e">
        <f>IF(OR($J285=0,COUNTIFS($A$4:$A284,"&gt;="&amp;$A285-1,$A$4:$A284,"&lt;="&amp;$A285,$B$4:$B284,$B285)&gt;0,MIN(AX$1,IF($A285=$A284,AX284,1))-AC285&lt;0),-1,MIN(1,IF($A285=$A284,AX284,1)-AC285+$D$3))</f>
        <v>#N/A</v>
      </c>
      <c r="AY285" s="47" t="e">
        <f>IF(OR($J285=0,COUNTIFS($A$4:$A284,"&gt;="&amp;$A285-1,$A$4:$A284,"&lt;="&amp;$A285,$B$4:$B284,$B285)&gt;0,MIN(AY$1,IF($A285=$A284,AY284,1))-AD285&lt;0),-1,MIN(1,IF($A285=$A284,AY284,1)-AD285+$D$3))</f>
        <v>#N/A</v>
      </c>
      <c r="AZ285" s="47" t="e">
        <f>IF(OR($J285=0,COUNTIFS($A$4:$A284,"&gt;="&amp;$A285-1,$A$4:$A284,"&lt;="&amp;$A285,$B$4:$B284,$B285)&gt;0,MIN(AZ$1,IF($A285=$A284,AZ284,1))-AE285&lt;0),-1,MIN(1,IF($A285=$A284,AZ284,1)-AE285+$D$3))</f>
        <v>#N/A</v>
      </c>
      <c r="BA285" s="47" t="e">
        <f>IF(OR($J285=0,COUNTIFS($A$4:$A284,"&gt;="&amp;$A285-1,$A$4:$A284,"&lt;="&amp;$A285,$B$4:$B284,$B285)&gt;0,MIN(BA$1,IF($A285=$A284,BA284,1))-AF285&lt;0),-1,MIN(1,IF($A285=$A284,BA284,1)-AF285+$D$3))</f>
        <v>#N/A</v>
      </c>
      <c r="BB285" s="47" t="e">
        <f>IF(OR($J285=0,COUNTIFS($A$4:$A284,"&gt;="&amp;$A285-1,$A$4:$A284,"&lt;="&amp;$A285,$B$4:$B284,$B285)&gt;0,MIN(BB$1,IF($A285=$A284,BB284,1))-AG285&lt;0),-1,MIN(1,IF($A285=$A284,BB284,1)-AG285+$D$3))</f>
        <v>#N/A</v>
      </c>
      <c r="BC285" s="47" t="e">
        <f>IF(OR($J285=0,COUNTIFS($A$4:$A284,"&gt;="&amp;$A285-1,$A$4:$A284,"&lt;="&amp;$A285,$B$4:$B284,$B285)&gt;0,MIN(BC$1,IF($A285=$A284,BC284,1))-AH285&lt;0),-1,MIN(1,IF($A285=$A284,BC284,1)-AH285+$D$3))</f>
        <v>#N/A</v>
      </c>
      <c r="BD285" s="47" t="e">
        <f>IF(OR($J285=0,COUNTIFS($A$4:$A284,"&gt;="&amp;$A285-1,$A$4:$A284,"&lt;="&amp;$A285,$B$4:$B284,$B285)&gt;0,MIN(BD$1,IF($A285=$A284,BD284,1))-AI285&lt;0),-1,MIN(1,IF($A285=$A284,BD284,1)-AI285+$D$3))</f>
        <v>#N/A</v>
      </c>
      <c r="BE285" s="47"/>
      <c r="BF285" s="53">
        <f t="shared" si="311"/>
        <v>1.1658400752491943E-6</v>
      </c>
      <c r="BG285" s="53">
        <f t="shared" si="312"/>
        <v>2.8671297232607908E-6</v>
      </c>
      <c r="BH285" s="53">
        <f t="shared" si="313"/>
        <v>2.9385063738321049E-6</v>
      </c>
      <c r="BI285" s="53">
        <f t="shared" si="314"/>
        <v>2.7143640475654563E-6</v>
      </c>
      <c r="BJ285" s="53">
        <f t="shared" si="315"/>
        <v>2.8055529339149922E-6</v>
      </c>
      <c r="BK285" s="53">
        <f t="shared" si="316"/>
        <v>1.2048090346947538E-6</v>
      </c>
      <c r="BL285" s="53">
        <f t="shared" si="317"/>
        <v>6.5085679507288693E-7</v>
      </c>
      <c r="BM285" s="53">
        <f t="shared" si="318"/>
        <v>1.6557036828399078E-6</v>
      </c>
      <c r="BN285" s="53">
        <f t="shared" si="319"/>
        <v>1.7220608680510553E-6</v>
      </c>
      <c r="BO285" s="53">
        <f t="shared" si="320"/>
        <v>8.0702306747862898E-7</v>
      </c>
      <c r="BP285" s="53">
        <f t="shared" si="321"/>
        <v>2.7135970837628148E-6</v>
      </c>
      <c r="BQ285" s="53">
        <f t="shared" si="322"/>
        <v>7.3228752271684262E-7</v>
      </c>
      <c r="BR285" s="53">
        <f t="shared" si="323"/>
        <v>2.1633606528428845E-6</v>
      </c>
      <c r="BS285" s="53">
        <f t="shared" si="324"/>
        <v>1.1667291081203084E-6</v>
      </c>
      <c r="BT285" s="53">
        <f t="shared" si="325"/>
        <v>4.6171047724975262E-6</v>
      </c>
      <c r="BU285" s="53">
        <f t="shared" si="326"/>
        <v>4.410724397661677E-6</v>
      </c>
      <c r="BV285" s="53">
        <f t="shared" si="327"/>
        <v>4.235913785899742E-6</v>
      </c>
      <c r="BW285" s="53">
        <f t="shared" si="328"/>
        <v>2.7705207200813823E-6</v>
      </c>
      <c r="BX285" s="53">
        <f t="shared" si="329"/>
        <v>2.046810397411356E-6</v>
      </c>
      <c r="BY285" s="53">
        <f t="shared" si="330"/>
        <v>1.7574219803203303E-6</v>
      </c>
      <c r="BZ285" s="47"/>
      <c r="CA285" s="53" t="str">
        <f t="shared" si="331"/>
        <v/>
      </c>
      <c r="CB285" s="53" t="str">
        <f t="shared" si="332"/>
        <v/>
      </c>
      <c r="CC285" s="53" t="str">
        <f t="shared" si="333"/>
        <v/>
      </c>
      <c r="CD285" s="53" t="str">
        <f t="shared" si="334"/>
        <v/>
      </c>
      <c r="CE285" s="53" t="str">
        <f t="shared" si="335"/>
        <v/>
      </c>
      <c r="CF285" s="53" t="str">
        <f t="shared" si="336"/>
        <v/>
      </c>
      <c r="CG285" s="53" t="str">
        <f t="shared" si="337"/>
        <v/>
      </c>
      <c r="CH285" s="53" t="str">
        <f t="shared" si="338"/>
        <v/>
      </c>
      <c r="CI285" s="53" t="str">
        <f t="shared" si="339"/>
        <v/>
      </c>
      <c r="CJ285" s="53" t="str">
        <f t="shared" si="340"/>
        <v/>
      </c>
      <c r="CK285" s="53" t="str">
        <f t="shared" si="341"/>
        <v/>
      </c>
      <c r="CL285" s="53" t="str">
        <f t="shared" si="342"/>
        <v/>
      </c>
      <c r="CM285" s="53" t="str">
        <f t="shared" si="343"/>
        <v/>
      </c>
      <c r="CN285" s="53" t="str">
        <f t="shared" si="344"/>
        <v/>
      </c>
      <c r="CO285" s="53" t="str">
        <f t="shared" si="345"/>
        <v/>
      </c>
      <c r="CP285" s="53" t="str">
        <f t="shared" si="346"/>
        <v/>
      </c>
      <c r="CQ285" s="53" t="str">
        <f t="shared" si="347"/>
        <v/>
      </c>
      <c r="CR285" s="53" t="str">
        <f t="shared" si="348"/>
        <v/>
      </c>
      <c r="CS285" s="53" t="str">
        <f t="shared" si="349"/>
        <v/>
      </c>
      <c r="CT285" s="53" t="str">
        <f t="shared" si="350"/>
        <v/>
      </c>
      <c r="CU285" s="47"/>
      <c r="CV285" s="53">
        <f t="shared" si="351"/>
        <v>0</v>
      </c>
    </row>
    <row r="286" spans="1:100" x14ac:dyDescent="0.25">
      <c r="A286" s="41"/>
      <c r="B286" s="42"/>
      <c r="C286" s="43" t="str" cm="1">
        <f t="array" ref="C286">IF(B286="","",INDEX(UWS!$B$10:$B$41,B286))</f>
        <v/>
      </c>
      <c r="D286" s="40" t="str">
        <f t="shared" si="308"/>
        <v/>
      </c>
      <c r="E286" s="69" t="str">
        <f t="shared" si="309"/>
        <v/>
      </c>
      <c r="F286" s="48" cm="1">
        <f t="array" ref="F286">0.1+IFERROR(INDEX($F$5:$F285,SUMPRODUCT(MAX(ROW($C$5:$C285)*($C286=$C$5:$C285))-ROW($A$4)))*0.9^($A286-INDEX($A$5:A285,SUMPRODUCT(MAX(ROW($C$5:$C285)*($C286=$C$5:$C285))-ROW($A$4)))),0)</f>
        <v>22.100000000000044</v>
      </c>
      <c r="G286" s="55" t="e">
        <f>INDEX(UWS!$AB$10:$AB$41,MATCH(C286,UWS!$B$10:$B$41,0))</f>
        <v>#N/A</v>
      </c>
      <c r="H286" s="48" t="e">
        <f>INDEX(UWS!$C$10:$C$41,MATCH(C286,UWS!$B$10:$B$41,0))</f>
        <v>#N/A</v>
      </c>
      <c r="I286" s="82">
        <f t="shared" si="310"/>
        <v>5</v>
      </c>
      <c r="J286" s="27" t="e">
        <f>INDEX(UWS!$E$10:$E$41,MATCH(C286,UWS!$B$10:$B$41,0))</f>
        <v>#N/A</v>
      </c>
      <c r="L286" s="108" t="str" cm="1">
        <f t="array" ref="L286">IF(K286="","",INDEX(UWS!$B$10:$B$41,K286))</f>
        <v/>
      </c>
      <c r="N286" s="108" t="str" cm="1">
        <f t="array" ref="N286">IF(M286="","",INDEX(UWS!$B$10:$B$41,M286))</f>
        <v/>
      </c>
      <c r="P286">
        <f>IFERROR(INDEX(UWS!$G$10:$Z$41,MATCH($C286,UWS!$B$10:$B$41,0),MATCH(P$4,UWS!$G$3:$Z$3,0)),0)</f>
        <v>0</v>
      </c>
      <c r="Q286">
        <f>IFERROR(INDEX(UWS!$G$10:$Z$41,MATCH($C286,UWS!$B$10:$B$41,0),MATCH(Q$4,UWS!$G$3:$Z$3,0)),0)</f>
        <v>0</v>
      </c>
      <c r="R286">
        <f>IFERROR(INDEX(UWS!$G$10:$Z$41,MATCH($C286,UWS!$B$10:$B$41,0),MATCH(R$4,UWS!$G$3:$Z$3,0)),0)</f>
        <v>0</v>
      </c>
      <c r="S286">
        <f>IFERROR(INDEX(UWS!$G$10:$Z$41,MATCH($C286,UWS!$B$10:$B$41,0),MATCH(S$4,UWS!$G$3:$Z$3,0)),0)</f>
        <v>0</v>
      </c>
      <c r="T286">
        <f>IFERROR(INDEX(UWS!$G$10:$Z$41,MATCH($C286,UWS!$B$10:$B$41,0),MATCH(T$4,UWS!$G$3:$Z$3,0)),0)</f>
        <v>0</v>
      </c>
      <c r="U286">
        <f>IFERROR(INDEX(UWS!$G$10:$Z$41,MATCH($C286,UWS!$B$10:$B$41,0),MATCH(U$4,UWS!$G$3:$Z$3,0)),0)</f>
        <v>0</v>
      </c>
      <c r="V286">
        <f>IFERROR(INDEX(UWS!$G$10:$Z$41,MATCH($C286,UWS!$B$10:$B$41,0),MATCH(V$4,UWS!$G$3:$Z$3,0)),0)</f>
        <v>0</v>
      </c>
      <c r="W286">
        <f>IFERROR(INDEX(UWS!$G$10:$Z$41,MATCH($C286,UWS!$B$10:$B$41,0),MATCH(W$4,UWS!$G$3:$Z$3,0)),0)</f>
        <v>0</v>
      </c>
      <c r="X286">
        <f>IFERROR(INDEX(UWS!$G$10:$Z$41,MATCH($C286,UWS!$B$10:$B$41,0),MATCH(X$4,UWS!$G$3:$Z$3,0)),0)</f>
        <v>0</v>
      </c>
      <c r="Y286">
        <f>IFERROR(INDEX(UWS!$G$10:$Z$41,MATCH($C286,UWS!$B$10:$B$41,0),MATCH(Y$4,UWS!$G$3:$Z$3,0)),0)</f>
        <v>0</v>
      </c>
      <c r="Z286">
        <f>IFERROR(INDEX(UWS!$G$10:$Z$41,MATCH($C286,UWS!$B$10:$B$41,0),MATCH(Z$4,UWS!$G$3:$Z$3,0)),0)</f>
        <v>0</v>
      </c>
      <c r="AA286">
        <f>IFERROR(INDEX(UWS!$G$10:$Z$41,MATCH($C286,UWS!$B$10:$B$41,0),MATCH(AA$4,UWS!$G$3:$Z$3,0)),0)</f>
        <v>0</v>
      </c>
      <c r="AB286">
        <f>IFERROR(INDEX(UWS!$G$10:$Z$41,MATCH($C286,UWS!$B$10:$B$41,0),MATCH(AB$4,UWS!$G$3:$Z$3,0)),0)</f>
        <v>0</v>
      </c>
      <c r="AC286">
        <f>IFERROR(INDEX(UWS!$G$10:$Z$41,MATCH($C286,UWS!$B$10:$B$41,0),MATCH(AC$4,UWS!$G$3:$Z$3,0)),0)</f>
        <v>0</v>
      </c>
      <c r="AD286">
        <f>IFERROR(INDEX(UWS!$G$10:$Z$41,MATCH($C286,UWS!$B$10:$B$41,0),MATCH(AD$4,UWS!$G$3:$Z$3,0)),0)</f>
        <v>0</v>
      </c>
      <c r="AE286">
        <f>IFERROR(INDEX(UWS!$G$10:$Z$41,MATCH($C286,UWS!$B$10:$B$41,0),MATCH(AE$4,UWS!$G$3:$Z$3,0)),0)</f>
        <v>0</v>
      </c>
      <c r="AF286">
        <f>IFERROR(INDEX(UWS!$G$10:$Z$41,MATCH($C286,UWS!$B$10:$B$41,0),MATCH(AF$4,UWS!$G$3:$Z$3,0)),0)</f>
        <v>0</v>
      </c>
      <c r="AG286">
        <f>IFERROR(INDEX(UWS!$G$10:$Z$41,MATCH($C286,UWS!$B$10:$B$41,0),MATCH(AG$4,UWS!$G$3:$Z$3,0)),0)</f>
        <v>0</v>
      </c>
      <c r="AH286">
        <f>IFERROR(INDEX(UWS!$G$10:$Z$41,MATCH($C286,UWS!$B$10:$B$41,0),MATCH(AH$4,UWS!$G$3:$Z$3,0)),0)</f>
        <v>0</v>
      </c>
      <c r="AI286">
        <f>IFERROR(INDEX(UWS!$G$10:$Z$41,MATCH($C286,UWS!$B$10:$B$41,0),MATCH(AI$4,UWS!$G$3:$Z$3,0)),0)</f>
        <v>0</v>
      </c>
      <c r="AK286" t="e">
        <f>IF(OR($J286=0,COUNTIFS($A$4:$A285,"&gt;="&amp;$A286-1,$A$4:$A285,"&lt;="&amp;$A286,$B$4:$B285,$B286)&gt;0,MIN(AK$1,IF($A286=$A285,AK285,1))-P286&lt;0),-1,MIN(1,IF($A286=$A285,AK285,1)-P286+$D$3))</f>
        <v>#N/A</v>
      </c>
      <c r="AL286" t="e">
        <f>IF(OR($J286=0,COUNTIFS($A$4:$A285,"&gt;="&amp;$A286-1,$A$4:$A285,"&lt;="&amp;$A286,$B$4:$B285,$B286)&gt;0,MIN(AL$1,IF($A286=$A285,AL285,1))-Q286&lt;0),-1,MIN(1,IF($A286=$A285,AL285,1)-Q286+$D$3))</f>
        <v>#N/A</v>
      </c>
      <c r="AM286" t="e">
        <f>IF(OR($J286=0,COUNTIFS($A$4:$A285,"&gt;="&amp;$A286-1,$A$4:$A285,"&lt;="&amp;$A286,$B$4:$B285,$B286)&gt;0,MIN(AM$1,IF($A286=$A285,AM285,1))-R286&lt;0),-1,MIN(1,IF($A286=$A285,AM285,1)-R286+$D$3))</f>
        <v>#N/A</v>
      </c>
      <c r="AN286" t="e">
        <f>IF(OR($J286=0,COUNTIFS($A$4:$A285,"&gt;="&amp;$A286-1,$A$4:$A285,"&lt;="&amp;$A286,$B$4:$B285,$B286)&gt;0,MIN(AN$1,IF($A286=$A285,AN285,1))-S286&lt;0),-1,MIN(1,IF($A286=$A285,AN285,1)-S286+$D$3))</f>
        <v>#N/A</v>
      </c>
      <c r="AO286" t="e">
        <f>IF(OR($J286=0,COUNTIFS($A$4:$A285,"&gt;="&amp;$A286-1,$A$4:$A285,"&lt;="&amp;$A286,$B$4:$B285,$B286)&gt;0,MIN(AO$1,IF($A286=$A285,AO285,1))-T286&lt;0),-1,MIN(1,IF($A286=$A285,AO285,1)-T286+$D$3))</f>
        <v>#N/A</v>
      </c>
      <c r="AP286" t="e">
        <f>IF(OR($J286=0,COUNTIFS($A$4:$A285,"&gt;="&amp;$A286-1,$A$4:$A285,"&lt;="&amp;$A286,$B$4:$B285,$B286)&gt;0,MIN(AP$1,IF($A286=$A285,AP285,1))-U286&lt;0),-1,MIN(1,IF($A286=$A285,AP285,1)-U286+$D$3))</f>
        <v>#N/A</v>
      </c>
      <c r="AQ286" t="e">
        <f>IF(OR($J286=0,COUNTIFS($A$4:$A285,"&gt;="&amp;$A286-1,$A$4:$A285,"&lt;="&amp;$A286,$B$4:$B285,$B286)&gt;0,MIN(AQ$1,IF($A286=$A285,AQ285,1))-V286&lt;0),-1,MIN(1,IF($A286=$A285,AQ285,1)-V286+$D$3))</f>
        <v>#N/A</v>
      </c>
      <c r="AR286" t="e">
        <f>IF(OR($J286=0,COUNTIFS($A$4:$A285,"&gt;="&amp;$A286-1,$A$4:$A285,"&lt;="&amp;$A286,$B$4:$B285,$B286)&gt;0,MIN(AR$1,IF($A286=$A285,AR285,1))-W286&lt;0),-1,MIN(1,IF($A286=$A285,AR285,1)-W286+$D$3))</f>
        <v>#N/A</v>
      </c>
      <c r="AS286" t="e">
        <f>IF(OR($J286=0,COUNTIFS($A$4:$A285,"&gt;="&amp;$A286-1,$A$4:$A285,"&lt;="&amp;$A286,$B$4:$B285,$B286)&gt;0,MIN(AS$1,IF($A286=$A285,AS285,1))-X286&lt;0),-1,MIN(1,IF($A286=$A285,AS285,1)-X286+$D$3))</f>
        <v>#N/A</v>
      </c>
      <c r="AT286" t="e">
        <f>IF(OR($J286=0,COUNTIFS($A$4:$A285,"&gt;="&amp;$A286-1,$A$4:$A285,"&lt;="&amp;$A286,$B$4:$B285,$B286)&gt;0,MIN(AT$1,IF($A286=$A285,AT285,1))-Y286&lt;0),-1,MIN(1,IF($A286=$A285,AT285,1)-Y286+$D$3))</f>
        <v>#N/A</v>
      </c>
      <c r="AU286" t="e">
        <f>IF(OR($J286=0,COUNTIFS($A$4:$A285,"&gt;="&amp;$A286-1,$A$4:$A285,"&lt;="&amp;$A286,$B$4:$B285,$B286)&gt;0,MIN(AU$1,IF($A286=$A285,AU285,1))-Z286&lt;0),-1,MIN(1,IF($A286=$A285,AU285,1)-Z286+$D$3))</f>
        <v>#N/A</v>
      </c>
      <c r="AV286" t="e">
        <f>IF(OR($J286=0,COUNTIFS($A$4:$A285,"&gt;="&amp;$A286-1,$A$4:$A285,"&lt;="&amp;$A286,$B$4:$B285,$B286)&gt;0,MIN(AV$1,IF($A286=$A285,AV285,1))-AA286&lt;0),-1,MIN(1,IF($A286=$A285,AV285,1)-AA286+$D$3))</f>
        <v>#N/A</v>
      </c>
      <c r="AW286" t="e">
        <f>IF(OR($J286=0,COUNTIFS($A$4:$A285,"&gt;="&amp;$A286-1,$A$4:$A285,"&lt;="&amp;$A286,$B$4:$B285,$B286)&gt;0,MIN(AW$1,IF($A286=$A285,AW285,1))-AB286&lt;0),-1,MIN(1,IF($A286=$A285,AW285,1)-AB286+$D$3))</f>
        <v>#N/A</v>
      </c>
      <c r="AX286" t="e">
        <f>IF(OR($J286=0,COUNTIFS($A$4:$A285,"&gt;="&amp;$A286-1,$A$4:$A285,"&lt;="&amp;$A286,$B$4:$B285,$B286)&gt;0,MIN(AX$1,IF($A286=$A285,AX285,1))-AC286&lt;0),-1,MIN(1,IF($A286=$A285,AX285,1)-AC286+$D$3))</f>
        <v>#N/A</v>
      </c>
      <c r="AY286" t="e">
        <f>IF(OR($J286=0,COUNTIFS($A$4:$A285,"&gt;="&amp;$A286-1,$A$4:$A285,"&lt;="&amp;$A286,$B$4:$B285,$B286)&gt;0,MIN(AY$1,IF($A286=$A285,AY285,1))-AD286&lt;0),-1,MIN(1,IF($A286=$A285,AY285,1)-AD286+$D$3))</f>
        <v>#N/A</v>
      </c>
      <c r="AZ286" t="e">
        <f>IF(OR($J286=0,COUNTIFS($A$4:$A285,"&gt;="&amp;$A286-1,$A$4:$A285,"&lt;="&amp;$A286,$B$4:$B285,$B286)&gt;0,MIN(AZ$1,IF($A286=$A285,AZ285,1))-AE286&lt;0),-1,MIN(1,IF($A286=$A285,AZ285,1)-AE286+$D$3))</f>
        <v>#N/A</v>
      </c>
      <c r="BA286" t="e">
        <f>IF(OR($J286=0,COUNTIFS($A$4:$A285,"&gt;="&amp;$A286-1,$A$4:$A285,"&lt;="&amp;$A286,$B$4:$B285,$B286)&gt;0,MIN(BA$1,IF($A286=$A285,BA285,1))-AF286&lt;0),-1,MIN(1,IF($A286=$A285,BA285,1)-AF286+$D$3))</f>
        <v>#N/A</v>
      </c>
      <c r="BB286" t="e">
        <f>IF(OR($J286=0,COUNTIFS($A$4:$A285,"&gt;="&amp;$A286-1,$A$4:$A285,"&lt;="&amp;$A286,$B$4:$B285,$B286)&gt;0,MIN(BB$1,IF($A286=$A285,BB285,1))-AG286&lt;0),-1,MIN(1,IF($A286=$A285,BB285,1)-AG286+$D$3))</f>
        <v>#N/A</v>
      </c>
      <c r="BC286" t="e">
        <f>IF(OR($J286=0,COUNTIFS($A$4:$A285,"&gt;="&amp;$A286-1,$A$4:$A285,"&lt;="&amp;$A286,$B$4:$B285,$B286)&gt;0,MIN(BC$1,IF($A286=$A285,BC285,1))-AH286&lt;0),-1,MIN(1,IF($A286=$A285,BC285,1)-AH286+$D$3))</f>
        <v>#N/A</v>
      </c>
      <c r="BD286" t="e">
        <f>IF(OR($J286=0,COUNTIFS($A$4:$A285,"&gt;="&amp;$A286-1,$A$4:$A285,"&lt;="&amp;$A286,$B$4:$B285,$B286)&gt;0,MIN(BD$1,IF($A286=$A285,BD285,1))-AI286&lt;0),-1,MIN(1,IF($A286=$A285,BD285,1)-AI286+$D$3))</f>
        <v>#N/A</v>
      </c>
      <c r="BF286" s="44">
        <f t="shared" si="311"/>
        <v>1.1075480714867345E-6</v>
      </c>
      <c r="BG286" s="44">
        <f t="shared" si="312"/>
        <v>2.7237732370977513E-6</v>
      </c>
      <c r="BH286" s="44">
        <f t="shared" si="313"/>
        <v>2.7915810551404996E-6</v>
      </c>
      <c r="BI286" s="44">
        <f t="shared" si="314"/>
        <v>2.5786458451871832E-6</v>
      </c>
      <c r="BJ286" s="44">
        <f t="shared" si="315"/>
        <v>2.6652752872192426E-6</v>
      </c>
      <c r="BK286" s="44">
        <f t="shared" si="316"/>
        <v>1.1445685829600161E-6</v>
      </c>
      <c r="BL286" s="44">
        <f t="shared" si="317"/>
        <v>6.1831395531924257E-7</v>
      </c>
      <c r="BM286" s="44">
        <f t="shared" si="318"/>
        <v>1.5729184986979124E-6</v>
      </c>
      <c r="BN286" s="44">
        <f t="shared" si="319"/>
        <v>1.6359578246485024E-6</v>
      </c>
      <c r="BO286" s="44">
        <f t="shared" si="320"/>
        <v>7.6667191410469748E-7</v>
      </c>
      <c r="BP286" s="44">
        <f t="shared" si="321"/>
        <v>2.5779172295746738E-6</v>
      </c>
      <c r="BQ286" s="44">
        <f t="shared" si="322"/>
        <v>6.956731465810005E-7</v>
      </c>
      <c r="BR286" s="44">
        <f t="shared" si="323"/>
        <v>2.0551926202007402E-6</v>
      </c>
      <c r="BS286" s="44">
        <f t="shared" si="324"/>
        <v>1.108392652714293E-6</v>
      </c>
      <c r="BT286" s="44">
        <f t="shared" si="325"/>
        <v>4.3862495338726494E-6</v>
      </c>
      <c r="BU286" s="44">
        <f t="shared" si="326"/>
        <v>4.1901881777785926E-6</v>
      </c>
      <c r="BV286" s="44">
        <f t="shared" si="327"/>
        <v>4.024118096604755E-6</v>
      </c>
      <c r="BW286" s="44">
        <f t="shared" si="328"/>
        <v>2.6319946840773131E-6</v>
      </c>
      <c r="BX286" s="44">
        <f t="shared" si="329"/>
        <v>1.9444698775407883E-6</v>
      </c>
      <c r="BY286" s="44">
        <f t="shared" si="330"/>
        <v>1.6695508813043136E-6</v>
      </c>
      <c r="CA286" s="44" t="str">
        <f t="shared" si="331"/>
        <v/>
      </c>
      <c r="CB286" s="44" t="str">
        <f t="shared" si="332"/>
        <v/>
      </c>
      <c r="CC286" s="44" t="str">
        <f t="shared" si="333"/>
        <v/>
      </c>
      <c r="CD286" s="44" t="str">
        <f t="shared" si="334"/>
        <v/>
      </c>
      <c r="CE286" s="44" t="str">
        <f t="shared" si="335"/>
        <v/>
      </c>
      <c r="CF286" s="44" t="str">
        <f t="shared" si="336"/>
        <v/>
      </c>
      <c r="CG286" s="44" t="str">
        <f t="shared" si="337"/>
        <v/>
      </c>
      <c r="CH286" s="44" t="str">
        <f t="shared" si="338"/>
        <v/>
      </c>
      <c r="CI286" s="44" t="str">
        <f t="shared" si="339"/>
        <v/>
      </c>
      <c r="CJ286" s="44" t="str">
        <f t="shared" si="340"/>
        <v/>
      </c>
      <c r="CK286" s="44" t="str">
        <f t="shared" si="341"/>
        <v/>
      </c>
      <c r="CL286" s="44" t="str">
        <f t="shared" si="342"/>
        <v/>
      </c>
      <c r="CM286" s="44" t="str">
        <f t="shared" si="343"/>
        <v/>
      </c>
      <c r="CN286" s="44" t="str">
        <f t="shared" si="344"/>
        <v/>
      </c>
      <c r="CO286" s="44" t="str">
        <f t="shared" si="345"/>
        <v/>
      </c>
      <c r="CP286" s="44" t="str">
        <f t="shared" si="346"/>
        <v/>
      </c>
      <c r="CQ286" s="44" t="str">
        <f t="shared" si="347"/>
        <v/>
      </c>
      <c r="CR286" s="44" t="str">
        <f t="shared" si="348"/>
        <v/>
      </c>
      <c r="CS286" s="44" t="str">
        <f t="shared" si="349"/>
        <v/>
      </c>
      <c r="CT286" s="44" t="str">
        <f t="shared" si="350"/>
        <v/>
      </c>
      <c r="CV286" s="44">
        <f t="shared" si="351"/>
        <v>0</v>
      </c>
    </row>
    <row r="287" spans="1:100" x14ac:dyDescent="0.25">
      <c r="A287" s="41"/>
      <c r="B287" s="42"/>
      <c r="C287" s="43" t="str" cm="1">
        <f t="array" ref="C287">IF(B287="","",INDEX(UWS!$B$10:$B$41,B287))</f>
        <v/>
      </c>
      <c r="D287" s="40" t="str">
        <f t="shared" si="308"/>
        <v/>
      </c>
      <c r="E287" s="69" t="str">
        <f t="shared" si="309"/>
        <v/>
      </c>
      <c r="F287" s="48" cm="1">
        <f t="array" ref="F287">0.1+IFERROR(INDEX($F$5:$F286,SUMPRODUCT(MAX(ROW($C$5:$C286)*($C287=$C$5:$C286))-ROW($A$4)))*0.9^($A287-INDEX($A$5:A286,SUMPRODUCT(MAX(ROW($C$5:$C286)*($C287=$C$5:$C286))-ROW($A$4)))),0)</f>
        <v>22.200000000000045</v>
      </c>
      <c r="G287" s="55" t="e">
        <f>INDEX(UWS!$AB$10:$AB$41,MATCH(C287,UWS!$B$10:$B$41,0))</f>
        <v>#N/A</v>
      </c>
      <c r="H287" s="48" t="e">
        <f>INDEX(UWS!$C$10:$C$41,MATCH(C287,UWS!$B$10:$B$41,0))</f>
        <v>#N/A</v>
      </c>
      <c r="I287" s="27">
        <f t="shared" si="310"/>
        <v>5</v>
      </c>
      <c r="J287" s="27" t="e">
        <f>INDEX(UWS!$E$10:$E$41,MATCH(C287,UWS!$B$10:$B$41,0))</f>
        <v>#N/A</v>
      </c>
      <c r="L287" s="108" t="str" cm="1">
        <f t="array" ref="L287">IF(K287="","",INDEX(UWS!$B$10:$B$41,K287))</f>
        <v/>
      </c>
      <c r="N287" s="108" t="str" cm="1">
        <f t="array" ref="N287">IF(M287="","",INDEX(UWS!$B$10:$B$41,M287))</f>
        <v/>
      </c>
      <c r="P287">
        <f>IFERROR(INDEX(UWS!$G$10:$Z$41,MATCH($C287,UWS!$B$10:$B$41,0),MATCH(P$4,UWS!$G$3:$Z$3,0)),0)</f>
        <v>0</v>
      </c>
      <c r="Q287">
        <f>IFERROR(INDEX(UWS!$G$10:$Z$41,MATCH($C287,UWS!$B$10:$B$41,0),MATCH(Q$4,UWS!$G$3:$Z$3,0)),0)</f>
        <v>0</v>
      </c>
      <c r="R287">
        <f>IFERROR(INDEX(UWS!$G$10:$Z$41,MATCH($C287,UWS!$B$10:$B$41,0),MATCH(R$4,UWS!$G$3:$Z$3,0)),0)</f>
        <v>0</v>
      </c>
      <c r="S287">
        <f>IFERROR(INDEX(UWS!$G$10:$Z$41,MATCH($C287,UWS!$B$10:$B$41,0),MATCH(S$4,UWS!$G$3:$Z$3,0)),0)</f>
        <v>0</v>
      </c>
      <c r="T287">
        <f>IFERROR(INDEX(UWS!$G$10:$Z$41,MATCH($C287,UWS!$B$10:$B$41,0),MATCH(T$4,UWS!$G$3:$Z$3,0)),0)</f>
        <v>0</v>
      </c>
      <c r="U287">
        <f>IFERROR(INDEX(UWS!$G$10:$Z$41,MATCH($C287,UWS!$B$10:$B$41,0),MATCH(U$4,UWS!$G$3:$Z$3,0)),0)</f>
        <v>0</v>
      </c>
      <c r="V287">
        <f>IFERROR(INDEX(UWS!$G$10:$Z$41,MATCH($C287,UWS!$B$10:$B$41,0),MATCH(V$4,UWS!$G$3:$Z$3,0)),0)</f>
        <v>0</v>
      </c>
      <c r="W287">
        <f>IFERROR(INDEX(UWS!$G$10:$Z$41,MATCH($C287,UWS!$B$10:$B$41,0),MATCH(W$4,UWS!$G$3:$Z$3,0)),0)</f>
        <v>0</v>
      </c>
      <c r="X287">
        <f>IFERROR(INDEX(UWS!$G$10:$Z$41,MATCH($C287,UWS!$B$10:$B$41,0),MATCH(X$4,UWS!$G$3:$Z$3,0)),0)</f>
        <v>0</v>
      </c>
      <c r="Y287">
        <f>IFERROR(INDEX(UWS!$G$10:$Z$41,MATCH($C287,UWS!$B$10:$B$41,0),MATCH(Y$4,UWS!$G$3:$Z$3,0)),0)</f>
        <v>0</v>
      </c>
      <c r="Z287">
        <f>IFERROR(INDEX(UWS!$G$10:$Z$41,MATCH($C287,UWS!$B$10:$B$41,0),MATCH(Z$4,UWS!$G$3:$Z$3,0)),0)</f>
        <v>0</v>
      </c>
      <c r="AA287">
        <f>IFERROR(INDEX(UWS!$G$10:$Z$41,MATCH($C287,UWS!$B$10:$B$41,0),MATCH(AA$4,UWS!$G$3:$Z$3,0)),0)</f>
        <v>0</v>
      </c>
      <c r="AB287">
        <f>IFERROR(INDEX(UWS!$G$10:$Z$41,MATCH($C287,UWS!$B$10:$B$41,0),MATCH(AB$4,UWS!$G$3:$Z$3,0)),0)</f>
        <v>0</v>
      </c>
      <c r="AC287">
        <f>IFERROR(INDEX(UWS!$G$10:$Z$41,MATCH($C287,UWS!$B$10:$B$41,0),MATCH(AC$4,UWS!$G$3:$Z$3,0)),0)</f>
        <v>0</v>
      </c>
      <c r="AD287">
        <f>IFERROR(INDEX(UWS!$G$10:$Z$41,MATCH($C287,UWS!$B$10:$B$41,0),MATCH(AD$4,UWS!$G$3:$Z$3,0)),0)</f>
        <v>0</v>
      </c>
      <c r="AE287">
        <f>IFERROR(INDEX(UWS!$G$10:$Z$41,MATCH($C287,UWS!$B$10:$B$41,0),MATCH(AE$4,UWS!$G$3:$Z$3,0)),0)</f>
        <v>0</v>
      </c>
      <c r="AF287">
        <f>IFERROR(INDEX(UWS!$G$10:$Z$41,MATCH($C287,UWS!$B$10:$B$41,0),MATCH(AF$4,UWS!$G$3:$Z$3,0)),0)</f>
        <v>0</v>
      </c>
      <c r="AG287">
        <f>IFERROR(INDEX(UWS!$G$10:$Z$41,MATCH($C287,UWS!$B$10:$B$41,0),MATCH(AG$4,UWS!$G$3:$Z$3,0)),0)</f>
        <v>0</v>
      </c>
      <c r="AH287">
        <f>IFERROR(INDEX(UWS!$G$10:$Z$41,MATCH($C287,UWS!$B$10:$B$41,0),MATCH(AH$4,UWS!$G$3:$Z$3,0)),0)</f>
        <v>0</v>
      </c>
      <c r="AI287">
        <f>IFERROR(INDEX(UWS!$G$10:$Z$41,MATCH($C287,UWS!$B$10:$B$41,0),MATCH(AI$4,UWS!$G$3:$Z$3,0)),0)</f>
        <v>0</v>
      </c>
      <c r="AK287" t="e">
        <f>IF(OR($J287=0,COUNTIFS($A$4:$A286,"&gt;="&amp;$A287-1,$A$4:$A286,"&lt;="&amp;$A287,$B$4:$B286,$B287)&gt;0,MIN(AK$1,IF($A287=$A286,AK286,1))-P287&lt;0),-1,MIN(1,IF($A287=$A286,AK286,1)-P287+$D$3))</f>
        <v>#N/A</v>
      </c>
      <c r="AL287" t="e">
        <f>IF(OR($J287=0,COUNTIFS($A$4:$A286,"&gt;="&amp;$A287-1,$A$4:$A286,"&lt;="&amp;$A287,$B$4:$B286,$B287)&gt;0,MIN(AL$1,IF($A287=$A286,AL286,1))-Q287&lt;0),-1,MIN(1,IF($A287=$A286,AL286,1)-Q287+$D$3))</f>
        <v>#N/A</v>
      </c>
      <c r="AM287" t="e">
        <f>IF(OR($J287=0,COUNTIFS($A$4:$A286,"&gt;="&amp;$A287-1,$A$4:$A286,"&lt;="&amp;$A287,$B$4:$B286,$B287)&gt;0,MIN(AM$1,IF($A287=$A286,AM286,1))-R287&lt;0),-1,MIN(1,IF($A287=$A286,AM286,1)-R287+$D$3))</f>
        <v>#N/A</v>
      </c>
      <c r="AN287" t="e">
        <f>IF(OR($J287=0,COUNTIFS($A$4:$A286,"&gt;="&amp;$A287-1,$A$4:$A286,"&lt;="&amp;$A287,$B$4:$B286,$B287)&gt;0,MIN(AN$1,IF($A287=$A286,AN286,1))-S287&lt;0),-1,MIN(1,IF($A287=$A286,AN286,1)-S287+$D$3))</f>
        <v>#N/A</v>
      </c>
      <c r="AO287" t="e">
        <f>IF(OR($J287=0,COUNTIFS($A$4:$A286,"&gt;="&amp;$A287-1,$A$4:$A286,"&lt;="&amp;$A287,$B$4:$B286,$B287)&gt;0,MIN(AO$1,IF($A287=$A286,AO286,1))-T287&lt;0),-1,MIN(1,IF($A287=$A286,AO286,1)-T287+$D$3))</f>
        <v>#N/A</v>
      </c>
      <c r="AP287" t="e">
        <f>IF(OR($J287=0,COUNTIFS($A$4:$A286,"&gt;="&amp;$A287-1,$A$4:$A286,"&lt;="&amp;$A287,$B$4:$B286,$B287)&gt;0,MIN(AP$1,IF($A287=$A286,AP286,1))-U287&lt;0),-1,MIN(1,IF($A287=$A286,AP286,1)-U287+$D$3))</f>
        <v>#N/A</v>
      </c>
      <c r="AQ287" t="e">
        <f>IF(OR($J287=0,COUNTIFS($A$4:$A286,"&gt;="&amp;$A287-1,$A$4:$A286,"&lt;="&amp;$A287,$B$4:$B286,$B287)&gt;0,MIN(AQ$1,IF($A287=$A286,AQ286,1))-V287&lt;0),-1,MIN(1,IF($A287=$A286,AQ286,1)-V287+$D$3))</f>
        <v>#N/A</v>
      </c>
      <c r="AR287" t="e">
        <f>IF(OR($J287=0,COUNTIFS($A$4:$A286,"&gt;="&amp;$A287-1,$A$4:$A286,"&lt;="&amp;$A287,$B$4:$B286,$B287)&gt;0,MIN(AR$1,IF($A287=$A286,AR286,1))-W287&lt;0),-1,MIN(1,IF($A287=$A286,AR286,1)-W287+$D$3))</f>
        <v>#N/A</v>
      </c>
      <c r="AS287" t="e">
        <f>IF(OR($J287=0,COUNTIFS($A$4:$A286,"&gt;="&amp;$A287-1,$A$4:$A286,"&lt;="&amp;$A287,$B$4:$B286,$B287)&gt;0,MIN(AS$1,IF($A287=$A286,AS286,1))-X287&lt;0),-1,MIN(1,IF($A287=$A286,AS286,1)-X287+$D$3))</f>
        <v>#N/A</v>
      </c>
      <c r="AT287" t="e">
        <f>IF(OR($J287=0,COUNTIFS($A$4:$A286,"&gt;="&amp;$A287-1,$A$4:$A286,"&lt;="&amp;$A287,$B$4:$B286,$B287)&gt;0,MIN(AT$1,IF($A287=$A286,AT286,1))-Y287&lt;0),-1,MIN(1,IF($A287=$A286,AT286,1)-Y287+$D$3))</f>
        <v>#N/A</v>
      </c>
      <c r="AU287" t="e">
        <f>IF(OR($J287=0,COUNTIFS($A$4:$A286,"&gt;="&amp;$A287-1,$A$4:$A286,"&lt;="&amp;$A287,$B$4:$B286,$B287)&gt;0,MIN(AU$1,IF($A287=$A286,AU286,1))-Z287&lt;0),-1,MIN(1,IF($A287=$A286,AU286,1)-Z287+$D$3))</f>
        <v>#N/A</v>
      </c>
      <c r="AV287" t="e">
        <f>IF(OR($J287=0,COUNTIFS($A$4:$A286,"&gt;="&amp;$A287-1,$A$4:$A286,"&lt;="&amp;$A287,$B$4:$B286,$B287)&gt;0,MIN(AV$1,IF($A287=$A286,AV286,1))-AA287&lt;0),-1,MIN(1,IF($A287=$A286,AV286,1)-AA287+$D$3))</f>
        <v>#N/A</v>
      </c>
      <c r="AW287" t="e">
        <f>IF(OR($J287=0,COUNTIFS($A$4:$A286,"&gt;="&amp;$A287-1,$A$4:$A286,"&lt;="&amp;$A287,$B$4:$B286,$B287)&gt;0,MIN(AW$1,IF($A287=$A286,AW286,1))-AB287&lt;0),-1,MIN(1,IF($A287=$A286,AW286,1)-AB287+$D$3))</f>
        <v>#N/A</v>
      </c>
      <c r="AX287" t="e">
        <f>IF(OR($J287=0,COUNTIFS($A$4:$A286,"&gt;="&amp;$A287-1,$A$4:$A286,"&lt;="&amp;$A287,$B$4:$B286,$B287)&gt;0,MIN(AX$1,IF($A287=$A286,AX286,1))-AC287&lt;0),-1,MIN(1,IF($A287=$A286,AX286,1)-AC287+$D$3))</f>
        <v>#N/A</v>
      </c>
      <c r="AY287" t="e">
        <f>IF(OR($J287=0,COUNTIFS($A$4:$A286,"&gt;="&amp;$A287-1,$A$4:$A286,"&lt;="&amp;$A287,$B$4:$B286,$B287)&gt;0,MIN(AY$1,IF($A287=$A286,AY286,1))-AD287&lt;0),-1,MIN(1,IF($A287=$A286,AY286,1)-AD287+$D$3))</f>
        <v>#N/A</v>
      </c>
      <c r="AZ287" t="e">
        <f>IF(OR($J287=0,COUNTIFS($A$4:$A286,"&gt;="&amp;$A287-1,$A$4:$A286,"&lt;="&amp;$A287,$B$4:$B286,$B287)&gt;0,MIN(AZ$1,IF($A287=$A286,AZ286,1))-AE287&lt;0),-1,MIN(1,IF($A287=$A286,AZ286,1)-AE287+$D$3))</f>
        <v>#N/A</v>
      </c>
      <c r="BA287" t="e">
        <f>IF(OR($J287=0,COUNTIFS($A$4:$A286,"&gt;="&amp;$A287-1,$A$4:$A286,"&lt;="&amp;$A287,$B$4:$B286,$B287)&gt;0,MIN(BA$1,IF($A287=$A286,BA286,1))-AF287&lt;0),-1,MIN(1,IF($A287=$A286,BA286,1)-AF287+$D$3))</f>
        <v>#N/A</v>
      </c>
      <c r="BB287" t="e">
        <f>IF(OR($J287=0,COUNTIFS($A$4:$A286,"&gt;="&amp;$A287-1,$A$4:$A286,"&lt;="&amp;$A287,$B$4:$B286,$B287)&gt;0,MIN(BB$1,IF($A287=$A286,BB286,1))-AG287&lt;0),-1,MIN(1,IF($A287=$A286,BB286,1)-AG287+$D$3))</f>
        <v>#N/A</v>
      </c>
      <c r="BC287" t="e">
        <f>IF(OR($J287=0,COUNTIFS($A$4:$A286,"&gt;="&amp;$A287-1,$A$4:$A286,"&lt;="&amp;$A287,$B$4:$B286,$B287)&gt;0,MIN(BC$1,IF($A287=$A286,BC286,1))-AH287&lt;0),-1,MIN(1,IF($A287=$A286,BC286,1)-AH287+$D$3))</f>
        <v>#N/A</v>
      </c>
      <c r="BD287" t="e">
        <f>IF(OR($J287=0,COUNTIFS($A$4:$A286,"&gt;="&amp;$A287-1,$A$4:$A286,"&lt;="&amp;$A287,$B$4:$B286,$B287)&gt;0,MIN(BD$1,IF($A287=$A286,BD286,1))-AI287&lt;0),-1,MIN(1,IF($A287=$A286,BD286,1)-AI287+$D$3))</f>
        <v>#N/A</v>
      </c>
      <c r="BF287" s="44">
        <f t="shared" si="311"/>
        <v>1.0521706679123977E-6</v>
      </c>
      <c r="BG287" s="44">
        <f t="shared" si="312"/>
        <v>2.5875845752428635E-6</v>
      </c>
      <c r="BH287" s="44">
        <f t="shared" si="313"/>
        <v>2.6520020023834743E-6</v>
      </c>
      <c r="BI287" s="44">
        <f t="shared" si="314"/>
        <v>2.4497135529278239E-6</v>
      </c>
      <c r="BJ287" s="44">
        <f t="shared" si="315"/>
        <v>2.5320115228582804E-6</v>
      </c>
      <c r="BK287" s="44">
        <f t="shared" si="316"/>
        <v>1.0873401538120154E-6</v>
      </c>
      <c r="BL287" s="44">
        <f t="shared" si="317"/>
        <v>5.8739825755328045E-7</v>
      </c>
      <c r="BM287" s="44">
        <f t="shared" si="318"/>
        <v>1.4942725737630168E-6</v>
      </c>
      <c r="BN287" s="44">
        <f t="shared" si="319"/>
        <v>1.5541599334160771E-6</v>
      </c>
      <c r="BO287" s="44">
        <f t="shared" si="320"/>
        <v>7.283383183994626E-7</v>
      </c>
      <c r="BP287" s="44">
        <f t="shared" si="321"/>
        <v>2.4490213680959398E-6</v>
      </c>
      <c r="BQ287" s="44">
        <f t="shared" si="322"/>
        <v>6.6088948925195046E-7</v>
      </c>
      <c r="BR287" s="44">
        <f t="shared" si="323"/>
        <v>1.952432989190703E-6</v>
      </c>
      <c r="BS287" s="44">
        <f t="shared" si="324"/>
        <v>1.0529730200785783E-6</v>
      </c>
      <c r="BT287" s="44">
        <f t="shared" si="325"/>
        <v>4.166937057179017E-6</v>
      </c>
      <c r="BU287" s="44">
        <f t="shared" si="326"/>
        <v>3.9806787688896632E-6</v>
      </c>
      <c r="BV287" s="44">
        <f t="shared" si="327"/>
        <v>3.8229121917745169E-6</v>
      </c>
      <c r="BW287" s="44">
        <f t="shared" si="328"/>
        <v>2.5003949498734473E-6</v>
      </c>
      <c r="BX287" s="44">
        <f t="shared" si="329"/>
        <v>1.8472463836637487E-6</v>
      </c>
      <c r="BY287" s="44">
        <f t="shared" si="330"/>
        <v>1.5860733372390978E-6</v>
      </c>
      <c r="CA287" s="44" t="str">
        <f t="shared" si="331"/>
        <v/>
      </c>
      <c r="CB287" s="44" t="str">
        <f t="shared" si="332"/>
        <v/>
      </c>
      <c r="CC287" s="44" t="str">
        <f t="shared" si="333"/>
        <v/>
      </c>
      <c r="CD287" s="44" t="str">
        <f t="shared" si="334"/>
        <v/>
      </c>
      <c r="CE287" s="44" t="str">
        <f t="shared" si="335"/>
        <v/>
      </c>
      <c r="CF287" s="44" t="str">
        <f t="shared" si="336"/>
        <v/>
      </c>
      <c r="CG287" s="44" t="str">
        <f t="shared" si="337"/>
        <v/>
      </c>
      <c r="CH287" s="44" t="str">
        <f t="shared" si="338"/>
        <v/>
      </c>
      <c r="CI287" s="44" t="str">
        <f t="shared" si="339"/>
        <v/>
      </c>
      <c r="CJ287" s="44" t="str">
        <f t="shared" si="340"/>
        <v/>
      </c>
      <c r="CK287" s="44" t="str">
        <f t="shared" si="341"/>
        <v/>
      </c>
      <c r="CL287" s="44" t="str">
        <f t="shared" si="342"/>
        <v/>
      </c>
      <c r="CM287" s="44" t="str">
        <f t="shared" si="343"/>
        <v/>
      </c>
      <c r="CN287" s="44" t="str">
        <f t="shared" si="344"/>
        <v/>
      </c>
      <c r="CO287" s="44" t="str">
        <f t="shared" si="345"/>
        <v/>
      </c>
      <c r="CP287" s="44" t="str">
        <f t="shared" si="346"/>
        <v/>
      </c>
      <c r="CQ287" s="44" t="str">
        <f t="shared" si="347"/>
        <v/>
      </c>
      <c r="CR287" s="44" t="str">
        <f t="shared" si="348"/>
        <v/>
      </c>
      <c r="CS287" s="44" t="str">
        <f t="shared" si="349"/>
        <v/>
      </c>
      <c r="CT287" s="44" t="str">
        <f t="shared" si="350"/>
        <v/>
      </c>
      <c r="CV287" s="44">
        <f t="shared" si="351"/>
        <v>0</v>
      </c>
    </row>
    <row r="288" spans="1:100" x14ac:dyDescent="0.25">
      <c r="A288" s="41"/>
      <c r="B288" s="42"/>
      <c r="C288" s="43" t="str" cm="1">
        <f t="array" ref="C288">IF(B288="","",INDEX(UWS!$B$10:$B$41,B288))</f>
        <v/>
      </c>
      <c r="D288" s="40" t="str">
        <f t="shared" si="308"/>
        <v/>
      </c>
      <c r="E288" s="69" t="str">
        <f t="shared" si="309"/>
        <v/>
      </c>
      <c r="F288" s="48" cm="1">
        <f t="array" ref="F288">0.1+IFERROR(INDEX($F$5:$F287,SUMPRODUCT(MAX(ROW($C$5:$C287)*($C288=$C$5:$C287))-ROW($A$4)))*0.9^($A288-INDEX($A$5:A287,SUMPRODUCT(MAX(ROW($C$5:$C287)*($C288=$C$5:$C287))-ROW($A$4)))),0)</f>
        <v>22.300000000000047</v>
      </c>
      <c r="G288" s="55" t="e">
        <f>INDEX(UWS!$AB$10:$AB$41,MATCH(C288,UWS!$B$10:$B$41,0))</f>
        <v>#N/A</v>
      </c>
      <c r="H288" s="48" t="e">
        <f>INDEX(UWS!$C$10:$C$41,MATCH(C288,UWS!$B$10:$B$41,0))</f>
        <v>#N/A</v>
      </c>
      <c r="I288" s="27">
        <f t="shared" si="310"/>
        <v>5</v>
      </c>
      <c r="J288" s="27" t="e">
        <f>INDEX(UWS!$E$10:$E$41,MATCH(C288,UWS!$B$10:$B$41,0))</f>
        <v>#N/A</v>
      </c>
      <c r="L288" s="108" t="str" cm="1">
        <f t="array" ref="L288">IF(K288="","",INDEX(UWS!$B$10:$B$41,K288))</f>
        <v/>
      </c>
      <c r="N288" s="108" t="str" cm="1">
        <f t="array" ref="N288">IF(M288="","",INDEX(UWS!$B$10:$B$41,M288))</f>
        <v/>
      </c>
      <c r="P288">
        <f>IFERROR(INDEX(UWS!$G$10:$Z$41,MATCH($C288,UWS!$B$10:$B$41,0),MATCH(P$4,UWS!$G$3:$Z$3,0)),0)</f>
        <v>0</v>
      </c>
      <c r="Q288">
        <f>IFERROR(INDEX(UWS!$G$10:$Z$41,MATCH($C288,UWS!$B$10:$B$41,0),MATCH(Q$4,UWS!$G$3:$Z$3,0)),0)</f>
        <v>0</v>
      </c>
      <c r="R288">
        <f>IFERROR(INDEX(UWS!$G$10:$Z$41,MATCH($C288,UWS!$B$10:$B$41,0),MATCH(R$4,UWS!$G$3:$Z$3,0)),0)</f>
        <v>0</v>
      </c>
      <c r="S288">
        <f>IFERROR(INDEX(UWS!$G$10:$Z$41,MATCH($C288,UWS!$B$10:$B$41,0),MATCH(S$4,UWS!$G$3:$Z$3,0)),0)</f>
        <v>0</v>
      </c>
      <c r="T288">
        <f>IFERROR(INDEX(UWS!$G$10:$Z$41,MATCH($C288,UWS!$B$10:$B$41,0),MATCH(T$4,UWS!$G$3:$Z$3,0)),0)</f>
        <v>0</v>
      </c>
      <c r="U288">
        <f>IFERROR(INDEX(UWS!$G$10:$Z$41,MATCH($C288,UWS!$B$10:$B$41,0),MATCH(U$4,UWS!$G$3:$Z$3,0)),0)</f>
        <v>0</v>
      </c>
      <c r="V288">
        <f>IFERROR(INDEX(UWS!$G$10:$Z$41,MATCH($C288,UWS!$B$10:$B$41,0),MATCH(V$4,UWS!$G$3:$Z$3,0)),0)</f>
        <v>0</v>
      </c>
      <c r="W288">
        <f>IFERROR(INDEX(UWS!$G$10:$Z$41,MATCH($C288,UWS!$B$10:$B$41,0),MATCH(W$4,UWS!$G$3:$Z$3,0)),0)</f>
        <v>0</v>
      </c>
      <c r="X288">
        <f>IFERROR(INDEX(UWS!$G$10:$Z$41,MATCH($C288,UWS!$B$10:$B$41,0),MATCH(X$4,UWS!$G$3:$Z$3,0)),0)</f>
        <v>0</v>
      </c>
      <c r="Y288">
        <f>IFERROR(INDEX(UWS!$G$10:$Z$41,MATCH($C288,UWS!$B$10:$B$41,0),MATCH(Y$4,UWS!$G$3:$Z$3,0)),0)</f>
        <v>0</v>
      </c>
      <c r="Z288">
        <f>IFERROR(INDEX(UWS!$G$10:$Z$41,MATCH($C288,UWS!$B$10:$B$41,0),MATCH(Z$4,UWS!$G$3:$Z$3,0)),0)</f>
        <v>0</v>
      </c>
      <c r="AA288">
        <f>IFERROR(INDEX(UWS!$G$10:$Z$41,MATCH($C288,UWS!$B$10:$B$41,0),MATCH(AA$4,UWS!$G$3:$Z$3,0)),0)</f>
        <v>0</v>
      </c>
      <c r="AB288">
        <f>IFERROR(INDEX(UWS!$G$10:$Z$41,MATCH($C288,UWS!$B$10:$B$41,0),MATCH(AB$4,UWS!$G$3:$Z$3,0)),0)</f>
        <v>0</v>
      </c>
      <c r="AC288">
        <f>IFERROR(INDEX(UWS!$G$10:$Z$41,MATCH($C288,UWS!$B$10:$B$41,0),MATCH(AC$4,UWS!$G$3:$Z$3,0)),0)</f>
        <v>0</v>
      </c>
      <c r="AD288">
        <f>IFERROR(INDEX(UWS!$G$10:$Z$41,MATCH($C288,UWS!$B$10:$B$41,0),MATCH(AD$4,UWS!$G$3:$Z$3,0)),0)</f>
        <v>0</v>
      </c>
      <c r="AE288">
        <f>IFERROR(INDEX(UWS!$G$10:$Z$41,MATCH($C288,UWS!$B$10:$B$41,0),MATCH(AE$4,UWS!$G$3:$Z$3,0)),0)</f>
        <v>0</v>
      </c>
      <c r="AF288">
        <f>IFERROR(INDEX(UWS!$G$10:$Z$41,MATCH($C288,UWS!$B$10:$B$41,0),MATCH(AF$4,UWS!$G$3:$Z$3,0)),0)</f>
        <v>0</v>
      </c>
      <c r="AG288">
        <f>IFERROR(INDEX(UWS!$G$10:$Z$41,MATCH($C288,UWS!$B$10:$B$41,0),MATCH(AG$4,UWS!$G$3:$Z$3,0)),0)</f>
        <v>0</v>
      </c>
      <c r="AH288">
        <f>IFERROR(INDEX(UWS!$G$10:$Z$41,MATCH($C288,UWS!$B$10:$B$41,0),MATCH(AH$4,UWS!$G$3:$Z$3,0)),0)</f>
        <v>0</v>
      </c>
      <c r="AI288">
        <f>IFERROR(INDEX(UWS!$G$10:$Z$41,MATCH($C288,UWS!$B$10:$B$41,0),MATCH(AI$4,UWS!$G$3:$Z$3,0)),0)</f>
        <v>0</v>
      </c>
      <c r="AK288" t="e">
        <f>IF(OR($J288=0,COUNTIFS($A$4:$A287,"&gt;="&amp;$A288-1,$A$4:$A287,"&lt;="&amp;$A288,$B$4:$B287,$B288)&gt;0,MIN(AK$1,IF($A288=$A287,AK287,1))-P288&lt;0),-1,MIN(1,IF($A288=$A287,AK287,1)-P288+$D$3))</f>
        <v>#N/A</v>
      </c>
      <c r="AL288" t="e">
        <f>IF(OR($J288=0,COUNTIFS($A$4:$A287,"&gt;="&amp;$A288-1,$A$4:$A287,"&lt;="&amp;$A288,$B$4:$B287,$B288)&gt;0,MIN(AL$1,IF($A288=$A287,AL287,1))-Q288&lt;0),-1,MIN(1,IF($A288=$A287,AL287,1)-Q288+$D$3))</f>
        <v>#N/A</v>
      </c>
      <c r="AM288" t="e">
        <f>IF(OR($J288=0,COUNTIFS($A$4:$A287,"&gt;="&amp;$A288-1,$A$4:$A287,"&lt;="&amp;$A288,$B$4:$B287,$B288)&gt;0,MIN(AM$1,IF($A288=$A287,AM287,1))-R288&lt;0),-1,MIN(1,IF($A288=$A287,AM287,1)-R288+$D$3))</f>
        <v>#N/A</v>
      </c>
      <c r="AN288" t="e">
        <f>IF(OR($J288=0,COUNTIFS($A$4:$A287,"&gt;="&amp;$A288-1,$A$4:$A287,"&lt;="&amp;$A288,$B$4:$B287,$B288)&gt;0,MIN(AN$1,IF($A288=$A287,AN287,1))-S288&lt;0),-1,MIN(1,IF($A288=$A287,AN287,1)-S288+$D$3))</f>
        <v>#N/A</v>
      </c>
      <c r="AO288" t="e">
        <f>IF(OR($J288=0,COUNTIFS($A$4:$A287,"&gt;="&amp;$A288-1,$A$4:$A287,"&lt;="&amp;$A288,$B$4:$B287,$B288)&gt;0,MIN(AO$1,IF($A288=$A287,AO287,1))-T288&lt;0),-1,MIN(1,IF($A288=$A287,AO287,1)-T288+$D$3))</f>
        <v>#N/A</v>
      </c>
      <c r="AP288" t="e">
        <f>IF(OR($J288=0,COUNTIFS($A$4:$A287,"&gt;="&amp;$A288-1,$A$4:$A287,"&lt;="&amp;$A288,$B$4:$B287,$B288)&gt;0,MIN(AP$1,IF($A288=$A287,AP287,1))-U288&lt;0),-1,MIN(1,IF($A288=$A287,AP287,1)-U288+$D$3))</f>
        <v>#N/A</v>
      </c>
      <c r="AQ288" t="e">
        <f>IF(OR($J288=0,COUNTIFS($A$4:$A287,"&gt;="&amp;$A288-1,$A$4:$A287,"&lt;="&amp;$A288,$B$4:$B287,$B288)&gt;0,MIN(AQ$1,IF($A288=$A287,AQ287,1))-V288&lt;0),-1,MIN(1,IF($A288=$A287,AQ287,1)-V288+$D$3))</f>
        <v>#N/A</v>
      </c>
      <c r="AR288" t="e">
        <f>IF(OR($J288=0,COUNTIFS($A$4:$A287,"&gt;="&amp;$A288-1,$A$4:$A287,"&lt;="&amp;$A288,$B$4:$B287,$B288)&gt;0,MIN(AR$1,IF($A288=$A287,AR287,1))-W288&lt;0),-1,MIN(1,IF($A288=$A287,AR287,1)-W288+$D$3))</f>
        <v>#N/A</v>
      </c>
      <c r="AS288" t="e">
        <f>IF(OR($J288=0,COUNTIFS($A$4:$A287,"&gt;="&amp;$A288-1,$A$4:$A287,"&lt;="&amp;$A288,$B$4:$B287,$B288)&gt;0,MIN(AS$1,IF($A288=$A287,AS287,1))-X288&lt;0),-1,MIN(1,IF($A288=$A287,AS287,1)-X288+$D$3))</f>
        <v>#N/A</v>
      </c>
      <c r="AT288" t="e">
        <f>IF(OR($J288=0,COUNTIFS($A$4:$A287,"&gt;="&amp;$A288-1,$A$4:$A287,"&lt;="&amp;$A288,$B$4:$B287,$B288)&gt;0,MIN(AT$1,IF($A288=$A287,AT287,1))-Y288&lt;0),-1,MIN(1,IF($A288=$A287,AT287,1)-Y288+$D$3))</f>
        <v>#N/A</v>
      </c>
      <c r="AU288" t="e">
        <f>IF(OR($J288=0,COUNTIFS($A$4:$A287,"&gt;="&amp;$A288-1,$A$4:$A287,"&lt;="&amp;$A288,$B$4:$B287,$B288)&gt;0,MIN(AU$1,IF($A288=$A287,AU287,1))-Z288&lt;0),-1,MIN(1,IF($A288=$A287,AU287,1)-Z288+$D$3))</f>
        <v>#N/A</v>
      </c>
      <c r="AV288" t="e">
        <f>IF(OR($J288=0,COUNTIFS($A$4:$A287,"&gt;="&amp;$A288-1,$A$4:$A287,"&lt;="&amp;$A288,$B$4:$B287,$B288)&gt;0,MIN(AV$1,IF($A288=$A287,AV287,1))-AA288&lt;0),-1,MIN(1,IF($A288=$A287,AV287,1)-AA288+$D$3))</f>
        <v>#N/A</v>
      </c>
      <c r="AW288" t="e">
        <f>IF(OR($J288=0,COUNTIFS($A$4:$A287,"&gt;="&amp;$A288-1,$A$4:$A287,"&lt;="&amp;$A288,$B$4:$B287,$B288)&gt;0,MIN(AW$1,IF($A288=$A287,AW287,1))-AB288&lt;0),-1,MIN(1,IF($A288=$A287,AW287,1)-AB288+$D$3))</f>
        <v>#N/A</v>
      </c>
      <c r="AX288" t="e">
        <f>IF(OR($J288=0,COUNTIFS($A$4:$A287,"&gt;="&amp;$A288-1,$A$4:$A287,"&lt;="&amp;$A288,$B$4:$B287,$B288)&gt;0,MIN(AX$1,IF($A288=$A287,AX287,1))-AC288&lt;0),-1,MIN(1,IF($A288=$A287,AX287,1)-AC288+$D$3))</f>
        <v>#N/A</v>
      </c>
      <c r="AY288" t="e">
        <f>IF(OR($J288=0,COUNTIFS($A$4:$A287,"&gt;="&amp;$A288-1,$A$4:$A287,"&lt;="&amp;$A288,$B$4:$B287,$B288)&gt;0,MIN(AY$1,IF($A288=$A287,AY287,1))-AD288&lt;0),-1,MIN(1,IF($A288=$A287,AY287,1)-AD288+$D$3))</f>
        <v>#N/A</v>
      </c>
      <c r="AZ288" t="e">
        <f>IF(OR($J288=0,COUNTIFS($A$4:$A287,"&gt;="&amp;$A288-1,$A$4:$A287,"&lt;="&amp;$A288,$B$4:$B287,$B288)&gt;0,MIN(AZ$1,IF($A288=$A287,AZ287,1))-AE288&lt;0),-1,MIN(1,IF($A288=$A287,AZ287,1)-AE288+$D$3))</f>
        <v>#N/A</v>
      </c>
      <c r="BA288" t="e">
        <f>IF(OR($J288=0,COUNTIFS($A$4:$A287,"&gt;="&amp;$A288-1,$A$4:$A287,"&lt;="&amp;$A288,$B$4:$B287,$B288)&gt;0,MIN(BA$1,IF($A288=$A287,BA287,1))-AF288&lt;0),-1,MIN(1,IF($A288=$A287,BA287,1)-AF288+$D$3))</f>
        <v>#N/A</v>
      </c>
      <c r="BB288" t="e">
        <f>IF(OR($J288=0,COUNTIFS($A$4:$A287,"&gt;="&amp;$A288-1,$A$4:$A287,"&lt;="&amp;$A288,$B$4:$B287,$B288)&gt;0,MIN(BB$1,IF($A288=$A287,BB287,1))-AG288&lt;0),-1,MIN(1,IF($A288=$A287,BB287,1)-AG288+$D$3))</f>
        <v>#N/A</v>
      </c>
      <c r="BC288" t="e">
        <f>IF(OR($J288=0,COUNTIFS($A$4:$A287,"&gt;="&amp;$A288-1,$A$4:$A287,"&lt;="&amp;$A288,$B$4:$B287,$B288)&gt;0,MIN(BC$1,IF($A288=$A287,BC287,1))-AH288&lt;0),-1,MIN(1,IF($A288=$A287,BC287,1)-AH288+$D$3))</f>
        <v>#N/A</v>
      </c>
      <c r="BD288" t="e">
        <f>IF(OR($J288=0,COUNTIFS($A$4:$A287,"&gt;="&amp;$A288-1,$A$4:$A287,"&lt;="&amp;$A288,$B$4:$B287,$B288)&gt;0,MIN(BD$1,IF($A288=$A287,BD287,1))-AI288&lt;0),-1,MIN(1,IF($A288=$A287,BD287,1)-AI288+$D$3))</f>
        <v>#N/A</v>
      </c>
      <c r="BF288" s="44">
        <f t="shared" si="311"/>
        <v>9.9956213451677776E-7</v>
      </c>
      <c r="BG288" s="44">
        <f t="shared" si="312"/>
        <v>2.4582053464807201E-6</v>
      </c>
      <c r="BH288" s="44">
        <f t="shared" si="313"/>
        <v>2.5194019022643004E-6</v>
      </c>
      <c r="BI288" s="44">
        <f t="shared" si="314"/>
        <v>2.3272278752814326E-6</v>
      </c>
      <c r="BJ288" s="44">
        <f t="shared" si="315"/>
        <v>2.4054109467153663E-6</v>
      </c>
      <c r="BK288" s="44">
        <f t="shared" si="316"/>
        <v>1.0329731461214144E-6</v>
      </c>
      <c r="BL288" s="44">
        <f t="shared" si="317"/>
        <v>5.5802834467561635E-7</v>
      </c>
      <c r="BM288" s="44">
        <f t="shared" si="318"/>
        <v>1.4195589450748658E-6</v>
      </c>
      <c r="BN288" s="44">
        <f t="shared" si="319"/>
        <v>1.4764519367452733E-6</v>
      </c>
      <c r="BO288" s="44">
        <f t="shared" si="320"/>
        <v>6.9192140247948938E-7</v>
      </c>
      <c r="BP288" s="44">
        <f t="shared" si="321"/>
        <v>2.3265702996911427E-6</v>
      </c>
      <c r="BQ288" s="44">
        <f t="shared" si="322"/>
        <v>6.2784501478935293E-7</v>
      </c>
      <c r="BR288" s="44">
        <f t="shared" si="323"/>
        <v>1.8548113397311677E-6</v>
      </c>
      <c r="BS288" s="44">
        <f t="shared" si="324"/>
        <v>1.0003243690746494E-6</v>
      </c>
      <c r="BT288" s="44">
        <f t="shared" si="325"/>
        <v>3.9585902043200659E-6</v>
      </c>
      <c r="BU288" s="44">
        <f t="shared" si="326"/>
        <v>3.7816448304451799E-6</v>
      </c>
      <c r="BV288" s="44">
        <f t="shared" si="327"/>
        <v>3.631766582185791E-6</v>
      </c>
      <c r="BW288" s="44">
        <f t="shared" si="328"/>
        <v>2.3753752023797746E-6</v>
      </c>
      <c r="BX288" s="44">
        <f t="shared" si="329"/>
        <v>1.7548840644805611E-6</v>
      </c>
      <c r="BY288" s="44">
        <f t="shared" si="330"/>
        <v>1.5067696703771429E-6</v>
      </c>
      <c r="CA288" s="44" t="str">
        <f t="shared" si="331"/>
        <v/>
      </c>
      <c r="CB288" s="44" t="str">
        <f t="shared" si="332"/>
        <v/>
      </c>
      <c r="CC288" s="44" t="str">
        <f t="shared" si="333"/>
        <v/>
      </c>
      <c r="CD288" s="44" t="str">
        <f t="shared" si="334"/>
        <v/>
      </c>
      <c r="CE288" s="44" t="str">
        <f t="shared" si="335"/>
        <v/>
      </c>
      <c r="CF288" s="44" t="str">
        <f t="shared" si="336"/>
        <v/>
      </c>
      <c r="CG288" s="44" t="str">
        <f t="shared" si="337"/>
        <v/>
      </c>
      <c r="CH288" s="44" t="str">
        <f t="shared" si="338"/>
        <v/>
      </c>
      <c r="CI288" s="44" t="str">
        <f t="shared" si="339"/>
        <v/>
      </c>
      <c r="CJ288" s="44" t="str">
        <f t="shared" si="340"/>
        <v/>
      </c>
      <c r="CK288" s="44" t="str">
        <f t="shared" si="341"/>
        <v/>
      </c>
      <c r="CL288" s="44" t="str">
        <f t="shared" si="342"/>
        <v/>
      </c>
      <c r="CM288" s="44" t="str">
        <f t="shared" si="343"/>
        <v/>
      </c>
      <c r="CN288" s="44" t="str">
        <f t="shared" si="344"/>
        <v/>
      </c>
      <c r="CO288" s="44" t="str">
        <f t="shared" si="345"/>
        <v/>
      </c>
      <c r="CP288" s="44" t="str">
        <f t="shared" si="346"/>
        <v/>
      </c>
      <c r="CQ288" s="44" t="str">
        <f t="shared" si="347"/>
        <v/>
      </c>
      <c r="CR288" s="44" t="str">
        <f t="shared" si="348"/>
        <v/>
      </c>
      <c r="CS288" s="44" t="str">
        <f t="shared" si="349"/>
        <v/>
      </c>
      <c r="CT288" s="44" t="str">
        <f t="shared" si="350"/>
        <v/>
      </c>
      <c r="CV288" s="44">
        <f t="shared" si="351"/>
        <v>0</v>
      </c>
    </row>
    <row r="289" spans="1:100" x14ac:dyDescent="0.25">
      <c r="A289" s="41"/>
      <c r="B289" s="42"/>
      <c r="C289" s="43" t="str" cm="1">
        <f t="array" ref="C289">IF(B289="","",INDEX(UWS!$B$10:$B$41,B289))</f>
        <v/>
      </c>
      <c r="D289" s="40" t="str">
        <f t="shared" si="308"/>
        <v/>
      </c>
      <c r="E289" s="69" t="str">
        <f t="shared" si="309"/>
        <v/>
      </c>
      <c r="F289" s="48" cm="1">
        <f t="array" ref="F289">0.1+IFERROR(INDEX($F$5:$F288,SUMPRODUCT(MAX(ROW($C$5:$C288)*($C289=$C$5:$C288))-ROW($A$4)))*0.9^($A289-INDEX($A$5:A288,SUMPRODUCT(MAX(ROW($C$5:$C288)*($C289=$C$5:$C288))-ROW($A$4)))),0)</f>
        <v>22.400000000000048</v>
      </c>
      <c r="G289" s="55" t="e">
        <f>INDEX(UWS!$AB$10:$AB$41,MATCH(C289,UWS!$B$10:$B$41,0))</f>
        <v>#N/A</v>
      </c>
      <c r="H289" s="48" t="e">
        <f>INDEX(UWS!$C$10:$C$41,MATCH(C289,UWS!$B$10:$B$41,0))</f>
        <v>#N/A</v>
      </c>
      <c r="I289" s="27">
        <f t="shared" si="310"/>
        <v>5</v>
      </c>
      <c r="J289" s="27" t="e">
        <f>INDEX(UWS!$E$10:$E$41,MATCH(C289,UWS!$B$10:$B$41,0))</f>
        <v>#N/A</v>
      </c>
      <c r="L289" s="108" t="str" cm="1">
        <f t="array" ref="L289">IF(K289="","",INDEX(UWS!$B$10:$B$41,K289))</f>
        <v/>
      </c>
      <c r="N289" s="108" t="str" cm="1">
        <f t="array" ref="N289">IF(M289="","",INDEX(UWS!$B$10:$B$41,M289))</f>
        <v/>
      </c>
      <c r="P289">
        <f>IFERROR(INDEX(UWS!$G$10:$Z$41,MATCH($C289,UWS!$B$10:$B$41,0),MATCH(P$4,UWS!$G$3:$Z$3,0)),0)</f>
        <v>0</v>
      </c>
      <c r="Q289">
        <f>IFERROR(INDEX(UWS!$G$10:$Z$41,MATCH($C289,UWS!$B$10:$B$41,0),MATCH(Q$4,UWS!$G$3:$Z$3,0)),0)</f>
        <v>0</v>
      </c>
      <c r="R289">
        <f>IFERROR(INDEX(UWS!$G$10:$Z$41,MATCH($C289,UWS!$B$10:$B$41,0),MATCH(R$4,UWS!$G$3:$Z$3,0)),0)</f>
        <v>0</v>
      </c>
      <c r="S289">
        <f>IFERROR(INDEX(UWS!$G$10:$Z$41,MATCH($C289,UWS!$B$10:$B$41,0),MATCH(S$4,UWS!$G$3:$Z$3,0)),0)</f>
        <v>0</v>
      </c>
      <c r="T289">
        <f>IFERROR(INDEX(UWS!$G$10:$Z$41,MATCH($C289,UWS!$B$10:$B$41,0),MATCH(T$4,UWS!$G$3:$Z$3,0)),0)</f>
        <v>0</v>
      </c>
      <c r="U289">
        <f>IFERROR(INDEX(UWS!$G$10:$Z$41,MATCH($C289,UWS!$B$10:$B$41,0),MATCH(U$4,UWS!$G$3:$Z$3,0)),0)</f>
        <v>0</v>
      </c>
      <c r="V289">
        <f>IFERROR(INDEX(UWS!$G$10:$Z$41,MATCH($C289,UWS!$B$10:$B$41,0),MATCH(V$4,UWS!$G$3:$Z$3,0)),0)</f>
        <v>0</v>
      </c>
      <c r="W289">
        <f>IFERROR(INDEX(UWS!$G$10:$Z$41,MATCH($C289,UWS!$B$10:$B$41,0),MATCH(W$4,UWS!$G$3:$Z$3,0)),0)</f>
        <v>0</v>
      </c>
      <c r="X289">
        <f>IFERROR(INDEX(UWS!$G$10:$Z$41,MATCH($C289,UWS!$B$10:$B$41,0),MATCH(X$4,UWS!$G$3:$Z$3,0)),0)</f>
        <v>0</v>
      </c>
      <c r="Y289">
        <f>IFERROR(INDEX(UWS!$G$10:$Z$41,MATCH($C289,UWS!$B$10:$B$41,0),MATCH(Y$4,UWS!$G$3:$Z$3,0)),0)</f>
        <v>0</v>
      </c>
      <c r="Z289">
        <f>IFERROR(INDEX(UWS!$G$10:$Z$41,MATCH($C289,UWS!$B$10:$B$41,0),MATCH(Z$4,UWS!$G$3:$Z$3,0)),0)</f>
        <v>0</v>
      </c>
      <c r="AA289">
        <f>IFERROR(INDEX(UWS!$G$10:$Z$41,MATCH($C289,UWS!$B$10:$B$41,0),MATCH(AA$4,UWS!$G$3:$Z$3,0)),0)</f>
        <v>0</v>
      </c>
      <c r="AB289">
        <f>IFERROR(INDEX(UWS!$G$10:$Z$41,MATCH($C289,UWS!$B$10:$B$41,0),MATCH(AB$4,UWS!$G$3:$Z$3,0)),0)</f>
        <v>0</v>
      </c>
      <c r="AC289">
        <f>IFERROR(INDEX(UWS!$G$10:$Z$41,MATCH($C289,UWS!$B$10:$B$41,0),MATCH(AC$4,UWS!$G$3:$Z$3,0)),0)</f>
        <v>0</v>
      </c>
      <c r="AD289">
        <f>IFERROR(INDEX(UWS!$G$10:$Z$41,MATCH($C289,UWS!$B$10:$B$41,0),MATCH(AD$4,UWS!$G$3:$Z$3,0)),0)</f>
        <v>0</v>
      </c>
      <c r="AE289">
        <f>IFERROR(INDEX(UWS!$G$10:$Z$41,MATCH($C289,UWS!$B$10:$B$41,0),MATCH(AE$4,UWS!$G$3:$Z$3,0)),0)</f>
        <v>0</v>
      </c>
      <c r="AF289">
        <f>IFERROR(INDEX(UWS!$G$10:$Z$41,MATCH($C289,UWS!$B$10:$B$41,0),MATCH(AF$4,UWS!$G$3:$Z$3,0)),0)</f>
        <v>0</v>
      </c>
      <c r="AG289">
        <f>IFERROR(INDEX(UWS!$G$10:$Z$41,MATCH($C289,UWS!$B$10:$B$41,0),MATCH(AG$4,UWS!$G$3:$Z$3,0)),0)</f>
        <v>0</v>
      </c>
      <c r="AH289">
        <f>IFERROR(INDEX(UWS!$G$10:$Z$41,MATCH($C289,UWS!$B$10:$B$41,0),MATCH(AH$4,UWS!$G$3:$Z$3,0)),0)</f>
        <v>0</v>
      </c>
      <c r="AI289">
        <f>IFERROR(INDEX(UWS!$G$10:$Z$41,MATCH($C289,UWS!$B$10:$B$41,0),MATCH(AI$4,UWS!$G$3:$Z$3,0)),0)</f>
        <v>0</v>
      </c>
      <c r="AK289" t="e">
        <f>IF(OR($J289=0,COUNTIFS($A$4:$A288,"&gt;="&amp;$A289-1,$A$4:$A288,"&lt;="&amp;$A289,$B$4:$B288,$B289)&gt;0,MIN(AK$1,IF($A289=$A288,AK288,1))-P289&lt;0),-1,MIN(1,IF($A289=$A288,AK288,1)-P289+$D$3))</f>
        <v>#N/A</v>
      </c>
      <c r="AL289" t="e">
        <f>IF(OR($J289=0,COUNTIFS($A$4:$A288,"&gt;="&amp;$A289-1,$A$4:$A288,"&lt;="&amp;$A289,$B$4:$B288,$B289)&gt;0,MIN(AL$1,IF($A289=$A288,AL288,1))-Q289&lt;0),-1,MIN(1,IF($A289=$A288,AL288,1)-Q289+$D$3))</f>
        <v>#N/A</v>
      </c>
      <c r="AM289" t="e">
        <f>IF(OR($J289=0,COUNTIFS($A$4:$A288,"&gt;="&amp;$A289-1,$A$4:$A288,"&lt;="&amp;$A289,$B$4:$B288,$B289)&gt;0,MIN(AM$1,IF($A289=$A288,AM288,1))-R289&lt;0),-1,MIN(1,IF($A289=$A288,AM288,1)-R289+$D$3))</f>
        <v>#N/A</v>
      </c>
      <c r="AN289" t="e">
        <f>IF(OR($J289=0,COUNTIFS($A$4:$A288,"&gt;="&amp;$A289-1,$A$4:$A288,"&lt;="&amp;$A289,$B$4:$B288,$B289)&gt;0,MIN(AN$1,IF($A289=$A288,AN288,1))-S289&lt;0),-1,MIN(1,IF($A289=$A288,AN288,1)-S289+$D$3))</f>
        <v>#N/A</v>
      </c>
      <c r="AO289" t="e">
        <f>IF(OR($J289=0,COUNTIFS($A$4:$A288,"&gt;="&amp;$A289-1,$A$4:$A288,"&lt;="&amp;$A289,$B$4:$B288,$B289)&gt;0,MIN(AO$1,IF($A289=$A288,AO288,1))-T289&lt;0),-1,MIN(1,IF($A289=$A288,AO288,1)-T289+$D$3))</f>
        <v>#N/A</v>
      </c>
      <c r="AP289" t="e">
        <f>IF(OR($J289=0,COUNTIFS($A$4:$A288,"&gt;="&amp;$A289-1,$A$4:$A288,"&lt;="&amp;$A289,$B$4:$B288,$B289)&gt;0,MIN(AP$1,IF($A289=$A288,AP288,1))-U289&lt;0),-1,MIN(1,IF($A289=$A288,AP288,1)-U289+$D$3))</f>
        <v>#N/A</v>
      </c>
      <c r="AQ289" t="e">
        <f>IF(OR($J289=0,COUNTIFS($A$4:$A288,"&gt;="&amp;$A289-1,$A$4:$A288,"&lt;="&amp;$A289,$B$4:$B288,$B289)&gt;0,MIN(AQ$1,IF($A289=$A288,AQ288,1))-V289&lt;0),-1,MIN(1,IF($A289=$A288,AQ288,1)-V289+$D$3))</f>
        <v>#N/A</v>
      </c>
      <c r="AR289" t="e">
        <f>IF(OR($J289=0,COUNTIFS($A$4:$A288,"&gt;="&amp;$A289-1,$A$4:$A288,"&lt;="&amp;$A289,$B$4:$B288,$B289)&gt;0,MIN(AR$1,IF($A289=$A288,AR288,1))-W289&lt;0),-1,MIN(1,IF($A289=$A288,AR288,1)-W289+$D$3))</f>
        <v>#N/A</v>
      </c>
      <c r="AS289" t="e">
        <f>IF(OR($J289=0,COUNTIFS($A$4:$A288,"&gt;="&amp;$A289-1,$A$4:$A288,"&lt;="&amp;$A289,$B$4:$B288,$B289)&gt;0,MIN(AS$1,IF($A289=$A288,AS288,1))-X289&lt;0),-1,MIN(1,IF($A289=$A288,AS288,1)-X289+$D$3))</f>
        <v>#N/A</v>
      </c>
      <c r="AT289" t="e">
        <f>IF(OR($J289=0,COUNTIFS($A$4:$A288,"&gt;="&amp;$A289-1,$A$4:$A288,"&lt;="&amp;$A289,$B$4:$B288,$B289)&gt;0,MIN(AT$1,IF($A289=$A288,AT288,1))-Y289&lt;0),-1,MIN(1,IF($A289=$A288,AT288,1)-Y289+$D$3))</f>
        <v>#N/A</v>
      </c>
      <c r="AU289" t="e">
        <f>IF(OR($J289=0,COUNTIFS($A$4:$A288,"&gt;="&amp;$A289-1,$A$4:$A288,"&lt;="&amp;$A289,$B$4:$B288,$B289)&gt;0,MIN(AU$1,IF($A289=$A288,AU288,1))-Z289&lt;0),-1,MIN(1,IF($A289=$A288,AU288,1)-Z289+$D$3))</f>
        <v>#N/A</v>
      </c>
      <c r="AV289" t="e">
        <f>IF(OR($J289=0,COUNTIFS($A$4:$A288,"&gt;="&amp;$A289-1,$A$4:$A288,"&lt;="&amp;$A289,$B$4:$B288,$B289)&gt;0,MIN(AV$1,IF($A289=$A288,AV288,1))-AA289&lt;0),-1,MIN(1,IF($A289=$A288,AV288,1)-AA289+$D$3))</f>
        <v>#N/A</v>
      </c>
      <c r="AW289" t="e">
        <f>IF(OR($J289=0,COUNTIFS($A$4:$A288,"&gt;="&amp;$A289-1,$A$4:$A288,"&lt;="&amp;$A289,$B$4:$B288,$B289)&gt;0,MIN(AW$1,IF($A289=$A288,AW288,1))-AB289&lt;0),-1,MIN(1,IF($A289=$A288,AW288,1)-AB289+$D$3))</f>
        <v>#N/A</v>
      </c>
      <c r="AX289" t="e">
        <f>IF(OR($J289=0,COUNTIFS($A$4:$A288,"&gt;="&amp;$A289-1,$A$4:$A288,"&lt;="&amp;$A289,$B$4:$B288,$B289)&gt;0,MIN(AX$1,IF($A289=$A288,AX288,1))-AC289&lt;0),-1,MIN(1,IF($A289=$A288,AX288,1)-AC289+$D$3))</f>
        <v>#N/A</v>
      </c>
      <c r="AY289" t="e">
        <f>IF(OR($J289=0,COUNTIFS($A$4:$A288,"&gt;="&amp;$A289-1,$A$4:$A288,"&lt;="&amp;$A289,$B$4:$B288,$B289)&gt;0,MIN(AY$1,IF($A289=$A288,AY288,1))-AD289&lt;0),-1,MIN(1,IF($A289=$A288,AY288,1)-AD289+$D$3))</f>
        <v>#N/A</v>
      </c>
      <c r="AZ289" t="e">
        <f>IF(OR($J289=0,COUNTIFS($A$4:$A288,"&gt;="&amp;$A289-1,$A$4:$A288,"&lt;="&amp;$A289,$B$4:$B288,$B289)&gt;0,MIN(AZ$1,IF($A289=$A288,AZ288,1))-AE289&lt;0),-1,MIN(1,IF($A289=$A288,AZ288,1)-AE289+$D$3))</f>
        <v>#N/A</v>
      </c>
      <c r="BA289" t="e">
        <f>IF(OR($J289=0,COUNTIFS($A$4:$A288,"&gt;="&amp;$A289-1,$A$4:$A288,"&lt;="&amp;$A289,$B$4:$B288,$B289)&gt;0,MIN(BA$1,IF($A289=$A288,BA288,1))-AF289&lt;0),-1,MIN(1,IF($A289=$A288,BA288,1)-AF289+$D$3))</f>
        <v>#N/A</v>
      </c>
      <c r="BB289" t="e">
        <f>IF(OR($J289=0,COUNTIFS($A$4:$A288,"&gt;="&amp;$A289-1,$A$4:$A288,"&lt;="&amp;$A289,$B$4:$B288,$B289)&gt;0,MIN(BB$1,IF($A289=$A288,BB288,1))-AG289&lt;0),-1,MIN(1,IF($A289=$A288,BB288,1)-AG289+$D$3))</f>
        <v>#N/A</v>
      </c>
      <c r="BC289" t="e">
        <f>IF(OR($J289=0,COUNTIFS($A$4:$A288,"&gt;="&amp;$A289-1,$A$4:$A288,"&lt;="&amp;$A289,$B$4:$B288,$B289)&gt;0,MIN(BC$1,IF($A289=$A288,BC288,1))-AH289&lt;0),-1,MIN(1,IF($A289=$A288,BC288,1)-AH289+$D$3))</f>
        <v>#N/A</v>
      </c>
      <c r="BD289" t="e">
        <f>IF(OR($J289=0,COUNTIFS($A$4:$A288,"&gt;="&amp;$A289-1,$A$4:$A288,"&lt;="&amp;$A289,$B$4:$B288,$B289)&gt;0,MIN(BD$1,IF($A289=$A288,BD288,1))-AI289&lt;0),-1,MIN(1,IF($A289=$A288,BD288,1)-AI289+$D$3))</f>
        <v>#N/A</v>
      </c>
      <c r="BF289" s="44">
        <f t="shared" si="311"/>
        <v>9.4958402779093878E-7</v>
      </c>
      <c r="BG289" s="44">
        <f t="shared" si="312"/>
        <v>2.3352950791566841E-6</v>
      </c>
      <c r="BH289" s="44">
        <f t="shared" si="313"/>
        <v>2.3934318071510854E-6</v>
      </c>
      <c r="BI289" s="44">
        <f t="shared" si="314"/>
        <v>2.2108664815173607E-6</v>
      </c>
      <c r="BJ289" s="44">
        <f t="shared" si="315"/>
        <v>2.2851403993795979E-6</v>
      </c>
      <c r="BK289" s="44">
        <f t="shared" si="316"/>
        <v>9.8132448881534367E-7</v>
      </c>
      <c r="BL289" s="44">
        <f t="shared" si="317"/>
        <v>5.3012692744183554E-7</v>
      </c>
      <c r="BM289" s="44">
        <f t="shared" si="318"/>
        <v>1.3485809978211225E-6</v>
      </c>
      <c r="BN289" s="44">
        <f t="shared" si="319"/>
        <v>1.4026293399080095E-6</v>
      </c>
      <c r="BO289" s="44">
        <f t="shared" si="320"/>
        <v>6.573253323555149E-7</v>
      </c>
      <c r="BP289" s="44">
        <f t="shared" si="321"/>
        <v>2.2102417847065856E-6</v>
      </c>
      <c r="BQ289" s="44">
        <f t="shared" si="322"/>
        <v>5.9645276404988526E-7</v>
      </c>
      <c r="BR289" s="44">
        <f t="shared" si="323"/>
        <v>1.7620707727446092E-6</v>
      </c>
      <c r="BS289" s="44">
        <f t="shared" si="324"/>
        <v>9.5030815062091692E-7</v>
      </c>
      <c r="BT289" s="44">
        <f t="shared" si="325"/>
        <v>3.7606606941040624E-6</v>
      </c>
      <c r="BU289" s="44">
        <f t="shared" si="326"/>
        <v>3.5925625889229207E-6</v>
      </c>
      <c r="BV289" s="44">
        <f t="shared" si="327"/>
        <v>3.4501782530765013E-6</v>
      </c>
      <c r="BW289" s="44">
        <f t="shared" si="328"/>
        <v>2.2566064422607858E-6</v>
      </c>
      <c r="BX289" s="44">
        <f t="shared" si="329"/>
        <v>1.667139861256533E-6</v>
      </c>
      <c r="BY289" s="44">
        <f t="shared" si="330"/>
        <v>1.4314311868582858E-6</v>
      </c>
      <c r="CA289" s="44" t="str">
        <f t="shared" si="331"/>
        <v/>
      </c>
      <c r="CB289" s="44" t="str">
        <f t="shared" si="332"/>
        <v/>
      </c>
      <c r="CC289" s="44" t="str">
        <f t="shared" si="333"/>
        <v/>
      </c>
      <c r="CD289" s="44" t="str">
        <f t="shared" si="334"/>
        <v/>
      </c>
      <c r="CE289" s="44" t="str">
        <f t="shared" si="335"/>
        <v/>
      </c>
      <c r="CF289" s="44" t="str">
        <f t="shared" si="336"/>
        <v/>
      </c>
      <c r="CG289" s="44" t="str">
        <f t="shared" si="337"/>
        <v/>
      </c>
      <c r="CH289" s="44" t="str">
        <f t="shared" si="338"/>
        <v/>
      </c>
      <c r="CI289" s="44" t="str">
        <f t="shared" si="339"/>
        <v/>
      </c>
      <c r="CJ289" s="44" t="str">
        <f t="shared" si="340"/>
        <v/>
      </c>
      <c r="CK289" s="44" t="str">
        <f t="shared" si="341"/>
        <v/>
      </c>
      <c r="CL289" s="44" t="str">
        <f t="shared" si="342"/>
        <v/>
      </c>
      <c r="CM289" s="44" t="str">
        <f t="shared" si="343"/>
        <v/>
      </c>
      <c r="CN289" s="44" t="str">
        <f t="shared" si="344"/>
        <v/>
      </c>
      <c r="CO289" s="44" t="str">
        <f t="shared" si="345"/>
        <v/>
      </c>
      <c r="CP289" s="44" t="str">
        <f t="shared" si="346"/>
        <v/>
      </c>
      <c r="CQ289" s="44" t="str">
        <f t="shared" si="347"/>
        <v/>
      </c>
      <c r="CR289" s="44" t="str">
        <f t="shared" si="348"/>
        <v/>
      </c>
      <c r="CS289" s="44" t="str">
        <f t="shared" si="349"/>
        <v/>
      </c>
      <c r="CT289" s="44" t="str">
        <f t="shared" si="350"/>
        <v/>
      </c>
      <c r="CV289" s="44">
        <f t="shared" si="351"/>
        <v>0</v>
      </c>
    </row>
    <row r="290" spans="1:100" x14ac:dyDescent="0.25">
      <c r="A290" s="49"/>
      <c r="B290" s="50"/>
      <c r="C290" s="51" t="str" cm="1">
        <f t="array" ref="C290">IF(B290="","",INDEX(UWS!$B$10:$B$41,B290))</f>
        <v/>
      </c>
      <c r="D290" s="45" t="str">
        <f t="shared" si="308"/>
        <v/>
      </c>
      <c r="E290" s="70" t="str">
        <f t="shared" si="309"/>
        <v/>
      </c>
      <c r="F290" s="52" cm="1">
        <f t="array" ref="F290">0.1+IFERROR(INDEX($F$5:$F289,SUMPRODUCT(MAX(ROW($C$5:$C289)*($C290=$C$5:$C289))-ROW($A$4)))*0.9^($A290-INDEX($A$5:A289,SUMPRODUCT(MAX(ROW($C$5:$C289)*($C290=$C$5:$C289))-ROW($A$4)))),0)</f>
        <v>22.50000000000005</v>
      </c>
      <c r="G290" s="56" t="e">
        <f>INDEX(UWS!$AB$10:$AB$41,MATCH(C290,UWS!$B$10:$B$41,0))</f>
        <v>#N/A</v>
      </c>
      <c r="H290" s="52" t="e">
        <f>INDEX(UWS!$C$10:$C$41,MATCH(C290,UWS!$B$10:$B$41,0))</f>
        <v>#N/A</v>
      </c>
      <c r="I290" s="46">
        <f t="shared" si="310"/>
        <v>5</v>
      </c>
      <c r="J290" s="46" t="e">
        <f>INDEX(UWS!$E$10:$E$41,MATCH(C290,UWS!$B$10:$B$41,0))</f>
        <v>#N/A</v>
      </c>
      <c r="K290" s="46"/>
      <c r="L290" s="109" t="str" cm="1">
        <f t="array" ref="L290">IF(K290="","",INDEX(UWS!$B$10:$B$41,K290))</f>
        <v/>
      </c>
      <c r="M290" s="46"/>
      <c r="N290" s="109" t="str" cm="1">
        <f t="array" ref="N290">IF(M290="","",INDEX(UWS!$B$10:$B$41,M290))</f>
        <v/>
      </c>
      <c r="O290" s="47"/>
      <c r="P290" s="47">
        <f>IFERROR(INDEX(UWS!$G$10:$Z$41,MATCH($C290,UWS!$B$10:$B$41,0),MATCH(P$4,UWS!$G$3:$Z$3,0)),0)</f>
        <v>0</v>
      </c>
      <c r="Q290" s="47">
        <f>IFERROR(INDEX(UWS!$G$10:$Z$41,MATCH($C290,UWS!$B$10:$B$41,0),MATCH(Q$4,UWS!$G$3:$Z$3,0)),0)</f>
        <v>0</v>
      </c>
      <c r="R290" s="47">
        <f>IFERROR(INDEX(UWS!$G$10:$Z$41,MATCH($C290,UWS!$B$10:$B$41,0),MATCH(R$4,UWS!$G$3:$Z$3,0)),0)</f>
        <v>0</v>
      </c>
      <c r="S290" s="47">
        <f>IFERROR(INDEX(UWS!$G$10:$Z$41,MATCH($C290,UWS!$B$10:$B$41,0),MATCH(S$4,UWS!$G$3:$Z$3,0)),0)</f>
        <v>0</v>
      </c>
      <c r="T290" s="47">
        <f>IFERROR(INDEX(UWS!$G$10:$Z$41,MATCH($C290,UWS!$B$10:$B$41,0),MATCH(T$4,UWS!$G$3:$Z$3,0)),0)</f>
        <v>0</v>
      </c>
      <c r="U290" s="47">
        <f>IFERROR(INDEX(UWS!$G$10:$Z$41,MATCH($C290,UWS!$B$10:$B$41,0),MATCH(U$4,UWS!$G$3:$Z$3,0)),0)</f>
        <v>0</v>
      </c>
      <c r="V290" s="47">
        <f>IFERROR(INDEX(UWS!$G$10:$Z$41,MATCH($C290,UWS!$B$10:$B$41,0),MATCH(V$4,UWS!$G$3:$Z$3,0)),0)</f>
        <v>0</v>
      </c>
      <c r="W290" s="47">
        <f>IFERROR(INDEX(UWS!$G$10:$Z$41,MATCH($C290,UWS!$B$10:$B$41,0),MATCH(W$4,UWS!$G$3:$Z$3,0)),0)</f>
        <v>0</v>
      </c>
      <c r="X290" s="47">
        <f>IFERROR(INDEX(UWS!$G$10:$Z$41,MATCH($C290,UWS!$B$10:$B$41,0),MATCH(X$4,UWS!$G$3:$Z$3,0)),0)</f>
        <v>0</v>
      </c>
      <c r="Y290" s="47">
        <f>IFERROR(INDEX(UWS!$G$10:$Z$41,MATCH($C290,UWS!$B$10:$B$41,0),MATCH(Y$4,UWS!$G$3:$Z$3,0)),0)</f>
        <v>0</v>
      </c>
      <c r="Z290" s="47">
        <f>IFERROR(INDEX(UWS!$G$10:$Z$41,MATCH($C290,UWS!$B$10:$B$41,0),MATCH(Z$4,UWS!$G$3:$Z$3,0)),0)</f>
        <v>0</v>
      </c>
      <c r="AA290" s="47">
        <f>IFERROR(INDEX(UWS!$G$10:$Z$41,MATCH($C290,UWS!$B$10:$B$41,0),MATCH(AA$4,UWS!$G$3:$Z$3,0)),0)</f>
        <v>0</v>
      </c>
      <c r="AB290" s="47">
        <f>IFERROR(INDEX(UWS!$G$10:$Z$41,MATCH($C290,UWS!$B$10:$B$41,0),MATCH(AB$4,UWS!$G$3:$Z$3,0)),0)</f>
        <v>0</v>
      </c>
      <c r="AC290" s="47">
        <f>IFERROR(INDEX(UWS!$G$10:$Z$41,MATCH($C290,UWS!$B$10:$B$41,0),MATCH(AC$4,UWS!$G$3:$Z$3,0)),0)</f>
        <v>0</v>
      </c>
      <c r="AD290" s="47">
        <f>IFERROR(INDEX(UWS!$G$10:$Z$41,MATCH($C290,UWS!$B$10:$B$41,0),MATCH(AD$4,UWS!$G$3:$Z$3,0)),0)</f>
        <v>0</v>
      </c>
      <c r="AE290" s="47">
        <f>IFERROR(INDEX(UWS!$G$10:$Z$41,MATCH($C290,UWS!$B$10:$B$41,0),MATCH(AE$4,UWS!$G$3:$Z$3,0)),0)</f>
        <v>0</v>
      </c>
      <c r="AF290" s="47">
        <f>IFERROR(INDEX(UWS!$G$10:$Z$41,MATCH($C290,UWS!$B$10:$B$41,0),MATCH(AF$4,UWS!$G$3:$Z$3,0)),0)</f>
        <v>0</v>
      </c>
      <c r="AG290" s="47">
        <f>IFERROR(INDEX(UWS!$G$10:$Z$41,MATCH($C290,UWS!$B$10:$B$41,0),MATCH(AG$4,UWS!$G$3:$Z$3,0)),0)</f>
        <v>0</v>
      </c>
      <c r="AH290" s="47">
        <f>IFERROR(INDEX(UWS!$G$10:$Z$41,MATCH($C290,UWS!$B$10:$B$41,0),MATCH(AH$4,UWS!$G$3:$Z$3,0)),0)</f>
        <v>0</v>
      </c>
      <c r="AI290" s="47">
        <f>IFERROR(INDEX(UWS!$G$10:$Z$41,MATCH($C290,UWS!$B$10:$B$41,0),MATCH(AI$4,UWS!$G$3:$Z$3,0)),0)</f>
        <v>0</v>
      </c>
      <c r="AJ290" s="47"/>
      <c r="AK290" s="47" t="e">
        <f>IF(OR($J290=0,COUNTIFS($A$4:$A289,"&gt;="&amp;$A290-1,$A$4:$A289,"&lt;="&amp;$A290,$B$4:$B289,$B290)&gt;0,MIN(AK$1,IF($A290=$A289,AK289,1))-P290&lt;0),-1,MIN(1,IF($A290=$A289,AK289,1)-P290+$D$3))</f>
        <v>#N/A</v>
      </c>
      <c r="AL290" s="47" t="e">
        <f>IF(OR($J290=0,COUNTIFS($A$4:$A289,"&gt;="&amp;$A290-1,$A$4:$A289,"&lt;="&amp;$A290,$B$4:$B289,$B290)&gt;0,MIN(AL$1,IF($A290=$A289,AL289,1))-Q290&lt;0),-1,MIN(1,IF($A290=$A289,AL289,1)-Q290+$D$3))</f>
        <v>#N/A</v>
      </c>
      <c r="AM290" s="47" t="e">
        <f>IF(OR($J290=0,COUNTIFS($A$4:$A289,"&gt;="&amp;$A290-1,$A$4:$A289,"&lt;="&amp;$A290,$B$4:$B289,$B290)&gt;0,MIN(AM$1,IF($A290=$A289,AM289,1))-R290&lt;0),-1,MIN(1,IF($A290=$A289,AM289,1)-R290+$D$3))</f>
        <v>#N/A</v>
      </c>
      <c r="AN290" s="47" t="e">
        <f>IF(OR($J290=0,COUNTIFS($A$4:$A289,"&gt;="&amp;$A290-1,$A$4:$A289,"&lt;="&amp;$A290,$B$4:$B289,$B290)&gt;0,MIN(AN$1,IF($A290=$A289,AN289,1))-S290&lt;0),-1,MIN(1,IF($A290=$A289,AN289,1)-S290+$D$3))</f>
        <v>#N/A</v>
      </c>
      <c r="AO290" s="47" t="e">
        <f>IF(OR($J290=0,COUNTIFS($A$4:$A289,"&gt;="&amp;$A290-1,$A$4:$A289,"&lt;="&amp;$A290,$B$4:$B289,$B290)&gt;0,MIN(AO$1,IF($A290=$A289,AO289,1))-T290&lt;0),-1,MIN(1,IF($A290=$A289,AO289,1)-T290+$D$3))</f>
        <v>#N/A</v>
      </c>
      <c r="AP290" s="47" t="e">
        <f>IF(OR($J290=0,COUNTIFS($A$4:$A289,"&gt;="&amp;$A290-1,$A$4:$A289,"&lt;="&amp;$A290,$B$4:$B289,$B290)&gt;0,MIN(AP$1,IF($A290=$A289,AP289,1))-U290&lt;0),-1,MIN(1,IF($A290=$A289,AP289,1)-U290+$D$3))</f>
        <v>#N/A</v>
      </c>
      <c r="AQ290" s="47" t="e">
        <f>IF(OR($J290=0,COUNTIFS($A$4:$A289,"&gt;="&amp;$A290-1,$A$4:$A289,"&lt;="&amp;$A290,$B$4:$B289,$B290)&gt;0,MIN(AQ$1,IF($A290=$A289,AQ289,1))-V290&lt;0),-1,MIN(1,IF($A290=$A289,AQ289,1)-V290+$D$3))</f>
        <v>#N/A</v>
      </c>
      <c r="AR290" s="47" t="e">
        <f>IF(OR($J290=0,COUNTIFS($A$4:$A289,"&gt;="&amp;$A290-1,$A$4:$A289,"&lt;="&amp;$A290,$B$4:$B289,$B290)&gt;0,MIN(AR$1,IF($A290=$A289,AR289,1))-W290&lt;0),-1,MIN(1,IF($A290=$A289,AR289,1)-W290+$D$3))</f>
        <v>#N/A</v>
      </c>
      <c r="AS290" s="47" t="e">
        <f>IF(OR($J290=0,COUNTIFS($A$4:$A289,"&gt;="&amp;$A290-1,$A$4:$A289,"&lt;="&amp;$A290,$B$4:$B289,$B290)&gt;0,MIN(AS$1,IF($A290=$A289,AS289,1))-X290&lt;0),-1,MIN(1,IF($A290=$A289,AS289,1)-X290+$D$3))</f>
        <v>#N/A</v>
      </c>
      <c r="AT290" s="47" t="e">
        <f>IF(OR($J290=0,COUNTIFS($A$4:$A289,"&gt;="&amp;$A290-1,$A$4:$A289,"&lt;="&amp;$A290,$B$4:$B289,$B290)&gt;0,MIN(AT$1,IF($A290=$A289,AT289,1))-Y290&lt;0),-1,MIN(1,IF($A290=$A289,AT289,1)-Y290+$D$3))</f>
        <v>#N/A</v>
      </c>
      <c r="AU290" s="47" t="e">
        <f>IF(OR($J290=0,COUNTIFS($A$4:$A289,"&gt;="&amp;$A290-1,$A$4:$A289,"&lt;="&amp;$A290,$B$4:$B289,$B290)&gt;0,MIN(AU$1,IF($A290=$A289,AU289,1))-Z290&lt;0),-1,MIN(1,IF($A290=$A289,AU289,1)-Z290+$D$3))</f>
        <v>#N/A</v>
      </c>
      <c r="AV290" s="47" t="e">
        <f>IF(OR($J290=0,COUNTIFS($A$4:$A289,"&gt;="&amp;$A290-1,$A$4:$A289,"&lt;="&amp;$A290,$B$4:$B289,$B290)&gt;0,MIN(AV$1,IF($A290=$A289,AV289,1))-AA290&lt;0),-1,MIN(1,IF($A290=$A289,AV289,1)-AA290+$D$3))</f>
        <v>#N/A</v>
      </c>
      <c r="AW290" s="47" t="e">
        <f>IF(OR($J290=0,COUNTIFS($A$4:$A289,"&gt;="&amp;$A290-1,$A$4:$A289,"&lt;="&amp;$A290,$B$4:$B289,$B290)&gt;0,MIN(AW$1,IF($A290=$A289,AW289,1))-AB290&lt;0),-1,MIN(1,IF($A290=$A289,AW289,1)-AB290+$D$3))</f>
        <v>#N/A</v>
      </c>
      <c r="AX290" s="47" t="e">
        <f>IF(OR($J290=0,COUNTIFS($A$4:$A289,"&gt;="&amp;$A290-1,$A$4:$A289,"&lt;="&amp;$A290,$B$4:$B289,$B290)&gt;0,MIN(AX$1,IF($A290=$A289,AX289,1))-AC290&lt;0),-1,MIN(1,IF($A290=$A289,AX289,1)-AC290+$D$3))</f>
        <v>#N/A</v>
      </c>
      <c r="AY290" s="47" t="e">
        <f>IF(OR($J290=0,COUNTIFS($A$4:$A289,"&gt;="&amp;$A290-1,$A$4:$A289,"&lt;="&amp;$A290,$B$4:$B289,$B290)&gt;0,MIN(AY$1,IF($A290=$A289,AY289,1))-AD290&lt;0),-1,MIN(1,IF($A290=$A289,AY289,1)-AD290+$D$3))</f>
        <v>#N/A</v>
      </c>
      <c r="AZ290" s="47" t="e">
        <f>IF(OR($J290=0,COUNTIFS($A$4:$A289,"&gt;="&amp;$A290-1,$A$4:$A289,"&lt;="&amp;$A290,$B$4:$B289,$B290)&gt;0,MIN(AZ$1,IF($A290=$A289,AZ289,1))-AE290&lt;0),-1,MIN(1,IF($A290=$A289,AZ289,1)-AE290+$D$3))</f>
        <v>#N/A</v>
      </c>
      <c r="BA290" s="47" t="e">
        <f>IF(OR($J290=0,COUNTIFS($A$4:$A289,"&gt;="&amp;$A290-1,$A$4:$A289,"&lt;="&amp;$A290,$B$4:$B289,$B290)&gt;0,MIN(BA$1,IF($A290=$A289,BA289,1))-AF290&lt;0),-1,MIN(1,IF($A290=$A289,BA289,1)-AF290+$D$3))</f>
        <v>#N/A</v>
      </c>
      <c r="BB290" s="47" t="e">
        <f>IF(OR($J290=0,COUNTIFS($A$4:$A289,"&gt;="&amp;$A290-1,$A$4:$A289,"&lt;="&amp;$A290,$B$4:$B289,$B290)&gt;0,MIN(BB$1,IF($A290=$A289,BB289,1))-AG290&lt;0),-1,MIN(1,IF($A290=$A289,BB289,1)-AG290+$D$3))</f>
        <v>#N/A</v>
      </c>
      <c r="BC290" s="47" t="e">
        <f>IF(OR($J290=0,COUNTIFS($A$4:$A289,"&gt;="&amp;$A290-1,$A$4:$A289,"&lt;="&amp;$A290,$B$4:$B289,$B290)&gt;0,MIN(BC$1,IF($A290=$A289,BC289,1))-AH290&lt;0),-1,MIN(1,IF($A290=$A289,BC289,1)-AH290+$D$3))</f>
        <v>#N/A</v>
      </c>
      <c r="BD290" s="47" t="e">
        <f>IF(OR($J290=0,COUNTIFS($A$4:$A289,"&gt;="&amp;$A290-1,$A$4:$A289,"&lt;="&amp;$A290,$B$4:$B289,$B290)&gt;0,MIN(BD$1,IF($A290=$A289,BD289,1))-AI290&lt;0),-1,MIN(1,IF($A290=$A289,BD289,1)-AI290+$D$3))</f>
        <v>#N/A</v>
      </c>
      <c r="BE290" s="47"/>
      <c r="BF290" s="53">
        <f t="shared" si="311"/>
        <v>9.0210482640139181E-7</v>
      </c>
      <c r="BG290" s="53">
        <f t="shared" si="312"/>
        <v>2.2185303251988497E-6</v>
      </c>
      <c r="BH290" s="53">
        <f t="shared" si="313"/>
        <v>2.2737602167935308E-6</v>
      </c>
      <c r="BI290" s="53">
        <f t="shared" si="314"/>
        <v>2.1003231574414927E-6</v>
      </c>
      <c r="BJ290" s="53">
        <f t="shared" si="315"/>
        <v>2.1708833794106181E-6</v>
      </c>
      <c r="BK290" s="53">
        <f t="shared" si="316"/>
        <v>9.3225826437457646E-7</v>
      </c>
      <c r="BL290" s="53">
        <f t="shared" si="317"/>
        <v>5.0362058106974379E-7</v>
      </c>
      <c r="BM290" s="53">
        <f t="shared" si="318"/>
        <v>1.2811519479300663E-6</v>
      </c>
      <c r="BN290" s="53">
        <f t="shared" si="319"/>
        <v>1.332497872912609E-6</v>
      </c>
      <c r="BO290" s="53">
        <f t="shared" si="320"/>
        <v>6.2445906573773909E-7</v>
      </c>
      <c r="BP290" s="53">
        <f t="shared" si="321"/>
        <v>2.0997296954712563E-6</v>
      </c>
      <c r="BQ290" s="53">
        <f t="shared" si="322"/>
        <v>5.6663012584739094E-7</v>
      </c>
      <c r="BR290" s="53">
        <f t="shared" si="323"/>
        <v>1.6739672341073787E-6</v>
      </c>
      <c r="BS290" s="53">
        <f t="shared" si="324"/>
        <v>9.0279274308987104E-7</v>
      </c>
      <c r="BT290" s="53">
        <f t="shared" si="325"/>
        <v>3.5726276593988593E-6</v>
      </c>
      <c r="BU290" s="53">
        <f t="shared" si="326"/>
        <v>3.4129344594767747E-6</v>
      </c>
      <c r="BV290" s="53">
        <f t="shared" si="327"/>
        <v>3.2776693404226759E-6</v>
      </c>
      <c r="BW290" s="53">
        <f t="shared" si="328"/>
        <v>2.1437761201477466E-6</v>
      </c>
      <c r="BX290" s="53">
        <f t="shared" si="329"/>
        <v>1.5837828681937064E-6</v>
      </c>
      <c r="BY290" s="53">
        <f t="shared" si="330"/>
        <v>1.3598596275153713E-6</v>
      </c>
      <c r="BZ290" s="47"/>
      <c r="CA290" s="53" t="str">
        <f t="shared" si="331"/>
        <v/>
      </c>
      <c r="CB290" s="53" t="str">
        <f t="shared" si="332"/>
        <v/>
      </c>
      <c r="CC290" s="53" t="str">
        <f t="shared" si="333"/>
        <v/>
      </c>
      <c r="CD290" s="53" t="str">
        <f t="shared" si="334"/>
        <v/>
      </c>
      <c r="CE290" s="53" t="str">
        <f t="shared" si="335"/>
        <v/>
      </c>
      <c r="CF290" s="53" t="str">
        <f t="shared" si="336"/>
        <v/>
      </c>
      <c r="CG290" s="53" t="str">
        <f t="shared" si="337"/>
        <v/>
      </c>
      <c r="CH290" s="53" t="str">
        <f t="shared" si="338"/>
        <v/>
      </c>
      <c r="CI290" s="53" t="str">
        <f t="shared" si="339"/>
        <v/>
      </c>
      <c r="CJ290" s="53" t="str">
        <f t="shared" si="340"/>
        <v/>
      </c>
      <c r="CK290" s="53" t="str">
        <f t="shared" si="341"/>
        <v/>
      </c>
      <c r="CL290" s="53" t="str">
        <f t="shared" si="342"/>
        <v/>
      </c>
      <c r="CM290" s="53" t="str">
        <f t="shared" si="343"/>
        <v/>
      </c>
      <c r="CN290" s="53" t="str">
        <f t="shared" si="344"/>
        <v/>
      </c>
      <c r="CO290" s="53" t="str">
        <f t="shared" si="345"/>
        <v/>
      </c>
      <c r="CP290" s="53" t="str">
        <f t="shared" si="346"/>
        <v/>
      </c>
      <c r="CQ290" s="53" t="str">
        <f t="shared" si="347"/>
        <v/>
      </c>
      <c r="CR290" s="53" t="str">
        <f t="shared" si="348"/>
        <v/>
      </c>
      <c r="CS290" s="53" t="str">
        <f t="shared" si="349"/>
        <v/>
      </c>
      <c r="CT290" s="53" t="str">
        <f t="shared" si="350"/>
        <v/>
      </c>
      <c r="CU290" s="47"/>
      <c r="CV290" s="53">
        <f t="shared" si="351"/>
        <v>0</v>
      </c>
    </row>
    <row r="291" spans="1:100" x14ac:dyDescent="0.25">
      <c r="A291" s="41"/>
      <c r="B291" s="42"/>
      <c r="C291" s="43" t="str" cm="1">
        <f t="array" ref="C291">IF(B291="","",INDEX(UWS!$B$10:$B$41,B291))</f>
        <v/>
      </c>
      <c r="D291" s="40" t="str">
        <f t="shared" si="308"/>
        <v/>
      </c>
      <c r="E291" s="69" t="str">
        <f t="shared" si="309"/>
        <v/>
      </c>
      <c r="F291" s="48" cm="1">
        <f t="array" ref="F291">0.1+IFERROR(INDEX($F$5:$F290,SUMPRODUCT(MAX(ROW($C$5:$C290)*($C291=$C$5:$C290))-ROW($A$4)))*0.9^($A291-INDEX($A$5:A290,SUMPRODUCT(MAX(ROW($C$5:$C290)*($C291=$C$5:$C290))-ROW($A$4)))),0)</f>
        <v>22.600000000000051</v>
      </c>
      <c r="G291" s="55" t="e">
        <f>INDEX(UWS!$AB$10:$AB$41,MATCH(C291,UWS!$B$10:$B$41,0))</f>
        <v>#N/A</v>
      </c>
      <c r="H291" s="48" t="e">
        <f>INDEX(UWS!$C$10:$C$41,MATCH(C291,UWS!$B$10:$B$41,0))</f>
        <v>#N/A</v>
      </c>
      <c r="I291" s="82">
        <f t="shared" si="310"/>
        <v>5</v>
      </c>
      <c r="J291" s="27" t="e">
        <f>INDEX(UWS!$E$10:$E$41,MATCH(C291,UWS!$B$10:$B$41,0))</f>
        <v>#N/A</v>
      </c>
      <c r="L291" s="108" t="str" cm="1">
        <f t="array" ref="L291">IF(K291="","",INDEX(UWS!$B$10:$B$41,K291))</f>
        <v/>
      </c>
      <c r="N291" s="108" t="str" cm="1">
        <f t="array" ref="N291">IF(M291="","",INDEX(UWS!$B$10:$B$41,M291))</f>
        <v/>
      </c>
      <c r="P291">
        <f>IFERROR(INDEX(UWS!$G$10:$Z$41,MATCH($C291,UWS!$B$10:$B$41,0),MATCH(P$4,UWS!$G$3:$Z$3,0)),0)</f>
        <v>0</v>
      </c>
      <c r="Q291">
        <f>IFERROR(INDEX(UWS!$G$10:$Z$41,MATCH($C291,UWS!$B$10:$B$41,0),MATCH(Q$4,UWS!$G$3:$Z$3,0)),0)</f>
        <v>0</v>
      </c>
      <c r="R291">
        <f>IFERROR(INDEX(UWS!$G$10:$Z$41,MATCH($C291,UWS!$B$10:$B$41,0),MATCH(R$4,UWS!$G$3:$Z$3,0)),0)</f>
        <v>0</v>
      </c>
      <c r="S291">
        <f>IFERROR(INDEX(UWS!$G$10:$Z$41,MATCH($C291,UWS!$B$10:$B$41,0),MATCH(S$4,UWS!$G$3:$Z$3,0)),0)</f>
        <v>0</v>
      </c>
      <c r="T291">
        <f>IFERROR(INDEX(UWS!$G$10:$Z$41,MATCH($C291,UWS!$B$10:$B$41,0),MATCH(T$4,UWS!$G$3:$Z$3,0)),0)</f>
        <v>0</v>
      </c>
      <c r="U291">
        <f>IFERROR(INDEX(UWS!$G$10:$Z$41,MATCH($C291,UWS!$B$10:$B$41,0),MATCH(U$4,UWS!$G$3:$Z$3,0)),0)</f>
        <v>0</v>
      </c>
      <c r="V291">
        <f>IFERROR(INDEX(UWS!$G$10:$Z$41,MATCH($C291,UWS!$B$10:$B$41,0),MATCH(V$4,UWS!$G$3:$Z$3,0)),0)</f>
        <v>0</v>
      </c>
      <c r="W291">
        <f>IFERROR(INDEX(UWS!$G$10:$Z$41,MATCH($C291,UWS!$B$10:$B$41,0),MATCH(W$4,UWS!$G$3:$Z$3,0)),0)</f>
        <v>0</v>
      </c>
      <c r="X291">
        <f>IFERROR(INDEX(UWS!$G$10:$Z$41,MATCH($C291,UWS!$B$10:$B$41,0),MATCH(X$4,UWS!$G$3:$Z$3,0)),0)</f>
        <v>0</v>
      </c>
      <c r="Y291">
        <f>IFERROR(INDEX(UWS!$G$10:$Z$41,MATCH($C291,UWS!$B$10:$B$41,0),MATCH(Y$4,UWS!$G$3:$Z$3,0)),0)</f>
        <v>0</v>
      </c>
      <c r="Z291">
        <f>IFERROR(INDEX(UWS!$G$10:$Z$41,MATCH($C291,UWS!$B$10:$B$41,0),MATCH(Z$4,UWS!$G$3:$Z$3,0)),0)</f>
        <v>0</v>
      </c>
      <c r="AA291">
        <f>IFERROR(INDEX(UWS!$G$10:$Z$41,MATCH($C291,UWS!$B$10:$B$41,0),MATCH(AA$4,UWS!$G$3:$Z$3,0)),0)</f>
        <v>0</v>
      </c>
      <c r="AB291">
        <f>IFERROR(INDEX(UWS!$G$10:$Z$41,MATCH($C291,UWS!$B$10:$B$41,0),MATCH(AB$4,UWS!$G$3:$Z$3,0)),0)</f>
        <v>0</v>
      </c>
      <c r="AC291">
        <f>IFERROR(INDEX(UWS!$G$10:$Z$41,MATCH($C291,UWS!$B$10:$B$41,0),MATCH(AC$4,UWS!$G$3:$Z$3,0)),0)</f>
        <v>0</v>
      </c>
      <c r="AD291">
        <f>IFERROR(INDEX(UWS!$G$10:$Z$41,MATCH($C291,UWS!$B$10:$B$41,0),MATCH(AD$4,UWS!$G$3:$Z$3,0)),0)</f>
        <v>0</v>
      </c>
      <c r="AE291">
        <f>IFERROR(INDEX(UWS!$G$10:$Z$41,MATCH($C291,UWS!$B$10:$B$41,0),MATCH(AE$4,UWS!$G$3:$Z$3,0)),0)</f>
        <v>0</v>
      </c>
      <c r="AF291">
        <f>IFERROR(INDEX(UWS!$G$10:$Z$41,MATCH($C291,UWS!$B$10:$B$41,0),MATCH(AF$4,UWS!$G$3:$Z$3,0)),0)</f>
        <v>0</v>
      </c>
      <c r="AG291">
        <f>IFERROR(INDEX(UWS!$G$10:$Z$41,MATCH($C291,UWS!$B$10:$B$41,0),MATCH(AG$4,UWS!$G$3:$Z$3,0)),0)</f>
        <v>0</v>
      </c>
      <c r="AH291">
        <f>IFERROR(INDEX(UWS!$G$10:$Z$41,MATCH($C291,UWS!$B$10:$B$41,0),MATCH(AH$4,UWS!$G$3:$Z$3,0)),0)</f>
        <v>0</v>
      </c>
      <c r="AI291">
        <f>IFERROR(INDEX(UWS!$G$10:$Z$41,MATCH($C291,UWS!$B$10:$B$41,0),MATCH(AI$4,UWS!$G$3:$Z$3,0)),0)</f>
        <v>0</v>
      </c>
      <c r="AK291" t="e">
        <f>IF(OR($J291=0,COUNTIFS($A$4:$A290,"&gt;="&amp;$A291-1,$A$4:$A290,"&lt;="&amp;$A291,$B$4:$B290,$B291)&gt;0,MIN(AK$1,IF($A291=$A290,AK290,1))-P291&lt;0),-1,MIN(1,IF($A291=$A290,AK290,1)-P291+$D$3))</f>
        <v>#N/A</v>
      </c>
      <c r="AL291" t="e">
        <f>IF(OR($J291=0,COUNTIFS($A$4:$A290,"&gt;="&amp;$A291-1,$A$4:$A290,"&lt;="&amp;$A291,$B$4:$B290,$B291)&gt;0,MIN(AL$1,IF($A291=$A290,AL290,1))-Q291&lt;0),-1,MIN(1,IF($A291=$A290,AL290,1)-Q291+$D$3))</f>
        <v>#N/A</v>
      </c>
      <c r="AM291" t="e">
        <f>IF(OR($J291=0,COUNTIFS($A$4:$A290,"&gt;="&amp;$A291-1,$A$4:$A290,"&lt;="&amp;$A291,$B$4:$B290,$B291)&gt;0,MIN(AM$1,IF($A291=$A290,AM290,1))-R291&lt;0),-1,MIN(1,IF($A291=$A290,AM290,1)-R291+$D$3))</f>
        <v>#N/A</v>
      </c>
      <c r="AN291" t="e">
        <f>IF(OR($J291=0,COUNTIFS($A$4:$A290,"&gt;="&amp;$A291-1,$A$4:$A290,"&lt;="&amp;$A291,$B$4:$B290,$B291)&gt;0,MIN(AN$1,IF($A291=$A290,AN290,1))-S291&lt;0),-1,MIN(1,IF($A291=$A290,AN290,1)-S291+$D$3))</f>
        <v>#N/A</v>
      </c>
      <c r="AO291" t="e">
        <f>IF(OR($J291=0,COUNTIFS($A$4:$A290,"&gt;="&amp;$A291-1,$A$4:$A290,"&lt;="&amp;$A291,$B$4:$B290,$B291)&gt;0,MIN(AO$1,IF($A291=$A290,AO290,1))-T291&lt;0),-1,MIN(1,IF($A291=$A290,AO290,1)-T291+$D$3))</f>
        <v>#N/A</v>
      </c>
      <c r="AP291" t="e">
        <f>IF(OR($J291=0,COUNTIFS($A$4:$A290,"&gt;="&amp;$A291-1,$A$4:$A290,"&lt;="&amp;$A291,$B$4:$B290,$B291)&gt;0,MIN(AP$1,IF($A291=$A290,AP290,1))-U291&lt;0),-1,MIN(1,IF($A291=$A290,AP290,1)-U291+$D$3))</f>
        <v>#N/A</v>
      </c>
      <c r="AQ291" t="e">
        <f>IF(OR($J291=0,COUNTIFS($A$4:$A290,"&gt;="&amp;$A291-1,$A$4:$A290,"&lt;="&amp;$A291,$B$4:$B290,$B291)&gt;0,MIN(AQ$1,IF($A291=$A290,AQ290,1))-V291&lt;0),-1,MIN(1,IF($A291=$A290,AQ290,1)-V291+$D$3))</f>
        <v>#N/A</v>
      </c>
      <c r="AR291" t="e">
        <f>IF(OR($J291=0,COUNTIFS($A$4:$A290,"&gt;="&amp;$A291-1,$A$4:$A290,"&lt;="&amp;$A291,$B$4:$B290,$B291)&gt;0,MIN(AR$1,IF($A291=$A290,AR290,1))-W291&lt;0),-1,MIN(1,IF($A291=$A290,AR290,1)-W291+$D$3))</f>
        <v>#N/A</v>
      </c>
      <c r="AS291" t="e">
        <f>IF(OR($J291=0,COUNTIFS($A$4:$A290,"&gt;="&amp;$A291-1,$A$4:$A290,"&lt;="&amp;$A291,$B$4:$B290,$B291)&gt;0,MIN(AS$1,IF($A291=$A290,AS290,1))-X291&lt;0),-1,MIN(1,IF($A291=$A290,AS290,1)-X291+$D$3))</f>
        <v>#N/A</v>
      </c>
      <c r="AT291" t="e">
        <f>IF(OR($J291=0,COUNTIFS($A$4:$A290,"&gt;="&amp;$A291-1,$A$4:$A290,"&lt;="&amp;$A291,$B$4:$B290,$B291)&gt;0,MIN(AT$1,IF($A291=$A290,AT290,1))-Y291&lt;0),-1,MIN(1,IF($A291=$A290,AT290,1)-Y291+$D$3))</f>
        <v>#N/A</v>
      </c>
      <c r="AU291" t="e">
        <f>IF(OR($J291=0,COUNTIFS($A$4:$A290,"&gt;="&amp;$A291-1,$A$4:$A290,"&lt;="&amp;$A291,$B$4:$B290,$B291)&gt;0,MIN(AU$1,IF($A291=$A290,AU290,1))-Z291&lt;0),-1,MIN(1,IF($A291=$A290,AU290,1)-Z291+$D$3))</f>
        <v>#N/A</v>
      </c>
      <c r="AV291" t="e">
        <f>IF(OR($J291=0,COUNTIFS($A$4:$A290,"&gt;="&amp;$A291-1,$A$4:$A290,"&lt;="&amp;$A291,$B$4:$B290,$B291)&gt;0,MIN(AV$1,IF($A291=$A290,AV290,1))-AA291&lt;0),-1,MIN(1,IF($A291=$A290,AV290,1)-AA291+$D$3))</f>
        <v>#N/A</v>
      </c>
      <c r="AW291" t="e">
        <f>IF(OR($J291=0,COUNTIFS($A$4:$A290,"&gt;="&amp;$A291-1,$A$4:$A290,"&lt;="&amp;$A291,$B$4:$B290,$B291)&gt;0,MIN(AW$1,IF($A291=$A290,AW290,1))-AB291&lt;0),-1,MIN(1,IF($A291=$A290,AW290,1)-AB291+$D$3))</f>
        <v>#N/A</v>
      </c>
      <c r="AX291" t="e">
        <f>IF(OR($J291=0,COUNTIFS($A$4:$A290,"&gt;="&amp;$A291-1,$A$4:$A290,"&lt;="&amp;$A291,$B$4:$B290,$B291)&gt;0,MIN(AX$1,IF($A291=$A290,AX290,1))-AC291&lt;0),-1,MIN(1,IF($A291=$A290,AX290,1)-AC291+$D$3))</f>
        <v>#N/A</v>
      </c>
      <c r="AY291" t="e">
        <f>IF(OR($J291=0,COUNTIFS($A$4:$A290,"&gt;="&amp;$A291-1,$A$4:$A290,"&lt;="&amp;$A291,$B$4:$B290,$B291)&gt;0,MIN(AY$1,IF($A291=$A290,AY290,1))-AD291&lt;0),-1,MIN(1,IF($A291=$A290,AY290,1)-AD291+$D$3))</f>
        <v>#N/A</v>
      </c>
      <c r="AZ291" t="e">
        <f>IF(OR($J291=0,COUNTIFS($A$4:$A290,"&gt;="&amp;$A291-1,$A$4:$A290,"&lt;="&amp;$A291,$B$4:$B290,$B291)&gt;0,MIN(AZ$1,IF($A291=$A290,AZ290,1))-AE291&lt;0),-1,MIN(1,IF($A291=$A290,AZ290,1)-AE291+$D$3))</f>
        <v>#N/A</v>
      </c>
      <c r="BA291" t="e">
        <f>IF(OR($J291=0,COUNTIFS($A$4:$A290,"&gt;="&amp;$A291-1,$A$4:$A290,"&lt;="&amp;$A291,$B$4:$B290,$B291)&gt;0,MIN(BA$1,IF($A291=$A290,BA290,1))-AF291&lt;0),-1,MIN(1,IF($A291=$A290,BA290,1)-AF291+$D$3))</f>
        <v>#N/A</v>
      </c>
      <c r="BB291" t="e">
        <f>IF(OR($J291=0,COUNTIFS($A$4:$A290,"&gt;="&amp;$A291-1,$A$4:$A290,"&lt;="&amp;$A291,$B$4:$B290,$B291)&gt;0,MIN(BB$1,IF($A291=$A290,BB290,1))-AG291&lt;0),-1,MIN(1,IF($A291=$A290,BB290,1)-AG291+$D$3))</f>
        <v>#N/A</v>
      </c>
      <c r="BC291" t="e">
        <f>IF(OR($J291=0,COUNTIFS($A$4:$A290,"&gt;="&amp;$A291-1,$A$4:$A290,"&lt;="&amp;$A291,$B$4:$B290,$B291)&gt;0,MIN(BC$1,IF($A291=$A290,BC290,1))-AH291&lt;0),-1,MIN(1,IF($A291=$A290,BC290,1)-AH291+$D$3))</f>
        <v>#N/A</v>
      </c>
      <c r="BD291" t="e">
        <f>IF(OR($J291=0,COUNTIFS($A$4:$A290,"&gt;="&amp;$A291-1,$A$4:$A290,"&lt;="&amp;$A291,$B$4:$B290,$B291)&gt;0,MIN(BD$1,IF($A291=$A290,BD290,1))-AI291&lt;0),-1,MIN(1,IF($A291=$A290,BD290,1)-AI291+$D$3))</f>
        <v>#N/A</v>
      </c>
      <c r="BF291" s="44">
        <f t="shared" si="311"/>
        <v>8.5699958508132214E-7</v>
      </c>
      <c r="BG291" s="44">
        <f t="shared" si="312"/>
        <v>2.107603808938907E-6</v>
      </c>
      <c r="BH291" s="44">
        <f t="shared" si="313"/>
        <v>2.1600722059538541E-6</v>
      </c>
      <c r="BI291" s="44">
        <f t="shared" si="314"/>
        <v>1.9953069995694182E-6</v>
      </c>
      <c r="BJ291" s="44">
        <f t="shared" si="315"/>
        <v>2.0623392104400873E-6</v>
      </c>
      <c r="BK291" s="44">
        <f t="shared" si="316"/>
        <v>8.8564535115584762E-7</v>
      </c>
      <c r="BL291" s="44">
        <f t="shared" si="317"/>
        <v>4.7843955201625653E-7</v>
      </c>
      <c r="BM291" s="44">
        <f t="shared" si="318"/>
        <v>1.217094350533563E-6</v>
      </c>
      <c r="BN291" s="44">
        <f t="shared" si="319"/>
        <v>1.2658729792669786E-6</v>
      </c>
      <c r="BO291" s="44">
        <f t="shared" si="320"/>
        <v>5.9323611245085215E-7</v>
      </c>
      <c r="BP291" s="44">
        <f t="shared" si="321"/>
        <v>1.9947432106976934E-6</v>
      </c>
      <c r="BQ291" s="44">
        <f t="shared" si="322"/>
        <v>5.3829861955502137E-7</v>
      </c>
      <c r="BR291" s="44">
        <f t="shared" si="323"/>
        <v>1.5902688724020097E-6</v>
      </c>
      <c r="BS291" s="44">
        <f t="shared" si="324"/>
        <v>8.5765310593537742E-7</v>
      </c>
      <c r="BT291" s="44">
        <f t="shared" si="325"/>
        <v>3.3939962764289164E-6</v>
      </c>
      <c r="BU291" s="44">
        <f t="shared" si="326"/>
        <v>3.2422877365029358E-6</v>
      </c>
      <c r="BV291" s="44">
        <f t="shared" si="327"/>
        <v>3.1137858734015419E-6</v>
      </c>
      <c r="BW291" s="44">
        <f t="shared" si="328"/>
        <v>2.0365873141403593E-6</v>
      </c>
      <c r="BX291" s="44">
        <f t="shared" si="329"/>
        <v>1.504593724784021E-6</v>
      </c>
      <c r="BY291" s="44">
        <f t="shared" si="330"/>
        <v>1.2918666461396027E-6</v>
      </c>
      <c r="CA291" s="44" t="str">
        <f t="shared" si="331"/>
        <v/>
      </c>
      <c r="CB291" s="44" t="str">
        <f t="shared" si="332"/>
        <v/>
      </c>
      <c r="CC291" s="44" t="str">
        <f t="shared" si="333"/>
        <v/>
      </c>
      <c r="CD291" s="44" t="str">
        <f t="shared" si="334"/>
        <v/>
      </c>
      <c r="CE291" s="44" t="str">
        <f t="shared" si="335"/>
        <v/>
      </c>
      <c r="CF291" s="44" t="str">
        <f t="shared" si="336"/>
        <v/>
      </c>
      <c r="CG291" s="44" t="str">
        <f t="shared" si="337"/>
        <v/>
      </c>
      <c r="CH291" s="44" t="str">
        <f t="shared" si="338"/>
        <v/>
      </c>
      <c r="CI291" s="44" t="str">
        <f t="shared" si="339"/>
        <v/>
      </c>
      <c r="CJ291" s="44" t="str">
        <f t="shared" si="340"/>
        <v/>
      </c>
      <c r="CK291" s="44" t="str">
        <f t="shared" si="341"/>
        <v/>
      </c>
      <c r="CL291" s="44" t="str">
        <f t="shared" si="342"/>
        <v/>
      </c>
      <c r="CM291" s="44" t="str">
        <f t="shared" si="343"/>
        <v/>
      </c>
      <c r="CN291" s="44" t="str">
        <f t="shared" si="344"/>
        <v/>
      </c>
      <c r="CO291" s="44" t="str">
        <f t="shared" si="345"/>
        <v/>
      </c>
      <c r="CP291" s="44" t="str">
        <f t="shared" si="346"/>
        <v/>
      </c>
      <c r="CQ291" s="44" t="str">
        <f t="shared" si="347"/>
        <v/>
      </c>
      <c r="CR291" s="44" t="str">
        <f t="shared" si="348"/>
        <v/>
      </c>
      <c r="CS291" s="44" t="str">
        <f t="shared" si="349"/>
        <v/>
      </c>
      <c r="CT291" s="44" t="str">
        <f t="shared" si="350"/>
        <v/>
      </c>
      <c r="CV291" s="44">
        <f t="shared" si="351"/>
        <v>0</v>
      </c>
    </row>
    <row r="292" spans="1:100" x14ac:dyDescent="0.25">
      <c r="A292" s="41"/>
      <c r="B292" s="42"/>
      <c r="C292" s="43" t="str" cm="1">
        <f t="array" ref="C292">IF(B292="","",INDEX(UWS!$B$10:$B$41,B292))</f>
        <v/>
      </c>
      <c r="D292" s="40" t="str">
        <f t="shared" si="308"/>
        <v/>
      </c>
      <c r="E292" s="69" t="str">
        <f t="shared" si="309"/>
        <v/>
      </c>
      <c r="F292" s="48" cm="1">
        <f t="array" ref="F292">0.1+IFERROR(INDEX($F$5:$F291,SUMPRODUCT(MAX(ROW($C$5:$C291)*($C292=$C$5:$C291))-ROW($A$4)))*0.9^($A292-INDEX($A$5:A291,SUMPRODUCT(MAX(ROW($C$5:$C291)*($C292=$C$5:$C291))-ROW($A$4)))),0)</f>
        <v>22.700000000000053</v>
      </c>
      <c r="G292" s="55" t="e">
        <f>INDEX(UWS!$AB$10:$AB$41,MATCH(C292,UWS!$B$10:$B$41,0))</f>
        <v>#N/A</v>
      </c>
      <c r="H292" s="48" t="e">
        <f>INDEX(UWS!$C$10:$C$41,MATCH(C292,UWS!$B$10:$B$41,0))</f>
        <v>#N/A</v>
      </c>
      <c r="I292" s="27">
        <f t="shared" si="310"/>
        <v>5</v>
      </c>
      <c r="J292" s="27" t="e">
        <f>INDEX(UWS!$E$10:$E$41,MATCH(C292,UWS!$B$10:$B$41,0))</f>
        <v>#N/A</v>
      </c>
      <c r="L292" s="108" t="str" cm="1">
        <f t="array" ref="L292">IF(K292="","",INDEX(UWS!$B$10:$B$41,K292))</f>
        <v/>
      </c>
      <c r="N292" s="108" t="str" cm="1">
        <f t="array" ref="N292">IF(M292="","",INDEX(UWS!$B$10:$B$41,M292))</f>
        <v/>
      </c>
      <c r="P292">
        <f>IFERROR(INDEX(UWS!$G$10:$Z$41,MATCH($C292,UWS!$B$10:$B$41,0),MATCH(P$4,UWS!$G$3:$Z$3,0)),0)</f>
        <v>0</v>
      </c>
      <c r="Q292">
        <f>IFERROR(INDEX(UWS!$G$10:$Z$41,MATCH($C292,UWS!$B$10:$B$41,0),MATCH(Q$4,UWS!$G$3:$Z$3,0)),0)</f>
        <v>0</v>
      </c>
      <c r="R292">
        <f>IFERROR(INDEX(UWS!$G$10:$Z$41,MATCH($C292,UWS!$B$10:$B$41,0),MATCH(R$4,UWS!$G$3:$Z$3,0)),0)</f>
        <v>0</v>
      </c>
      <c r="S292">
        <f>IFERROR(INDEX(UWS!$G$10:$Z$41,MATCH($C292,UWS!$B$10:$B$41,0),MATCH(S$4,UWS!$G$3:$Z$3,0)),0)</f>
        <v>0</v>
      </c>
      <c r="T292">
        <f>IFERROR(INDEX(UWS!$G$10:$Z$41,MATCH($C292,UWS!$B$10:$B$41,0),MATCH(T$4,UWS!$G$3:$Z$3,0)),0)</f>
        <v>0</v>
      </c>
      <c r="U292">
        <f>IFERROR(INDEX(UWS!$G$10:$Z$41,MATCH($C292,UWS!$B$10:$B$41,0),MATCH(U$4,UWS!$G$3:$Z$3,0)),0)</f>
        <v>0</v>
      </c>
      <c r="V292">
        <f>IFERROR(INDEX(UWS!$G$10:$Z$41,MATCH($C292,UWS!$B$10:$B$41,0),MATCH(V$4,UWS!$G$3:$Z$3,0)),0)</f>
        <v>0</v>
      </c>
      <c r="W292">
        <f>IFERROR(INDEX(UWS!$G$10:$Z$41,MATCH($C292,UWS!$B$10:$B$41,0),MATCH(W$4,UWS!$G$3:$Z$3,0)),0)</f>
        <v>0</v>
      </c>
      <c r="X292">
        <f>IFERROR(INDEX(UWS!$G$10:$Z$41,MATCH($C292,UWS!$B$10:$B$41,0),MATCH(X$4,UWS!$G$3:$Z$3,0)),0)</f>
        <v>0</v>
      </c>
      <c r="Y292">
        <f>IFERROR(INDEX(UWS!$G$10:$Z$41,MATCH($C292,UWS!$B$10:$B$41,0),MATCH(Y$4,UWS!$G$3:$Z$3,0)),0)</f>
        <v>0</v>
      </c>
      <c r="Z292">
        <f>IFERROR(INDEX(UWS!$G$10:$Z$41,MATCH($C292,UWS!$B$10:$B$41,0),MATCH(Z$4,UWS!$G$3:$Z$3,0)),0)</f>
        <v>0</v>
      </c>
      <c r="AA292">
        <f>IFERROR(INDEX(UWS!$G$10:$Z$41,MATCH($C292,UWS!$B$10:$B$41,0),MATCH(AA$4,UWS!$G$3:$Z$3,0)),0)</f>
        <v>0</v>
      </c>
      <c r="AB292">
        <f>IFERROR(INDEX(UWS!$G$10:$Z$41,MATCH($C292,UWS!$B$10:$B$41,0),MATCH(AB$4,UWS!$G$3:$Z$3,0)),0)</f>
        <v>0</v>
      </c>
      <c r="AC292">
        <f>IFERROR(INDEX(UWS!$G$10:$Z$41,MATCH($C292,UWS!$B$10:$B$41,0),MATCH(AC$4,UWS!$G$3:$Z$3,0)),0)</f>
        <v>0</v>
      </c>
      <c r="AD292">
        <f>IFERROR(INDEX(UWS!$G$10:$Z$41,MATCH($C292,UWS!$B$10:$B$41,0),MATCH(AD$4,UWS!$G$3:$Z$3,0)),0)</f>
        <v>0</v>
      </c>
      <c r="AE292">
        <f>IFERROR(INDEX(UWS!$G$10:$Z$41,MATCH($C292,UWS!$B$10:$B$41,0),MATCH(AE$4,UWS!$G$3:$Z$3,0)),0)</f>
        <v>0</v>
      </c>
      <c r="AF292">
        <f>IFERROR(INDEX(UWS!$G$10:$Z$41,MATCH($C292,UWS!$B$10:$B$41,0),MATCH(AF$4,UWS!$G$3:$Z$3,0)),0)</f>
        <v>0</v>
      </c>
      <c r="AG292">
        <f>IFERROR(INDEX(UWS!$G$10:$Z$41,MATCH($C292,UWS!$B$10:$B$41,0),MATCH(AG$4,UWS!$G$3:$Z$3,0)),0)</f>
        <v>0</v>
      </c>
      <c r="AH292">
        <f>IFERROR(INDEX(UWS!$G$10:$Z$41,MATCH($C292,UWS!$B$10:$B$41,0),MATCH(AH$4,UWS!$G$3:$Z$3,0)),0)</f>
        <v>0</v>
      </c>
      <c r="AI292">
        <f>IFERROR(INDEX(UWS!$G$10:$Z$41,MATCH($C292,UWS!$B$10:$B$41,0),MATCH(AI$4,UWS!$G$3:$Z$3,0)),0)</f>
        <v>0</v>
      </c>
      <c r="AK292" t="e">
        <f>IF(OR($J292=0,COUNTIFS($A$4:$A291,"&gt;="&amp;$A292-1,$A$4:$A291,"&lt;="&amp;$A292,$B$4:$B291,$B292)&gt;0,MIN(AK$1,IF($A292=$A291,AK291,1))-P292&lt;0),-1,MIN(1,IF($A292=$A291,AK291,1)-P292+$D$3))</f>
        <v>#N/A</v>
      </c>
      <c r="AL292" t="e">
        <f>IF(OR($J292=0,COUNTIFS($A$4:$A291,"&gt;="&amp;$A292-1,$A$4:$A291,"&lt;="&amp;$A292,$B$4:$B291,$B292)&gt;0,MIN(AL$1,IF($A292=$A291,AL291,1))-Q292&lt;0),-1,MIN(1,IF($A292=$A291,AL291,1)-Q292+$D$3))</f>
        <v>#N/A</v>
      </c>
      <c r="AM292" t="e">
        <f>IF(OR($J292=0,COUNTIFS($A$4:$A291,"&gt;="&amp;$A292-1,$A$4:$A291,"&lt;="&amp;$A292,$B$4:$B291,$B292)&gt;0,MIN(AM$1,IF($A292=$A291,AM291,1))-R292&lt;0),-1,MIN(1,IF($A292=$A291,AM291,1)-R292+$D$3))</f>
        <v>#N/A</v>
      </c>
      <c r="AN292" t="e">
        <f>IF(OR($J292=0,COUNTIFS($A$4:$A291,"&gt;="&amp;$A292-1,$A$4:$A291,"&lt;="&amp;$A292,$B$4:$B291,$B292)&gt;0,MIN(AN$1,IF($A292=$A291,AN291,1))-S292&lt;0),-1,MIN(1,IF($A292=$A291,AN291,1)-S292+$D$3))</f>
        <v>#N/A</v>
      </c>
      <c r="AO292" t="e">
        <f>IF(OR($J292=0,COUNTIFS($A$4:$A291,"&gt;="&amp;$A292-1,$A$4:$A291,"&lt;="&amp;$A292,$B$4:$B291,$B292)&gt;0,MIN(AO$1,IF($A292=$A291,AO291,1))-T292&lt;0),-1,MIN(1,IF($A292=$A291,AO291,1)-T292+$D$3))</f>
        <v>#N/A</v>
      </c>
      <c r="AP292" t="e">
        <f>IF(OR($J292=0,COUNTIFS($A$4:$A291,"&gt;="&amp;$A292-1,$A$4:$A291,"&lt;="&amp;$A292,$B$4:$B291,$B292)&gt;0,MIN(AP$1,IF($A292=$A291,AP291,1))-U292&lt;0),-1,MIN(1,IF($A292=$A291,AP291,1)-U292+$D$3))</f>
        <v>#N/A</v>
      </c>
      <c r="AQ292" t="e">
        <f>IF(OR($J292=0,COUNTIFS($A$4:$A291,"&gt;="&amp;$A292-1,$A$4:$A291,"&lt;="&amp;$A292,$B$4:$B291,$B292)&gt;0,MIN(AQ$1,IF($A292=$A291,AQ291,1))-V292&lt;0),-1,MIN(1,IF($A292=$A291,AQ291,1)-V292+$D$3))</f>
        <v>#N/A</v>
      </c>
      <c r="AR292" t="e">
        <f>IF(OR($J292=0,COUNTIFS($A$4:$A291,"&gt;="&amp;$A292-1,$A$4:$A291,"&lt;="&amp;$A292,$B$4:$B291,$B292)&gt;0,MIN(AR$1,IF($A292=$A291,AR291,1))-W292&lt;0),-1,MIN(1,IF($A292=$A291,AR291,1)-W292+$D$3))</f>
        <v>#N/A</v>
      </c>
      <c r="AS292" t="e">
        <f>IF(OR($J292=0,COUNTIFS($A$4:$A291,"&gt;="&amp;$A292-1,$A$4:$A291,"&lt;="&amp;$A292,$B$4:$B291,$B292)&gt;0,MIN(AS$1,IF($A292=$A291,AS291,1))-X292&lt;0),-1,MIN(1,IF($A292=$A291,AS291,1)-X292+$D$3))</f>
        <v>#N/A</v>
      </c>
      <c r="AT292" t="e">
        <f>IF(OR($J292=0,COUNTIFS($A$4:$A291,"&gt;="&amp;$A292-1,$A$4:$A291,"&lt;="&amp;$A292,$B$4:$B291,$B292)&gt;0,MIN(AT$1,IF($A292=$A291,AT291,1))-Y292&lt;0),-1,MIN(1,IF($A292=$A291,AT291,1)-Y292+$D$3))</f>
        <v>#N/A</v>
      </c>
      <c r="AU292" t="e">
        <f>IF(OR($J292=0,COUNTIFS($A$4:$A291,"&gt;="&amp;$A292-1,$A$4:$A291,"&lt;="&amp;$A292,$B$4:$B291,$B292)&gt;0,MIN(AU$1,IF($A292=$A291,AU291,1))-Z292&lt;0),-1,MIN(1,IF($A292=$A291,AU291,1)-Z292+$D$3))</f>
        <v>#N/A</v>
      </c>
      <c r="AV292" t="e">
        <f>IF(OR($J292=0,COUNTIFS($A$4:$A291,"&gt;="&amp;$A292-1,$A$4:$A291,"&lt;="&amp;$A292,$B$4:$B291,$B292)&gt;0,MIN(AV$1,IF($A292=$A291,AV291,1))-AA292&lt;0),-1,MIN(1,IF($A292=$A291,AV291,1)-AA292+$D$3))</f>
        <v>#N/A</v>
      </c>
      <c r="AW292" t="e">
        <f>IF(OR($J292=0,COUNTIFS($A$4:$A291,"&gt;="&amp;$A292-1,$A$4:$A291,"&lt;="&amp;$A292,$B$4:$B291,$B292)&gt;0,MIN(AW$1,IF($A292=$A291,AW291,1))-AB292&lt;0),-1,MIN(1,IF($A292=$A291,AW291,1)-AB292+$D$3))</f>
        <v>#N/A</v>
      </c>
      <c r="AX292" t="e">
        <f>IF(OR($J292=0,COUNTIFS($A$4:$A291,"&gt;="&amp;$A292-1,$A$4:$A291,"&lt;="&amp;$A292,$B$4:$B291,$B292)&gt;0,MIN(AX$1,IF($A292=$A291,AX291,1))-AC292&lt;0),-1,MIN(1,IF($A292=$A291,AX291,1)-AC292+$D$3))</f>
        <v>#N/A</v>
      </c>
      <c r="AY292" t="e">
        <f>IF(OR($J292=0,COUNTIFS($A$4:$A291,"&gt;="&amp;$A292-1,$A$4:$A291,"&lt;="&amp;$A292,$B$4:$B291,$B292)&gt;0,MIN(AY$1,IF($A292=$A291,AY291,1))-AD292&lt;0),-1,MIN(1,IF($A292=$A291,AY291,1)-AD292+$D$3))</f>
        <v>#N/A</v>
      </c>
      <c r="AZ292" t="e">
        <f>IF(OR($J292=0,COUNTIFS($A$4:$A291,"&gt;="&amp;$A292-1,$A$4:$A291,"&lt;="&amp;$A292,$B$4:$B291,$B292)&gt;0,MIN(AZ$1,IF($A292=$A291,AZ291,1))-AE292&lt;0),-1,MIN(1,IF($A292=$A291,AZ291,1)-AE292+$D$3))</f>
        <v>#N/A</v>
      </c>
      <c r="BA292" t="e">
        <f>IF(OR($J292=0,COUNTIFS($A$4:$A291,"&gt;="&amp;$A292-1,$A$4:$A291,"&lt;="&amp;$A292,$B$4:$B291,$B292)&gt;0,MIN(BA$1,IF($A292=$A291,BA291,1))-AF292&lt;0),-1,MIN(1,IF($A292=$A291,BA291,1)-AF292+$D$3))</f>
        <v>#N/A</v>
      </c>
      <c r="BB292" t="e">
        <f>IF(OR($J292=0,COUNTIFS($A$4:$A291,"&gt;="&amp;$A292-1,$A$4:$A291,"&lt;="&amp;$A292,$B$4:$B291,$B292)&gt;0,MIN(BB$1,IF($A292=$A291,BB291,1))-AG292&lt;0),-1,MIN(1,IF($A292=$A291,BB291,1)-AG292+$D$3))</f>
        <v>#N/A</v>
      </c>
      <c r="BC292" t="e">
        <f>IF(OR($J292=0,COUNTIFS($A$4:$A291,"&gt;="&amp;$A292-1,$A$4:$A291,"&lt;="&amp;$A292,$B$4:$B291,$B292)&gt;0,MIN(BC$1,IF($A292=$A291,BC291,1))-AH292&lt;0),-1,MIN(1,IF($A292=$A291,BC291,1)-AH292+$D$3))</f>
        <v>#N/A</v>
      </c>
      <c r="BD292" t="e">
        <f>IF(OR($J292=0,COUNTIFS($A$4:$A291,"&gt;="&amp;$A292-1,$A$4:$A291,"&lt;="&amp;$A292,$B$4:$B291,$B292)&gt;0,MIN(BD$1,IF($A292=$A291,BD291,1))-AI292&lt;0),-1,MIN(1,IF($A292=$A291,BD291,1)-AI292+$D$3))</f>
        <v>#N/A</v>
      </c>
      <c r="BF292" s="44">
        <f t="shared" si="311"/>
        <v>8.1414960582725602E-7</v>
      </c>
      <c r="BG292" s="44">
        <f t="shared" si="312"/>
        <v>2.0022236184919614E-6</v>
      </c>
      <c r="BH292" s="44">
        <f t="shared" si="313"/>
        <v>2.0520685956561612E-6</v>
      </c>
      <c r="BI292" s="44">
        <f t="shared" si="314"/>
        <v>1.8955416495909472E-6</v>
      </c>
      <c r="BJ292" s="44">
        <f t="shared" si="315"/>
        <v>1.9592222499180829E-6</v>
      </c>
      <c r="BK292" s="44">
        <f t="shared" si="316"/>
        <v>8.4136308359805515E-7</v>
      </c>
      <c r="BL292" s="44">
        <f t="shared" si="317"/>
        <v>4.5451757441544368E-7</v>
      </c>
      <c r="BM292" s="44">
        <f t="shared" si="318"/>
        <v>1.1562396330068848E-6</v>
      </c>
      <c r="BN292" s="44">
        <f t="shared" si="319"/>
        <v>1.2025793303036297E-6</v>
      </c>
      <c r="BO292" s="44">
        <f t="shared" si="320"/>
        <v>5.6357430682830956E-7</v>
      </c>
      <c r="BP292" s="44">
        <f t="shared" si="321"/>
        <v>1.8950060501628086E-6</v>
      </c>
      <c r="BQ292" s="44">
        <f t="shared" si="322"/>
        <v>5.1138368857727032E-7</v>
      </c>
      <c r="BR292" s="44">
        <f t="shared" si="323"/>
        <v>1.5107554287819091E-6</v>
      </c>
      <c r="BS292" s="44">
        <f t="shared" si="324"/>
        <v>8.147704506386085E-7</v>
      </c>
      <c r="BT292" s="44">
        <f t="shared" si="325"/>
        <v>3.2242964626074703E-6</v>
      </c>
      <c r="BU292" s="44">
        <f t="shared" si="326"/>
        <v>3.0801733496777889E-6</v>
      </c>
      <c r="BV292" s="44">
        <f t="shared" si="327"/>
        <v>2.9580965797314647E-6</v>
      </c>
      <c r="BW292" s="44">
        <f t="shared" si="328"/>
        <v>1.9347579484333412E-6</v>
      </c>
      <c r="BX292" s="44">
        <f t="shared" si="329"/>
        <v>1.4293640385448199E-6</v>
      </c>
      <c r="BY292" s="44">
        <f t="shared" si="330"/>
        <v>1.2272733138326225E-6</v>
      </c>
      <c r="CA292" s="44" t="str">
        <f t="shared" si="331"/>
        <v/>
      </c>
      <c r="CB292" s="44" t="str">
        <f t="shared" si="332"/>
        <v/>
      </c>
      <c r="CC292" s="44" t="str">
        <f t="shared" si="333"/>
        <v/>
      </c>
      <c r="CD292" s="44" t="str">
        <f t="shared" si="334"/>
        <v/>
      </c>
      <c r="CE292" s="44" t="str">
        <f t="shared" si="335"/>
        <v/>
      </c>
      <c r="CF292" s="44" t="str">
        <f t="shared" si="336"/>
        <v/>
      </c>
      <c r="CG292" s="44" t="str">
        <f t="shared" si="337"/>
        <v/>
      </c>
      <c r="CH292" s="44" t="str">
        <f t="shared" si="338"/>
        <v/>
      </c>
      <c r="CI292" s="44" t="str">
        <f t="shared" si="339"/>
        <v/>
      </c>
      <c r="CJ292" s="44" t="str">
        <f t="shared" si="340"/>
        <v/>
      </c>
      <c r="CK292" s="44" t="str">
        <f t="shared" si="341"/>
        <v/>
      </c>
      <c r="CL292" s="44" t="str">
        <f t="shared" si="342"/>
        <v/>
      </c>
      <c r="CM292" s="44" t="str">
        <f t="shared" si="343"/>
        <v/>
      </c>
      <c r="CN292" s="44" t="str">
        <f t="shared" si="344"/>
        <v/>
      </c>
      <c r="CO292" s="44" t="str">
        <f t="shared" si="345"/>
        <v/>
      </c>
      <c r="CP292" s="44" t="str">
        <f t="shared" si="346"/>
        <v/>
      </c>
      <c r="CQ292" s="44" t="str">
        <f t="shared" si="347"/>
        <v/>
      </c>
      <c r="CR292" s="44" t="str">
        <f t="shared" si="348"/>
        <v/>
      </c>
      <c r="CS292" s="44" t="str">
        <f t="shared" si="349"/>
        <v/>
      </c>
      <c r="CT292" s="44" t="str">
        <f t="shared" si="350"/>
        <v/>
      </c>
      <c r="CV292" s="44">
        <f t="shared" si="351"/>
        <v>0</v>
      </c>
    </row>
    <row r="293" spans="1:100" x14ac:dyDescent="0.25">
      <c r="A293" s="41"/>
      <c r="B293" s="42"/>
      <c r="C293" s="43" t="str" cm="1">
        <f t="array" ref="C293">IF(B293="","",INDEX(UWS!$B$10:$B$41,B293))</f>
        <v/>
      </c>
      <c r="D293" s="40" t="str">
        <f t="shared" si="308"/>
        <v/>
      </c>
      <c r="E293" s="69" t="str">
        <f t="shared" si="309"/>
        <v/>
      </c>
      <c r="F293" s="48" cm="1">
        <f t="array" ref="F293">0.1+IFERROR(INDEX($F$5:$F292,SUMPRODUCT(MAX(ROW($C$5:$C292)*($C293=$C$5:$C292))-ROW($A$4)))*0.9^($A293-INDEX($A$5:A292,SUMPRODUCT(MAX(ROW($C$5:$C292)*($C293=$C$5:$C292))-ROW($A$4)))),0)</f>
        <v>22.800000000000054</v>
      </c>
      <c r="G293" s="55" t="e">
        <f>INDEX(UWS!$AB$10:$AB$41,MATCH(C293,UWS!$B$10:$B$41,0))</f>
        <v>#N/A</v>
      </c>
      <c r="H293" s="48" t="e">
        <f>INDEX(UWS!$C$10:$C$41,MATCH(C293,UWS!$B$10:$B$41,0))</f>
        <v>#N/A</v>
      </c>
      <c r="I293" s="27">
        <f t="shared" si="310"/>
        <v>5</v>
      </c>
      <c r="J293" s="27" t="e">
        <f>INDEX(UWS!$E$10:$E$41,MATCH(C293,UWS!$B$10:$B$41,0))</f>
        <v>#N/A</v>
      </c>
      <c r="L293" s="108" t="str" cm="1">
        <f t="array" ref="L293">IF(K293="","",INDEX(UWS!$B$10:$B$41,K293))</f>
        <v/>
      </c>
      <c r="N293" s="108" t="str" cm="1">
        <f t="array" ref="N293">IF(M293="","",INDEX(UWS!$B$10:$B$41,M293))</f>
        <v/>
      </c>
      <c r="P293">
        <f>IFERROR(INDEX(UWS!$G$10:$Z$41,MATCH($C293,UWS!$B$10:$B$41,0),MATCH(P$4,UWS!$G$3:$Z$3,0)),0)</f>
        <v>0</v>
      </c>
      <c r="Q293">
        <f>IFERROR(INDEX(UWS!$G$10:$Z$41,MATCH($C293,UWS!$B$10:$B$41,0),MATCH(Q$4,UWS!$G$3:$Z$3,0)),0)</f>
        <v>0</v>
      </c>
      <c r="R293">
        <f>IFERROR(INDEX(UWS!$G$10:$Z$41,MATCH($C293,UWS!$B$10:$B$41,0),MATCH(R$4,UWS!$G$3:$Z$3,0)),0)</f>
        <v>0</v>
      </c>
      <c r="S293">
        <f>IFERROR(INDEX(UWS!$G$10:$Z$41,MATCH($C293,UWS!$B$10:$B$41,0),MATCH(S$4,UWS!$G$3:$Z$3,0)),0)</f>
        <v>0</v>
      </c>
      <c r="T293">
        <f>IFERROR(INDEX(UWS!$G$10:$Z$41,MATCH($C293,UWS!$B$10:$B$41,0),MATCH(T$4,UWS!$G$3:$Z$3,0)),0)</f>
        <v>0</v>
      </c>
      <c r="U293">
        <f>IFERROR(INDEX(UWS!$G$10:$Z$41,MATCH($C293,UWS!$B$10:$B$41,0),MATCH(U$4,UWS!$G$3:$Z$3,0)),0)</f>
        <v>0</v>
      </c>
      <c r="V293">
        <f>IFERROR(INDEX(UWS!$G$10:$Z$41,MATCH($C293,UWS!$B$10:$B$41,0),MATCH(V$4,UWS!$G$3:$Z$3,0)),0)</f>
        <v>0</v>
      </c>
      <c r="W293">
        <f>IFERROR(INDEX(UWS!$G$10:$Z$41,MATCH($C293,UWS!$B$10:$B$41,0),MATCH(W$4,UWS!$G$3:$Z$3,0)),0)</f>
        <v>0</v>
      </c>
      <c r="X293">
        <f>IFERROR(INDEX(UWS!$G$10:$Z$41,MATCH($C293,UWS!$B$10:$B$41,0),MATCH(X$4,UWS!$G$3:$Z$3,0)),0)</f>
        <v>0</v>
      </c>
      <c r="Y293">
        <f>IFERROR(INDEX(UWS!$G$10:$Z$41,MATCH($C293,UWS!$B$10:$B$41,0),MATCH(Y$4,UWS!$G$3:$Z$3,0)),0)</f>
        <v>0</v>
      </c>
      <c r="Z293">
        <f>IFERROR(INDEX(UWS!$G$10:$Z$41,MATCH($C293,UWS!$B$10:$B$41,0),MATCH(Z$4,UWS!$G$3:$Z$3,0)),0)</f>
        <v>0</v>
      </c>
      <c r="AA293">
        <f>IFERROR(INDEX(UWS!$G$10:$Z$41,MATCH($C293,UWS!$B$10:$B$41,0),MATCH(AA$4,UWS!$G$3:$Z$3,0)),0)</f>
        <v>0</v>
      </c>
      <c r="AB293">
        <f>IFERROR(INDEX(UWS!$G$10:$Z$41,MATCH($C293,UWS!$B$10:$B$41,0),MATCH(AB$4,UWS!$G$3:$Z$3,0)),0)</f>
        <v>0</v>
      </c>
      <c r="AC293">
        <f>IFERROR(INDEX(UWS!$G$10:$Z$41,MATCH($C293,UWS!$B$10:$B$41,0),MATCH(AC$4,UWS!$G$3:$Z$3,0)),0)</f>
        <v>0</v>
      </c>
      <c r="AD293">
        <f>IFERROR(INDEX(UWS!$G$10:$Z$41,MATCH($C293,UWS!$B$10:$B$41,0),MATCH(AD$4,UWS!$G$3:$Z$3,0)),0)</f>
        <v>0</v>
      </c>
      <c r="AE293">
        <f>IFERROR(INDEX(UWS!$G$10:$Z$41,MATCH($C293,UWS!$B$10:$B$41,0),MATCH(AE$4,UWS!$G$3:$Z$3,0)),0)</f>
        <v>0</v>
      </c>
      <c r="AF293">
        <f>IFERROR(INDEX(UWS!$G$10:$Z$41,MATCH($C293,UWS!$B$10:$B$41,0),MATCH(AF$4,UWS!$G$3:$Z$3,0)),0)</f>
        <v>0</v>
      </c>
      <c r="AG293">
        <f>IFERROR(INDEX(UWS!$G$10:$Z$41,MATCH($C293,UWS!$B$10:$B$41,0),MATCH(AG$4,UWS!$G$3:$Z$3,0)),0)</f>
        <v>0</v>
      </c>
      <c r="AH293">
        <f>IFERROR(INDEX(UWS!$G$10:$Z$41,MATCH($C293,UWS!$B$10:$B$41,0),MATCH(AH$4,UWS!$G$3:$Z$3,0)),0)</f>
        <v>0</v>
      </c>
      <c r="AI293">
        <f>IFERROR(INDEX(UWS!$G$10:$Z$41,MATCH($C293,UWS!$B$10:$B$41,0),MATCH(AI$4,UWS!$G$3:$Z$3,0)),0)</f>
        <v>0</v>
      </c>
      <c r="AK293" t="e">
        <f>IF(OR($J293=0,COUNTIFS($A$4:$A292,"&gt;="&amp;$A293-1,$A$4:$A292,"&lt;="&amp;$A293,$B$4:$B292,$B293)&gt;0,MIN(AK$1,IF($A293=$A292,AK292,1))-P293&lt;0),-1,MIN(1,IF($A293=$A292,AK292,1)-P293+$D$3))</f>
        <v>#N/A</v>
      </c>
      <c r="AL293" t="e">
        <f>IF(OR($J293=0,COUNTIFS($A$4:$A292,"&gt;="&amp;$A293-1,$A$4:$A292,"&lt;="&amp;$A293,$B$4:$B292,$B293)&gt;0,MIN(AL$1,IF($A293=$A292,AL292,1))-Q293&lt;0),-1,MIN(1,IF($A293=$A292,AL292,1)-Q293+$D$3))</f>
        <v>#N/A</v>
      </c>
      <c r="AM293" t="e">
        <f>IF(OR($J293=0,COUNTIFS($A$4:$A292,"&gt;="&amp;$A293-1,$A$4:$A292,"&lt;="&amp;$A293,$B$4:$B292,$B293)&gt;0,MIN(AM$1,IF($A293=$A292,AM292,1))-R293&lt;0),-1,MIN(1,IF($A293=$A292,AM292,1)-R293+$D$3))</f>
        <v>#N/A</v>
      </c>
      <c r="AN293" t="e">
        <f>IF(OR($J293=0,COUNTIFS($A$4:$A292,"&gt;="&amp;$A293-1,$A$4:$A292,"&lt;="&amp;$A293,$B$4:$B292,$B293)&gt;0,MIN(AN$1,IF($A293=$A292,AN292,1))-S293&lt;0),-1,MIN(1,IF($A293=$A292,AN292,1)-S293+$D$3))</f>
        <v>#N/A</v>
      </c>
      <c r="AO293" t="e">
        <f>IF(OR($J293=0,COUNTIFS($A$4:$A292,"&gt;="&amp;$A293-1,$A$4:$A292,"&lt;="&amp;$A293,$B$4:$B292,$B293)&gt;0,MIN(AO$1,IF($A293=$A292,AO292,1))-T293&lt;0),-1,MIN(1,IF($A293=$A292,AO292,1)-T293+$D$3))</f>
        <v>#N/A</v>
      </c>
      <c r="AP293" t="e">
        <f>IF(OR($J293=0,COUNTIFS($A$4:$A292,"&gt;="&amp;$A293-1,$A$4:$A292,"&lt;="&amp;$A293,$B$4:$B292,$B293)&gt;0,MIN(AP$1,IF($A293=$A292,AP292,1))-U293&lt;0),-1,MIN(1,IF($A293=$A292,AP292,1)-U293+$D$3))</f>
        <v>#N/A</v>
      </c>
      <c r="AQ293" t="e">
        <f>IF(OR($J293=0,COUNTIFS($A$4:$A292,"&gt;="&amp;$A293-1,$A$4:$A292,"&lt;="&amp;$A293,$B$4:$B292,$B293)&gt;0,MIN(AQ$1,IF($A293=$A292,AQ292,1))-V293&lt;0),-1,MIN(1,IF($A293=$A292,AQ292,1)-V293+$D$3))</f>
        <v>#N/A</v>
      </c>
      <c r="AR293" t="e">
        <f>IF(OR($J293=0,COUNTIFS($A$4:$A292,"&gt;="&amp;$A293-1,$A$4:$A292,"&lt;="&amp;$A293,$B$4:$B292,$B293)&gt;0,MIN(AR$1,IF($A293=$A292,AR292,1))-W293&lt;0),-1,MIN(1,IF($A293=$A292,AR292,1)-W293+$D$3))</f>
        <v>#N/A</v>
      </c>
      <c r="AS293" t="e">
        <f>IF(OR($J293=0,COUNTIFS($A$4:$A292,"&gt;="&amp;$A293-1,$A$4:$A292,"&lt;="&amp;$A293,$B$4:$B292,$B293)&gt;0,MIN(AS$1,IF($A293=$A292,AS292,1))-X293&lt;0),-1,MIN(1,IF($A293=$A292,AS292,1)-X293+$D$3))</f>
        <v>#N/A</v>
      </c>
      <c r="AT293" t="e">
        <f>IF(OR($J293=0,COUNTIFS($A$4:$A292,"&gt;="&amp;$A293-1,$A$4:$A292,"&lt;="&amp;$A293,$B$4:$B292,$B293)&gt;0,MIN(AT$1,IF($A293=$A292,AT292,1))-Y293&lt;0),-1,MIN(1,IF($A293=$A292,AT292,1)-Y293+$D$3))</f>
        <v>#N/A</v>
      </c>
      <c r="AU293" t="e">
        <f>IF(OR($J293=0,COUNTIFS($A$4:$A292,"&gt;="&amp;$A293-1,$A$4:$A292,"&lt;="&amp;$A293,$B$4:$B292,$B293)&gt;0,MIN(AU$1,IF($A293=$A292,AU292,1))-Z293&lt;0),-1,MIN(1,IF($A293=$A292,AU292,1)-Z293+$D$3))</f>
        <v>#N/A</v>
      </c>
      <c r="AV293" t="e">
        <f>IF(OR($J293=0,COUNTIFS($A$4:$A292,"&gt;="&amp;$A293-1,$A$4:$A292,"&lt;="&amp;$A293,$B$4:$B292,$B293)&gt;0,MIN(AV$1,IF($A293=$A292,AV292,1))-AA293&lt;0),-1,MIN(1,IF($A293=$A292,AV292,1)-AA293+$D$3))</f>
        <v>#N/A</v>
      </c>
      <c r="AW293" t="e">
        <f>IF(OR($J293=0,COUNTIFS($A$4:$A292,"&gt;="&amp;$A293-1,$A$4:$A292,"&lt;="&amp;$A293,$B$4:$B292,$B293)&gt;0,MIN(AW$1,IF($A293=$A292,AW292,1))-AB293&lt;0),-1,MIN(1,IF($A293=$A292,AW292,1)-AB293+$D$3))</f>
        <v>#N/A</v>
      </c>
      <c r="AX293" t="e">
        <f>IF(OR($J293=0,COUNTIFS($A$4:$A292,"&gt;="&amp;$A293-1,$A$4:$A292,"&lt;="&amp;$A293,$B$4:$B292,$B293)&gt;0,MIN(AX$1,IF($A293=$A292,AX292,1))-AC293&lt;0),-1,MIN(1,IF($A293=$A292,AX292,1)-AC293+$D$3))</f>
        <v>#N/A</v>
      </c>
      <c r="AY293" t="e">
        <f>IF(OR($J293=0,COUNTIFS($A$4:$A292,"&gt;="&amp;$A293-1,$A$4:$A292,"&lt;="&amp;$A293,$B$4:$B292,$B293)&gt;0,MIN(AY$1,IF($A293=$A292,AY292,1))-AD293&lt;0),-1,MIN(1,IF($A293=$A292,AY292,1)-AD293+$D$3))</f>
        <v>#N/A</v>
      </c>
      <c r="AZ293" t="e">
        <f>IF(OR($J293=0,COUNTIFS($A$4:$A292,"&gt;="&amp;$A293-1,$A$4:$A292,"&lt;="&amp;$A293,$B$4:$B292,$B293)&gt;0,MIN(AZ$1,IF($A293=$A292,AZ292,1))-AE293&lt;0),-1,MIN(1,IF($A293=$A292,AZ292,1)-AE293+$D$3))</f>
        <v>#N/A</v>
      </c>
      <c r="BA293" t="e">
        <f>IF(OR($J293=0,COUNTIFS($A$4:$A292,"&gt;="&amp;$A293-1,$A$4:$A292,"&lt;="&amp;$A293,$B$4:$B292,$B293)&gt;0,MIN(BA$1,IF($A293=$A292,BA292,1))-AF293&lt;0),-1,MIN(1,IF($A293=$A292,BA292,1)-AF293+$D$3))</f>
        <v>#N/A</v>
      </c>
      <c r="BB293" t="e">
        <f>IF(OR($J293=0,COUNTIFS($A$4:$A292,"&gt;="&amp;$A293-1,$A$4:$A292,"&lt;="&amp;$A293,$B$4:$B292,$B293)&gt;0,MIN(BB$1,IF($A293=$A292,BB292,1))-AG293&lt;0),-1,MIN(1,IF($A293=$A292,BB292,1)-AG293+$D$3))</f>
        <v>#N/A</v>
      </c>
      <c r="BC293" t="e">
        <f>IF(OR($J293=0,COUNTIFS($A$4:$A292,"&gt;="&amp;$A293-1,$A$4:$A292,"&lt;="&amp;$A293,$B$4:$B292,$B293)&gt;0,MIN(BC$1,IF($A293=$A292,BC292,1))-AH293&lt;0),-1,MIN(1,IF($A293=$A292,BC292,1)-AH293+$D$3))</f>
        <v>#N/A</v>
      </c>
      <c r="BD293" t="e">
        <f>IF(OR($J293=0,COUNTIFS($A$4:$A292,"&gt;="&amp;$A293-1,$A$4:$A292,"&lt;="&amp;$A293,$B$4:$B292,$B293)&gt;0,MIN(BD$1,IF($A293=$A292,BD292,1))-AI293&lt;0),-1,MIN(1,IF($A293=$A292,BD292,1)-AI293+$D$3))</f>
        <v>#N/A</v>
      </c>
      <c r="BF293" s="44">
        <f t="shared" si="311"/>
        <v>7.7344212553589318E-7</v>
      </c>
      <c r="BG293" s="44">
        <f t="shared" si="312"/>
        <v>1.9021124375673633E-6</v>
      </c>
      <c r="BH293" s="44">
        <f t="shared" si="313"/>
        <v>1.9494651658733531E-6</v>
      </c>
      <c r="BI293" s="44">
        <f t="shared" si="314"/>
        <v>1.8007645671113997E-6</v>
      </c>
      <c r="BJ293" s="44">
        <f t="shared" si="315"/>
        <v>1.8612611374221786E-6</v>
      </c>
      <c r="BK293" s="44">
        <f t="shared" si="316"/>
        <v>7.9929492941815236E-7</v>
      </c>
      <c r="BL293" s="44">
        <f t="shared" si="317"/>
        <v>4.3179169569467145E-7</v>
      </c>
      <c r="BM293" s="44">
        <f t="shared" si="318"/>
        <v>1.0984276513565405E-6</v>
      </c>
      <c r="BN293" s="44">
        <f t="shared" si="319"/>
        <v>1.142450363788448E-6</v>
      </c>
      <c r="BO293" s="44">
        <f t="shared" si="320"/>
        <v>5.3539559148689411E-7</v>
      </c>
      <c r="BP293" s="44">
        <f t="shared" si="321"/>
        <v>1.8002557476546682E-6</v>
      </c>
      <c r="BQ293" s="44">
        <f t="shared" si="322"/>
        <v>4.858145041484068E-7</v>
      </c>
      <c r="BR293" s="44">
        <f t="shared" si="323"/>
        <v>1.4352176573428135E-6</v>
      </c>
      <c r="BS293" s="44">
        <f t="shared" si="324"/>
        <v>7.7403192810667809E-7</v>
      </c>
      <c r="BT293" s="44">
        <f t="shared" si="325"/>
        <v>3.0630816394770968E-6</v>
      </c>
      <c r="BU293" s="44">
        <f t="shared" si="326"/>
        <v>2.9261646821938994E-6</v>
      </c>
      <c r="BV293" s="44">
        <f t="shared" si="327"/>
        <v>2.8101917507448915E-6</v>
      </c>
      <c r="BW293" s="44">
        <f t="shared" si="328"/>
        <v>1.838020051011674E-6</v>
      </c>
      <c r="BX293" s="44">
        <f t="shared" si="329"/>
        <v>1.3578958366175788E-6</v>
      </c>
      <c r="BY293" s="44">
        <f t="shared" si="330"/>
        <v>1.1659096481409914E-6</v>
      </c>
      <c r="CA293" s="44" t="str">
        <f t="shared" si="331"/>
        <v/>
      </c>
      <c r="CB293" s="44" t="str">
        <f t="shared" si="332"/>
        <v/>
      </c>
      <c r="CC293" s="44" t="str">
        <f t="shared" si="333"/>
        <v/>
      </c>
      <c r="CD293" s="44" t="str">
        <f t="shared" si="334"/>
        <v/>
      </c>
      <c r="CE293" s="44" t="str">
        <f t="shared" si="335"/>
        <v/>
      </c>
      <c r="CF293" s="44" t="str">
        <f t="shared" si="336"/>
        <v/>
      </c>
      <c r="CG293" s="44" t="str">
        <f t="shared" si="337"/>
        <v/>
      </c>
      <c r="CH293" s="44" t="str">
        <f t="shared" si="338"/>
        <v/>
      </c>
      <c r="CI293" s="44" t="str">
        <f t="shared" si="339"/>
        <v/>
      </c>
      <c r="CJ293" s="44" t="str">
        <f t="shared" si="340"/>
        <v/>
      </c>
      <c r="CK293" s="44" t="str">
        <f t="shared" si="341"/>
        <v/>
      </c>
      <c r="CL293" s="44" t="str">
        <f t="shared" si="342"/>
        <v/>
      </c>
      <c r="CM293" s="44" t="str">
        <f t="shared" si="343"/>
        <v/>
      </c>
      <c r="CN293" s="44" t="str">
        <f t="shared" si="344"/>
        <v/>
      </c>
      <c r="CO293" s="44" t="str">
        <f t="shared" si="345"/>
        <v/>
      </c>
      <c r="CP293" s="44" t="str">
        <f t="shared" si="346"/>
        <v/>
      </c>
      <c r="CQ293" s="44" t="str">
        <f t="shared" si="347"/>
        <v/>
      </c>
      <c r="CR293" s="44" t="str">
        <f t="shared" si="348"/>
        <v/>
      </c>
      <c r="CS293" s="44" t="str">
        <f t="shared" si="349"/>
        <v/>
      </c>
      <c r="CT293" s="44" t="str">
        <f t="shared" si="350"/>
        <v/>
      </c>
      <c r="CV293" s="44">
        <f t="shared" si="351"/>
        <v>0</v>
      </c>
    </row>
    <row r="294" spans="1:100" x14ac:dyDescent="0.25">
      <c r="A294" s="41"/>
      <c r="B294" s="42"/>
      <c r="C294" s="43" t="str" cm="1">
        <f t="array" ref="C294">IF(B294="","",INDEX(UWS!$B$10:$B$41,B294))</f>
        <v/>
      </c>
      <c r="D294" s="40" t="str">
        <f t="shared" si="308"/>
        <v/>
      </c>
      <c r="E294" s="69" t="str">
        <f t="shared" si="309"/>
        <v/>
      </c>
      <c r="F294" s="48" cm="1">
        <f t="array" ref="F294">0.1+IFERROR(INDEX($F$5:$F293,SUMPRODUCT(MAX(ROW($C$5:$C293)*($C294=$C$5:$C293))-ROW($A$4)))*0.9^($A294-INDEX($A$5:A293,SUMPRODUCT(MAX(ROW($C$5:$C293)*($C294=$C$5:$C293))-ROW($A$4)))),0)</f>
        <v>22.900000000000055</v>
      </c>
      <c r="G294" s="55" t="e">
        <f>INDEX(UWS!$AB$10:$AB$41,MATCH(C294,UWS!$B$10:$B$41,0))</f>
        <v>#N/A</v>
      </c>
      <c r="H294" s="48" t="e">
        <f>INDEX(UWS!$C$10:$C$41,MATCH(C294,UWS!$B$10:$B$41,0))</f>
        <v>#N/A</v>
      </c>
      <c r="I294" s="27">
        <f t="shared" si="310"/>
        <v>5</v>
      </c>
      <c r="J294" s="27" t="e">
        <f>INDEX(UWS!$E$10:$E$41,MATCH(C294,UWS!$B$10:$B$41,0))</f>
        <v>#N/A</v>
      </c>
      <c r="L294" s="108" t="str" cm="1">
        <f t="array" ref="L294">IF(K294="","",INDEX(UWS!$B$10:$B$41,K294))</f>
        <v/>
      </c>
      <c r="N294" s="108" t="str" cm="1">
        <f t="array" ref="N294">IF(M294="","",INDEX(UWS!$B$10:$B$41,M294))</f>
        <v/>
      </c>
      <c r="P294">
        <f>IFERROR(INDEX(UWS!$G$10:$Z$41,MATCH($C294,UWS!$B$10:$B$41,0),MATCH(P$4,UWS!$G$3:$Z$3,0)),0)</f>
        <v>0</v>
      </c>
      <c r="Q294">
        <f>IFERROR(INDEX(UWS!$G$10:$Z$41,MATCH($C294,UWS!$B$10:$B$41,0),MATCH(Q$4,UWS!$G$3:$Z$3,0)),0)</f>
        <v>0</v>
      </c>
      <c r="R294">
        <f>IFERROR(INDEX(UWS!$G$10:$Z$41,MATCH($C294,UWS!$B$10:$B$41,0),MATCH(R$4,UWS!$G$3:$Z$3,0)),0)</f>
        <v>0</v>
      </c>
      <c r="S294">
        <f>IFERROR(INDEX(UWS!$G$10:$Z$41,MATCH($C294,UWS!$B$10:$B$41,0),MATCH(S$4,UWS!$G$3:$Z$3,0)),0)</f>
        <v>0</v>
      </c>
      <c r="T294">
        <f>IFERROR(INDEX(UWS!$G$10:$Z$41,MATCH($C294,UWS!$B$10:$B$41,0),MATCH(T$4,UWS!$G$3:$Z$3,0)),0)</f>
        <v>0</v>
      </c>
      <c r="U294">
        <f>IFERROR(INDEX(UWS!$G$10:$Z$41,MATCH($C294,UWS!$B$10:$B$41,0),MATCH(U$4,UWS!$G$3:$Z$3,0)),0)</f>
        <v>0</v>
      </c>
      <c r="V294">
        <f>IFERROR(INDEX(UWS!$G$10:$Z$41,MATCH($C294,UWS!$B$10:$B$41,0),MATCH(V$4,UWS!$G$3:$Z$3,0)),0)</f>
        <v>0</v>
      </c>
      <c r="W294">
        <f>IFERROR(INDEX(UWS!$G$10:$Z$41,MATCH($C294,UWS!$B$10:$B$41,0),MATCH(W$4,UWS!$G$3:$Z$3,0)),0)</f>
        <v>0</v>
      </c>
      <c r="X294">
        <f>IFERROR(INDEX(UWS!$G$10:$Z$41,MATCH($C294,UWS!$B$10:$B$41,0),MATCH(X$4,UWS!$G$3:$Z$3,0)),0)</f>
        <v>0</v>
      </c>
      <c r="Y294">
        <f>IFERROR(INDEX(UWS!$G$10:$Z$41,MATCH($C294,UWS!$B$10:$B$41,0),MATCH(Y$4,UWS!$G$3:$Z$3,0)),0)</f>
        <v>0</v>
      </c>
      <c r="Z294">
        <f>IFERROR(INDEX(UWS!$G$10:$Z$41,MATCH($C294,UWS!$B$10:$B$41,0),MATCH(Z$4,UWS!$G$3:$Z$3,0)),0)</f>
        <v>0</v>
      </c>
      <c r="AA294">
        <f>IFERROR(INDEX(UWS!$G$10:$Z$41,MATCH($C294,UWS!$B$10:$B$41,0),MATCH(AA$4,UWS!$G$3:$Z$3,0)),0)</f>
        <v>0</v>
      </c>
      <c r="AB294">
        <f>IFERROR(INDEX(UWS!$G$10:$Z$41,MATCH($C294,UWS!$B$10:$B$41,0),MATCH(AB$4,UWS!$G$3:$Z$3,0)),0)</f>
        <v>0</v>
      </c>
      <c r="AC294">
        <f>IFERROR(INDEX(UWS!$G$10:$Z$41,MATCH($C294,UWS!$B$10:$B$41,0),MATCH(AC$4,UWS!$G$3:$Z$3,0)),0)</f>
        <v>0</v>
      </c>
      <c r="AD294">
        <f>IFERROR(INDEX(UWS!$G$10:$Z$41,MATCH($C294,UWS!$B$10:$B$41,0),MATCH(AD$4,UWS!$G$3:$Z$3,0)),0)</f>
        <v>0</v>
      </c>
      <c r="AE294">
        <f>IFERROR(INDEX(UWS!$G$10:$Z$41,MATCH($C294,UWS!$B$10:$B$41,0),MATCH(AE$4,UWS!$G$3:$Z$3,0)),0)</f>
        <v>0</v>
      </c>
      <c r="AF294">
        <f>IFERROR(INDEX(UWS!$G$10:$Z$41,MATCH($C294,UWS!$B$10:$B$41,0),MATCH(AF$4,UWS!$G$3:$Z$3,0)),0)</f>
        <v>0</v>
      </c>
      <c r="AG294">
        <f>IFERROR(INDEX(UWS!$G$10:$Z$41,MATCH($C294,UWS!$B$10:$B$41,0),MATCH(AG$4,UWS!$G$3:$Z$3,0)),0)</f>
        <v>0</v>
      </c>
      <c r="AH294">
        <f>IFERROR(INDEX(UWS!$G$10:$Z$41,MATCH($C294,UWS!$B$10:$B$41,0),MATCH(AH$4,UWS!$G$3:$Z$3,0)),0)</f>
        <v>0</v>
      </c>
      <c r="AI294">
        <f>IFERROR(INDEX(UWS!$G$10:$Z$41,MATCH($C294,UWS!$B$10:$B$41,0),MATCH(AI$4,UWS!$G$3:$Z$3,0)),0)</f>
        <v>0</v>
      </c>
      <c r="AK294" t="e">
        <f>IF(OR($J294=0,COUNTIFS($A$4:$A293,"&gt;="&amp;$A294-1,$A$4:$A293,"&lt;="&amp;$A294,$B$4:$B293,$B294)&gt;0,MIN(AK$1,IF($A294=$A293,AK293,1))-P294&lt;0),-1,MIN(1,IF($A294=$A293,AK293,1)-P294+$D$3))</f>
        <v>#N/A</v>
      </c>
      <c r="AL294" t="e">
        <f>IF(OR($J294=0,COUNTIFS($A$4:$A293,"&gt;="&amp;$A294-1,$A$4:$A293,"&lt;="&amp;$A294,$B$4:$B293,$B294)&gt;0,MIN(AL$1,IF($A294=$A293,AL293,1))-Q294&lt;0),-1,MIN(1,IF($A294=$A293,AL293,1)-Q294+$D$3))</f>
        <v>#N/A</v>
      </c>
      <c r="AM294" t="e">
        <f>IF(OR($J294=0,COUNTIFS($A$4:$A293,"&gt;="&amp;$A294-1,$A$4:$A293,"&lt;="&amp;$A294,$B$4:$B293,$B294)&gt;0,MIN(AM$1,IF($A294=$A293,AM293,1))-R294&lt;0),-1,MIN(1,IF($A294=$A293,AM293,1)-R294+$D$3))</f>
        <v>#N/A</v>
      </c>
      <c r="AN294" t="e">
        <f>IF(OR($J294=0,COUNTIFS($A$4:$A293,"&gt;="&amp;$A294-1,$A$4:$A293,"&lt;="&amp;$A294,$B$4:$B293,$B294)&gt;0,MIN(AN$1,IF($A294=$A293,AN293,1))-S294&lt;0),-1,MIN(1,IF($A294=$A293,AN293,1)-S294+$D$3))</f>
        <v>#N/A</v>
      </c>
      <c r="AO294" t="e">
        <f>IF(OR($J294=0,COUNTIFS($A$4:$A293,"&gt;="&amp;$A294-1,$A$4:$A293,"&lt;="&amp;$A294,$B$4:$B293,$B294)&gt;0,MIN(AO$1,IF($A294=$A293,AO293,1))-T294&lt;0),-1,MIN(1,IF($A294=$A293,AO293,1)-T294+$D$3))</f>
        <v>#N/A</v>
      </c>
      <c r="AP294" t="e">
        <f>IF(OR($J294=0,COUNTIFS($A$4:$A293,"&gt;="&amp;$A294-1,$A$4:$A293,"&lt;="&amp;$A294,$B$4:$B293,$B294)&gt;0,MIN(AP$1,IF($A294=$A293,AP293,1))-U294&lt;0),-1,MIN(1,IF($A294=$A293,AP293,1)-U294+$D$3))</f>
        <v>#N/A</v>
      </c>
      <c r="AQ294" t="e">
        <f>IF(OR($J294=0,COUNTIFS($A$4:$A293,"&gt;="&amp;$A294-1,$A$4:$A293,"&lt;="&amp;$A294,$B$4:$B293,$B294)&gt;0,MIN(AQ$1,IF($A294=$A293,AQ293,1))-V294&lt;0),-1,MIN(1,IF($A294=$A293,AQ293,1)-V294+$D$3))</f>
        <v>#N/A</v>
      </c>
      <c r="AR294" t="e">
        <f>IF(OR($J294=0,COUNTIFS($A$4:$A293,"&gt;="&amp;$A294-1,$A$4:$A293,"&lt;="&amp;$A294,$B$4:$B293,$B294)&gt;0,MIN(AR$1,IF($A294=$A293,AR293,1))-W294&lt;0),-1,MIN(1,IF($A294=$A293,AR293,1)-W294+$D$3))</f>
        <v>#N/A</v>
      </c>
      <c r="AS294" t="e">
        <f>IF(OR($J294=0,COUNTIFS($A$4:$A293,"&gt;="&amp;$A294-1,$A$4:$A293,"&lt;="&amp;$A294,$B$4:$B293,$B294)&gt;0,MIN(AS$1,IF($A294=$A293,AS293,1))-X294&lt;0),-1,MIN(1,IF($A294=$A293,AS293,1)-X294+$D$3))</f>
        <v>#N/A</v>
      </c>
      <c r="AT294" t="e">
        <f>IF(OR($J294=0,COUNTIFS($A$4:$A293,"&gt;="&amp;$A294-1,$A$4:$A293,"&lt;="&amp;$A294,$B$4:$B293,$B294)&gt;0,MIN(AT$1,IF($A294=$A293,AT293,1))-Y294&lt;0),-1,MIN(1,IF($A294=$A293,AT293,1)-Y294+$D$3))</f>
        <v>#N/A</v>
      </c>
      <c r="AU294" t="e">
        <f>IF(OR($J294=0,COUNTIFS($A$4:$A293,"&gt;="&amp;$A294-1,$A$4:$A293,"&lt;="&amp;$A294,$B$4:$B293,$B294)&gt;0,MIN(AU$1,IF($A294=$A293,AU293,1))-Z294&lt;0),-1,MIN(1,IF($A294=$A293,AU293,1)-Z294+$D$3))</f>
        <v>#N/A</v>
      </c>
      <c r="AV294" t="e">
        <f>IF(OR($J294=0,COUNTIFS($A$4:$A293,"&gt;="&amp;$A294-1,$A$4:$A293,"&lt;="&amp;$A294,$B$4:$B293,$B294)&gt;0,MIN(AV$1,IF($A294=$A293,AV293,1))-AA294&lt;0),-1,MIN(1,IF($A294=$A293,AV293,1)-AA294+$D$3))</f>
        <v>#N/A</v>
      </c>
      <c r="AW294" t="e">
        <f>IF(OR($J294=0,COUNTIFS($A$4:$A293,"&gt;="&amp;$A294-1,$A$4:$A293,"&lt;="&amp;$A294,$B$4:$B293,$B294)&gt;0,MIN(AW$1,IF($A294=$A293,AW293,1))-AB294&lt;0),-1,MIN(1,IF($A294=$A293,AW293,1)-AB294+$D$3))</f>
        <v>#N/A</v>
      </c>
      <c r="AX294" t="e">
        <f>IF(OR($J294=0,COUNTIFS($A$4:$A293,"&gt;="&amp;$A294-1,$A$4:$A293,"&lt;="&amp;$A294,$B$4:$B293,$B294)&gt;0,MIN(AX$1,IF($A294=$A293,AX293,1))-AC294&lt;0),-1,MIN(1,IF($A294=$A293,AX293,1)-AC294+$D$3))</f>
        <v>#N/A</v>
      </c>
      <c r="AY294" t="e">
        <f>IF(OR($J294=0,COUNTIFS($A$4:$A293,"&gt;="&amp;$A294-1,$A$4:$A293,"&lt;="&amp;$A294,$B$4:$B293,$B294)&gt;0,MIN(AY$1,IF($A294=$A293,AY293,1))-AD294&lt;0),-1,MIN(1,IF($A294=$A293,AY293,1)-AD294+$D$3))</f>
        <v>#N/A</v>
      </c>
      <c r="AZ294" t="e">
        <f>IF(OR($J294=0,COUNTIFS($A$4:$A293,"&gt;="&amp;$A294-1,$A$4:$A293,"&lt;="&amp;$A294,$B$4:$B293,$B294)&gt;0,MIN(AZ$1,IF($A294=$A293,AZ293,1))-AE294&lt;0),-1,MIN(1,IF($A294=$A293,AZ293,1)-AE294+$D$3))</f>
        <v>#N/A</v>
      </c>
      <c r="BA294" t="e">
        <f>IF(OR($J294=0,COUNTIFS($A$4:$A293,"&gt;="&amp;$A294-1,$A$4:$A293,"&lt;="&amp;$A294,$B$4:$B293,$B294)&gt;0,MIN(BA$1,IF($A294=$A293,BA293,1))-AF294&lt;0),-1,MIN(1,IF($A294=$A293,BA293,1)-AF294+$D$3))</f>
        <v>#N/A</v>
      </c>
      <c r="BB294" t="e">
        <f>IF(OR($J294=0,COUNTIFS($A$4:$A293,"&gt;="&amp;$A294-1,$A$4:$A293,"&lt;="&amp;$A294,$B$4:$B293,$B294)&gt;0,MIN(BB$1,IF($A294=$A293,BB293,1))-AG294&lt;0),-1,MIN(1,IF($A294=$A293,BB293,1)-AG294+$D$3))</f>
        <v>#N/A</v>
      </c>
      <c r="BC294" t="e">
        <f>IF(OR($J294=0,COUNTIFS($A$4:$A293,"&gt;="&amp;$A294-1,$A$4:$A293,"&lt;="&amp;$A294,$B$4:$B293,$B294)&gt;0,MIN(BC$1,IF($A294=$A293,BC293,1))-AH294&lt;0),-1,MIN(1,IF($A294=$A293,BC293,1)-AH294+$D$3))</f>
        <v>#N/A</v>
      </c>
      <c r="BD294" t="e">
        <f>IF(OR($J294=0,COUNTIFS($A$4:$A293,"&gt;="&amp;$A294-1,$A$4:$A293,"&lt;="&amp;$A294,$B$4:$B293,$B294)&gt;0,MIN(BD$1,IF($A294=$A293,BD293,1))-AI294&lt;0),-1,MIN(1,IF($A294=$A293,BD293,1)-AI294+$D$3))</f>
        <v>#N/A</v>
      </c>
      <c r="BF294" s="44">
        <f t="shared" si="311"/>
        <v>7.3477001925909851E-7</v>
      </c>
      <c r="BG294" s="44">
        <f t="shared" si="312"/>
        <v>1.8070068156889951E-6</v>
      </c>
      <c r="BH294" s="44">
        <f t="shared" si="313"/>
        <v>1.8519919075796854E-6</v>
      </c>
      <c r="BI294" s="44">
        <f t="shared" si="314"/>
        <v>1.7107263387558298E-6</v>
      </c>
      <c r="BJ294" s="44">
        <f t="shared" si="315"/>
        <v>1.7681980805510696E-6</v>
      </c>
      <c r="BK294" s="44">
        <f t="shared" si="316"/>
        <v>7.5933018294724476E-7</v>
      </c>
      <c r="BL294" s="44">
        <f t="shared" si="317"/>
        <v>4.1020211090993783E-7</v>
      </c>
      <c r="BM294" s="44">
        <f t="shared" si="318"/>
        <v>1.0435062687887134E-6</v>
      </c>
      <c r="BN294" s="44">
        <f t="shared" si="319"/>
        <v>1.0853278455990256E-6</v>
      </c>
      <c r="BO294" s="44">
        <f t="shared" si="320"/>
        <v>5.0862581191254938E-7</v>
      </c>
      <c r="BP294" s="44">
        <f t="shared" si="321"/>
        <v>1.7102429602719348E-6</v>
      </c>
      <c r="BQ294" s="44">
        <f t="shared" si="322"/>
        <v>4.6152377894098644E-7</v>
      </c>
      <c r="BR294" s="44">
        <f t="shared" si="323"/>
        <v>1.3634567744756728E-6</v>
      </c>
      <c r="BS294" s="44">
        <f t="shared" si="324"/>
        <v>7.3533033170134412E-7</v>
      </c>
      <c r="BT294" s="44">
        <f t="shared" si="325"/>
        <v>2.909927557503242E-6</v>
      </c>
      <c r="BU294" s="44">
        <f t="shared" si="326"/>
        <v>2.7798564480842042E-6</v>
      </c>
      <c r="BV294" s="44">
        <f t="shared" si="327"/>
        <v>2.669682163207647E-6</v>
      </c>
      <c r="BW294" s="44">
        <f t="shared" si="328"/>
        <v>1.7461190484610902E-6</v>
      </c>
      <c r="BX294" s="44">
        <f t="shared" si="329"/>
        <v>1.2900010447866998E-6</v>
      </c>
      <c r="BY294" s="44">
        <f t="shared" si="330"/>
        <v>1.1076141657339418E-6</v>
      </c>
      <c r="CA294" s="44" t="str">
        <f t="shared" si="331"/>
        <v/>
      </c>
      <c r="CB294" s="44" t="str">
        <f t="shared" si="332"/>
        <v/>
      </c>
      <c r="CC294" s="44" t="str">
        <f t="shared" si="333"/>
        <v/>
      </c>
      <c r="CD294" s="44" t="str">
        <f t="shared" si="334"/>
        <v/>
      </c>
      <c r="CE294" s="44" t="str">
        <f t="shared" si="335"/>
        <v/>
      </c>
      <c r="CF294" s="44" t="str">
        <f t="shared" si="336"/>
        <v/>
      </c>
      <c r="CG294" s="44" t="str">
        <f t="shared" si="337"/>
        <v/>
      </c>
      <c r="CH294" s="44" t="str">
        <f t="shared" si="338"/>
        <v/>
      </c>
      <c r="CI294" s="44" t="str">
        <f t="shared" si="339"/>
        <v/>
      </c>
      <c r="CJ294" s="44" t="str">
        <f t="shared" si="340"/>
        <v/>
      </c>
      <c r="CK294" s="44" t="str">
        <f t="shared" si="341"/>
        <v/>
      </c>
      <c r="CL294" s="44" t="str">
        <f t="shared" si="342"/>
        <v/>
      </c>
      <c r="CM294" s="44" t="str">
        <f t="shared" si="343"/>
        <v/>
      </c>
      <c r="CN294" s="44" t="str">
        <f t="shared" si="344"/>
        <v/>
      </c>
      <c r="CO294" s="44" t="str">
        <f t="shared" si="345"/>
        <v/>
      </c>
      <c r="CP294" s="44" t="str">
        <f t="shared" si="346"/>
        <v/>
      </c>
      <c r="CQ294" s="44" t="str">
        <f t="shared" si="347"/>
        <v/>
      </c>
      <c r="CR294" s="44" t="str">
        <f t="shared" si="348"/>
        <v/>
      </c>
      <c r="CS294" s="44" t="str">
        <f t="shared" si="349"/>
        <v/>
      </c>
      <c r="CT294" s="44" t="str">
        <f t="shared" si="350"/>
        <v/>
      </c>
      <c r="CV294" s="44">
        <f t="shared" si="351"/>
        <v>0</v>
      </c>
    </row>
    <row r="295" spans="1:100" x14ac:dyDescent="0.25">
      <c r="A295" s="49"/>
      <c r="B295" s="50"/>
      <c r="C295" s="51" t="str" cm="1">
        <f t="array" ref="C295">IF(B295="","",INDEX(UWS!$B$10:$B$41,B295))</f>
        <v/>
      </c>
      <c r="D295" s="45" t="str">
        <f t="shared" si="308"/>
        <v/>
      </c>
      <c r="E295" s="70" t="str">
        <f t="shared" si="309"/>
        <v/>
      </c>
      <c r="F295" s="52" cm="1">
        <f t="array" ref="F295">0.1+IFERROR(INDEX($F$5:$F294,SUMPRODUCT(MAX(ROW($C$5:$C294)*($C295=$C$5:$C294))-ROW($A$4)))*0.9^($A295-INDEX($A$5:A294,SUMPRODUCT(MAX(ROW($C$5:$C294)*($C295=$C$5:$C294))-ROW($A$4)))),0)</f>
        <v>23.000000000000057</v>
      </c>
      <c r="G295" s="56" t="e">
        <f>INDEX(UWS!$AB$10:$AB$41,MATCH(C295,UWS!$B$10:$B$41,0))</f>
        <v>#N/A</v>
      </c>
      <c r="H295" s="52" t="e">
        <f>INDEX(UWS!$C$10:$C$41,MATCH(C295,UWS!$B$10:$B$41,0))</f>
        <v>#N/A</v>
      </c>
      <c r="I295" s="46">
        <f t="shared" si="310"/>
        <v>5</v>
      </c>
      <c r="J295" s="46" t="e">
        <f>INDEX(UWS!$E$10:$E$41,MATCH(C295,UWS!$B$10:$B$41,0))</f>
        <v>#N/A</v>
      </c>
      <c r="K295" s="46"/>
      <c r="L295" s="109" t="str" cm="1">
        <f t="array" ref="L295">IF(K295="","",INDEX(UWS!$B$10:$B$41,K295))</f>
        <v/>
      </c>
      <c r="M295" s="46"/>
      <c r="N295" s="109" t="str" cm="1">
        <f t="array" ref="N295">IF(M295="","",INDEX(UWS!$B$10:$B$41,M295))</f>
        <v/>
      </c>
      <c r="O295" s="47"/>
      <c r="P295" s="47">
        <f>IFERROR(INDEX(UWS!$G$10:$Z$41,MATCH($C295,UWS!$B$10:$B$41,0),MATCH(P$4,UWS!$G$3:$Z$3,0)),0)</f>
        <v>0</v>
      </c>
      <c r="Q295" s="47">
        <f>IFERROR(INDEX(UWS!$G$10:$Z$41,MATCH($C295,UWS!$B$10:$B$41,0),MATCH(Q$4,UWS!$G$3:$Z$3,0)),0)</f>
        <v>0</v>
      </c>
      <c r="R295" s="47">
        <f>IFERROR(INDEX(UWS!$G$10:$Z$41,MATCH($C295,UWS!$B$10:$B$41,0),MATCH(R$4,UWS!$G$3:$Z$3,0)),0)</f>
        <v>0</v>
      </c>
      <c r="S295" s="47">
        <f>IFERROR(INDEX(UWS!$G$10:$Z$41,MATCH($C295,UWS!$B$10:$B$41,0),MATCH(S$4,UWS!$G$3:$Z$3,0)),0)</f>
        <v>0</v>
      </c>
      <c r="T295" s="47">
        <f>IFERROR(INDEX(UWS!$G$10:$Z$41,MATCH($C295,UWS!$B$10:$B$41,0),MATCH(T$4,UWS!$G$3:$Z$3,0)),0)</f>
        <v>0</v>
      </c>
      <c r="U295" s="47">
        <f>IFERROR(INDEX(UWS!$G$10:$Z$41,MATCH($C295,UWS!$B$10:$B$41,0),MATCH(U$4,UWS!$G$3:$Z$3,0)),0)</f>
        <v>0</v>
      </c>
      <c r="V295" s="47">
        <f>IFERROR(INDEX(UWS!$G$10:$Z$41,MATCH($C295,UWS!$B$10:$B$41,0),MATCH(V$4,UWS!$G$3:$Z$3,0)),0)</f>
        <v>0</v>
      </c>
      <c r="W295" s="47">
        <f>IFERROR(INDEX(UWS!$G$10:$Z$41,MATCH($C295,UWS!$B$10:$B$41,0),MATCH(W$4,UWS!$G$3:$Z$3,0)),0)</f>
        <v>0</v>
      </c>
      <c r="X295" s="47">
        <f>IFERROR(INDEX(UWS!$G$10:$Z$41,MATCH($C295,UWS!$B$10:$B$41,0),MATCH(X$4,UWS!$G$3:$Z$3,0)),0)</f>
        <v>0</v>
      </c>
      <c r="Y295" s="47">
        <f>IFERROR(INDEX(UWS!$G$10:$Z$41,MATCH($C295,UWS!$B$10:$B$41,0),MATCH(Y$4,UWS!$G$3:$Z$3,0)),0)</f>
        <v>0</v>
      </c>
      <c r="Z295" s="47">
        <f>IFERROR(INDEX(UWS!$G$10:$Z$41,MATCH($C295,UWS!$B$10:$B$41,0),MATCH(Z$4,UWS!$G$3:$Z$3,0)),0)</f>
        <v>0</v>
      </c>
      <c r="AA295" s="47">
        <f>IFERROR(INDEX(UWS!$G$10:$Z$41,MATCH($C295,UWS!$B$10:$B$41,0),MATCH(AA$4,UWS!$G$3:$Z$3,0)),0)</f>
        <v>0</v>
      </c>
      <c r="AB295" s="47">
        <f>IFERROR(INDEX(UWS!$G$10:$Z$41,MATCH($C295,UWS!$B$10:$B$41,0),MATCH(AB$4,UWS!$G$3:$Z$3,0)),0)</f>
        <v>0</v>
      </c>
      <c r="AC295" s="47">
        <f>IFERROR(INDEX(UWS!$G$10:$Z$41,MATCH($C295,UWS!$B$10:$B$41,0),MATCH(AC$4,UWS!$G$3:$Z$3,0)),0)</f>
        <v>0</v>
      </c>
      <c r="AD295" s="47">
        <f>IFERROR(INDEX(UWS!$G$10:$Z$41,MATCH($C295,UWS!$B$10:$B$41,0),MATCH(AD$4,UWS!$G$3:$Z$3,0)),0)</f>
        <v>0</v>
      </c>
      <c r="AE295" s="47">
        <f>IFERROR(INDEX(UWS!$G$10:$Z$41,MATCH($C295,UWS!$B$10:$B$41,0),MATCH(AE$4,UWS!$G$3:$Z$3,0)),0)</f>
        <v>0</v>
      </c>
      <c r="AF295" s="47">
        <f>IFERROR(INDEX(UWS!$G$10:$Z$41,MATCH($C295,UWS!$B$10:$B$41,0),MATCH(AF$4,UWS!$G$3:$Z$3,0)),0)</f>
        <v>0</v>
      </c>
      <c r="AG295" s="47">
        <f>IFERROR(INDEX(UWS!$G$10:$Z$41,MATCH($C295,UWS!$B$10:$B$41,0),MATCH(AG$4,UWS!$G$3:$Z$3,0)),0)</f>
        <v>0</v>
      </c>
      <c r="AH295" s="47">
        <f>IFERROR(INDEX(UWS!$G$10:$Z$41,MATCH($C295,UWS!$B$10:$B$41,0),MATCH(AH$4,UWS!$G$3:$Z$3,0)),0)</f>
        <v>0</v>
      </c>
      <c r="AI295" s="47">
        <f>IFERROR(INDEX(UWS!$G$10:$Z$41,MATCH($C295,UWS!$B$10:$B$41,0),MATCH(AI$4,UWS!$G$3:$Z$3,0)),0)</f>
        <v>0</v>
      </c>
      <c r="AJ295" s="47"/>
      <c r="AK295" s="47" t="e">
        <f>IF(OR($J295=0,COUNTIFS($A$4:$A294,"&gt;="&amp;$A295-1,$A$4:$A294,"&lt;="&amp;$A295,$B$4:$B294,$B295)&gt;0,MIN(AK$1,IF($A295=$A294,AK294,1))-P295&lt;0),-1,MIN(1,IF($A295=$A294,AK294,1)-P295+$D$3))</f>
        <v>#N/A</v>
      </c>
      <c r="AL295" s="47" t="e">
        <f>IF(OR($J295=0,COUNTIFS($A$4:$A294,"&gt;="&amp;$A295-1,$A$4:$A294,"&lt;="&amp;$A295,$B$4:$B294,$B295)&gt;0,MIN(AL$1,IF($A295=$A294,AL294,1))-Q295&lt;0),-1,MIN(1,IF($A295=$A294,AL294,1)-Q295+$D$3))</f>
        <v>#N/A</v>
      </c>
      <c r="AM295" s="47" t="e">
        <f>IF(OR($J295=0,COUNTIFS($A$4:$A294,"&gt;="&amp;$A295-1,$A$4:$A294,"&lt;="&amp;$A295,$B$4:$B294,$B295)&gt;0,MIN(AM$1,IF($A295=$A294,AM294,1))-R295&lt;0),-1,MIN(1,IF($A295=$A294,AM294,1)-R295+$D$3))</f>
        <v>#N/A</v>
      </c>
      <c r="AN295" s="47" t="e">
        <f>IF(OR($J295=0,COUNTIFS($A$4:$A294,"&gt;="&amp;$A295-1,$A$4:$A294,"&lt;="&amp;$A295,$B$4:$B294,$B295)&gt;0,MIN(AN$1,IF($A295=$A294,AN294,1))-S295&lt;0),-1,MIN(1,IF($A295=$A294,AN294,1)-S295+$D$3))</f>
        <v>#N/A</v>
      </c>
      <c r="AO295" s="47" t="e">
        <f>IF(OR($J295=0,COUNTIFS($A$4:$A294,"&gt;="&amp;$A295-1,$A$4:$A294,"&lt;="&amp;$A295,$B$4:$B294,$B295)&gt;0,MIN(AO$1,IF($A295=$A294,AO294,1))-T295&lt;0),-1,MIN(1,IF($A295=$A294,AO294,1)-T295+$D$3))</f>
        <v>#N/A</v>
      </c>
      <c r="AP295" s="47" t="e">
        <f>IF(OR($J295=0,COUNTIFS($A$4:$A294,"&gt;="&amp;$A295-1,$A$4:$A294,"&lt;="&amp;$A295,$B$4:$B294,$B295)&gt;0,MIN(AP$1,IF($A295=$A294,AP294,1))-U295&lt;0),-1,MIN(1,IF($A295=$A294,AP294,1)-U295+$D$3))</f>
        <v>#N/A</v>
      </c>
      <c r="AQ295" s="47" t="e">
        <f>IF(OR($J295=0,COUNTIFS($A$4:$A294,"&gt;="&amp;$A295-1,$A$4:$A294,"&lt;="&amp;$A295,$B$4:$B294,$B295)&gt;0,MIN(AQ$1,IF($A295=$A294,AQ294,1))-V295&lt;0),-1,MIN(1,IF($A295=$A294,AQ294,1)-V295+$D$3))</f>
        <v>#N/A</v>
      </c>
      <c r="AR295" s="47" t="e">
        <f>IF(OR($J295=0,COUNTIFS($A$4:$A294,"&gt;="&amp;$A295-1,$A$4:$A294,"&lt;="&amp;$A295,$B$4:$B294,$B295)&gt;0,MIN(AR$1,IF($A295=$A294,AR294,1))-W295&lt;0),-1,MIN(1,IF($A295=$A294,AR294,1)-W295+$D$3))</f>
        <v>#N/A</v>
      </c>
      <c r="AS295" s="47" t="e">
        <f>IF(OR($J295=0,COUNTIFS($A$4:$A294,"&gt;="&amp;$A295-1,$A$4:$A294,"&lt;="&amp;$A295,$B$4:$B294,$B295)&gt;0,MIN(AS$1,IF($A295=$A294,AS294,1))-X295&lt;0),-1,MIN(1,IF($A295=$A294,AS294,1)-X295+$D$3))</f>
        <v>#N/A</v>
      </c>
      <c r="AT295" s="47" t="e">
        <f>IF(OR($J295=0,COUNTIFS($A$4:$A294,"&gt;="&amp;$A295-1,$A$4:$A294,"&lt;="&amp;$A295,$B$4:$B294,$B295)&gt;0,MIN(AT$1,IF($A295=$A294,AT294,1))-Y295&lt;0),-1,MIN(1,IF($A295=$A294,AT294,1)-Y295+$D$3))</f>
        <v>#N/A</v>
      </c>
      <c r="AU295" s="47" t="e">
        <f>IF(OR($J295=0,COUNTIFS($A$4:$A294,"&gt;="&amp;$A295-1,$A$4:$A294,"&lt;="&amp;$A295,$B$4:$B294,$B295)&gt;0,MIN(AU$1,IF($A295=$A294,AU294,1))-Z295&lt;0),-1,MIN(1,IF($A295=$A294,AU294,1)-Z295+$D$3))</f>
        <v>#N/A</v>
      </c>
      <c r="AV295" s="47" t="e">
        <f>IF(OR($J295=0,COUNTIFS($A$4:$A294,"&gt;="&amp;$A295-1,$A$4:$A294,"&lt;="&amp;$A295,$B$4:$B294,$B295)&gt;0,MIN(AV$1,IF($A295=$A294,AV294,1))-AA295&lt;0),-1,MIN(1,IF($A295=$A294,AV294,1)-AA295+$D$3))</f>
        <v>#N/A</v>
      </c>
      <c r="AW295" s="47" t="e">
        <f>IF(OR($J295=0,COUNTIFS($A$4:$A294,"&gt;="&amp;$A295-1,$A$4:$A294,"&lt;="&amp;$A295,$B$4:$B294,$B295)&gt;0,MIN(AW$1,IF($A295=$A294,AW294,1))-AB295&lt;0),-1,MIN(1,IF($A295=$A294,AW294,1)-AB295+$D$3))</f>
        <v>#N/A</v>
      </c>
      <c r="AX295" s="47" t="e">
        <f>IF(OR($J295=0,COUNTIFS($A$4:$A294,"&gt;="&amp;$A295-1,$A$4:$A294,"&lt;="&amp;$A295,$B$4:$B294,$B295)&gt;0,MIN(AX$1,IF($A295=$A294,AX294,1))-AC295&lt;0),-1,MIN(1,IF($A295=$A294,AX294,1)-AC295+$D$3))</f>
        <v>#N/A</v>
      </c>
      <c r="AY295" s="47" t="e">
        <f>IF(OR($J295=0,COUNTIFS($A$4:$A294,"&gt;="&amp;$A295-1,$A$4:$A294,"&lt;="&amp;$A295,$B$4:$B294,$B295)&gt;0,MIN(AY$1,IF($A295=$A294,AY294,1))-AD295&lt;0),-1,MIN(1,IF($A295=$A294,AY294,1)-AD295+$D$3))</f>
        <v>#N/A</v>
      </c>
      <c r="AZ295" s="47" t="e">
        <f>IF(OR($J295=0,COUNTIFS($A$4:$A294,"&gt;="&amp;$A295-1,$A$4:$A294,"&lt;="&amp;$A295,$B$4:$B294,$B295)&gt;0,MIN(AZ$1,IF($A295=$A294,AZ294,1))-AE295&lt;0),-1,MIN(1,IF($A295=$A294,AZ294,1)-AE295+$D$3))</f>
        <v>#N/A</v>
      </c>
      <c r="BA295" s="47" t="e">
        <f>IF(OR($J295=0,COUNTIFS($A$4:$A294,"&gt;="&amp;$A295-1,$A$4:$A294,"&lt;="&amp;$A295,$B$4:$B294,$B295)&gt;0,MIN(BA$1,IF($A295=$A294,BA294,1))-AF295&lt;0),-1,MIN(1,IF($A295=$A294,BA294,1)-AF295+$D$3))</f>
        <v>#N/A</v>
      </c>
      <c r="BB295" s="47" t="e">
        <f>IF(OR($J295=0,COUNTIFS($A$4:$A294,"&gt;="&amp;$A295-1,$A$4:$A294,"&lt;="&amp;$A295,$B$4:$B294,$B295)&gt;0,MIN(BB$1,IF($A295=$A294,BB294,1))-AG295&lt;0),-1,MIN(1,IF($A295=$A294,BB294,1)-AG295+$D$3))</f>
        <v>#N/A</v>
      </c>
      <c r="BC295" s="47" t="e">
        <f>IF(OR($J295=0,COUNTIFS($A$4:$A294,"&gt;="&amp;$A295-1,$A$4:$A294,"&lt;="&amp;$A295,$B$4:$B294,$B295)&gt;0,MIN(BC$1,IF($A295=$A294,BC294,1))-AH295&lt;0),-1,MIN(1,IF($A295=$A294,BC294,1)-AH295+$D$3))</f>
        <v>#N/A</v>
      </c>
      <c r="BD295" s="47" t="e">
        <f>IF(OR($J295=0,COUNTIFS($A$4:$A294,"&gt;="&amp;$A295-1,$A$4:$A294,"&lt;="&amp;$A295,$B$4:$B294,$B295)&gt;0,MIN(BD$1,IF($A295=$A294,BD294,1))-AI295&lt;0),-1,MIN(1,IF($A295=$A294,BD294,1)-AI295+$D$3))</f>
        <v>#N/A</v>
      </c>
      <c r="BE295" s="47"/>
      <c r="BF295" s="53">
        <f t="shared" si="311"/>
        <v>6.9803151829614359E-7</v>
      </c>
      <c r="BG295" s="53">
        <f t="shared" si="312"/>
        <v>1.7166564749045453E-6</v>
      </c>
      <c r="BH295" s="53">
        <f t="shared" si="313"/>
        <v>1.759392312200701E-6</v>
      </c>
      <c r="BI295" s="53">
        <f t="shared" si="314"/>
        <v>1.6251900218180382E-6</v>
      </c>
      <c r="BJ295" s="53">
        <f t="shared" si="315"/>
        <v>1.679788176523516E-6</v>
      </c>
      <c r="BK295" s="53">
        <f t="shared" si="316"/>
        <v>7.2136367379988247E-7</v>
      </c>
      <c r="BL295" s="53">
        <f t="shared" si="317"/>
        <v>3.8969200536444091E-7</v>
      </c>
      <c r="BM295" s="53">
        <f t="shared" si="318"/>
        <v>9.9133095534927774E-7</v>
      </c>
      <c r="BN295" s="53">
        <f t="shared" si="319"/>
        <v>1.0310614533190743E-6</v>
      </c>
      <c r="BO295" s="53">
        <f t="shared" si="320"/>
        <v>4.8319452131692184E-7</v>
      </c>
      <c r="BP295" s="53">
        <f t="shared" si="321"/>
        <v>1.6247308122583379E-6</v>
      </c>
      <c r="BQ295" s="53">
        <f t="shared" si="322"/>
        <v>4.384475899939371E-7</v>
      </c>
      <c r="BR295" s="53">
        <f t="shared" si="323"/>
        <v>1.2952839357518891E-6</v>
      </c>
      <c r="BS295" s="53">
        <f t="shared" si="324"/>
        <v>6.9856381511627687E-7</v>
      </c>
      <c r="BT295" s="53">
        <f t="shared" si="325"/>
        <v>2.7644311796280799E-6</v>
      </c>
      <c r="BU295" s="53">
        <f t="shared" si="326"/>
        <v>2.6408636256799939E-6</v>
      </c>
      <c r="BV295" s="53">
        <f t="shared" si="327"/>
        <v>2.5361980550472646E-6</v>
      </c>
      <c r="BW295" s="53">
        <f t="shared" si="328"/>
        <v>1.6588130960380356E-6</v>
      </c>
      <c r="BX295" s="53">
        <f t="shared" si="329"/>
        <v>1.2255009925473647E-6</v>
      </c>
      <c r="BY295" s="53">
        <f t="shared" si="330"/>
        <v>1.0522334574472446E-6</v>
      </c>
      <c r="BZ295" s="47"/>
      <c r="CA295" s="53" t="str">
        <f t="shared" si="331"/>
        <v/>
      </c>
      <c r="CB295" s="53" t="str">
        <f t="shared" si="332"/>
        <v/>
      </c>
      <c r="CC295" s="53" t="str">
        <f t="shared" si="333"/>
        <v/>
      </c>
      <c r="CD295" s="53" t="str">
        <f t="shared" si="334"/>
        <v/>
      </c>
      <c r="CE295" s="53" t="str">
        <f t="shared" si="335"/>
        <v/>
      </c>
      <c r="CF295" s="53" t="str">
        <f t="shared" si="336"/>
        <v/>
      </c>
      <c r="CG295" s="53" t="str">
        <f t="shared" si="337"/>
        <v/>
      </c>
      <c r="CH295" s="53" t="str">
        <f t="shared" si="338"/>
        <v/>
      </c>
      <c r="CI295" s="53" t="str">
        <f t="shared" si="339"/>
        <v/>
      </c>
      <c r="CJ295" s="53" t="str">
        <f t="shared" si="340"/>
        <v/>
      </c>
      <c r="CK295" s="53" t="str">
        <f t="shared" si="341"/>
        <v/>
      </c>
      <c r="CL295" s="53" t="str">
        <f t="shared" si="342"/>
        <v/>
      </c>
      <c r="CM295" s="53" t="str">
        <f t="shared" si="343"/>
        <v/>
      </c>
      <c r="CN295" s="53" t="str">
        <f t="shared" si="344"/>
        <v/>
      </c>
      <c r="CO295" s="53" t="str">
        <f t="shared" si="345"/>
        <v/>
      </c>
      <c r="CP295" s="53" t="str">
        <f t="shared" si="346"/>
        <v/>
      </c>
      <c r="CQ295" s="53" t="str">
        <f t="shared" si="347"/>
        <v/>
      </c>
      <c r="CR295" s="53" t="str">
        <f t="shared" si="348"/>
        <v/>
      </c>
      <c r="CS295" s="53" t="str">
        <f t="shared" si="349"/>
        <v/>
      </c>
      <c r="CT295" s="53" t="str">
        <f t="shared" si="350"/>
        <v/>
      </c>
      <c r="CU295" s="47"/>
      <c r="CV295" s="53">
        <f t="shared" si="351"/>
        <v>0</v>
      </c>
    </row>
    <row r="296" spans="1:100" x14ac:dyDescent="0.25">
      <c r="A296" s="41"/>
      <c r="B296" s="42"/>
      <c r="C296" s="43" t="str" cm="1">
        <f t="array" ref="C296">IF(B296="","",INDEX(UWS!$B$10:$B$41,B296))</f>
        <v/>
      </c>
      <c r="D296" s="40" t="str">
        <f t="shared" si="308"/>
        <v/>
      </c>
      <c r="E296" s="69" t="str">
        <f t="shared" si="309"/>
        <v/>
      </c>
      <c r="F296" s="48" cm="1">
        <f t="array" ref="F296">0.1+IFERROR(INDEX($F$5:$F295,SUMPRODUCT(MAX(ROW($C$5:$C295)*($C296=$C$5:$C295))-ROW($A$4)))*0.9^($A296-INDEX($A$5:A295,SUMPRODUCT(MAX(ROW($C$5:$C295)*($C296=$C$5:$C295))-ROW($A$4)))),0)</f>
        <v>23.100000000000058</v>
      </c>
      <c r="G296" s="55" t="e">
        <f>INDEX(UWS!$AB$10:$AB$41,MATCH(C296,UWS!$B$10:$B$41,0))</f>
        <v>#N/A</v>
      </c>
      <c r="H296" s="48" t="e">
        <f>INDEX(UWS!$C$10:$C$41,MATCH(C296,UWS!$B$10:$B$41,0))</f>
        <v>#N/A</v>
      </c>
      <c r="I296" s="82">
        <f t="shared" si="310"/>
        <v>5</v>
      </c>
      <c r="J296" s="27" t="e">
        <f>INDEX(UWS!$E$10:$E$41,MATCH(C296,UWS!$B$10:$B$41,0))</f>
        <v>#N/A</v>
      </c>
      <c r="L296" s="108" t="str" cm="1">
        <f t="array" ref="L296">IF(K296="","",INDEX(UWS!$B$10:$B$41,K296))</f>
        <v/>
      </c>
      <c r="N296" s="108" t="str" cm="1">
        <f t="array" ref="N296">IF(M296="","",INDEX(UWS!$B$10:$B$41,M296))</f>
        <v/>
      </c>
      <c r="P296">
        <f>IFERROR(INDEX(UWS!$G$10:$Z$41,MATCH($C296,UWS!$B$10:$B$41,0),MATCH(P$4,UWS!$G$3:$Z$3,0)),0)</f>
        <v>0</v>
      </c>
      <c r="Q296">
        <f>IFERROR(INDEX(UWS!$G$10:$Z$41,MATCH($C296,UWS!$B$10:$B$41,0),MATCH(Q$4,UWS!$G$3:$Z$3,0)),0)</f>
        <v>0</v>
      </c>
      <c r="R296">
        <f>IFERROR(INDEX(UWS!$G$10:$Z$41,MATCH($C296,UWS!$B$10:$B$41,0),MATCH(R$4,UWS!$G$3:$Z$3,0)),0)</f>
        <v>0</v>
      </c>
      <c r="S296">
        <f>IFERROR(INDEX(UWS!$G$10:$Z$41,MATCH($C296,UWS!$B$10:$B$41,0),MATCH(S$4,UWS!$G$3:$Z$3,0)),0)</f>
        <v>0</v>
      </c>
      <c r="T296">
        <f>IFERROR(INDEX(UWS!$G$10:$Z$41,MATCH($C296,UWS!$B$10:$B$41,0),MATCH(T$4,UWS!$G$3:$Z$3,0)),0)</f>
        <v>0</v>
      </c>
      <c r="U296">
        <f>IFERROR(INDEX(UWS!$G$10:$Z$41,MATCH($C296,UWS!$B$10:$B$41,0),MATCH(U$4,UWS!$G$3:$Z$3,0)),0)</f>
        <v>0</v>
      </c>
      <c r="V296">
        <f>IFERROR(INDEX(UWS!$G$10:$Z$41,MATCH($C296,UWS!$B$10:$B$41,0),MATCH(V$4,UWS!$G$3:$Z$3,0)),0)</f>
        <v>0</v>
      </c>
      <c r="W296">
        <f>IFERROR(INDEX(UWS!$G$10:$Z$41,MATCH($C296,UWS!$B$10:$B$41,0),MATCH(W$4,UWS!$G$3:$Z$3,0)),0)</f>
        <v>0</v>
      </c>
      <c r="X296">
        <f>IFERROR(INDEX(UWS!$G$10:$Z$41,MATCH($C296,UWS!$B$10:$B$41,0),MATCH(X$4,UWS!$G$3:$Z$3,0)),0)</f>
        <v>0</v>
      </c>
      <c r="Y296">
        <f>IFERROR(INDEX(UWS!$G$10:$Z$41,MATCH($C296,UWS!$B$10:$B$41,0),MATCH(Y$4,UWS!$G$3:$Z$3,0)),0)</f>
        <v>0</v>
      </c>
      <c r="Z296">
        <f>IFERROR(INDEX(UWS!$G$10:$Z$41,MATCH($C296,UWS!$B$10:$B$41,0),MATCH(Z$4,UWS!$G$3:$Z$3,0)),0)</f>
        <v>0</v>
      </c>
      <c r="AA296">
        <f>IFERROR(INDEX(UWS!$G$10:$Z$41,MATCH($C296,UWS!$B$10:$B$41,0),MATCH(AA$4,UWS!$G$3:$Z$3,0)),0)</f>
        <v>0</v>
      </c>
      <c r="AB296">
        <f>IFERROR(INDEX(UWS!$G$10:$Z$41,MATCH($C296,UWS!$B$10:$B$41,0),MATCH(AB$4,UWS!$G$3:$Z$3,0)),0)</f>
        <v>0</v>
      </c>
      <c r="AC296">
        <f>IFERROR(INDEX(UWS!$G$10:$Z$41,MATCH($C296,UWS!$B$10:$B$41,0),MATCH(AC$4,UWS!$G$3:$Z$3,0)),0)</f>
        <v>0</v>
      </c>
      <c r="AD296">
        <f>IFERROR(INDEX(UWS!$G$10:$Z$41,MATCH($C296,UWS!$B$10:$B$41,0),MATCH(AD$4,UWS!$G$3:$Z$3,0)),0)</f>
        <v>0</v>
      </c>
      <c r="AE296">
        <f>IFERROR(INDEX(UWS!$G$10:$Z$41,MATCH($C296,UWS!$B$10:$B$41,0),MATCH(AE$4,UWS!$G$3:$Z$3,0)),0)</f>
        <v>0</v>
      </c>
      <c r="AF296">
        <f>IFERROR(INDEX(UWS!$G$10:$Z$41,MATCH($C296,UWS!$B$10:$B$41,0),MATCH(AF$4,UWS!$G$3:$Z$3,0)),0)</f>
        <v>0</v>
      </c>
      <c r="AG296">
        <f>IFERROR(INDEX(UWS!$G$10:$Z$41,MATCH($C296,UWS!$B$10:$B$41,0),MATCH(AG$4,UWS!$G$3:$Z$3,0)),0)</f>
        <v>0</v>
      </c>
      <c r="AH296">
        <f>IFERROR(INDEX(UWS!$G$10:$Z$41,MATCH($C296,UWS!$B$10:$B$41,0),MATCH(AH$4,UWS!$G$3:$Z$3,0)),0)</f>
        <v>0</v>
      </c>
      <c r="AI296">
        <f>IFERROR(INDEX(UWS!$G$10:$Z$41,MATCH($C296,UWS!$B$10:$B$41,0),MATCH(AI$4,UWS!$G$3:$Z$3,0)),0)</f>
        <v>0</v>
      </c>
      <c r="AK296" t="e">
        <f>IF(OR($J296=0,COUNTIFS($A$4:$A295,"&gt;="&amp;$A296-1,$A$4:$A295,"&lt;="&amp;$A296,$B$4:$B295,$B296)&gt;0,MIN(AK$1,IF($A296=$A295,AK295,1))-P296&lt;0),-1,MIN(1,IF($A296=$A295,AK295,1)-P296+$D$3))</f>
        <v>#N/A</v>
      </c>
      <c r="AL296" t="e">
        <f>IF(OR($J296=0,COUNTIFS($A$4:$A295,"&gt;="&amp;$A296-1,$A$4:$A295,"&lt;="&amp;$A296,$B$4:$B295,$B296)&gt;0,MIN(AL$1,IF($A296=$A295,AL295,1))-Q296&lt;0),-1,MIN(1,IF($A296=$A295,AL295,1)-Q296+$D$3))</f>
        <v>#N/A</v>
      </c>
      <c r="AM296" t="e">
        <f>IF(OR($J296=0,COUNTIFS($A$4:$A295,"&gt;="&amp;$A296-1,$A$4:$A295,"&lt;="&amp;$A296,$B$4:$B295,$B296)&gt;0,MIN(AM$1,IF($A296=$A295,AM295,1))-R296&lt;0),-1,MIN(1,IF($A296=$A295,AM295,1)-R296+$D$3))</f>
        <v>#N/A</v>
      </c>
      <c r="AN296" t="e">
        <f>IF(OR($J296=0,COUNTIFS($A$4:$A295,"&gt;="&amp;$A296-1,$A$4:$A295,"&lt;="&amp;$A296,$B$4:$B295,$B296)&gt;0,MIN(AN$1,IF($A296=$A295,AN295,1))-S296&lt;0),-1,MIN(1,IF($A296=$A295,AN295,1)-S296+$D$3))</f>
        <v>#N/A</v>
      </c>
      <c r="AO296" t="e">
        <f>IF(OR($J296=0,COUNTIFS($A$4:$A295,"&gt;="&amp;$A296-1,$A$4:$A295,"&lt;="&amp;$A296,$B$4:$B295,$B296)&gt;0,MIN(AO$1,IF($A296=$A295,AO295,1))-T296&lt;0),-1,MIN(1,IF($A296=$A295,AO295,1)-T296+$D$3))</f>
        <v>#N/A</v>
      </c>
      <c r="AP296" t="e">
        <f>IF(OR($J296=0,COUNTIFS($A$4:$A295,"&gt;="&amp;$A296-1,$A$4:$A295,"&lt;="&amp;$A296,$B$4:$B295,$B296)&gt;0,MIN(AP$1,IF($A296=$A295,AP295,1))-U296&lt;0),-1,MIN(1,IF($A296=$A295,AP295,1)-U296+$D$3))</f>
        <v>#N/A</v>
      </c>
      <c r="AQ296" t="e">
        <f>IF(OR($J296=0,COUNTIFS($A$4:$A295,"&gt;="&amp;$A296-1,$A$4:$A295,"&lt;="&amp;$A296,$B$4:$B295,$B296)&gt;0,MIN(AQ$1,IF($A296=$A295,AQ295,1))-V296&lt;0),-1,MIN(1,IF($A296=$A295,AQ295,1)-V296+$D$3))</f>
        <v>#N/A</v>
      </c>
      <c r="AR296" t="e">
        <f>IF(OR($J296=0,COUNTIFS($A$4:$A295,"&gt;="&amp;$A296-1,$A$4:$A295,"&lt;="&amp;$A296,$B$4:$B295,$B296)&gt;0,MIN(AR$1,IF($A296=$A295,AR295,1))-W296&lt;0),-1,MIN(1,IF($A296=$A295,AR295,1)-W296+$D$3))</f>
        <v>#N/A</v>
      </c>
      <c r="AS296" t="e">
        <f>IF(OR($J296=0,COUNTIFS($A$4:$A295,"&gt;="&amp;$A296-1,$A$4:$A295,"&lt;="&amp;$A296,$B$4:$B295,$B296)&gt;0,MIN(AS$1,IF($A296=$A295,AS295,1))-X296&lt;0),-1,MIN(1,IF($A296=$A295,AS295,1)-X296+$D$3))</f>
        <v>#N/A</v>
      </c>
      <c r="AT296" t="e">
        <f>IF(OR($J296=0,COUNTIFS($A$4:$A295,"&gt;="&amp;$A296-1,$A$4:$A295,"&lt;="&amp;$A296,$B$4:$B295,$B296)&gt;0,MIN(AT$1,IF($A296=$A295,AT295,1))-Y296&lt;0),-1,MIN(1,IF($A296=$A295,AT295,1)-Y296+$D$3))</f>
        <v>#N/A</v>
      </c>
      <c r="AU296" t="e">
        <f>IF(OR($J296=0,COUNTIFS($A$4:$A295,"&gt;="&amp;$A296-1,$A$4:$A295,"&lt;="&amp;$A296,$B$4:$B295,$B296)&gt;0,MIN(AU$1,IF($A296=$A295,AU295,1))-Z296&lt;0),-1,MIN(1,IF($A296=$A295,AU295,1)-Z296+$D$3))</f>
        <v>#N/A</v>
      </c>
      <c r="AV296" t="e">
        <f>IF(OR($J296=0,COUNTIFS($A$4:$A295,"&gt;="&amp;$A296-1,$A$4:$A295,"&lt;="&amp;$A296,$B$4:$B295,$B296)&gt;0,MIN(AV$1,IF($A296=$A295,AV295,1))-AA296&lt;0),-1,MIN(1,IF($A296=$A295,AV295,1)-AA296+$D$3))</f>
        <v>#N/A</v>
      </c>
      <c r="AW296" t="e">
        <f>IF(OR($J296=0,COUNTIFS($A$4:$A295,"&gt;="&amp;$A296-1,$A$4:$A295,"&lt;="&amp;$A296,$B$4:$B295,$B296)&gt;0,MIN(AW$1,IF($A296=$A295,AW295,1))-AB296&lt;0),-1,MIN(1,IF($A296=$A295,AW295,1)-AB296+$D$3))</f>
        <v>#N/A</v>
      </c>
      <c r="AX296" t="e">
        <f>IF(OR($J296=0,COUNTIFS($A$4:$A295,"&gt;="&amp;$A296-1,$A$4:$A295,"&lt;="&amp;$A296,$B$4:$B295,$B296)&gt;0,MIN(AX$1,IF($A296=$A295,AX295,1))-AC296&lt;0),-1,MIN(1,IF($A296=$A295,AX295,1)-AC296+$D$3))</f>
        <v>#N/A</v>
      </c>
      <c r="AY296" t="e">
        <f>IF(OR($J296=0,COUNTIFS($A$4:$A295,"&gt;="&amp;$A296-1,$A$4:$A295,"&lt;="&amp;$A296,$B$4:$B295,$B296)&gt;0,MIN(AY$1,IF($A296=$A295,AY295,1))-AD296&lt;0),-1,MIN(1,IF($A296=$A295,AY295,1)-AD296+$D$3))</f>
        <v>#N/A</v>
      </c>
      <c r="AZ296" t="e">
        <f>IF(OR($J296=0,COUNTIFS($A$4:$A295,"&gt;="&amp;$A296-1,$A$4:$A295,"&lt;="&amp;$A296,$B$4:$B295,$B296)&gt;0,MIN(AZ$1,IF($A296=$A295,AZ295,1))-AE296&lt;0),-1,MIN(1,IF($A296=$A295,AZ295,1)-AE296+$D$3))</f>
        <v>#N/A</v>
      </c>
      <c r="BA296" t="e">
        <f>IF(OR($J296=0,COUNTIFS($A$4:$A295,"&gt;="&amp;$A296-1,$A$4:$A295,"&lt;="&amp;$A296,$B$4:$B295,$B296)&gt;0,MIN(BA$1,IF($A296=$A295,BA295,1))-AF296&lt;0),-1,MIN(1,IF($A296=$A295,BA295,1)-AF296+$D$3))</f>
        <v>#N/A</v>
      </c>
      <c r="BB296" t="e">
        <f>IF(OR($J296=0,COUNTIFS($A$4:$A295,"&gt;="&amp;$A296-1,$A$4:$A295,"&lt;="&amp;$A296,$B$4:$B295,$B296)&gt;0,MIN(BB$1,IF($A296=$A295,BB295,1))-AG296&lt;0),-1,MIN(1,IF($A296=$A295,BB295,1)-AG296+$D$3))</f>
        <v>#N/A</v>
      </c>
      <c r="BC296" t="e">
        <f>IF(OR($J296=0,COUNTIFS($A$4:$A295,"&gt;="&amp;$A296-1,$A$4:$A295,"&lt;="&amp;$A296,$B$4:$B295,$B296)&gt;0,MIN(BC$1,IF($A296=$A295,BC295,1))-AH296&lt;0),-1,MIN(1,IF($A296=$A295,BC295,1)-AH296+$D$3))</f>
        <v>#N/A</v>
      </c>
      <c r="BD296" t="e">
        <f>IF(OR($J296=0,COUNTIFS($A$4:$A295,"&gt;="&amp;$A296-1,$A$4:$A295,"&lt;="&amp;$A296,$B$4:$B295,$B296)&gt;0,MIN(BD$1,IF($A296=$A295,BD295,1))-AI296&lt;0),-1,MIN(1,IF($A296=$A295,BD295,1)-AI296+$D$3))</f>
        <v>#N/A</v>
      </c>
      <c r="BF296" s="44">
        <f t="shared" si="311"/>
        <v>6.6312994238133639E-7</v>
      </c>
      <c r="BG296" s="44">
        <f t="shared" si="312"/>
        <v>1.6308236511593181E-6</v>
      </c>
      <c r="BH296" s="44">
        <f t="shared" si="313"/>
        <v>1.6714226965906659E-6</v>
      </c>
      <c r="BI296" s="44">
        <f t="shared" si="314"/>
        <v>1.5439305207271362E-6</v>
      </c>
      <c r="BJ296" s="44">
        <f t="shared" si="315"/>
        <v>1.5957987676973401E-6</v>
      </c>
      <c r="BK296" s="44">
        <f t="shared" si="316"/>
        <v>6.8529549010988831E-7</v>
      </c>
      <c r="BL296" s="44">
        <f t="shared" si="317"/>
        <v>3.7020740509621885E-7</v>
      </c>
      <c r="BM296" s="44">
        <f t="shared" si="318"/>
        <v>9.4176440758181378E-7</v>
      </c>
      <c r="BN296" s="44">
        <f t="shared" si="319"/>
        <v>9.7950838065312065E-7</v>
      </c>
      <c r="BO296" s="44">
        <f t="shared" si="320"/>
        <v>4.5903479525107574E-7</v>
      </c>
      <c r="BP296" s="44">
        <f t="shared" si="321"/>
        <v>1.5434942716454209E-6</v>
      </c>
      <c r="BQ296" s="44">
        <f t="shared" si="322"/>
        <v>4.165252104942402E-7</v>
      </c>
      <c r="BR296" s="44">
        <f t="shared" si="323"/>
        <v>1.2305197389642946E-6</v>
      </c>
      <c r="BS296" s="44">
        <f t="shared" si="324"/>
        <v>6.6363562436046296E-7</v>
      </c>
      <c r="BT296" s="44">
        <f t="shared" si="325"/>
        <v>2.6262096206466759E-6</v>
      </c>
      <c r="BU296" s="44">
        <f t="shared" si="326"/>
        <v>2.5088204443959939E-6</v>
      </c>
      <c r="BV296" s="44">
        <f t="shared" si="327"/>
        <v>2.4093881522949013E-6</v>
      </c>
      <c r="BW296" s="44">
        <f t="shared" si="328"/>
        <v>1.5758724412361336E-6</v>
      </c>
      <c r="BX296" s="44">
        <f t="shared" si="329"/>
        <v>1.1642259429199965E-6</v>
      </c>
      <c r="BY296" s="44">
        <f t="shared" si="330"/>
        <v>9.9962178457488228E-7</v>
      </c>
      <c r="CA296" s="44" t="str">
        <f t="shared" si="331"/>
        <v/>
      </c>
      <c r="CB296" s="44" t="str">
        <f t="shared" si="332"/>
        <v/>
      </c>
      <c r="CC296" s="44" t="str">
        <f t="shared" si="333"/>
        <v/>
      </c>
      <c r="CD296" s="44" t="str">
        <f t="shared" si="334"/>
        <v/>
      </c>
      <c r="CE296" s="44" t="str">
        <f t="shared" si="335"/>
        <v/>
      </c>
      <c r="CF296" s="44" t="str">
        <f t="shared" si="336"/>
        <v/>
      </c>
      <c r="CG296" s="44" t="str">
        <f t="shared" si="337"/>
        <v/>
      </c>
      <c r="CH296" s="44" t="str">
        <f t="shared" si="338"/>
        <v/>
      </c>
      <c r="CI296" s="44" t="str">
        <f t="shared" si="339"/>
        <v/>
      </c>
      <c r="CJ296" s="44" t="str">
        <f t="shared" si="340"/>
        <v/>
      </c>
      <c r="CK296" s="44" t="str">
        <f t="shared" si="341"/>
        <v/>
      </c>
      <c r="CL296" s="44" t="str">
        <f t="shared" si="342"/>
        <v/>
      </c>
      <c r="CM296" s="44" t="str">
        <f t="shared" si="343"/>
        <v/>
      </c>
      <c r="CN296" s="44" t="str">
        <f t="shared" si="344"/>
        <v/>
      </c>
      <c r="CO296" s="44" t="str">
        <f t="shared" si="345"/>
        <v/>
      </c>
      <c r="CP296" s="44" t="str">
        <f t="shared" si="346"/>
        <v/>
      </c>
      <c r="CQ296" s="44" t="str">
        <f t="shared" si="347"/>
        <v/>
      </c>
      <c r="CR296" s="44" t="str">
        <f t="shared" si="348"/>
        <v/>
      </c>
      <c r="CS296" s="44" t="str">
        <f t="shared" si="349"/>
        <v/>
      </c>
      <c r="CT296" s="44" t="str">
        <f t="shared" si="350"/>
        <v/>
      </c>
      <c r="CV296" s="44">
        <f t="shared" si="351"/>
        <v>0</v>
      </c>
    </row>
    <row r="297" spans="1:100" x14ac:dyDescent="0.25">
      <c r="A297" s="41"/>
      <c r="B297" s="42"/>
      <c r="C297" s="43" t="str" cm="1">
        <f t="array" ref="C297">IF(B297="","",INDEX(UWS!$B$10:$B$41,B297))</f>
        <v/>
      </c>
      <c r="D297" s="40" t="str">
        <f t="shared" si="308"/>
        <v/>
      </c>
      <c r="E297" s="69" t="str">
        <f t="shared" si="309"/>
        <v/>
      </c>
      <c r="F297" s="48" cm="1">
        <f t="array" ref="F297">0.1+IFERROR(INDEX($F$5:$F296,SUMPRODUCT(MAX(ROW($C$5:$C296)*($C297=$C$5:$C296))-ROW($A$4)))*0.9^($A297-INDEX($A$5:A296,SUMPRODUCT(MAX(ROW($C$5:$C296)*($C297=$C$5:$C296))-ROW($A$4)))),0)</f>
        <v>23.20000000000006</v>
      </c>
      <c r="G297" s="55" t="e">
        <f>INDEX(UWS!$AB$10:$AB$41,MATCH(C297,UWS!$B$10:$B$41,0))</f>
        <v>#N/A</v>
      </c>
      <c r="H297" s="48" t="e">
        <f>INDEX(UWS!$C$10:$C$41,MATCH(C297,UWS!$B$10:$B$41,0))</f>
        <v>#N/A</v>
      </c>
      <c r="I297" s="27">
        <f t="shared" si="310"/>
        <v>5</v>
      </c>
      <c r="J297" s="27" t="e">
        <f>INDEX(UWS!$E$10:$E$41,MATCH(C297,UWS!$B$10:$B$41,0))</f>
        <v>#N/A</v>
      </c>
      <c r="L297" s="108" t="str" cm="1">
        <f t="array" ref="L297">IF(K297="","",INDEX(UWS!$B$10:$B$41,K297))</f>
        <v/>
      </c>
      <c r="N297" s="108" t="str" cm="1">
        <f t="array" ref="N297">IF(M297="","",INDEX(UWS!$B$10:$B$41,M297))</f>
        <v/>
      </c>
      <c r="P297">
        <f>IFERROR(INDEX(UWS!$G$10:$Z$41,MATCH($C297,UWS!$B$10:$B$41,0),MATCH(P$4,UWS!$G$3:$Z$3,0)),0)</f>
        <v>0</v>
      </c>
      <c r="Q297">
        <f>IFERROR(INDEX(UWS!$G$10:$Z$41,MATCH($C297,UWS!$B$10:$B$41,0),MATCH(Q$4,UWS!$G$3:$Z$3,0)),0)</f>
        <v>0</v>
      </c>
      <c r="R297">
        <f>IFERROR(INDEX(UWS!$G$10:$Z$41,MATCH($C297,UWS!$B$10:$B$41,0),MATCH(R$4,UWS!$G$3:$Z$3,0)),0)</f>
        <v>0</v>
      </c>
      <c r="S297">
        <f>IFERROR(INDEX(UWS!$G$10:$Z$41,MATCH($C297,UWS!$B$10:$B$41,0),MATCH(S$4,UWS!$G$3:$Z$3,0)),0)</f>
        <v>0</v>
      </c>
      <c r="T297">
        <f>IFERROR(INDEX(UWS!$G$10:$Z$41,MATCH($C297,UWS!$B$10:$B$41,0),MATCH(T$4,UWS!$G$3:$Z$3,0)),0)</f>
        <v>0</v>
      </c>
      <c r="U297">
        <f>IFERROR(INDEX(UWS!$G$10:$Z$41,MATCH($C297,UWS!$B$10:$B$41,0),MATCH(U$4,UWS!$G$3:$Z$3,0)),0)</f>
        <v>0</v>
      </c>
      <c r="V297">
        <f>IFERROR(INDEX(UWS!$G$10:$Z$41,MATCH($C297,UWS!$B$10:$B$41,0),MATCH(V$4,UWS!$G$3:$Z$3,0)),0)</f>
        <v>0</v>
      </c>
      <c r="W297">
        <f>IFERROR(INDEX(UWS!$G$10:$Z$41,MATCH($C297,UWS!$B$10:$B$41,0),MATCH(W$4,UWS!$G$3:$Z$3,0)),0)</f>
        <v>0</v>
      </c>
      <c r="X297">
        <f>IFERROR(INDEX(UWS!$G$10:$Z$41,MATCH($C297,UWS!$B$10:$B$41,0),MATCH(X$4,UWS!$G$3:$Z$3,0)),0)</f>
        <v>0</v>
      </c>
      <c r="Y297">
        <f>IFERROR(INDEX(UWS!$G$10:$Z$41,MATCH($C297,UWS!$B$10:$B$41,0),MATCH(Y$4,UWS!$G$3:$Z$3,0)),0)</f>
        <v>0</v>
      </c>
      <c r="Z297">
        <f>IFERROR(INDEX(UWS!$G$10:$Z$41,MATCH($C297,UWS!$B$10:$B$41,0),MATCH(Z$4,UWS!$G$3:$Z$3,0)),0)</f>
        <v>0</v>
      </c>
      <c r="AA297">
        <f>IFERROR(INDEX(UWS!$G$10:$Z$41,MATCH($C297,UWS!$B$10:$B$41,0),MATCH(AA$4,UWS!$G$3:$Z$3,0)),0)</f>
        <v>0</v>
      </c>
      <c r="AB297">
        <f>IFERROR(INDEX(UWS!$G$10:$Z$41,MATCH($C297,UWS!$B$10:$B$41,0),MATCH(AB$4,UWS!$G$3:$Z$3,0)),0)</f>
        <v>0</v>
      </c>
      <c r="AC297">
        <f>IFERROR(INDEX(UWS!$G$10:$Z$41,MATCH($C297,UWS!$B$10:$B$41,0),MATCH(AC$4,UWS!$G$3:$Z$3,0)),0)</f>
        <v>0</v>
      </c>
      <c r="AD297">
        <f>IFERROR(INDEX(UWS!$G$10:$Z$41,MATCH($C297,UWS!$B$10:$B$41,0),MATCH(AD$4,UWS!$G$3:$Z$3,0)),0)</f>
        <v>0</v>
      </c>
      <c r="AE297">
        <f>IFERROR(INDEX(UWS!$G$10:$Z$41,MATCH($C297,UWS!$B$10:$B$41,0),MATCH(AE$4,UWS!$G$3:$Z$3,0)),0)</f>
        <v>0</v>
      </c>
      <c r="AF297">
        <f>IFERROR(INDEX(UWS!$G$10:$Z$41,MATCH($C297,UWS!$B$10:$B$41,0),MATCH(AF$4,UWS!$G$3:$Z$3,0)),0)</f>
        <v>0</v>
      </c>
      <c r="AG297">
        <f>IFERROR(INDEX(UWS!$G$10:$Z$41,MATCH($C297,UWS!$B$10:$B$41,0),MATCH(AG$4,UWS!$G$3:$Z$3,0)),0)</f>
        <v>0</v>
      </c>
      <c r="AH297">
        <f>IFERROR(INDEX(UWS!$G$10:$Z$41,MATCH($C297,UWS!$B$10:$B$41,0),MATCH(AH$4,UWS!$G$3:$Z$3,0)),0)</f>
        <v>0</v>
      </c>
      <c r="AI297">
        <f>IFERROR(INDEX(UWS!$G$10:$Z$41,MATCH($C297,UWS!$B$10:$B$41,0),MATCH(AI$4,UWS!$G$3:$Z$3,0)),0)</f>
        <v>0</v>
      </c>
      <c r="AK297" t="e">
        <f>IF(OR($J297=0,COUNTIFS($A$4:$A296,"&gt;="&amp;$A297-1,$A$4:$A296,"&lt;="&amp;$A297,$B$4:$B296,$B297)&gt;0,MIN(AK$1,IF($A297=$A296,AK296,1))-P297&lt;0),-1,MIN(1,IF($A297=$A296,AK296,1)-P297+$D$3))</f>
        <v>#N/A</v>
      </c>
      <c r="AL297" t="e">
        <f>IF(OR($J297=0,COUNTIFS($A$4:$A296,"&gt;="&amp;$A297-1,$A$4:$A296,"&lt;="&amp;$A297,$B$4:$B296,$B297)&gt;0,MIN(AL$1,IF($A297=$A296,AL296,1))-Q297&lt;0),-1,MIN(1,IF($A297=$A296,AL296,1)-Q297+$D$3))</f>
        <v>#N/A</v>
      </c>
      <c r="AM297" t="e">
        <f>IF(OR($J297=0,COUNTIFS($A$4:$A296,"&gt;="&amp;$A297-1,$A$4:$A296,"&lt;="&amp;$A297,$B$4:$B296,$B297)&gt;0,MIN(AM$1,IF($A297=$A296,AM296,1))-R297&lt;0),-1,MIN(1,IF($A297=$A296,AM296,1)-R297+$D$3))</f>
        <v>#N/A</v>
      </c>
      <c r="AN297" t="e">
        <f>IF(OR($J297=0,COUNTIFS($A$4:$A296,"&gt;="&amp;$A297-1,$A$4:$A296,"&lt;="&amp;$A297,$B$4:$B296,$B297)&gt;0,MIN(AN$1,IF($A297=$A296,AN296,1))-S297&lt;0),-1,MIN(1,IF($A297=$A296,AN296,1)-S297+$D$3))</f>
        <v>#N/A</v>
      </c>
      <c r="AO297" t="e">
        <f>IF(OR($J297=0,COUNTIFS($A$4:$A296,"&gt;="&amp;$A297-1,$A$4:$A296,"&lt;="&amp;$A297,$B$4:$B296,$B297)&gt;0,MIN(AO$1,IF($A297=$A296,AO296,1))-T297&lt;0),-1,MIN(1,IF($A297=$A296,AO296,1)-T297+$D$3))</f>
        <v>#N/A</v>
      </c>
      <c r="AP297" t="e">
        <f>IF(OR($J297=0,COUNTIFS($A$4:$A296,"&gt;="&amp;$A297-1,$A$4:$A296,"&lt;="&amp;$A297,$B$4:$B296,$B297)&gt;0,MIN(AP$1,IF($A297=$A296,AP296,1))-U297&lt;0),-1,MIN(1,IF($A297=$A296,AP296,1)-U297+$D$3))</f>
        <v>#N/A</v>
      </c>
      <c r="AQ297" t="e">
        <f>IF(OR($J297=0,COUNTIFS($A$4:$A296,"&gt;="&amp;$A297-1,$A$4:$A296,"&lt;="&amp;$A297,$B$4:$B296,$B297)&gt;0,MIN(AQ$1,IF($A297=$A296,AQ296,1))-V297&lt;0),-1,MIN(1,IF($A297=$A296,AQ296,1)-V297+$D$3))</f>
        <v>#N/A</v>
      </c>
      <c r="AR297" t="e">
        <f>IF(OR($J297=0,COUNTIFS($A$4:$A296,"&gt;="&amp;$A297-1,$A$4:$A296,"&lt;="&amp;$A297,$B$4:$B296,$B297)&gt;0,MIN(AR$1,IF($A297=$A296,AR296,1))-W297&lt;0),-1,MIN(1,IF($A297=$A296,AR296,1)-W297+$D$3))</f>
        <v>#N/A</v>
      </c>
      <c r="AS297" t="e">
        <f>IF(OR($J297=0,COUNTIFS($A$4:$A296,"&gt;="&amp;$A297-1,$A$4:$A296,"&lt;="&amp;$A297,$B$4:$B296,$B297)&gt;0,MIN(AS$1,IF($A297=$A296,AS296,1))-X297&lt;0),-1,MIN(1,IF($A297=$A296,AS296,1)-X297+$D$3))</f>
        <v>#N/A</v>
      </c>
      <c r="AT297" t="e">
        <f>IF(OR($J297=0,COUNTIFS($A$4:$A296,"&gt;="&amp;$A297-1,$A$4:$A296,"&lt;="&amp;$A297,$B$4:$B296,$B297)&gt;0,MIN(AT$1,IF($A297=$A296,AT296,1))-Y297&lt;0),-1,MIN(1,IF($A297=$A296,AT296,1)-Y297+$D$3))</f>
        <v>#N/A</v>
      </c>
      <c r="AU297" t="e">
        <f>IF(OR($J297=0,COUNTIFS($A$4:$A296,"&gt;="&amp;$A297-1,$A$4:$A296,"&lt;="&amp;$A297,$B$4:$B296,$B297)&gt;0,MIN(AU$1,IF($A297=$A296,AU296,1))-Z297&lt;0),-1,MIN(1,IF($A297=$A296,AU296,1)-Z297+$D$3))</f>
        <v>#N/A</v>
      </c>
      <c r="AV297" t="e">
        <f>IF(OR($J297=0,COUNTIFS($A$4:$A296,"&gt;="&amp;$A297-1,$A$4:$A296,"&lt;="&amp;$A297,$B$4:$B296,$B297)&gt;0,MIN(AV$1,IF($A297=$A296,AV296,1))-AA297&lt;0),-1,MIN(1,IF($A297=$A296,AV296,1)-AA297+$D$3))</f>
        <v>#N/A</v>
      </c>
      <c r="AW297" t="e">
        <f>IF(OR($J297=0,COUNTIFS($A$4:$A296,"&gt;="&amp;$A297-1,$A$4:$A296,"&lt;="&amp;$A297,$B$4:$B296,$B297)&gt;0,MIN(AW$1,IF($A297=$A296,AW296,1))-AB297&lt;0),-1,MIN(1,IF($A297=$A296,AW296,1)-AB297+$D$3))</f>
        <v>#N/A</v>
      </c>
      <c r="AX297" t="e">
        <f>IF(OR($J297=0,COUNTIFS($A$4:$A296,"&gt;="&amp;$A297-1,$A$4:$A296,"&lt;="&amp;$A297,$B$4:$B296,$B297)&gt;0,MIN(AX$1,IF($A297=$A296,AX296,1))-AC297&lt;0),-1,MIN(1,IF($A297=$A296,AX296,1)-AC297+$D$3))</f>
        <v>#N/A</v>
      </c>
      <c r="AY297" t="e">
        <f>IF(OR($J297=0,COUNTIFS($A$4:$A296,"&gt;="&amp;$A297-1,$A$4:$A296,"&lt;="&amp;$A297,$B$4:$B296,$B297)&gt;0,MIN(AY$1,IF($A297=$A296,AY296,1))-AD297&lt;0),-1,MIN(1,IF($A297=$A296,AY296,1)-AD297+$D$3))</f>
        <v>#N/A</v>
      </c>
      <c r="AZ297" t="e">
        <f>IF(OR($J297=0,COUNTIFS($A$4:$A296,"&gt;="&amp;$A297-1,$A$4:$A296,"&lt;="&amp;$A297,$B$4:$B296,$B297)&gt;0,MIN(AZ$1,IF($A297=$A296,AZ296,1))-AE297&lt;0),-1,MIN(1,IF($A297=$A296,AZ296,1)-AE297+$D$3))</f>
        <v>#N/A</v>
      </c>
      <c r="BA297" t="e">
        <f>IF(OR($J297=0,COUNTIFS($A$4:$A296,"&gt;="&amp;$A297-1,$A$4:$A296,"&lt;="&amp;$A297,$B$4:$B296,$B297)&gt;0,MIN(BA$1,IF($A297=$A296,BA296,1))-AF297&lt;0),-1,MIN(1,IF($A297=$A296,BA296,1)-AF297+$D$3))</f>
        <v>#N/A</v>
      </c>
      <c r="BB297" t="e">
        <f>IF(OR($J297=0,COUNTIFS($A$4:$A296,"&gt;="&amp;$A297-1,$A$4:$A296,"&lt;="&amp;$A297,$B$4:$B296,$B297)&gt;0,MIN(BB$1,IF($A297=$A296,BB296,1))-AG297&lt;0),-1,MIN(1,IF($A297=$A296,BB296,1)-AG297+$D$3))</f>
        <v>#N/A</v>
      </c>
      <c r="BC297" t="e">
        <f>IF(OR($J297=0,COUNTIFS($A$4:$A296,"&gt;="&amp;$A297-1,$A$4:$A296,"&lt;="&amp;$A297,$B$4:$B296,$B297)&gt;0,MIN(BC$1,IF($A297=$A296,BC296,1))-AH297&lt;0),-1,MIN(1,IF($A297=$A296,BC296,1)-AH297+$D$3))</f>
        <v>#N/A</v>
      </c>
      <c r="BD297" t="e">
        <f>IF(OR($J297=0,COUNTIFS($A$4:$A296,"&gt;="&amp;$A297-1,$A$4:$A296,"&lt;="&amp;$A297,$B$4:$B296,$B297)&gt;0,MIN(BD$1,IF($A297=$A296,BD296,1))-AI297&lt;0),-1,MIN(1,IF($A297=$A296,BD296,1)-AI297+$D$3))</f>
        <v>#N/A</v>
      </c>
      <c r="BF297" s="44">
        <f t="shared" si="311"/>
        <v>6.2997344526226959E-7</v>
      </c>
      <c r="BG297" s="44">
        <f t="shared" si="312"/>
        <v>1.5492824686013522E-6</v>
      </c>
      <c r="BH297" s="44">
        <f t="shared" si="313"/>
        <v>1.5878515617611326E-6</v>
      </c>
      <c r="BI297" s="44">
        <f t="shared" si="314"/>
        <v>1.4667339946907792E-6</v>
      </c>
      <c r="BJ297" s="44">
        <f t="shared" si="315"/>
        <v>1.5160088293124731E-6</v>
      </c>
      <c r="BK297" s="44">
        <f t="shared" si="316"/>
        <v>6.5103071560439382E-7</v>
      </c>
      <c r="BL297" s="44">
        <f t="shared" si="317"/>
        <v>3.516970348414079E-7</v>
      </c>
      <c r="BM297" s="44">
        <f t="shared" si="318"/>
        <v>8.9467618720272304E-7</v>
      </c>
      <c r="BN297" s="44">
        <f t="shared" si="319"/>
        <v>9.3053296162046461E-7</v>
      </c>
      <c r="BO297" s="44">
        <f t="shared" si="320"/>
        <v>4.3608305548852195E-7</v>
      </c>
      <c r="BP297" s="44">
        <f t="shared" si="321"/>
        <v>1.4663195580631497E-6</v>
      </c>
      <c r="BQ297" s="44">
        <f t="shared" si="322"/>
        <v>3.9569894996952818E-7</v>
      </c>
      <c r="BR297" s="44">
        <f t="shared" si="323"/>
        <v>1.1689937520160798E-6</v>
      </c>
      <c r="BS297" s="44">
        <f t="shared" si="324"/>
        <v>6.3045384314243981E-7</v>
      </c>
      <c r="BT297" s="44">
        <f t="shared" si="325"/>
        <v>2.494899139614342E-6</v>
      </c>
      <c r="BU297" s="44">
        <f t="shared" si="326"/>
        <v>2.3833794221761939E-6</v>
      </c>
      <c r="BV297" s="44">
        <f t="shared" si="327"/>
        <v>2.2889187446801561E-6</v>
      </c>
      <c r="BW297" s="44">
        <f t="shared" si="328"/>
        <v>1.497078819174327E-6</v>
      </c>
      <c r="BX297" s="44">
        <f t="shared" si="329"/>
        <v>1.1060146457739966E-6</v>
      </c>
      <c r="BY297" s="44">
        <f t="shared" si="330"/>
        <v>9.4964069534613811E-7</v>
      </c>
      <c r="CA297" s="44" t="str">
        <f t="shared" si="331"/>
        <v/>
      </c>
      <c r="CB297" s="44" t="str">
        <f t="shared" si="332"/>
        <v/>
      </c>
      <c r="CC297" s="44" t="str">
        <f t="shared" si="333"/>
        <v/>
      </c>
      <c r="CD297" s="44" t="str">
        <f t="shared" si="334"/>
        <v/>
      </c>
      <c r="CE297" s="44" t="str">
        <f t="shared" si="335"/>
        <v/>
      </c>
      <c r="CF297" s="44" t="str">
        <f t="shared" si="336"/>
        <v/>
      </c>
      <c r="CG297" s="44" t="str">
        <f t="shared" si="337"/>
        <v/>
      </c>
      <c r="CH297" s="44" t="str">
        <f t="shared" si="338"/>
        <v/>
      </c>
      <c r="CI297" s="44" t="str">
        <f t="shared" si="339"/>
        <v/>
      </c>
      <c r="CJ297" s="44" t="str">
        <f t="shared" si="340"/>
        <v/>
      </c>
      <c r="CK297" s="44" t="str">
        <f t="shared" si="341"/>
        <v/>
      </c>
      <c r="CL297" s="44" t="str">
        <f t="shared" si="342"/>
        <v/>
      </c>
      <c r="CM297" s="44" t="str">
        <f t="shared" si="343"/>
        <v/>
      </c>
      <c r="CN297" s="44" t="str">
        <f t="shared" si="344"/>
        <v/>
      </c>
      <c r="CO297" s="44" t="str">
        <f t="shared" si="345"/>
        <v/>
      </c>
      <c r="CP297" s="44" t="str">
        <f t="shared" si="346"/>
        <v/>
      </c>
      <c r="CQ297" s="44" t="str">
        <f t="shared" si="347"/>
        <v/>
      </c>
      <c r="CR297" s="44" t="str">
        <f t="shared" si="348"/>
        <v/>
      </c>
      <c r="CS297" s="44" t="str">
        <f t="shared" si="349"/>
        <v/>
      </c>
      <c r="CT297" s="44" t="str">
        <f t="shared" si="350"/>
        <v/>
      </c>
      <c r="CV297" s="44">
        <f t="shared" si="351"/>
        <v>0</v>
      </c>
    </row>
    <row r="298" spans="1:100" x14ac:dyDescent="0.25">
      <c r="A298" s="41"/>
      <c r="B298" s="42"/>
      <c r="C298" s="43" t="str" cm="1">
        <f t="array" ref="C298">IF(B298="","",INDEX(UWS!$B$10:$B$41,B298))</f>
        <v/>
      </c>
      <c r="D298" s="40" t="str">
        <f t="shared" si="308"/>
        <v/>
      </c>
      <c r="E298" s="69" t="str">
        <f t="shared" si="309"/>
        <v/>
      </c>
      <c r="F298" s="48" cm="1">
        <f t="array" ref="F298">0.1+IFERROR(INDEX($F$5:$F297,SUMPRODUCT(MAX(ROW($C$5:$C297)*($C298=$C$5:$C297))-ROW($A$4)))*0.9^($A298-INDEX($A$5:A297,SUMPRODUCT(MAX(ROW($C$5:$C297)*($C298=$C$5:$C297))-ROW($A$4)))),0)</f>
        <v>23.300000000000061</v>
      </c>
      <c r="G298" s="55" t="e">
        <f>INDEX(UWS!$AB$10:$AB$41,MATCH(C298,UWS!$B$10:$B$41,0))</f>
        <v>#N/A</v>
      </c>
      <c r="H298" s="48" t="e">
        <f>INDEX(UWS!$C$10:$C$41,MATCH(C298,UWS!$B$10:$B$41,0))</f>
        <v>#N/A</v>
      </c>
      <c r="I298" s="27">
        <f t="shared" si="310"/>
        <v>5</v>
      </c>
      <c r="J298" s="27" t="e">
        <f>INDEX(UWS!$E$10:$E$41,MATCH(C298,UWS!$B$10:$B$41,0))</f>
        <v>#N/A</v>
      </c>
      <c r="L298" s="108" t="str" cm="1">
        <f t="array" ref="L298">IF(K298="","",INDEX(UWS!$B$10:$B$41,K298))</f>
        <v/>
      </c>
      <c r="N298" s="108" t="str" cm="1">
        <f t="array" ref="N298">IF(M298="","",INDEX(UWS!$B$10:$B$41,M298))</f>
        <v/>
      </c>
      <c r="P298">
        <f>IFERROR(INDEX(UWS!$G$10:$Z$41,MATCH($C298,UWS!$B$10:$B$41,0),MATCH(P$4,UWS!$G$3:$Z$3,0)),0)</f>
        <v>0</v>
      </c>
      <c r="Q298">
        <f>IFERROR(INDEX(UWS!$G$10:$Z$41,MATCH($C298,UWS!$B$10:$B$41,0),MATCH(Q$4,UWS!$G$3:$Z$3,0)),0)</f>
        <v>0</v>
      </c>
      <c r="R298">
        <f>IFERROR(INDEX(UWS!$G$10:$Z$41,MATCH($C298,UWS!$B$10:$B$41,0),MATCH(R$4,UWS!$G$3:$Z$3,0)),0)</f>
        <v>0</v>
      </c>
      <c r="S298">
        <f>IFERROR(INDEX(UWS!$G$10:$Z$41,MATCH($C298,UWS!$B$10:$B$41,0),MATCH(S$4,UWS!$G$3:$Z$3,0)),0)</f>
        <v>0</v>
      </c>
      <c r="T298">
        <f>IFERROR(INDEX(UWS!$G$10:$Z$41,MATCH($C298,UWS!$B$10:$B$41,0),MATCH(T$4,UWS!$G$3:$Z$3,0)),0)</f>
        <v>0</v>
      </c>
      <c r="U298">
        <f>IFERROR(INDEX(UWS!$G$10:$Z$41,MATCH($C298,UWS!$B$10:$B$41,0),MATCH(U$4,UWS!$G$3:$Z$3,0)),0)</f>
        <v>0</v>
      </c>
      <c r="V298">
        <f>IFERROR(INDEX(UWS!$G$10:$Z$41,MATCH($C298,UWS!$B$10:$B$41,0),MATCH(V$4,UWS!$G$3:$Z$3,0)),0)</f>
        <v>0</v>
      </c>
      <c r="W298">
        <f>IFERROR(INDEX(UWS!$G$10:$Z$41,MATCH($C298,UWS!$B$10:$B$41,0),MATCH(W$4,UWS!$G$3:$Z$3,0)),0)</f>
        <v>0</v>
      </c>
      <c r="X298">
        <f>IFERROR(INDEX(UWS!$G$10:$Z$41,MATCH($C298,UWS!$B$10:$B$41,0),MATCH(X$4,UWS!$G$3:$Z$3,0)),0)</f>
        <v>0</v>
      </c>
      <c r="Y298">
        <f>IFERROR(INDEX(UWS!$G$10:$Z$41,MATCH($C298,UWS!$B$10:$B$41,0),MATCH(Y$4,UWS!$G$3:$Z$3,0)),0)</f>
        <v>0</v>
      </c>
      <c r="Z298">
        <f>IFERROR(INDEX(UWS!$G$10:$Z$41,MATCH($C298,UWS!$B$10:$B$41,0),MATCH(Z$4,UWS!$G$3:$Z$3,0)),0)</f>
        <v>0</v>
      </c>
      <c r="AA298">
        <f>IFERROR(INDEX(UWS!$G$10:$Z$41,MATCH($C298,UWS!$B$10:$B$41,0),MATCH(AA$4,UWS!$G$3:$Z$3,0)),0)</f>
        <v>0</v>
      </c>
      <c r="AB298">
        <f>IFERROR(INDEX(UWS!$G$10:$Z$41,MATCH($C298,UWS!$B$10:$B$41,0),MATCH(AB$4,UWS!$G$3:$Z$3,0)),0)</f>
        <v>0</v>
      </c>
      <c r="AC298">
        <f>IFERROR(INDEX(UWS!$G$10:$Z$41,MATCH($C298,UWS!$B$10:$B$41,0),MATCH(AC$4,UWS!$G$3:$Z$3,0)),0)</f>
        <v>0</v>
      </c>
      <c r="AD298">
        <f>IFERROR(INDEX(UWS!$G$10:$Z$41,MATCH($C298,UWS!$B$10:$B$41,0),MATCH(AD$4,UWS!$G$3:$Z$3,0)),0)</f>
        <v>0</v>
      </c>
      <c r="AE298">
        <f>IFERROR(INDEX(UWS!$G$10:$Z$41,MATCH($C298,UWS!$B$10:$B$41,0),MATCH(AE$4,UWS!$G$3:$Z$3,0)),0)</f>
        <v>0</v>
      </c>
      <c r="AF298">
        <f>IFERROR(INDEX(UWS!$G$10:$Z$41,MATCH($C298,UWS!$B$10:$B$41,0),MATCH(AF$4,UWS!$G$3:$Z$3,0)),0)</f>
        <v>0</v>
      </c>
      <c r="AG298">
        <f>IFERROR(INDEX(UWS!$G$10:$Z$41,MATCH($C298,UWS!$B$10:$B$41,0),MATCH(AG$4,UWS!$G$3:$Z$3,0)),0)</f>
        <v>0</v>
      </c>
      <c r="AH298">
        <f>IFERROR(INDEX(UWS!$G$10:$Z$41,MATCH($C298,UWS!$B$10:$B$41,0),MATCH(AH$4,UWS!$G$3:$Z$3,0)),0)</f>
        <v>0</v>
      </c>
      <c r="AI298">
        <f>IFERROR(INDEX(UWS!$G$10:$Z$41,MATCH($C298,UWS!$B$10:$B$41,0),MATCH(AI$4,UWS!$G$3:$Z$3,0)),0)</f>
        <v>0</v>
      </c>
      <c r="AK298" t="e">
        <f>IF(OR($J298=0,COUNTIFS($A$4:$A297,"&gt;="&amp;$A298-1,$A$4:$A297,"&lt;="&amp;$A298,$B$4:$B297,$B298)&gt;0,MIN(AK$1,IF($A298=$A297,AK297,1))-P298&lt;0),-1,MIN(1,IF($A298=$A297,AK297,1)-P298+$D$3))</f>
        <v>#N/A</v>
      </c>
      <c r="AL298" t="e">
        <f>IF(OR($J298=0,COUNTIFS($A$4:$A297,"&gt;="&amp;$A298-1,$A$4:$A297,"&lt;="&amp;$A298,$B$4:$B297,$B298)&gt;0,MIN(AL$1,IF($A298=$A297,AL297,1))-Q298&lt;0),-1,MIN(1,IF($A298=$A297,AL297,1)-Q298+$D$3))</f>
        <v>#N/A</v>
      </c>
      <c r="AM298" t="e">
        <f>IF(OR($J298=0,COUNTIFS($A$4:$A297,"&gt;="&amp;$A298-1,$A$4:$A297,"&lt;="&amp;$A298,$B$4:$B297,$B298)&gt;0,MIN(AM$1,IF($A298=$A297,AM297,1))-R298&lt;0),-1,MIN(1,IF($A298=$A297,AM297,1)-R298+$D$3))</f>
        <v>#N/A</v>
      </c>
      <c r="AN298" t="e">
        <f>IF(OR($J298=0,COUNTIFS($A$4:$A297,"&gt;="&amp;$A298-1,$A$4:$A297,"&lt;="&amp;$A298,$B$4:$B297,$B298)&gt;0,MIN(AN$1,IF($A298=$A297,AN297,1))-S298&lt;0),-1,MIN(1,IF($A298=$A297,AN297,1)-S298+$D$3))</f>
        <v>#N/A</v>
      </c>
      <c r="AO298" t="e">
        <f>IF(OR($J298=0,COUNTIFS($A$4:$A297,"&gt;="&amp;$A298-1,$A$4:$A297,"&lt;="&amp;$A298,$B$4:$B297,$B298)&gt;0,MIN(AO$1,IF($A298=$A297,AO297,1))-T298&lt;0),-1,MIN(1,IF($A298=$A297,AO297,1)-T298+$D$3))</f>
        <v>#N/A</v>
      </c>
      <c r="AP298" t="e">
        <f>IF(OR($J298=0,COUNTIFS($A$4:$A297,"&gt;="&amp;$A298-1,$A$4:$A297,"&lt;="&amp;$A298,$B$4:$B297,$B298)&gt;0,MIN(AP$1,IF($A298=$A297,AP297,1))-U298&lt;0),-1,MIN(1,IF($A298=$A297,AP297,1)-U298+$D$3))</f>
        <v>#N/A</v>
      </c>
      <c r="AQ298" t="e">
        <f>IF(OR($J298=0,COUNTIFS($A$4:$A297,"&gt;="&amp;$A298-1,$A$4:$A297,"&lt;="&amp;$A298,$B$4:$B297,$B298)&gt;0,MIN(AQ$1,IF($A298=$A297,AQ297,1))-V298&lt;0),-1,MIN(1,IF($A298=$A297,AQ297,1)-V298+$D$3))</f>
        <v>#N/A</v>
      </c>
      <c r="AR298" t="e">
        <f>IF(OR($J298=0,COUNTIFS($A$4:$A297,"&gt;="&amp;$A298-1,$A$4:$A297,"&lt;="&amp;$A298,$B$4:$B297,$B298)&gt;0,MIN(AR$1,IF($A298=$A297,AR297,1))-W298&lt;0),-1,MIN(1,IF($A298=$A297,AR297,1)-W298+$D$3))</f>
        <v>#N/A</v>
      </c>
      <c r="AS298" t="e">
        <f>IF(OR($J298=0,COUNTIFS($A$4:$A297,"&gt;="&amp;$A298-1,$A$4:$A297,"&lt;="&amp;$A298,$B$4:$B297,$B298)&gt;0,MIN(AS$1,IF($A298=$A297,AS297,1))-X298&lt;0),-1,MIN(1,IF($A298=$A297,AS297,1)-X298+$D$3))</f>
        <v>#N/A</v>
      </c>
      <c r="AT298" t="e">
        <f>IF(OR($J298=0,COUNTIFS($A$4:$A297,"&gt;="&amp;$A298-1,$A$4:$A297,"&lt;="&amp;$A298,$B$4:$B297,$B298)&gt;0,MIN(AT$1,IF($A298=$A297,AT297,1))-Y298&lt;0),-1,MIN(1,IF($A298=$A297,AT297,1)-Y298+$D$3))</f>
        <v>#N/A</v>
      </c>
      <c r="AU298" t="e">
        <f>IF(OR($J298=0,COUNTIFS($A$4:$A297,"&gt;="&amp;$A298-1,$A$4:$A297,"&lt;="&amp;$A298,$B$4:$B297,$B298)&gt;0,MIN(AU$1,IF($A298=$A297,AU297,1))-Z298&lt;0),-1,MIN(1,IF($A298=$A297,AU297,1)-Z298+$D$3))</f>
        <v>#N/A</v>
      </c>
      <c r="AV298" t="e">
        <f>IF(OR($J298=0,COUNTIFS($A$4:$A297,"&gt;="&amp;$A298-1,$A$4:$A297,"&lt;="&amp;$A298,$B$4:$B297,$B298)&gt;0,MIN(AV$1,IF($A298=$A297,AV297,1))-AA298&lt;0),-1,MIN(1,IF($A298=$A297,AV297,1)-AA298+$D$3))</f>
        <v>#N/A</v>
      </c>
      <c r="AW298" t="e">
        <f>IF(OR($J298=0,COUNTIFS($A$4:$A297,"&gt;="&amp;$A298-1,$A$4:$A297,"&lt;="&amp;$A298,$B$4:$B297,$B298)&gt;0,MIN(AW$1,IF($A298=$A297,AW297,1))-AB298&lt;0),-1,MIN(1,IF($A298=$A297,AW297,1)-AB298+$D$3))</f>
        <v>#N/A</v>
      </c>
      <c r="AX298" t="e">
        <f>IF(OR($J298=0,COUNTIFS($A$4:$A297,"&gt;="&amp;$A298-1,$A$4:$A297,"&lt;="&amp;$A298,$B$4:$B297,$B298)&gt;0,MIN(AX$1,IF($A298=$A297,AX297,1))-AC298&lt;0),-1,MIN(1,IF($A298=$A297,AX297,1)-AC298+$D$3))</f>
        <v>#N/A</v>
      </c>
      <c r="AY298" t="e">
        <f>IF(OR($J298=0,COUNTIFS($A$4:$A297,"&gt;="&amp;$A298-1,$A$4:$A297,"&lt;="&amp;$A298,$B$4:$B297,$B298)&gt;0,MIN(AY$1,IF($A298=$A297,AY297,1))-AD298&lt;0),-1,MIN(1,IF($A298=$A297,AY297,1)-AD298+$D$3))</f>
        <v>#N/A</v>
      </c>
      <c r="AZ298" t="e">
        <f>IF(OR($J298=0,COUNTIFS($A$4:$A297,"&gt;="&amp;$A298-1,$A$4:$A297,"&lt;="&amp;$A298,$B$4:$B297,$B298)&gt;0,MIN(AZ$1,IF($A298=$A297,AZ297,1))-AE298&lt;0),-1,MIN(1,IF($A298=$A297,AZ297,1)-AE298+$D$3))</f>
        <v>#N/A</v>
      </c>
      <c r="BA298" t="e">
        <f>IF(OR($J298=0,COUNTIFS($A$4:$A297,"&gt;="&amp;$A298-1,$A$4:$A297,"&lt;="&amp;$A298,$B$4:$B297,$B298)&gt;0,MIN(BA$1,IF($A298=$A297,BA297,1))-AF298&lt;0),-1,MIN(1,IF($A298=$A297,BA297,1)-AF298+$D$3))</f>
        <v>#N/A</v>
      </c>
      <c r="BB298" t="e">
        <f>IF(OR($J298=0,COUNTIFS($A$4:$A297,"&gt;="&amp;$A298-1,$A$4:$A297,"&lt;="&amp;$A298,$B$4:$B297,$B298)&gt;0,MIN(BB$1,IF($A298=$A297,BB297,1))-AG298&lt;0),-1,MIN(1,IF($A298=$A297,BB297,1)-AG298+$D$3))</f>
        <v>#N/A</v>
      </c>
      <c r="BC298" t="e">
        <f>IF(OR($J298=0,COUNTIFS($A$4:$A297,"&gt;="&amp;$A298-1,$A$4:$A297,"&lt;="&amp;$A298,$B$4:$B297,$B298)&gt;0,MIN(BC$1,IF($A298=$A297,BC297,1))-AH298&lt;0),-1,MIN(1,IF($A298=$A297,BC297,1)-AH298+$D$3))</f>
        <v>#N/A</v>
      </c>
      <c r="BD298" t="e">
        <f>IF(OR($J298=0,COUNTIFS($A$4:$A297,"&gt;="&amp;$A298-1,$A$4:$A297,"&lt;="&amp;$A298,$B$4:$B297,$B298)&gt;0,MIN(BD$1,IF($A298=$A297,BD297,1))-AI298&lt;0),-1,MIN(1,IF($A298=$A297,BD297,1)-AI298+$D$3))</f>
        <v>#N/A</v>
      </c>
      <c r="BF298" s="44">
        <f t="shared" si="311"/>
        <v>5.9847477299915608E-7</v>
      </c>
      <c r="BG298" s="44">
        <f t="shared" si="312"/>
        <v>1.4718183451712844E-6</v>
      </c>
      <c r="BH298" s="44">
        <f t="shared" si="313"/>
        <v>1.5084589836730759E-6</v>
      </c>
      <c r="BI298" s="44">
        <f t="shared" si="314"/>
        <v>1.3933972949562403E-6</v>
      </c>
      <c r="BJ298" s="44">
        <f t="shared" si="315"/>
        <v>1.4402083878468494E-6</v>
      </c>
      <c r="BK298" s="44">
        <f t="shared" si="316"/>
        <v>6.1847917982417413E-7</v>
      </c>
      <c r="BL298" s="44">
        <f t="shared" si="317"/>
        <v>3.3411218309933748E-7</v>
      </c>
      <c r="BM298" s="44">
        <f t="shared" si="318"/>
        <v>8.4994237784258686E-7</v>
      </c>
      <c r="BN298" s="44">
        <f t="shared" si="319"/>
        <v>8.8400631353944136E-7</v>
      </c>
      <c r="BO298" s="44">
        <f t="shared" si="320"/>
        <v>4.1427890271409585E-7</v>
      </c>
      <c r="BP298" s="44">
        <f t="shared" si="321"/>
        <v>1.3930035801599921E-6</v>
      </c>
      <c r="BQ298" s="44">
        <f t="shared" si="322"/>
        <v>3.7591400247105175E-7</v>
      </c>
      <c r="BR298" s="44">
        <f t="shared" si="323"/>
        <v>1.1105440644152759E-6</v>
      </c>
      <c r="BS298" s="44">
        <f t="shared" si="324"/>
        <v>5.9893115098531777E-7</v>
      </c>
      <c r="BT298" s="44">
        <f t="shared" si="325"/>
        <v>2.3701541826336249E-6</v>
      </c>
      <c r="BU298" s="44">
        <f t="shared" si="326"/>
        <v>2.2642104510673842E-6</v>
      </c>
      <c r="BV298" s="44">
        <f t="shared" si="327"/>
        <v>2.1744728074461482E-6</v>
      </c>
      <c r="BW298" s="44">
        <f t="shared" si="328"/>
        <v>1.4222248782156105E-6</v>
      </c>
      <c r="BX298" s="44">
        <f t="shared" si="329"/>
        <v>1.0507139134852969E-6</v>
      </c>
      <c r="BY298" s="44">
        <f t="shared" si="330"/>
        <v>9.0215866057883117E-7</v>
      </c>
      <c r="CA298" s="44" t="str">
        <f t="shared" si="331"/>
        <v/>
      </c>
      <c r="CB298" s="44" t="str">
        <f t="shared" si="332"/>
        <v/>
      </c>
      <c r="CC298" s="44" t="str">
        <f t="shared" si="333"/>
        <v/>
      </c>
      <c r="CD298" s="44" t="str">
        <f t="shared" si="334"/>
        <v/>
      </c>
      <c r="CE298" s="44" t="str">
        <f t="shared" si="335"/>
        <v/>
      </c>
      <c r="CF298" s="44" t="str">
        <f t="shared" si="336"/>
        <v/>
      </c>
      <c r="CG298" s="44" t="str">
        <f t="shared" si="337"/>
        <v/>
      </c>
      <c r="CH298" s="44" t="str">
        <f t="shared" si="338"/>
        <v/>
      </c>
      <c r="CI298" s="44" t="str">
        <f t="shared" si="339"/>
        <v/>
      </c>
      <c r="CJ298" s="44" t="str">
        <f t="shared" si="340"/>
        <v/>
      </c>
      <c r="CK298" s="44" t="str">
        <f t="shared" si="341"/>
        <v/>
      </c>
      <c r="CL298" s="44" t="str">
        <f t="shared" si="342"/>
        <v/>
      </c>
      <c r="CM298" s="44" t="str">
        <f t="shared" si="343"/>
        <v/>
      </c>
      <c r="CN298" s="44" t="str">
        <f t="shared" si="344"/>
        <v/>
      </c>
      <c r="CO298" s="44" t="str">
        <f t="shared" si="345"/>
        <v/>
      </c>
      <c r="CP298" s="44" t="str">
        <f t="shared" si="346"/>
        <v/>
      </c>
      <c r="CQ298" s="44" t="str">
        <f t="shared" si="347"/>
        <v/>
      </c>
      <c r="CR298" s="44" t="str">
        <f t="shared" si="348"/>
        <v/>
      </c>
      <c r="CS298" s="44" t="str">
        <f t="shared" si="349"/>
        <v/>
      </c>
      <c r="CT298" s="44" t="str">
        <f t="shared" si="350"/>
        <v/>
      </c>
      <c r="CV298" s="44">
        <f t="shared" si="351"/>
        <v>0</v>
      </c>
    </row>
    <row r="299" spans="1:100" x14ac:dyDescent="0.25">
      <c r="A299" s="41"/>
      <c r="B299" s="42"/>
      <c r="C299" s="43" t="str" cm="1">
        <f t="array" ref="C299">IF(B299="","",INDEX(UWS!$B$10:$B$41,B299))</f>
        <v/>
      </c>
      <c r="D299" s="40" t="str">
        <f t="shared" si="308"/>
        <v/>
      </c>
      <c r="E299" s="69" t="str">
        <f t="shared" si="309"/>
        <v/>
      </c>
      <c r="F299" s="48" cm="1">
        <f t="array" ref="F299">0.1+IFERROR(INDEX($F$5:$F298,SUMPRODUCT(MAX(ROW($C$5:$C298)*($C299=$C$5:$C298))-ROW($A$4)))*0.9^($A299-INDEX($A$5:A298,SUMPRODUCT(MAX(ROW($C$5:$C298)*($C299=$C$5:$C298))-ROW($A$4)))),0)</f>
        <v>23.400000000000063</v>
      </c>
      <c r="G299" s="55" t="e">
        <f>INDEX(UWS!$AB$10:$AB$41,MATCH(C299,UWS!$B$10:$B$41,0))</f>
        <v>#N/A</v>
      </c>
      <c r="H299" s="48" t="e">
        <f>INDEX(UWS!$C$10:$C$41,MATCH(C299,UWS!$B$10:$B$41,0))</f>
        <v>#N/A</v>
      </c>
      <c r="I299" s="27">
        <f t="shared" si="310"/>
        <v>5</v>
      </c>
      <c r="J299" s="27" t="e">
        <f>INDEX(UWS!$E$10:$E$41,MATCH(C299,UWS!$B$10:$B$41,0))</f>
        <v>#N/A</v>
      </c>
      <c r="L299" s="108" t="str" cm="1">
        <f t="array" ref="L299">IF(K299="","",INDEX(UWS!$B$10:$B$41,K299))</f>
        <v/>
      </c>
      <c r="N299" s="108" t="str" cm="1">
        <f t="array" ref="N299">IF(M299="","",INDEX(UWS!$B$10:$B$41,M299))</f>
        <v/>
      </c>
      <c r="P299">
        <f>IFERROR(INDEX(UWS!$G$10:$Z$41,MATCH($C299,UWS!$B$10:$B$41,0),MATCH(P$4,UWS!$G$3:$Z$3,0)),0)</f>
        <v>0</v>
      </c>
      <c r="Q299">
        <f>IFERROR(INDEX(UWS!$G$10:$Z$41,MATCH($C299,UWS!$B$10:$B$41,0),MATCH(Q$4,UWS!$G$3:$Z$3,0)),0)</f>
        <v>0</v>
      </c>
      <c r="R299">
        <f>IFERROR(INDEX(UWS!$G$10:$Z$41,MATCH($C299,UWS!$B$10:$B$41,0),MATCH(R$4,UWS!$G$3:$Z$3,0)),0)</f>
        <v>0</v>
      </c>
      <c r="S299">
        <f>IFERROR(INDEX(UWS!$G$10:$Z$41,MATCH($C299,UWS!$B$10:$B$41,0),MATCH(S$4,UWS!$G$3:$Z$3,0)),0)</f>
        <v>0</v>
      </c>
      <c r="T299">
        <f>IFERROR(INDEX(UWS!$G$10:$Z$41,MATCH($C299,UWS!$B$10:$B$41,0),MATCH(T$4,UWS!$G$3:$Z$3,0)),0)</f>
        <v>0</v>
      </c>
      <c r="U299">
        <f>IFERROR(INDEX(UWS!$G$10:$Z$41,MATCH($C299,UWS!$B$10:$B$41,0),MATCH(U$4,UWS!$G$3:$Z$3,0)),0)</f>
        <v>0</v>
      </c>
      <c r="V299">
        <f>IFERROR(INDEX(UWS!$G$10:$Z$41,MATCH($C299,UWS!$B$10:$B$41,0),MATCH(V$4,UWS!$G$3:$Z$3,0)),0)</f>
        <v>0</v>
      </c>
      <c r="W299">
        <f>IFERROR(INDEX(UWS!$G$10:$Z$41,MATCH($C299,UWS!$B$10:$B$41,0),MATCH(W$4,UWS!$G$3:$Z$3,0)),0)</f>
        <v>0</v>
      </c>
      <c r="X299">
        <f>IFERROR(INDEX(UWS!$G$10:$Z$41,MATCH($C299,UWS!$B$10:$B$41,0),MATCH(X$4,UWS!$G$3:$Z$3,0)),0)</f>
        <v>0</v>
      </c>
      <c r="Y299">
        <f>IFERROR(INDEX(UWS!$G$10:$Z$41,MATCH($C299,UWS!$B$10:$B$41,0),MATCH(Y$4,UWS!$G$3:$Z$3,0)),0)</f>
        <v>0</v>
      </c>
      <c r="Z299">
        <f>IFERROR(INDEX(UWS!$G$10:$Z$41,MATCH($C299,UWS!$B$10:$B$41,0),MATCH(Z$4,UWS!$G$3:$Z$3,0)),0)</f>
        <v>0</v>
      </c>
      <c r="AA299">
        <f>IFERROR(INDEX(UWS!$G$10:$Z$41,MATCH($C299,UWS!$B$10:$B$41,0),MATCH(AA$4,UWS!$G$3:$Z$3,0)),0)</f>
        <v>0</v>
      </c>
      <c r="AB299">
        <f>IFERROR(INDEX(UWS!$G$10:$Z$41,MATCH($C299,UWS!$B$10:$B$41,0),MATCH(AB$4,UWS!$G$3:$Z$3,0)),0)</f>
        <v>0</v>
      </c>
      <c r="AC299">
        <f>IFERROR(INDEX(UWS!$G$10:$Z$41,MATCH($C299,UWS!$B$10:$B$41,0),MATCH(AC$4,UWS!$G$3:$Z$3,0)),0)</f>
        <v>0</v>
      </c>
      <c r="AD299">
        <f>IFERROR(INDEX(UWS!$G$10:$Z$41,MATCH($C299,UWS!$B$10:$B$41,0),MATCH(AD$4,UWS!$G$3:$Z$3,0)),0)</f>
        <v>0</v>
      </c>
      <c r="AE299">
        <f>IFERROR(INDEX(UWS!$G$10:$Z$41,MATCH($C299,UWS!$B$10:$B$41,0),MATCH(AE$4,UWS!$G$3:$Z$3,0)),0)</f>
        <v>0</v>
      </c>
      <c r="AF299">
        <f>IFERROR(INDEX(UWS!$G$10:$Z$41,MATCH($C299,UWS!$B$10:$B$41,0),MATCH(AF$4,UWS!$G$3:$Z$3,0)),0)</f>
        <v>0</v>
      </c>
      <c r="AG299">
        <f>IFERROR(INDEX(UWS!$G$10:$Z$41,MATCH($C299,UWS!$B$10:$B$41,0),MATCH(AG$4,UWS!$G$3:$Z$3,0)),0)</f>
        <v>0</v>
      </c>
      <c r="AH299">
        <f>IFERROR(INDEX(UWS!$G$10:$Z$41,MATCH($C299,UWS!$B$10:$B$41,0),MATCH(AH$4,UWS!$G$3:$Z$3,0)),0)</f>
        <v>0</v>
      </c>
      <c r="AI299">
        <f>IFERROR(INDEX(UWS!$G$10:$Z$41,MATCH($C299,UWS!$B$10:$B$41,0),MATCH(AI$4,UWS!$G$3:$Z$3,0)),0)</f>
        <v>0</v>
      </c>
      <c r="AK299" t="e">
        <f>IF(OR($J299=0,COUNTIFS($A$4:$A298,"&gt;="&amp;$A299-1,$A$4:$A298,"&lt;="&amp;$A299,$B$4:$B298,$B299)&gt;0,MIN(AK$1,IF($A299=$A298,AK298,1))-P299&lt;0),-1,MIN(1,IF($A299=$A298,AK298,1)-P299+$D$3))</f>
        <v>#N/A</v>
      </c>
      <c r="AL299" t="e">
        <f>IF(OR($J299=0,COUNTIFS($A$4:$A298,"&gt;="&amp;$A299-1,$A$4:$A298,"&lt;="&amp;$A299,$B$4:$B298,$B299)&gt;0,MIN(AL$1,IF($A299=$A298,AL298,1))-Q299&lt;0),-1,MIN(1,IF($A299=$A298,AL298,1)-Q299+$D$3))</f>
        <v>#N/A</v>
      </c>
      <c r="AM299" t="e">
        <f>IF(OR($J299=0,COUNTIFS($A$4:$A298,"&gt;="&amp;$A299-1,$A$4:$A298,"&lt;="&amp;$A299,$B$4:$B298,$B299)&gt;0,MIN(AM$1,IF($A299=$A298,AM298,1))-R299&lt;0),-1,MIN(1,IF($A299=$A298,AM298,1)-R299+$D$3))</f>
        <v>#N/A</v>
      </c>
      <c r="AN299" t="e">
        <f>IF(OR($J299=0,COUNTIFS($A$4:$A298,"&gt;="&amp;$A299-1,$A$4:$A298,"&lt;="&amp;$A299,$B$4:$B298,$B299)&gt;0,MIN(AN$1,IF($A299=$A298,AN298,1))-S299&lt;0),-1,MIN(1,IF($A299=$A298,AN298,1)-S299+$D$3))</f>
        <v>#N/A</v>
      </c>
      <c r="AO299" t="e">
        <f>IF(OR($J299=0,COUNTIFS($A$4:$A298,"&gt;="&amp;$A299-1,$A$4:$A298,"&lt;="&amp;$A299,$B$4:$B298,$B299)&gt;0,MIN(AO$1,IF($A299=$A298,AO298,1))-T299&lt;0),-1,MIN(1,IF($A299=$A298,AO298,1)-T299+$D$3))</f>
        <v>#N/A</v>
      </c>
      <c r="AP299" t="e">
        <f>IF(OR($J299=0,COUNTIFS($A$4:$A298,"&gt;="&amp;$A299-1,$A$4:$A298,"&lt;="&amp;$A299,$B$4:$B298,$B299)&gt;0,MIN(AP$1,IF($A299=$A298,AP298,1))-U299&lt;0),-1,MIN(1,IF($A299=$A298,AP298,1)-U299+$D$3))</f>
        <v>#N/A</v>
      </c>
      <c r="AQ299" t="e">
        <f>IF(OR($J299=0,COUNTIFS($A$4:$A298,"&gt;="&amp;$A299-1,$A$4:$A298,"&lt;="&amp;$A299,$B$4:$B298,$B299)&gt;0,MIN(AQ$1,IF($A299=$A298,AQ298,1))-V299&lt;0),-1,MIN(1,IF($A299=$A298,AQ298,1)-V299+$D$3))</f>
        <v>#N/A</v>
      </c>
      <c r="AR299" t="e">
        <f>IF(OR($J299=0,COUNTIFS($A$4:$A298,"&gt;="&amp;$A299-1,$A$4:$A298,"&lt;="&amp;$A299,$B$4:$B298,$B299)&gt;0,MIN(AR$1,IF($A299=$A298,AR298,1))-W299&lt;0),-1,MIN(1,IF($A299=$A298,AR298,1)-W299+$D$3))</f>
        <v>#N/A</v>
      </c>
      <c r="AS299" t="e">
        <f>IF(OR($J299=0,COUNTIFS($A$4:$A298,"&gt;="&amp;$A299-1,$A$4:$A298,"&lt;="&amp;$A299,$B$4:$B298,$B299)&gt;0,MIN(AS$1,IF($A299=$A298,AS298,1))-X299&lt;0),-1,MIN(1,IF($A299=$A298,AS298,1)-X299+$D$3))</f>
        <v>#N/A</v>
      </c>
      <c r="AT299" t="e">
        <f>IF(OR($J299=0,COUNTIFS($A$4:$A298,"&gt;="&amp;$A299-1,$A$4:$A298,"&lt;="&amp;$A299,$B$4:$B298,$B299)&gt;0,MIN(AT$1,IF($A299=$A298,AT298,1))-Y299&lt;0),-1,MIN(1,IF($A299=$A298,AT298,1)-Y299+$D$3))</f>
        <v>#N/A</v>
      </c>
      <c r="AU299" t="e">
        <f>IF(OR($J299=0,COUNTIFS($A$4:$A298,"&gt;="&amp;$A299-1,$A$4:$A298,"&lt;="&amp;$A299,$B$4:$B298,$B299)&gt;0,MIN(AU$1,IF($A299=$A298,AU298,1))-Z299&lt;0),-1,MIN(1,IF($A299=$A298,AU298,1)-Z299+$D$3))</f>
        <v>#N/A</v>
      </c>
      <c r="AV299" t="e">
        <f>IF(OR($J299=0,COUNTIFS($A$4:$A298,"&gt;="&amp;$A299-1,$A$4:$A298,"&lt;="&amp;$A299,$B$4:$B298,$B299)&gt;0,MIN(AV$1,IF($A299=$A298,AV298,1))-AA299&lt;0),-1,MIN(1,IF($A299=$A298,AV298,1)-AA299+$D$3))</f>
        <v>#N/A</v>
      </c>
      <c r="AW299" t="e">
        <f>IF(OR($J299=0,COUNTIFS($A$4:$A298,"&gt;="&amp;$A299-1,$A$4:$A298,"&lt;="&amp;$A299,$B$4:$B298,$B299)&gt;0,MIN(AW$1,IF($A299=$A298,AW298,1))-AB299&lt;0),-1,MIN(1,IF($A299=$A298,AW298,1)-AB299+$D$3))</f>
        <v>#N/A</v>
      </c>
      <c r="AX299" t="e">
        <f>IF(OR($J299=0,COUNTIFS($A$4:$A298,"&gt;="&amp;$A299-1,$A$4:$A298,"&lt;="&amp;$A299,$B$4:$B298,$B299)&gt;0,MIN(AX$1,IF($A299=$A298,AX298,1))-AC299&lt;0),-1,MIN(1,IF($A299=$A298,AX298,1)-AC299+$D$3))</f>
        <v>#N/A</v>
      </c>
      <c r="AY299" t="e">
        <f>IF(OR($J299=0,COUNTIFS($A$4:$A298,"&gt;="&amp;$A299-1,$A$4:$A298,"&lt;="&amp;$A299,$B$4:$B298,$B299)&gt;0,MIN(AY$1,IF($A299=$A298,AY298,1))-AD299&lt;0),-1,MIN(1,IF($A299=$A298,AY298,1)-AD299+$D$3))</f>
        <v>#N/A</v>
      </c>
      <c r="AZ299" t="e">
        <f>IF(OR($J299=0,COUNTIFS($A$4:$A298,"&gt;="&amp;$A299-1,$A$4:$A298,"&lt;="&amp;$A299,$B$4:$B298,$B299)&gt;0,MIN(AZ$1,IF($A299=$A298,AZ298,1))-AE299&lt;0),-1,MIN(1,IF($A299=$A298,AZ298,1)-AE299+$D$3))</f>
        <v>#N/A</v>
      </c>
      <c r="BA299" t="e">
        <f>IF(OR($J299=0,COUNTIFS($A$4:$A298,"&gt;="&amp;$A299-1,$A$4:$A298,"&lt;="&amp;$A299,$B$4:$B298,$B299)&gt;0,MIN(BA$1,IF($A299=$A298,BA298,1))-AF299&lt;0),-1,MIN(1,IF($A299=$A298,BA298,1)-AF299+$D$3))</f>
        <v>#N/A</v>
      </c>
      <c r="BB299" t="e">
        <f>IF(OR($J299=0,COUNTIFS($A$4:$A298,"&gt;="&amp;$A299-1,$A$4:$A298,"&lt;="&amp;$A299,$B$4:$B298,$B299)&gt;0,MIN(BB$1,IF($A299=$A298,BB298,1))-AG299&lt;0),-1,MIN(1,IF($A299=$A298,BB298,1)-AG299+$D$3))</f>
        <v>#N/A</v>
      </c>
      <c r="BC299" t="e">
        <f>IF(OR($J299=0,COUNTIFS($A$4:$A298,"&gt;="&amp;$A299-1,$A$4:$A298,"&lt;="&amp;$A299,$B$4:$B298,$B299)&gt;0,MIN(BC$1,IF($A299=$A298,BC298,1))-AH299&lt;0),-1,MIN(1,IF($A299=$A298,BC298,1)-AH299+$D$3))</f>
        <v>#N/A</v>
      </c>
      <c r="BD299" t="e">
        <f>IF(OR($J299=0,COUNTIFS($A$4:$A298,"&gt;="&amp;$A299-1,$A$4:$A298,"&lt;="&amp;$A299,$B$4:$B298,$B299)&gt;0,MIN(BD$1,IF($A299=$A298,BD298,1))-AI299&lt;0),-1,MIN(1,IF($A299=$A298,BD298,1)-AI299+$D$3))</f>
        <v>#N/A</v>
      </c>
      <c r="BF299" s="44">
        <f t="shared" si="311"/>
        <v>5.6855103434919821E-7</v>
      </c>
      <c r="BG299" s="44">
        <f t="shared" si="312"/>
        <v>1.3982274279127202E-6</v>
      </c>
      <c r="BH299" s="44">
        <f t="shared" si="313"/>
        <v>1.4330360344894221E-6</v>
      </c>
      <c r="BI299" s="44">
        <f t="shared" si="314"/>
        <v>1.3237274302084282E-6</v>
      </c>
      <c r="BJ299" s="44">
        <f t="shared" si="315"/>
        <v>1.3681979684545068E-6</v>
      </c>
      <c r="BK299" s="44">
        <f t="shared" si="316"/>
        <v>5.875552208329654E-7</v>
      </c>
      <c r="BL299" s="44">
        <f t="shared" si="317"/>
        <v>3.1740657394437058E-7</v>
      </c>
      <c r="BM299" s="44">
        <f t="shared" si="318"/>
        <v>8.0744525895045752E-7</v>
      </c>
      <c r="BN299" s="44">
        <f t="shared" si="319"/>
        <v>8.3980599786246921E-7</v>
      </c>
      <c r="BO299" s="44">
        <f t="shared" si="320"/>
        <v>3.9356495757839107E-7</v>
      </c>
      <c r="BP299" s="44">
        <f t="shared" si="321"/>
        <v>1.3233534011519924E-6</v>
      </c>
      <c r="BQ299" s="44">
        <f t="shared" si="322"/>
        <v>3.5711830234749912E-7</v>
      </c>
      <c r="BR299" s="44">
        <f t="shared" si="323"/>
        <v>1.0550168611945119E-6</v>
      </c>
      <c r="BS299" s="44">
        <f t="shared" si="324"/>
        <v>5.6898459343605181E-7</v>
      </c>
      <c r="BT299" s="44">
        <f t="shared" si="325"/>
        <v>2.2516464735019438E-6</v>
      </c>
      <c r="BU299" s="44">
        <f t="shared" si="326"/>
        <v>2.1509999285140147E-6</v>
      </c>
      <c r="BV299" s="44">
        <f t="shared" si="327"/>
        <v>2.0657491670738407E-6</v>
      </c>
      <c r="BW299" s="44">
        <f t="shared" si="328"/>
        <v>1.35111363430483E-6</v>
      </c>
      <c r="BX299" s="44">
        <f t="shared" si="329"/>
        <v>9.9817821781103203E-7</v>
      </c>
      <c r="BY299" s="44">
        <f t="shared" si="330"/>
        <v>8.5705072754988956E-7</v>
      </c>
      <c r="CA299" s="44" t="str">
        <f t="shared" si="331"/>
        <v/>
      </c>
      <c r="CB299" s="44" t="str">
        <f t="shared" si="332"/>
        <v/>
      </c>
      <c r="CC299" s="44" t="str">
        <f t="shared" si="333"/>
        <v/>
      </c>
      <c r="CD299" s="44" t="str">
        <f t="shared" si="334"/>
        <v/>
      </c>
      <c r="CE299" s="44" t="str">
        <f t="shared" si="335"/>
        <v/>
      </c>
      <c r="CF299" s="44" t="str">
        <f t="shared" si="336"/>
        <v/>
      </c>
      <c r="CG299" s="44" t="str">
        <f t="shared" si="337"/>
        <v/>
      </c>
      <c r="CH299" s="44" t="str">
        <f t="shared" si="338"/>
        <v/>
      </c>
      <c r="CI299" s="44" t="str">
        <f t="shared" si="339"/>
        <v/>
      </c>
      <c r="CJ299" s="44" t="str">
        <f t="shared" si="340"/>
        <v/>
      </c>
      <c r="CK299" s="44" t="str">
        <f t="shared" si="341"/>
        <v/>
      </c>
      <c r="CL299" s="44" t="str">
        <f t="shared" si="342"/>
        <v/>
      </c>
      <c r="CM299" s="44" t="str">
        <f t="shared" si="343"/>
        <v/>
      </c>
      <c r="CN299" s="44" t="str">
        <f t="shared" si="344"/>
        <v/>
      </c>
      <c r="CO299" s="44" t="str">
        <f t="shared" si="345"/>
        <v/>
      </c>
      <c r="CP299" s="44" t="str">
        <f t="shared" si="346"/>
        <v/>
      </c>
      <c r="CQ299" s="44" t="str">
        <f t="shared" si="347"/>
        <v/>
      </c>
      <c r="CR299" s="44" t="str">
        <f t="shared" si="348"/>
        <v/>
      </c>
      <c r="CS299" s="44" t="str">
        <f t="shared" si="349"/>
        <v/>
      </c>
      <c r="CT299" s="44" t="str">
        <f t="shared" si="350"/>
        <v/>
      </c>
      <c r="CV299" s="44">
        <f t="shared" si="351"/>
        <v>0</v>
      </c>
    </row>
    <row r="300" spans="1:100" x14ac:dyDescent="0.25">
      <c r="A300" s="49"/>
      <c r="B300" s="50"/>
      <c r="C300" s="51" t="str" cm="1">
        <f t="array" ref="C300">IF(B300="","",INDEX(UWS!$B$10:$B$41,B300))</f>
        <v/>
      </c>
      <c r="D300" s="45" t="str">
        <f t="shared" si="308"/>
        <v/>
      </c>
      <c r="E300" s="70" t="str">
        <f t="shared" si="309"/>
        <v/>
      </c>
      <c r="F300" s="52" cm="1">
        <f t="array" ref="F300">0.1+IFERROR(INDEX($F$5:$F299,SUMPRODUCT(MAX(ROW($C$5:$C299)*($C300=$C$5:$C299))-ROW($A$4)))*0.9^($A300-INDEX($A$5:A299,SUMPRODUCT(MAX(ROW($C$5:$C299)*($C300=$C$5:$C299))-ROW($A$4)))),0)</f>
        <v>23.500000000000064</v>
      </c>
      <c r="G300" s="56" t="e">
        <f>INDEX(UWS!$AB$10:$AB$41,MATCH(C300,UWS!$B$10:$B$41,0))</f>
        <v>#N/A</v>
      </c>
      <c r="H300" s="52" t="e">
        <f>INDEX(UWS!$C$10:$C$41,MATCH(C300,UWS!$B$10:$B$41,0))</f>
        <v>#N/A</v>
      </c>
      <c r="I300" s="46">
        <f t="shared" si="310"/>
        <v>5</v>
      </c>
      <c r="J300" s="46" t="e">
        <f>INDEX(UWS!$E$10:$E$41,MATCH(C300,UWS!$B$10:$B$41,0))</f>
        <v>#N/A</v>
      </c>
      <c r="K300" s="46"/>
      <c r="L300" s="109" t="str" cm="1">
        <f t="array" ref="L300">IF(K300="","",INDEX(UWS!$B$10:$B$41,K300))</f>
        <v/>
      </c>
      <c r="M300" s="46"/>
      <c r="N300" s="109" t="str" cm="1">
        <f t="array" ref="N300">IF(M300="","",INDEX(UWS!$B$10:$B$41,M300))</f>
        <v/>
      </c>
      <c r="O300" s="47"/>
      <c r="P300" s="47">
        <f>IFERROR(INDEX(UWS!$G$10:$Z$41,MATCH($C300,UWS!$B$10:$B$41,0),MATCH(P$4,UWS!$G$3:$Z$3,0)),0)</f>
        <v>0</v>
      </c>
      <c r="Q300" s="47">
        <f>IFERROR(INDEX(UWS!$G$10:$Z$41,MATCH($C300,UWS!$B$10:$B$41,0),MATCH(Q$4,UWS!$G$3:$Z$3,0)),0)</f>
        <v>0</v>
      </c>
      <c r="R300" s="47">
        <f>IFERROR(INDEX(UWS!$G$10:$Z$41,MATCH($C300,UWS!$B$10:$B$41,0),MATCH(R$4,UWS!$G$3:$Z$3,0)),0)</f>
        <v>0</v>
      </c>
      <c r="S300" s="47">
        <f>IFERROR(INDEX(UWS!$G$10:$Z$41,MATCH($C300,UWS!$B$10:$B$41,0),MATCH(S$4,UWS!$G$3:$Z$3,0)),0)</f>
        <v>0</v>
      </c>
      <c r="T300" s="47">
        <f>IFERROR(INDEX(UWS!$G$10:$Z$41,MATCH($C300,UWS!$B$10:$B$41,0),MATCH(T$4,UWS!$G$3:$Z$3,0)),0)</f>
        <v>0</v>
      </c>
      <c r="U300" s="47">
        <f>IFERROR(INDEX(UWS!$G$10:$Z$41,MATCH($C300,UWS!$B$10:$B$41,0),MATCH(U$4,UWS!$G$3:$Z$3,0)),0)</f>
        <v>0</v>
      </c>
      <c r="V300" s="47">
        <f>IFERROR(INDEX(UWS!$G$10:$Z$41,MATCH($C300,UWS!$B$10:$B$41,0),MATCH(V$4,UWS!$G$3:$Z$3,0)),0)</f>
        <v>0</v>
      </c>
      <c r="W300" s="47">
        <f>IFERROR(INDEX(UWS!$G$10:$Z$41,MATCH($C300,UWS!$B$10:$B$41,0),MATCH(W$4,UWS!$G$3:$Z$3,0)),0)</f>
        <v>0</v>
      </c>
      <c r="X300" s="47">
        <f>IFERROR(INDEX(UWS!$G$10:$Z$41,MATCH($C300,UWS!$B$10:$B$41,0),MATCH(X$4,UWS!$G$3:$Z$3,0)),0)</f>
        <v>0</v>
      </c>
      <c r="Y300" s="47">
        <f>IFERROR(INDEX(UWS!$G$10:$Z$41,MATCH($C300,UWS!$B$10:$B$41,0),MATCH(Y$4,UWS!$G$3:$Z$3,0)),0)</f>
        <v>0</v>
      </c>
      <c r="Z300" s="47">
        <f>IFERROR(INDEX(UWS!$G$10:$Z$41,MATCH($C300,UWS!$B$10:$B$41,0),MATCH(Z$4,UWS!$G$3:$Z$3,0)),0)</f>
        <v>0</v>
      </c>
      <c r="AA300" s="47">
        <f>IFERROR(INDEX(UWS!$G$10:$Z$41,MATCH($C300,UWS!$B$10:$B$41,0),MATCH(AA$4,UWS!$G$3:$Z$3,0)),0)</f>
        <v>0</v>
      </c>
      <c r="AB300" s="47">
        <f>IFERROR(INDEX(UWS!$G$10:$Z$41,MATCH($C300,UWS!$B$10:$B$41,0),MATCH(AB$4,UWS!$G$3:$Z$3,0)),0)</f>
        <v>0</v>
      </c>
      <c r="AC300" s="47">
        <f>IFERROR(INDEX(UWS!$G$10:$Z$41,MATCH($C300,UWS!$B$10:$B$41,0),MATCH(AC$4,UWS!$G$3:$Z$3,0)),0)</f>
        <v>0</v>
      </c>
      <c r="AD300" s="47">
        <f>IFERROR(INDEX(UWS!$G$10:$Z$41,MATCH($C300,UWS!$B$10:$B$41,0),MATCH(AD$4,UWS!$G$3:$Z$3,0)),0)</f>
        <v>0</v>
      </c>
      <c r="AE300" s="47">
        <f>IFERROR(INDEX(UWS!$G$10:$Z$41,MATCH($C300,UWS!$B$10:$B$41,0),MATCH(AE$4,UWS!$G$3:$Z$3,0)),0)</f>
        <v>0</v>
      </c>
      <c r="AF300" s="47">
        <f>IFERROR(INDEX(UWS!$G$10:$Z$41,MATCH($C300,UWS!$B$10:$B$41,0),MATCH(AF$4,UWS!$G$3:$Z$3,0)),0)</f>
        <v>0</v>
      </c>
      <c r="AG300" s="47">
        <f>IFERROR(INDEX(UWS!$G$10:$Z$41,MATCH($C300,UWS!$B$10:$B$41,0),MATCH(AG$4,UWS!$G$3:$Z$3,0)),0)</f>
        <v>0</v>
      </c>
      <c r="AH300" s="47">
        <f>IFERROR(INDEX(UWS!$G$10:$Z$41,MATCH($C300,UWS!$B$10:$B$41,0),MATCH(AH$4,UWS!$G$3:$Z$3,0)),0)</f>
        <v>0</v>
      </c>
      <c r="AI300" s="47">
        <f>IFERROR(INDEX(UWS!$G$10:$Z$41,MATCH($C300,UWS!$B$10:$B$41,0),MATCH(AI$4,UWS!$G$3:$Z$3,0)),0)</f>
        <v>0</v>
      </c>
      <c r="AJ300" s="47"/>
      <c r="AK300" s="47" t="e">
        <f>IF(OR($J300=0,COUNTIFS($A$4:$A299,"&gt;="&amp;$A300-1,$A$4:$A299,"&lt;="&amp;$A300,$B$4:$B299,$B300)&gt;0,MIN(AK$1,IF($A300=$A299,AK299,1))-P300&lt;0),-1,MIN(1,IF($A300=$A299,AK299,1)-P300+$D$3))</f>
        <v>#N/A</v>
      </c>
      <c r="AL300" s="47" t="e">
        <f>IF(OR($J300=0,COUNTIFS($A$4:$A299,"&gt;="&amp;$A300-1,$A$4:$A299,"&lt;="&amp;$A300,$B$4:$B299,$B300)&gt;0,MIN(AL$1,IF($A300=$A299,AL299,1))-Q300&lt;0),-1,MIN(1,IF($A300=$A299,AL299,1)-Q300+$D$3))</f>
        <v>#N/A</v>
      </c>
      <c r="AM300" s="47" t="e">
        <f>IF(OR($J300=0,COUNTIFS($A$4:$A299,"&gt;="&amp;$A300-1,$A$4:$A299,"&lt;="&amp;$A300,$B$4:$B299,$B300)&gt;0,MIN(AM$1,IF($A300=$A299,AM299,1))-R300&lt;0),-1,MIN(1,IF($A300=$A299,AM299,1)-R300+$D$3))</f>
        <v>#N/A</v>
      </c>
      <c r="AN300" s="47" t="e">
        <f>IF(OR($J300=0,COUNTIFS($A$4:$A299,"&gt;="&amp;$A300-1,$A$4:$A299,"&lt;="&amp;$A300,$B$4:$B299,$B300)&gt;0,MIN(AN$1,IF($A300=$A299,AN299,1))-S300&lt;0),-1,MIN(1,IF($A300=$A299,AN299,1)-S300+$D$3))</f>
        <v>#N/A</v>
      </c>
      <c r="AO300" s="47" t="e">
        <f>IF(OR($J300=0,COUNTIFS($A$4:$A299,"&gt;="&amp;$A300-1,$A$4:$A299,"&lt;="&amp;$A300,$B$4:$B299,$B300)&gt;0,MIN(AO$1,IF($A300=$A299,AO299,1))-T300&lt;0),-1,MIN(1,IF($A300=$A299,AO299,1)-T300+$D$3))</f>
        <v>#N/A</v>
      </c>
      <c r="AP300" s="47" t="e">
        <f>IF(OR($J300=0,COUNTIFS($A$4:$A299,"&gt;="&amp;$A300-1,$A$4:$A299,"&lt;="&amp;$A300,$B$4:$B299,$B300)&gt;0,MIN(AP$1,IF($A300=$A299,AP299,1))-U300&lt;0),-1,MIN(1,IF($A300=$A299,AP299,1)-U300+$D$3))</f>
        <v>#N/A</v>
      </c>
      <c r="AQ300" s="47" t="e">
        <f>IF(OR($J300=0,COUNTIFS($A$4:$A299,"&gt;="&amp;$A300-1,$A$4:$A299,"&lt;="&amp;$A300,$B$4:$B299,$B300)&gt;0,MIN(AQ$1,IF($A300=$A299,AQ299,1))-V300&lt;0),-1,MIN(1,IF($A300=$A299,AQ299,1)-V300+$D$3))</f>
        <v>#N/A</v>
      </c>
      <c r="AR300" s="47" t="e">
        <f>IF(OR($J300=0,COUNTIFS($A$4:$A299,"&gt;="&amp;$A300-1,$A$4:$A299,"&lt;="&amp;$A300,$B$4:$B299,$B300)&gt;0,MIN(AR$1,IF($A300=$A299,AR299,1))-W300&lt;0),-1,MIN(1,IF($A300=$A299,AR299,1)-W300+$D$3))</f>
        <v>#N/A</v>
      </c>
      <c r="AS300" s="47" t="e">
        <f>IF(OR($J300=0,COUNTIFS($A$4:$A299,"&gt;="&amp;$A300-1,$A$4:$A299,"&lt;="&amp;$A300,$B$4:$B299,$B300)&gt;0,MIN(AS$1,IF($A300=$A299,AS299,1))-X300&lt;0),-1,MIN(1,IF($A300=$A299,AS299,1)-X300+$D$3))</f>
        <v>#N/A</v>
      </c>
      <c r="AT300" s="47" t="e">
        <f>IF(OR($J300=0,COUNTIFS($A$4:$A299,"&gt;="&amp;$A300-1,$A$4:$A299,"&lt;="&amp;$A300,$B$4:$B299,$B300)&gt;0,MIN(AT$1,IF($A300=$A299,AT299,1))-Y300&lt;0),-1,MIN(1,IF($A300=$A299,AT299,1)-Y300+$D$3))</f>
        <v>#N/A</v>
      </c>
      <c r="AU300" s="47" t="e">
        <f>IF(OR($J300=0,COUNTIFS($A$4:$A299,"&gt;="&amp;$A300-1,$A$4:$A299,"&lt;="&amp;$A300,$B$4:$B299,$B300)&gt;0,MIN(AU$1,IF($A300=$A299,AU299,1))-Z300&lt;0),-1,MIN(1,IF($A300=$A299,AU299,1)-Z300+$D$3))</f>
        <v>#N/A</v>
      </c>
      <c r="AV300" s="47" t="e">
        <f>IF(OR($J300=0,COUNTIFS($A$4:$A299,"&gt;="&amp;$A300-1,$A$4:$A299,"&lt;="&amp;$A300,$B$4:$B299,$B300)&gt;0,MIN(AV$1,IF($A300=$A299,AV299,1))-AA300&lt;0),-1,MIN(1,IF($A300=$A299,AV299,1)-AA300+$D$3))</f>
        <v>#N/A</v>
      </c>
      <c r="AW300" s="47" t="e">
        <f>IF(OR($J300=0,COUNTIFS($A$4:$A299,"&gt;="&amp;$A300-1,$A$4:$A299,"&lt;="&amp;$A300,$B$4:$B299,$B300)&gt;0,MIN(AW$1,IF($A300=$A299,AW299,1))-AB300&lt;0),-1,MIN(1,IF($A300=$A299,AW299,1)-AB300+$D$3))</f>
        <v>#N/A</v>
      </c>
      <c r="AX300" s="47" t="e">
        <f>IF(OR($J300=0,COUNTIFS($A$4:$A299,"&gt;="&amp;$A300-1,$A$4:$A299,"&lt;="&amp;$A300,$B$4:$B299,$B300)&gt;0,MIN(AX$1,IF($A300=$A299,AX299,1))-AC300&lt;0),-1,MIN(1,IF($A300=$A299,AX299,1)-AC300+$D$3))</f>
        <v>#N/A</v>
      </c>
      <c r="AY300" s="47" t="e">
        <f>IF(OR($J300=0,COUNTIFS($A$4:$A299,"&gt;="&amp;$A300-1,$A$4:$A299,"&lt;="&amp;$A300,$B$4:$B299,$B300)&gt;0,MIN(AY$1,IF($A300=$A299,AY299,1))-AD300&lt;0),-1,MIN(1,IF($A300=$A299,AY299,1)-AD300+$D$3))</f>
        <v>#N/A</v>
      </c>
      <c r="AZ300" s="47" t="e">
        <f>IF(OR($J300=0,COUNTIFS($A$4:$A299,"&gt;="&amp;$A300-1,$A$4:$A299,"&lt;="&amp;$A300,$B$4:$B299,$B300)&gt;0,MIN(AZ$1,IF($A300=$A299,AZ299,1))-AE300&lt;0),-1,MIN(1,IF($A300=$A299,AZ299,1)-AE300+$D$3))</f>
        <v>#N/A</v>
      </c>
      <c r="BA300" s="47" t="e">
        <f>IF(OR($J300=0,COUNTIFS($A$4:$A299,"&gt;="&amp;$A300-1,$A$4:$A299,"&lt;="&amp;$A300,$B$4:$B299,$B300)&gt;0,MIN(BA$1,IF($A300=$A299,BA299,1))-AF300&lt;0),-1,MIN(1,IF($A300=$A299,BA299,1)-AF300+$D$3))</f>
        <v>#N/A</v>
      </c>
      <c r="BB300" s="47" t="e">
        <f>IF(OR($J300=0,COUNTIFS($A$4:$A299,"&gt;="&amp;$A300-1,$A$4:$A299,"&lt;="&amp;$A300,$B$4:$B299,$B300)&gt;0,MIN(BB$1,IF($A300=$A299,BB299,1))-AG300&lt;0),-1,MIN(1,IF($A300=$A299,BB299,1)-AG300+$D$3))</f>
        <v>#N/A</v>
      </c>
      <c r="BC300" s="47" t="e">
        <f>IF(OR($J300=0,COUNTIFS($A$4:$A299,"&gt;="&amp;$A300-1,$A$4:$A299,"&lt;="&amp;$A300,$B$4:$B299,$B300)&gt;0,MIN(BC$1,IF($A300=$A299,BC299,1))-AH300&lt;0),-1,MIN(1,IF($A300=$A299,BC299,1)-AH300+$D$3))</f>
        <v>#N/A</v>
      </c>
      <c r="BD300" s="47" t="e">
        <f>IF(OR($J300=0,COUNTIFS($A$4:$A299,"&gt;="&amp;$A300-1,$A$4:$A299,"&lt;="&amp;$A300,$B$4:$B299,$B300)&gt;0,MIN(BD$1,IF($A300=$A299,BD299,1))-AI300&lt;0),-1,MIN(1,IF($A300=$A299,BD299,1)-AI300+$D$3))</f>
        <v>#N/A</v>
      </c>
      <c r="BE300" s="47"/>
      <c r="BF300" s="53">
        <f t="shared" si="311"/>
        <v>5.4012348263173832E-7</v>
      </c>
      <c r="BG300" s="53">
        <f t="shared" si="312"/>
        <v>1.3283160565170842E-6</v>
      </c>
      <c r="BH300" s="53">
        <f t="shared" si="313"/>
        <v>1.361384232764951E-6</v>
      </c>
      <c r="BI300" s="53">
        <f t="shared" si="314"/>
        <v>1.2575410586980067E-6</v>
      </c>
      <c r="BJ300" s="53">
        <f t="shared" si="315"/>
        <v>1.2997880700317815E-6</v>
      </c>
      <c r="BK300" s="53">
        <f t="shared" si="316"/>
        <v>5.5817745979131711E-7</v>
      </c>
      <c r="BL300" s="53">
        <f t="shared" si="317"/>
        <v>3.0153624524715201E-7</v>
      </c>
      <c r="BM300" s="53">
        <f t="shared" si="318"/>
        <v>7.6707299600293456E-7</v>
      </c>
      <c r="BN300" s="53">
        <f t="shared" si="319"/>
        <v>7.9781569796934566E-7</v>
      </c>
      <c r="BO300" s="53">
        <f t="shared" si="320"/>
        <v>3.7388670969947149E-7</v>
      </c>
      <c r="BP300" s="53">
        <f t="shared" si="321"/>
        <v>1.2571857310943927E-6</v>
      </c>
      <c r="BQ300" s="53">
        <f t="shared" si="322"/>
        <v>3.3926238723012415E-7</v>
      </c>
      <c r="BR300" s="53">
        <f t="shared" si="323"/>
        <v>1.0022660181347863E-6</v>
      </c>
      <c r="BS300" s="53">
        <f t="shared" si="324"/>
        <v>5.4053536376424914E-7</v>
      </c>
      <c r="BT300" s="53">
        <f t="shared" si="325"/>
        <v>2.1390641498268463E-6</v>
      </c>
      <c r="BU300" s="53">
        <f t="shared" si="326"/>
        <v>2.0434499320883138E-6</v>
      </c>
      <c r="BV300" s="53">
        <f t="shared" si="327"/>
        <v>1.9624617087201485E-6</v>
      </c>
      <c r="BW300" s="53">
        <f t="shared" si="328"/>
        <v>1.2835579525895885E-6</v>
      </c>
      <c r="BX300" s="53">
        <f t="shared" si="329"/>
        <v>9.4826930692048037E-7</v>
      </c>
      <c r="BY300" s="53">
        <f t="shared" si="330"/>
        <v>8.14198191172395E-7</v>
      </c>
      <c r="BZ300" s="47"/>
      <c r="CA300" s="53" t="str">
        <f t="shared" si="331"/>
        <v/>
      </c>
      <c r="CB300" s="53" t="str">
        <f t="shared" si="332"/>
        <v/>
      </c>
      <c r="CC300" s="53" t="str">
        <f t="shared" si="333"/>
        <v/>
      </c>
      <c r="CD300" s="53" t="str">
        <f t="shared" si="334"/>
        <v/>
      </c>
      <c r="CE300" s="53" t="str">
        <f t="shared" si="335"/>
        <v/>
      </c>
      <c r="CF300" s="53" t="str">
        <f t="shared" si="336"/>
        <v/>
      </c>
      <c r="CG300" s="53" t="str">
        <f t="shared" si="337"/>
        <v/>
      </c>
      <c r="CH300" s="53" t="str">
        <f t="shared" si="338"/>
        <v/>
      </c>
      <c r="CI300" s="53" t="str">
        <f t="shared" si="339"/>
        <v/>
      </c>
      <c r="CJ300" s="53" t="str">
        <f t="shared" si="340"/>
        <v/>
      </c>
      <c r="CK300" s="53" t="str">
        <f t="shared" si="341"/>
        <v/>
      </c>
      <c r="CL300" s="53" t="str">
        <f t="shared" si="342"/>
        <v/>
      </c>
      <c r="CM300" s="53" t="str">
        <f t="shared" si="343"/>
        <v/>
      </c>
      <c r="CN300" s="53" t="str">
        <f t="shared" si="344"/>
        <v/>
      </c>
      <c r="CO300" s="53" t="str">
        <f t="shared" si="345"/>
        <v/>
      </c>
      <c r="CP300" s="53" t="str">
        <f t="shared" si="346"/>
        <v/>
      </c>
      <c r="CQ300" s="53" t="str">
        <f t="shared" si="347"/>
        <v/>
      </c>
      <c r="CR300" s="53" t="str">
        <f t="shared" si="348"/>
        <v/>
      </c>
      <c r="CS300" s="53" t="str">
        <f t="shared" si="349"/>
        <v/>
      </c>
      <c r="CT300" s="53" t="str">
        <f t="shared" si="350"/>
        <v/>
      </c>
      <c r="CU300" s="47"/>
      <c r="CV300" s="53">
        <f t="shared" si="351"/>
        <v>0</v>
      </c>
    </row>
    <row r="301" spans="1:100" x14ac:dyDescent="0.25">
      <c r="A301" s="41"/>
      <c r="B301" s="42"/>
      <c r="C301" s="43" t="str" cm="1">
        <f t="array" ref="C301">IF(B301="","",INDEX(UWS!$B$10:$B$41,B301))</f>
        <v/>
      </c>
      <c r="D301" s="40" t="str">
        <f t="shared" si="308"/>
        <v/>
      </c>
      <c r="E301" s="69" t="str">
        <f t="shared" si="309"/>
        <v/>
      </c>
      <c r="F301" s="48" cm="1">
        <f t="array" ref="F301">0.1+IFERROR(INDEX($F$5:$F300,SUMPRODUCT(MAX(ROW($C$5:$C300)*($C301=$C$5:$C300))-ROW($A$4)))*0.9^($A301-INDEX($A$5:A300,SUMPRODUCT(MAX(ROW($C$5:$C300)*($C301=$C$5:$C300))-ROW($A$4)))),0)</f>
        <v>23.600000000000065</v>
      </c>
      <c r="G301" s="55" t="e">
        <f>INDEX(UWS!$AB$10:$AB$41,MATCH(C301,UWS!$B$10:$B$41,0))</f>
        <v>#N/A</v>
      </c>
      <c r="H301" s="48" t="e">
        <f>INDEX(UWS!$C$10:$C$41,MATCH(C301,UWS!$B$10:$B$41,0))</f>
        <v>#N/A</v>
      </c>
      <c r="I301" s="82">
        <f t="shared" si="310"/>
        <v>5</v>
      </c>
      <c r="J301" s="27" t="e">
        <f>INDEX(UWS!$E$10:$E$41,MATCH(C301,UWS!$B$10:$B$41,0))</f>
        <v>#N/A</v>
      </c>
      <c r="L301" s="108" t="str" cm="1">
        <f t="array" ref="L301">IF(K301="","",INDEX(UWS!$B$10:$B$41,K301))</f>
        <v/>
      </c>
      <c r="N301" s="108" t="str" cm="1">
        <f t="array" ref="N301">IF(M301="","",INDEX(UWS!$B$10:$B$41,M301))</f>
        <v/>
      </c>
      <c r="P301">
        <f>IFERROR(INDEX(UWS!$G$10:$Z$41,MATCH($C301,UWS!$B$10:$B$41,0),MATCH(P$4,UWS!$G$3:$Z$3,0)),0)</f>
        <v>0</v>
      </c>
      <c r="Q301">
        <f>IFERROR(INDEX(UWS!$G$10:$Z$41,MATCH($C301,UWS!$B$10:$B$41,0),MATCH(Q$4,UWS!$G$3:$Z$3,0)),0)</f>
        <v>0</v>
      </c>
      <c r="R301">
        <f>IFERROR(INDEX(UWS!$G$10:$Z$41,MATCH($C301,UWS!$B$10:$B$41,0),MATCH(R$4,UWS!$G$3:$Z$3,0)),0)</f>
        <v>0</v>
      </c>
      <c r="S301">
        <f>IFERROR(INDEX(UWS!$G$10:$Z$41,MATCH($C301,UWS!$B$10:$B$41,0),MATCH(S$4,UWS!$G$3:$Z$3,0)),0)</f>
        <v>0</v>
      </c>
      <c r="T301">
        <f>IFERROR(INDEX(UWS!$G$10:$Z$41,MATCH($C301,UWS!$B$10:$B$41,0),MATCH(T$4,UWS!$G$3:$Z$3,0)),0)</f>
        <v>0</v>
      </c>
      <c r="U301">
        <f>IFERROR(INDEX(UWS!$G$10:$Z$41,MATCH($C301,UWS!$B$10:$B$41,0),MATCH(U$4,UWS!$G$3:$Z$3,0)),0)</f>
        <v>0</v>
      </c>
      <c r="V301">
        <f>IFERROR(INDEX(UWS!$G$10:$Z$41,MATCH($C301,UWS!$B$10:$B$41,0),MATCH(V$4,UWS!$G$3:$Z$3,0)),0)</f>
        <v>0</v>
      </c>
      <c r="W301">
        <f>IFERROR(INDEX(UWS!$G$10:$Z$41,MATCH($C301,UWS!$B$10:$B$41,0),MATCH(W$4,UWS!$G$3:$Z$3,0)),0)</f>
        <v>0</v>
      </c>
      <c r="X301">
        <f>IFERROR(INDEX(UWS!$G$10:$Z$41,MATCH($C301,UWS!$B$10:$B$41,0),MATCH(X$4,UWS!$G$3:$Z$3,0)),0)</f>
        <v>0</v>
      </c>
      <c r="Y301">
        <f>IFERROR(INDEX(UWS!$G$10:$Z$41,MATCH($C301,UWS!$B$10:$B$41,0),MATCH(Y$4,UWS!$G$3:$Z$3,0)),0)</f>
        <v>0</v>
      </c>
      <c r="Z301">
        <f>IFERROR(INDEX(UWS!$G$10:$Z$41,MATCH($C301,UWS!$B$10:$B$41,0),MATCH(Z$4,UWS!$G$3:$Z$3,0)),0)</f>
        <v>0</v>
      </c>
      <c r="AA301">
        <f>IFERROR(INDEX(UWS!$G$10:$Z$41,MATCH($C301,UWS!$B$10:$B$41,0),MATCH(AA$4,UWS!$G$3:$Z$3,0)),0)</f>
        <v>0</v>
      </c>
      <c r="AB301">
        <f>IFERROR(INDEX(UWS!$G$10:$Z$41,MATCH($C301,UWS!$B$10:$B$41,0),MATCH(AB$4,UWS!$G$3:$Z$3,0)),0)</f>
        <v>0</v>
      </c>
      <c r="AC301">
        <f>IFERROR(INDEX(UWS!$G$10:$Z$41,MATCH($C301,UWS!$B$10:$B$41,0),MATCH(AC$4,UWS!$G$3:$Z$3,0)),0)</f>
        <v>0</v>
      </c>
      <c r="AD301">
        <f>IFERROR(INDEX(UWS!$G$10:$Z$41,MATCH($C301,UWS!$B$10:$B$41,0),MATCH(AD$4,UWS!$G$3:$Z$3,0)),0)</f>
        <v>0</v>
      </c>
      <c r="AE301">
        <f>IFERROR(INDEX(UWS!$G$10:$Z$41,MATCH($C301,UWS!$B$10:$B$41,0),MATCH(AE$4,UWS!$G$3:$Z$3,0)),0)</f>
        <v>0</v>
      </c>
      <c r="AF301">
        <f>IFERROR(INDEX(UWS!$G$10:$Z$41,MATCH($C301,UWS!$B$10:$B$41,0),MATCH(AF$4,UWS!$G$3:$Z$3,0)),0)</f>
        <v>0</v>
      </c>
      <c r="AG301">
        <f>IFERROR(INDEX(UWS!$G$10:$Z$41,MATCH($C301,UWS!$B$10:$B$41,0),MATCH(AG$4,UWS!$G$3:$Z$3,0)),0)</f>
        <v>0</v>
      </c>
      <c r="AH301">
        <f>IFERROR(INDEX(UWS!$G$10:$Z$41,MATCH($C301,UWS!$B$10:$B$41,0),MATCH(AH$4,UWS!$G$3:$Z$3,0)),0)</f>
        <v>0</v>
      </c>
      <c r="AI301">
        <f>IFERROR(INDEX(UWS!$G$10:$Z$41,MATCH($C301,UWS!$B$10:$B$41,0),MATCH(AI$4,UWS!$G$3:$Z$3,0)),0)</f>
        <v>0</v>
      </c>
      <c r="AK301" t="e">
        <f>IF(OR($J301=0,COUNTIFS($A$4:$A300,"&gt;="&amp;$A301-1,$A$4:$A300,"&lt;="&amp;$A301,$B$4:$B300,$B301)&gt;0,MIN(AK$1,IF($A301=$A300,AK300,1))-P301&lt;0),-1,MIN(1,IF($A301=$A300,AK300,1)-P301+$D$3))</f>
        <v>#N/A</v>
      </c>
      <c r="AL301" t="e">
        <f>IF(OR($J301=0,COUNTIFS($A$4:$A300,"&gt;="&amp;$A301-1,$A$4:$A300,"&lt;="&amp;$A301,$B$4:$B300,$B301)&gt;0,MIN(AL$1,IF($A301=$A300,AL300,1))-Q301&lt;0),-1,MIN(1,IF($A301=$A300,AL300,1)-Q301+$D$3))</f>
        <v>#N/A</v>
      </c>
      <c r="AM301" t="e">
        <f>IF(OR($J301=0,COUNTIFS($A$4:$A300,"&gt;="&amp;$A301-1,$A$4:$A300,"&lt;="&amp;$A301,$B$4:$B300,$B301)&gt;0,MIN(AM$1,IF($A301=$A300,AM300,1))-R301&lt;0),-1,MIN(1,IF($A301=$A300,AM300,1)-R301+$D$3))</f>
        <v>#N/A</v>
      </c>
      <c r="AN301" t="e">
        <f>IF(OR($J301=0,COUNTIFS($A$4:$A300,"&gt;="&amp;$A301-1,$A$4:$A300,"&lt;="&amp;$A301,$B$4:$B300,$B301)&gt;0,MIN(AN$1,IF($A301=$A300,AN300,1))-S301&lt;0),-1,MIN(1,IF($A301=$A300,AN300,1)-S301+$D$3))</f>
        <v>#N/A</v>
      </c>
      <c r="AO301" t="e">
        <f>IF(OR($J301=0,COUNTIFS($A$4:$A300,"&gt;="&amp;$A301-1,$A$4:$A300,"&lt;="&amp;$A301,$B$4:$B300,$B301)&gt;0,MIN(AO$1,IF($A301=$A300,AO300,1))-T301&lt;0),-1,MIN(1,IF($A301=$A300,AO300,1)-T301+$D$3))</f>
        <v>#N/A</v>
      </c>
      <c r="AP301" t="e">
        <f>IF(OR($J301=0,COUNTIFS($A$4:$A300,"&gt;="&amp;$A301-1,$A$4:$A300,"&lt;="&amp;$A301,$B$4:$B300,$B301)&gt;0,MIN(AP$1,IF($A301=$A300,AP300,1))-U301&lt;0),-1,MIN(1,IF($A301=$A300,AP300,1)-U301+$D$3))</f>
        <v>#N/A</v>
      </c>
      <c r="AQ301" t="e">
        <f>IF(OR($J301=0,COUNTIFS($A$4:$A300,"&gt;="&amp;$A301-1,$A$4:$A300,"&lt;="&amp;$A301,$B$4:$B300,$B301)&gt;0,MIN(AQ$1,IF($A301=$A300,AQ300,1))-V301&lt;0),-1,MIN(1,IF($A301=$A300,AQ300,1)-V301+$D$3))</f>
        <v>#N/A</v>
      </c>
      <c r="AR301" t="e">
        <f>IF(OR($J301=0,COUNTIFS($A$4:$A300,"&gt;="&amp;$A301-1,$A$4:$A300,"&lt;="&amp;$A301,$B$4:$B300,$B301)&gt;0,MIN(AR$1,IF($A301=$A300,AR300,1))-W301&lt;0),-1,MIN(1,IF($A301=$A300,AR300,1)-W301+$D$3))</f>
        <v>#N/A</v>
      </c>
      <c r="AS301" t="e">
        <f>IF(OR($J301=0,COUNTIFS($A$4:$A300,"&gt;="&amp;$A301-1,$A$4:$A300,"&lt;="&amp;$A301,$B$4:$B300,$B301)&gt;0,MIN(AS$1,IF($A301=$A300,AS300,1))-X301&lt;0),-1,MIN(1,IF($A301=$A300,AS300,1)-X301+$D$3))</f>
        <v>#N/A</v>
      </c>
      <c r="AT301" t="e">
        <f>IF(OR($J301=0,COUNTIFS($A$4:$A300,"&gt;="&amp;$A301-1,$A$4:$A300,"&lt;="&amp;$A301,$B$4:$B300,$B301)&gt;0,MIN(AT$1,IF($A301=$A300,AT300,1))-Y301&lt;0),-1,MIN(1,IF($A301=$A300,AT300,1)-Y301+$D$3))</f>
        <v>#N/A</v>
      </c>
      <c r="AU301" t="e">
        <f>IF(OR($J301=0,COUNTIFS($A$4:$A300,"&gt;="&amp;$A301-1,$A$4:$A300,"&lt;="&amp;$A301,$B$4:$B300,$B301)&gt;0,MIN(AU$1,IF($A301=$A300,AU300,1))-Z301&lt;0),-1,MIN(1,IF($A301=$A300,AU300,1)-Z301+$D$3))</f>
        <v>#N/A</v>
      </c>
      <c r="AV301" t="e">
        <f>IF(OR($J301=0,COUNTIFS($A$4:$A300,"&gt;="&amp;$A301-1,$A$4:$A300,"&lt;="&amp;$A301,$B$4:$B300,$B301)&gt;0,MIN(AV$1,IF($A301=$A300,AV300,1))-AA301&lt;0),-1,MIN(1,IF($A301=$A300,AV300,1)-AA301+$D$3))</f>
        <v>#N/A</v>
      </c>
      <c r="AW301" t="e">
        <f>IF(OR($J301=0,COUNTIFS($A$4:$A300,"&gt;="&amp;$A301-1,$A$4:$A300,"&lt;="&amp;$A301,$B$4:$B300,$B301)&gt;0,MIN(AW$1,IF($A301=$A300,AW300,1))-AB301&lt;0),-1,MIN(1,IF($A301=$A300,AW300,1)-AB301+$D$3))</f>
        <v>#N/A</v>
      </c>
      <c r="AX301" t="e">
        <f>IF(OR($J301=0,COUNTIFS($A$4:$A300,"&gt;="&amp;$A301-1,$A$4:$A300,"&lt;="&amp;$A301,$B$4:$B300,$B301)&gt;0,MIN(AX$1,IF($A301=$A300,AX300,1))-AC301&lt;0),-1,MIN(1,IF($A301=$A300,AX300,1)-AC301+$D$3))</f>
        <v>#N/A</v>
      </c>
      <c r="AY301" t="e">
        <f>IF(OR($J301=0,COUNTIFS($A$4:$A300,"&gt;="&amp;$A301-1,$A$4:$A300,"&lt;="&amp;$A301,$B$4:$B300,$B301)&gt;0,MIN(AY$1,IF($A301=$A300,AY300,1))-AD301&lt;0),-1,MIN(1,IF($A301=$A300,AY300,1)-AD301+$D$3))</f>
        <v>#N/A</v>
      </c>
      <c r="AZ301" t="e">
        <f>IF(OR($J301=0,COUNTIFS($A$4:$A300,"&gt;="&amp;$A301-1,$A$4:$A300,"&lt;="&amp;$A301,$B$4:$B300,$B301)&gt;0,MIN(AZ$1,IF($A301=$A300,AZ300,1))-AE301&lt;0),-1,MIN(1,IF($A301=$A300,AZ300,1)-AE301+$D$3))</f>
        <v>#N/A</v>
      </c>
      <c r="BA301" t="e">
        <f>IF(OR($J301=0,COUNTIFS($A$4:$A300,"&gt;="&amp;$A301-1,$A$4:$A300,"&lt;="&amp;$A301,$B$4:$B300,$B301)&gt;0,MIN(BA$1,IF($A301=$A300,BA300,1))-AF301&lt;0),-1,MIN(1,IF($A301=$A300,BA300,1)-AF301+$D$3))</f>
        <v>#N/A</v>
      </c>
      <c r="BB301" t="e">
        <f>IF(OR($J301=0,COUNTIFS($A$4:$A300,"&gt;="&amp;$A301-1,$A$4:$A300,"&lt;="&amp;$A301,$B$4:$B300,$B301)&gt;0,MIN(BB$1,IF($A301=$A300,BB300,1))-AG301&lt;0),-1,MIN(1,IF($A301=$A300,BB300,1)-AG301+$D$3))</f>
        <v>#N/A</v>
      </c>
      <c r="BC301" t="e">
        <f>IF(OR($J301=0,COUNTIFS($A$4:$A300,"&gt;="&amp;$A301-1,$A$4:$A300,"&lt;="&amp;$A301,$B$4:$B300,$B301)&gt;0,MIN(BC$1,IF($A301=$A300,BC300,1))-AH301&lt;0),-1,MIN(1,IF($A301=$A300,BC300,1)-AH301+$D$3))</f>
        <v>#N/A</v>
      </c>
      <c r="BD301" t="e">
        <f>IF(OR($J301=0,COUNTIFS($A$4:$A300,"&gt;="&amp;$A301-1,$A$4:$A300,"&lt;="&amp;$A301,$B$4:$B300,$B301)&gt;0,MIN(BD$1,IF($A301=$A300,BD300,1))-AI301&lt;0),-1,MIN(1,IF($A301=$A300,BD300,1)-AI301+$D$3))</f>
        <v>#N/A</v>
      </c>
      <c r="BF301" s="44">
        <f t="shared" si="311"/>
        <v>5.1311730850015136E-7</v>
      </c>
      <c r="BG301" s="44">
        <f t="shared" si="312"/>
        <v>1.26190025369123E-6</v>
      </c>
      <c r="BH301" s="44">
        <f t="shared" si="313"/>
        <v>1.2933150211267034E-6</v>
      </c>
      <c r="BI301" s="44">
        <f t="shared" si="314"/>
        <v>1.1946640057631063E-6</v>
      </c>
      <c r="BJ301" s="44">
        <f t="shared" si="315"/>
        <v>1.2347986665301923E-6</v>
      </c>
      <c r="BK301" s="44">
        <f t="shared" si="316"/>
        <v>5.302685868017512E-7</v>
      </c>
      <c r="BL301" s="44">
        <f t="shared" si="317"/>
        <v>2.8645943298479438E-7</v>
      </c>
      <c r="BM301" s="44">
        <f t="shared" si="318"/>
        <v>7.2871934620278783E-7</v>
      </c>
      <c r="BN301" s="44">
        <f t="shared" si="319"/>
        <v>7.5792491307087837E-7</v>
      </c>
      <c r="BO301" s="44">
        <f t="shared" si="320"/>
        <v>3.5519237421449789E-7</v>
      </c>
      <c r="BP301" s="44">
        <f t="shared" si="321"/>
        <v>1.194326444539673E-6</v>
      </c>
      <c r="BQ301" s="44">
        <f t="shared" si="322"/>
        <v>3.2229926786861795E-7</v>
      </c>
      <c r="BR301" s="44">
        <f t="shared" si="323"/>
        <v>9.5215271722804697E-7</v>
      </c>
      <c r="BS301" s="44">
        <f t="shared" si="324"/>
        <v>5.135085955760367E-7</v>
      </c>
      <c r="BT301" s="44">
        <f t="shared" si="325"/>
        <v>2.0321109423355039E-6</v>
      </c>
      <c r="BU301" s="44">
        <f t="shared" si="326"/>
        <v>1.941277435483898E-6</v>
      </c>
      <c r="BV301" s="44">
        <f t="shared" si="327"/>
        <v>1.8643386232841409E-6</v>
      </c>
      <c r="BW301" s="44">
        <f t="shared" si="328"/>
        <v>1.2193800549601091E-6</v>
      </c>
      <c r="BX301" s="44">
        <f t="shared" si="329"/>
        <v>9.008558415744563E-7</v>
      </c>
      <c r="BY301" s="44">
        <f t="shared" si="330"/>
        <v>7.7348828161377525E-7</v>
      </c>
      <c r="CA301" s="44" t="str">
        <f t="shared" si="331"/>
        <v/>
      </c>
      <c r="CB301" s="44" t="str">
        <f t="shared" si="332"/>
        <v/>
      </c>
      <c r="CC301" s="44" t="str">
        <f t="shared" si="333"/>
        <v/>
      </c>
      <c r="CD301" s="44" t="str">
        <f t="shared" si="334"/>
        <v/>
      </c>
      <c r="CE301" s="44" t="str">
        <f t="shared" si="335"/>
        <v/>
      </c>
      <c r="CF301" s="44" t="str">
        <f t="shared" si="336"/>
        <v/>
      </c>
      <c r="CG301" s="44" t="str">
        <f t="shared" si="337"/>
        <v/>
      </c>
      <c r="CH301" s="44" t="str">
        <f t="shared" si="338"/>
        <v/>
      </c>
      <c r="CI301" s="44" t="str">
        <f t="shared" si="339"/>
        <v/>
      </c>
      <c r="CJ301" s="44" t="str">
        <f t="shared" si="340"/>
        <v/>
      </c>
      <c r="CK301" s="44" t="str">
        <f t="shared" si="341"/>
        <v/>
      </c>
      <c r="CL301" s="44" t="str">
        <f t="shared" si="342"/>
        <v/>
      </c>
      <c r="CM301" s="44" t="str">
        <f t="shared" si="343"/>
        <v/>
      </c>
      <c r="CN301" s="44" t="str">
        <f t="shared" si="344"/>
        <v/>
      </c>
      <c r="CO301" s="44" t="str">
        <f t="shared" si="345"/>
        <v/>
      </c>
      <c r="CP301" s="44" t="str">
        <f t="shared" si="346"/>
        <v/>
      </c>
      <c r="CQ301" s="44" t="str">
        <f t="shared" si="347"/>
        <v/>
      </c>
      <c r="CR301" s="44" t="str">
        <f t="shared" si="348"/>
        <v/>
      </c>
      <c r="CS301" s="44" t="str">
        <f t="shared" si="349"/>
        <v/>
      </c>
      <c r="CT301" s="44" t="str">
        <f t="shared" si="350"/>
        <v/>
      </c>
      <c r="CV301" s="44">
        <f t="shared" si="351"/>
        <v>0</v>
      </c>
    </row>
    <row r="302" spans="1:100" x14ac:dyDescent="0.25">
      <c r="A302" s="41"/>
      <c r="B302" s="42"/>
      <c r="C302" s="43" t="str" cm="1">
        <f t="array" ref="C302">IF(B302="","",INDEX(UWS!$B$10:$B$41,B302))</f>
        <v/>
      </c>
      <c r="D302" s="40" t="str">
        <f t="shared" si="308"/>
        <v/>
      </c>
      <c r="E302" s="69" t="str">
        <f t="shared" si="309"/>
        <v/>
      </c>
      <c r="F302" s="48" cm="1">
        <f t="array" ref="F302">0.1+IFERROR(INDEX($F$5:$F301,SUMPRODUCT(MAX(ROW($C$5:$C301)*($C302=$C$5:$C301))-ROW($A$4)))*0.9^($A302-INDEX($A$5:A301,SUMPRODUCT(MAX(ROW($C$5:$C301)*($C302=$C$5:$C301))-ROW($A$4)))),0)</f>
        <v>23.700000000000067</v>
      </c>
      <c r="G302" s="55" t="e">
        <f>INDEX(UWS!$AB$10:$AB$41,MATCH(C302,UWS!$B$10:$B$41,0))</f>
        <v>#N/A</v>
      </c>
      <c r="H302" s="48" t="e">
        <f>INDEX(UWS!$C$10:$C$41,MATCH(C302,UWS!$B$10:$B$41,0))</f>
        <v>#N/A</v>
      </c>
      <c r="I302" s="27">
        <f t="shared" si="310"/>
        <v>5</v>
      </c>
      <c r="J302" s="27" t="e">
        <f>INDEX(UWS!$E$10:$E$41,MATCH(C302,UWS!$B$10:$B$41,0))</f>
        <v>#N/A</v>
      </c>
      <c r="L302" s="108" t="str" cm="1">
        <f t="array" ref="L302">IF(K302="","",INDEX(UWS!$B$10:$B$41,K302))</f>
        <v/>
      </c>
      <c r="N302" s="108" t="str" cm="1">
        <f t="array" ref="N302">IF(M302="","",INDEX(UWS!$B$10:$B$41,M302))</f>
        <v/>
      </c>
      <c r="P302">
        <f>IFERROR(INDEX(UWS!$G$10:$Z$41,MATCH($C302,UWS!$B$10:$B$41,0),MATCH(P$4,UWS!$G$3:$Z$3,0)),0)</f>
        <v>0</v>
      </c>
      <c r="Q302">
        <f>IFERROR(INDEX(UWS!$G$10:$Z$41,MATCH($C302,UWS!$B$10:$B$41,0),MATCH(Q$4,UWS!$G$3:$Z$3,0)),0)</f>
        <v>0</v>
      </c>
      <c r="R302">
        <f>IFERROR(INDEX(UWS!$G$10:$Z$41,MATCH($C302,UWS!$B$10:$B$41,0),MATCH(R$4,UWS!$G$3:$Z$3,0)),0)</f>
        <v>0</v>
      </c>
      <c r="S302">
        <f>IFERROR(INDEX(UWS!$G$10:$Z$41,MATCH($C302,UWS!$B$10:$B$41,0),MATCH(S$4,UWS!$G$3:$Z$3,0)),0)</f>
        <v>0</v>
      </c>
      <c r="T302">
        <f>IFERROR(INDEX(UWS!$G$10:$Z$41,MATCH($C302,UWS!$B$10:$B$41,0),MATCH(T$4,UWS!$G$3:$Z$3,0)),0)</f>
        <v>0</v>
      </c>
      <c r="U302">
        <f>IFERROR(INDEX(UWS!$G$10:$Z$41,MATCH($C302,UWS!$B$10:$B$41,0),MATCH(U$4,UWS!$G$3:$Z$3,0)),0)</f>
        <v>0</v>
      </c>
      <c r="V302">
        <f>IFERROR(INDEX(UWS!$G$10:$Z$41,MATCH($C302,UWS!$B$10:$B$41,0),MATCH(V$4,UWS!$G$3:$Z$3,0)),0)</f>
        <v>0</v>
      </c>
      <c r="W302">
        <f>IFERROR(INDEX(UWS!$G$10:$Z$41,MATCH($C302,UWS!$B$10:$B$41,0),MATCH(W$4,UWS!$G$3:$Z$3,0)),0)</f>
        <v>0</v>
      </c>
      <c r="X302">
        <f>IFERROR(INDEX(UWS!$G$10:$Z$41,MATCH($C302,UWS!$B$10:$B$41,0),MATCH(X$4,UWS!$G$3:$Z$3,0)),0)</f>
        <v>0</v>
      </c>
      <c r="Y302">
        <f>IFERROR(INDEX(UWS!$G$10:$Z$41,MATCH($C302,UWS!$B$10:$B$41,0),MATCH(Y$4,UWS!$G$3:$Z$3,0)),0)</f>
        <v>0</v>
      </c>
      <c r="Z302">
        <f>IFERROR(INDEX(UWS!$G$10:$Z$41,MATCH($C302,UWS!$B$10:$B$41,0),MATCH(Z$4,UWS!$G$3:$Z$3,0)),0)</f>
        <v>0</v>
      </c>
      <c r="AA302">
        <f>IFERROR(INDEX(UWS!$G$10:$Z$41,MATCH($C302,UWS!$B$10:$B$41,0),MATCH(AA$4,UWS!$G$3:$Z$3,0)),0)</f>
        <v>0</v>
      </c>
      <c r="AB302">
        <f>IFERROR(INDEX(UWS!$G$10:$Z$41,MATCH($C302,UWS!$B$10:$B$41,0),MATCH(AB$4,UWS!$G$3:$Z$3,0)),0)</f>
        <v>0</v>
      </c>
      <c r="AC302">
        <f>IFERROR(INDEX(UWS!$G$10:$Z$41,MATCH($C302,UWS!$B$10:$B$41,0),MATCH(AC$4,UWS!$G$3:$Z$3,0)),0)</f>
        <v>0</v>
      </c>
      <c r="AD302">
        <f>IFERROR(INDEX(UWS!$G$10:$Z$41,MATCH($C302,UWS!$B$10:$B$41,0),MATCH(AD$4,UWS!$G$3:$Z$3,0)),0)</f>
        <v>0</v>
      </c>
      <c r="AE302">
        <f>IFERROR(INDEX(UWS!$G$10:$Z$41,MATCH($C302,UWS!$B$10:$B$41,0),MATCH(AE$4,UWS!$G$3:$Z$3,0)),0)</f>
        <v>0</v>
      </c>
      <c r="AF302">
        <f>IFERROR(INDEX(UWS!$G$10:$Z$41,MATCH($C302,UWS!$B$10:$B$41,0),MATCH(AF$4,UWS!$G$3:$Z$3,0)),0)</f>
        <v>0</v>
      </c>
      <c r="AG302">
        <f>IFERROR(INDEX(UWS!$G$10:$Z$41,MATCH($C302,UWS!$B$10:$B$41,0),MATCH(AG$4,UWS!$G$3:$Z$3,0)),0)</f>
        <v>0</v>
      </c>
      <c r="AH302">
        <f>IFERROR(INDEX(UWS!$G$10:$Z$41,MATCH($C302,UWS!$B$10:$B$41,0),MATCH(AH$4,UWS!$G$3:$Z$3,0)),0)</f>
        <v>0</v>
      </c>
      <c r="AI302">
        <f>IFERROR(INDEX(UWS!$G$10:$Z$41,MATCH($C302,UWS!$B$10:$B$41,0),MATCH(AI$4,UWS!$G$3:$Z$3,0)),0)</f>
        <v>0</v>
      </c>
      <c r="AK302" t="e">
        <f>IF(OR($J302=0,COUNTIFS($A$4:$A301,"&gt;="&amp;$A302-1,$A$4:$A301,"&lt;="&amp;$A302,$B$4:$B301,$B302)&gt;0,MIN(AK$1,IF($A302=$A301,AK301,1))-P302&lt;0),-1,MIN(1,IF($A302=$A301,AK301,1)-P302+$D$3))</f>
        <v>#N/A</v>
      </c>
      <c r="AL302" t="e">
        <f>IF(OR($J302=0,COUNTIFS($A$4:$A301,"&gt;="&amp;$A302-1,$A$4:$A301,"&lt;="&amp;$A302,$B$4:$B301,$B302)&gt;0,MIN(AL$1,IF($A302=$A301,AL301,1))-Q302&lt;0),-1,MIN(1,IF($A302=$A301,AL301,1)-Q302+$D$3))</f>
        <v>#N/A</v>
      </c>
      <c r="AM302" t="e">
        <f>IF(OR($J302=0,COUNTIFS($A$4:$A301,"&gt;="&amp;$A302-1,$A$4:$A301,"&lt;="&amp;$A302,$B$4:$B301,$B302)&gt;0,MIN(AM$1,IF($A302=$A301,AM301,1))-R302&lt;0),-1,MIN(1,IF($A302=$A301,AM301,1)-R302+$D$3))</f>
        <v>#N/A</v>
      </c>
      <c r="AN302" t="e">
        <f>IF(OR($J302=0,COUNTIFS($A$4:$A301,"&gt;="&amp;$A302-1,$A$4:$A301,"&lt;="&amp;$A302,$B$4:$B301,$B302)&gt;0,MIN(AN$1,IF($A302=$A301,AN301,1))-S302&lt;0),-1,MIN(1,IF($A302=$A301,AN301,1)-S302+$D$3))</f>
        <v>#N/A</v>
      </c>
      <c r="AO302" t="e">
        <f>IF(OR($J302=0,COUNTIFS($A$4:$A301,"&gt;="&amp;$A302-1,$A$4:$A301,"&lt;="&amp;$A302,$B$4:$B301,$B302)&gt;0,MIN(AO$1,IF($A302=$A301,AO301,1))-T302&lt;0),-1,MIN(1,IF($A302=$A301,AO301,1)-T302+$D$3))</f>
        <v>#N/A</v>
      </c>
      <c r="AP302" t="e">
        <f>IF(OR($J302=0,COUNTIFS($A$4:$A301,"&gt;="&amp;$A302-1,$A$4:$A301,"&lt;="&amp;$A302,$B$4:$B301,$B302)&gt;0,MIN(AP$1,IF($A302=$A301,AP301,1))-U302&lt;0),-1,MIN(1,IF($A302=$A301,AP301,1)-U302+$D$3))</f>
        <v>#N/A</v>
      </c>
      <c r="AQ302" t="e">
        <f>IF(OR($J302=0,COUNTIFS($A$4:$A301,"&gt;="&amp;$A302-1,$A$4:$A301,"&lt;="&amp;$A302,$B$4:$B301,$B302)&gt;0,MIN(AQ$1,IF($A302=$A301,AQ301,1))-V302&lt;0),-1,MIN(1,IF($A302=$A301,AQ301,1)-V302+$D$3))</f>
        <v>#N/A</v>
      </c>
      <c r="AR302" t="e">
        <f>IF(OR($J302=0,COUNTIFS($A$4:$A301,"&gt;="&amp;$A302-1,$A$4:$A301,"&lt;="&amp;$A302,$B$4:$B301,$B302)&gt;0,MIN(AR$1,IF($A302=$A301,AR301,1))-W302&lt;0),-1,MIN(1,IF($A302=$A301,AR301,1)-W302+$D$3))</f>
        <v>#N/A</v>
      </c>
      <c r="AS302" t="e">
        <f>IF(OR($J302=0,COUNTIFS($A$4:$A301,"&gt;="&amp;$A302-1,$A$4:$A301,"&lt;="&amp;$A302,$B$4:$B301,$B302)&gt;0,MIN(AS$1,IF($A302=$A301,AS301,1))-X302&lt;0),-1,MIN(1,IF($A302=$A301,AS301,1)-X302+$D$3))</f>
        <v>#N/A</v>
      </c>
      <c r="AT302" t="e">
        <f>IF(OR($J302=0,COUNTIFS($A$4:$A301,"&gt;="&amp;$A302-1,$A$4:$A301,"&lt;="&amp;$A302,$B$4:$B301,$B302)&gt;0,MIN(AT$1,IF($A302=$A301,AT301,1))-Y302&lt;0),-1,MIN(1,IF($A302=$A301,AT301,1)-Y302+$D$3))</f>
        <v>#N/A</v>
      </c>
      <c r="AU302" t="e">
        <f>IF(OR($J302=0,COUNTIFS($A$4:$A301,"&gt;="&amp;$A302-1,$A$4:$A301,"&lt;="&amp;$A302,$B$4:$B301,$B302)&gt;0,MIN(AU$1,IF($A302=$A301,AU301,1))-Z302&lt;0),-1,MIN(1,IF($A302=$A301,AU301,1)-Z302+$D$3))</f>
        <v>#N/A</v>
      </c>
      <c r="AV302" t="e">
        <f>IF(OR($J302=0,COUNTIFS($A$4:$A301,"&gt;="&amp;$A302-1,$A$4:$A301,"&lt;="&amp;$A302,$B$4:$B301,$B302)&gt;0,MIN(AV$1,IF($A302=$A301,AV301,1))-AA302&lt;0),-1,MIN(1,IF($A302=$A301,AV301,1)-AA302+$D$3))</f>
        <v>#N/A</v>
      </c>
      <c r="AW302" t="e">
        <f>IF(OR($J302=0,COUNTIFS($A$4:$A301,"&gt;="&amp;$A302-1,$A$4:$A301,"&lt;="&amp;$A302,$B$4:$B301,$B302)&gt;0,MIN(AW$1,IF($A302=$A301,AW301,1))-AB302&lt;0),-1,MIN(1,IF($A302=$A301,AW301,1)-AB302+$D$3))</f>
        <v>#N/A</v>
      </c>
      <c r="AX302" t="e">
        <f>IF(OR($J302=0,COUNTIFS($A$4:$A301,"&gt;="&amp;$A302-1,$A$4:$A301,"&lt;="&amp;$A302,$B$4:$B301,$B302)&gt;0,MIN(AX$1,IF($A302=$A301,AX301,1))-AC302&lt;0),-1,MIN(1,IF($A302=$A301,AX301,1)-AC302+$D$3))</f>
        <v>#N/A</v>
      </c>
      <c r="AY302" t="e">
        <f>IF(OR($J302=0,COUNTIFS($A$4:$A301,"&gt;="&amp;$A302-1,$A$4:$A301,"&lt;="&amp;$A302,$B$4:$B301,$B302)&gt;0,MIN(AY$1,IF($A302=$A301,AY301,1))-AD302&lt;0),-1,MIN(1,IF($A302=$A301,AY301,1)-AD302+$D$3))</f>
        <v>#N/A</v>
      </c>
      <c r="AZ302" t="e">
        <f>IF(OR($J302=0,COUNTIFS($A$4:$A301,"&gt;="&amp;$A302-1,$A$4:$A301,"&lt;="&amp;$A302,$B$4:$B301,$B302)&gt;0,MIN(AZ$1,IF($A302=$A301,AZ301,1))-AE302&lt;0),-1,MIN(1,IF($A302=$A301,AZ301,1)-AE302+$D$3))</f>
        <v>#N/A</v>
      </c>
      <c r="BA302" t="e">
        <f>IF(OR($J302=0,COUNTIFS($A$4:$A301,"&gt;="&amp;$A302-1,$A$4:$A301,"&lt;="&amp;$A302,$B$4:$B301,$B302)&gt;0,MIN(BA$1,IF($A302=$A301,BA301,1))-AF302&lt;0),-1,MIN(1,IF($A302=$A301,BA301,1)-AF302+$D$3))</f>
        <v>#N/A</v>
      </c>
      <c r="BB302" t="e">
        <f>IF(OR($J302=0,COUNTIFS($A$4:$A301,"&gt;="&amp;$A302-1,$A$4:$A301,"&lt;="&amp;$A302,$B$4:$B301,$B302)&gt;0,MIN(BB$1,IF($A302=$A301,BB301,1))-AG302&lt;0),-1,MIN(1,IF($A302=$A301,BB301,1)-AG302+$D$3))</f>
        <v>#N/A</v>
      </c>
      <c r="BC302" t="e">
        <f>IF(OR($J302=0,COUNTIFS($A$4:$A301,"&gt;="&amp;$A302-1,$A$4:$A301,"&lt;="&amp;$A302,$B$4:$B301,$B302)&gt;0,MIN(BC$1,IF($A302=$A301,BC301,1))-AH302&lt;0),-1,MIN(1,IF($A302=$A301,BC301,1)-AH302+$D$3))</f>
        <v>#N/A</v>
      </c>
      <c r="BD302" t="e">
        <f>IF(OR($J302=0,COUNTIFS($A$4:$A301,"&gt;="&amp;$A302-1,$A$4:$A301,"&lt;="&amp;$A302,$B$4:$B301,$B302)&gt;0,MIN(BD$1,IF($A302=$A301,BD301,1))-AI302&lt;0),-1,MIN(1,IF($A302=$A301,BD301,1)-AI302+$D$3))</f>
        <v>#N/A</v>
      </c>
      <c r="BF302" s="44">
        <f t="shared" si="311"/>
        <v>4.8746144307514378E-7</v>
      </c>
      <c r="BG302" s="44">
        <f t="shared" si="312"/>
        <v>1.1988052410066684E-6</v>
      </c>
      <c r="BH302" s="44">
        <f t="shared" si="313"/>
        <v>1.2286492700703681E-6</v>
      </c>
      <c r="BI302" s="44">
        <f t="shared" si="314"/>
        <v>1.134930805474951E-6</v>
      </c>
      <c r="BJ302" s="44">
        <f t="shared" si="315"/>
        <v>1.1730587332036826E-6</v>
      </c>
      <c r="BK302" s="44">
        <f t="shared" si="316"/>
        <v>5.0375515746166357E-7</v>
      </c>
      <c r="BL302" s="44">
        <f t="shared" si="317"/>
        <v>2.7213646133555467E-7</v>
      </c>
      <c r="BM302" s="44">
        <f t="shared" si="318"/>
        <v>6.922833788926484E-7</v>
      </c>
      <c r="BN302" s="44">
        <f t="shared" si="319"/>
        <v>7.2002866741733441E-7</v>
      </c>
      <c r="BO302" s="44">
        <f t="shared" si="320"/>
        <v>3.3743275550377296E-7</v>
      </c>
      <c r="BP302" s="44">
        <f t="shared" si="321"/>
        <v>1.1346101223126894E-6</v>
      </c>
      <c r="BQ302" s="44">
        <f t="shared" si="322"/>
        <v>3.0618430447518702E-7</v>
      </c>
      <c r="BR302" s="44">
        <f t="shared" si="323"/>
        <v>9.045450813666446E-7</v>
      </c>
      <c r="BS302" s="44">
        <f t="shared" si="324"/>
        <v>4.8783316579723486E-7</v>
      </c>
      <c r="BT302" s="44">
        <f t="shared" si="325"/>
        <v>1.9305053952187286E-6</v>
      </c>
      <c r="BU302" s="44">
        <f t="shared" si="326"/>
        <v>1.8442135637097031E-6</v>
      </c>
      <c r="BV302" s="44">
        <f t="shared" si="327"/>
        <v>1.7711216921199337E-6</v>
      </c>
      <c r="BW302" s="44">
        <f t="shared" si="328"/>
        <v>1.1584110522121035E-6</v>
      </c>
      <c r="BX302" s="44">
        <f t="shared" si="329"/>
        <v>8.5581304949573348E-7</v>
      </c>
      <c r="BY302" s="44">
        <f t="shared" si="330"/>
        <v>7.3481386753308648E-7</v>
      </c>
      <c r="CA302" s="44" t="str">
        <f t="shared" si="331"/>
        <v/>
      </c>
      <c r="CB302" s="44" t="str">
        <f t="shared" si="332"/>
        <v/>
      </c>
      <c r="CC302" s="44" t="str">
        <f t="shared" si="333"/>
        <v/>
      </c>
      <c r="CD302" s="44" t="str">
        <f t="shared" si="334"/>
        <v/>
      </c>
      <c r="CE302" s="44" t="str">
        <f t="shared" si="335"/>
        <v/>
      </c>
      <c r="CF302" s="44" t="str">
        <f t="shared" si="336"/>
        <v/>
      </c>
      <c r="CG302" s="44" t="str">
        <f t="shared" si="337"/>
        <v/>
      </c>
      <c r="CH302" s="44" t="str">
        <f t="shared" si="338"/>
        <v/>
      </c>
      <c r="CI302" s="44" t="str">
        <f t="shared" si="339"/>
        <v/>
      </c>
      <c r="CJ302" s="44" t="str">
        <f t="shared" si="340"/>
        <v/>
      </c>
      <c r="CK302" s="44" t="str">
        <f t="shared" si="341"/>
        <v/>
      </c>
      <c r="CL302" s="44" t="str">
        <f t="shared" si="342"/>
        <v/>
      </c>
      <c r="CM302" s="44" t="str">
        <f t="shared" si="343"/>
        <v/>
      </c>
      <c r="CN302" s="44" t="str">
        <f t="shared" si="344"/>
        <v/>
      </c>
      <c r="CO302" s="44" t="str">
        <f t="shared" si="345"/>
        <v/>
      </c>
      <c r="CP302" s="44" t="str">
        <f t="shared" si="346"/>
        <v/>
      </c>
      <c r="CQ302" s="44" t="str">
        <f t="shared" si="347"/>
        <v/>
      </c>
      <c r="CR302" s="44" t="str">
        <f t="shared" si="348"/>
        <v/>
      </c>
      <c r="CS302" s="44" t="str">
        <f t="shared" si="349"/>
        <v/>
      </c>
      <c r="CT302" s="44" t="str">
        <f t="shared" si="350"/>
        <v/>
      </c>
      <c r="CV302" s="44">
        <f t="shared" si="351"/>
        <v>0</v>
      </c>
    </row>
    <row r="303" spans="1:100" x14ac:dyDescent="0.25">
      <c r="A303" s="41"/>
      <c r="B303" s="42"/>
      <c r="C303" s="43" t="str" cm="1">
        <f t="array" ref="C303">IF(B303="","",INDEX(UWS!$B$10:$B$41,B303))</f>
        <v/>
      </c>
      <c r="D303" s="40" t="str">
        <f t="shared" si="308"/>
        <v/>
      </c>
      <c r="E303" s="69" t="str">
        <f t="shared" si="309"/>
        <v/>
      </c>
      <c r="F303" s="48" cm="1">
        <f t="array" ref="F303">0.1+IFERROR(INDEX($F$5:$F302,SUMPRODUCT(MAX(ROW($C$5:$C302)*($C303=$C$5:$C302))-ROW($A$4)))*0.9^($A303-INDEX($A$5:A302,SUMPRODUCT(MAX(ROW($C$5:$C302)*($C303=$C$5:$C302))-ROW($A$4)))),0)</f>
        <v>23.800000000000068</v>
      </c>
      <c r="G303" s="55" t="e">
        <f>INDEX(UWS!$AB$10:$AB$41,MATCH(C303,UWS!$B$10:$B$41,0))</f>
        <v>#N/A</v>
      </c>
      <c r="H303" s="48" t="e">
        <f>INDEX(UWS!$C$10:$C$41,MATCH(C303,UWS!$B$10:$B$41,0))</f>
        <v>#N/A</v>
      </c>
      <c r="I303" s="27">
        <f t="shared" si="310"/>
        <v>5</v>
      </c>
      <c r="J303" s="27" t="e">
        <f>INDEX(UWS!$E$10:$E$41,MATCH(C303,UWS!$B$10:$B$41,0))</f>
        <v>#N/A</v>
      </c>
      <c r="L303" s="108" t="str" cm="1">
        <f t="array" ref="L303">IF(K303="","",INDEX(UWS!$B$10:$B$41,K303))</f>
        <v/>
      </c>
      <c r="N303" s="108" t="str" cm="1">
        <f t="array" ref="N303">IF(M303="","",INDEX(UWS!$B$10:$B$41,M303))</f>
        <v/>
      </c>
      <c r="P303">
        <f>IFERROR(INDEX(UWS!$G$10:$Z$41,MATCH($C303,UWS!$B$10:$B$41,0),MATCH(P$4,UWS!$G$3:$Z$3,0)),0)</f>
        <v>0</v>
      </c>
      <c r="Q303">
        <f>IFERROR(INDEX(UWS!$G$10:$Z$41,MATCH($C303,UWS!$B$10:$B$41,0),MATCH(Q$4,UWS!$G$3:$Z$3,0)),0)</f>
        <v>0</v>
      </c>
      <c r="R303">
        <f>IFERROR(INDEX(UWS!$G$10:$Z$41,MATCH($C303,UWS!$B$10:$B$41,0),MATCH(R$4,UWS!$G$3:$Z$3,0)),0)</f>
        <v>0</v>
      </c>
      <c r="S303">
        <f>IFERROR(INDEX(UWS!$G$10:$Z$41,MATCH($C303,UWS!$B$10:$B$41,0),MATCH(S$4,UWS!$G$3:$Z$3,0)),0)</f>
        <v>0</v>
      </c>
      <c r="T303">
        <f>IFERROR(INDEX(UWS!$G$10:$Z$41,MATCH($C303,UWS!$B$10:$B$41,0),MATCH(T$4,UWS!$G$3:$Z$3,0)),0)</f>
        <v>0</v>
      </c>
      <c r="U303">
        <f>IFERROR(INDEX(UWS!$G$10:$Z$41,MATCH($C303,UWS!$B$10:$B$41,0),MATCH(U$4,UWS!$G$3:$Z$3,0)),0)</f>
        <v>0</v>
      </c>
      <c r="V303">
        <f>IFERROR(INDEX(UWS!$G$10:$Z$41,MATCH($C303,UWS!$B$10:$B$41,0),MATCH(V$4,UWS!$G$3:$Z$3,0)),0)</f>
        <v>0</v>
      </c>
      <c r="W303">
        <f>IFERROR(INDEX(UWS!$G$10:$Z$41,MATCH($C303,UWS!$B$10:$B$41,0),MATCH(W$4,UWS!$G$3:$Z$3,0)),0)</f>
        <v>0</v>
      </c>
      <c r="X303">
        <f>IFERROR(INDEX(UWS!$G$10:$Z$41,MATCH($C303,UWS!$B$10:$B$41,0),MATCH(X$4,UWS!$G$3:$Z$3,0)),0)</f>
        <v>0</v>
      </c>
      <c r="Y303">
        <f>IFERROR(INDEX(UWS!$G$10:$Z$41,MATCH($C303,UWS!$B$10:$B$41,0),MATCH(Y$4,UWS!$G$3:$Z$3,0)),0)</f>
        <v>0</v>
      </c>
      <c r="Z303">
        <f>IFERROR(INDEX(UWS!$G$10:$Z$41,MATCH($C303,UWS!$B$10:$B$41,0),MATCH(Z$4,UWS!$G$3:$Z$3,0)),0)</f>
        <v>0</v>
      </c>
      <c r="AA303">
        <f>IFERROR(INDEX(UWS!$G$10:$Z$41,MATCH($C303,UWS!$B$10:$B$41,0),MATCH(AA$4,UWS!$G$3:$Z$3,0)),0)</f>
        <v>0</v>
      </c>
      <c r="AB303">
        <f>IFERROR(INDEX(UWS!$G$10:$Z$41,MATCH($C303,UWS!$B$10:$B$41,0),MATCH(AB$4,UWS!$G$3:$Z$3,0)),0)</f>
        <v>0</v>
      </c>
      <c r="AC303">
        <f>IFERROR(INDEX(UWS!$G$10:$Z$41,MATCH($C303,UWS!$B$10:$B$41,0),MATCH(AC$4,UWS!$G$3:$Z$3,0)),0)</f>
        <v>0</v>
      </c>
      <c r="AD303">
        <f>IFERROR(INDEX(UWS!$G$10:$Z$41,MATCH($C303,UWS!$B$10:$B$41,0),MATCH(AD$4,UWS!$G$3:$Z$3,0)),0)</f>
        <v>0</v>
      </c>
      <c r="AE303">
        <f>IFERROR(INDEX(UWS!$G$10:$Z$41,MATCH($C303,UWS!$B$10:$B$41,0),MATCH(AE$4,UWS!$G$3:$Z$3,0)),0)</f>
        <v>0</v>
      </c>
      <c r="AF303">
        <f>IFERROR(INDEX(UWS!$G$10:$Z$41,MATCH($C303,UWS!$B$10:$B$41,0),MATCH(AF$4,UWS!$G$3:$Z$3,0)),0)</f>
        <v>0</v>
      </c>
      <c r="AG303">
        <f>IFERROR(INDEX(UWS!$G$10:$Z$41,MATCH($C303,UWS!$B$10:$B$41,0),MATCH(AG$4,UWS!$G$3:$Z$3,0)),0)</f>
        <v>0</v>
      </c>
      <c r="AH303">
        <f>IFERROR(INDEX(UWS!$G$10:$Z$41,MATCH($C303,UWS!$B$10:$B$41,0),MATCH(AH$4,UWS!$G$3:$Z$3,0)),0)</f>
        <v>0</v>
      </c>
      <c r="AI303">
        <f>IFERROR(INDEX(UWS!$G$10:$Z$41,MATCH($C303,UWS!$B$10:$B$41,0),MATCH(AI$4,UWS!$G$3:$Z$3,0)),0)</f>
        <v>0</v>
      </c>
      <c r="AK303" t="e">
        <f>IF(OR($J303=0,COUNTIFS($A$4:$A302,"&gt;="&amp;$A303-1,$A$4:$A302,"&lt;="&amp;$A303,$B$4:$B302,$B303)&gt;0,MIN(AK$1,IF($A303=$A302,AK302,1))-P303&lt;0),-1,MIN(1,IF($A303=$A302,AK302,1)-P303+$D$3))</f>
        <v>#N/A</v>
      </c>
      <c r="AL303" t="e">
        <f>IF(OR($J303=0,COUNTIFS($A$4:$A302,"&gt;="&amp;$A303-1,$A$4:$A302,"&lt;="&amp;$A303,$B$4:$B302,$B303)&gt;0,MIN(AL$1,IF($A303=$A302,AL302,1))-Q303&lt;0),-1,MIN(1,IF($A303=$A302,AL302,1)-Q303+$D$3))</f>
        <v>#N/A</v>
      </c>
      <c r="AM303" t="e">
        <f>IF(OR($J303=0,COUNTIFS($A$4:$A302,"&gt;="&amp;$A303-1,$A$4:$A302,"&lt;="&amp;$A303,$B$4:$B302,$B303)&gt;0,MIN(AM$1,IF($A303=$A302,AM302,1))-R303&lt;0),-1,MIN(1,IF($A303=$A302,AM302,1)-R303+$D$3))</f>
        <v>#N/A</v>
      </c>
      <c r="AN303" t="e">
        <f>IF(OR($J303=0,COUNTIFS($A$4:$A302,"&gt;="&amp;$A303-1,$A$4:$A302,"&lt;="&amp;$A303,$B$4:$B302,$B303)&gt;0,MIN(AN$1,IF($A303=$A302,AN302,1))-S303&lt;0),-1,MIN(1,IF($A303=$A302,AN302,1)-S303+$D$3))</f>
        <v>#N/A</v>
      </c>
      <c r="AO303" t="e">
        <f>IF(OR($J303=0,COUNTIFS($A$4:$A302,"&gt;="&amp;$A303-1,$A$4:$A302,"&lt;="&amp;$A303,$B$4:$B302,$B303)&gt;0,MIN(AO$1,IF($A303=$A302,AO302,1))-T303&lt;0),-1,MIN(1,IF($A303=$A302,AO302,1)-T303+$D$3))</f>
        <v>#N/A</v>
      </c>
      <c r="AP303" t="e">
        <f>IF(OR($J303=0,COUNTIFS($A$4:$A302,"&gt;="&amp;$A303-1,$A$4:$A302,"&lt;="&amp;$A303,$B$4:$B302,$B303)&gt;0,MIN(AP$1,IF($A303=$A302,AP302,1))-U303&lt;0),-1,MIN(1,IF($A303=$A302,AP302,1)-U303+$D$3))</f>
        <v>#N/A</v>
      </c>
      <c r="AQ303" t="e">
        <f>IF(OR($J303=0,COUNTIFS($A$4:$A302,"&gt;="&amp;$A303-1,$A$4:$A302,"&lt;="&amp;$A303,$B$4:$B302,$B303)&gt;0,MIN(AQ$1,IF($A303=$A302,AQ302,1))-V303&lt;0),-1,MIN(1,IF($A303=$A302,AQ302,1)-V303+$D$3))</f>
        <v>#N/A</v>
      </c>
      <c r="AR303" t="e">
        <f>IF(OR($J303=0,COUNTIFS($A$4:$A302,"&gt;="&amp;$A303-1,$A$4:$A302,"&lt;="&amp;$A303,$B$4:$B302,$B303)&gt;0,MIN(AR$1,IF($A303=$A302,AR302,1))-W303&lt;0),-1,MIN(1,IF($A303=$A302,AR302,1)-W303+$D$3))</f>
        <v>#N/A</v>
      </c>
      <c r="AS303" t="e">
        <f>IF(OR($J303=0,COUNTIFS($A$4:$A302,"&gt;="&amp;$A303-1,$A$4:$A302,"&lt;="&amp;$A303,$B$4:$B302,$B303)&gt;0,MIN(AS$1,IF($A303=$A302,AS302,1))-X303&lt;0),-1,MIN(1,IF($A303=$A302,AS302,1)-X303+$D$3))</f>
        <v>#N/A</v>
      </c>
      <c r="AT303" t="e">
        <f>IF(OR($J303=0,COUNTIFS($A$4:$A302,"&gt;="&amp;$A303-1,$A$4:$A302,"&lt;="&amp;$A303,$B$4:$B302,$B303)&gt;0,MIN(AT$1,IF($A303=$A302,AT302,1))-Y303&lt;0),-1,MIN(1,IF($A303=$A302,AT302,1)-Y303+$D$3))</f>
        <v>#N/A</v>
      </c>
      <c r="AU303" t="e">
        <f>IF(OR($J303=0,COUNTIFS($A$4:$A302,"&gt;="&amp;$A303-1,$A$4:$A302,"&lt;="&amp;$A303,$B$4:$B302,$B303)&gt;0,MIN(AU$1,IF($A303=$A302,AU302,1))-Z303&lt;0),-1,MIN(1,IF($A303=$A302,AU302,1)-Z303+$D$3))</f>
        <v>#N/A</v>
      </c>
      <c r="AV303" t="e">
        <f>IF(OR($J303=0,COUNTIFS($A$4:$A302,"&gt;="&amp;$A303-1,$A$4:$A302,"&lt;="&amp;$A303,$B$4:$B302,$B303)&gt;0,MIN(AV$1,IF($A303=$A302,AV302,1))-AA303&lt;0),-1,MIN(1,IF($A303=$A302,AV302,1)-AA303+$D$3))</f>
        <v>#N/A</v>
      </c>
      <c r="AW303" t="e">
        <f>IF(OR($J303=0,COUNTIFS($A$4:$A302,"&gt;="&amp;$A303-1,$A$4:$A302,"&lt;="&amp;$A303,$B$4:$B302,$B303)&gt;0,MIN(AW$1,IF($A303=$A302,AW302,1))-AB303&lt;0),-1,MIN(1,IF($A303=$A302,AW302,1)-AB303+$D$3))</f>
        <v>#N/A</v>
      </c>
      <c r="AX303" t="e">
        <f>IF(OR($J303=0,COUNTIFS($A$4:$A302,"&gt;="&amp;$A303-1,$A$4:$A302,"&lt;="&amp;$A303,$B$4:$B302,$B303)&gt;0,MIN(AX$1,IF($A303=$A302,AX302,1))-AC303&lt;0),-1,MIN(1,IF($A303=$A302,AX302,1)-AC303+$D$3))</f>
        <v>#N/A</v>
      </c>
      <c r="AY303" t="e">
        <f>IF(OR($J303=0,COUNTIFS($A$4:$A302,"&gt;="&amp;$A303-1,$A$4:$A302,"&lt;="&amp;$A303,$B$4:$B302,$B303)&gt;0,MIN(AY$1,IF($A303=$A302,AY302,1))-AD303&lt;0),-1,MIN(1,IF($A303=$A302,AY302,1)-AD303+$D$3))</f>
        <v>#N/A</v>
      </c>
      <c r="AZ303" t="e">
        <f>IF(OR($J303=0,COUNTIFS($A$4:$A302,"&gt;="&amp;$A303-1,$A$4:$A302,"&lt;="&amp;$A303,$B$4:$B302,$B303)&gt;0,MIN(AZ$1,IF($A303=$A302,AZ302,1))-AE303&lt;0),-1,MIN(1,IF($A303=$A302,AZ302,1)-AE303+$D$3))</f>
        <v>#N/A</v>
      </c>
      <c r="BA303" t="e">
        <f>IF(OR($J303=0,COUNTIFS($A$4:$A302,"&gt;="&amp;$A303-1,$A$4:$A302,"&lt;="&amp;$A303,$B$4:$B302,$B303)&gt;0,MIN(BA$1,IF($A303=$A302,BA302,1))-AF303&lt;0),-1,MIN(1,IF($A303=$A302,BA302,1)-AF303+$D$3))</f>
        <v>#N/A</v>
      </c>
      <c r="BB303" t="e">
        <f>IF(OR($J303=0,COUNTIFS($A$4:$A302,"&gt;="&amp;$A303-1,$A$4:$A302,"&lt;="&amp;$A303,$B$4:$B302,$B303)&gt;0,MIN(BB$1,IF($A303=$A302,BB302,1))-AG303&lt;0),-1,MIN(1,IF($A303=$A302,BB302,1)-AG303+$D$3))</f>
        <v>#N/A</v>
      </c>
      <c r="BC303" t="e">
        <f>IF(OR($J303=0,COUNTIFS($A$4:$A302,"&gt;="&amp;$A303-1,$A$4:$A302,"&lt;="&amp;$A303,$B$4:$B302,$B303)&gt;0,MIN(BC$1,IF($A303=$A302,BC302,1))-AH303&lt;0),-1,MIN(1,IF($A303=$A302,BC302,1)-AH303+$D$3))</f>
        <v>#N/A</v>
      </c>
      <c r="BD303" t="e">
        <f>IF(OR($J303=0,COUNTIFS($A$4:$A302,"&gt;="&amp;$A303-1,$A$4:$A302,"&lt;="&amp;$A303,$B$4:$B302,$B303)&gt;0,MIN(BD$1,IF($A303=$A302,BD302,1))-AI303&lt;0),-1,MIN(1,IF($A303=$A302,BD302,1)-AI303+$D$3))</f>
        <v>#N/A</v>
      </c>
      <c r="BF303" s="44">
        <f t="shared" si="311"/>
        <v>4.6308837092138657E-7</v>
      </c>
      <c r="BG303" s="44">
        <f t="shared" si="312"/>
        <v>1.138864978956335E-6</v>
      </c>
      <c r="BH303" s="44">
        <f t="shared" si="313"/>
        <v>1.1672168065668497E-6</v>
      </c>
      <c r="BI303" s="44">
        <f t="shared" si="314"/>
        <v>1.0781842652012035E-6</v>
      </c>
      <c r="BJ303" s="44">
        <f t="shared" si="315"/>
        <v>1.1144057965434984E-6</v>
      </c>
      <c r="BK303" s="44">
        <f t="shared" si="316"/>
        <v>4.785673995885804E-7</v>
      </c>
      <c r="BL303" s="44">
        <f t="shared" si="317"/>
        <v>2.5852963826877693E-7</v>
      </c>
      <c r="BM303" s="44">
        <f t="shared" si="318"/>
        <v>6.5766920994801598E-7</v>
      </c>
      <c r="BN303" s="44">
        <f t="shared" si="319"/>
        <v>6.8402723404646763E-7</v>
      </c>
      <c r="BO303" s="44">
        <f t="shared" si="320"/>
        <v>3.2056111772858432E-7</v>
      </c>
      <c r="BP303" s="44">
        <f t="shared" si="321"/>
        <v>1.0778796161970549E-6</v>
      </c>
      <c r="BQ303" s="44">
        <f t="shared" si="322"/>
        <v>2.9087508925142764E-7</v>
      </c>
      <c r="BR303" s="44">
        <f t="shared" si="323"/>
        <v>8.5931782729831235E-7</v>
      </c>
      <c r="BS303" s="44">
        <f t="shared" si="324"/>
        <v>4.6344150750737309E-7</v>
      </c>
      <c r="BT303" s="44">
        <f t="shared" si="325"/>
        <v>1.833980125457792E-6</v>
      </c>
      <c r="BU303" s="44">
        <f t="shared" si="326"/>
        <v>1.7520028855242178E-6</v>
      </c>
      <c r="BV303" s="44">
        <f t="shared" si="327"/>
        <v>1.6825656075139369E-6</v>
      </c>
      <c r="BW303" s="44">
        <f t="shared" si="328"/>
        <v>1.1004904996014983E-6</v>
      </c>
      <c r="BX303" s="44">
        <f t="shared" si="329"/>
        <v>8.1302239702094672E-7</v>
      </c>
      <c r="BY303" s="44">
        <f t="shared" si="330"/>
        <v>6.9807317415643209E-7</v>
      </c>
      <c r="CA303" s="44" t="str">
        <f t="shared" si="331"/>
        <v/>
      </c>
      <c r="CB303" s="44" t="str">
        <f t="shared" si="332"/>
        <v/>
      </c>
      <c r="CC303" s="44" t="str">
        <f t="shared" si="333"/>
        <v/>
      </c>
      <c r="CD303" s="44" t="str">
        <f t="shared" si="334"/>
        <v/>
      </c>
      <c r="CE303" s="44" t="str">
        <f t="shared" si="335"/>
        <v/>
      </c>
      <c r="CF303" s="44" t="str">
        <f t="shared" si="336"/>
        <v/>
      </c>
      <c r="CG303" s="44" t="str">
        <f t="shared" si="337"/>
        <v/>
      </c>
      <c r="CH303" s="44" t="str">
        <f t="shared" si="338"/>
        <v/>
      </c>
      <c r="CI303" s="44" t="str">
        <f t="shared" si="339"/>
        <v/>
      </c>
      <c r="CJ303" s="44" t="str">
        <f t="shared" si="340"/>
        <v/>
      </c>
      <c r="CK303" s="44" t="str">
        <f t="shared" si="341"/>
        <v/>
      </c>
      <c r="CL303" s="44" t="str">
        <f t="shared" si="342"/>
        <v/>
      </c>
      <c r="CM303" s="44" t="str">
        <f t="shared" si="343"/>
        <v/>
      </c>
      <c r="CN303" s="44" t="str">
        <f t="shared" si="344"/>
        <v/>
      </c>
      <c r="CO303" s="44" t="str">
        <f t="shared" si="345"/>
        <v/>
      </c>
      <c r="CP303" s="44" t="str">
        <f t="shared" si="346"/>
        <v/>
      </c>
      <c r="CQ303" s="44" t="str">
        <f t="shared" si="347"/>
        <v/>
      </c>
      <c r="CR303" s="44" t="str">
        <f t="shared" si="348"/>
        <v/>
      </c>
      <c r="CS303" s="44" t="str">
        <f t="shared" si="349"/>
        <v/>
      </c>
      <c r="CT303" s="44" t="str">
        <f t="shared" si="350"/>
        <v/>
      </c>
      <c r="CV303" s="44">
        <f t="shared" si="351"/>
        <v>0</v>
      </c>
    </row>
    <row r="304" spans="1:100" x14ac:dyDescent="0.25">
      <c r="A304" s="41"/>
      <c r="B304" s="42"/>
      <c r="C304" s="43" t="str" cm="1">
        <f t="array" ref="C304">IF(B304="","",INDEX(UWS!$B$10:$B$41,B304))</f>
        <v/>
      </c>
      <c r="D304" s="40" t="str">
        <f t="shared" si="308"/>
        <v/>
      </c>
      <c r="E304" s="69" t="str">
        <f t="shared" si="309"/>
        <v/>
      </c>
      <c r="F304" s="48" cm="1">
        <f t="array" ref="F304">0.1+IFERROR(INDEX($F$5:$F303,SUMPRODUCT(MAX(ROW($C$5:$C303)*($C304=$C$5:$C303))-ROW($A$4)))*0.9^($A304-INDEX($A$5:A303,SUMPRODUCT(MAX(ROW($C$5:$C303)*($C304=$C$5:$C303))-ROW($A$4)))),0)</f>
        <v>23.90000000000007</v>
      </c>
      <c r="G304" s="55" t="e">
        <f>INDEX(UWS!$AB$10:$AB$41,MATCH(C304,UWS!$B$10:$B$41,0))</f>
        <v>#N/A</v>
      </c>
      <c r="H304" s="48" t="e">
        <f>INDEX(UWS!$C$10:$C$41,MATCH(C304,UWS!$B$10:$B$41,0))</f>
        <v>#N/A</v>
      </c>
      <c r="I304" s="27">
        <f t="shared" si="310"/>
        <v>5</v>
      </c>
      <c r="J304" s="27" t="e">
        <f>INDEX(UWS!$E$10:$E$41,MATCH(C304,UWS!$B$10:$B$41,0))</f>
        <v>#N/A</v>
      </c>
      <c r="L304" s="108" t="str" cm="1">
        <f t="array" ref="L304">IF(K304="","",INDEX(UWS!$B$10:$B$41,K304))</f>
        <v/>
      </c>
      <c r="N304" s="108" t="str" cm="1">
        <f t="array" ref="N304">IF(M304="","",INDEX(UWS!$B$10:$B$41,M304))</f>
        <v/>
      </c>
      <c r="P304">
        <f>IFERROR(INDEX(UWS!$G$10:$Z$41,MATCH($C304,UWS!$B$10:$B$41,0),MATCH(P$4,UWS!$G$3:$Z$3,0)),0)</f>
        <v>0</v>
      </c>
      <c r="Q304">
        <f>IFERROR(INDEX(UWS!$G$10:$Z$41,MATCH($C304,UWS!$B$10:$B$41,0),MATCH(Q$4,UWS!$G$3:$Z$3,0)),0)</f>
        <v>0</v>
      </c>
      <c r="R304">
        <f>IFERROR(INDEX(UWS!$G$10:$Z$41,MATCH($C304,UWS!$B$10:$B$41,0),MATCH(R$4,UWS!$G$3:$Z$3,0)),0)</f>
        <v>0</v>
      </c>
      <c r="S304">
        <f>IFERROR(INDEX(UWS!$G$10:$Z$41,MATCH($C304,UWS!$B$10:$B$41,0),MATCH(S$4,UWS!$G$3:$Z$3,0)),0)</f>
        <v>0</v>
      </c>
      <c r="T304">
        <f>IFERROR(INDEX(UWS!$G$10:$Z$41,MATCH($C304,UWS!$B$10:$B$41,0),MATCH(T$4,UWS!$G$3:$Z$3,0)),0)</f>
        <v>0</v>
      </c>
      <c r="U304">
        <f>IFERROR(INDEX(UWS!$G$10:$Z$41,MATCH($C304,UWS!$B$10:$B$41,0),MATCH(U$4,UWS!$G$3:$Z$3,0)),0)</f>
        <v>0</v>
      </c>
      <c r="V304">
        <f>IFERROR(INDEX(UWS!$G$10:$Z$41,MATCH($C304,UWS!$B$10:$B$41,0),MATCH(V$4,UWS!$G$3:$Z$3,0)),0)</f>
        <v>0</v>
      </c>
      <c r="W304">
        <f>IFERROR(INDEX(UWS!$G$10:$Z$41,MATCH($C304,UWS!$B$10:$B$41,0),MATCH(W$4,UWS!$G$3:$Z$3,0)),0)</f>
        <v>0</v>
      </c>
      <c r="X304">
        <f>IFERROR(INDEX(UWS!$G$10:$Z$41,MATCH($C304,UWS!$B$10:$B$41,0),MATCH(X$4,UWS!$G$3:$Z$3,0)),0)</f>
        <v>0</v>
      </c>
      <c r="Y304">
        <f>IFERROR(INDEX(UWS!$G$10:$Z$41,MATCH($C304,UWS!$B$10:$B$41,0),MATCH(Y$4,UWS!$G$3:$Z$3,0)),0)</f>
        <v>0</v>
      </c>
      <c r="Z304">
        <f>IFERROR(INDEX(UWS!$G$10:$Z$41,MATCH($C304,UWS!$B$10:$B$41,0),MATCH(Z$4,UWS!$G$3:$Z$3,0)),0)</f>
        <v>0</v>
      </c>
      <c r="AA304">
        <f>IFERROR(INDEX(UWS!$G$10:$Z$41,MATCH($C304,UWS!$B$10:$B$41,0),MATCH(AA$4,UWS!$G$3:$Z$3,0)),0)</f>
        <v>0</v>
      </c>
      <c r="AB304">
        <f>IFERROR(INDEX(UWS!$G$10:$Z$41,MATCH($C304,UWS!$B$10:$B$41,0),MATCH(AB$4,UWS!$G$3:$Z$3,0)),0)</f>
        <v>0</v>
      </c>
      <c r="AC304">
        <f>IFERROR(INDEX(UWS!$G$10:$Z$41,MATCH($C304,UWS!$B$10:$B$41,0),MATCH(AC$4,UWS!$G$3:$Z$3,0)),0)</f>
        <v>0</v>
      </c>
      <c r="AD304">
        <f>IFERROR(INDEX(UWS!$G$10:$Z$41,MATCH($C304,UWS!$B$10:$B$41,0),MATCH(AD$4,UWS!$G$3:$Z$3,0)),0)</f>
        <v>0</v>
      </c>
      <c r="AE304">
        <f>IFERROR(INDEX(UWS!$G$10:$Z$41,MATCH($C304,UWS!$B$10:$B$41,0),MATCH(AE$4,UWS!$G$3:$Z$3,0)),0)</f>
        <v>0</v>
      </c>
      <c r="AF304">
        <f>IFERROR(INDEX(UWS!$G$10:$Z$41,MATCH($C304,UWS!$B$10:$B$41,0),MATCH(AF$4,UWS!$G$3:$Z$3,0)),0)</f>
        <v>0</v>
      </c>
      <c r="AG304">
        <f>IFERROR(INDEX(UWS!$G$10:$Z$41,MATCH($C304,UWS!$B$10:$B$41,0),MATCH(AG$4,UWS!$G$3:$Z$3,0)),0)</f>
        <v>0</v>
      </c>
      <c r="AH304">
        <f>IFERROR(INDEX(UWS!$G$10:$Z$41,MATCH($C304,UWS!$B$10:$B$41,0),MATCH(AH$4,UWS!$G$3:$Z$3,0)),0)</f>
        <v>0</v>
      </c>
      <c r="AI304">
        <f>IFERROR(INDEX(UWS!$G$10:$Z$41,MATCH($C304,UWS!$B$10:$B$41,0),MATCH(AI$4,UWS!$G$3:$Z$3,0)),0)</f>
        <v>0</v>
      </c>
      <c r="AK304" t="e">
        <f>IF(OR($J304=0,COUNTIFS($A$4:$A303,"&gt;="&amp;$A304-1,$A$4:$A303,"&lt;="&amp;$A304,$B$4:$B303,$B304)&gt;0,MIN(AK$1,IF($A304=$A303,AK303,1))-P304&lt;0),-1,MIN(1,IF($A304=$A303,AK303,1)-P304+$D$3))</f>
        <v>#N/A</v>
      </c>
      <c r="AL304" t="e">
        <f>IF(OR($J304=0,COUNTIFS($A$4:$A303,"&gt;="&amp;$A304-1,$A$4:$A303,"&lt;="&amp;$A304,$B$4:$B303,$B304)&gt;0,MIN(AL$1,IF($A304=$A303,AL303,1))-Q304&lt;0),-1,MIN(1,IF($A304=$A303,AL303,1)-Q304+$D$3))</f>
        <v>#N/A</v>
      </c>
      <c r="AM304" t="e">
        <f>IF(OR($J304=0,COUNTIFS($A$4:$A303,"&gt;="&amp;$A304-1,$A$4:$A303,"&lt;="&amp;$A304,$B$4:$B303,$B304)&gt;0,MIN(AM$1,IF($A304=$A303,AM303,1))-R304&lt;0),-1,MIN(1,IF($A304=$A303,AM303,1)-R304+$D$3))</f>
        <v>#N/A</v>
      </c>
      <c r="AN304" t="e">
        <f>IF(OR($J304=0,COUNTIFS($A$4:$A303,"&gt;="&amp;$A304-1,$A$4:$A303,"&lt;="&amp;$A304,$B$4:$B303,$B304)&gt;0,MIN(AN$1,IF($A304=$A303,AN303,1))-S304&lt;0),-1,MIN(1,IF($A304=$A303,AN303,1)-S304+$D$3))</f>
        <v>#N/A</v>
      </c>
      <c r="AO304" t="e">
        <f>IF(OR($J304=0,COUNTIFS($A$4:$A303,"&gt;="&amp;$A304-1,$A$4:$A303,"&lt;="&amp;$A304,$B$4:$B303,$B304)&gt;0,MIN(AO$1,IF($A304=$A303,AO303,1))-T304&lt;0),-1,MIN(1,IF($A304=$A303,AO303,1)-T304+$D$3))</f>
        <v>#N/A</v>
      </c>
      <c r="AP304" t="e">
        <f>IF(OR($J304=0,COUNTIFS($A$4:$A303,"&gt;="&amp;$A304-1,$A$4:$A303,"&lt;="&amp;$A304,$B$4:$B303,$B304)&gt;0,MIN(AP$1,IF($A304=$A303,AP303,1))-U304&lt;0),-1,MIN(1,IF($A304=$A303,AP303,1)-U304+$D$3))</f>
        <v>#N/A</v>
      </c>
      <c r="AQ304" t="e">
        <f>IF(OR($J304=0,COUNTIFS($A$4:$A303,"&gt;="&amp;$A304-1,$A$4:$A303,"&lt;="&amp;$A304,$B$4:$B303,$B304)&gt;0,MIN(AQ$1,IF($A304=$A303,AQ303,1))-V304&lt;0),-1,MIN(1,IF($A304=$A303,AQ303,1)-V304+$D$3))</f>
        <v>#N/A</v>
      </c>
      <c r="AR304" t="e">
        <f>IF(OR($J304=0,COUNTIFS($A$4:$A303,"&gt;="&amp;$A304-1,$A$4:$A303,"&lt;="&amp;$A304,$B$4:$B303,$B304)&gt;0,MIN(AR$1,IF($A304=$A303,AR303,1))-W304&lt;0),-1,MIN(1,IF($A304=$A303,AR303,1)-W304+$D$3))</f>
        <v>#N/A</v>
      </c>
      <c r="AS304" t="e">
        <f>IF(OR($J304=0,COUNTIFS($A$4:$A303,"&gt;="&amp;$A304-1,$A$4:$A303,"&lt;="&amp;$A304,$B$4:$B303,$B304)&gt;0,MIN(AS$1,IF($A304=$A303,AS303,1))-X304&lt;0),-1,MIN(1,IF($A304=$A303,AS303,1)-X304+$D$3))</f>
        <v>#N/A</v>
      </c>
      <c r="AT304" t="e">
        <f>IF(OR($J304=0,COUNTIFS($A$4:$A303,"&gt;="&amp;$A304-1,$A$4:$A303,"&lt;="&amp;$A304,$B$4:$B303,$B304)&gt;0,MIN(AT$1,IF($A304=$A303,AT303,1))-Y304&lt;0),-1,MIN(1,IF($A304=$A303,AT303,1)-Y304+$D$3))</f>
        <v>#N/A</v>
      </c>
      <c r="AU304" t="e">
        <f>IF(OR($J304=0,COUNTIFS($A$4:$A303,"&gt;="&amp;$A304-1,$A$4:$A303,"&lt;="&amp;$A304,$B$4:$B303,$B304)&gt;0,MIN(AU$1,IF($A304=$A303,AU303,1))-Z304&lt;0),-1,MIN(1,IF($A304=$A303,AU303,1)-Z304+$D$3))</f>
        <v>#N/A</v>
      </c>
      <c r="AV304" t="e">
        <f>IF(OR($J304=0,COUNTIFS($A$4:$A303,"&gt;="&amp;$A304-1,$A$4:$A303,"&lt;="&amp;$A304,$B$4:$B303,$B304)&gt;0,MIN(AV$1,IF($A304=$A303,AV303,1))-AA304&lt;0),-1,MIN(1,IF($A304=$A303,AV303,1)-AA304+$D$3))</f>
        <v>#N/A</v>
      </c>
      <c r="AW304" t="e">
        <f>IF(OR($J304=0,COUNTIFS($A$4:$A303,"&gt;="&amp;$A304-1,$A$4:$A303,"&lt;="&amp;$A304,$B$4:$B303,$B304)&gt;0,MIN(AW$1,IF($A304=$A303,AW303,1))-AB304&lt;0),-1,MIN(1,IF($A304=$A303,AW303,1)-AB304+$D$3))</f>
        <v>#N/A</v>
      </c>
      <c r="AX304" t="e">
        <f>IF(OR($J304=0,COUNTIFS($A$4:$A303,"&gt;="&amp;$A304-1,$A$4:$A303,"&lt;="&amp;$A304,$B$4:$B303,$B304)&gt;0,MIN(AX$1,IF($A304=$A303,AX303,1))-AC304&lt;0),-1,MIN(1,IF($A304=$A303,AX303,1)-AC304+$D$3))</f>
        <v>#N/A</v>
      </c>
      <c r="AY304" t="e">
        <f>IF(OR($J304=0,COUNTIFS($A$4:$A303,"&gt;="&amp;$A304-1,$A$4:$A303,"&lt;="&amp;$A304,$B$4:$B303,$B304)&gt;0,MIN(AY$1,IF($A304=$A303,AY303,1))-AD304&lt;0),-1,MIN(1,IF($A304=$A303,AY303,1)-AD304+$D$3))</f>
        <v>#N/A</v>
      </c>
      <c r="AZ304" t="e">
        <f>IF(OR($J304=0,COUNTIFS($A$4:$A303,"&gt;="&amp;$A304-1,$A$4:$A303,"&lt;="&amp;$A304,$B$4:$B303,$B304)&gt;0,MIN(AZ$1,IF($A304=$A303,AZ303,1))-AE304&lt;0),-1,MIN(1,IF($A304=$A303,AZ303,1)-AE304+$D$3))</f>
        <v>#N/A</v>
      </c>
      <c r="BA304" t="e">
        <f>IF(OR($J304=0,COUNTIFS($A$4:$A303,"&gt;="&amp;$A304-1,$A$4:$A303,"&lt;="&amp;$A304,$B$4:$B303,$B304)&gt;0,MIN(BA$1,IF($A304=$A303,BA303,1))-AF304&lt;0),-1,MIN(1,IF($A304=$A303,BA303,1)-AF304+$D$3))</f>
        <v>#N/A</v>
      </c>
      <c r="BB304" t="e">
        <f>IF(OR($J304=0,COUNTIFS($A$4:$A303,"&gt;="&amp;$A304-1,$A$4:$A303,"&lt;="&amp;$A304,$B$4:$B303,$B304)&gt;0,MIN(BB$1,IF($A304=$A303,BB303,1))-AG304&lt;0),-1,MIN(1,IF($A304=$A303,BB303,1)-AG304+$D$3))</f>
        <v>#N/A</v>
      </c>
      <c r="BC304" t="e">
        <f>IF(OR($J304=0,COUNTIFS($A$4:$A303,"&gt;="&amp;$A304-1,$A$4:$A303,"&lt;="&amp;$A304,$B$4:$B303,$B304)&gt;0,MIN(BC$1,IF($A304=$A303,BC303,1))-AH304&lt;0),-1,MIN(1,IF($A304=$A303,BC303,1)-AH304+$D$3))</f>
        <v>#N/A</v>
      </c>
      <c r="BD304" t="e">
        <f>IF(OR($J304=0,COUNTIFS($A$4:$A303,"&gt;="&amp;$A304-1,$A$4:$A303,"&lt;="&amp;$A304,$B$4:$B303,$B304)&gt;0,MIN(BD$1,IF($A304=$A303,BD303,1))-AI304&lt;0),-1,MIN(1,IF($A304=$A303,BD303,1)-AI304+$D$3))</f>
        <v>#N/A</v>
      </c>
      <c r="BF304" s="44">
        <f t="shared" si="311"/>
        <v>4.3993395237531721E-7</v>
      </c>
      <c r="BG304" s="44">
        <f t="shared" si="312"/>
        <v>1.0819217300085182E-6</v>
      </c>
      <c r="BH304" s="44">
        <f t="shared" si="313"/>
        <v>1.1088559662385071E-6</v>
      </c>
      <c r="BI304" s="44">
        <f t="shared" si="314"/>
        <v>1.0242750519411433E-6</v>
      </c>
      <c r="BJ304" s="44">
        <f t="shared" si="315"/>
        <v>1.0586855067163233E-6</v>
      </c>
      <c r="BK304" s="44">
        <f t="shared" si="316"/>
        <v>4.5463902960915134E-7</v>
      </c>
      <c r="BL304" s="44">
        <f t="shared" si="317"/>
        <v>2.4560315635533809E-7</v>
      </c>
      <c r="BM304" s="44">
        <f t="shared" si="318"/>
        <v>6.2478574945061518E-7</v>
      </c>
      <c r="BN304" s="44">
        <f t="shared" si="319"/>
        <v>6.4982587234414424E-7</v>
      </c>
      <c r="BO304" s="44">
        <f t="shared" si="320"/>
        <v>3.0453306184215507E-7</v>
      </c>
      <c r="BP304" s="44">
        <f t="shared" si="321"/>
        <v>1.023985635387202E-6</v>
      </c>
      <c r="BQ304" s="44">
        <f t="shared" si="322"/>
        <v>2.7633133478885624E-7</v>
      </c>
      <c r="BR304" s="44">
        <f t="shared" si="323"/>
        <v>8.163519359333967E-7</v>
      </c>
      <c r="BS304" s="44">
        <f t="shared" si="324"/>
        <v>4.4026943213200444E-7</v>
      </c>
      <c r="BT304" s="44">
        <f t="shared" si="325"/>
        <v>1.7422811191849023E-6</v>
      </c>
      <c r="BU304" s="44">
        <f t="shared" si="326"/>
        <v>1.6644027412480068E-6</v>
      </c>
      <c r="BV304" s="44">
        <f t="shared" si="327"/>
        <v>1.59843732713824E-6</v>
      </c>
      <c r="BW304" s="44">
        <f t="shared" si="328"/>
        <v>1.0454659746214232E-6</v>
      </c>
      <c r="BX304" s="44">
        <f t="shared" si="329"/>
        <v>7.7237127716989935E-7</v>
      </c>
      <c r="BY304" s="44">
        <f t="shared" si="330"/>
        <v>6.6316951544861048E-7</v>
      </c>
      <c r="CA304" s="44" t="str">
        <f t="shared" si="331"/>
        <v/>
      </c>
      <c r="CB304" s="44" t="str">
        <f t="shared" si="332"/>
        <v/>
      </c>
      <c r="CC304" s="44" t="str">
        <f t="shared" si="333"/>
        <v/>
      </c>
      <c r="CD304" s="44" t="str">
        <f t="shared" si="334"/>
        <v/>
      </c>
      <c r="CE304" s="44" t="str">
        <f t="shared" si="335"/>
        <v/>
      </c>
      <c r="CF304" s="44" t="str">
        <f t="shared" si="336"/>
        <v/>
      </c>
      <c r="CG304" s="44" t="str">
        <f t="shared" si="337"/>
        <v/>
      </c>
      <c r="CH304" s="44" t="str">
        <f t="shared" si="338"/>
        <v/>
      </c>
      <c r="CI304" s="44" t="str">
        <f t="shared" si="339"/>
        <v/>
      </c>
      <c r="CJ304" s="44" t="str">
        <f t="shared" si="340"/>
        <v/>
      </c>
      <c r="CK304" s="44" t="str">
        <f t="shared" si="341"/>
        <v/>
      </c>
      <c r="CL304" s="44" t="str">
        <f t="shared" si="342"/>
        <v/>
      </c>
      <c r="CM304" s="44" t="str">
        <f t="shared" si="343"/>
        <v/>
      </c>
      <c r="CN304" s="44" t="str">
        <f t="shared" si="344"/>
        <v/>
      </c>
      <c r="CO304" s="44" t="str">
        <f t="shared" si="345"/>
        <v/>
      </c>
      <c r="CP304" s="44" t="str">
        <f t="shared" si="346"/>
        <v/>
      </c>
      <c r="CQ304" s="44" t="str">
        <f t="shared" si="347"/>
        <v/>
      </c>
      <c r="CR304" s="44" t="str">
        <f t="shared" si="348"/>
        <v/>
      </c>
      <c r="CS304" s="44" t="str">
        <f t="shared" si="349"/>
        <v/>
      </c>
      <c r="CT304" s="44" t="str">
        <f t="shared" si="350"/>
        <v/>
      </c>
      <c r="CV304" s="44">
        <f t="shared" si="351"/>
        <v>0</v>
      </c>
    </row>
    <row r="305" spans="1:100" x14ac:dyDescent="0.25">
      <c r="A305" s="49"/>
      <c r="B305" s="50"/>
      <c r="C305" s="51" t="str" cm="1">
        <f t="array" ref="C305">IF(B305="","",INDEX(UWS!$B$10:$B$41,B305))</f>
        <v/>
      </c>
      <c r="D305" s="45" t="str">
        <f t="shared" si="308"/>
        <v/>
      </c>
      <c r="E305" s="70" t="str">
        <f t="shared" si="309"/>
        <v/>
      </c>
      <c r="F305" s="52" cm="1">
        <f t="array" ref="F305">0.1+IFERROR(INDEX($F$5:$F304,SUMPRODUCT(MAX(ROW($C$5:$C304)*($C305=$C$5:$C304))-ROW($A$4)))*0.9^($A305-INDEX($A$5:A304,SUMPRODUCT(MAX(ROW($C$5:$C304)*($C305=$C$5:$C304))-ROW($A$4)))),0)</f>
        <v>24.000000000000071</v>
      </c>
      <c r="G305" s="56" t="e">
        <f>INDEX(UWS!$AB$10:$AB$41,MATCH(C305,UWS!$B$10:$B$41,0))</f>
        <v>#N/A</v>
      </c>
      <c r="H305" s="52" t="e">
        <f>INDEX(UWS!$C$10:$C$41,MATCH(C305,UWS!$B$10:$B$41,0))</f>
        <v>#N/A</v>
      </c>
      <c r="I305" s="46">
        <f t="shared" si="310"/>
        <v>5</v>
      </c>
      <c r="J305" s="46" t="e">
        <f>INDEX(UWS!$E$10:$E$41,MATCH(C305,UWS!$B$10:$B$41,0))</f>
        <v>#N/A</v>
      </c>
      <c r="K305" s="46"/>
      <c r="L305" s="109" t="str" cm="1">
        <f t="array" ref="L305">IF(K305="","",INDEX(UWS!$B$10:$B$41,K305))</f>
        <v/>
      </c>
      <c r="M305" s="46"/>
      <c r="N305" s="109" t="str" cm="1">
        <f t="array" ref="N305">IF(M305="","",INDEX(UWS!$B$10:$B$41,M305))</f>
        <v/>
      </c>
      <c r="O305" s="47"/>
      <c r="P305" s="47">
        <f>IFERROR(INDEX(UWS!$G$10:$Z$41,MATCH($C305,UWS!$B$10:$B$41,0),MATCH(P$4,UWS!$G$3:$Z$3,0)),0)</f>
        <v>0</v>
      </c>
      <c r="Q305" s="47">
        <f>IFERROR(INDEX(UWS!$G$10:$Z$41,MATCH($C305,UWS!$B$10:$B$41,0),MATCH(Q$4,UWS!$G$3:$Z$3,0)),0)</f>
        <v>0</v>
      </c>
      <c r="R305" s="47">
        <f>IFERROR(INDEX(UWS!$G$10:$Z$41,MATCH($C305,UWS!$B$10:$B$41,0),MATCH(R$4,UWS!$G$3:$Z$3,0)),0)</f>
        <v>0</v>
      </c>
      <c r="S305" s="47">
        <f>IFERROR(INDEX(UWS!$G$10:$Z$41,MATCH($C305,UWS!$B$10:$B$41,0),MATCH(S$4,UWS!$G$3:$Z$3,0)),0)</f>
        <v>0</v>
      </c>
      <c r="T305" s="47">
        <f>IFERROR(INDEX(UWS!$G$10:$Z$41,MATCH($C305,UWS!$B$10:$B$41,0),MATCH(T$4,UWS!$G$3:$Z$3,0)),0)</f>
        <v>0</v>
      </c>
      <c r="U305" s="47">
        <f>IFERROR(INDEX(UWS!$G$10:$Z$41,MATCH($C305,UWS!$B$10:$B$41,0),MATCH(U$4,UWS!$G$3:$Z$3,0)),0)</f>
        <v>0</v>
      </c>
      <c r="V305" s="47">
        <f>IFERROR(INDEX(UWS!$G$10:$Z$41,MATCH($C305,UWS!$B$10:$B$41,0),MATCH(V$4,UWS!$G$3:$Z$3,0)),0)</f>
        <v>0</v>
      </c>
      <c r="W305" s="47">
        <f>IFERROR(INDEX(UWS!$G$10:$Z$41,MATCH($C305,UWS!$B$10:$B$41,0),MATCH(W$4,UWS!$G$3:$Z$3,0)),0)</f>
        <v>0</v>
      </c>
      <c r="X305" s="47">
        <f>IFERROR(INDEX(UWS!$G$10:$Z$41,MATCH($C305,UWS!$B$10:$B$41,0),MATCH(X$4,UWS!$G$3:$Z$3,0)),0)</f>
        <v>0</v>
      </c>
      <c r="Y305" s="47">
        <f>IFERROR(INDEX(UWS!$G$10:$Z$41,MATCH($C305,UWS!$B$10:$B$41,0),MATCH(Y$4,UWS!$G$3:$Z$3,0)),0)</f>
        <v>0</v>
      </c>
      <c r="Z305" s="47">
        <f>IFERROR(INDEX(UWS!$G$10:$Z$41,MATCH($C305,UWS!$B$10:$B$41,0),MATCH(Z$4,UWS!$G$3:$Z$3,0)),0)</f>
        <v>0</v>
      </c>
      <c r="AA305" s="47">
        <f>IFERROR(INDEX(UWS!$G$10:$Z$41,MATCH($C305,UWS!$B$10:$B$41,0),MATCH(AA$4,UWS!$G$3:$Z$3,0)),0)</f>
        <v>0</v>
      </c>
      <c r="AB305" s="47">
        <f>IFERROR(INDEX(UWS!$G$10:$Z$41,MATCH($C305,UWS!$B$10:$B$41,0),MATCH(AB$4,UWS!$G$3:$Z$3,0)),0)</f>
        <v>0</v>
      </c>
      <c r="AC305" s="47">
        <f>IFERROR(INDEX(UWS!$G$10:$Z$41,MATCH($C305,UWS!$B$10:$B$41,0),MATCH(AC$4,UWS!$G$3:$Z$3,0)),0)</f>
        <v>0</v>
      </c>
      <c r="AD305" s="47">
        <f>IFERROR(INDEX(UWS!$G$10:$Z$41,MATCH($C305,UWS!$B$10:$B$41,0),MATCH(AD$4,UWS!$G$3:$Z$3,0)),0)</f>
        <v>0</v>
      </c>
      <c r="AE305" s="47">
        <f>IFERROR(INDEX(UWS!$G$10:$Z$41,MATCH($C305,UWS!$B$10:$B$41,0),MATCH(AE$4,UWS!$G$3:$Z$3,0)),0)</f>
        <v>0</v>
      </c>
      <c r="AF305" s="47">
        <f>IFERROR(INDEX(UWS!$G$10:$Z$41,MATCH($C305,UWS!$B$10:$B$41,0),MATCH(AF$4,UWS!$G$3:$Z$3,0)),0)</f>
        <v>0</v>
      </c>
      <c r="AG305" s="47">
        <f>IFERROR(INDEX(UWS!$G$10:$Z$41,MATCH($C305,UWS!$B$10:$B$41,0),MATCH(AG$4,UWS!$G$3:$Z$3,0)),0)</f>
        <v>0</v>
      </c>
      <c r="AH305" s="47">
        <f>IFERROR(INDEX(UWS!$G$10:$Z$41,MATCH($C305,UWS!$B$10:$B$41,0),MATCH(AH$4,UWS!$G$3:$Z$3,0)),0)</f>
        <v>0</v>
      </c>
      <c r="AI305" s="47">
        <f>IFERROR(INDEX(UWS!$G$10:$Z$41,MATCH($C305,UWS!$B$10:$B$41,0),MATCH(AI$4,UWS!$G$3:$Z$3,0)),0)</f>
        <v>0</v>
      </c>
      <c r="AJ305" s="47"/>
      <c r="AK305" s="47" t="e">
        <f>IF(OR($J305=0,COUNTIFS($A$4:$A304,"&gt;="&amp;$A305-1,$A$4:$A304,"&lt;="&amp;$A305,$B$4:$B304,$B305)&gt;0,MIN(AK$1,IF($A305=$A304,AK304,1))-P305&lt;0),-1,MIN(1,IF($A305=$A304,AK304,1)-P305+$D$3))</f>
        <v>#N/A</v>
      </c>
      <c r="AL305" s="47" t="e">
        <f>IF(OR($J305=0,COUNTIFS($A$4:$A304,"&gt;="&amp;$A305-1,$A$4:$A304,"&lt;="&amp;$A305,$B$4:$B304,$B305)&gt;0,MIN(AL$1,IF($A305=$A304,AL304,1))-Q305&lt;0),-1,MIN(1,IF($A305=$A304,AL304,1)-Q305+$D$3))</f>
        <v>#N/A</v>
      </c>
      <c r="AM305" s="47" t="e">
        <f>IF(OR($J305=0,COUNTIFS($A$4:$A304,"&gt;="&amp;$A305-1,$A$4:$A304,"&lt;="&amp;$A305,$B$4:$B304,$B305)&gt;0,MIN(AM$1,IF($A305=$A304,AM304,1))-R305&lt;0),-1,MIN(1,IF($A305=$A304,AM304,1)-R305+$D$3))</f>
        <v>#N/A</v>
      </c>
      <c r="AN305" s="47" t="e">
        <f>IF(OR($J305=0,COUNTIFS($A$4:$A304,"&gt;="&amp;$A305-1,$A$4:$A304,"&lt;="&amp;$A305,$B$4:$B304,$B305)&gt;0,MIN(AN$1,IF($A305=$A304,AN304,1))-S305&lt;0),-1,MIN(1,IF($A305=$A304,AN304,1)-S305+$D$3))</f>
        <v>#N/A</v>
      </c>
      <c r="AO305" s="47" t="e">
        <f>IF(OR($J305=0,COUNTIFS($A$4:$A304,"&gt;="&amp;$A305-1,$A$4:$A304,"&lt;="&amp;$A305,$B$4:$B304,$B305)&gt;0,MIN(AO$1,IF($A305=$A304,AO304,1))-T305&lt;0),-1,MIN(1,IF($A305=$A304,AO304,1)-T305+$D$3))</f>
        <v>#N/A</v>
      </c>
      <c r="AP305" s="47" t="e">
        <f>IF(OR($J305=0,COUNTIFS($A$4:$A304,"&gt;="&amp;$A305-1,$A$4:$A304,"&lt;="&amp;$A305,$B$4:$B304,$B305)&gt;0,MIN(AP$1,IF($A305=$A304,AP304,1))-U305&lt;0),-1,MIN(1,IF($A305=$A304,AP304,1)-U305+$D$3))</f>
        <v>#N/A</v>
      </c>
      <c r="AQ305" s="47" t="e">
        <f>IF(OR($J305=0,COUNTIFS($A$4:$A304,"&gt;="&amp;$A305-1,$A$4:$A304,"&lt;="&amp;$A305,$B$4:$B304,$B305)&gt;0,MIN(AQ$1,IF($A305=$A304,AQ304,1))-V305&lt;0),-1,MIN(1,IF($A305=$A304,AQ304,1)-V305+$D$3))</f>
        <v>#N/A</v>
      </c>
      <c r="AR305" s="47" t="e">
        <f>IF(OR($J305=0,COUNTIFS($A$4:$A304,"&gt;="&amp;$A305-1,$A$4:$A304,"&lt;="&amp;$A305,$B$4:$B304,$B305)&gt;0,MIN(AR$1,IF($A305=$A304,AR304,1))-W305&lt;0),-1,MIN(1,IF($A305=$A304,AR304,1)-W305+$D$3))</f>
        <v>#N/A</v>
      </c>
      <c r="AS305" s="47" t="e">
        <f>IF(OR($J305=0,COUNTIFS($A$4:$A304,"&gt;="&amp;$A305-1,$A$4:$A304,"&lt;="&amp;$A305,$B$4:$B304,$B305)&gt;0,MIN(AS$1,IF($A305=$A304,AS304,1))-X305&lt;0),-1,MIN(1,IF($A305=$A304,AS304,1)-X305+$D$3))</f>
        <v>#N/A</v>
      </c>
      <c r="AT305" s="47" t="e">
        <f>IF(OR($J305=0,COUNTIFS($A$4:$A304,"&gt;="&amp;$A305-1,$A$4:$A304,"&lt;="&amp;$A305,$B$4:$B304,$B305)&gt;0,MIN(AT$1,IF($A305=$A304,AT304,1))-Y305&lt;0),-1,MIN(1,IF($A305=$A304,AT304,1)-Y305+$D$3))</f>
        <v>#N/A</v>
      </c>
      <c r="AU305" s="47" t="e">
        <f>IF(OR($J305=0,COUNTIFS($A$4:$A304,"&gt;="&amp;$A305-1,$A$4:$A304,"&lt;="&amp;$A305,$B$4:$B304,$B305)&gt;0,MIN(AU$1,IF($A305=$A304,AU304,1))-Z305&lt;0),-1,MIN(1,IF($A305=$A304,AU304,1)-Z305+$D$3))</f>
        <v>#N/A</v>
      </c>
      <c r="AV305" s="47" t="e">
        <f>IF(OR($J305=0,COUNTIFS($A$4:$A304,"&gt;="&amp;$A305-1,$A$4:$A304,"&lt;="&amp;$A305,$B$4:$B304,$B305)&gt;0,MIN(AV$1,IF($A305=$A304,AV304,1))-AA305&lt;0),-1,MIN(1,IF($A305=$A304,AV304,1)-AA305+$D$3))</f>
        <v>#N/A</v>
      </c>
      <c r="AW305" s="47" t="e">
        <f>IF(OR($J305=0,COUNTIFS($A$4:$A304,"&gt;="&amp;$A305-1,$A$4:$A304,"&lt;="&amp;$A305,$B$4:$B304,$B305)&gt;0,MIN(AW$1,IF($A305=$A304,AW304,1))-AB305&lt;0),-1,MIN(1,IF($A305=$A304,AW304,1)-AB305+$D$3))</f>
        <v>#N/A</v>
      </c>
      <c r="AX305" s="47" t="e">
        <f>IF(OR($J305=0,COUNTIFS($A$4:$A304,"&gt;="&amp;$A305-1,$A$4:$A304,"&lt;="&amp;$A305,$B$4:$B304,$B305)&gt;0,MIN(AX$1,IF($A305=$A304,AX304,1))-AC305&lt;0),-1,MIN(1,IF($A305=$A304,AX304,1)-AC305+$D$3))</f>
        <v>#N/A</v>
      </c>
      <c r="AY305" s="47" t="e">
        <f>IF(OR($J305=0,COUNTIFS($A$4:$A304,"&gt;="&amp;$A305-1,$A$4:$A304,"&lt;="&amp;$A305,$B$4:$B304,$B305)&gt;0,MIN(AY$1,IF($A305=$A304,AY304,1))-AD305&lt;0),-1,MIN(1,IF($A305=$A304,AY304,1)-AD305+$D$3))</f>
        <v>#N/A</v>
      </c>
      <c r="AZ305" s="47" t="e">
        <f>IF(OR($J305=0,COUNTIFS($A$4:$A304,"&gt;="&amp;$A305-1,$A$4:$A304,"&lt;="&amp;$A305,$B$4:$B304,$B305)&gt;0,MIN(AZ$1,IF($A305=$A304,AZ304,1))-AE305&lt;0),-1,MIN(1,IF($A305=$A304,AZ304,1)-AE305+$D$3))</f>
        <v>#N/A</v>
      </c>
      <c r="BA305" s="47" t="e">
        <f>IF(OR($J305=0,COUNTIFS($A$4:$A304,"&gt;="&amp;$A305-1,$A$4:$A304,"&lt;="&amp;$A305,$B$4:$B304,$B305)&gt;0,MIN(BA$1,IF($A305=$A304,BA304,1))-AF305&lt;0),-1,MIN(1,IF($A305=$A304,BA304,1)-AF305+$D$3))</f>
        <v>#N/A</v>
      </c>
      <c r="BB305" s="47" t="e">
        <f>IF(OR($J305=0,COUNTIFS($A$4:$A304,"&gt;="&amp;$A305-1,$A$4:$A304,"&lt;="&amp;$A305,$B$4:$B304,$B305)&gt;0,MIN(BB$1,IF($A305=$A304,BB304,1))-AG305&lt;0),-1,MIN(1,IF($A305=$A304,BB304,1)-AG305+$D$3))</f>
        <v>#N/A</v>
      </c>
      <c r="BC305" s="47" t="e">
        <f>IF(OR($J305=0,COUNTIFS($A$4:$A304,"&gt;="&amp;$A305-1,$A$4:$A304,"&lt;="&amp;$A305,$B$4:$B304,$B305)&gt;0,MIN(BC$1,IF($A305=$A304,BC304,1))-AH305&lt;0),-1,MIN(1,IF($A305=$A304,BC304,1)-AH305+$D$3))</f>
        <v>#N/A</v>
      </c>
      <c r="BD305" s="47" t="e">
        <f>IF(OR($J305=0,COUNTIFS($A$4:$A304,"&gt;="&amp;$A305-1,$A$4:$A304,"&lt;="&amp;$A305,$B$4:$B304,$B305)&gt;0,MIN(BD$1,IF($A305=$A304,BD304,1))-AI305&lt;0),-1,MIN(1,IF($A305=$A304,BD304,1)-AI305+$D$3))</f>
        <v>#N/A</v>
      </c>
      <c r="BE305" s="47"/>
      <c r="BF305" s="53">
        <f t="shared" si="311"/>
        <v>4.1793725475655134E-7</v>
      </c>
      <c r="BG305" s="53">
        <f t="shared" si="312"/>
        <v>1.0278256435080922E-6</v>
      </c>
      <c r="BH305" s="53">
        <f t="shared" si="313"/>
        <v>1.0534131679265818E-6</v>
      </c>
      <c r="BI305" s="53">
        <f t="shared" si="314"/>
        <v>9.7306129934408612E-7</v>
      </c>
      <c r="BJ305" s="53">
        <f t="shared" si="315"/>
        <v>1.0057512313805071E-6</v>
      </c>
      <c r="BK305" s="53">
        <f t="shared" si="316"/>
        <v>4.3190707812869374E-7</v>
      </c>
      <c r="BL305" s="53">
        <f t="shared" si="317"/>
        <v>2.3332299853757118E-7</v>
      </c>
      <c r="BM305" s="53">
        <f t="shared" si="318"/>
        <v>5.9354646197808439E-7</v>
      </c>
      <c r="BN305" s="53">
        <f t="shared" si="319"/>
        <v>6.1733457872693698E-7</v>
      </c>
      <c r="BO305" s="53">
        <f t="shared" si="320"/>
        <v>2.8930640875004729E-7</v>
      </c>
      <c r="BP305" s="53">
        <f t="shared" si="321"/>
        <v>9.727863536178419E-7</v>
      </c>
      <c r="BQ305" s="53">
        <f t="shared" si="322"/>
        <v>2.6251476804941344E-7</v>
      </c>
      <c r="BR305" s="53">
        <f t="shared" si="323"/>
        <v>7.7553433913672687E-7</v>
      </c>
      <c r="BS305" s="53">
        <f t="shared" si="324"/>
        <v>4.1825596052540421E-7</v>
      </c>
      <c r="BT305" s="53">
        <f t="shared" si="325"/>
        <v>1.6551670632256571E-6</v>
      </c>
      <c r="BU305" s="53">
        <f t="shared" si="326"/>
        <v>1.5811826041856063E-6</v>
      </c>
      <c r="BV305" s="53">
        <f t="shared" si="327"/>
        <v>1.5185154607813279E-6</v>
      </c>
      <c r="BW305" s="53">
        <f t="shared" si="328"/>
        <v>9.9319267589035199E-7</v>
      </c>
      <c r="BX305" s="53">
        <f t="shared" si="329"/>
        <v>7.3375271331140431E-7</v>
      </c>
      <c r="BY305" s="53">
        <f t="shared" si="330"/>
        <v>6.3001103967617997E-7</v>
      </c>
      <c r="BZ305" s="47"/>
      <c r="CA305" s="53" t="str">
        <f t="shared" si="331"/>
        <v/>
      </c>
      <c r="CB305" s="53" t="str">
        <f t="shared" si="332"/>
        <v/>
      </c>
      <c r="CC305" s="53" t="str">
        <f t="shared" si="333"/>
        <v/>
      </c>
      <c r="CD305" s="53" t="str">
        <f t="shared" si="334"/>
        <v/>
      </c>
      <c r="CE305" s="53" t="str">
        <f t="shared" si="335"/>
        <v/>
      </c>
      <c r="CF305" s="53" t="str">
        <f t="shared" si="336"/>
        <v/>
      </c>
      <c r="CG305" s="53" t="str">
        <f t="shared" si="337"/>
        <v/>
      </c>
      <c r="CH305" s="53" t="str">
        <f t="shared" si="338"/>
        <v/>
      </c>
      <c r="CI305" s="53" t="str">
        <f t="shared" si="339"/>
        <v/>
      </c>
      <c r="CJ305" s="53" t="str">
        <f t="shared" si="340"/>
        <v/>
      </c>
      <c r="CK305" s="53" t="str">
        <f t="shared" si="341"/>
        <v/>
      </c>
      <c r="CL305" s="53" t="str">
        <f t="shared" si="342"/>
        <v/>
      </c>
      <c r="CM305" s="53" t="str">
        <f t="shared" si="343"/>
        <v/>
      </c>
      <c r="CN305" s="53" t="str">
        <f t="shared" si="344"/>
        <v/>
      </c>
      <c r="CO305" s="53" t="str">
        <f t="shared" si="345"/>
        <v/>
      </c>
      <c r="CP305" s="53" t="str">
        <f t="shared" si="346"/>
        <v/>
      </c>
      <c r="CQ305" s="53" t="str">
        <f t="shared" si="347"/>
        <v/>
      </c>
      <c r="CR305" s="53" t="str">
        <f t="shared" si="348"/>
        <v/>
      </c>
      <c r="CS305" s="53" t="str">
        <f t="shared" si="349"/>
        <v/>
      </c>
      <c r="CT305" s="53" t="str">
        <f t="shared" si="350"/>
        <v/>
      </c>
      <c r="CU305" s="47"/>
      <c r="CV305" s="53">
        <f t="shared" si="351"/>
        <v>0</v>
      </c>
    </row>
    <row r="306" spans="1:100" x14ac:dyDescent="0.25">
      <c r="A306" s="41"/>
      <c r="B306" s="42"/>
      <c r="C306" s="43" t="str" cm="1">
        <f t="array" ref="C306">IF(B306="","",INDEX(UWS!$B$10:$B$41,B306))</f>
        <v/>
      </c>
      <c r="D306" s="40" t="str">
        <f t="shared" si="308"/>
        <v/>
      </c>
      <c r="E306" s="69" t="str">
        <f t="shared" si="309"/>
        <v/>
      </c>
      <c r="F306" s="48" cm="1">
        <f t="array" ref="F306">0.1+IFERROR(INDEX($F$5:$F305,SUMPRODUCT(MAX(ROW($C$5:$C305)*($C306=$C$5:$C305))-ROW($A$4)))*0.9^($A306-INDEX($A$5:A305,SUMPRODUCT(MAX(ROW($C$5:$C305)*($C306=$C$5:$C305))-ROW($A$4)))),0)</f>
        <v>24.100000000000072</v>
      </c>
      <c r="G306" s="55" t="e">
        <f>INDEX(UWS!$AB$10:$AB$41,MATCH(C306,UWS!$B$10:$B$41,0))</f>
        <v>#N/A</v>
      </c>
      <c r="H306" s="48" t="e">
        <f>INDEX(UWS!$C$10:$C$41,MATCH(C306,UWS!$B$10:$B$41,0))</f>
        <v>#N/A</v>
      </c>
      <c r="I306" s="82">
        <f t="shared" si="310"/>
        <v>5</v>
      </c>
      <c r="J306" s="27" t="e">
        <f>INDEX(UWS!$E$10:$E$41,MATCH(C306,UWS!$B$10:$B$41,0))</f>
        <v>#N/A</v>
      </c>
      <c r="L306" s="108" t="str" cm="1">
        <f t="array" ref="L306">IF(K306="","",INDEX(UWS!$B$10:$B$41,K306))</f>
        <v/>
      </c>
      <c r="N306" s="108" t="str" cm="1">
        <f t="array" ref="N306">IF(M306="","",INDEX(UWS!$B$10:$B$41,M306))</f>
        <v/>
      </c>
      <c r="P306">
        <f>IFERROR(INDEX(UWS!$G$10:$Z$41,MATCH($C306,UWS!$B$10:$B$41,0),MATCH(P$4,UWS!$G$3:$Z$3,0)),0)</f>
        <v>0</v>
      </c>
      <c r="Q306">
        <f>IFERROR(INDEX(UWS!$G$10:$Z$41,MATCH($C306,UWS!$B$10:$B$41,0),MATCH(Q$4,UWS!$G$3:$Z$3,0)),0)</f>
        <v>0</v>
      </c>
      <c r="R306">
        <f>IFERROR(INDEX(UWS!$G$10:$Z$41,MATCH($C306,UWS!$B$10:$B$41,0),MATCH(R$4,UWS!$G$3:$Z$3,0)),0)</f>
        <v>0</v>
      </c>
      <c r="S306">
        <f>IFERROR(INDEX(UWS!$G$10:$Z$41,MATCH($C306,UWS!$B$10:$B$41,0),MATCH(S$4,UWS!$G$3:$Z$3,0)),0)</f>
        <v>0</v>
      </c>
      <c r="T306">
        <f>IFERROR(INDEX(UWS!$G$10:$Z$41,MATCH($C306,UWS!$B$10:$B$41,0),MATCH(T$4,UWS!$G$3:$Z$3,0)),0)</f>
        <v>0</v>
      </c>
      <c r="U306">
        <f>IFERROR(INDEX(UWS!$G$10:$Z$41,MATCH($C306,UWS!$B$10:$B$41,0),MATCH(U$4,UWS!$G$3:$Z$3,0)),0)</f>
        <v>0</v>
      </c>
      <c r="V306">
        <f>IFERROR(INDEX(UWS!$G$10:$Z$41,MATCH($C306,UWS!$B$10:$B$41,0),MATCH(V$4,UWS!$G$3:$Z$3,0)),0)</f>
        <v>0</v>
      </c>
      <c r="W306">
        <f>IFERROR(INDEX(UWS!$G$10:$Z$41,MATCH($C306,UWS!$B$10:$B$41,0),MATCH(W$4,UWS!$G$3:$Z$3,0)),0)</f>
        <v>0</v>
      </c>
      <c r="X306">
        <f>IFERROR(INDEX(UWS!$G$10:$Z$41,MATCH($C306,UWS!$B$10:$B$41,0),MATCH(X$4,UWS!$G$3:$Z$3,0)),0)</f>
        <v>0</v>
      </c>
      <c r="Y306">
        <f>IFERROR(INDEX(UWS!$G$10:$Z$41,MATCH($C306,UWS!$B$10:$B$41,0),MATCH(Y$4,UWS!$G$3:$Z$3,0)),0)</f>
        <v>0</v>
      </c>
      <c r="Z306">
        <f>IFERROR(INDEX(UWS!$G$10:$Z$41,MATCH($C306,UWS!$B$10:$B$41,0),MATCH(Z$4,UWS!$G$3:$Z$3,0)),0)</f>
        <v>0</v>
      </c>
      <c r="AA306">
        <f>IFERROR(INDEX(UWS!$G$10:$Z$41,MATCH($C306,UWS!$B$10:$B$41,0),MATCH(AA$4,UWS!$G$3:$Z$3,0)),0)</f>
        <v>0</v>
      </c>
      <c r="AB306">
        <f>IFERROR(INDEX(UWS!$G$10:$Z$41,MATCH($C306,UWS!$B$10:$B$41,0),MATCH(AB$4,UWS!$G$3:$Z$3,0)),0)</f>
        <v>0</v>
      </c>
      <c r="AC306">
        <f>IFERROR(INDEX(UWS!$G$10:$Z$41,MATCH($C306,UWS!$B$10:$B$41,0),MATCH(AC$4,UWS!$G$3:$Z$3,0)),0)</f>
        <v>0</v>
      </c>
      <c r="AD306">
        <f>IFERROR(INDEX(UWS!$G$10:$Z$41,MATCH($C306,UWS!$B$10:$B$41,0),MATCH(AD$4,UWS!$G$3:$Z$3,0)),0)</f>
        <v>0</v>
      </c>
      <c r="AE306">
        <f>IFERROR(INDEX(UWS!$G$10:$Z$41,MATCH($C306,UWS!$B$10:$B$41,0),MATCH(AE$4,UWS!$G$3:$Z$3,0)),0)</f>
        <v>0</v>
      </c>
      <c r="AF306">
        <f>IFERROR(INDEX(UWS!$G$10:$Z$41,MATCH($C306,UWS!$B$10:$B$41,0),MATCH(AF$4,UWS!$G$3:$Z$3,0)),0)</f>
        <v>0</v>
      </c>
      <c r="AG306">
        <f>IFERROR(INDEX(UWS!$G$10:$Z$41,MATCH($C306,UWS!$B$10:$B$41,0),MATCH(AG$4,UWS!$G$3:$Z$3,0)),0)</f>
        <v>0</v>
      </c>
      <c r="AH306">
        <f>IFERROR(INDEX(UWS!$G$10:$Z$41,MATCH($C306,UWS!$B$10:$B$41,0),MATCH(AH$4,UWS!$G$3:$Z$3,0)),0)</f>
        <v>0</v>
      </c>
      <c r="AI306">
        <f>IFERROR(INDEX(UWS!$G$10:$Z$41,MATCH($C306,UWS!$B$10:$B$41,0),MATCH(AI$4,UWS!$G$3:$Z$3,0)),0)</f>
        <v>0</v>
      </c>
      <c r="AK306" t="e">
        <f>IF(OR($J306=0,COUNTIFS($A$4:$A305,"&gt;="&amp;$A306-1,$A$4:$A305,"&lt;="&amp;$A306,$B$4:$B305,$B306)&gt;0,MIN(AK$1,IF($A306=$A305,AK305,1))-P306&lt;0),-1,MIN(1,IF($A306=$A305,AK305,1)-P306+$D$3))</f>
        <v>#N/A</v>
      </c>
      <c r="AL306" t="e">
        <f>IF(OR($J306=0,COUNTIFS($A$4:$A305,"&gt;="&amp;$A306-1,$A$4:$A305,"&lt;="&amp;$A306,$B$4:$B305,$B306)&gt;0,MIN(AL$1,IF($A306=$A305,AL305,1))-Q306&lt;0),-1,MIN(1,IF($A306=$A305,AL305,1)-Q306+$D$3))</f>
        <v>#N/A</v>
      </c>
      <c r="AM306" t="e">
        <f>IF(OR($J306=0,COUNTIFS($A$4:$A305,"&gt;="&amp;$A306-1,$A$4:$A305,"&lt;="&amp;$A306,$B$4:$B305,$B306)&gt;0,MIN(AM$1,IF($A306=$A305,AM305,1))-R306&lt;0),-1,MIN(1,IF($A306=$A305,AM305,1)-R306+$D$3))</f>
        <v>#N/A</v>
      </c>
      <c r="AN306" t="e">
        <f>IF(OR($J306=0,COUNTIFS($A$4:$A305,"&gt;="&amp;$A306-1,$A$4:$A305,"&lt;="&amp;$A306,$B$4:$B305,$B306)&gt;0,MIN(AN$1,IF($A306=$A305,AN305,1))-S306&lt;0),-1,MIN(1,IF($A306=$A305,AN305,1)-S306+$D$3))</f>
        <v>#N/A</v>
      </c>
      <c r="AO306" t="e">
        <f>IF(OR($J306=0,COUNTIFS($A$4:$A305,"&gt;="&amp;$A306-1,$A$4:$A305,"&lt;="&amp;$A306,$B$4:$B305,$B306)&gt;0,MIN(AO$1,IF($A306=$A305,AO305,1))-T306&lt;0),-1,MIN(1,IF($A306=$A305,AO305,1)-T306+$D$3))</f>
        <v>#N/A</v>
      </c>
      <c r="AP306" t="e">
        <f>IF(OR($J306=0,COUNTIFS($A$4:$A305,"&gt;="&amp;$A306-1,$A$4:$A305,"&lt;="&amp;$A306,$B$4:$B305,$B306)&gt;0,MIN(AP$1,IF($A306=$A305,AP305,1))-U306&lt;0),-1,MIN(1,IF($A306=$A305,AP305,1)-U306+$D$3))</f>
        <v>#N/A</v>
      </c>
      <c r="AQ306" t="e">
        <f>IF(OR($J306=0,COUNTIFS($A$4:$A305,"&gt;="&amp;$A306-1,$A$4:$A305,"&lt;="&amp;$A306,$B$4:$B305,$B306)&gt;0,MIN(AQ$1,IF($A306=$A305,AQ305,1))-V306&lt;0),-1,MIN(1,IF($A306=$A305,AQ305,1)-V306+$D$3))</f>
        <v>#N/A</v>
      </c>
      <c r="AR306" t="e">
        <f>IF(OR($J306=0,COUNTIFS($A$4:$A305,"&gt;="&amp;$A306-1,$A$4:$A305,"&lt;="&amp;$A306,$B$4:$B305,$B306)&gt;0,MIN(AR$1,IF($A306=$A305,AR305,1))-W306&lt;0),-1,MIN(1,IF($A306=$A305,AR305,1)-W306+$D$3))</f>
        <v>#N/A</v>
      </c>
      <c r="AS306" t="e">
        <f>IF(OR($J306=0,COUNTIFS($A$4:$A305,"&gt;="&amp;$A306-1,$A$4:$A305,"&lt;="&amp;$A306,$B$4:$B305,$B306)&gt;0,MIN(AS$1,IF($A306=$A305,AS305,1))-X306&lt;0),-1,MIN(1,IF($A306=$A305,AS305,1)-X306+$D$3))</f>
        <v>#N/A</v>
      </c>
      <c r="AT306" t="e">
        <f>IF(OR($J306=0,COUNTIFS($A$4:$A305,"&gt;="&amp;$A306-1,$A$4:$A305,"&lt;="&amp;$A306,$B$4:$B305,$B306)&gt;0,MIN(AT$1,IF($A306=$A305,AT305,1))-Y306&lt;0),-1,MIN(1,IF($A306=$A305,AT305,1)-Y306+$D$3))</f>
        <v>#N/A</v>
      </c>
      <c r="AU306" t="e">
        <f>IF(OR($J306=0,COUNTIFS($A$4:$A305,"&gt;="&amp;$A306-1,$A$4:$A305,"&lt;="&amp;$A306,$B$4:$B305,$B306)&gt;0,MIN(AU$1,IF($A306=$A305,AU305,1))-Z306&lt;0),-1,MIN(1,IF($A306=$A305,AU305,1)-Z306+$D$3))</f>
        <v>#N/A</v>
      </c>
      <c r="AV306" t="e">
        <f>IF(OR($J306=0,COUNTIFS($A$4:$A305,"&gt;="&amp;$A306-1,$A$4:$A305,"&lt;="&amp;$A306,$B$4:$B305,$B306)&gt;0,MIN(AV$1,IF($A306=$A305,AV305,1))-AA306&lt;0),-1,MIN(1,IF($A306=$A305,AV305,1)-AA306+$D$3))</f>
        <v>#N/A</v>
      </c>
      <c r="AW306" t="e">
        <f>IF(OR($J306=0,COUNTIFS($A$4:$A305,"&gt;="&amp;$A306-1,$A$4:$A305,"&lt;="&amp;$A306,$B$4:$B305,$B306)&gt;0,MIN(AW$1,IF($A306=$A305,AW305,1))-AB306&lt;0),-1,MIN(1,IF($A306=$A305,AW305,1)-AB306+$D$3))</f>
        <v>#N/A</v>
      </c>
      <c r="AX306" t="e">
        <f>IF(OR($J306=0,COUNTIFS($A$4:$A305,"&gt;="&amp;$A306-1,$A$4:$A305,"&lt;="&amp;$A306,$B$4:$B305,$B306)&gt;0,MIN(AX$1,IF($A306=$A305,AX305,1))-AC306&lt;0),-1,MIN(1,IF($A306=$A305,AX305,1)-AC306+$D$3))</f>
        <v>#N/A</v>
      </c>
      <c r="AY306" t="e">
        <f>IF(OR($J306=0,COUNTIFS($A$4:$A305,"&gt;="&amp;$A306-1,$A$4:$A305,"&lt;="&amp;$A306,$B$4:$B305,$B306)&gt;0,MIN(AY$1,IF($A306=$A305,AY305,1))-AD306&lt;0),-1,MIN(1,IF($A306=$A305,AY305,1)-AD306+$D$3))</f>
        <v>#N/A</v>
      </c>
      <c r="AZ306" t="e">
        <f>IF(OR($J306=0,COUNTIFS($A$4:$A305,"&gt;="&amp;$A306-1,$A$4:$A305,"&lt;="&amp;$A306,$B$4:$B305,$B306)&gt;0,MIN(AZ$1,IF($A306=$A305,AZ305,1))-AE306&lt;0),-1,MIN(1,IF($A306=$A305,AZ305,1)-AE306+$D$3))</f>
        <v>#N/A</v>
      </c>
      <c r="BA306" t="e">
        <f>IF(OR($J306=0,COUNTIFS($A$4:$A305,"&gt;="&amp;$A306-1,$A$4:$A305,"&lt;="&amp;$A306,$B$4:$B305,$B306)&gt;0,MIN(BA$1,IF($A306=$A305,BA305,1))-AF306&lt;0),-1,MIN(1,IF($A306=$A305,BA305,1)-AF306+$D$3))</f>
        <v>#N/A</v>
      </c>
      <c r="BB306" t="e">
        <f>IF(OR($J306=0,COUNTIFS($A$4:$A305,"&gt;="&amp;$A306-1,$A$4:$A305,"&lt;="&amp;$A306,$B$4:$B305,$B306)&gt;0,MIN(BB$1,IF($A306=$A305,BB305,1))-AG306&lt;0),-1,MIN(1,IF($A306=$A305,BB305,1)-AG306+$D$3))</f>
        <v>#N/A</v>
      </c>
      <c r="BC306" t="e">
        <f>IF(OR($J306=0,COUNTIFS($A$4:$A305,"&gt;="&amp;$A306-1,$A$4:$A305,"&lt;="&amp;$A306,$B$4:$B305,$B306)&gt;0,MIN(BC$1,IF($A306=$A305,BC305,1))-AH306&lt;0),-1,MIN(1,IF($A306=$A305,BC305,1)-AH306+$D$3))</f>
        <v>#N/A</v>
      </c>
      <c r="BD306" t="e">
        <f>IF(OR($J306=0,COUNTIFS($A$4:$A305,"&gt;="&amp;$A306-1,$A$4:$A305,"&lt;="&amp;$A306,$B$4:$B305,$B306)&gt;0,MIN(BD$1,IF($A306=$A305,BD305,1))-AI306&lt;0),-1,MIN(1,IF($A306=$A305,BD305,1)-AI306+$D$3))</f>
        <v>#N/A</v>
      </c>
      <c r="BF306" s="44">
        <f t="shared" si="311"/>
        <v>3.9704039201872378E-7</v>
      </c>
      <c r="BG306" s="44">
        <f t="shared" si="312"/>
        <v>9.7643436133268755E-7</v>
      </c>
      <c r="BH306" s="44">
        <f t="shared" si="313"/>
        <v>1.0007425095302527E-6</v>
      </c>
      <c r="BI306" s="44">
        <f t="shared" si="314"/>
        <v>9.2440823437688181E-7</v>
      </c>
      <c r="BJ306" s="44">
        <f t="shared" si="315"/>
        <v>9.5546366981148173E-7</v>
      </c>
      <c r="BK306" s="44">
        <f t="shared" si="316"/>
        <v>4.1031172422225904E-7</v>
      </c>
      <c r="BL306" s="44">
        <f t="shared" si="317"/>
        <v>2.2165684861069261E-7</v>
      </c>
      <c r="BM306" s="44">
        <f t="shared" si="318"/>
        <v>5.6386913887918015E-7</v>
      </c>
      <c r="BN306" s="44">
        <f t="shared" si="319"/>
        <v>5.8646784979059013E-7</v>
      </c>
      <c r="BO306" s="44">
        <f t="shared" si="320"/>
        <v>2.7484108831254491E-7</v>
      </c>
      <c r="BP306" s="44">
        <f t="shared" si="321"/>
        <v>9.2414703593694975E-7</v>
      </c>
      <c r="BQ306" s="44">
        <f t="shared" si="322"/>
        <v>2.4938902964694276E-7</v>
      </c>
      <c r="BR306" s="44">
        <f t="shared" si="323"/>
        <v>7.3675762217989052E-7</v>
      </c>
      <c r="BS306" s="44">
        <f t="shared" si="324"/>
        <v>3.9734316249913398E-7</v>
      </c>
      <c r="BT306" s="44">
        <f t="shared" si="325"/>
        <v>1.5724087100643741E-6</v>
      </c>
      <c r="BU306" s="44">
        <f t="shared" si="326"/>
        <v>1.5021234739763259E-6</v>
      </c>
      <c r="BV306" s="44">
        <f t="shared" si="327"/>
        <v>1.4425896877422615E-6</v>
      </c>
      <c r="BW306" s="44">
        <f t="shared" si="328"/>
        <v>9.4353304209583432E-7</v>
      </c>
      <c r="BX306" s="44">
        <f t="shared" si="329"/>
        <v>6.9706507764583405E-7</v>
      </c>
      <c r="BY306" s="44">
        <f t="shared" si="330"/>
        <v>5.9851048769237097E-7</v>
      </c>
      <c r="CA306" s="44" t="str">
        <f t="shared" si="331"/>
        <v/>
      </c>
      <c r="CB306" s="44" t="str">
        <f t="shared" si="332"/>
        <v/>
      </c>
      <c r="CC306" s="44" t="str">
        <f t="shared" si="333"/>
        <v/>
      </c>
      <c r="CD306" s="44" t="str">
        <f t="shared" si="334"/>
        <v/>
      </c>
      <c r="CE306" s="44" t="str">
        <f t="shared" si="335"/>
        <v/>
      </c>
      <c r="CF306" s="44" t="str">
        <f t="shared" si="336"/>
        <v/>
      </c>
      <c r="CG306" s="44" t="str">
        <f t="shared" si="337"/>
        <v/>
      </c>
      <c r="CH306" s="44" t="str">
        <f t="shared" si="338"/>
        <v/>
      </c>
      <c r="CI306" s="44" t="str">
        <f t="shared" si="339"/>
        <v/>
      </c>
      <c r="CJ306" s="44" t="str">
        <f t="shared" si="340"/>
        <v/>
      </c>
      <c r="CK306" s="44" t="str">
        <f t="shared" si="341"/>
        <v/>
      </c>
      <c r="CL306" s="44" t="str">
        <f t="shared" si="342"/>
        <v/>
      </c>
      <c r="CM306" s="44" t="str">
        <f t="shared" si="343"/>
        <v/>
      </c>
      <c r="CN306" s="44" t="str">
        <f t="shared" si="344"/>
        <v/>
      </c>
      <c r="CO306" s="44" t="str">
        <f t="shared" si="345"/>
        <v/>
      </c>
      <c r="CP306" s="44" t="str">
        <f t="shared" si="346"/>
        <v/>
      </c>
      <c r="CQ306" s="44" t="str">
        <f t="shared" si="347"/>
        <v/>
      </c>
      <c r="CR306" s="44" t="str">
        <f t="shared" si="348"/>
        <v/>
      </c>
      <c r="CS306" s="44" t="str">
        <f t="shared" si="349"/>
        <v/>
      </c>
      <c r="CT306" s="44" t="str">
        <f t="shared" si="350"/>
        <v/>
      </c>
      <c r="CV306" s="44">
        <f t="shared" si="351"/>
        <v>0</v>
      </c>
    </row>
    <row r="307" spans="1:100" x14ac:dyDescent="0.25">
      <c r="A307" s="41"/>
      <c r="B307" s="42"/>
      <c r="C307" s="43" t="str" cm="1">
        <f t="array" ref="C307">IF(B307="","",INDEX(UWS!$B$10:$B$41,B307))</f>
        <v/>
      </c>
      <c r="D307" s="40" t="str">
        <f t="shared" ref="D307:D370" si="352">IF(C307="","",MIN(AK307:BD307))</f>
        <v/>
      </c>
      <c r="E307" s="69" t="str">
        <f t="shared" ref="E307:E370" si="353">IF(C307="","",IFERROR((H307/$H$2)^$H$1*(CV307/$CV306)^$CV$1*(F307/$F$2)^$F$1*(G307/$G$2)^IF(B307&lt;=5,0,($G$1-$G$3*(I307-1))),0))</f>
        <v/>
      </c>
      <c r="F307" s="48" cm="1">
        <f t="array" ref="F307">0.1+IFERROR(INDEX($F$5:$F306,SUMPRODUCT(MAX(ROW($C$5:$C306)*($C307=$C$5:$C306))-ROW($A$4)))*0.9^($A307-INDEX($A$5:A306,SUMPRODUCT(MAX(ROW($C$5:$C306)*($C307=$C$5:$C306))-ROW($A$4)))),0)</f>
        <v>24.200000000000074</v>
      </c>
      <c r="G307" s="55" t="e">
        <f>INDEX(UWS!$AB$10:$AB$41,MATCH(C307,UWS!$B$10:$B$41,0))</f>
        <v>#N/A</v>
      </c>
      <c r="H307" s="48" t="e">
        <f>INDEX(UWS!$C$10:$C$41,MATCH(C307,UWS!$B$10:$B$41,0))</f>
        <v>#N/A</v>
      </c>
      <c r="I307" s="27">
        <f t="shared" ref="I307:I370" si="354">IF(A307&gt;A306,1,IF(A307&gt;A305,2,IF(A307&gt;A304,3,IF(A307&gt;A303,4,5))))</f>
        <v>5</v>
      </c>
      <c r="J307" s="27" t="e">
        <f>INDEX(UWS!$E$10:$E$41,MATCH(C307,UWS!$B$10:$B$41,0))</f>
        <v>#N/A</v>
      </c>
      <c r="L307" s="108" t="str" cm="1">
        <f t="array" ref="L307">IF(K307="","",INDEX(UWS!$B$10:$B$41,K307))</f>
        <v/>
      </c>
      <c r="N307" s="108" t="str" cm="1">
        <f t="array" ref="N307">IF(M307="","",INDEX(UWS!$B$10:$B$41,M307))</f>
        <v/>
      </c>
      <c r="P307">
        <f>IFERROR(INDEX(UWS!$G$10:$Z$41,MATCH($C307,UWS!$B$10:$B$41,0),MATCH(P$4,UWS!$G$3:$Z$3,0)),0)</f>
        <v>0</v>
      </c>
      <c r="Q307">
        <f>IFERROR(INDEX(UWS!$G$10:$Z$41,MATCH($C307,UWS!$B$10:$B$41,0),MATCH(Q$4,UWS!$G$3:$Z$3,0)),0)</f>
        <v>0</v>
      </c>
      <c r="R307">
        <f>IFERROR(INDEX(UWS!$G$10:$Z$41,MATCH($C307,UWS!$B$10:$B$41,0),MATCH(R$4,UWS!$G$3:$Z$3,0)),0)</f>
        <v>0</v>
      </c>
      <c r="S307">
        <f>IFERROR(INDEX(UWS!$G$10:$Z$41,MATCH($C307,UWS!$B$10:$B$41,0),MATCH(S$4,UWS!$G$3:$Z$3,0)),0)</f>
        <v>0</v>
      </c>
      <c r="T307">
        <f>IFERROR(INDEX(UWS!$G$10:$Z$41,MATCH($C307,UWS!$B$10:$B$41,0),MATCH(T$4,UWS!$G$3:$Z$3,0)),0)</f>
        <v>0</v>
      </c>
      <c r="U307">
        <f>IFERROR(INDEX(UWS!$G$10:$Z$41,MATCH($C307,UWS!$B$10:$B$41,0),MATCH(U$4,UWS!$G$3:$Z$3,0)),0)</f>
        <v>0</v>
      </c>
      <c r="V307">
        <f>IFERROR(INDEX(UWS!$G$10:$Z$41,MATCH($C307,UWS!$B$10:$B$41,0),MATCH(V$4,UWS!$G$3:$Z$3,0)),0)</f>
        <v>0</v>
      </c>
      <c r="W307">
        <f>IFERROR(INDEX(UWS!$G$10:$Z$41,MATCH($C307,UWS!$B$10:$B$41,0),MATCH(W$4,UWS!$G$3:$Z$3,0)),0)</f>
        <v>0</v>
      </c>
      <c r="X307">
        <f>IFERROR(INDEX(UWS!$G$10:$Z$41,MATCH($C307,UWS!$B$10:$B$41,0),MATCH(X$4,UWS!$G$3:$Z$3,0)),0)</f>
        <v>0</v>
      </c>
      <c r="Y307">
        <f>IFERROR(INDEX(UWS!$G$10:$Z$41,MATCH($C307,UWS!$B$10:$B$41,0),MATCH(Y$4,UWS!$G$3:$Z$3,0)),0)</f>
        <v>0</v>
      </c>
      <c r="Z307">
        <f>IFERROR(INDEX(UWS!$G$10:$Z$41,MATCH($C307,UWS!$B$10:$B$41,0),MATCH(Z$4,UWS!$G$3:$Z$3,0)),0)</f>
        <v>0</v>
      </c>
      <c r="AA307">
        <f>IFERROR(INDEX(UWS!$G$10:$Z$41,MATCH($C307,UWS!$B$10:$B$41,0),MATCH(AA$4,UWS!$G$3:$Z$3,0)),0)</f>
        <v>0</v>
      </c>
      <c r="AB307">
        <f>IFERROR(INDEX(UWS!$G$10:$Z$41,MATCH($C307,UWS!$B$10:$B$41,0),MATCH(AB$4,UWS!$G$3:$Z$3,0)),0)</f>
        <v>0</v>
      </c>
      <c r="AC307">
        <f>IFERROR(INDEX(UWS!$G$10:$Z$41,MATCH($C307,UWS!$B$10:$B$41,0),MATCH(AC$4,UWS!$G$3:$Z$3,0)),0)</f>
        <v>0</v>
      </c>
      <c r="AD307">
        <f>IFERROR(INDEX(UWS!$G$10:$Z$41,MATCH($C307,UWS!$B$10:$B$41,0),MATCH(AD$4,UWS!$G$3:$Z$3,0)),0)</f>
        <v>0</v>
      </c>
      <c r="AE307">
        <f>IFERROR(INDEX(UWS!$G$10:$Z$41,MATCH($C307,UWS!$B$10:$B$41,0),MATCH(AE$4,UWS!$G$3:$Z$3,0)),0)</f>
        <v>0</v>
      </c>
      <c r="AF307">
        <f>IFERROR(INDEX(UWS!$G$10:$Z$41,MATCH($C307,UWS!$B$10:$B$41,0),MATCH(AF$4,UWS!$G$3:$Z$3,0)),0)</f>
        <v>0</v>
      </c>
      <c r="AG307">
        <f>IFERROR(INDEX(UWS!$G$10:$Z$41,MATCH($C307,UWS!$B$10:$B$41,0),MATCH(AG$4,UWS!$G$3:$Z$3,0)),0)</f>
        <v>0</v>
      </c>
      <c r="AH307">
        <f>IFERROR(INDEX(UWS!$G$10:$Z$41,MATCH($C307,UWS!$B$10:$B$41,0),MATCH(AH$4,UWS!$G$3:$Z$3,0)),0)</f>
        <v>0</v>
      </c>
      <c r="AI307">
        <f>IFERROR(INDEX(UWS!$G$10:$Z$41,MATCH($C307,UWS!$B$10:$B$41,0),MATCH(AI$4,UWS!$G$3:$Z$3,0)),0)</f>
        <v>0</v>
      </c>
      <c r="AK307" t="e">
        <f>IF(OR($J307=0,COUNTIFS($A$4:$A306,"&gt;="&amp;$A307-1,$A$4:$A306,"&lt;="&amp;$A307,$B$4:$B306,$B307)&gt;0,MIN(AK$1,IF($A307=$A306,AK306,1))-P307&lt;0),-1,MIN(1,IF($A307=$A306,AK306,1)-P307+$D$3))</f>
        <v>#N/A</v>
      </c>
      <c r="AL307" t="e">
        <f>IF(OR($J307=0,COUNTIFS($A$4:$A306,"&gt;="&amp;$A307-1,$A$4:$A306,"&lt;="&amp;$A307,$B$4:$B306,$B307)&gt;0,MIN(AL$1,IF($A307=$A306,AL306,1))-Q307&lt;0),-1,MIN(1,IF($A307=$A306,AL306,1)-Q307+$D$3))</f>
        <v>#N/A</v>
      </c>
      <c r="AM307" t="e">
        <f>IF(OR($J307=0,COUNTIFS($A$4:$A306,"&gt;="&amp;$A307-1,$A$4:$A306,"&lt;="&amp;$A307,$B$4:$B306,$B307)&gt;0,MIN(AM$1,IF($A307=$A306,AM306,1))-R307&lt;0),-1,MIN(1,IF($A307=$A306,AM306,1)-R307+$D$3))</f>
        <v>#N/A</v>
      </c>
      <c r="AN307" t="e">
        <f>IF(OR($J307=0,COUNTIFS($A$4:$A306,"&gt;="&amp;$A307-1,$A$4:$A306,"&lt;="&amp;$A307,$B$4:$B306,$B307)&gt;0,MIN(AN$1,IF($A307=$A306,AN306,1))-S307&lt;0),-1,MIN(1,IF($A307=$A306,AN306,1)-S307+$D$3))</f>
        <v>#N/A</v>
      </c>
      <c r="AO307" t="e">
        <f>IF(OR($J307=0,COUNTIFS($A$4:$A306,"&gt;="&amp;$A307-1,$A$4:$A306,"&lt;="&amp;$A307,$B$4:$B306,$B307)&gt;0,MIN(AO$1,IF($A307=$A306,AO306,1))-T307&lt;0),-1,MIN(1,IF($A307=$A306,AO306,1)-T307+$D$3))</f>
        <v>#N/A</v>
      </c>
      <c r="AP307" t="e">
        <f>IF(OR($J307=0,COUNTIFS($A$4:$A306,"&gt;="&amp;$A307-1,$A$4:$A306,"&lt;="&amp;$A307,$B$4:$B306,$B307)&gt;0,MIN(AP$1,IF($A307=$A306,AP306,1))-U307&lt;0),-1,MIN(1,IF($A307=$A306,AP306,1)-U307+$D$3))</f>
        <v>#N/A</v>
      </c>
      <c r="AQ307" t="e">
        <f>IF(OR($J307=0,COUNTIFS($A$4:$A306,"&gt;="&amp;$A307-1,$A$4:$A306,"&lt;="&amp;$A307,$B$4:$B306,$B307)&gt;0,MIN(AQ$1,IF($A307=$A306,AQ306,1))-V307&lt;0),-1,MIN(1,IF($A307=$A306,AQ306,1)-V307+$D$3))</f>
        <v>#N/A</v>
      </c>
      <c r="AR307" t="e">
        <f>IF(OR($J307=0,COUNTIFS($A$4:$A306,"&gt;="&amp;$A307-1,$A$4:$A306,"&lt;="&amp;$A307,$B$4:$B306,$B307)&gt;0,MIN(AR$1,IF($A307=$A306,AR306,1))-W307&lt;0),-1,MIN(1,IF($A307=$A306,AR306,1)-W307+$D$3))</f>
        <v>#N/A</v>
      </c>
      <c r="AS307" t="e">
        <f>IF(OR($J307=0,COUNTIFS($A$4:$A306,"&gt;="&amp;$A307-1,$A$4:$A306,"&lt;="&amp;$A307,$B$4:$B306,$B307)&gt;0,MIN(AS$1,IF($A307=$A306,AS306,1))-X307&lt;0),-1,MIN(1,IF($A307=$A306,AS306,1)-X307+$D$3))</f>
        <v>#N/A</v>
      </c>
      <c r="AT307" t="e">
        <f>IF(OR($J307=0,COUNTIFS($A$4:$A306,"&gt;="&amp;$A307-1,$A$4:$A306,"&lt;="&amp;$A307,$B$4:$B306,$B307)&gt;0,MIN(AT$1,IF($A307=$A306,AT306,1))-Y307&lt;0),-1,MIN(1,IF($A307=$A306,AT306,1)-Y307+$D$3))</f>
        <v>#N/A</v>
      </c>
      <c r="AU307" t="e">
        <f>IF(OR($J307=0,COUNTIFS($A$4:$A306,"&gt;="&amp;$A307-1,$A$4:$A306,"&lt;="&amp;$A307,$B$4:$B306,$B307)&gt;0,MIN(AU$1,IF($A307=$A306,AU306,1))-Z307&lt;0),-1,MIN(1,IF($A307=$A306,AU306,1)-Z307+$D$3))</f>
        <v>#N/A</v>
      </c>
      <c r="AV307" t="e">
        <f>IF(OR($J307=0,COUNTIFS($A$4:$A306,"&gt;="&amp;$A307-1,$A$4:$A306,"&lt;="&amp;$A307,$B$4:$B306,$B307)&gt;0,MIN(AV$1,IF($A307=$A306,AV306,1))-AA307&lt;0),-1,MIN(1,IF($A307=$A306,AV306,1)-AA307+$D$3))</f>
        <v>#N/A</v>
      </c>
      <c r="AW307" t="e">
        <f>IF(OR($J307=0,COUNTIFS($A$4:$A306,"&gt;="&amp;$A307-1,$A$4:$A306,"&lt;="&amp;$A307,$B$4:$B306,$B307)&gt;0,MIN(AW$1,IF($A307=$A306,AW306,1))-AB307&lt;0),-1,MIN(1,IF($A307=$A306,AW306,1)-AB307+$D$3))</f>
        <v>#N/A</v>
      </c>
      <c r="AX307" t="e">
        <f>IF(OR($J307=0,COUNTIFS($A$4:$A306,"&gt;="&amp;$A307-1,$A$4:$A306,"&lt;="&amp;$A307,$B$4:$B306,$B307)&gt;0,MIN(AX$1,IF($A307=$A306,AX306,1))-AC307&lt;0),-1,MIN(1,IF($A307=$A306,AX306,1)-AC307+$D$3))</f>
        <v>#N/A</v>
      </c>
      <c r="AY307" t="e">
        <f>IF(OR($J307=0,COUNTIFS($A$4:$A306,"&gt;="&amp;$A307-1,$A$4:$A306,"&lt;="&amp;$A307,$B$4:$B306,$B307)&gt;0,MIN(AY$1,IF($A307=$A306,AY306,1))-AD307&lt;0),-1,MIN(1,IF($A307=$A306,AY306,1)-AD307+$D$3))</f>
        <v>#N/A</v>
      </c>
      <c r="AZ307" t="e">
        <f>IF(OR($J307=0,COUNTIFS($A$4:$A306,"&gt;="&amp;$A307-1,$A$4:$A306,"&lt;="&amp;$A307,$B$4:$B306,$B307)&gt;0,MIN(AZ$1,IF($A307=$A306,AZ306,1))-AE307&lt;0),-1,MIN(1,IF($A307=$A306,AZ306,1)-AE307+$D$3))</f>
        <v>#N/A</v>
      </c>
      <c r="BA307" t="e">
        <f>IF(OR($J307=0,COUNTIFS($A$4:$A306,"&gt;="&amp;$A307-1,$A$4:$A306,"&lt;="&amp;$A307,$B$4:$B306,$B307)&gt;0,MIN(BA$1,IF($A307=$A306,BA306,1))-AF307&lt;0),-1,MIN(1,IF($A307=$A306,BA306,1)-AF307+$D$3))</f>
        <v>#N/A</v>
      </c>
      <c r="BB307" t="e">
        <f>IF(OR($J307=0,COUNTIFS($A$4:$A306,"&gt;="&amp;$A307-1,$A$4:$A306,"&lt;="&amp;$A307,$B$4:$B306,$B307)&gt;0,MIN(BB$1,IF($A307=$A306,BB306,1))-AG307&lt;0),-1,MIN(1,IF($A307=$A306,BB306,1)-AG307+$D$3))</f>
        <v>#N/A</v>
      </c>
      <c r="BC307" t="e">
        <f>IF(OR($J307=0,COUNTIFS($A$4:$A306,"&gt;="&amp;$A307-1,$A$4:$A306,"&lt;="&amp;$A307,$B$4:$B306,$B307)&gt;0,MIN(BC$1,IF($A307=$A306,BC306,1))-AH307&lt;0),-1,MIN(1,IF($A307=$A306,BC306,1)-AH307+$D$3))</f>
        <v>#N/A</v>
      </c>
      <c r="BD307" t="e">
        <f>IF(OR($J307=0,COUNTIFS($A$4:$A306,"&gt;="&amp;$A307-1,$A$4:$A306,"&lt;="&amp;$A307,$B$4:$B306,$B307)&gt;0,MIN(BD$1,IF($A307=$A306,BD306,1))-AI307&lt;0),-1,MIN(1,IF($A307=$A306,BD306,1)-AI307+$D$3))</f>
        <v>#N/A</v>
      </c>
      <c r="BF307" s="44">
        <f t="shared" ref="BF307:BF370" si="355">$AN$2*P307+(1-$AN$2)*BF306</f>
        <v>3.7718837241778759E-7</v>
      </c>
      <c r="BG307" s="44">
        <f t="shared" ref="BG307:BG370" si="356">$AN$2*Q307+(1-$AN$2)*BG306</f>
        <v>9.2761264326605309E-7</v>
      </c>
      <c r="BH307" s="44">
        <f t="shared" ref="BH307:BH370" si="357">$AN$2*R307+(1-$AN$2)*BH306</f>
        <v>9.5070538405374001E-7</v>
      </c>
      <c r="BI307" s="44">
        <f t="shared" ref="BI307:BI370" si="358">$AN$2*S307+(1-$AN$2)*BI306</f>
        <v>8.7818782265803765E-7</v>
      </c>
      <c r="BJ307" s="44">
        <f t="shared" ref="BJ307:BJ370" si="359">$AN$2*T307+(1-$AN$2)*BJ306</f>
        <v>9.0769048632090755E-7</v>
      </c>
      <c r="BK307" s="44">
        <f t="shared" ref="BK307:BK370" si="360">$AN$2*U307+(1-$AN$2)*BK306</f>
        <v>3.8979613801114608E-7</v>
      </c>
      <c r="BL307" s="44">
        <f t="shared" ref="BL307:BL370" si="361">$AN$2*V307+(1-$AN$2)*BL306</f>
        <v>2.1057400618015796E-7</v>
      </c>
      <c r="BM307" s="44">
        <f t="shared" ref="BM307:BM370" si="362">$AN$2*W307+(1-$AN$2)*BM306</f>
        <v>5.3567568193522114E-7</v>
      </c>
      <c r="BN307" s="44">
        <f t="shared" ref="BN307:BN370" si="363">$AN$2*X307+(1-$AN$2)*BN306</f>
        <v>5.5714445730106065E-7</v>
      </c>
      <c r="BO307" s="44">
        <f t="shared" ref="BO307:BO370" si="364">$AN$2*Y307+(1-$AN$2)*BO306</f>
        <v>2.6109903389691764E-7</v>
      </c>
      <c r="BP307" s="44">
        <f t="shared" ref="BP307:BP370" si="365">$AN$2*Z307+(1-$AN$2)*BP306</f>
        <v>8.7793968414010227E-7</v>
      </c>
      <c r="BQ307" s="44">
        <f t="shared" ref="BQ307:BQ370" si="366">$AN$2*AA307+(1-$AN$2)*BQ306</f>
        <v>2.3691957816459561E-7</v>
      </c>
      <c r="BR307" s="44">
        <f t="shared" ref="BR307:BR370" si="367">$AN$2*AB307+(1-$AN$2)*BR306</f>
        <v>6.9991974107089591E-7</v>
      </c>
      <c r="BS307" s="44">
        <f t="shared" ref="BS307:BS370" si="368">$AN$2*AC307+(1-$AN$2)*BS306</f>
        <v>3.7747600437417725E-7</v>
      </c>
      <c r="BT307" s="44">
        <f t="shared" ref="BT307:BT370" si="369">$AN$2*AD307+(1-$AN$2)*BT306</f>
        <v>1.4937882745611553E-6</v>
      </c>
      <c r="BU307" s="44">
        <f t="shared" ref="BU307:BU370" si="370">$AN$2*AE307+(1-$AN$2)*BU306</f>
        <v>1.4270173002775095E-6</v>
      </c>
      <c r="BV307" s="44">
        <f t="shared" ref="BV307:BV370" si="371">$AN$2*AF307+(1-$AN$2)*BV306</f>
        <v>1.3704602033551484E-6</v>
      </c>
      <c r="BW307" s="44">
        <f t="shared" ref="BW307:BW370" si="372">$AN$2*AG307+(1-$AN$2)*BW306</f>
        <v>8.9635638999104252E-7</v>
      </c>
      <c r="BX307" s="44">
        <f t="shared" ref="BX307:BX370" si="373">$AN$2*AH307+(1-$AN$2)*BX306</f>
        <v>6.6221182376354228E-7</v>
      </c>
      <c r="BY307" s="44">
        <f t="shared" ref="BY307:BY370" si="374">$AN$2*AI307+(1-$AN$2)*BY306</f>
        <v>5.685849633077524E-7</v>
      </c>
      <c r="CA307" s="44" t="str">
        <f t="shared" ref="CA307:CA370" si="375">IF($A307="","",BF307/SUM($BF307:$BY307)/CA$2-1)</f>
        <v/>
      </c>
      <c r="CB307" s="44" t="str">
        <f t="shared" ref="CB307:CB370" si="376">IF($A307="","",BG307/SUM($BF307:$BY307)/CB$2-1)</f>
        <v/>
      </c>
      <c r="CC307" s="44" t="str">
        <f t="shared" ref="CC307:CC370" si="377">IF($A307="","",BH307/SUM($BF307:$BY307)/CC$2-1)</f>
        <v/>
      </c>
      <c r="CD307" s="44" t="str">
        <f t="shared" ref="CD307:CD370" si="378">IF($A307="","",BI307/SUM($BF307:$BY307)/CD$2-1)</f>
        <v/>
      </c>
      <c r="CE307" s="44" t="str">
        <f t="shared" ref="CE307:CE370" si="379">IF($A307="","",BJ307/SUM($BF307:$BY307)/CE$2-1)</f>
        <v/>
      </c>
      <c r="CF307" s="44" t="str">
        <f t="shared" ref="CF307:CF370" si="380">IF($A307="","",BK307/SUM($BF307:$BY307)/CF$2-1)</f>
        <v/>
      </c>
      <c r="CG307" s="44" t="str">
        <f t="shared" ref="CG307:CG370" si="381">IF($A307="","",BL307/SUM($BF307:$BY307)/CG$2-1)</f>
        <v/>
      </c>
      <c r="CH307" s="44" t="str">
        <f t="shared" ref="CH307:CH370" si="382">IF($A307="","",BM307/SUM($BF307:$BY307)/CH$2-1)</f>
        <v/>
      </c>
      <c r="CI307" s="44" t="str">
        <f t="shared" ref="CI307:CI370" si="383">IF($A307="","",BN307/SUM($BF307:$BY307)/CI$2-1)</f>
        <v/>
      </c>
      <c r="CJ307" s="44" t="str">
        <f t="shared" ref="CJ307:CJ370" si="384">IF($A307="","",BO307/SUM($BF307:$BY307)/CJ$2-1)</f>
        <v/>
      </c>
      <c r="CK307" s="44" t="str">
        <f t="shared" ref="CK307:CK370" si="385">IF($A307="","",BP307/SUM($BF307:$BY307)/CK$2-1)</f>
        <v/>
      </c>
      <c r="CL307" s="44" t="str">
        <f t="shared" ref="CL307:CL370" si="386">IF($A307="","",BQ307/SUM($BF307:$BY307)/CL$2-1)</f>
        <v/>
      </c>
      <c r="CM307" s="44" t="str">
        <f t="shared" ref="CM307:CM370" si="387">IF($A307="","",BR307/SUM($BF307:$BY307)/CM$2-1)</f>
        <v/>
      </c>
      <c r="CN307" s="44" t="str">
        <f t="shared" ref="CN307:CN370" si="388">IF($A307="","",BS307/SUM($BF307:$BY307)/CN$2-1)</f>
        <v/>
      </c>
      <c r="CO307" s="44" t="str">
        <f t="shared" ref="CO307:CO370" si="389">IF($A307="","",BT307/SUM($BF307:$BY307)/CO$2-1)</f>
        <v/>
      </c>
      <c r="CP307" s="44" t="str">
        <f t="shared" ref="CP307:CP370" si="390">IF($A307="","",BU307/SUM($BF307:$BY307)/CP$2-1)</f>
        <v/>
      </c>
      <c r="CQ307" s="44" t="str">
        <f t="shared" ref="CQ307:CQ370" si="391">IF($A307="","",BV307/SUM($BF307:$BY307)/CQ$2-1)</f>
        <v/>
      </c>
      <c r="CR307" s="44" t="str">
        <f t="shared" ref="CR307:CR370" si="392">IF($A307="","",BW307/SUM($BF307:$BY307)/CR$2-1)</f>
        <v/>
      </c>
      <c r="CS307" s="44" t="str">
        <f t="shared" ref="CS307:CS370" si="393">IF($A307="","",BX307/SUM($BF307:$BY307)/CS$2-1)</f>
        <v/>
      </c>
      <c r="CT307" s="44" t="str">
        <f t="shared" ref="CT307:CT370" si="394">IF($A307="","",BY307/SUM($BF307:$BY307)/CT$2-1)</f>
        <v/>
      </c>
      <c r="CV307" s="44">
        <f t="shared" ref="CV307:CV370" si="395">SQRT(SUMPRODUCT(CA307:CT307,CA307:CT307)/20)</f>
        <v>0</v>
      </c>
    </row>
    <row r="308" spans="1:100" x14ac:dyDescent="0.25">
      <c r="A308" s="41"/>
      <c r="B308" s="42"/>
      <c r="C308" s="43" t="str" cm="1">
        <f t="array" ref="C308">IF(B308="","",INDEX(UWS!$B$10:$B$41,B308))</f>
        <v/>
      </c>
      <c r="D308" s="40" t="str">
        <f t="shared" si="352"/>
        <v/>
      </c>
      <c r="E308" s="69" t="str">
        <f t="shared" si="353"/>
        <v/>
      </c>
      <c r="F308" s="48" cm="1">
        <f t="array" ref="F308">0.1+IFERROR(INDEX($F$5:$F307,SUMPRODUCT(MAX(ROW($C$5:$C307)*($C308=$C$5:$C307))-ROW($A$4)))*0.9^($A308-INDEX($A$5:A307,SUMPRODUCT(MAX(ROW($C$5:$C307)*($C308=$C$5:$C307))-ROW($A$4)))),0)</f>
        <v>24.300000000000075</v>
      </c>
      <c r="G308" s="55" t="e">
        <f>INDEX(UWS!$AB$10:$AB$41,MATCH(C308,UWS!$B$10:$B$41,0))</f>
        <v>#N/A</v>
      </c>
      <c r="H308" s="48" t="e">
        <f>INDEX(UWS!$C$10:$C$41,MATCH(C308,UWS!$B$10:$B$41,0))</f>
        <v>#N/A</v>
      </c>
      <c r="I308" s="27">
        <f t="shared" si="354"/>
        <v>5</v>
      </c>
      <c r="J308" s="27" t="e">
        <f>INDEX(UWS!$E$10:$E$41,MATCH(C308,UWS!$B$10:$B$41,0))</f>
        <v>#N/A</v>
      </c>
      <c r="L308" s="108" t="str" cm="1">
        <f t="array" ref="L308">IF(K308="","",INDEX(UWS!$B$10:$B$41,K308))</f>
        <v/>
      </c>
      <c r="N308" s="108" t="str" cm="1">
        <f t="array" ref="N308">IF(M308="","",INDEX(UWS!$B$10:$B$41,M308))</f>
        <v/>
      </c>
      <c r="P308">
        <f>IFERROR(INDEX(UWS!$G$10:$Z$41,MATCH($C308,UWS!$B$10:$B$41,0),MATCH(P$4,UWS!$G$3:$Z$3,0)),0)</f>
        <v>0</v>
      </c>
      <c r="Q308">
        <f>IFERROR(INDEX(UWS!$G$10:$Z$41,MATCH($C308,UWS!$B$10:$B$41,0),MATCH(Q$4,UWS!$G$3:$Z$3,0)),0)</f>
        <v>0</v>
      </c>
      <c r="R308">
        <f>IFERROR(INDEX(UWS!$G$10:$Z$41,MATCH($C308,UWS!$B$10:$B$41,0),MATCH(R$4,UWS!$G$3:$Z$3,0)),0)</f>
        <v>0</v>
      </c>
      <c r="S308">
        <f>IFERROR(INDEX(UWS!$G$10:$Z$41,MATCH($C308,UWS!$B$10:$B$41,0),MATCH(S$4,UWS!$G$3:$Z$3,0)),0)</f>
        <v>0</v>
      </c>
      <c r="T308">
        <f>IFERROR(INDEX(UWS!$G$10:$Z$41,MATCH($C308,UWS!$B$10:$B$41,0),MATCH(T$4,UWS!$G$3:$Z$3,0)),0)</f>
        <v>0</v>
      </c>
      <c r="U308">
        <f>IFERROR(INDEX(UWS!$G$10:$Z$41,MATCH($C308,UWS!$B$10:$B$41,0),MATCH(U$4,UWS!$G$3:$Z$3,0)),0)</f>
        <v>0</v>
      </c>
      <c r="V308">
        <f>IFERROR(INDEX(UWS!$G$10:$Z$41,MATCH($C308,UWS!$B$10:$B$41,0),MATCH(V$4,UWS!$G$3:$Z$3,0)),0)</f>
        <v>0</v>
      </c>
      <c r="W308">
        <f>IFERROR(INDEX(UWS!$G$10:$Z$41,MATCH($C308,UWS!$B$10:$B$41,0),MATCH(W$4,UWS!$G$3:$Z$3,0)),0)</f>
        <v>0</v>
      </c>
      <c r="X308">
        <f>IFERROR(INDEX(UWS!$G$10:$Z$41,MATCH($C308,UWS!$B$10:$B$41,0),MATCH(X$4,UWS!$G$3:$Z$3,0)),0)</f>
        <v>0</v>
      </c>
      <c r="Y308">
        <f>IFERROR(INDEX(UWS!$G$10:$Z$41,MATCH($C308,UWS!$B$10:$B$41,0),MATCH(Y$4,UWS!$G$3:$Z$3,0)),0)</f>
        <v>0</v>
      </c>
      <c r="Z308">
        <f>IFERROR(INDEX(UWS!$G$10:$Z$41,MATCH($C308,UWS!$B$10:$B$41,0),MATCH(Z$4,UWS!$G$3:$Z$3,0)),0)</f>
        <v>0</v>
      </c>
      <c r="AA308">
        <f>IFERROR(INDEX(UWS!$G$10:$Z$41,MATCH($C308,UWS!$B$10:$B$41,0),MATCH(AA$4,UWS!$G$3:$Z$3,0)),0)</f>
        <v>0</v>
      </c>
      <c r="AB308">
        <f>IFERROR(INDEX(UWS!$G$10:$Z$41,MATCH($C308,UWS!$B$10:$B$41,0),MATCH(AB$4,UWS!$G$3:$Z$3,0)),0)</f>
        <v>0</v>
      </c>
      <c r="AC308">
        <f>IFERROR(INDEX(UWS!$G$10:$Z$41,MATCH($C308,UWS!$B$10:$B$41,0),MATCH(AC$4,UWS!$G$3:$Z$3,0)),0)</f>
        <v>0</v>
      </c>
      <c r="AD308">
        <f>IFERROR(INDEX(UWS!$G$10:$Z$41,MATCH($C308,UWS!$B$10:$B$41,0),MATCH(AD$4,UWS!$G$3:$Z$3,0)),0)</f>
        <v>0</v>
      </c>
      <c r="AE308">
        <f>IFERROR(INDEX(UWS!$G$10:$Z$41,MATCH($C308,UWS!$B$10:$B$41,0),MATCH(AE$4,UWS!$G$3:$Z$3,0)),0)</f>
        <v>0</v>
      </c>
      <c r="AF308">
        <f>IFERROR(INDEX(UWS!$G$10:$Z$41,MATCH($C308,UWS!$B$10:$B$41,0),MATCH(AF$4,UWS!$G$3:$Z$3,0)),0)</f>
        <v>0</v>
      </c>
      <c r="AG308">
        <f>IFERROR(INDEX(UWS!$G$10:$Z$41,MATCH($C308,UWS!$B$10:$B$41,0),MATCH(AG$4,UWS!$G$3:$Z$3,0)),0)</f>
        <v>0</v>
      </c>
      <c r="AH308">
        <f>IFERROR(INDEX(UWS!$G$10:$Z$41,MATCH($C308,UWS!$B$10:$B$41,0),MATCH(AH$4,UWS!$G$3:$Z$3,0)),0)</f>
        <v>0</v>
      </c>
      <c r="AI308">
        <f>IFERROR(INDEX(UWS!$G$10:$Z$41,MATCH($C308,UWS!$B$10:$B$41,0),MATCH(AI$4,UWS!$G$3:$Z$3,0)),0)</f>
        <v>0</v>
      </c>
      <c r="AK308" t="e">
        <f>IF(OR($J308=0,COUNTIFS($A$4:$A307,"&gt;="&amp;$A308-1,$A$4:$A307,"&lt;="&amp;$A308,$B$4:$B307,$B308)&gt;0,MIN(AK$1,IF($A308=$A307,AK307,1))-P308&lt;0),-1,MIN(1,IF($A308=$A307,AK307,1)-P308+$D$3))</f>
        <v>#N/A</v>
      </c>
      <c r="AL308" t="e">
        <f>IF(OR($J308=0,COUNTIFS($A$4:$A307,"&gt;="&amp;$A308-1,$A$4:$A307,"&lt;="&amp;$A308,$B$4:$B307,$B308)&gt;0,MIN(AL$1,IF($A308=$A307,AL307,1))-Q308&lt;0),-1,MIN(1,IF($A308=$A307,AL307,1)-Q308+$D$3))</f>
        <v>#N/A</v>
      </c>
      <c r="AM308" t="e">
        <f>IF(OR($J308=0,COUNTIFS($A$4:$A307,"&gt;="&amp;$A308-1,$A$4:$A307,"&lt;="&amp;$A308,$B$4:$B307,$B308)&gt;0,MIN(AM$1,IF($A308=$A307,AM307,1))-R308&lt;0),-1,MIN(1,IF($A308=$A307,AM307,1)-R308+$D$3))</f>
        <v>#N/A</v>
      </c>
      <c r="AN308" t="e">
        <f>IF(OR($J308=0,COUNTIFS($A$4:$A307,"&gt;="&amp;$A308-1,$A$4:$A307,"&lt;="&amp;$A308,$B$4:$B307,$B308)&gt;0,MIN(AN$1,IF($A308=$A307,AN307,1))-S308&lt;0),-1,MIN(1,IF($A308=$A307,AN307,1)-S308+$D$3))</f>
        <v>#N/A</v>
      </c>
      <c r="AO308" t="e">
        <f>IF(OR($J308=0,COUNTIFS($A$4:$A307,"&gt;="&amp;$A308-1,$A$4:$A307,"&lt;="&amp;$A308,$B$4:$B307,$B308)&gt;0,MIN(AO$1,IF($A308=$A307,AO307,1))-T308&lt;0),-1,MIN(1,IF($A308=$A307,AO307,1)-T308+$D$3))</f>
        <v>#N/A</v>
      </c>
      <c r="AP308" t="e">
        <f>IF(OR($J308=0,COUNTIFS($A$4:$A307,"&gt;="&amp;$A308-1,$A$4:$A307,"&lt;="&amp;$A308,$B$4:$B307,$B308)&gt;0,MIN(AP$1,IF($A308=$A307,AP307,1))-U308&lt;0),-1,MIN(1,IF($A308=$A307,AP307,1)-U308+$D$3))</f>
        <v>#N/A</v>
      </c>
      <c r="AQ308" t="e">
        <f>IF(OR($J308=0,COUNTIFS($A$4:$A307,"&gt;="&amp;$A308-1,$A$4:$A307,"&lt;="&amp;$A308,$B$4:$B307,$B308)&gt;0,MIN(AQ$1,IF($A308=$A307,AQ307,1))-V308&lt;0),-1,MIN(1,IF($A308=$A307,AQ307,1)-V308+$D$3))</f>
        <v>#N/A</v>
      </c>
      <c r="AR308" t="e">
        <f>IF(OR($J308=0,COUNTIFS($A$4:$A307,"&gt;="&amp;$A308-1,$A$4:$A307,"&lt;="&amp;$A308,$B$4:$B307,$B308)&gt;0,MIN(AR$1,IF($A308=$A307,AR307,1))-W308&lt;0),-1,MIN(1,IF($A308=$A307,AR307,1)-W308+$D$3))</f>
        <v>#N/A</v>
      </c>
      <c r="AS308" t="e">
        <f>IF(OR($J308=0,COUNTIFS($A$4:$A307,"&gt;="&amp;$A308-1,$A$4:$A307,"&lt;="&amp;$A308,$B$4:$B307,$B308)&gt;0,MIN(AS$1,IF($A308=$A307,AS307,1))-X308&lt;0),-1,MIN(1,IF($A308=$A307,AS307,1)-X308+$D$3))</f>
        <v>#N/A</v>
      </c>
      <c r="AT308" t="e">
        <f>IF(OR($J308=0,COUNTIFS($A$4:$A307,"&gt;="&amp;$A308-1,$A$4:$A307,"&lt;="&amp;$A308,$B$4:$B307,$B308)&gt;0,MIN(AT$1,IF($A308=$A307,AT307,1))-Y308&lt;0),-1,MIN(1,IF($A308=$A307,AT307,1)-Y308+$D$3))</f>
        <v>#N/A</v>
      </c>
      <c r="AU308" t="e">
        <f>IF(OR($J308=0,COUNTIFS($A$4:$A307,"&gt;="&amp;$A308-1,$A$4:$A307,"&lt;="&amp;$A308,$B$4:$B307,$B308)&gt;0,MIN(AU$1,IF($A308=$A307,AU307,1))-Z308&lt;0),-1,MIN(1,IF($A308=$A307,AU307,1)-Z308+$D$3))</f>
        <v>#N/A</v>
      </c>
      <c r="AV308" t="e">
        <f>IF(OR($J308=0,COUNTIFS($A$4:$A307,"&gt;="&amp;$A308-1,$A$4:$A307,"&lt;="&amp;$A308,$B$4:$B307,$B308)&gt;0,MIN(AV$1,IF($A308=$A307,AV307,1))-AA308&lt;0),-1,MIN(1,IF($A308=$A307,AV307,1)-AA308+$D$3))</f>
        <v>#N/A</v>
      </c>
      <c r="AW308" t="e">
        <f>IF(OR($J308=0,COUNTIFS($A$4:$A307,"&gt;="&amp;$A308-1,$A$4:$A307,"&lt;="&amp;$A308,$B$4:$B307,$B308)&gt;0,MIN(AW$1,IF($A308=$A307,AW307,1))-AB308&lt;0),-1,MIN(1,IF($A308=$A307,AW307,1)-AB308+$D$3))</f>
        <v>#N/A</v>
      </c>
      <c r="AX308" t="e">
        <f>IF(OR($J308=0,COUNTIFS($A$4:$A307,"&gt;="&amp;$A308-1,$A$4:$A307,"&lt;="&amp;$A308,$B$4:$B307,$B308)&gt;0,MIN(AX$1,IF($A308=$A307,AX307,1))-AC308&lt;0),-1,MIN(1,IF($A308=$A307,AX307,1)-AC308+$D$3))</f>
        <v>#N/A</v>
      </c>
      <c r="AY308" t="e">
        <f>IF(OR($J308=0,COUNTIFS($A$4:$A307,"&gt;="&amp;$A308-1,$A$4:$A307,"&lt;="&amp;$A308,$B$4:$B307,$B308)&gt;0,MIN(AY$1,IF($A308=$A307,AY307,1))-AD308&lt;0),-1,MIN(1,IF($A308=$A307,AY307,1)-AD308+$D$3))</f>
        <v>#N/A</v>
      </c>
      <c r="AZ308" t="e">
        <f>IF(OR($J308=0,COUNTIFS($A$4:$A307,"&gt;="&amp;$A308-1,$A$4:$A307,"&lt;="&amp;$A308,$B$4:$B307,$B308)&gt;0,MIN(AZ$1,IF($A308=$A307,AZ307,1))-AE308&lt;0),-1,MIN(1,IF($A308=$A307,AZ307,1)-AE308+$D$3))</f>
        <v>#N/A</v>
      </c>
      <c r="BA308" t="e">
        <f>IF(OR($J308=0,COUNTIFS($A$4:$A307,"&gt;="&amp;$A308-1,$A$4:$A307,"&lt;="&amp;$A308,$B$4:$B307,$B308)&gt;0,MIN(BA$1,IF($A308=$A307,BA307,1))-AF308&lt;0),-1,MIN(1,IF($A308=$A307,BA307,1)-AF308+$D$3))</f>
        <v>#N/A</v>
      </c>
      <c r="BB308" t="e">
        <f>IF(OR($J308=0,COUNTIFS($A$4:$A307,"&gt;="&amp;$A308-1,$A$4:$A307,"&lt;="&amp;$A308,$B$4:$B307,$B308)&gt;0,MIN(BB$1,IF($A308=$A307,BB307,1))-AG308&lt;0),-1,MIN(1,IF($A308=$A307,BB307,1)-AG308+$D$3))</f>
        <v>#N/A</v>
      </c>
      <c r="BC308" t="e">
        <f>IF(OR($J308=0,COUNTIFS($A$4:$A307,"&gt;="&amp;$A308-1,$A$4:$A307,"&lt;="&amp;$A308,$B$4:$B307,$B308)&gt;0,MIN(BC$1,IF($A308=$A307,BC307,1))-AH308&lt;0),-1,MIN(1,IF($A308=$A307,BC307,1)-AH308+$D$3))</f>
        <v>#N/A</v>
      </c>
      <c r="BD308" t="e">
        <f>IF(OR($J308=0,COUNTIFS($A$4:$A307,"&gt;="&amp;$A308-1,$A$4:$A307,"&lt;="&amp;$A308,$B$4:$B307,$B308)&gt;0,MIN(BD$1,IF($A308=$A307,BD307,1))-AI308&lt;0),-1,MIN(1,IF($A308=$A307,BD307,1)-AI308+$D$3))</f>
        <v>#N/A</v>
      </c>
      <c r="BF308" s="44">
        <f t="shared" si="355"/>
        <v>3.583289537968982E-7</v>
      </c>
      <c r="BG308" s="44">
        <f t="shared" si="356"/>
        <v>8.8123201110275039E-7</v>
      </c>
      <c r="BH308" s="44">
        <f t="shared" si="357"/>
        <v>9.0317011485105296E-7</v>
      </c>
      <c r="BI308" s="44">
        <f t="shared" si="358"/>
        <v>8.3427843152513576E-7</v>
      </c>
      <c r="BJ308" s="44">
        <f t="shared" si="359"/>
        <v>8.6230596200486209E-7</v>
      </c>
      <c r="BK308" s="44">
        <f t="shared" si="360"/>
        <v>3.7030633111058874E-7</v>
      </c>
      <c r="BL308" s="44">
        <f t="shared" si="361"/>
        <v>2.0004530587115005E-7</v>
      </c>
      <c r="BM308" s="44">
        <f t="shared" si="362"/>
        <v>5.0889189783846007E-7</v>
      </c>
      <c r="BN308" s="44">
        <f t="shared" si="363"/>
        <v>5.2928723443600758E-7</v>
      </c>
      <c r="BO308" s="44">
        <f t="shared" si="364"/>
        <v>2.4804408220207175E-7</v>
      </c>
      <c r="BP308" s="44">
        <f t="shared" si="365"/>
        <v>8.3404269993309707E-7</v>
      </c>
      <c r="BQ308" s="44">
        <f t="shared" si="366"/>
        <v>2.2507359925636582E-7</v>
      </c>
      <c r="BR308" s="44">
        <f t="shared" si="367"/>
        <v>6.6492375401735111E-7</v>
      </c>
      <c r="BS308" s="44">
        <f t="shared" si="368"/>
        <v>3.5860220415546839E-7</v>
      </c>
      <c r="BT308" s="44">
        <f t="shared" si="369"/>
        <v>1.4190988608330976E-6</v>
      </c>
      <c r="BU308" s="44">
        <f t="shared" si="370"/>
        <v>1.355666435263634E-6</v>
      </c>
      <c r="BV308" s="44">
        <f t="shared" si="371"/>
        <v>1.3019371931873909E-6</v>
      </c>
      <c r="BW308" s="44">
        <f t="shared" si="372"/>
        <v>8.515385704914903E-7</v>
      </c>
      <c r="BX308" s="44">
        <f t="shared" si="373"/>
        <v>6.2910123257536509E-7</v>
      </c>
      <c r="BY308" s="44">
        <f t="shared" si="374"/>
        <v>5.4015571514236475E-7</v>
      </c>
      <c r="CA308" s="44" t="str">
        <f t="shared" si="375"/>
        <v/>
      </c>
      <c r="CB308" s="44" t="str">
        <f t="shared" si="376"/>
        <v/>
      </c>
      <c r="CC308" s="44" t="str">
        <f t="shared" si="377"/>
        <v/>
      </c>
      <c r="CD308" s="44" t="str">
        <f t="shared" si="378"/>
        <v/>
      </c>
      <c r="CE308" s="44" t="str">
        <f t="shared" si="379"/>
        <v/>
      </c>
      <c r="CF308" s="44" t="str">
        <f t="shared" si="380"/>
        <v/>
      </c>
      <c r="CG308" s="44" t="str">
        <f t="shared" si="381"/>
        <v/>
      </c>
      <c r="CH308" s="44" t="str">
        <f t="shared" si="382"/>
        <v/>
      </c>
      <c r="CI308" s="44" t="str">
        <f t="shared" si="383"/>
        <v/>
      </c>
      <c r="CJ308" s="44" t="str">
        <f t="shared" si="384"/>
        <v/>
      </c>
      <c r="CK308" s="44" t="str">
        <f t="shared" si="385"/>
        <v/>
      </c>
      <c r="CL308" s="44" t="str">
        <f t="shared" si="386"/>
        <v/>
      </c>
      <c r="CM308" s="44" t="str">
        <f t="shared" si="387"/>
        <v/>
      </c>
      <c r="CN308" s="44" t="str">
        <f t="shared" si="388"/>
        <v/>
      </c>
      <c r="CO308" s="44" t="str">
        <f t="shared" si="389"/>
        <v/>
      </c>
      <c r="CP308" s="44" t="str">
        <f t="shared" si="390"/>
        <v/>
      </c>
      <c r="CQ308" s="44" t="str">
        <f t="shared" si="391"/>
        <v/>
      </c>
      <c r="CR308" s="44" t="str">
        <f t="shared" si="392"/>
        <v/>
      </c>
      <c r="CS308" s="44" t="str">
        <f t="shared" si="393"/>
        <v/>
      </c>
      <c r="CT308" s="44" t="str">
        <f t="shared" si="394"/>
        <v/>
      </c>
      <c r="CV308" s="44">
        <f t="shared" si="395"/>
        <v>0</v>
      </c>
    </row>
    <row r="309" spans="1:100" x14ac:dyDescent="0.25">
      <c r="A309" s="41"/>
      <c r="B309" s="42"/>
      <c r="C309" s="43" t="str" cm="1">
        <f t="array" ref="C309">IF(B309="","",INDEX(UWS!$B$10:$B$41,B309))</f>
        <v/>
      </c>
      <c r="D309" s="40" t="str">
        <f t="shared" si="352"/>
        <v/>
      </c>
      <c r="E309" s="69" t="str">
        <f t="shared" si="353"/>
        <v/>
      </c>
      <c r="F309" s="48" cm="1">
        <f t="array" ref="F309">0.1+IFERROR(INDEX($F$5:$F308,SUMPRODUCT(MAX(ROW($C$5:$C308)*($C309=$C$5:$C308))-ROW($A$4)))*0.9^($A309-INDEX($A$5:A308,SUMPRODUCT(MAX(ROW($C$5:$C308)*($C309=$C$5:$C308))-ROW($A$4)))),0)</f>
        <v>24.400000000000077</v>
      </c>
      <c r="G309" s="55" t="e">
        <f>INDEX(UWS!$AB$10:$AB$41,MATCH(C309,UWS!$B$10:$B$41,0))</f>
        <v>#N/A</v>
      </c>
      <c r="H309" s="48" t="e">
        <f>INDEX(UWS!$C$10:$C$41,MATCH(C309,UWS!$B$10:$B$41,0))</f>
        <v>#N/A</v>
      </c>
      <c r="I309" s="27">
        <f t="shared" si="354"/>
        <v>5</v>
      </c>
      <c r="J309" s="27" t="e">
        <f>INDEX(UWS!$E$10:$E$41,MATCH(C309,UWS!$B$10:$B$41,0))</f>
        <v>#N/A</v>
      </c>
      <c r="L309" s="108" t="str" cm="1">
        <f t="array" ref="L309">IF(K309="","",INDEX(UWS!$B$10:$B$41,K309))</f>
        <v/>
      </c>
      <c r="N309" s="108" t="str" cm="1">
        <f t="array" ref="N309">IF(M309="","",INDEX(UWS!$B$10:$B$41,M309))</f>
        <v/>
      </c>
      <c r="P309">
        <f>IFERROR(INDEX(UWS!$G$10:$Z$41,MATCH($C309,UWS!$B$10:$B$41,0),MATCH(P$4,UWS!$G$3:$Z$3,0)),0)</f>
        <v>0</v>
      </c>
      <c r="Q309">
        <f>IFERROR(INDEX(UWS!$G$10:$Z$41,MATCH($C309,UWS!$B$10:$B$41,0),MATCH(Q$4,UWS!$G$3:$Z$3,0)),0)</f>
        <v>0</v>
      </c>
      <c r="R309">
        <f>IFERROR(INDEX(UWS!$G$10:$Z$41,MATCH($C309,UWS!$B$10:$B$41,0),MATCH(R$4,UWS!$G$3:$Z$3,0)),0)</f>
        <v>0</v>
      </c>
      <c r="S309">
        <f>IFERROR(INDEX(UWS!$G$10:$Z$41,MATCH($C309,UWS!$B$10:$B$41,0),MATCH(S$4,UWS!$G$3:$Z$3,0)),0)</f>
        <v>0</v>
      </c>
      <c r="T309">
        <f>IFERROR(INDEX(UWS!$G$10:$Z$41,MATCH($C309,UWS!$B$10:$B$41,0),MATCH(T$4,UWS!$G$3:$Z$3,0)),0)</f>
        <v>0</v>
      </c>
      <c r="U309">
        <f>IFERROR(INDEX(UWS!$G$10:$Z$41,MATCH($C309,UWS!$B$10:$B$41,0),MATCH(U$4,UWS!$G$3:$Z$3,0)),0)</f>
        <v>0</v>
      </c>
      <c r="V309">
        <f>IFERROR(INDEX(UWS!$G$10:$Z$41,MATCH($C309,UWS!$B$10:$B$41,0),MATCH(V$4,UWS!$G$3:$Z$3,0)),0)</f>
        <v>0</v>
      </c>
      <c r="W309">
        <f>IFERROR(INDEX(UWS!$G$10:$Z$41,MATCH($C309,UWS!$B$10:$B$41,0),MATCH(W$4,UWS!$G$3:$Z$3,0)),0)</f>
        <v>0</v>
      </c>
      <c r="X309">
        <f>IFERROR(INDEX(UWS!$G$10:$Z$41,MATCH($C309,UWS!$B$10:$B$41,0),MATCH(X$4,UWS!$G$3:$Z$3,0)),0)</f>
        <v>0</v>
      </c>
      <c r="Y309">
        <f>IFERROR(INDEX(UWS!$G$10:$Z$41,MATCH($C309,UWS!$B$10:$B$41,0),MATCH(Y$4,UWS!$G$3:$Z$3,0)),0)</f>
        <v>0</v>
      </c>
      <c r="Z309">
        <f>IFERROR(INDEX(UWS!$G$10:$Z$41,MATCH($C309,UWS!$B$10:$B$41,0),MATCH(Z$4,UWS!$G$3:$Z$3,0)),0)</f>
        <v>0</v>
      </c>
      <c r="AA309">
        <f>IFERROR(INDEX(UWS!$G$10:$Z$41,MATCH($C309,UWS!$B$10:$B$41,0),MATCH(AA$4,UWS!$G$3:$Z$3,0)),0)</f>
        <v>0</v>
      </c>
      <c r="AB309">
        <f>IFERROR(INDEX(UWS!$G$10:$Z$41,MATCH($C309,UWS!$B$10:$B$41,0),MATCH(AB$4,UWS!$G$3:$Z$3,0)),0)</f>
        <v>0</v>
      </c>
      <c r="AC309">
        <f>IFERROR(INDEX(UWS!$G$10:$Z$41,MATCH($C309,UWS!$B$10:$B$41,0),MATCH(AC$4,UWS!$G$3:$Z$3,0)),0)</f>
        <v>0</v>
      </c>
      <c r="AD309">
        <f>IFERROR(INDEX(UWS!$G$10:$Z$41,MATCH($C309,UWS!$B$10:$B$41,0),MATCH(AD$4,UWS!$G$3:$Z$3,0)),0)</f>
        <v>0</v>
      </c>
      <c r="AE309">
        <f>IFERROR(INDEX(UWS!$G$10:$Z$41,MATCH($C309,UWS!$B$10:$B$41,0),MATCH(AE$4,UWS!$G$3:$Z$3,0)),0)</f>
        <v>0</v>
      </c>
      <c r="AF309">
        <f>IFERROR(INDEX(UWS!$G$10:$Z$41,MATCH($C309,UWS!$B$10:$B$41,0),MATCH(AF$4,UWS!$G$3:$Z$3,0)),0)</f>
        <v>0</v>
      </c>
      <c r="AG309">
        <f>IFERROR(INDEX(UWS!$G$10:$Z$41,MATCH($C309,UWS!$B$10:$B$41,0),MATCH(AG$4,UWS!$G$3:$Z$3,0)),0)</f>
        <v>0</v>
      </c>
      <c r="AH309">
        <f>IFERROR(INDEX(UWS!$G$10:$Z$41,MATCH($C309,UWS!$B$10:$B$41,0),MATCH(AH$4,UWS!$G$3:$Z$3,0)),0)</f>
        <v>0</v>
      </c>
      <c r="AI309">
        <f>IFERROR(INDEX(UWS!$G$10:$Z$41,MATCH($C309,UWS!$B$10:$B$41,0),MATCH(AI$4,UWS!$G$3:$Z$3,0)),0)</f>
        <v>0</v>
      </c>
      <c r="AK309" t="e">
        <f>IF(OR($J309=0,COUNTIFS($A$4:$A308,"&gt;="&amp;$A309-1,$A$4:$A308,"&lt;="&amp;$A309,$B$4:$B308,$B309)&gt;0,MIN(AK$1,IF($A309=$A308,AK308,1))-P309&lt;0),-1,MIN(1,IF($A309=$A308,AK308,1)-P309+$D$3))</f>
        <v>#N/A</v>
      </c>
      <c r="AL309" t="e">
        <f>IF(OR($J309=0,COUNTIFS($A$4:$A308,"&gt;="&amp;$A309-1,$A$4:$A308,"&lt;="&amp;$A309,$B$4:$B308,$B309)&gt;0,MIN(AL$1,IF($A309=$A308,AL308,1))-Q309&lt;0),-1,MIN(1,IF($A309=$A308,AL308,1)-Q309+$D$3))</f>
        <v>#N/A</v>
      </c>
      <c r="AM309" t="e">
        <f>IF(OR($J309=0,COUNTIFS($A$4:$A308,"&gt;="&amp;$A309-1,$A$4:$A308,"&lt;="&amp;$A309,$B$4:$B308,$B309)&gt;0,MIN(AM$1,IF($A309=$A308,AM308,1))-R309&lt;0),-1,MIN(1,IF($A309=$A308,AM308,1)-R309+$D$3))</f>
        <v>#N/A</v>
      </c>
      <c r="AN309" t="e">
        <f>IF(OR($J309=0,COUNTIFS($A$4:$A308,"&gt;="&amp;$A309-1,$A$4:$A308,"&lt;="&amp;$A309,$B$4:$B308,$B309)&gt;0,MIN(AN$1,IF($A309=$A308,AN308,1))-S309&lt;0),-1,MIN(1,IF($A309=$A308,AN308,1)-S309+$D$3))</f>
        <v>#N/A</v>
      </c>
      <c r="AO309" t="e">
        <f>IF(OR($J309=0,COUNTIFS($A$4:$A308,"&gt;="&amp;$A309-1,$A$4:$A308,"&lt;="&amp;$A309,$B$4:$B308,$B309)&gt;0,MIN(AO$1,IF($A309=$A308,AO308,1))-T309&lt;0),-1,MIN(1,IF($A309=$A308,AO308,1)-T309+$D$3))</f>
        <v>#N/A</v>
      </c>
      <c r="AP309" t="e">
        <f>IF(OR($J309=0,COUNTIFS($A$4:$A308,"&gt;="&amp;$A309-1,$A$4:$A308,"&lt;="&amp;$A309,$B$4:$B308,$B309)&gt;0,MIN(AP$1,IF($A309=$A308,AP308,1))-U309&lt;0),-1,MIN(1,IF($A309=$A308,AP308,1)-U309+$D$3))</f>
        <v>#N/A</v>
      </c>
      <c r="AQ309" t="e">
        <f>IF(OR($J309=0,COUNTIFS($A$4:$A308,"&gt;="&amp;$A309-1,$A$4:$A308,"&lt;="&amp;$A309,$B$4:$B308,$B309)&gt;0,MIN(AQ$1,IF($A309=$A308,AQ308,1))-V309&lt;0),-1,MIN(1,IF($A309=$A308,AQ308,1)-V309+$D$3))</f>
        <v>#N/A</v>
      </c>
      <c r="AR309" t="e">
        <f>IF(OR($J309=0,COUNTIFS($A$4:$A308,"&gt;="&amp;$A309-1,$A$4:$A308,"&lt;="&amp;$A309,$B$4:$B308,$B309)&gt;0,MIN(AR$1,IF($A309=$A308,AR308,1))-W309&lt;0),-1,MIN(1,IF($A309=$A308,AR308,1)-W309+$D$3))</f>
        <v>#N/A</v>
      </c>
      <c r="AS309" t="e">
        <f>IF(OR($J309=0,COUNTIFS($A$4:$A308,"&gt;="&amp;$A309-1,$A$4:$A308,"&lt;="&amp;$A309,$B$4:$B308,$B309)&gt;0,MIN(AS$1,IF($A309=$A308,AS308,1))-X309&lt;0),-1,MIN(1,IF($A309=$A308,AS308,1)-X309+$D$3))</f>
        <v>#N/A</v>
      </c>
      <c r="AT309" t="e">
        <f>IF(OR($J309=0,COUNTIFS($A$4:$A308,"&gt;="&amp;$A309-1,$A$4:$A308,"&lt;="&amp;$A309,$B$4:$B308,$B309)&gt;0,MIN(AT$1,IF($A309=$A308,AT308,1))-Y309&lt;0),-1,MIN(1,IF($A309=$A308,AT308,1)-Y309+$D$3))</f>
        <v>#N/A</v>
      </c>
      <c r="AU309" t="e">
        <f>IF(OR($J309=0,COUNTIFS($A$4:$A308,"&gt;="&amp;$A309-1,$A$4:$A308,"&lt;="&amp;$A309,$B$4:$B308,$B309)&gt;0,MIN(AU$1,IF($A309=$A308,AU308,1))-Z309&lt;0),-1,MIN(1,IF($A309=$A308,AU308,1)-Z309+$D$3))</f>
        <v>#N/A</v>
      </c>
      <c r="AV309" t="e">
        <f>IF(OR($J309=0,COUNTIFS($A$4:$A308,"&gt;="&amp;$A309-1,$A$4:$A308,"&lt;="&amp;$A309,$B$4:$B308,$B309)&gt;0,MIN(AV$1,IF($A309=$A308,AV308,1))-AA309&lt;0),-1,MIN(1,IF($A309=$A308,AV308,1)-AA309+$D$3))</f>
        <v>#N/A</v>
      </c>
      <c r="AW309" t="e">
        <f>IF(OR($J309=0,COUNTIFS($A$4:$A308,"&gt;="&amp;$A309-1,$A$4:$A308,"&lt;="&amp;$A309,$B$4:$B308,$B309)&gt;0,MIN(AW$1,IF($A309=$A308,AW308,1))-AB309&lt;0),-1,MIN(1,IF($A309=$A308,AW308,1)-AB309+$D$3))</f>
        <v>#N/A</v>
      </c>
      <c r="AX309" t="e">
        <f>IF(OR($J309=0,COUNTIFS($A$4:$A308,"&gt;="&amp;$A309-1,$A$4:$A308,"&lt;="&amp;$A309,$B$4:$B308,$B309)&gt;0,MIN(AX$1,IF($A309=$A308,AX308,1))-AC309&lt;0),-1,MIN(1,IF($A309=$A308,AX308,1)-AC309+$D$3))</f>
        <v>#N/A</v>
      </c>
      <c r="AY309" t="e">
        <f>IF(OR($J309=0,COUNTIFS($A$4:$A308,"&gt;="&amp;$A309-1,$A$4:$A308,"&lt;="&amp;$A309,$B$4:$B308,$B309)&gt;0,MIN(AY$1,IF($A309=$A308,AY308,1))-AD309&lt;0),-1,MIN(1,IF($A309=$A308,AY308,1)-AD309+$D$3))</f>
        <v>#N/A</v>
      </c>
      <c r="AZ309" t="e">
        <f>IF(OR($J309=0,COUNTIFS($A$4:$A308,"&gt;="&amp;$A309-1,$A$4:$A308,"&lt;="&amp;$A309,$B$4:$B308,$B309)&gt;0,MIN(AZ$1,IF($A309=$A308,AZ308,1))-AE309&lt;0),-1,MIN(1,IF($A309=$A308,AZ308,1)-AE309+$D$3))</f>
        <v>#N/A</v>
      </c>
      <c r="BA309" t="e">
        <f>IF(OR($J309=0,COUNTIFS($A$4:$A308,"&gt;="&amp;$A309-1,$A$4:$A308,"&lt;="&amp;$A309,$B$4:$B308,$B309)&gt;0,MIN(BA$1,IF($A309=$A308,BA308,1))-AF309&lt;0),-1,MIN(1,IF($A309=$A308,BA308,1)-AF309+$D$3))</f>
        <v>#N/A</v>
      </c>
      <c r="BB309" t="e">
        <f>IF(OR($J309=0,COUNTIFS($A$4:$A308,"&gt;="&amp;$A309-1,$A$4:$A308,"&lt;="&amp;$A309,$B$4:$B308,$B309)&gt;0,MIN(BB$1,IF($A309=$A308,BB308,1))-AG309&lt;0),-1,MIN(1,IF($A309=$A308,BB308,1)-AG309+$D$3))</f>
        <v>#N/A</v>
      </c>
      <c r="BC309" t="e">
        <f>IF(OR($J309=0,COUNTIFS($A$4:$A308,"&gt;="&amp;$A309-1,$A$4:$A308,"&lt;="&amp;$A309,$B$4:$B308,$B309)&gt;0,MIN(BC$1,IF($A309=$A308,BC308,1))-AH309&lt;0),-1,MIN(1,IF($A309=$A308,BC308,1)-AH309+$D$3))</f>
        <v>#N/A</v>
      </c>
      <c r="BD309" t="e">
        <f>IF(OR($J309=0,COUNTIFS($A$4:$A308,"&gt;="&amp;$A309-1,$A$4:$A308,"&lt;="&amp;$A309,$B$4:$B308,$B309)&gt;0,MIN(BD$1,IF($A309=$A308,BD308,1))-AI309&lt;0),-1,MIN(1,IF($A309=$A308,BD308,1)-AI309+$D$3))</f>
        <v>#N/A</v>
      </c>
      <c r="BF309" s="44">
        <f t="shared" si="355"/>
        <v>3.4041250610705327E-7</v>
      </c>
      <c r="BG309" s="44">
        <f t="shared" si="356"/>
        <v>8.3717041054761287E-7</v>
      </c>
      <c r="BH309" s="44">
        <f t="shared" si="357"/>
        <v>8.5801160910850032E-7</v>
      </c>
      <c r="BI309" s="44">
        <f t="shared" si="358"/>
        <v>7.9256450994887897E-7</v>
      </c>
      <c r="BJ309" s="44">
        <f t="shared" si="359"/>
        <v>8.1919066390461895E-7</v>
      </c>
      <c r="BK309" s="44">
        <f t="shared" si="360"/>
        <v>3.5179101455505929E-7</v>
      </c>
      <c r="BL309" s="44">
        <f t="shared" si="361"/>
        <v>1.9004304057759255E-7</v>
      </c>
      <c r="BM309" s="44">
        <f t="shared" si="362"/>
        <v>4.8344730294653704E-7</v>
      </c>
      <c r="BN309" s="44">
        <f t="shared" si="363"/>
        <v>5.0282287271420721E-7</v>
      </c>
      <c r="BO309" s="44">
        <f t="shared" si="364"/>
        <v>2.3564187809196816E-7</v>
      </c>
      <c r="BP309" s="44">
        <f t="shared" si="365"/>
        <v>7.9234056493644214E-7</v>
      </c>
      <c r="BQ309" s="44">
        <f t="shared" si="366"/>
        <v>2.1381991929354752E-7</v>
      </c>
      <c r="BR309" s="44">
        <f t="shared" si="367"/>
        <v>6.3167756631648355E-7</v>
      </c>
      <c r="BS309" s="44">
        <f t="shared" si="368"/>
        <v>3.4067209394769494E-7</v>
      </c>
      <c r="BT309" s="44">
        <f t="shared" si="369"/>
        <v>1.3481439177914426E-6</v>
      </c>
      <c r="BU309" s="44">
        <f t="shared" si="370"/>
        <v>1.2878831135004523E-6</v>
      </c>
      <c r="BV309" s="44">
        <f t="shared" si="371"/>
        <v>1.2368403335280213E-6</v>
      </c>
      <c r="BW309" s="44">
        <f t="shared" si="372"/>
        <v>8.0896164196691573E-7</v>
      </c>
      <c r="BX309" s="44">
        <f t="shared" si="373"/>
        <v>5.9764617094659678E-7</v>
      </c>
      <c r="BY309" s="44">
        <f t="shared" si="374"/>
        <v>5.1314792938524648E-7</v>
      </c>
      <c r="CA309" s="44" t="str">
        <f t="shared" si="375"/>
        <v/>
      </c>
      <c r="CB309" s="44" t="str">
        <f t="shared" si="376"/>
        <v/>
      </c>
      <c r="CC309" s="44" t="str">
        <f t="shared" si="377"/>
        <v/>
      </c>
      <c r="CD309" s="44" t="str">
        <f t="shared" si="378"/>
        <v/>
      </c>
      <c r="CE309" s="44" t="str">
        <f t="shared" si="379"/>
        <v/>
      </c>
      <c r="CF309" s="44" t="str">
        <f t="shared" si="380"/>
        <v/>
      </c>
      <c r="CG309" s="44" t="str">
        <f t="shared" si="381"/>
        <v/>
      </c>
      <c r="CH309" s="44" t="str">
        <f t="shared" si="382"/>
        <v/>
      </c>
      <c r="CI309" s="44" t="str">
        <f t="shared" si="383"/>
        <v/>
      </c>
      <c r="CJ309" s="44" t="str">
        <f t="shared" si="384"/>
        <v/>
      </c>
      <c r="CK309" s="44" t="str">
        <f t="shared" si="385"/>
        <v/>
      </c>
      <c r="CL309" s="44" t="str">
        <f t="shared" si="386"/>
        <v/>
      </c>
      <c r="CM309" s="44" t="str">
        <f t="shared" si="387"/>
        <v/>
      </c>
      <c r="CN309" s="44" t="str">
        <f t="shared" si="388"/>
        <v/>
      </c>
      <c r="CO309" s="44" t="str">
        <f t="shared" si="389"/>
        <v/>
      </c>
      <c r="CP309" s="44" t="str">
        <f t="shared" si="390"/>
        <v/>
      </c>
      <c r="CQ309" s="44" t="str">
        <f t="shared" si="391"/>
        <v/>
      </c>
      <c r="CR309" s="44" t="str">
        <f t="shared" si="392"/>
        <v/>
      </c>
      <c r="CS309" s="44" t="str">
        <f t="shared" si="393"/>
        <v/>
      </c>
      <c r="CT309" s="44" t="str">
        <f t="shared" si="394"/>
        <v/>
      </c>
      <c r="CV309" s="44">
        <f t="shared" si="395"/>
        <v>0</v>
      </c>
    </row>
    <row r="310" spans="1:100" x14ac:dyDescent="0.25">
      <c r="A310" s="49"/>
      <c r="B310" s="50"/>
      <c r="C310" s="51" t="str" cm="1">
        <f t="array" ref="C310">IF(B310="","",INDEX(UWS!$B$10:$B$41,B310))</f>
        <v/>
      </c>
      <c r="D310" s="45" t="str">
        <f t="shared" si="352"/>
        <v/>
      </c>
      <c r="E310" s="70" t="str">
        <f t="shared" si="353"/>
        <v/>
      </c>
      <c r="F310" s="52" cm="1">
        <f t="array" ref="F310">0.1+IFERROR(INDEX($F$5:$F309,SUMPRODUCT(MAX(ROW($C$5:$C309)*($C310=$C$5:$C309))-ROW($A$4)))*0.9^($A310-INDEX($A$5:A309,SUMPRODUCT(MAX(ROW($C$5:$C309)*($C310=$C$5:$C309))-ROW($A$4)))),0)</f>
        <v>24.500000000000078</v>
      </c>
      <c r="G310" s="56" t="e">
        <f>INDEX(UWS!$AB$10:$AB$41,MATCH(C310,UWS!$B$10:$B$41,0))</f>
        <v>#N/A</v>
      </c>
      <c r="H310" s="52" t="e">
        <f>INDEX(UWS!$C$10:$C$41,MATCH(C310,UWS!$B$10:$B$41,0))</f>
        <v>#N/A</v>
      </c>
      <c r="I310" s="46">
        <f t="shared" si="354"/>
        <v>5</v>
      </c>
      <c r="J310" s="46" t="e">
        <f>INDEX(UWS!$E$10:$E$41,MATCH(C310,UWS!$B$10:$B$41,0))</f>
        <v>#N/A</v>
      </c>
      <c r="K310" s="46"/>
      <c r="L310" s="109" t="str" cm="1">
        <f t="array" ref="L310">IF(K310="","",INDEX(UWS!$B$10:$B$41,K310))</f>
        <v/>
      </c>
      <c r="M310" s="46"/>
      <c r="N310" s="109" t="str" cm="1">
        <f t="array" ref="N310">IF(M310="","",INDEX(UWS!$B$10:$B$41,M310))</f>
        <v/>
      </c>
      <c r="O310" s="47"/>
      <c r="P310" s="47">
        <f>IFERROR(INDEX(UWS!$G$10:$Z$41,MATCH($C310,UWS!$B$10:$B$41,0),MATCH(P$4,UWS!$G$3:$Z$3,0)),0)</f>
        <v>0</v>
      </c>
      <c r="Q310" s="47">
        <f>IFERROR(INDEX(UWS!$G$10:$Z$41,MATCH($C310,UWS!$B$10:$B$41,0),MATCH(Q$4,UWS!$G$3:$Z$3,0)),0)</f>
        <v>0</v>
      </c>
      <c r="R310" s="47">
        <f>IFERROR(INDEX(UWS!$G$10:$Z$41,MATCH($C310,UWS!$B$10:$B$41,0),MATCH(R$4,UWS!$G$3:$Z$3,0)),0)</f>
        <v>0</v>
      </c>
      <c r="S310" s="47">
        <f>IFERROR(INDEX(UWS!$G$10:$Z$41,MATCH($C310,UWS!$B$10:$B$41,0),MATCH(S$4,UWS!$G$3:$Z$3,0)),0)</f>
        <v>0</v>
      </c>
      <c r="T310" s="47">
        <f>IFERROR(INDEX(UWS!$G$10:$Z$41,MATCH($C310,UWS!$B$10:$B$41,0),MATCH(T$4,UWS!$G$3:$Z$3,0)),0)</f>
        <v>0</v>
      </c>
      <c r="U310" s="47">
        <f>IFERROR(INDEX(UWS!$G$10:$Z$41,MATCH($C310,UWS!$B$10:$B$41,0),MATCH(U$4,UWS!$G$3:$Z$3,0)),0)</f>
        <v>0</v>
      </c>
      <c r="V310" s="47">
        <f>IFERROR(INDEX(UWS!$G$10:$Z$41,MATCH($C310,UWS!$B$10:$B$41,0),MATCH(V$4,UWS!$G$3:$Z$3,0)),0)</f>
        <v>0</v>
      </c>
      <c r="W310" s="47">
        <f>IFERROR(INDEX(UWS!$G$10:$Z$41,MATCH($C310,UWS!$B$10:$B$41,0),MATCH(W$4,UWS!$G$3:$Z$3,0)),0)</f>
        <v>0</v>
      </c>
      <c r="X310" s="47">
        <f>IFERROR(INDEX(UWS!$G$10:$Z$41,MATCH($C310,UWS!$B$10:$B$41,0),MATCH(X$4,UWS!$G$3:$Z$3,0)),0)</f>
        <v>0</v>
      </c>
      <c r="Y310" s="47">
        <f>IFERROR(INDEX(UWS!$G$10:$Z$41,MATCH($C310,UWS!$B$10:$B$41,0),MATCH(Y$4,UWS!$G$3:$Z$3,0)),0)</f>
        <v>0</v>
      </c>
      <c r="Z310" s="47">
        <f>IFERROR(INDEX(UWS!$G$10:$Z$41,MATCH($C310,UWS!$B$10:$B$41,0),MATCH(Z$4,UWS!$G$3:$Z$3,0)),0)</f>
        <v>0</v>
      </c>
      <c r="AA310" s="47">
        <f>IFERROR(INDEX(UWS!$G$10:$Z$41,MATCH($C310,UWS!$B$10:$B$41,0),MATCH(AA$4,UWS!$G$3:$Z$3,0)),0)</f>
        <v>0</v>
      </c>
      <c r="AB310" s="47">
        <f>IFERROR(INDEX(UWS!$G$10:$Z$41,MATCH($C310,UWS!$B$10:$B$41,0),MATCH(AB$4,UWS!$G$3:$Z$3,0)),0)</f>
        <v>0</v>
      </c>
      <c r="AC310" s="47">
        <f>IFERROR(INDEX(UWS!$G$10:$Z$41,MATCH($C310,UWS!$B$10:$B$41,0),MATCH(AC$4,UWS!$G$3:$Z$3,0)),0)</f>
        <v>0</v>
      </c>
      <c r="AD310" s="47">
        <f>IFERROR(INDEX(UWS!$G$10:$Z$41,MATCH($C310,UWS!$B$10:$B$41,0),MATCH(AD$4,UWS!$G$3:$Z$3,0)),0)</f>
        <v>0</v>
      </c>
      <c r="AE310" s="47">
        <f>IFERROR(INDEX(UWS!$G$10:$Z$41,MATCH($C310,UWS!$B$10:$B$41,0),MATCH(AE$4,UWS!$G$3:$Z$3,0)),0)</f>
        <v>0</v>
      </c>
      <c r="AF310" s="47">
        <f>IFERROR(INDEX(UWS!$G$10:$Z$41,MATCH($C310,UWS!$B$10:$B$41,0),MATCH(AF$4,UWS!$G$3:$Z$3,0)),0)</f>
        <v>0</v>
      </c>
      <c r="AG310" s="47">
        <f>IFERROR(INDEX(UWS!$G$10:$Z$41,MATCH($C310,UWS!$B$10:$B$41,0),MATCH(AG$4,UWS!$G$3:$Z$3,0)),0)</f>
        <v>0</v>
      </c>
      <c r="AH310" s="47">
        <f>IFERROR(INDEX(UWS!$G$10:$Z$41,MATCH($C310,UWS!$B$10:$B$41,0),MATCH(AH$4,UWS!$G$3:$Z$3,0)),0)</f>
        <v>0</v>
      </c>
      <c r="AI310" s="47">
        <f>IFERROR(INDEX(UWS!$G$10:$Z$41,MATCH($C310,UWS!$B$10:$B$41,0),MATCH(AI$4,UWS!$G$3:$Z$3,0)),0)</f>
        <v>0</v>
      </c>
      <c r="AJ310" s="47"/>
      <c r="AK310" s="47" t="e">
        <f>IF(OR($J310=0,COUNTIFS($A$4:$A309,"&gt;="&amp;$A310-1,$A$4:$A309,"&lt;="&amp;$A310,$B$4:$B309,$B310)&gt;0,MIN(AK$1,IF($A310=$A309,AK309,1))-P310&lt;0),-1,MIN(1,IF($A310=$A309,AK309,1)-P310+$D$3))</f>
        <v>#N/A</v>
      </c>
      <c r="AL310" s="47" t="e">
        <f>IF(OR($J310=0,COUNTIFS($A$4:$A309,"&gt;="&amp;$A310-1,$A$4:$A309,"&lt;="&amp;$A310,$B$4:$B309,$B310)&gt;0,MIN(AL$1,IF($A310=$A309,AL309,1))-Q310&lt;0),-1,MIN(1,IF($A310=$A309,AL309,1)-Q310+$D$3))</f>
        <v>#N/A</v>
      </c>
      <c r="AM310" s="47" t="e">
        <f>IF(OR($J310=0,COUNTIFS($A$4:$A309,"&gt;="&amp;$A310-1,$A$4:$A309,"&lt;="&amp;$A310,$B$4:$B309,$B310)&gt;0,MIN(AM$1,IF($A310=$A309,AM309,1))-R310&lt;0),-1,MIN(1,IF($A310=$A309,AM309,1)-R310+$D$3))</f>
        <v>#N/A</v>
      </c>
      <c r="AN310" s="47" t="e">
        <f>IF(OR($J310=0,COUNTIFS($A$4:$A309,"&gt;="&amp;$A310-1,$A$4:$A309,"&lt;="&amp;$A310,$B$4:$B309,$B310)&gt;0,MIN(AN$1,IF($A310=$A309,AN309,1))-S310&lt;0),-1,MIN(1,IF($A310=$A309,AN309,1)-S310+$D$3))</f>
        <v>#N/A</v>
      </c>
      <c r="AO310" s="47" t="e">
        <f>IF(OR($J310=0,COUNTIFS($A$4:$A309,"&gt;="&amp;$A310-1,$A$4:$A309,"&lt;="&amp;$A310,$B$4:$B309,$B310)&gt;0,MIN(AO$1,IF($A310=$A309,AO309,1))-T310&lt;0),-1,MIN(1,IF($A310=$A309,AO309,1)-T310+$D$3))</f>
        <v>#N/A</v>
      </c>
      <c r="AP310" s="47" t="e">
        <f>IF(OR($J310=0,COUNTIFS($A$4:$A309,"&gt;="&amp;$A310-1,$A$4:$A309,"&lt;="&amp;$A310,$B$4:$B309,$B310)&gt;0,MIN(AP$1,IF($A310=$A309,AP309,1))-U310&lt;0),-1,MIN(1,IF($A310=$A309,AP309,1)-U310+$D$3))</f>
        <v>#N/A</v>
      </c>
      <c r="AQ310" s="47" t="e">
        <f>IF(OR($J310=0,COUNTIFS($A$4:$A309,"&gt;="&amp;$A310-1,$A$4:$A309,"&lt;="&amp;$A310,$B$4:$B309,$B310)&gt;0,MIN(AQ$1,IF($A310=$A309,AQ309,1))-V310&lt;0),-1,MIN(1,IF($A310=$A309,AQ309,1)-V310+$D$3))</f>
        <v>#N/A</v>
      </c>
      <c r="AR310" s="47" t="e">
        <f>IF(OR($J310=0,COUNTIFS($A$4:$A309,"&gt;="&amp;$A310-1,$A$4:$A309,"&lt;="&amp;$A310,$B$4:$B309,$B310)&gt;0,MIN(AR$1,IF($A310=$A309,AR309,1))-W310&lt;0),-1,MIN(1,IF($A310=$A309,AR309,1)-W310+$D$3))</f>
        <v>#N/A</v>
      </c>
      <c r="AS310" s="47" t="e">
        <f>IF(OR($J310=0,COUNTIFS($A$4:$A309,"&gt;="&amp;$A310-1,$A$4:$A309,"&lt;="&amp;$A310,$B$4:$B309,$B310)&gt;0,MIN(AS$1,IF($A310=$A309,AS309,1))-X310&lt;0),-1,MIN(1,IF($A310=$A309,AS309,1)-X310+$D$3))</f>
        <v>#N/A</v>
      </c>
      <c r="AT310" s="47" t="e">
        <f>IF(OR($J310=0,COUNTIFS($A$4:$A309,"&gt;="&amp;$A310-1,$A$4:$A309,"&lt;="&amp;$A310,$B$4:$B309,$B310)&gt;0,MIN(AT$1,IF($A310=$A309,AT309,1))-Y310&lt;0),-1,MIN(1,IF($A310=$A309,AT309,1)-Y310+$D$3))</f>
        <v>#N/A</v>
      </c>
      <c r="AU310" s="47" t="e">
        <f>IF(OR($J310=0,COUNTIFS($A$4:$A309,"&gt;="&amp;$A310-1,$A$4:$A309,"&lt;="&amp;$A310,$B$4:$B309,$B310)&gt;0,MIN(AU$1,IF($A310=$A309,AU309,1))-Z310&lt;0),-1,MIN(1,IF($A310=$A309,AU309,1)-Z310+$D$3))</f>
        <v>#N/A</v>
      </c>
      <c r="AV310" s="47" t="e">
        <f>IF(OR($J310=0,COUNTIFS($A$4:$A309,"&gt;="&amp;$A310-1,$A$4:$A309,"&lt;="&amp;$A310,$B$4:$B309,$B310)&gt;0,MIN(AV$1,IF($A310=$A309,AV309,1))-AA310&lt;0),-1,MIN(1,IF($A310=$A309,AV309,1)-AA310+$D$3))</f>
        <v>#N/A</v>
      </c>
      <c r="AW310" s="47" t="e">
        <f>IF(OR($J310=0,COUNTIFS($A$4:$A309,"&gt;="&amp;$A310-1,$A$4:$A309,"&lt;="&amp;$A310,$B$4:$B309,$B310)&gt;0,MIN(AW$1,IF($A310=$A309,AW309,1))-AB310&lt;0),-1,MIN(1,IF($A310=$A309,AW309,1)-AB310+$D$3))</f>
        <v>#N/A</v>
      </c>
      <c r="AX310" s="47" t="e">
        <f>IF(OR($J310=0,COUNTIFS($A$4:$A309,"&gt;="&amp;$A310-1,$A$4:$A309,"&lt;="&amp;$A310,$B$4:$B309,$B310)&gt;0,MIN(AX$1,IF($A310=$A309,AX309,1))-AC310&lt;0),-1,MIN(1,IF($A310=$A309,AX309,1)-AC310+$D$3))</f>
        <v>#N/A</v>
      </c>
      <c r="AY310" s="47" t="e">
        <f>IF(OR($J310=0,COUNTIFS($A$4:$A309,"&gt;="&amp;$A310-1,$A$4:$A309,"&lt;="&amp;$A310,$B$4:$B309,$B310)&gt;0,MIN(AY$1,IF($A310=$A309,AY309,1))-AD310&lt;0),-1,MIN(1,IF($A310=$A309,AY309,1)-AD310+$D$3))</f>
        <v>#N/A</v>
      </c>
      <c r="AZ310" s="47" t="e">
        <f>IF(OR($J310=0,COUNTIFS($A$4:$A309,"&gt;="&amp;$A310-1,$A$4:$A309,"&lt;="&amp;$A310,$B$4:$B309,$B310)&gt;0,MIN(AZ$1,IF($A310=$A309,AZ309,1))-AE310&lt;0),-1,MIN(1,IF($A310=$A309,AZ309,1)-AE310+$D$3))</f>
        <v>#N/A</v>
      </c>
      <c r="BA310" s="47" t="e">
        <f>IF(OR($J310=0,COUNTIFS($A$4:$A309,"&gt;="&amp;$A310-1,$A$4:$A309,"&lt;="&amp;$A310,$B$4:$B309,$B310)&gt;0,MIN(BA$1,IF($A310=$A309,BA309,1))-AF310&lt;0),-1,MIN(1,IF($A310=$A309,BA309,1)-AF310+$D$3))</f>
        <v>#N/A</v>
      </c>
      <c r="BB310" s="47" t="e">
        <f>IF(OR($J310=0,COUNTIFS($A$4:$A309,"&gt;="&amp;$A310-1,$A$4:$A309,"&lt;="&amp;$A310,$B$4:$B309,$B310)&gt;0,MIN(BB$1,IF($A310=$A309,BB309,1))-AG310&lt;0),-1,MIN(1,IF($A310=$A309,BB309,1)-AG310+$D$3))</f>
        <v>#N/A</v>
      </c>
      <c r="BC310" s="47" t="e">
        <f>IF(OR($J310=0,COUNTIFS($A$4:$A309,"&gt;="&amp;$A310-1,$A$4:$A309,"&lt;="&amp;$A310,$B$4:$B309,$B310)&gt;0,MIN(BC$1,IF($A310=$A309,BC309,1))-AH310&lt;0),-1,MIN(1,IF($A310=$A309,BC309,1)-AH310+$D$3))</f>
        <v>#N/A</v>
      </c>
      <c r="BD310" s="47" t="e">
        <f>IF(OR($J310=0,COUNTIFS($A$4:$A309,"&gt;="&amp;$A310-1,$A$4:$A309,"&lt;="&amp;$A310,$B$4:$B309,$B310)&gt;0,MIN(BD$1,IF($A310=$A309,BD309,1))-AI310&lt;0),-1,MIN(1,IF($A310=$A309,BD309,1)-AI310+$D$3))</f>
        <v>#N/A</v>
      </c>
      <c r="BE310" s="47"/>
      <c r="BF310" s="53">
        <f t="shared" si="355"/>
        <v>3.2339188080170057E-7</v>
      </c>
      <c r="BG310" s="53">
        <f t="shared" si="356"/>
        <v>7.953118900202322E-7</v>
      </c>
      <c r="BH310" s="53">
        <f t="shared" si="357"/>
        <v>8.1511102865307523E-7</v>
      </c>
      <c r="BI310" s="53">
        <f t="shared" si="358"/>
        <v>7.5293628445143503E-7</v>
      </c>
      <c r="BJ310" s="53">
        <f t="shared" si="359"/>
        <v>7.7823113070938795E-7</v>
      </c>
      <c r="BK310" s="53">
        <f t="shared" si="360"/>
        <v>3.3420146382730632E-7</v>
      </c>
      <c r="BL310" s="53">
        <f t="shared" si="361"/>
        <v>1.8054088854871291E-7</v>
      </c>
      <c r="BM310" s="53">
        <f t="shared" si="362"/>
        <v>4.5927493779921018E-7</v>
      </c>
      <c r="BN310" s="53">
        <f t="shared" si="363"/>
        <v>4.7768172907849687E-7</v>
      </c>
      <c r="BO310" s="53">
        <f t="shared" si="364"/>
        <v>2.2385978418736973E-7</v>
      </c>
      <c r="BP310" s="53">
        <f t="shared" si="365"/>
        <v>7.5272353668961997E-7</v>
      </c>
      <c r="BQ310" s="53">
        <f t="shared" si="366"/>
        <v>2.0312892332887013E-7</v>
      </c>
      <c r="BR310" s="53">
        <f t="shared" si="367"/>
        <v>6.0009368800065937E-7</v>
      </c>
      <c r="BS310" s="53">
        <f t="shared" si="368"/>
        <v>3.2363848925031018E-7</v>
      </c>
      <c r="BT310" s="53">
        <f t="shared" si="369"/>
        <v>1.2807367219018705E-6</v>
      </c>
      <c r="BU310" s="53">
        <f t="shared" si="370"/>
        <v>1.2234889578254297E-6</v>
      </c>
      <c r="BV310" s="53">
        <f t="shared" si="371"/>
        <v>1.1749983168516203E-6</v>
      </c>
      <c r="BW310" s="53">
        <f t="shared" si="372"/>
        <v>7.6851355986856991E-7</v>
      </c>
      <c r="BX310" s="53">
        <f t="shared" si="373"/>
        <v>5.6776386239926696E-7</v>
      </c>
      <c r="BY310" s="53">
        <f t="shared" si="374"/>
        <v>4.8749053291598413E-7</v>
      </c>
      <c r="BZ310" s="47"/>
      <c r="CA310" s="53" t="str">
        <f t="shared" si="375"/>
        <v/>
      </c>
      <c r="CB310" s="53" t="str">
        <f t="shared" si="376"/>
        <v/>
      </c>
      <c r="CC310" s="53" t="str">
        <f t="shared" si="377"/>
        <v/>
      </c>
      <c r="CD310" s="53" t="str">
        <f t="shared" si="378"/>
        <v/>
      </c>
      <c r="CE310" s="53" t="str">
        <f t="shared" si="379"/>
        <v/>
      </c>
      <c r="CF310" s="53" t="str">
        <f t="shared" si="380"/>
        <v/>
      </c>
      <c r="CG310" s="53" t="str">
        <f t="shared" si="381"/>
        <v/>
      </c>
      <c r="CH310" s="53" t="str">
        <f t="shared" si="382"/>
        <v/>
      </c>
      <c r="CI310" s="53" t="str">
        <f t="shared" si="383"/>
        <v/>
      </c>
      <c r="CJ310" s="53" t="str">
        <f t="shared" si="384"/>
        <v/>
      </c>
      <c r="CK310" s="53" t="str">
        <f t="shared" si="385"/>
        <v/>
      </c>
      <c r="CL310" s="53" t="str">
        <f t="shared" si="386"/>
        <v/>
      </c>
      <c r="CM310" s="53" t="str">
        <f t="shared" si="387"/>
        <v/>
      </c>
      <c r="CN310" s="53" t="str">
        <f t="shared" si="388"/>
        <v/>
      </c>
      <c r="CO310" s="53" t="str">
        <f t="shared" si="389"/>
        <v/>
      </c>
      <c r="CP310" s="53" t="str">
        <f t="shared" si="390"/>
        <v/>
      </c>
      <c r="CQ310" s="53" t="str">
        <f t="shared" si="391"/>
        <v/>
      </c>
      <c r="CR310" s="53" t="str">
        <f t="shared" si="392"/>
        <v/>
      </c>
      <c r="CS310" s="53" t="str">
        <f t="shared" si="393"/>
        <v/>
      </c>
      <c r="CT310" s="53" t="str">
        <f t="shared" si="394"/>
        <v/>
      </c>
      <c r="CU310" s="47"/>
      <c r="CV310" s="53">
        <f t="shared" si="395"/>
        <v>0</v>
      </c>
    </row>
    <row r="311" spans="1:100" x14ac:dyDescent="0.25">
      <c r="A311" s="41"/>
      <c r="B311" s="42"/>
      <c r="C311" s="43" t="str" cm="1">
        <f t="array" ref="C311">IF(B311="","",INDEX(UWS!$B$10:$B$41,B311))</f>
        <v/>
      </c>
      <c r="D311" s="40" t="str">
        <f t="shared" si="352"/>
        <v/>
      </c>
      <c r="E311" s="69" t="str">
        <f t="shared" si="353"/>
        <v/>
      </c>
      <c r="F311" s="48" cm="1">
        <f t="array" ref="F311">0.1+IFERROR(INDEX($F$5:$F310,SUMPRODUCT(MAX(ROW($C$5:$C310)*($C311=$C$5:$C310))-ROW($A$4)))*0.9^($A311-INDEX($A$5:A310,SUMPRODUCT(MAX(ROW($C$5:$C310)*($C311=$C$5:$C310))-ROW($A$4)))),0)</f>
        <v>24.60000000000008</v>
      </c>
      <c r="G311" s="55" t="e">
        <f>INDEX(UWS!$AB$10:$AB$41,MATCH(C311,UWS!$B$10:$B$41,0))</f>
        <v>#N/A</v>
      </c>
      <c r="H311" s="48" t="e">
        <f>INDEX(UWS!$C$10:$C$41,MATCH(C311,UWS!$B$10:$B$41,0))</f>
        <v>#N/A</v>
      </c>
      <c r="I311" s="82">
        <f t="shared" si="354"/>
        <v>5</v>
      </c>
      <c r="J311" s="27" t="e">
        <f>INDEX(UWS!$E$10:$E$41,MATCH(C311,UWS!$B$10:$B$41,0))</f>
        <v>#N/A</v>
      </c>
      <c r="L311" s="108" t="str" cm="1">
        <f t="array" ref="L311">IF(K311="","",INDEX(UWS!$B$10:$B$41,K311))</f>
        <v/>
      </c>
      <c r="N311" s="108" t="str" cm="1">
        <f t="array" ref="N311">IF(M311="","",INDEX(UWS!$B$10:$B$41,M311))</f>
        <v/>
      </c>
      <c r="P311">
        <f>IFERROR(INDEX(UWS!$G$10:$Z$41,MATCH($C311,UWS!$B$10:$B$41,0),MATCH(P$4,UWS!$G$3:$Z$3,0)),0)</f>
        <v>0</v>
      </c>
      <c r="Q311">
        <f>IFERROR(INDEX(UWS!$G$10:$Z$41,MATCH($C311,UWS!$B$10:$B$41,0),MATCH(Q$4,UWS!$G$3:$Z$3,0)),0)</f>
        <v>0</v>
      </c>
      <c r="R311">
        <f>IFERROR(INDEX(UWS!$G$10:$Z$41,MATCH($C311,UWS!$B$10:$B$41,0),MATCH(R$4,UWS!$G$3:$Z$3,0)),0)</f>
        <v>0</v>
      </c>
      <c r="S311">
        <f>IFERROR(INDEX(UWS!$G$10:$Z$41,MATCH($C311,UWS!$B$10:$B$41,0),MATCH(S$4,UWS!$G$3:$Z$3,0)),0)</f>
        <v>0</v>
      </c>
      <c r="T311">
        <f>IFERROR(INDEX(UWS!$G$10:$Z$41,MATCH($C311,UWS!$B$10:$B$41,0),MATCH(T$4,UWS!$G$3:$Z$3,0)),0)</f>
        <v>0</v>
      </c>
      <c r="U311">
        <f>IFERROR(INDEX(UWS!$G$10:$Z$41,MATCH($C311,UWS!$B$10:$B$41,0),MATCH(U$4,UWS!$G$3:$Z$3,0)),0)</f>
        <v>0</v>
      </c>
      <c r="V311">
        <f>IFERROR(INDEX(UWS!$G$10:$Z$41,MATCH($C311,UWS!$B$10:$B$41,0),MATCH(V$4,UWS!$G$3:$Z$3,0)),0)</f>
        <v>0</v>
      </c>
      <c r="W311">
        <f>IFERROR(INDEX(UWS!$G$10:$Z$41,MATCH($C311,UWS!$B$10:$B$41,0),MATCH(W$4,UWS!$G$3:$Z$3,0)),0)</f>
        <v>0</v>
      </c>
      <c r="X311">
        <f>IFERROR(INDEX(UWS!$G$10:$Z$41,MATCH($C311,UWS!$B$10:$B$41,0),MATCH(X$4,UWS!$G$3:$Z$3,0)),0)</f>
        <v>0</v>
      </c>
      <c r="Y311">
        <f>IFERROR(INDEX(UWS!$G$10:$Z$41,MATCH($C311,UWS!$B$10:$B$41,0),MATCH(Y$4,UWS!$G$3:$Z$3,0)),0)</f>
        <v>0</v>
      </c>
      <c r="Z311">
        <f>IFERROR(INDEX(UWS!$G$10:$Z$41,MATCH($C311,UWS!$B$10:$B$41,0),MATCH(Z$4,UWS!$G$3:$Z$3,0)),0)</f>
        <v>0</v>
      </c>
      <c r="AA311">
        <f>IFERROR(INDEX(UWS!$G$10:$Z$41,MATCH($C311,UWS!$B$10:$B$41,0),MATCH(AA$4,UWS!$G$3:$Z$3,0)),0)</f>
        <v>0</v>
      </c>
      <c r="AB311">
        <f>IFERROR(INDEX(UWS!$G$10:$Z$41,MATCH($C311,UWS!$B$10:$B$41,0),MATCH(AB$4,UWS!$G$3:$Z$3,0)),0)</f>
        <v>0</v>
      </c>
      <c r="AC311">
        <f>IFERROR(INDEX(UWS!$G$10:$Z$41,MATCH($C311,UWS!$B$10:$B$41,0),MATCH(AC$4,UWS!$G$3:$Z$3,0)),0)</f>
        <v>0</v>
      </c>
      <c r="AD311">
        <f>IFERROR(INDEX(UWS!$G$10:$Z$41,MATCH($C311,UWS!$B$10:$B$41,0),MATCH(AD$4,UWS!$G$3:$Z$3,0)),0)</f>
        <v>0</v>
      </c>
      <c r="AE311">
        <f>IFERROR(INDEX(UWS!$G$10:$Z$41,MATCH($C311,UWS!$B$10:$B$41,0),MATCH(AE$4,UWS!$G$3:$Z$3,0)),0)</f>
        <v>0</v>
      </c>
      <c r="AF311">
        <f>IFERROR(INDEX(UWS!$G$10:$Z$41,MATCH($C311,UWS!$B$10:$B$41,0),MATCH(AF$4,UWS!$G$3:$Z$3,0)),0)</f>
        <v>0</v>
      </c>
      <c r="AG311">
        <f>IFERROR(INDEX(UWS!$G$10:$Z$41,MATCH($C311,UWS!$B$10:$B$41,0),MATCH(AG$4,UWS!$G$3:$Z$3,0)),0)</f>
        <v>0</v>
      </c>
      <c r="AH311">
        <f>IFERROR(INDEX(UWS!$G$10:$Z$41,MATCH($C311,UWS!$B$10:$B$41,0),MATCH(AH$4,UWS!$G$3:$Z$3,0)),0)</f>
        <v>0</v>
      </c>
      <c r="AI311">
        <f>IFERROR(INDEX(UWS!$G$10:$Z$41,MATCH($C311,UWS!$B$10:$B$41,0),MATCH(AI$4,UWS!$G$3:$Z$3,0)),0)</f>
        <v>0</v>
      </c>
      <c r="AK311" t="e">
        <f>IF(OR($J311=0,COUNTIFS($A$4:$A310,"&gt;="&amp;$A311-1,$A$4:$A310,"&lt;="&amp;$A311,$B$4:$B310,$B311)&gt;0,MIN(AK$1,IF($A311=$A310,AK310,1))-P311&lt;0),-1,MIN(1,IF($A311=$A310,AK310,1)-P311+$D$3))</f>
        <v>#N/A</v>
      </c>
      <c r="AL311" t="e">
        <f>IF(OR($J311=0,COUNTIFS($A$4:$A310,"&gt;="&amp;$A311-1,$A$4:$A310,"&lt;="&amp;$A311,$B$4:$B310,$B311)&gt;0,MIN(AL$1,IF($A311=$A310,AL310,1))-Q311&lt;0),-1,MIN(1,IF($A311=$A310,AL310,1)-Q311+$D$3))</f>
        <v>#N/A</v>
      </c>
      <c r="AM311" t="e">
        <f>IF(OR($J311=0,COUNTIFS($A$4:$A310,"&gt;="&amp;$A311-1,$A$4:$A310,"&lt;="&amp;$A311,$B$4:$B310,$B311)&gt;0,MIN(AM$1,IF($A311=$A310,AM310,1))-R311&lt;0),-1,MIN(1,IF($A311=$A310,AM310,1)-R311+$D$3))</f>
        <v>#N/A</v>
      </c>
      <c r="AN311" t="e">
        <f>IF(OR($J311=0,COUNTIFS($A$4:$A310,"&gt;="&amp;$A311-1,$A$4:$A310,"&lt;="&amp;$A311,$B$4:$B310,$B311)&gt;0,MIN(AN$1,IF($A311=$A310,AN310,1))-S311&lt;0),-1,MIN(1,IF($A311=$A310,AN310,1)-S311+$D$3))</f>
        <v>#N/A</v>
      </c>
      <c r="AO311" t="e">
        <f>IF(OR($J311=0,COUNTIFS($A$4:$A310,"&gt;="&amp;$A311-1,$A$4:$A310,"&lt;="&amp;$A311,$B$4:$B310,$B311)&gt;0,MIN(AO$1,IF($A311=$A310,AO310,1))-T311&lt;0),-1,MIN(1,IF($A311=$A310,AO310,1)-T311+$D$3))</f>
        <v>#N/A</v>
      </c>
      <c r="AP311" t="e">
        <f>IF(OR($J311=0,COUNTIFS($A$4:$A310,"&gt;="&amp;$A311-1,$A$4:$A310,"&lt;="&amp;$A311,$B$4:$B310,$B311)&gt;0,MIN(AP$1,IF($A311=$A310,AP310,1))-U311&lt;0),-1,MIN(1,IF($A311=$A310,AP310,1)-U311+$D$3))</f>
        <v>#N/A</v>
      </c>
      <c r="AQ311" t="e">
        <f>IF(OR($J311=0,COUNTIFS($A$4:$A310,"&gt;="&amp;$A311-1,$A$4:$A310,"&lt;="&amp;$A311,$B$4:$B310,$B311)&gt;0,MIN(AQ$1,IF($A311=$A310,AQ310,1))-V311&lt;0),-1,MIN(1,IF($A311=$A310,AQ310,1)-V311+$D$3))</f>
        <v>#N/A</v>
      </c>
      <c r="AR311" t="e">
        <f>IF(OR($J311=0,COUNTIFS($A$4:$A310,"&gt;="&amp;$A311-1,$A$4:$A310,"&lt;="&amp;$A311,$B$4:$B310,$B311)&gt;0,MIN(AR$1,IF($A311=$A310,AR310,1))-W311&lt;0),-1,MIN(1,IF($A311=$A310,AR310,1)-W311+$D$3))</f>
        <v>#N/A</v>
      </c>
      <c r="AS311" t="e">
        <f>IF(OR($J311=0,COUNTIFS($A$4:$A310,"&gt;="&amp;$A311-1,$A$4:$A310,"&lt;="&amp;$A311,$B$4:$B310,$B311)&gt;0,MIN(AS$1,IF($A311=$A310,AS310,1))-X311&lt;0),-1,MIN(1,IF($A311=$A310,AS310,1)-X311+$D$3))</f>
        <v>#N/A</v>
      </c>
      <c r="AT311" t="e">
        <f>IF(OR($J311=0,COUNTIFS($A$4:$A310,"&gt;="&amp;$A311-1,$A$4:$A310,"&lt;="&amp;$A311,$B$4:$B310,$B311)&gt;0,MIN(AT$1,IF($A311=$A310,AT310,1))-Y311&lt;0),-1,MIN(1,IF($A311=$A310,AT310,1)-Y311+$D$3))</f>
        <v>#N/A</v>
      </c>
      <c r="AU311" t="e">
        <f>IF(OR($J311=0,COUNTIFS($A$4:$A310,"&gt;="&amp;$A311-1,$A$4:$A310,"&lt;="&amp;$A311,$B$4:$B310,$B311)&gt;0,MIN(AU$1,IF($A311=$A310,AU310,1))-Z311&lt;0),-1,MIN(1,IF($A311=$A310,AU310,1)-Z311+$D$3))</f>
        <v>#N/A</v>
      </c>
      <c r="AV311" t="e">
        <f>IF(OR($J311=0,COUNTIFS($A$4:$A310,"&gt;="&amp;$A311-1,$A$4:$A310,"&lt;="&amp;$A311,$B$4:$B310,$B311)&gt;0,MIN(AV$1,IF($A311=$A310,AV310,1))-AA311&lt;0),-1,MIN(1,IF($A311=$A310,AV310,1)-AA311+$D$3))</f>
        <v>#N/A</v>
      </c>
      <c r="AW311" t="e">
        <f>IF(OR($J311=0,COUNTIFS($A$4:$A310,"&gt;="&amp;$A311-1,$A$4:$A310,"&lt;="&amp;$A311,$B$4:$B310,$B311)&gt;0,MIN(AW$1,IF($A311=$A310,AW310,1))-AB311&lt;0),-1,MIN(1,IF($A311=$A310,AW310,1)-AB311+$D$3))</f>
        <v>#N/A</v>
      </c>
      <c r="AX311" t="e">
        <f>IF(OR($J311=0,COUNTIFS($A$4:$A310,"&gt;="&amp;$A311-1,$A$4:$A310,"&lt;="&amp;$A311,$B$4:$B310,$B311)&gt;0,MIN(AX$1,IF($A311=$A310,AX310,1))-AC311&lt;0),-1,MIN(1,IF($A311=$A310,AX310,1)-AC311+$D$3))</f>
        <v>#N/A</v>
      </c>
      <c r="AY311" t="e">
        <f>IF(OR($J311=0,COUNTIFS($A$4:$A310,"&gt;="&amp;$A311-1,$A$4:$A310,"&lt;="&amp;$A311,$B$4:$B310,$B311)&gt;0,MIN(AY$1,IF($A311=$A310,AY310,1))-AD311&lt;0),-1,MIN(1,IF($A311=$A310,AY310,1)-AD311+$D$3))</f>
        <v>#N/A</v>
      </c>
      <c r="AZ311" t="e">
        <f>IF(OR($J311=0,COUNTIFS($A$4:$A310,"&gt;="&amp;$A311-1,$A$4:$A310,"&lt;="&amp;$A311,$B$4:$B310,$B311)&gt;0,MIN(AZ$1,IF($A311=$A310,AZ310,1))-AE311&lt;0),-1,MIN(1,IF($A311=$A310,AZ310,1)-AE311+$D$3))</f>
        <v>#N/A</v>
      </c>
      <c r="BA311" t="e">
        <f>IF(OR($J311=0,COUNTIFS($A$4:$A310,"&gt;="&amp;$A311-1,$A$4:$A310,"&lt;="&amp;$A311,$B$4:$B310,$B311)&gt;0,MIN(BA$1,IF($A311=$A310,BA310,1))-AF311&lt;0),-1,MIN(1,IF($A311=$A310,BA310,1)-AF311+$D$3))</f>
        <v>#N/A</v>
      </c>
      <c r="BB311" t="e">
        <f>IF(OR($J311=0,COUNTIFS($A$4:$A310,"&gt;="&amp;$A311-1,$A$4:$A310,"&lt;="&amp;$A311,$B$4:$B310,$B311)&gt;0,MIN(BB$1,IF($A311=$A310,BB310,1))-AG311&lt;0),-1,MIN(1,IF($A311=$A310,BB310,1)-AG311+$D$3))</f>
        <v>#N/A</v>
      </c>
      <c r="BC311" t="e">
        <f>IF(OR($J311=0,COUNTIFS($A$4:$A310,"&gt;="&amp;$A311-1,$A$4:$A310,"&lt;="&amp;$A311,$B$4:$B310,$B311)&gt;0,MIN(BC$1,IF($A311=$A310,BC310,1))-AH311&lt;0),-1,MIN(1,IF($A311=$A310,BC310,1)-AH311+$D$3))</f>
        <v>#N/A</v>
      </c>
      <c r="BD311" t="e">
        <f>IF(OR($J311=0,COUNTIFS($A$4:$A310,"&gt;="&amp;$A311-1,$A$4:$A310,"&lt;="&amp;$A311,$B$4:$B310,$B311)&gt;0,MIN(BD$1,IF($A311=$A310,BD310,1))-AI311&lt;0),-1,MIN(1,IF($A311=$A310,BD310,1)-AI311+$D$3))</f>
        <v>#N/A</v>
      </c>
      <c r="BF311" s="44">
        <f t="shared" si="355"/>
        <v>3.072222867616155E-7</v>
      </c>
      <c r="BG311" s="44">
        <f t="shared" si="356"/>
        <v>7.5554629551922052E-7</v>
      </c>
      <c r="BH311" s="44">
        <f t="shared" si="357"/>
        <v>7.7435547722042149E-7</v>
      </c>
      <c r="BI311" s="44">
        <f t="shared" si="358"/>
        <v>7.152894702288632E-7</v>
      </c>
      <c r="BJ311" s="44">
        <f t="shared" si="359"/>
        <v>7.3931957417391854E-7</v>
      </c>
      <c r="BK311" s="44">
        <f t="shared" si="360"/>
        <v>3.1749139063594099E-7</v>
      </c>
      <c r="BL311" s="44">
        <f t="shared" si="361"/>
        <v>1.7151384412127725E-7</v>
      </c>
      <c r="BM311" s="44">
        <f t="shared" si="362"/>
        <v>4.3631119090924963E-7</v>
      </c>
      <c r="BN311" s="44">
        <f t="shared" si="363"/>
        <v>4.53797642624572E-7</v>
      </c>
      <c r="BO311" s="44">
        <f t="shared" si="364"/>
        <v>2.1266679497800124E-7</v>
      </c>
      <c r="BP311" s="44">
        <f t="shared" si="365"/>
        <v>7.1508735985513898E-7</v>
      </c>
      <c r="BQ311" s="44">
        <f t="shared" si="366"/>
        <v>1.9297247716242661E-7</v>
      </c>
      <c r="BR311" s="44">
        <f t="shared" si="367"/>
        <v>5.7008900360062638E-7</v>
      </c>
      <c r="BS311" s="44">
        <f t="shared" si="368"/>
        <v>3.0745656478779464E-7</v>
      </c>
      <c r="BT311" s="44">
        <f t="shared" si="369"/>
        <v>1.2166998858067769E-6</v>
      </c>
      <c r="BU311" s="44">
        <f t="shared" si="370"/>
        <v>1.1623145099341582E-6</v>
      </c>
      <c r="BV311" s="44">
        <f t="shared" si="371"/>
        <v>1.1162484010090392E-6</v>
      </c>
      <c r="BW311" s="44">
        <f t="shared" si="372"/>
        <v>7.300878818751414E-7</v>
      </c>
      <c r="BX311" s="44">
        <f t="shared" si="373"/>
        <v>5.3937566927930362E-7</v>
      </c>
      <c r="BY311" s="44">
        <f t="shared" si="374"/>
        <v>4.6311600627018493E-7</v>
      </c>
      <c r="CA311" s="44" t="str">
        <f t="shared" si="375"/>
        <v/>
      </c>
      <c r="CB311" s="44" t="str">
        <f t="shared" si="376"/>
        <v/>
      </c>
      <c r="CC311" s="44" t="str">
        <f t="shared" si="377"/>
        <v/>
      </c>
      <c r="CD311" s="44" t="str">
        <f t="shared" si="378"/>
        <v/>
      </c>
      <c r="CE311" s="44" t="str">
        <f t="shared" si="379"/>
        <v/>
      </c>
      <c r="CF311" s="44" t="str">
        <f t="shared" si="380"/>
        <v/>
      </c>
      <c r="CG311" s="44" t="str">
        <f t="shared" si="381"/>
        <v/>
      </c>
      <c r="CH311" s="44" t="str">
        <f t="shared" si="382"/>
        <v/>
      </c>
      <c r="CI311" s="44" t="str">
        <f t="shared" si="383"/>
        <v/>
      </c>
      <c r="CJ311" s="44" t="str">
        <f t="shared" si="384"/>
        <v/>
      </c>
      <c r="CK311" s="44" t="str">
        <f t="shared" si="385"/>
        <v/>
      </c>
      <c r="CL311" s="44" t="str">
        <f t="shared" si="386"/>
        <v/>
      </c>
      <c r="CM311" s="44" t="str">
        <f t="shared" si="387"/>
        <v/>
      </c>
      <c r="CN311" s="44" t="str">
        <f t="shared" si="388"/>
        <v/>
      </c>
      <c r="CO311" s="44" t="str">
        <f t="shared" si="389"/>
        <v/>
      </c>
      <c r="CP311" s="44" t="str">
        <f t="shared" si="390"/>
        <v/>
      </c>
      <c r="CQ311" s="44" t="str">
        <f t="shared" si="391"/>
        <v/>
      </c>
      <c r="CR311" s="44" t="str">
        <f t="shared" si="392"/>
        <v/>
      </c>
      <c r="CS311" s="44" t="str">
        <f t="shared" si="393"/>
        <v/>
      </c>
      <c r="CT311" s="44" t="str">
        <f t="shared" si="394"/>
        <v/>
      </c>
      <c r="CV311" s="44">
        <f t="shared" si="395"/>
        <v>0</v>
      </c>
    </row>
    <row r="312" spans="1:100" x14ac:dyDescent="0.25">
      <c r="A312" s="41"/>
      <c r="B312" s="42"/>
      <c r="C312" s="43" t="str" cm="1">
        <f t="array" ref="C312">IF(B312="","",INDEX(UWS!$B$10:$B$41,B312))</f>
        <v/>
      </c>
      <c r="D312" s="40" t="str">
        <f t="shared" si="352"/>
        <v/>
      </c>
      <c r="E312" s="69" t="str">
        <f t="shared" si="353"/>
        <v/>
      </c>
      <c r="F312" s="48" cm="1">
        <f t="array" ref="F312">0.1+IFERROR(INDEX($F$5:$F311,SUMPRODUCT(MAX(ROW($C$5:$C311)*($C312=$C$5:$C311))-ROW($A$4)))*0.9^($A312-INDEX($A$5:A311,SUMPRODUCT(MAX(ROW($C$5:$C311)*($C312=$C$5:$C311))-ROW($A$4)))),0)</f>
        <v>24.700000000000081</v>
      </c>
      <c r="G312" s="55" t="e">
        <f>INDEX(UWS!$AB$10:$AB$41,MATCH(C312,UWS!$B$10:$B$41,0))</f>
        <v>#N/A</v>
      </c>
      <c r="H312" s="48" t="e">
        <f>INDEX(UWS!$C$10:$C$41,MATCH(C312,UWS!$B$10:$B$41,0))</f>
        <v>#N/A</v>
      </c>
      <c r="I312" s="27">
        <f t="shared" si="354"/>
        <v>5</v>
      </c>
      <c r="J312" s="27" t="e">
        <f>INDEX(UWS!$E$10:$E$41,MATCH(C312,UWS!$B$10:$B$41,0))</f>
        <v>#N/A</v>
      </c>
      <c r="L312" s="108" t="str" cm="1">
        <f t="array" ref="L312">IF(K312="","",INDEX(UWS!$B$10:$B$41,K312))</f>
        <v/>
      </c>
      <c r="N312" s="108" t="str" cm="1">
        <f t="array" ref="N312">IF(M312="","",INDEX(UWS!$B$10:$B$41,M312))</f>
        <v/>
      </c>
      <c r="P312">
        <f>IFERROR(INDEX(UWS!$G$10:$Z$41,MATCH($C312,UWS!$B$10:$B$41,0),MATCH(P$4,UWS!$G$3:$Z$3,0)),0)</f>
        <v>0</v>
      </c>
      <c r="Q312">
        <f>IFERROR(INDEX(UWS!$G$10:$Z$41,MATCH($C312,UWS!$B$10:$B$41,0),MATCH(Q$4,UWS!$G$3:$Z$3,0)),0)</f>
        <v>0</v>
      </c>
      <c r="R312">
        <f>IFERROR(INDEX(UWS!$G$10:$Z$41,MATCH($C312,UWS!$B$10:$B$41,0),MATCH(R$4,UWS!$G$3:$Z$3,0)),0)</f>
        <v>0</v>
      </c>
      <c r="S312">
        <f>IFERROR(INDEX(UWS!$G$10:$Z$41,MATCH($C312,UWS!$B$10:$B$41,0),MATCH(S$4,UWS!$G$3:$Z$3,0)),0)</f>
        <v>0</v>
      </c>
      <c r="T312">
        <f>IFERROR(INDEX(UWS!$G$10:$Z$41,MATCH($C312,UWS!$B$10:$B$41,0),MATCH(T$4,UWS!$G$3:$Z$3,0)),0)</f>
        <v>0</v>
      </c>
      <c r="U312">
        <f>IFERROR(INDEX(UWS!$G$10:$Z$41,MATCH($C312,UWS!$B$10:$B$41,0),MATCH(U$4,UWS!$G$3:$Z$3,0)),0)</f>
        <v>0</v>
      </c>
      <c r="V312">
        <f>IFERROR(INDEX(UWS!$G$10:$Z$41,MATCH($C312,UWS!$B$10:$B$41,0),MATCH(V$4,UWS!$G$3:$Z$3,0)),0)</f>
        <v>0</v>
      </c>
      <c r="W312">
        <f>IFERROR(INDEX(UWS!$G$10:$Z$41,MATCH($C312,UWS!$B$10:$B$41,0),MATCH(W$4,UWS!$G$3:$Z$3,0)),0)</f>
        <v>0</v>
      </c>
      <c r="X312">
        <f>IFERROR(INDEX(UWS!$G$10:$Z$41,MATCH($C312,UWS!$B$10:$B$41,0),MATCH(X$4,UWS!$G$3:$Z$3,0)),0)</f>
        <v>0</v>
      </c>
      <c r="Y312">
        <f>IFERROR(INDEX(UWS!$G$10:$Z$41,MATCH($C312,UWS!$B$10:$B$41,0),MATCH(Y$4,UWS!$G$3:$Z$3,0)),0)</f>
        <v>0</v>
      </c>
      <c r="Z312">
        <f>IFERROR(INDEX(UWS!$G$10:$Z$41,MATCH($C312,UWS!$B$10:$B$41,0),MATCH(Z$4,UWS!$G$3:$Z$3,0)),0)</f>
        <v>0</v>
      </c>
      <c r="AA312">
        <f>IFERROR(INDEX(UWS!$G$10:$Z$41,MATCH($C312,UWS!$B$10:$B$41,0),MATCH(AA$4,UWS!$G$3:$Z$3,0)),0)</f>
        <v>0</v>
      </c>
      <c r="AB312">
        <f>IFERROR(INDEX(UWS!$G$10:$Z$41,MATCH($C312,UWS!$B$10:$B$41,0),MATCH(AB$4,UWS!$G$3:$Z$3,0)),0)</f>
        <v>0</v>
      </c>
      <c r="AC312">
        <f>IFERROR(INDEX(UWS!$G$10:$Z$41,MATCH($C312,UWS!$B$10:$B$41,0),MATCH(AC$4,UWS!$G$3:$Z$3,0)),0)</f>
        <v>0</v>
      </c>
      <c r="AD312">
        <f>IFERROR(INDEX(UWS!$G$10:$Z$41,MATCH($C312,UWS!$B$10:$B$41,0),MATCH(AD$4,UWS!$G$3:$Z$3,0)),0)</f>
        <v>0</v>
      </c>
      <c r="AE312">
        <f>IFERROR(INDEX(UWS!$G$10:$Z$41,MATCH($C312,UWS!$B$10:$B$41,0),MATCH(AE$4,UWS!$G$3:$Z$3,0)),0)</f>
        <v>0</v>
      </c>
      <c r="AF312">
        <f>IFERROR(INDEX(UWS!$G$10:$Z$41,MATCH($C312,UWS!$B$10:$B$41,0),MATCH(AF$4,UWS!$G$3:$Z$3,0)),0)</f>
        <v>0</v>
      </c>
      <c r="AG312">
        <f>IFERROR(INDEX(UWS!$G$10:$Z$41,MATCH($C312,UWS!$B$10:$B$41,0),MATCH(AG$4,UWS!$G$3:$Z$3,0)),0)</f>
        <v>0</v>
      </c>
      <c r="AH312">
        <f>IFERROR(INDEX(UWS!$G$10:$Z$41,MATCH($C312,UWS!$B$10:$B$41,0),MATCH(AH$4,UWS!$G$3:$Z$3,0)),0)</f>
        <v>0</v>
      </c>
      <c r="AI312">
        <f>IFERROR(INDEX(UWS!$G$10:$Z$41,MATCH($C312,UWS!$B$10:$B$41,0),MATCH(AI$4,UWS!$G$3:$Z$3,0)),0)</f>
        <v>0</v>
      </c>
      <c r="AK312" t="e">
        <f>IF(OR($J312=0,COUNTIFS($A$4:$A311,"&gt;="&amp;$A312-1,$A$4:$A311,"&lt;="&amp;$A312,$B$4:$B311,$B312)&gt;0,MIN(AK$1,IF($A312=$A311,AK311,1))-P312&lt;0),-1,MIN(1,IF($A312=$A311,AK311,1)-P312+$D$3))</f>
        <v>#N/A</v>
      </c>
      <c r="AL312" t="e">
        <f>IF(OR($J312=0,COUNTIFS($A$4:$A311,"&gt;="&amp;$A312-1,$A$4:$A311,"&lt;="&amp;$A312,$B$4:$B311,$B312)&gt;0,MIN(AL$1,IF($A312=$A311,AL311,1))-Q312&lt;0),-1,MIN(1,IF($A312=$A311,AL311,1)-Q312+$D$3))</f>
        <v>#N/A</v>
      </c>
      <c r="AM312" t="e">
        <f>IF(OR($J312=0,COUNTIFS($A$4:$A311,"&gt;="&amp;$A312-1,$A$4:$A311,"&lt;="&amp;$A312,$B$4:$B311,$B312)&gt;0,MIN(AM$1,IF($A312=$A311,AM311,1))-R312&lt;0),-1,MIN(1,IF($A312=$A311,AM311,1)-R312+$D$3))</f>
        <v>#N/A</v>
      </c>
      <c r="AN312" t="e">
        <f>IF(OR($J312=0,COUNTIFS($A$4:$A311,"&gt;="&amp;$A312-1,$A$4:$A311,"&lt;="&amp;$A312,$B$4:$B311,$B312)&gt;0,MIN(AN$1,IF($A312=$A311,AN311,1))-S312&lt;0),-1,MIN(1,IF($A312=$A311,AN311,1)-S312+$D$3))</f>
        <v>#N/A</v>
      </c>
      <c r="AO312" t="e">
        <f>IF(OR($J312=0,COUNTIFS($A$4:$A311,"&gt;="&amp;$A312-1,$A$4:$A311,"&lt;="&amp;$A312,$B$4:$B311,$B312)&gt;0,MIN(AO$1,IF($A312=$A311,AO311,1))-T312&lt;0),-1,MIN(1,IF($A312=$A311,AO311,1)-T312+$D$3))</f>
        <v>#N/A</v>
      </c>
      <c r="AP312" t="e">
        <f>IF(OR($J312=0,COUNTIFS($A$4:$A311,"&gt;="&amp;$A312-1,$A$4:$A311,"&lt;="&amp;$A312,$B$4:$B311,$B312)&gt;0,MIN(AP$1,IF($A312=$A311,AP311,1))-U312&lt;0),-1,MIN(1,IF($A312=$A311,AP311,1)-U312+$D$3))</f>
        <v>#N/A</v>
      </c>
      <c r="AQ312" t="e">
        <f>IF(OR($J312=0,COUNTIFS($A$4:$A311,"&gt;="&amp;$A312-1,$A$4:$A311,"&lt;="&amp;$A312,$B$4:$B311,$B312)&gt;0,MIN(AQ$1,IF($A312=$A311,AQ311,1))-V312&lt;0),-1,MIN(1,IF($A312=$A311,AQ311,1)-V312+$D$3))</f>
        <v>#N/A</v>
      </c>
      <c r="AR312" t="e">
        <f>IF(OR($J312=0,COUNTIFS($A$4:$A311,"&gt;="&amp;$A312-1,$A$4:$A311,"&lt;="&amp;$A312,$B$4:$B311,$B312)&gt;0,MIN(AR$1,IF($A312=$A311,AR311,1))-W312&lt;0),-1,MIN(1,IF($A312=$A311,AR311,1)-W312+$D$3))</f>
        <v>#N/A</v>
      </c>
      <c r="AS312" t="e">
        <f>IF(OR($J312=0,COUNTIFS($A$4:$A311,"&gt;="&amp;$A312-1,$A$4:$A311,"&lt;="&amp;$A312,$B$4:$B311,$B312)&gt;0,MIN(AS$1,IF($A312=$A311,AS311,1))-X312&lt;0),-1,MIN(1,IF($A312=$A311,AS311,1)-X312+$D$3))</f>
        <v>#N/A</v>
      </c>
      <c r="AT312" t="e">
        <f>IF(OR($J312=0,COUNTIFS($A$4:$A311,"&gt;="&amp;$A312-1,$A$4:$A311,"&lt;="&amp;$A312,$B$4:$B311,$B312)&gt;0,MIN(AT$1,IF($A312=$A311,AT311,1))-Y312&lt;0),-1,MIN(1,IF($A312=$A311,AT311,1)-Y312+$D$3))</f>
        <v>#N/A</v>
      </c>
      <c r="AU312" t="e">
        <f>IF(OR($J312=0,COUNTIFS($A$4:$A311,"&gt;="&amp;$A312-1,$A$4:$A311,"&lt;="&amp;$A312,$B$4:$B311,$B312)&gt;0,MIN(AU$1,IF($A312=$A311,AU311,1))-Z312&lt;0),-1,MIN(1,IF($A312=$A311,AU311,1)-Z312+$D$3))</f>
        <v>#N/A</v>
      </c>
      <c r="AV312" t="e">
        <f>IF(OR($J312=0,COUNTIFS($A$4:$A311,"&gt;="&amp;$A312-1,$A$4:$A311,"&lt;="&amp;$A312,$B$4:$B311,$B312)&gt;0,MIN(AV$1,IF($A312=$A311,AV311,1))-AA312&lt;0),-1,MIN(1,IF($A312=$A311,AV311,1)-AA312+$D$3))</f>
        <v>#N/A</v>
      </c>
      <c r="AW312" t="e">
        <f>IF(OR($J312=0,COUNTIFS($A$4:$A311,"&gt;="&amp;$A312-1,$A$4:$A311,"&lt;="&amp;$A312,$B$4:$B311,$B312)&gt;0,MIN(AW$1,IF($A312=$A311,AW311,1))-AB312&lt;0),-1,MIN(1,IF($A312=$A311,AW311,1)-AB312+$D$3))</f>
        <v>#N/A</v>
      </c>
      <c r="AX312" t="e">
        <f>IF(OR($J312=0,COUNTIFS($A$4:$A311,"&gt;="&amp;$A312-1,$A$4:$A311,"&lt;="&amp;$A312,$B$4:$B311,$B312)&gt;0,MIN(AX$1,IF($A312=$A311,AX311,1))-AC312&lt;0),-1,MIN(1,IF($A312=$A311,AX311,1)-AC312+$D$3))</f>
        <v>#N/A</v>
      </c>
      <c r="AY312" t="e">
        <f>IF(OR($J312=0,COUNTIFS($A$4:$A311,"&gt;="&amp;$A312-1,$A$4:$A311,"&lt;="&amp;$A312,$B$4:$B311,$B312)&gt;0,MIN(AY$1,IF($A312=$A311,AY311,1))-AD312&lt;0),-1,MIN(1,IF($A312=$A311,AY311,1)-AD312+$D$3))</f>
        <v>#N/A</v>
      </c>
      <c r="AZ312" t="e">
        <f>IF(OR($J312=0,COUNTIFS($A$4:$A311,"&gt;="&amp;$A312-1,$A$4:$A311,"&lt;="&amp;$A312,$B$4:$B311,$B312)&gt;0,MIN(AZ$1,IF($A312=$A311,AZ311,1))-AE312&lt;0),-1,MIN(1,IF($A312=$A311,AZ311,1)-AE312+$D$3))</f>
        <v>#N/A</v>
      </c>
      <c r="BA312" t="e">
        <f>IF(OR($J312=0,COUNTIFS($A$4:$A311,"&gt;="&amp;$A312-1,$A$4:$A311,"&lt;="&amp;$A312,$B$4:$B311,$B312)&gt;0,MIN(BA$1,IF($A312=$A311,BA311,1))-AF312&lt;0),-1,MIN(1,IF($A312=$A311,BA311,1)-AF312+$D$3))</f>
        <v>#N/A</v>
      </c>
      <c r="BB312" t="e">
        <f>IF(OR($J312=0,COUNTIFS($A$4:$A311,"&gt;="&amp;$A312-1,$A$4:$A311,"&lt;="&amp;$A312,$B$4:$B311,$B312)&gt;0,MIN(BB$1,IF($A312=$A311,BB311,1))-AG312&lt;0),-1,MIN(1,IF($A312=$A311,BB311,1)-AG312+$D$3))</f>
        <v>#N/A</v>
      </c>
      <c r="BC312" t="e">
        <f>IF(OR($J312=0,COUNTIFS($A$4:$A311,"&gt;="&amp;$A312-1,$A$4:$A311,"&lt;="&amp;$A312,$B$4:$B311,$B312)&gt;0,MIN(BC$1,IF($A312=$A311,BC311,1))-AH312&lt;0),-1,MIN(1,IF($A312=$A311,BC311,1)-AH312+$D$3))</f>
        <v>#N/A</v>
      </c>
      <c r="BD312" t="e">
        <f>IF(OR($J312=0,COUNTIFS($A$4:$A311,"&gt;="&amp;$A312-1,$A$4:$A311,"&lt;="&amp;$A312,$B$4:$B311,$B312)&gt;0,MIN(BD$1,IF($A312=$A311,BD311,1))-AI312&lt;0),-1,MIN(1,IF($A312=$A311,BD311,1)-AI312+$D$3))</f>
        <v>#N/A</v>
      </c>
      <c r="BF312" s="44">
        <f t="shared" si="355"/>
        <v>2.9186117242353472E-7</v>
      </c>
      <c r="BG312" s="44">
        <f t="shared" si="356"/>
        <v>7.1776898074325951E-7</v>
      </c>
      <c r="BH312" s="44">
        <f t="shared" si="357"/>
        <v>7.3563770335940039E-7</v>
      </c>
      <c r="BI312" s="44">
        <f t="shared" si="358"/>
        <v>6.7952499671742002E-7</v>
      </c>
      <c r="BJ312" s="44">
        <f t="shared" si="359"/>
        <v>7.0235359546522263E-7</v>
      </c>
      <c r="BK312" s="44">
        <f t="shared" si="360"/>
        <v>3.016168211041439E-7</v>
      </c>
      <c r="BL312" s="44">
        <f t="shared" si="361"/>
        <v>1.6293815191521337E-7</v>
      </c>
      <c r="BM312" s="44">
        <f t="shared" si="362"/>
        <v>4.1449563136378714E-7</v>
      </c>
      <c r="BN312" s="44">
        <f t="shared" si="363"/>
        <v>4.3110776049334336E-7</v>
      </c>
      <c r="BO312" s="44">
        <f t="shared" si="364"/>
        <v>2.0203345522910116E-7</v>
      </c>
      <c r="BP312" s="44">
        <f t="shared" si="365"/>
        <v>6.7933299186238196E-7</v>
      </c>
      <c r="BQ312" s="44">
        <f t="shared" si="366"/>
        <v>1.8332385330430527E-7</v>
      </c>
      <c r="BR312" s="44">
        <f t="shared" si="367"/>
        <v>5.4158455342059507E-7</v>
      </c>
      <c r="BS312" s="44">
        <f t="shared" si="368"/>
        <v>2.9208373654840492E-7</v>
      </c>
      <c r="BT312" s="44">
        <f t="shared" si="369"/>
        <v>1.1558648915164379E-6</v>
      </c>
      <c r="BU312" s="44">
        <f t="shared" si="370"/>
        <v>1.1041987844374501E-6</v>
      </c>
      <c r="BV312" s="44">
        <f t="shared" si="371"/>
        <v>1.0604359809585873E-6</v>
      </c>
      <c r="BW312" s="44">
        <f t="shared" si="372"/>
        <v>6.9358348778138434E-7</v>
      </c>
      <c r="BX312" s="44">
        <f t="shared" si="373"/>
        <v>5.124068858153384E-7</v>
      </c>
      <c r="BY312" s="44">
        <f t="shared" si="374"/>
        <v>4.3996020595667568E-7</v>
      </c>
      <c r="CA312" s="44" t="str">
        <f t="shared" si="375"/>
        <v/>
      </c>
      <c r="CB312" s="44" t="str">
        <f t="shared" si="376"/>
        <v/>
      </c>
      <c r="CC312" s="44" t="str">
        <f t="shared" si="377"/>
        <v/>
      </c>
      <c r="CD312" s="44" t="str">
        <f t="shared" si="378"/>
        <v/>
      </c>
      <c r="CE312" s="44" t="str">
        <f t="shared" si="379"/>
        <v/>
      </c>
      <c r="CF312" s="44" t="str">
        <f t="shared" si="380"/>
        <v/>
      </c>
      <c r="CG312" s="44" t="str">
        <f t="shared" si="381"/>
        <v/>
      </c>
      <c r="CH312" s="44" t="str">
        <f t="shared" si="382"/>
        <v/>
      </c>
      <c r="CI312" s="44" t="str">
        <f t="shared" si="383"/>
        <v/>
      </c>
      <c r="CJ312" s="44" t="str">
        <f t="shared" si="384"/>
        <v/>
      </c>
      <c r="CK312" s="44" t="str">
        <f t="shared" si="385"/>
        <v/>
      </c>
      <c r="CL312" s="44" t="str">
        <f t="shared" si="386"/>
        <v/>
      </c>
      <c r="CM312" s="44" t="str">
        <f t="shared" si="387"/>
        <v/>
      </c>
      <c r="CN312" s="44" t="str">
        <f t="shared" si="388"/>
        <v/>
      </c>
      <c r="CO312" s="44" t="str">
        <f t="shared" si="389"/>
        <v/>
      </c>
      <c r="CP312" s="44" t="str">
        <f t="shared" si="390"/>
        <v/>
      </c>
      <c r="CQ312" s="44" t="str">
        <f t="shared" si="391"/>
        <v/>
      </c>
      <c r="CR312" s="44" t="str">
        <f t="shared" si="392"/>
        <v/>
      </c>
      <c r="CS312" s="44" t="str">
        <f t="shared" si="393"/>
        <v/>
      </c>
      <c r="CT312" s="44" t="str">
        <f t="shared" si="394"/>
        <v/>
      </c>
      <c r="CV312" s="44">
        <f t="shared" si="395"/>
        <v>0</v>
      </c>
    </row>
    <row r="313" spans="1:100" x14ac:dyDescent="0.25">
      <c r="A313" s="41"/>
      <c r="B313" s="42"/>
      <c r="C313" s="43" t="str" cm="1">
        <f t="array" ref="C313">IF(B313="","",INDEX(UWS!$B$10:$B$41,B313))</f>
        <v/>
      </c>
      <c r="D313" s="40" t="str">
        <f t="shared" si="352"/>
        <v/>
      </c>
      <c r="E313" s="69" t="str">
        <f t="shared" si="353"/>
        <v/>
      </c>
      <c r="F313" s="48" cm="1">
        <f t="array" ref="F313">0.1+IFERROR(INDEX($F$5:$F312,SUMPRODUCT(MAX(ROW($C$5:$C312)*($C313=$C$5:$C312))-ROW($A$4)))*0.9^($A313-INDEX($A$5:A312,SUMPRODUCT(MAX(ROW($C$5:$C312)*($C313=$C$5:$C312))-ROW($A$4)))),0)</f>
        <v>24.800000000000082</v>
      </c>
      <c r="G313" s="55" t="e">
        <f>INDEX(UWS!$AB$10:$AB$41,MATCH(C313,UWS!$B$10:$B$41,0))</f>
        <v>#N/A</v>
      </c>
      <c r="H313" s="48" t="e">
        <f>INDEX(UWS!$C$10:$C$41,MATCH(C313,UWS!$B$10:$B$41,0))</f>
        <v>#N/A</v>
      </c>
      <c r="I313" s="27">
        <f t="shared" si="354"/>
        <v>5</v>
      </c>
      <c r="J313" s="27" t="e">
        <f>INDEX(UWS!$E$10:$E$41,MATCH(C313,UWS!$B$10:$B$41,0))</f>
        <v>#N/A</v>
      </c>
      <c r="L313" s="108" t="str" cm="1">
        <f t="array" ref="L313">IF(K313="","",INDEX(UWS!$B$10:$B$41,K313))</f>
        <v/>
      </c>
      <c r="N313" s="108" t="str" cm="1">
        <f t="array" ref="N313">IF(M313="","",INDEX(UWS!$B$10:$B$41,M313))</f>
        <v/>
      </c>
      <c r="P313">
        <f>IFERROR(INDEX(UWS!$G$10:$Z$41,MATCH($C313,UWS!$B$10:$B$41,0),MATCH(P$4,UWS!$G$3:$Z$3,0)),0)</f>
        <v>0</v>
      </c>
      <c r="Q313">
        <f>IFERROR(INDEX(UWS!$G$10:$Z$41,MATCH($C313,UWS!$B$10:$B$41,0),MATCH(Q$4,UWS!$G$3:$Z$3,0)),0)</f>
        <v>0</v>
      </c>
      <c r="R313">
        <f>IFERROR(INDEX(UWS!$G$10:$Z$41,MATCH($C313,UWS!$B$10:$B$41,0),MATCH(R$4,UWS!$G$3:$Z$3,0)),0)</f>
        <v>0</v>
      </c>
      <c r="S313">
        <f>IFERROR(INDEX(UWS!$G$10:$Z$41,MATCH($C313,UWS!$B$10:$B$41,0),MATCH(S$4,UWS!$G$3:$Z$3,0)),0)</f>
        <v>0</v>
      </c>
      <c r="T313">
        <f>IFERROR(INDEX(UWS!$G$10:$Z$41,MATCH($C313,UWS!$B$10:$B$41,0),MATCH(T$4,UWS!$G$3:$Z$3,0)),0)</f>
        <v>0</v>
      </c>
      <c r="U313">
        <f>IFERROR(INDEX(UWS!$G$10:$Z$41,MATCH($C313,UWS!$B$10:$B$41,0),MATCH(U$4,UWS!$G$3:$Z$3,0)),0)</f>
        <v>0</v>
      </c>
      <c r="V313">
        <f>IFERROR(INDEX(UWS!$G$10:$Z$41,MATCH($C313,UWS!$B$10:$B$41,0),MATCH(V$4,UWS!$G$3:$Z$3,0)),0)</f>
        <v>0</v>
      </c>
      <c r="W313">
        <f>IFERROR(INDEX(UWS!$G$10:$Z$41,MATCH($C313,UWS!$B$10:$B$41,0),MATCH(W$4,UWS!$G$3:$Z$3,0)),0)</f>
        <v>0</v>
      </c>
      <c r="X313">
        <f>IFERROR(INDEX(UWS!$G$10:$Z$41,MATCH($C313,UWS!$B$10:$B$41,0),MATCH(X$4,UWS!$G$3:$Z$3,0)),0)</f>
        <v>0</v>
      </c>
      <c r="Y313">
        <f>IFERROR(INDEX(UWS!$G$10:$Z$41,MATCH($C313,UWS!$B$10:$B$41,0),MATCH(Y$4,UWS!$G$3:$Z$3,0)),0)</f>
        <v>0</v>
      </c>
      <c r="Z313">
        <f>IFERROR(INDEX(UWS!$G$10:$Z$41,MATCH($C313,UWS!$B$10:$B$41,0),MATCH(Z$4,UWS!$G$3:$Z$3,0)),0)</f>
        <v>0</v>
      </c>
      <c r="AA313">
        <f>IFERROR(INDEX(UWS!$G$10:$Z$41,MATCH($C313,UWS!$B$10:$B$41,0),MATCH(AA$4,UWS!$G$3:$Z$3,0)),0)</f>
        <v>0</v>
      </c>
      <c r="AB313">
        <f>IFERROR(INDEX(UWS!$G$10:$Z$41,MATCH($C313,UWS!$B$10:$B$41,0),MATCH(AB$4,UWS!$G$3:$Z$3,0)),0)</f>
        <v>0</v>
      </c>
      <c r="AC313">
        <f>IFERROR(INDEX(UWS!$G$10:$Z$41,MATCH($C313,UWS!$B$10:$B$41,0),MATCH(AC$4,UWS!$G$3:$Z$3,0)),0)</f>
        <v>0</v>
      </c>
      <c r="AD313">
        <f>IFERROR(INDEX(UWS!$G$10:$Z$41,MATCH($C313,UWS!$B$10:$B$41,0),MATCH(AD$4,UWS!$G$3:$Z$3,0)),0)</f>
        <v>0</v>
      </c>
      <c r="AE313">
        <f>IFERROR(INDEX(UWS!$G$10:$Z$41,MATCH($C313,UWS!$B$10:$B$41,0),MATCH(AE$4,UWS!$G$3:$Z$3,0)),0)</f>
        <v>0</v>
      </c>
      <c r="AF313">
        <f>IFERROR(INDEX(UWS!$G$10:$Z$41,MATCH($C313,UWS!$B$10:$B$41,0),MATCH(AF$4,UWS!$G$3:$Z$3,0)),0)</f>
        <v>0</v>
      </c>
      <c r="AG313">
        <f>IFERROR(INDEX(UWS!$G$10:$Z$41,MATCH($C313,UWS!$B$10:$B$41,0),MATCH(AG$4,UWS!$G$3:$Z$3,0)),0)</f>
        <v>0</v>
      </c>
      <c r="AH313">
        <f>IFERROR(INDEX(UWS!$G$10:$Z$41,MATCH($C313,UWS!$B$10:$B$41,0),MATCH(AH$4,UWS!$G$3:$Z$3,0)),0)</f>
        <v>0</v>
      </c>
      <c r="AI313">
        <f>IFERROR(INDEX(UWS!$G$10:$Z$41,MATCH($C313,UWS!$B$10:$B$41,0),MATCH(AI$4,UWS!$G$3:$Z$3,0)),0)</f>
        <v>0</v>
      </c>
      <c r="AK313" t="e">
        <f>IF(OR($J313=0,COUNTIFS($A$4:$A312,"&gt;="&amp;$A313-1,$A$4:$A312,"&lt;="&amp;$A313,$B$4:$B312,$B313)&gt;0,MIN(AK$1,IF($A313=$A312,AK312,1))-P313&lt;0),-1,MIN(1,IF($A313=$A312,AK312,1)-P313+$D$3))</f>
        <v>#N/A</v>
      </c>
      <c r="AL313" t="e">
        <f>IF(OR($J313=0,COUNTIFS($A$4:$A312,"&gt;="&amp;$A313-1,$A$4:$A312,"&lt;="&amp;$A313,$B$4:$B312,$B313)&gt;0,MIN(AL$1,IF($A313=$A312,AL312,1))-Q313&lt;0),-1,MIN(1,IF($A313=$A312,AL312,1)-Q313+$D$3))</f>
        <v>#N/A</v>
      </c>
      <c r="AM313" t="e">
        <f>IF(OR($J313=0,COUNTIFS($A$4:$A312,"&gt;="&amp;$A313-1,$A$4:$A312,"&lt;="&amp;$A313,$B$4:$B312,$B313)&gt;0,MIN(AM$1,IF($A313=$A312,AM312,1))-R313&lt;0),-1,MIN(1,IF($A313=$A312,AM312,1)-R313+$D$3))</f>
        <v>#N/A</v>
      </c>
      <c r="AN313" t="e">
        <f>IF(OR($J313=0,COUNTIFS($A$4:$A312,"&gt;="&amp;$A313-1,$A$4:$A312,"&lt;="&amp;$A313,$B$4:$B312,$B313)&gt;0,MIN(AN$1,IF($A313=$A312,AN312,1))-S313&lt;0),-1,MIN(1,IF($A313=$A312,AN312,1)-S313+$D$3))</f>
        <v>#N/A</v>
      </c>
      <c r="AO313" t="e">
        <f>IF(OR($J313=0,COUNTIFS($A$4:$A312,"&gt;="&amp;$A313-1,$A$4:$A312,"&lt;="&amp;$A313,$B$4:$B312,$B313)&gt;0,MIN(AO$1,IF($A313=$A312,AO312,1))-T313&lt;0),-1,MIN(1,IF($A313=$A312,AO312,1)-T313+$D$3))</f>
        <v>#N/A</v>
      </c>
      <c r="AP313" t="e">
        <f>IF(OR($J313=0,COUNTIFS($A$4:$A312,"&gt;="&amp;$A313-1,$A$4:$A312,"&lt;="&amp;$A313,$B$4:$B312,$B313)&gt;0,MIN(AP$1,IF($A313=$A312,AP312,1))-U313&lt;0),-1,MIN(1,IF($A313=$A312,AP312,1)-U313+$D$3))</f>
        <v>#N/A</v>
      </c>
      <c r="AQ313" t="e">
        <f>IF(OR($J313=0,COUNTIFS($A$4:$A312,"&gt;="&amp;$A313-1,$A$4:$A312,"&lt;="&amp;$A313,$B$4:$B312,$B313)&gt;0,MIN(AQ$1,IF($A313=$A312,AQ312,1))-V313&lt;0),-1,MIN(1,IF($A313=$A312,AQ312,1)-V313+$D$3))</f>
        <v>#N/A</v>
      </c>
      <c r="AR313" t="e">
        <f>IF(OR($J313=0,COUNTIFS($A$4:$A312,"&gt;="&amp;$A313-1,$A$4:$A312,"&lt;="&amp;$A313,$B$4:$B312,$B313)&gt;0,MIN(AR$1,IF($A313=$A312,AR312,1))-W313&lt;0),-1,MIN(1,IF($A313=$A312,AR312,1)-W313+$D$3))</f>
        <v>#N/A</v>
      </c>
      <c r="AS313" t="e">
        <f>IF(OR($J313=0,COUNTIFS($A$4:$A312,"&gt;="&amp;$A313-1,$A$4:$A312,"&lt;="&amp;$A313,$B$4:$B312,$B313)&gt;0,MIN(AS$1,IF($A313=$A312,AS312,1))-X313&lt;0),-1,MIN(1,IF($A313=$A312,AS312,1)-X313+$D$3))</f>
        <v>#N/A</v>
      </c>
      <c r="AT313" t="e">
        <f>IF(OR($J313=0,COUNTIFS($A$4:$A312,"&gt;="&amp;$A313-1,$A$4:$A312,"&lt;="&amp;$A313,$B$4:$B312,$B313)&gt;0,MIN(AT$1,IF($A313=$A312,AT312,1))-Y313&lt;0),-1,MIN(1,IF($A313=$A312,AT312,1)-Y313+$D$3))</f>
        <v>#N/A</v>
      </c>
      <c r="AU313" t="e">
        <f>IF(OR($J313=0,COUNTIFS($A$4:$A312,"&gt;="&amp;$A313-1,$A$4:$A312,"&lt;="&amp;$A313,$B$4:$B312,$B313)&gt;0,MIN(AU$1,IF($A313=$A312,AU312,1))-Z313&lt;0),-1,MIN(1,IF($A313=$A312,AU312,1)-Z313+$D$3))</f>
        <v>#N/A</v>
      </c>
      <c r="AV313" t="e">
        <f>IF(OR($J313=0,COUNTIFS($A$4:$A312,"&gt;="&amp;$A313-1,$A$4:$A312,"&lt;="&amp;$A313,$B$4:$B312,$B313)&gt;0,MIN(AV$1,IF($A313=$A312,AV312,1))-AA313&lt;0),-1,MIN(1,IF($A313=$A312,AV312,1)-AA313+$D$3))</f>
        <v>#N/A</v>
      </c>
      <c r="AW313" t="e">
        <f>IF(OR($J313=0,COUNTIFS($A$4:$A312,"&gt;="&amp;$A313-1,$A$4:$A312,"&lt;="&amp;$A313,$B$4:$B312,$B313)&gt;0,MIN(AW$1,IF($A313=$A312,AW312,1))-AB313&lt;0),-1,MIN(1,IF($A313=$A312,AW312,1)-AB313+$D$3))</f>
        <v>#N/A</v>
      </c>
      <c r="AX313" t="e">
        <f>IF(OR($J313=0,COUNTIFS($A$4:$A312,"&gt;="&amp;$A313-1,$A$4:$A312,"&lt;="&amp;$A313,$B$4:$B312,$B313)&gt;0,MIN(AX$1,IF($A313=$A312,AX312,1))-AC313&lt;0),-1,MIN(1,IF($A313=$A312,AX312,1)-AC313+$D$3))</f>
        <v>#N/A</v>
      </c>
      <c r="AY313" t="e">
        <f>IF(OR($J313=0,COUNTIFS($A$4:$A312,"&gt;="&amp;$A313-1,$A$4:$A312,"&lt;="&amp;$A313,$B$4:$B312,$B313)&gt;0,MIN(AY$1,IF($A313=$A312,AY312,1))-AD313&lt;0),-1,MIN(1,IF($A313=$A312,AY312,1)-AD313+$D$3))</f>
        <v>#N/A</v>
      </c>
      <c r="AZ313" t="e">
        <f>IF(OR($J313=0,COUNTIFS($A$4:$A312,"&gt;="&amp;$A313-1,$A$4:$A312,"&lt;="&amp;$A313,$B$4:$B312,$B313)&gt;0,MIN(AZ$1,IF($A313=$A312,AZ312,1))-AE313&lt;0),-1,MIN(1,IF($A313=$A312,AZ312,1)-AE313+$D$3))</f>
        <v>#N/A</v>
      </c>
      <c r="BA313" t="e">
        <f>IF(OR($J313=0,COUNTIFS($A$4:$A312,"&gt;="&amp;$A313-1,$A$4:$A312,"&lt;="&amp;$A313,$B$4:$B312,$B313)&gt;0,MIN(BA$1,IF($A313=$A312,BA312,1))-AF313&lt;0),-1,MIN(1,IF($A313=$A312,BA312,1)-AF313+$D$3))</f>
        <v>#N/A</v>
      </c>
      <c r="BB313" t="e">
        <f>IF(OR($J313=0,COUNTIFS($A$4:$A312,"&gt;="&amp;$A313-1,$A$4:$A312,"&lt;="&amp;$A313,$B$4:$B312,$B313)&gt;0,MIN(BB$1,IF($A313=$A312,BB312,1))-AG313&lt;0),-1,MIN(1,IF($A313=$A312,BB312,1)-AG313+$D$3))</f>
        <v>#N/A</v>
      </c>
      <c r="BC313" t="e">
        <f>IF(OR($J313=0,COUNTIFS($A$4:$A312,"&gt;="&amp;$A313-1,$A$4:$A312,"&lt;="&amp;$A313,$B$4:$B312,$B313)&gt;0,MIN(BC$1,IF($A313=$A312,BC312,1))-AH313&lt;0),-1,MIN(1,IF($A313=$A312,BC312,1)-AH313+$D$3))</f>
        <v>#N/A</v>
      </c>
      <c r="BD313" t="e">
        <f>IF(OR($J313=0,COUNTIFS($A$4:$A312,"&gt;="&amp;$A313-1,$A$4:$A312,"&lt;="&amp;$A313,$B$4:$B312,$B313)&gt;0,MIN(BD$1,IF($A313=$A312,BD312,1))-AI313&lt;0),-1,MIN(1,IF($A313=$A312,BD312,1)-AI313+$D$3))</f>
        <v>#N/A</v>
      </c>
      <c r="BF313" s="44">
        <f t="shared" si="355"/>
        <v>2.7726811380235797E-7</v>
      </c>
      <c r="BG313" s="44">
        <f t="shared" si="356"/>
        <v>6.8188053170609649E-7</v>
      </c>
      <c r="BH313" s="44">
        <f t="shared" si="357"/>
        <v>6.9885581819143032E-7</v>
      </c>
      <c r="BI313" s="44">
        <f t="shared" si="358"/>
        <v>6.4554874688154902E-7</v>
      </c>
      <c r="BJ313" s="44">
        <f t="shared" si="359"/>
        <v>6.6723591569196143E-7</v>
      </c>
      <c r="BK313" s="44">
        <f t="shared" si="360"/>
        <v>2.8653598004893669E-7</v>
      </c>
      <c r="BL313" s="44">
        <f t="shared" si="361"/>
        <v>1.5479124431945269E-7</v>
      </c>
      <c r="BM313" s="44">
        <f t="shared" si="362"/>
        <v>3.9377084979559779E-7</v>
      </c>
      <c r="BN313" s="44">
        <f t="shared" si="363"/>
        <v>4.0955237246867618E-7</v>
      </c>
      <c r="BO313" s="44">
        <f t="shared" si="364"/>
        <v>1.919317824676461E-7</v>
      </c>
      <c r="BP313" s="44">
        <f t="shared" si="365"/>
        <v>6.4536634226926286E-7</v>
      </c>
      <c r="BQ313" s="44">
        <f t="shared" si="366"/>
        <v>1.7415766063909001E-7</v>
      </c>
      <c r="BR313" s="44">
        <f t="shared" si="367"/>
        <v>5.1450532574956524E-7</v>
      </c>
      <c r="BS313" s="44">
        <f t="shared" si="368"/>
        <v>2.7747954972098468E-7</v>
      </c>
      <c r="BT313" s="44">
        <f t="shared" si="369"/>
        <v>1.0980716469406161E-6</v>
      </c>
      <c r="BU313" s="44">
        <f t="shared" si="370"/>
        <v>1.0489888452155776E-6</v>
      </c>
      <c r="BV313" s="44">
        <f t="shared" si="371"/>
        <v>1.0074141819106578E-6</v>
      </c>
      <c r="BW313" s="44">
        <f t="shared" si="372"/>
        <v>6.5890431339231509E-7</v>
      </c>
      <c r="BX313" s="44">
        <f t="shared" si="373"/>
        <v>4.8678654152457145E-7</v>
      </c>
      <c r="BY313" s="44">
        <f t="shared" si="374"/>
        <v>4.1796219565884185E-7</v>
      </c>
      <c r="CA313" s="44" t="str">
        <f t="shared" si="375"/>
        <v/>
      </c>
      <c r="CB313" s="44" t="str">
        <f t="shared" si="376"/>
        <v/>
      </c>
      <c r="CC313" s="44" t="str">
        <f t="shared" si="377"/>
        <v/>
      </c>
      <c r="CD313" s="44" t="str">
        <f t="shared" si="378"/>
        <v/>
      </c>
      <c r="CE313" s="44" t="str">
        <f t="shared" si="379"/>
        <v/>
      </c>
      <c r="CF313" s="44" t="str">
        <f t="shared" si="380"/>
        <v/>
      </c>
      <c r="CG313" s="44" t="str">
        <f t="shared" si="381"/>
        <v/>
      </c>
      <c r="CH313" s="44" t="str">
        <f t="shared" si="382"/>
        <v/>
      </c>
      <c r="CI313" s="44" t="str">
        <f t="shared" si="383"/>
        <v/>
      </c>
      <c r="CJ313" s="44" t="str">
        <f t="shared" si="384"/>
        <v/>
      </c>
      <c r="CK313" s="44" t="str">
        <f t="shared" si="385"/>
        <v/>
      </c>
      <c r="CL313" s="44" t="str">
        <f t="shared" si="386"/>
        <v/>
      </c>
      <c r="CM313" s="44" t="str">
        <f t="shared" si="387"/>
        <v/>
      </c>
      <c r="CN313" s="44" t="str">
        <f t="shared" si="388"/>
        <v/>
      </c>
      <c r="CO313" s="44" t="str">
        <f t="shared" si="389"/>
        <v/>
      </c>
      <c r="CP313" s="44" t="str">
        <f t="shared" si="390"/>
        <v/>
      </c>
      <c r="CQ313" s="44" t="str">
        <f t="shared" si="391"/>
        <v/>
      </c>
      <c r="CR313" s="44" t="str">
        <f t="shared" si="392"/>
        <v/>
      </c>
      <c r="CS313" s="44" t="str">
        <f t="shared" si="393"/>
        <v/>
      </c>
      <c r="CT313" s="44" t="str">
        <f t="shared" si="394"/>
        <v/>
      </c>
      <c r="CV313" s="44">
        <f t="shared" si="395"/>
        <v>0</v>
      </c>
    </row>
    <row r="314" spans="1:100" x14ac:dyDescent="0.25">
      <c r="A314" s="41"/>
      <c r="B314" s="42"/>
      <c r="C314" s="43" t="str" cm="1">
        <f t="array" ref="C314">IF(B314="","",INDEX(UWS!$B$10:$B$41,B314))</f>
        <v/>
      </c>
      <c r="D314" s="40" t="str">
        <f t="shared" si="352"/>
        <v/>
      </c>
      <c r="E314" s="69" t="str">
        <f t="shared" si="353"/>
        <v/>
      </c>
      <c r="F314" s="48" cm="1">
        <f t="array" ref="F314">0.1+IFERROR(INDEX($F$5:$F313,SUMPRODUCT(MAX(ROW($C$5:$C313)*($C314=$C$5:$C313))-ROW($A$4)))*0.9^($A314-INDEX($A$5:A313,SUMPRODUCT(MAX(ROW($C$5:$C313)*($C314=$C$5:$C313))-ROW($A$4)))),0)</f>
        <v>24.900000000000084</v>
      </c>
      <c r="G314" s="55" t="e">
        <f>INDEX(UWS!$AB$10:$AB$41,MATCH(C314,UWS!$B$10:$B$41,0))</f>
        <v>#N/A</v>
      </c>
      <c r="H314" s="48" t="e">
        <f>INDEX(UWS!$C$10:$C$41,MATCH(C314,UWS!$B$10:$B$41,0))</f>
        <v>#N/A</v>
      </c>
      <c r="I314" s="27">
        <f t="shared" si="354"/>
        <v>5</v>
      </c>
      <c r="J314" s="27" t="e">
        <f>INDEX(UWS!$E$10:$E$41,MATCH(C314,UWS!$B$10:$B$41,0))</f>
        <v>#N/A</v>
      </c>
      <c r="L314" s="108" t="str" cm="1">
        <f t="array" ref="L314">IF(K314="","",INDEX(UWS!$B$10:$B$41,K314))</f>
        <v/>
      </c>
      <c r="N314" s="108" t="str" cm="1">
        <f t="array" ref="N314">IF(M314="","",INDEX(UWS!$B$10:$B$41,M314))</f>
        <v/>
      </c>
      <c r="P314">
        <f>IFERROR(INDEX(UWS!$G$10:$Z$41,MATCH($C314,UWS!$B$10:$B$41,0),MATCH(P$4,UWS!$G$3:$Z$3,0)),0)</f>
        <v>0</v>
      </c>
      <c r="Q314">
        <f>IFERROR(INDEX(UWS!$G$10:$Z$41,MATCH($C314,UWS!$B$10:$B$41,0),MATCH(Q$4,UWS!$G$3:$Z$3,0)),0)</f>
        <v>0</v>
      </c>
      <c r="R314">
        <f>IFERROR(INDEX(UWS!$G$10:$Z$41,MATCH($C314,UWS!$B$10:$B$41,0),MATCH(R$4,UWS!$G$3:$Z$3,0)),0)</f>
        <v>0</v>
      </c>
      <c r="S314">
        <f>IFERROR(INDEX(UWS!$G$10:$Z$41,MATCH($C314,UWS!$B$10:$B$41,0),MATCH(S$4,UWS!$G$3:$Z$3,0)),0)</f>
        <v>0</v>
      </c>
      <c r="T314">
        <f>IFERROR(INDEX(UWS!$G$10:$Z$41,MATCH($C314,UWS!$B$10:$B$41,0),MATCH(T$4,UWS!$G$3:$Z$3,0)),0)</f>
        <v>0</v>
      </c>
      <c r="U314">
        <f>IFERROR(INDEX(UWS!$G$10:$Z$41,MATCH($C314,UWS!$B$10:$B$41,0),MATCH(U$4,UWS!$G$3:$Z$3,0)),0)</f>
        <v>0</v>
      </c>
      <c r="V314">
        <f>IFERROR(INDEX(UWS!$G$10:$Z$41,MATCH($C314,UWS!$B$10:$B$41,0),MATCH(V$4,UWS!$G$3:$Z$3,0)),0)</f>
        <v>0</v>
      </c>
      <c r="W314">
        <f>IFERROR(INDEX(UWS!$G$10:$Z$41,MATCH($C314,UWS!$B$10:$B$41,0),MATCH(W$4,UWS!$G$3:$Z$3,0)),0)</f>
        <v>0</v>
      </c>
      <c r="X314">
        <f>IFERROR(INDEX(UWS!$G$10:$Z$41,MATCH($C314,UWS!$B$10:$B$41,0),MATCH(X$4,UWS!$G$3:$Z$3,0)),0)</f>
        <v>0</v>
      </c>
      <c r="Y314">
        <f>IFERROR(INDEX(UWS!$G$10:$Z$41,MATCH($C314,UWS!$B$10:$B$41,0),MATCH(Y$4,UWS!$G$3:$Z$3,0)),0)</f>
        <v>0</v>
      </c>
      <c r="Z314">
        <f>IFERROR(INDEX(UWS!$G$10:$Z$41,MATCH($C314,UWS!$B$10:$B$41,0),MATCH(Z$4,UWS!$G$3:$Z$3,0)),0)</f>
        <v>0</v>
      </c>
      <c r="AA314">
        <f>IFERROR(INDEX(UWS!$G$10:$Z$41,MATCH($C314,UWS!$B$10:$B$41,0),MATCH(AA$4,UWS!$G$3:$Z$3,0)),0)</f>
        <v>0</v>
      </c>
      <c r="AB314">
        <f>IFERROR(INDEX(UWS!$G$10:$Z$41,MATCH($C314,UWS!$B$10:$B$41,0),MATCH(AB$4,UWS!$G$3:$Z$3,0)),0)</f>
        <v>0</v>
      </c>
      <c r="AC314">
        <f>IFERROR(INDEX(UWS!$G$10:$Z$41,MATCH($C314,UWS!$B$10:$B$41,0),MATCH(AC$4,UWS!$G$3:$Z$3,0)),0)</f>
        <v>0</v>
      </c>
      <c r="AD314">
        <f>IFERROR(INDEX(UWS!$G$10:$Z$41,MATCH($C314,UWS!$B$10:$B$41,0),MATCH(AD$4,UWS!$G$3:$Z$3,0)),0)</f>
        <v>0</v>
      </c>
      <c r="AE314">
        <f>IFERROR(INDEX(UWS!$G$10:$Z$41,MATCH($C314,UWS!$B$10:$B$41,0),MATCH(AE$4,UWS!$G$3:$Z$3,0)),0)</f>
        <v>0</v>
      </c>
      <c r="AF314">
        <f>IFERROR(INDEX(UWS!$G$10:$Z$41,MATCH($C314,UWS!$B$10:$B$41,0),MATCH(AF$4,UWS!$G$3:$Z$3,0)),0)</f>
        <v>0</v>
      </c>
      <c r="AG314">
        <f>IFERROR(INDEX(UWS!$G$10:$Z$41,MATCH($C314,UWS!$B$10:$B$41,0),MATCH(AG$4,UWS!$G$3:$Z$3,0)),0)</f>
        <v>0</v>
      </c>
      <c r="AH314">
        <f>IFERROR(INDEX(UWS!$G$10:$Z$41,MATCH($C314,UWS!$B$10:$B$41,0),MATCH(AH$4,UWS!$G$3:$Z$3,0)),0)</f>
        <v>0</v>
      </c>
      <c r="AI314">
        <f>IFERROR(INDEX(UWS!$G$10:$Z$41,MATCH($C314,UWS!$B$10:$B$41,0),MATCH(AI$4,UWS!$G$3:$Z$3,0)),0)</f>
        <v>0</v>
      </c>
      <c r="AK314" t="e">
        <f>IF(OR($J314=0,COUNTIFS($A$4:$A313,"&gt;="&amp;$A314-1,$A$4:$A313,"&lt;="&amp;$A314,$B$4:$B313,$B314)&gt;0,MIN(AK$1,IF($A314=$A313,AK313,1))-P314&lt;0),-1,MIN(1,IF($A314=$A313,AK313,1)-P314+$D$3))</f>
        <v>#N/A</v>
      </c>
      <c r="AL314" t="e">
        <f>IF(OR($J314=0,COUNTIFS($A$4:$A313,"&gt;="&amp;$A314-1,$A$4:$A313,"&lt;="&amp;$A314,$B$4:$B313,$B314)&gt;0,MIN(AL$1,IF($A314=$A313,AL313,1))-Q314&lt;0),-1,MIN(1,IF($A314=$A313,AL313,1)-Q314+$D$3))</f>
        <v>#N/A</v>
      </c>
      <c r="AM314" t="e">
        <f>IF(OR($J314=0,COUNTIFS($A$4:$A313,"&gt;="&amp;$A314-1,$A$4:$A313,"&lt;="&amp;$A314,$B$4:$B313,$B314)&gt;0,MIN(AM$1,IF($A314=$A313,AM313,1))-R314&lt;0),-1,MIN(1,IF($A314=$A313,AM313,1)-R314+$D$3))</f>
        <v>#N/A</v>
      </c>
      <c r="AN314" t="e">
        <f>IF(OR($J314=0,COUNTIFS($A$4:$A313,"&gt;="&amp;$A314-1,$A$4:$A313,"&lt;="&amp;$A314,$B$4:$B313,$B314)&gt;0,MIN(AN$1,IF($A314=$A313,AN313,1))-S314&lt;0),-1,MIN(1,IF($A314=$A313,AN313,1)-S314+$D$3))</f>
        <v>#N/A</v>
      </c>
      <c r="AO314" t="e">
        <f>IF(OR($J314=0,COUNTIFS($A$4:$A313,"&gt;="&amp;$A314-1,$A$4:$A313,"&lt;="&amp;$A314,$B$4:$B313,$B314)&gt;0,MIN(AO$1,IF($A314=$A313,AO313,1))-T314&lt;0),-1,MIN(1,IF($A314=$A313,AO313,1)-T314+$D$3))</f>
        <v>#N/A</v>
      </c>
      <c r="AP314" t="e">
        <f>IF(OR($J314=0,COUNTIFS($A$4:$A313,"&gt;="&amp;$A314-1,$A$4:$A313,"&lt;="&amp;$A314,$B$4:$B313,$B314)&gt;0,MIN(AP$1,IF($A314=$A313,AP313,1))-U314&lt;0),-1,MIN(1,IF($A314=$A313,AP313,1)-U314+$D$3))</f>
        <v>#N/A</v>
      </c>
      <c r="AQ314" t="e">
        <f>IF(OR($J314=0,COUNTIFS($A$4:$A313,"&gt;="&amp;$A314-1,$A$4:$A313,"&lt;="&amp;$A314,$B$4:$B313,$B314)&gt;0,MIN(AQ$1,IF($A314=$A313,AQ313,1))-V314&lt;0),-1,MIN(1,IF($A314=$A313,AQ313,1)-V314+$D$3))</f>
        <v>#N/A</v>
      </c>
      <c r="AR314" t="e">
        <f>IF(OR($J314=0,COUNTIFS($A$4:$A313,"&gt;="&amp;$A314-1,$A$4:$A313,"&lt;="&amp;$A314,$B$4:$B313,$B314)&gt;0,MIN(AR$1,IF($A314=$A313,AR313,1))-W314&lt;0),-1,MIN(1,IF($A314=$A313,AR313,1)-W314+$D$3))</f>
        <v>#N/A</v>
      </c>
      <c r="AS314" t="e">
        <f>IF(OR($J314=0,COUNTIFS($A$4:$A313,"&gt;="&amp;$A314-1,$A$4:$A313,"&lt;="&amp;$A314,$B$4:$B313,$B314)&gt;0,MIN(AS$1,IF($A314=$A313,AS313,1))-X314&lt;0),-1,MIN(1,IF($A314=$A313,AS313,1)-X314+$D$3))</f>
        <v>#N/A</v>
      </c>
      <c r="AT314" t="e">
        <f>IF(OR($J314=0,COUNTIFS($A$4:$A313,"&gt;="&amp;$A314-1,$A$4:$A313,"&lt;="&amp;$A314,$B$4:$B313,$B314)&gt;0,MIN(AT$1,IF($A314=$A313,AT313,1))-Y314&lt;0),-1,MIN(1,IF($A314=$A313,AT313,1)-Y314+$D$3))</f>
        <v>#N/A</v>
      </c>
      <c r="AU314" t="e">
        <f>IF(OR($J314=0,COUNTIFS($A$4:$A313,"&gt;="&amp;$A314-1,$A$4:$A313,"&lt;="&amp;$A314,$B$4:$B313,$B314)&gt;0,MIN(AU$1,IF($A314=$A313,AU313,1))-Z314&lt;0),-1,MIN(1,IF($A314=$A313,AU313,1)-Z314+$D$3))</f>
        <v>#N/A</v>
      </c>
      <c r="AV314" t="e">
        <f>IF(OR($J314=0,COUNTIFS($A$4:$A313,"&gt;="&amp;$A314-1,$A$4:$A313,"&lt;="&amp;$A314,$B$4:$B313,$B314)&gt;0,MIN(AV$1,IF($A314=$A313,AV313,1))-AA314&lt;0),-1,MIN(1,IF($A314=$A313,AV313,1)-AA314+$D$3))</f>
        <v>#N/A</v>
      </c>
      <c r="AW314" t="e">
        <f>IF(OR($J314=0,COUNTIFS($A$4:$A313,"&gt;="&amp;$A314-1,$A$4:$A313,"&lt;="&amp;$A314,$B$4:$B313,$B314)&gt;0,MIN(AW$1,IF($A314=$A313,AW313,1))-AB314&lt;0),-1,MIN(1,IF($A314=$A313,AW313,1)-AB314+$D$3))</f>
        <v>#N/A</v>
      </c>
      <c r="AX314" t="e">
        <f>IF(OR($J314=0,COUNTIFS($A$4:$A313,"&gt;="&amp;$A314-1,$A$4:$A313,"&lt;="&amp;$A314,$B$4:$B313,$B314)&gt;0,MIN(AX$1,IF($A314=$A313,AX313,1))-AC314&lt;0),-1,MIN(1,IF($A314=$A313,AX313,1)-AC314+$D$3))</f>
        <v>#N/A</v>
      </c>
      <c r="AY314" t="e">
        <f>IF(OR($J314=0,COUNTIFS($A$4:$A313,"&gt;="&amp;$A314-1,$A$4:$A313,"&lt;="&amp;$A314,$B$4:$B313,$B314)&gt;0,MIN(AY$1,IF($A314=$A313,AY313,1))-AD314&lt;0),-1,MIN(1,IF($A314=$A313,AY313,1)-AD314+$D$3))</f>
        <v>#N/A</v>
      </c>
      <c r="AZ314" t="e">
        <f>IF(OR($J314=0,COUNTIFS($A$4:$A313,"&gt;="&amp;$A314-1,$A$4:$A313,"&lt;="&amp;$A314,$B$4:$B313,$B314)&gt;0,MIN(AZ$1,IF($A314=$A313,AZ313,1))-AE314&lt;0),-1,MIN(1,IF($A314=$A313,AZ313,1)-AE314+$D$3))</f>
        <v>#N/A</v>
      </c>
      <c r="BA314" t="e">
        <f>IF(OR($J314=0,COUNTIFS($A$4:$A313,"&gt;="&amp;$A314-1,$A$4:$A313,"&lt;="&amp;$A314,$B$4:$B313,$B314)&gt;0,MIN(BA$1,IF($A314=$A313,BA313,1))-AF314&lt;0),-1,MIN(1,IF($A314=$A313,BA313,1)-AF314+$D$3))</f>
        <v>#N/A</v>
      </c>
      <c r="BB314" t="e">
        <f>IF(OR($J314=0,COUNTIFS($A$4:$A313,"&gt;="&amp;$A314-1,$A$4:$A313,"&lt;="&amp;$A314,$B$4:$B313,$B314)&gt;0,MIN(BB$1,IF($A314=$A313,BB313,1))-AG314&lt;0),-1,MIN(1,IF($A314=$A313,BB313,1)-AG314+$D$3))</f>
        <v>#N/A</v>
      </c>
      <c r="BC314" t="e">
        <f>IF(OR($J314=0,COUNTIFS($A$4:$A313,"&gt;="&amp;$A314-1,$A$4:$A313,"&lt;="&amp;$A314,$B$4:$B313,$B314)&gt;0,MIN(BC$1,IF($A314=$A313,BC313,1))-AH314&lt;0),-1,MIN(1,IF($A314=$A313,BC313,1)-AH314+$D$3))</f>
        <v>#N/A</v>
      </c>
      <c r="BD314" t="e">
        <f>IF(OR($J314=0,COUNTIFS($A$4:$A313,"&gt;="&amp;$A314-1,$A$4:$A313,"&lt;="&amp;$A314,$B$4:$B313,$B314)&gt;0,MIN(BD$1,IF($A314=$A313,BD313,1))-AI314&lt;0),-1,MIN(1,IF($A314=$A313,BD313,1)-AI314+$D$3))</f>
        <v>#N/A</v>
      </c>
      <c r="BF314" s="44">
        <f t="shared" si="355"/>
        <v>2.6340470811224004E-7</v>
      </c>
      <c r="BG314" s="44">
        <f t="shared" si="356"/>
        <v>6.4778650512079159E-7</v>
      </c>
      <c r="BH314" s="44">
        <f t="shared" si="357"/>
        <v>6.6391302728185873E-7</v>
      </c>
      <c r="BI314" s="44">
        <f t="shared" si="358"/>
        <v>6.1327130953747154E-7</v>
      </c>
      <c r="BJ314" s="44">
        <f t="shared" si="359"/>
        <v>6.338741199073633E-7</v>
      </c>
      <c r="BK314" s="44">
        <f t="shared" si="360"/>
        <v>2.7220918104648985E-7</v>
      </c>
      <c r="BL314" s="44">
        <f t="shared" si="361"/>
        <v>1.4705168210348005E-7</v>
      </c>
      <c r="BM314" s="44">
        <f t="shared" si="362"/>
        <v>3.7408230730581789E-7</v>
      </c>
      <c r="BN314" s="44">
        <f t="shared" si="363"/>
        <v>3.8907475384524233E-7</v>
      </c>
      <c r="BO314" s="44">
        <f t="shared" si="364"/>
        <v>1.8233519334426379E-7</v>
      </c>
      <c r="BP314" s="44">
        <f t="shared" si="365"/>
        <v>6.1309802515579968E-7</v>
      </c>
      <c r="BQ314" s="44">
        <f t="shared" si="366"/>
        <v>1.6544977760713551E-7</v>
      </c>
      <c r="BR314" s="44">
        <f t="shared" si="367"/>
        <v>4.8878005946208693E-7</v>
      </c>
      <c r="BS314" s="44">
        <f t="shared" si="368"/>
        <v>2.6360557223493543E-7</v>
      </c>
      <c r="BT314" s="44">
        <f t="shared" si="369"/>
        <v>1.0431680645935852E-6</v>
      </c>
      <c r="BU314" s="44">
        <f t="shared" si="370"/>
        <v>9.9653940295479873E-7</v>
      </c>
      <c r="BV314" s="44">
        <f t="shared" si="371"/>
        <v>9.5704347281512484E-7</v>
      </c>
      <c r="BW314" s="44">
        <f t="shared" si="372"/>
        <v>6.2595909772269929E-7</v>
      </c>
      <c r="BX314" s="44">
        <f t="shared" si="373"/>
        <v>4.6244721444834287E-7</v>
      </c>
      <c r="BY314" s="44">
        <f t="shared" si="374"/>
        <v>3.9706408587589976E-7</v>
      </c>
      <c r="CA314" s="44" t="str">
        <f t="shared" si="375"/>
        <v/>
      </c>
      <c r="CB314" s="44" t="str">
        <f t="shared" si="376"/>
        <v/>
      </c>
      <c r="CC314" s="44" t="str">
        <f t="shared" si="377"/>
        <v/>
      </c>
      <c r="CD314" s="44" t="str">
        <f t="shared" si="378"/>
        <v/>
      </c>
      <c r="CE314" s="44" t="str">
        <f t="shared" si="379"/>
        <v/>
      </c>
      <c r="CF314" s="44" t="str">
        <f t="shared" si="380"/>
        <v/>
      </c>
      <c r="CG314" s="44" t="str">
        <f t="shared" si="381"/>
        <v/>
      </c>
      <c r="CH314" s="44" t="str">
        <f t="shared" si="382"/>
        <v/>
      </c>
      <c r="CI314" s="44" t="str">
        <f t="shared" si="383"/>
        <v/>
      </c>
      <c r="CJ314" s="44" t="str">
        <f t="shared" si="384"/>
        <v/>
      </c>
      <c r="CK314" s="44" t="str">
        <f t="shared" si="385"/>
        <v/>
      </c>
      <c r="CL314" s="44" t="str">
        <f t="shared" si="386"/>
        <v/>
      </c>
      <c r="CM314" s="44" t="str">
        <f t="shared" si="387"/>
        <v/>
      </c>
      <c r="CN314" s="44" t="str">
        <f t="shared" si="388"/>
        <v/>
      </c>
      <c r="CO314" s="44" t="str">
        <f t="shared" si="389"/>
        <v/>
      </c>
      <c r="CP314" s="44" t="str">
        <f t="shared" si="390"/>
        <v/>
      </c>
      <c r="CQ314" s="44" t="str">
        <f t="shared" si="391"/>
        <v/>
      </c>
      <c r="CR314" s="44" t="str">
        <f t="shared" si="392"/>
        <v/>
      </c>
      <c r="CS314" s="44" t="str">
        <f t="shared" si="393"/>
        <v/>
      </c>
      <c r="CT314" s="44" t="str">
        <f t="shared" si="394"/>
        <v/>
      </c>
      <c r="CV314" s="44">
        <f t="shared" si="395"/>
        <v>0</v>
      </c>
    </row>
    <row r="315" spans="1:100" x14ac:dyDescent="0.25">
      <c r="A315" s="49"/>
      <c r="B315" s="50"/>
      <c r="C315" s="51" t="str" cm="1">
        <f t="array" ref="C315">IF(B315="","",INDEX(UWS!$B$10:$B$41,B315))</f>
        <v/>
      </c>
      <c r="D315" s="45" t="str">
        <f t="shared" si="352"/>
        <v/>
      </c>
      <c r="E315" s="70" t="str">
        <f t="shared" si="353"/>
        <v/>
      </c>
      <c r="F315" s="52" cm="1">
        <f t="array" ref="F315">0.1+IFERROR(INDEX($F$5:$F314,SUMPRODUCT(MAX(ROW($C$5:$C314)*($C315=$C$5:$C314))-ROW($A$4)))*0.9^($A315-INDEX($A$5:A314,SUMPRODUCT(MAX(ROW($C$5:$C314)*($C315=$C$5:$C314))-ROW($A$4)))),0)</f>
        <v>25.000000000000085</v>
      </c>
      <c r="G315" s="56" t="e">
        <f>INDEX(UWS!$AB$10:$AB$41,MATCH(C315,UWS!$B$10:$B$41,0))</f>
        <v>#N/A</v>
      </c>
      <c r="H315" s="52" t="e">
        <f>INDEX(UWS!$C$10:$C$41,MATCH(C315,UWS!$B$10:$B$41,0))</f>
        <v>#N/A</v>
      </c>
      <c r="I315" s="46">
        <f t="shared" si="354"/>
        <v>5</v>
      </c>
      <c r="J315" s="46" t="e">
        <f>INDEX(UWS!$E$10:$E$41,MATCH(C315,UWS!$B$10:$B$41,0))</f>
        <v>#N/A</v>
      </c>
      <c r="K315" s="46"/>
      <c r="L315" s="109" t="str" cm="1">
        <f t="array" ref="L315">IF(K315="","",INDEX(UWS!$B$10:$B$41,K315))</f>
        <v/>
      </c>
      <c r="M315" s="46"/>
      <c r="N315" s="109" t="str" cm="1">
        <f t="array" ref="N315">IF(M315="","",INDEX(UWS!$B$10:$B$41,M315))</f>
        <v/>
      </c>
      <c r="O315" s="47"/>
      <c r="P315" s="47">
        <f>IFERROR(INDEX(UWS!$G$10:$Z$41,MATCH($C315,UWS!$B$10:$B$41,0),MATCH(P$4,UWS!$G$3:$Z$3,0)),0)</f>
        <v>0</v>
      </c>
      <c r="Q315" s="47">
        <f>IFERROR(INDEX(UWS!$G$10:$Z$41,MATCH($C315,UWS!$B$10:$B$41,0),MATCH(Q$4,UWS!$G$3:$Z$3,0)),0)</f>
        <v>0</v>
      </c>
      <c r="R315" s="47">
        <f>IFERROR(INDEX(UWS!$G$10:$Z$41,MATCH($C315,UWS!$B$10:$B$41,0),MATCH(R$4,UWS!$G$3:$Z$3,0)),0)</f>
        <v>0</v>
      </c>
      <c r="S315" s="47">
        <f>IFERROR(INDEX(UWS!$G$10:$Z$41,MATCH($C315,UWS!$B$10:$B$41,0),MATCH(S$4,UWS!$G$3:$Z$3,0)),0)</f>
        <v>0</v>
      </c>
      <c r="T315" s="47">
        <f>IFERROR(INDEX(UWS!$G$10:$Z$41,MATCH($C315,UWS!$B$10:$B$41,0),MATCH(T$4,UWS!$G$3:$Z$3,0)),0)</f>
        <v>0</v>
      </c>
      <c r="U315" s="47">
        <f>IFERROR(INDEX(UWS!$G$10:$Z$41,MATCH($C315,UWS!$B$10:$B$41,0),MATCH(U$4,UWS!$G$3:$Z$3,0)),0)</f>
        <v>0</v>
      </c>
      <c r="V315" s="47">
        <f>IFERROR(INDEX(UWS!$G$10:$Z$41,MATCH($C315,UWS!$B$10:$B$41,0),MATCH(V$4,UWS!$G$3:$Z$3,0)),0)</f>
        <v>0</v>
      </c>
      <c r="W315" s="47">
        <f>IFERROR(INDEX(UWS!$G$10:$Z$41,MATCH($C315,UWS!$B$10:$B$41,0),MATCH(W$4,UWS!$G$3:$Z$3,0)),0)</f>
        <v>0</v>
      </c>
      <c r="X315" s="47">
        <f>IFERROR(INDEX(UWS!$G$10:$Z$41,MATCH($C315,UWS!$B$10:$B$41,0),MATCH(X$4,UWS!$G$3:$Z$3,0)),0)</f>
        <v>0</v>
      </c>
      <c r="Y315" s="47">
        <f>IFERROR(INDEX(UWS!$G$10:$Z$41,MATCH($C315,UWS!$B$10:$B$41,0),MATCH(Y$4,UWS!$G$3:$Z$3,0)),0)</f>
        <v>0</v>
      </c>
      <c r="Z315" s="47">
        <f>IFERROR(INDEX(UWS!$G$10:$Z$41,MATCH($C315,UWS!$B$10:$B$41,0),MATCH(Z$4,UWS!$G$3:$Z$3,0)),0)</f>
        <v>0</v>
      </c>
      <c r="AA315" s="47">
        <f>IFERROR(INDEX(UWS!$G$10:$Z$41,MATCH($C315,UWS!$B$10:$B$41,0),MATCH(AA$4,UWS!$G$3:$Z$3,0)),0)</f>
        <v>0</v>
      </c>
      <c r="AB315" s="47">
        <f>IFERROR(INDEX(UWS!$G$10:$Z$41,MATCH($C315,UWS!$B$10:$B$41,0),MATCH(AB$4,UWS!$G$3:$Z$3,0)),0)</f>
        <v>0</v>
      </c>
      <c r="AC315" s="47">
        <f>IFERROR(INDEX(UWS!$G$10:$Z$41,MATCH($C315,UWS!$B$10:$B$41,0),MATCH(AC$4,UWS!$G$3:$Z$3,0)),0)</f>
        <v>0</v>
      </c>
      <c r="AD315" s="47">
        <f>IFERROR(INDEX(UWS!$G$10:$Z$41,MATCH($C315,UWS!$B$10:$B$41,0),MATCH(AD$4,UWS!$G$3:$Z$3,0)),0)</f>
        <v>0</v>
      </c>
      <c r="AE315" s="47">
        <f>IFERROR(INDEX(UWS!$G$10:$Z$41,MATCH($C315,UWS!$B$10:$B$41,0),MATCH(AE$4,UWS!$G$3:$Z$3,0)),0)</f>
        <v>0</v>
      </c>
      <c r="AF315" s="47">
        <f>IFERROR(INDEX(UWS!$G$10:$Z$41,MATCH($C315,UWS!$B$10:$B$41,0),MATCH(AF$4,UWS!$G$3:$Z$3,0)),0)</f>
        <v>0</v>
      </c>
      <c r="AG315" s="47">
        <f>IFERROR(INDEX(UWS!$G$10:$Z$41,MATCH($C315,UWS!$B$10:$B$41,0),MATCH(AG$4,UWS!$G$3:$Z$3,0)),0)</f>
        <v>0</v>
      </c>
      <c r="AH315" s="47">
        <f>IFERROR(INDEX(UWS!$G$10:$Z$41,MATCH($C315,UWS!$B$10:$B$41,0),MATCH(AH$4,UWS!$G$3:$Z$3,0)),0)</f>
        <v>0</v>
      </c>
      <c r="AI315" s="47">
        <f>IFERROR(INDEX(UWS!$G$10:$Z$41,MATCH($C315,UWS!$B$10:$B$41,0),MATCH(AI$4,UWS!$G$3:$Z$3,0)),0)</f>
        <v>0</v>
      </c>
      <c r="AJ315" s="47"/>
      <c r="AK315" s="47" t="e">
        <f>IF(OR($J315=0,COUNTIFS($A$4:$A314,"&gt;="&amp;$A315-1,$A$4:$A314,"&lt;="&amp;$A315,$B$4:$B314,$B315)&gt;0,MIN(AK$1,IF($A315=$A314,AK314,1))-P315&lt;0),-1,MIN(1,IF($A315=$A314,AK314,1)-P315+$D$3))</f>
        <v>#N/A</v>
      </c>
      <c r="AL315" s="47" t="e">
        <f>IF(OR($J315=0,COUNTIFS($A$4:$A314,"&gt;="&amp;$A315-1,$A$4:$A314,"&lt;="&amp;$A315,$B$4:$B314,$B315)&gt;0,MIN(AL$1,IF($A315=$A314,AL314,1))-Q315&lt;0),-1,MIN(1,IF($A315=$A314,AL314,1)-Q315+$D$3))</f>
        <v>#N/A</v>
      </c>
      <c r="AM315" s="47" t="e">
        <f>IF(OR($J315=0,COUNTIFS($A$4:$A314,"&gt;="&amp;$A315-1,$A$4:$A314,"&lt;="&amp;$A315,$B$4:$B314,$B315)&gt;0,MIN(AM$1,IF($A315=$A314,AM314,1))-R315&lt;0),-1,MIN(1,IF($A315=$A314,AM314,1)-R315+$D$3))</f>
        <v>#N/A</v>
      </c>
      <c r="AN315" s="47" t="e">
        <f>IF(OR($J315=0,COUNTIFS($A$4:$A314,"&gt;="&amp;$A315-1,$A$4:$A314,"&lt;="&amp;$A315,$B$4:$B314,$B315)&gt;0,MIN(AN$1,IF($A315=$A314,AN314,1))-S315&lt;0),-1,MIN(1,IF($A315=$A314,AN314,1)-S315+$D$3))</f>
        <v>#N/A</v>
      </c>
      <c r="AO315" s="47" t="e">
        <f>IF(OR($J315=0,COUNTIFS($A$4:$A314,"&gt;="&amp;$A315-1,$A$4:$A314,"&lt;="&amp;$A315,$B$4:$B314,$B315)&gt;0,MIN(AO$1,IF($A315=$A314,AO314,1))-T315&lt;0),-1,MIN(1,IF($A315=$A314,AO314,1)-T315+$D$3))</f>
        <v>#N/A</v>
      </c>
      <c r="AP315" s="47" t="e">
        <f>IF(OR($J315=0,COUNTIFS($A$4:$A314,"&gt;="&amp;$A315-1,$A$4:$A314,"&lt;="&amp;$A315,$B$4:$B314,$B315)&gt;0,MIN(AP$1,IF($A315=$A314,AP314,1))-U315&lt;0),-1,MIN(1,IF($A315=$A314,AP314,1)-U315+$D$3))</f>
        <v>#N/A</v>
      </c>
      <c r="AQ315" s="47" t="e">
        <f>IF(OR($J315=0,COUNTIFS($A$4:$A314,"&gt;="&amp;$A315-1,$A$4:$A314,"&lt;="&amp;$A315,$B$4:$B314,$B315)&gt;0,MIN(AQ$1,IF($A315=$A314,AQ314,1))-V315&lt;0),-1,MIN(1,IF($A315=$A314,AQ314,1)-V315+$D$3))</f>
        <v>#N/A</v>
      </c>
      <c r="AR315" s="47" t="e">
        <f>IF(OR($J315=0,COUNTIFS($A$4:$A314,"&gt;="&amp;$A315-1,$A$4:$A314,"&lt;="&amp;$A315,$B$4:$B314,$B315)&gt;0,MIN(AR$1,IF($A315=$A314,AR314,1))-W315&lt;0),-1,MIN(1,IF($A315=$A314,AR314,1)-W315+$D$3))</f>
        <v>#N/A</v>
      </c>
      <c r="AS315" s="47" t="e">
        <f>IF(OR($J315=0,COUNTIFS($A$4:$A314,"&gt;="&amp;$A315-1,$A$4:$A314,"&lt;="&amp;$A315,$B$4:$B314,$B315)&gt;0,MIN(AS$1,IF($A315=$A314,AS314,1))-X315&lt;0),-1,MIN(1,IF($A315=$A314,AS314,1)-X315+$D$3))</f>
        <v>#N/A</v>
      </c>
      <c r="AT315" s="47" t="e">
        <f>IF(OR($J315=0,COUNTIFS($A$4:$A314,"&gt;="&amp;$A315-1,$A$4:$A314,"&lt;="&amp;$A315,$B$4:$B314,$B315)&gt;0,MIN(AT$1,IF($A315=$A314,AT314,1))-Y315&lt;0),-1,MIN(1,IF($A315=$A314,AT314,1)-Y315+$D$3))</f>
        <v>#N/A</v>
      </c>
      <c r="AU315" s="47" t="e">
        <f>IF(OR($J315=0,COUNTIFS($A$4:$A314,"&gt;="&amp;$A315-1,$A$4:$A314,"&lt;="&amp;$A315,$B$4:$B314,$B315)&gt;0,MIN(AU$1,IF($A315=$A314,AU314,1))-Z315&lt;0),-1,MIN(1,IF($A315=$A314,AU314,1)-Z315+$D$3))</f>
        <v>#N/A</v>
      </c>
      <c r="AV315" s="47" t="e">
        <f>IF(OR($J315=0,COUNTIFS($A$4:$A314,"&gt;="&amp;$A315-1,$A$4:$A314,"&lt;="&amp;$A315,$B$4:$B314,$B315)&gt;0,MIN(AV$1,IF($A315=$A314,AV314,1))-AA315&lt;0),-1,MIN(1,IF($A315=$A314,AV314,1)-AA315+$D$3))</f>
        <v>#N/A</v>
      </c>
      <c r="AW315" s="47" t="e">
        <f>IF(OR($J315=0,COUNTIFS($A$4:$A314,"&gt;="&amp;$A315-1,$A$4:$A314,"&lt;="&amp;$A315,$B$4:$B314,$B315)&gt;0,MIN(AW$1,IF($A315=$A314,AW314,1))-AB315&lt;0),-1,MIN(1,IF($A315=$A314,AW314,1)-AB315+$D$3))</f>
        <v>#N/A</v>
      </c>
      <c r="AX315" s="47" t="e">
        <f>IF(OR($J315=0,COUNTIFS($A$4:$A314,"&gt;="&amp;$A315-1,$A$4:$A314,"&lt;="&amp;$A315,$B$4:$B314,$B315)&gt;0,MIN(AX$1,IF($A315=$A314,AX314,1))-AC315&lt;0),-1,MIN(1,IF($A315=$A314,AX314,1)-AC315+$D$3))</f>
        <v>#N/A</v>
      </c>
      <c r="AY315" s="47" t="e">
        <f>IF(OR($J315=0,COUNTIFS($A$4:$A314,"&gt;="&amp;$A315-1,$A$4:$A314,"&lt;="&amp;$A315,$B$4:$B314,$B315)&gt;0,MIN(AY$1,IF($A315=$A314,AY314,1))-AD315&lt;0),-1,MIN(1,IF($A315=$A314,AY314,1)-AD315+$D$3))</f>
        <v>#N/A</v>
      </c>
      <c r="AZ315" s="47" t="e">
        <f>IF(OR($J315=0,COUNTIFS($A$4:$A314,"&gt;="&amp;$A315-1,$A$4:$A314,"&lt;="&amp;$A315,$B$4:$B314,$B315)&gt;0,MIN(AZ$1,IF($A315=$A314,AZ314,1))-AE315&lt;0),-1,MIN(1,IF($A315=$A314,AZ314,1)-AE315+$D$3))</f>
        <v>#N/A</v>
      </c>
      <c r="BA315" s="47" t="e">
        <f>IF(OR($J315=0,COUNTIFS($A$4:$A314,"&gt;="&amp;$A315-1,$A$4:$A314,"&lt;="&amp;$A315,$B$4:$B314,$B315)&gt;0,MIN(BA$1,IF($A315=$A314,BA314,1))-AF315&lt;0),-1,MIN(1,IF($A315=$A314,BA314,1)-AF315+$D$3))</f>
        <v>#N/A</v>
      </c>
      <c r="BB315" s="47" t="e">
        <f>IF(OR($J315=0,COUNTIFS($A$4:$A314,"&gt;="&amp;$A315-1,$A$4:$A314,"&lt;="&amp;$A315,$B$4:$B314,$B315)&gt;0,MIN(BB$1,IF($A315=$A314,BB314,1))-AG315&lt;0),-1,MIN(1,IF($A315=$A314,BB314,1)-AG315+$D$3))</f>
        <v>#N/A</v>
      </c>
      <c r="BC315" s="47" t="e">
        <f>IF(OR($J315=0,COUNTIFS($A$4:$A314,"&gt;="&amp;$A315-1,$A$4:$A314,"&lt;="&amp;$A315,$B$4:$B314,$B315)&gt;0,MIN(BC$1,IF($A315=$A314,BC314,1))-AH315&lt;0),-1,MIN(1,IF($A315=$A314,BC314,1)-AH315+$D$3))</f>
        <v>#N/A</v>
      </c>
      <c r="BD315" s="47" t="e">
        <f>IF(OR($J315=0,COUNTIFS($A$4:$A314,"&gt;="&amp;$A315-1,$A$4:$A314,"&lt;="&amp;$A315,$B$4:$B314,$B315)&gt;0,MIN(BD$1,IF($A315=$A314,BD314,1))-AI315&lt;0),-1,MIN(1,IF($A315=$A314,BD314,1)-AI315+$D$3))</f>
        <v>#N/A</v>
      </c>
      <c r="BE315" s="47"/>
      <c r="BF315" s="53">
        <f t="shared" si="355"/>
        <v>2.5023447270662803E-7</v>
      </c>
      <c r="BG315" s="53">
        <f t="shared" si="356"/>
        <v>6.1539717986475203E-7</v>
      </c>
      <c r="BH315" s="53">
        <f t="shared" si="357"/>
        <v>6.3071737591776579E-7</v>
      </c>
      <c r="BI315" s="53">
        <f t="shared" si="358"/>
        <v>5.8260774406059798E-7</v>
      </c>
      <c r="BJ315" s="53">
        <f t="shared" si="359"/>
        <v>6.0218041391199511E-7</v>
      </c>
      <c r="BK315" s="53">
        <f t="shared" si="360"/>
        <v>2.5859872199416534E-7</v>
      </c>
      <c r="BL315" s="53">
        <f t="shared" si="361"/>
        <v>1.3969909799830604E-7</v>
      </c>
      <c r="BM315" s="53">
        <f t="shared" si="362"/>
        <v>3.5537819194052696E-7</v>
      </c>
      <c r="BN315" s="53">
        <f t="shared" si="363"/>
        <v>3.6962101615298022E-7</v>
      </c>
      <c r="BO315" s="53">
        <f t="shared" si="364"/>
        <v>1.7321843367705061E-7</v>
      </c>
      <c r="BP315" s="53">
        <f t="shared" si="365"/>
        <v>5.8244312389800969E-7</v>
      </c>
      <c r="BQ315" s="53">
        <f t="shared" si="366"/>
        <v>1.5717728872677872E-7</v>
      </c>
      <c r="BR315" s="53">
        <f t="shared" si="367"/>
        <v>4.6434105648898254E-7</v>
      </c>
      <c r="BS315" s="53">
        <f t="shared" si="368"/>
        <v>2.5042529362318863E-7</v>
      </c>
      <c r="BT315" s="53">
        <f t="shared" si="369"/>
        <v>9.9100966136390602E-7</v>
      </c>
      <c r="BU315" s="53">
        <f t="shared" si="370"/>
        <v>9.4671243280705878E-7</v>
      </c>
      <c r="BV315" s="53">
        <f t="shared" si="371"/>
        <v>9.0919129917436851E-7</v>
      </c>
      <c r="BW315" s="53">
        <f t="shared" si="372"/>
        <v>5.9466114283656433E-7</v>
      </c>
      <c r="BX315" s="53">
        <f t="shared" si="373"/>
        <v>4.3932485372592573E-7</v>
      </c>
      <c r="BY315" s="53">
        <f t="shared" si="374"/>
        <v>3.7721088158210475E-7</v>
      </c>
      <c r="BZ315" s="47"/>
      <c r="CA315" s="53" t="str">
        <f t="shared" si="375"/>
        <v/>
      </c>
      <c r="CB315" s="53" t="str">
        <f t="shared" si="376"/>
        <v/>
      </c>
      <c r="CC315" s="53" t="str">
        <f t="shared" si="377"/>
        <v/>
      </c>
      <c r="CD315" s="53" t="str">
        <f t="shared" si="378"/>
        <v/>
      </c>
      <c r="CE315" s="53" t="str">
        <f t="shared" si="379"/>
        <v/>
      </c>
      <c r="CF315" s="53" t="str">
        <f t="shared" si="380"/>
        <v/>
      </c>
      <c r="CG315" s="53" t="str">
        <f t="shared" si="381"/>
        <v/>
      </c>
      <c r="CH315" s="53" t="str">
        <f t="shared" si="382"/>
        <v/>
      </c>
      <c r="CI315" s="53" t="str">
        <f t="shared" si="383"/>
        <v/>
      </c>
      <c r="CJ315" s="53" t="str">
        <f t="shared" si="384"/>
        <v/>
      </c>
      <c r="CK315" s="53" t="str">
        <f t="shared" si="385"/>
        <v/>
      </c>
      <c r="CL315" s="53" t="str">
        <f t="shared" si="386"/>
        <v/>
      </c>
      <c r="CM315" s="53" t="str">
        <f t="shared" si="387"/>
        <v/>
      </c>
      <c r="CN315" s="53" t="str">
        <f t="shared" si="388"/>
        <v/>
      </c>
      <c r="CO315" s="53" t="str">
        <f t="shared" si="389"/>
        <v/>
      </c>
      <c r="CP315" s="53" t="str">
        <f t="shared" si="390"/>
        <v/>
      </c>
      <c r="CQ315" s="53" t="str">
        <f t="shared" si="391"/>
        <v/>
      </c>
      <c r="CR315" s="53" t="str">
        <f t="shared" si="392"/>
        <v/>
      </c>
      <c r="CS315" s="53" t="str">
        <f t="shared" si="393"/>
        <v/>
      </c>
      <c r="CT315" s="53" t="str">
        <f t="shared" si="394"/>
        <v/>
      </c>
      <c r="CU315" s="47"/>
      <c r="CV315" s="53">
        <f t="shared" si="395"/>
        <v>0</v>
      </c>
    </row>
    <row r="316" spans="1:100" x14ac:dyDescent="0.25">
      <c r="A316" s="41"/>
      <c r="B316" s="42"/>
      <c r="C316" s="43" t="str" cm="1">
        <f t="array" ref="C316">IF(B316="","",INDEX(UWS!$B$10:$B$41,B316))</f>
        <v/>
      </c>
      <c r="D316" s="40" t="str">
        <f t="shared" si="352"/>
        <v/>
      </c>
      <c r="E316" s="69" t="str">
        <f t="shared" si="353"/>
        <v/>
      </c>
      <c r="F316" s="48" cm="1">
        <f t="array" ref="F316">0.1+IFERROR(INDEX($F$5:$F315,SUMPRODUCT(MAX(ROW($C$5:$C315)*($C316=$C$5:$C315))-ROW($A$4)))*0.9^($A316-INDEX($A$5:A315,SUMPRODUCT(MAX(ROW($C$5:$C315)*($C316=$C$5:$C315))-ROW($A$4)))),0)</f>
        <v>25.100000000000087</v>
      </c>
      <c r="G316" s="55" t="e">
        <f>INDEX(UWS!$AB$10:$AB$41,MATCH(C316,UWS!$B$10:$B$41,0))</f>
        <v>#N/A</v>
      </c>
      <c r="H316" s="48" t="e">
        <f>INDEX(UWS!$C$10:$C$41,MATCH(C316,UWS!$B$10:$B$41,0))</f>
        <v>#N/A</v>
      </c>
      <c r="I316" s="82">
        <f t="shared" si="354"/>
        <v>5</v>
      </c>
      <c r="J316" s="27" t="e">
        <f>INDEX(UWS!$E$10:$E$41,MATCH(C316,UWS!$B$10:$B$41,0))</f>
        <v>#N/A</v>
      </c>
      <c r="L316" s="108" t="str" cm="1">
        <f t="array" ref="L316">IF(K316="","",INDEX(UWS!$B$10:$B$41,K316))</f>
        <v/>
      </c>
      <c r="N316" s="108" t="str" cm="1">
        <f t="array" ref="N316">IF(M316="","",INDEX(UWS!$B$10:$B$41,M316))</f>
        <v/>
      </c>
      <c r="P316">
        <f>IFERROR(INDEX(UWS!$G$10:$Z$41,MATCH($C316,UWS!$B$10:$B$41,0),MATCH(P$4,UWS!$G$3:$Z$3,0)),0)</f>
        <v>0</v>
      </c>
      <c r="Q316">
        <f>IFERROR(INDEX(UWS!$G$10:$Z$41,MATCH($C316,UWS!$B$10:$B$41,0),MATCH(Q$4,UWS!$G$3:$Z$3,0)),0)</f>
        <v>0</v>
      </c>
      <c r="R316">
        <f>IFERROR(INDEX(UWS!$G$10:$Z$41,MATCH($C316,UWS!$B$10:$B$41,0),MATCH(R$4,UWS!$G$3:$Z$3,0)),0)</f>
        <v>0</v>
      </c>
      <c r="S316">
        <f>IFERROR(INDEX(UWS!$G$10:$Z$41,MATCH($C316,UWS!$B$10:$B$41,0),MATCH(S$4,UWS!$G$3:$Z$3,0)),0)</f>
        <v>0</v>
      </c>
      <c r="T316">
        <f>IFERROR(INDEX(UWS!$G$10:$Z$41,MATCH($C316,UWS!$B$10:$B$41,0),MATCH(T$4,UWS!$G$3:$Z$3,0)),0)</f>
        <v>0</v>
      </c>
      <c r="U316">
        <f>IFERROR(INDEX(UWS!$G$10:$Z$41,MATCH($C316,UWS!$B$10:$B$41,0),MATCH(U$4,UWS!$G$3:$Z$3,0)),0)</f>
        <v>0</v>
      </c>
      <c r="V316">
        <f>IFERROR(INDEX(UWS!$G$10:$Z$41,MATCH($C316,UWS!$B$10:$B$41,0),MATCH(V$4,UWS!$G$3:$Z$3,0)),0)</f>
        <v>0</v>
      </c>
      <c r="W316">
        <f>IFERROR(INDEX(UWS!$G$10:$Z$41,MATCH($C316,UWS!$B$10:$B$41,0),MATCH(W$4,UWS!$G$3:$Z$3,0)),0)</f>
        <v>0</v>
      </c>
      <c r="X316">
        <f>IFERROR(INDEX(UWS!$G$10:$Z$41,MATCH($C316,UWS!$B$10:$B$41,0),MATCH(X$4,UWS!$G$3:$Z$3,0)),0)</f>
        <v>0</v>
      </c>
      <c r="Y316">
        <f>IFERROR(INDEX(UWS!$G$10:$Z$41,MATCH($C316,UWS!$B$10:$B$41,0),MATCH(Y$4,UWS!$G$3:$Z$3,0)),0)</f>
        <v>0</v>
      </c>
      <c r="Z316">
        <f>IFERROR(INDEX(UWS!$G$10:$Z$41,MATCH($C316,UWS!$B$10:$B$41,0),MATCH(Z$4,UWS!$G$3:$Z$3,0)),0)</f>
        <v>0</v>
      </c>
      <c r="AA316">
        <f>IFERROR(INDEX(UWS!$G$10:$Z$41,MATCH($C316,UWS!$B$10:$B$41,0),MATCH(AA$4,UWS!$G$3:$Z$3,0)),0)</f>
        <v>0</v>
      </c>
      <c r="AB316">
        <f>IFERROR(INDEX(UWS!$G$10:$Z$41,MATCH($C316,UWS!$B$10:$B$41,0),MATCH(AB$4,UWS!$G$3:$Z$3,0)),0)</f>
        <v>0</v>
      </c>
      <c r="AC316">
        <f>IFERROR(INDEX(UWS!$G$10:$Z$41,MATCH($C316,UWS!$B$10:$B$41,0),MATCH(AC$4,UWS!$G$3:$Z$3,0)),0)</f>
        <v>0</v>
      </c>
      <c r="AD316">
        <f>IFERROR(INDEX(UWS!$G$10:$Z$41,MATCH($C316,UWS!$B$10:$B$41,0),MATCH(AD$4,UWS!$G$3:$Z$3,0)),0)</f>
        <v>0</v>
      </c>
      <c r="AE316">
        <f>IFERROR(INDEX(UWS!$G$10:$Z$41,MATCH($C316,UWS!$B$10:$B$41,0),MATCH(AE$4,UWS!$G$3:$Z$3,0)),0)</f>
        <v>0</v>
      </c>
      <c r="AF316">
        <f>IFERROR(INDEX(UWS!$G$10:$Z$41,MATCH($C316,UWS!$B$10:$B$41,0),MATCH(AF$4,UWS!$G$3:$Z$3,0)),0)</f>
        <v>0</v>
      </c>
      <c r="AG316">
        <f>IFERROR(INDEX(UWS!$G$10:$Z$41,MATCH($C316,UWS!$B$10:$B$41,0),MATCH(AG$4,UWS!$G$3:$Z$3,0)),0)</f>
        <v>0</v>
      </c>
      <c r="AH316">
        <f>IFERROR(INDEX(UWS!$G$10:$Z$41,MATCH($C316,UWS!$B$10:$B$41,0),MATCH(AH$4,UWS!$G$3:$Z$3,0)),0)</f>
        <v>0</v>
      </c>
      <c r="AI316">
        <f>IFERROR(INDEX(UWS!$G$10:$Z$41,MATCH($C316,UWS!$B$10:$B$41,0),MATCH(AI$4,UWS!$G$3:$Z$3,0)),0)</f>
        <v>0</v>
      </c>
      <c r="AK316" t="e">
        <f>IF(OR($J316=0,COUNTIFS($A$4:$A315,"&gt;="&amp;$A316-1,$A$4:$A315,"&lt;="&amp;$A316,$B$4:$B315,$B316)&gt;0,MIN(AK$1,IF($A316=$A315,AK315,1))-P316&lt;0),-1,MIN(1,IF($A316=$A315,AK315,1)-P316+$D$3))</f>
        <v>#N/A</v>
      </c>
      <c r="AL316" t="e">
        <f>IF(OR($J316=0,COUNTIFS($A$4:$A315,"&gt;="&amp;$A316-1,$A$4:$A315,"&lt;="&amp;$A316,$B$4:$B315,$B316)&gt;0,MIN(AL$1,IF($A316=$A315,AL315,1))-Q316&lt;0),-1,MIN(1,IF($A316=$A315,AL315,1)-Q316+$D$3))</f>
        <v>#N/A</v>
      </c>
      <c r="AM316" t="e">
        <f>IF(OR($J316=0,COUNTIFS($A$4:$A315,"&gt;="&amp;$A316-1,$A$4:$A315,"&lt;="&amp;$A316,$B$4:$B315,$B316)&gt;0,MIN(AM$1,IF($A316=$A315,AM315,1))-R316&lt;0),-1,MIN(1,IF($A316=$A315,AM315,1)-R316+$D$3))</f>
        <v>#N/A</v>
      </c>
      <c r="AN316" t="e">
        <f>IF(OR($J316=0,COUNTIFS($A$4:$A315,"&gt;="&amp;$A316-1,$A$4:$A315,"&lt;="&amp;$A316,$B$4:$B315,$B316)&gt;0,MIN(AN$1,IF($A316=$A315,AN315,1))-S316&lt;0),-1,MIN(1,IF($A316=$A315,AN315,1)-S316+$D$3))</f>
        <v>#N/A</v>
      </c>
      <c r="AO316" t="e">
        <f>IF(OR($J316=0,COUNTIFS($A$4:$A315,"&gt;="&amp;$A316-1,$A$4:$A315,"&lt;="&amp;$A316,$B$4:$B315,$B316)&gt;0,MIN(AO$1,IF($A316=$A315,AO315,1))-T316&lt;0),-1,MIN(1,IF($A316=$A315,AO315,1)-T316+$D$3))</f>
        <v>#N/A</v>
      </c>
      <c r="AP316" t="e">
        <f>IF(OR($J316=0,COUNTIFS($A$4:$A315,"&gt;="&amp;$A316-1,$A$4:$A315,"&lt;="&amp;$A316,$B$4:$B315,$B316)&gt;0,MIN(AP$1,IF($A316=$A315,AP315,1))-U316&lt;0),-1,MIN(1,IF($A316=$A315,AP315,1)-U316+$D$3))</f>
        <v>#N/A</v>
      </c>
      <c r="AQ316" t="e">
        <f>IF(OR($J316=0,COUNTIFS($A$4:$A315,"&gt;="&amp;$A316-1,$A$4:$A315,"&lt;="&amp;$A316,$B$4:$B315,$B316)&gt;0,MIN(AQ$1,IF($A316=$A315,AQ315,1))-V316&lt;0),-1,MIN(1,IF($A316=$A315,AQ315,1)-V316+$D$3))</f>
        <v>#N/A</v>
      </c>
      <c r="AR316" t="e">
        <f>IF(OR($J316=0,COUNTIFS($A$4:$A315,"&gt;="&amp;$A316-1,$A$4:$A315,"&lt;="&amp;$A316,$B$4:$B315,$B316)&gt;0,MIN(AR$1,IF($A316=$A315,AR315,1))-W316&lt;0),-1,MIN(1,IF($A316=$A315,AR315,1)-W316+$D$3))</f>
        <v>#N/A</v>
      </c>
      <c r="AS316" t="e">
        <f>IF(OR($J316=0,COUNTIFS($A$4:$A315,"&gt;="&amp;$A316-1,$A$4:$A315,"&lt;="&amp;$A316,$B$4:$B315,$B316)&gt;0,MIN(AS$1,IF($A316=$A315,AS315,1))-X316&lt;0),-1,MIN(1,IF($A316=$A315,AS315,1)-X316+$D$3))</f>
        <v>#N/A</v>
      </c>
      <c r="AT316" t="e">
        <f>IF(OR($J316=0,COUNTIFS($A$4:$A315,"&gt;="&amp;$A316-1,$A$4:$A315,"&lt;="&amp;$A316,$B$4:$B315,$B316)&gt;0,MIN(AT$1,IF($A316=$A315,AT315,1))-Y316&lt;0),-1,MIN(1,IF($A316=$A315,AT315,1)-Y316+$D$3))</f>
        <v>#N/A</v>
      </c>
      <c r="AU316" t="e">
        <f>IF(OR($J316=0,COUNTIFS($A$4:$A315,"&gt;="&amp;$A316-1,$A$4:$A315,"&lt;="&amp;$A316,$B$4:$B315,$B316)&gt;0,MIN(AU$1,IF($A316=$A315,AU315,1))-Z316&lt;0),-1,MIN(1,IF($A316=$A315,AU315,1)-Z316+$D$3))</f>
        <v>#N/A</v>
      </c>
      <c r="AV316" t="e">
        <f>IF(OR($J316=0,COUNTIFS($A$4:$A315,"&gt;="&amp;$A316-1,$A$4:$A315,"&lt;="&amp;$A316,$B$4:$B315,$B316)&gt;0,MIN(AV$1,IF($A316=$A315,AV315,1))-AA316&lt;0),-1,MIN(1,IF($A316=$A315,AV315,1)-AA316+$D$3))</f>
        <v>#N/A</v>
      </c>
      <c r="AW316" t="e">
        <f>IF(OR($J316=0,COUNTIFS($A$4:$A315,"&gt;="&amp;$A316-1,$A$4:$A315,"&lt;="&amp;$A316,$B$4:$B315,$B316)&gt;0,MIN(AW$1,IF($A316=$A315,AW315,1))-AB316&lt;0),-1,MIN(1,IF($A316=$A315,AW315,1)-AB316+$D$3))</f>
        <v>#N/A</v>
      </c>
      <c r="AX316" t="e">
        <f>IF(OR($J316=0,COUNTIFS($A$4:$A315,"&gt;="&amp;$A316-1,$A$4:$A315,"&lt;="&amp;$A316,$B$4:$B315,$B316)&gt;0,MIN(AX$1,IF($A316=$A315,AX315,1))-AC316&lt;0),-1,MIN(1,IF($A316=$A315,AX315,1)-AC316+$D$3))</f>
        <v>#N/A</v>
      </c>
      <c r="AY316" t="e">
        <f>IF(OR($J316=0,COUNTIFS($A$4:$A315,"&gt;="&amp;$A316-1,$A$4:$A315,"&lt;="&amp;$A316,$B$4:$B315,$B316)&gt;0,MIN(AY$1,IF($A316=$A315,AY315,1))-AD316&lt;0),-1,MIN(1,IF($A316=$A315,AY315,1)-AD316+$D$3))</f>
        <v>#N/A</v>
      </c>
      <c r="AZ316" t="e">
        <f>IF(OR($J316=0,COUNTIFS($A$4:$A315,"&gt;="&amp;$A316-1,$A$4:$A315,"&lt;="&amp;$A316,$B$4:$B315,$B316)&gt;0,MIN(AZ$1,IF($A316=$A315,AZ315,1))-AE316&lt;0),-1,MIN(1,IF($A316=$A315,AZ315,1)-AE316+$D$3))</f>
        <v>#N/A</v>
      </c>
      <c r="BA316" t="e">
        <f>IF(OR($J316=0,COUNTIFS($A$4:$A315,"&gt;="&amp;$A316-1,$A$4:$A315,"&lt;="&amp;$A316,$B$4:$B315,$B316)&gt;0,MIN(BA$1,IF($A316=$A315,BA315,1))-AF316&lt;0),-1,MIN(1,IF($A316=$A315,BA315,1)-AF316+$D$3))</f>
        <v>#N/A</v>
      </c>
      <c r="BB316" t="e">
        <f>IF(OR($J316=0,COUNTIFS($A$4:$A315,"&gt;="&amp;$A316-1,$A$4:$A315,"&lt;="&amp;$A316,$B$4:$B315,$B316)&gt;0,MIN(BB$1,IF($A316=$A315,BB315,1))-AG316&lt;0),-1,MIN(1,IF($A316=$A315,BB315,1)-AG316+$D$3))</f>
        <v>#N/A</v>
      </c>
      <c r="BC316" t="e">
        <f>IF(OR($J316=0,COUNTIFS($A$4:$A315,"&gt;="&amp;$A316-1,$A$4:$A315,"&lt;="&amp;$A316,$B$4:$B315,$B316)&gt;0,MIN(BC$1,IF($A316=$A315,BC315,1))-AH316&lt;0),-1,MIN(1,IF($A316=$A315,BC315,1)-AH316+$D$3))</f>
        <v>#N/A</v>
      </c>
      <c r="BD316" t="e">
        <f>IF(OR($J316=0,COUNTIFS($A$4:$A315,"&gt;="&amp;$A316-1,$A$4:$A315,"&lt;="&amp;$A316,$B$4:$B315,$B316)&gt;0,MIN(BD$1,IF($A316=$A315,BD315,1))-AI316&lt;0),-1,MIN(1,IF($A316=$A315,BD315,1)-AI316+$D$3))</f>
        <v>#N/A</v>
      </c>
      <c r="BF316" s="44">
        <f t="shared" si="355"/>
        <v>2.3772274907129662E-7</v>
      </c>
      <c r="BG316" s="44">
        <f t="shared" si="356"/>
        <v>5.846273208715144E-7</v>
      </c>
      <c r="BH316" s="44">
        <f t="shared" si="357"/>
        <v>5.9918150712187752E-7</v>
      </c>
      <c r="BI316" s="44">
        <f t="shared" si="358"/>
        <v>5.5347735685756802E-7</v>
      </c>
      <c r="BJ316" s="44">
        <f t="shared" si="359"/>
        <v>5.720713932163953E-7</v>
      </c>
      <c r="BK316" s="44">
        <f t="shared" si="360"/>
        <v>2.4566878589445704E-7</v>
      </c>
      <c r="BL316" s="44">
        <f t="shared" si="361"/>
        <v>1.3271414309839073E-7</v>
      </c>
      <c r="BM316" s="44">
        <f t="shared" si="362"/>
        <v>3.3760928234350061E-7</v>
      </c>
      <c r="BN316" s="44">
        <f t="shared" si="363"/>
        <v>3.5113996534533119E-7</v>
      </c>
      <c r="BO316" s="44">
        <f t="shared" si="364"/>
        <v>1.6455751199319807E-7</v>
      </c>
      <c r="BP316" s="44">
        <f t="shared" si="365"/>
        <v>5.5332096770310913E-7</v>
      </c>
      <c r="BQ316" s="44">
        <f t="shared" si="366"/>
        <v>1.4931842429043978E-7</v>
      </c>
      <c r="BR316" s="44">
        <f t="shared" si="367"/>
        <v>4.4112400366453338E-7</v>
      </c>
      <c r="BS316" s="44">
        <f t="shared" si="368"/>
        <v>2.3790402894202918E-7</v>
      </c>
      <c r="BT316" s="44">
        <f t="shared" si="369"/>
        <v>9.4145917829571069E-7</v>
      </c>
      <c r="BU316" s="44">
        <f t="shared" si="370"/>
        <v>8.993768111667058E-7</v>
      </c>
      <c r="BV316" s="44">
        <f t="shared" si="371"/>
        <v>8.6373173421565004E-7</v>
      </c>
      <c r="BW316" s="44">
        <f t="shared" si="372"/>
        <v>5.6492808569473611E-7</v>
      </c>
      <c r="BX316" s="44">
        <f t="shared" si="373"/>
        <v>4.1735861103962941E-7</v>
      </c>
      <c r="BY316" s="44">
        <f t="shared" si="374"/>
        <v>3.5835033750299949E-7</v>
      </c>
      <c r="CA316" s="44" t="str">
        <f t="shared" si="375"/>
        <v/>
      </c>
      <c r="CB316" s="44" t="str">
        <f t="shared" si="376"/>
        <v/>
      </c>
      <c r="CC316" s="44" t="str">
        <f t="shared" si="377"/>
        <v/>
      </c>
      <c r="CD316" s="44" t="str">
        <f t="shared" si="378"/>
        <v/>
      </c>
      <c r="CE316" s="44" t="str">
        <f t="shared" si="379"/>
        <v/>
      </c>
      <c r="CF316" s="44" t="str">
        <f t="shared" si="380"/>
        <v/>
      </c>
      <c r="CG316" s="44" t="str">
        <f t="shared" si="381"/>
        <v/>
      </c>
      <c r="CH316" s="44" t="str">
        <f t="shared" si="382"/>
        <v/>
      </c>
      <c r="CI316" s="44" t="str">
        <f t="shared" si="383"/>
        <v/>
      </c>
      <c r="CJ316" s="44" t="str">
        <f t="shared" si="384"/>
        <v/>
      </c>
      <c r="CK316" s="44" t="str">
        <f t="shared" si="385"/>
        <v/>
      </c>
      <c r="CL316" s="44" t="str">
        <f t="shared" si="386"/>
        <v/>
      </c>
      <c r="CM316" s="44" t="str">
        <f t="shared" si="387"/>
        <v/>
      </c>
      <c r="CN316" s="44" t="str">
        <f t="shared" si="388"/>
        <v/>
      </c>
      <c r="CO316" s="44" t="str">
        <f t="shared" si="389"/>
        <v/>
      </c>
      <c r="CP316" s="44" t="str">
        <f t="shared" si="390"/>
        <v/>
      </c>
      <c r="CQ316" s="44" t="str">
        <f t="shared" si="391"/>
        <v/>
      </c>
      <c r="CR316" s="44" t="str">
        <f t="shared" si="392"/>
        <v/>
      </c>
      <c r="CS316" s="44" t="str">
        <f t="shared" si="393"/>
        <v/>
      </c>
      <c r="CT316" s="44" t="str">
        <f t="shared" si="394"/>
        <v/>
      </c>
      <c r="CV316" s="44">
        <f t="shared" si="395"/>
        <v>0</v>
      </c>
    </row>
    <row r="317" spans="1:100" x14ac:dyDescent="0.25">
      <c r="A317" s="41"/>
      <c r="B317" s="42"/>
      <c r="C317" s="43" t="str" cm="1">
        <f t="array" ref="C317">IF(B317="","",INDEX(UWS!$B$10:$B$41,B317))</f>
        <v/>
      </c>
      <c r="D317" s="40" t="str">
        <f t="shared" si="352"/>
        <v/>
      </c>
      <c r="E317" s="69" t="str">
        <f t="shared" si="353"/>
        <v/>
      </c>
      <c r="F317" s="48" cm="1">
        <f t="array" ref="F317">0.1+IFERROR(INDEX($F$5:$F316,SUMPRODUCT(MAX(ROW($C$5:$C316)*($C317=$C$5:$C316))-ROW($A$4)))*0.9^($A317-INDEX($A$5:A316,SUMPRODUCT(MAX(ROW($C$5:$C316)*($C317=$C$5:$C316))-ROW($A$4)))),0)</f>
        <v>25.200000000000088</v>
      </c>
      <c r="G317" s="55" t="e">
        <f>INDEX(UWS!$AB$10:$AB$41,MATCH(C317,UWS!$B$10:$B$41,0))</f>
        <v>#N/A</v>
      </c>
      <c r="H317" s="48" t="e">
        <f>INDEX(UWS!$C$10:$C$41,MATCH(C317,UWS!$B$10:$B$41,0))</f>
        <v>#N/A</v>
      </c>
      <c r="I317" s="27">
        <f t="shared" si="354"/>
        <v>5</v>
      </c>
      <c r="J317" s="27" t="e">
        <f>INDEX(UWS!$E$10:$E$41,MATCH(C317,UWS!$B$10:$B$41,0))</f>
        <v>#N/A</v>
      </c>
      <c r="L317" s="108" t="str" cm="1">
        <f t="array" ref="L317">IF(K317="","",INDEX(UWS!$B$10:$B$41,K317))</f>
        <v/>
      </c>
      <c r="N317" s="108" t="str" cm="1">
        <f t="array" ref="N317">IF(M317="","",INDEX(UWS!$B$10:$B$41,M317))</f>
        <v/>
      </c>
      <c r="P317">
        <f>IFERROR(INDEX(UWS!$G$10:$Z$41,MATCH($C317,UWS!$B$10:$B$41,0),MATCH(P$4,UWS!$G$3:$Z$3,0)),0)</f>
        <v>0</v>
      </c>
      <c r="Q317">
        <f>IFERROR(INDEX(UWS!$G$10:$Z$41,MATCH($C317,UWS!$B$10:$B$41,0),MATCH(Q$4,UWS!$G$3:$Z$3,0)),0)</f>
        <v>0</v>
      </c>
      <c r="R317">
        <f>IFERROR(INDEX(UWS!$G$10:$Z$41,MATCH($C317,UWS!$B$10:$B$41,0),MATCH(R$4,UWS!$G$3:$Z$3,0)),0)</f>
        <v>0</v>
      </c>
      <c r="S317">
        <f>IFERROR(INDEX(UWS!$G$10:$Z$41,MATCH($C317,UWS!$B$10:$B$41,0),MATCH(S$4,UWS!$G$3:$Z$3,0)),0)</f>
        <v>0</v>
      </c>
      <c r="T317">
        <f>IFERROR(INDEX(UWS!$G$10:$Z$41,MATCH($C317,UWS!$B$10:$B$41,0),MATCH(T$4,UWS!$G$3:$Z$3,0)),0)</f>
        <v>0</v>
      </c>
      <c r="U317">
        <f>IFERROR(INDEX(UWS!$G$10:$Z$41,MATCH($C317,UWS!$B$10:$B$41,0),MATCH(U$4,UWS!$G$3:$Z$3,0)),0)</f>
        <v>0</v>
      </c>
      <c r="V317">
        <f>IFERROR(INDEX(UWS!$G$10:$Z$41,MATCH($C317,UWS!$B$10:$B$41,0),MATCH(V$4,UWS!$G$3:$Z$3,0)),0)</f>
        <v>0</v>
      </c>
      <c r="W317">
        <f>IFERROR(INDEX(UWS!$G$10:$Z$41,MATCH($C317,UWS!$B$10:$B$41,0),MATCH(W$4,UWS!$G$3:$Z$3,0)),0)</f>
        <v>0</v>
      </c>
      <c r="X317">
        <f>IFERROR(INDEX(UWS!$G$10:$Z$41,MATCH($C317,UWS!$B$10:$B$41,0),MATCH(X$4,UWS!$G$3:$Z$3,0)),0)</f>
        <v>0</v>
      </c>
      <c r="Y317">
        <f>IFERROR(INDEX(UWS!$G$10:$Z$41,MATCH($C317,UWS!$B$10:$B$41,0),MATCH(Y$4,UWS!$G$3:$Z$3,0)),0)</f>
        <v>0</v>
      </c>
      <c r="Z317">
        <f>IFERROR(INDEX(UWS!$G$10:$Z$41,MATCH($C317,UWS!$B$10:$B$41,0),MATCH(Z$4,UWS!$G$3:$Z$3,0)),0)</f>
        <v>0</v>
      </c>
      <c r="AA317">
        <f>IFERROR(INDEX(UWS!$G$10:$Z$41,MATCH($C317,UWS!$B$10:$B$41,0),MATCH(AA$4,UWS!$G$3:$Z$3,0)),0)</f>
        <v>0</v>
      </c>
      <c r="AB317">
        <f>IFERROR(INDEX(UWS!$G$10:$Z$41,MATCH($C317,UWS!$B$10:$B$41,0),MATCH(AB$4,UWS!$G$3:$Z$3,0)),0)</f>
        <v>0</v>
      </c>
      <c r="AC317">
        <f>IFERROR(INDEX(UWS!$G$10:$Z$41,MATCH($C317,UWS!$B$10:$B$41,0),MATCH(AC$4,UWS!$G$3:$Z$3,0)),0)</f>
        <v>0</v>
      </c>
      <c r="AD317">
        <f>IFERROR(INDEX(UWS!$G$10:$Z$41,MATCH($C317,UWS!$B$10:$B$41,0),MATCH(AD$4,UWS!$G$3:$Z$3,0)),0)</f>
        <v>0</v>
      </c>
      <c r="AE317">
        <f>IFERROR(INDEX(UWS!$G$10:$Z$41,MATCH($C317,UWS!$B$10:$B$41,0),MATCH(AE$4,UWS!$G$3:$Z$3,0)),0)</f>
        <v>0</v>
      </c>
      <c r="AF317">
        <f>IFERROR(INDEX(UWS!$G$10:$Z$41,MATCH($C317,UWS!$B$10:$B$41,0),MATCH(AF$4,UWS!$G$3:$Z$3,0)),0)</f>
        <v>0</v>
      </c>
      <c r="AG317">
        <f>IFERROR(INDEX(UWS!$G$10:$Z$41,MATCH($C317,UWS!$B$10:$B$41,0),MATCH(AG$4,UWS!$G$3:$Z$3,0)),0)</f>
        <v>0</v>
      </c>
      <c r="AH317">
        <f>IFERROR(INDEX(UWS!$G$10:$Z$41,MATCH($C317,UWS!$B$10:$B$41,0),MATCH(AH$4,UWS!$G$3:$Z$3,0)),0)</f>
        <v>0</v>
      </c>
      <c r="AI317">
        <f>IFERROR(INDEX(UWS!$G$10:$Z$41,MATCH($C317,UWS!$B$10:$B$41,0),MATCH(AI$4,UWS!$G$3:$Z$3,0)),0)</f>
        <v>0</v>
      </c>
      <c r="AK317" t="e">
        <f>IF(OR($J317=0,COUNTIFS($A$4:$A316,"&gt;="&amp;$A317-1,$A$4:$A316,"&lt;="&amp;$A317,$B$4:$B316,$B317)&gt;0,MIN(AK$1,IF($A317=$A316,AK316,1))-P317&lt;0),-1,MIN(1,IF($A317=$A316,AK316,1)-P317+$D$3))</f>
        <v>#N/A</v>
      </c>
      <c r="AL317" t="e">
        <f>IF(OR($J317=0,COUNTIFS($A$4:$A316,"&gt;="&amp;$A317-1,$A$4:$A316,"&lt;="&amp;$A317,$B$4:$B316,$B317)&gt;0,MIN(AL$1,IF($A317=$A316,AL316,1))-Q317&lt;0),-1,MIN(1,IF($A317=$A316,AL316,1)-Q317+$D$3))</f>
        <v>#N/A</v>
      </c>
      <c r="AM317" t="e">
        <f>IF(OR($J317=0,COUNTIFS($A$4:$A316,"&gt;="&amp;$A317-1,$A$4:$A316,"&lt;="&amp;$A317,$B$4:$B316,$B317)&gt;0,MIN(AM$1,IF($A317=$A316,AM316,1))-R317&lt;0),-1,MIN(1,IF($A317=$A316,AM316,1)-R317+$D$3))</f>
        <v>#N/A</v>
      </c>
      <c r="AN317" t="e">
        <f>IF(OR($J317=0,COUNTIFS($A$4:$A316,"&gt;="&amp;$A317-1,$A$4:$A316,"&lt;="&amp;$A317,$B$4:$B316,$B317)&gt;0,MIN(AN$1,IF($A317=$A316,AN316,1))-S317&lt;0),-1,MIN(1,IF($A317=$A316,AN316,1)-S317+$D$3))</f>
        <v>#N/A</v>
      </c>
      <c r="AO317" t="e">
        <f>IF(OR($J317=0,COUNTIFS($A$4:$A316,"&gt;="&amp;$A317-1,$A$4:$A316,"&lt;="&amp;$A317,$B$4:$B316,$B317)&gt;0,MIN(AO$1,IF($A317=$A316,AO316,1))-T317&lt;0),-1,MIN(1,IF($A317=$A316,AO316,1)-T317+$D$3))</f>
        <v>#N/A</v>
      </c>
      <c r="AP317" t="e">
        <f>IF(OR($J317=0,COUNTIFS($A$4:$A316,"&gt;="&amp;$A317-1,$A$4:$A316,"&lt;="&amp;$A317,$B$4:$B316,$B317)&gt;0,MIN(AP$1,IF($A317=$A316,AP316,1))-U317&lt;0),-1,MIN(1,IF($A317=$A316,AP316,1)-U317+$D$3))</f>
        <v>#N/A</v>
      </c>
      <c r="AQ317" t="e">
        <f>IF(OR($J317=0,COUNTIFS($A$4:$A316,"&gt;="&amp;$A317-1,$A$4:$A316,"&lt;="&amp;$A317,$B$4:$B316,$B317)&gt;0,MIN(AQ$1,IF($A317=$A316,AQ316,1))-V317&lt;0),-1,MIN(1,IF($A317=$A316,AQ316,1)-V317+$D$3))</f>
        <v>#N/A</v>
      </c>
      <c r="AR317" t="e">
        <f>IF(OR($J317=0,COUNTIFS($A$4:$A316,"&gt;="&amp;$A317-1,$A$4:$A316,"&lt;="&amp;$A317,$B$4:$B316,$B317)&gt;0,MIN(AR$1,IF($A317=$A316,AR316,1))-W317&lt;0),-1,MIN(1,IF($A317=$A316,AR316,1)-W317+$D$3))</f>
        <v>#N/A</v>
      </c>
      <c r="AS317" t="e">
        <f>IF(OR($J317=0,COUNTIFS($A$4:$A316,"&gt;="&amp;$A317-1,$A$4:$A316,"&lt;="&amp;$A317,$B$4:$B316,$B317)&gt;0,MIN(AS$1,IF($A317=$A316,AS316,1))-X317&lt;0),-1,MIN(1,IF($A317=$A316,AS316,1)-X317+$D$3))</f>
        <v>#N/A</v>
      </c>
      <c r="AT317" t="e">
        <f>IF(OR($J317=0,COUNTIFS($A$4:$A316,"&gt;="&amp;$A317-1,$A$4:$A316,"&lt;="&amp;$A317,$B$4:$B316,$B317)&gt;0,MIN(AT$1,IF($A317=$A316,AT316,1))-Y317&lt;0),-1,MIN(1,IF($A317=$A316,AT316,1)-Y317+$D$3))</f>
        <v>#N/A</v>
      </c>
      <c r="AU317" t="e">
        <f>IF(OR($J317=0,COUNTIFS($A$4:$A316,"&gt;="&amp;$A317-1,$A$4:$A316,"&lt;="&amp;$A317,$B$4:$B316,$B317)&gt;0,MIN(AU$1,IF($A317=$A316,AU316,1))-Z317&lt;0),-1,MIN(1,IF($A317=$A316,AU316,1)-Z317+$D$3))</f>
        <v>#N/A</v>
      </c>
      <c r="AV317" t="e">
        <f>IF(OR($J317=0,COUNTIFS($A$4:$A316,"&gt;="&amp;$A317-1,$A$4:$A316,"&lt;="&amp;$A317,$B$4:$B316,$B317)&gt;0,MIN(AV$1,IF($A317=$A316,AV316,1))-AA317&lt;0),-1,MIN(1,IF($A317=$A316,AV316,1)-AA317+$D$3))</f>
        <v>#N/A</v>
      </c>
      <c r="AW317" t="e">
        <f>IF(OR($J317=0,COUNTIFS($A$4:$A316,"&gt;="&amp;$A317-1,$A$4:$A316,"&lt;="&amp;$A317,$B$4:$B316,$B317)&gt;0,MIN(AW$1,IF($A317=$A316,AW316,1))-AB317&lt;0),-1,MIN(1,IF($A317=$A316,AW316,1)-AB317+$D$3))</f>
        <v>#N/A</v>
      </c>
      <c r="AX317" t="e">
        <f>IF(OR($J317=0,COUNTIFS($A$4:$A316,"&gt;="&amp;$A317-1,$A$4:$A316,"&lt;="&amp;$A317,$B$4:$B316,$B317)&gt;0,MIN(AX$1,IF($A317=$A316,AX316,1))-AC317&lt;0),-1,MIN(1,IF($A317=$A316,AX316,1)-AC317+$D$3))</f>
        <v>#N/A</v>
      </c>
      <c r="AY317" t="e">
        <f>IF(OR($J317=0,COUNTIFS($A$4:$A316,"&gt;="&amp;$A317-1,$A$4:$A316,"&lt;="&amp;$A317,$B$4:$B316,$B317)&gt;0,MIN(AY$1,IF($A317=$A316,AY316,1))-AD317&lt;0),-1,MIN(1,IF($A317=$A316,AY316,1)-AD317+$D$3))</f>
        <v>#N/A</v>
      </c>
      <c r="AZ317" t="e">
        <f>IF(OR($J317=0,COUNTIFS($A$4:$A316,"&gt;="&amp;$A317-1,$A$4:$A316,"&lt;="&amp;$A317,$B$4:$B316,$B317)&gt;0,MIN(AZ$1,IF($A317=$A316,AZ316,1))-AE317&lt;0),-1,MIN(1,IF($A317=$A316,AZ316,1)-AE317+$D$3))</f>
        <v>#N/A</v>
      </c>
      <c r="BA317" t="e">
        <f>IF(OR($J317=0,COUNTIFS($A$4:$A316,"&gt;="&amp;$A317-1,$A$4:$A316,"&lt;="&amp;$A317,$B$4:$B316,$B317)&gt;0,MIN(BA$1,IF($A317=$A316,BA316,1))-AF317&lt;0),-1,MIN(1,IF($A317=$A316,BA316,1)-AF317+$D$3))</f>
        <v>#N/A</v>
      </c>
      <c r="BB317" t="e">
        <f>IF(OR($J317=0,COUNTIFS($A$4:$A316,"&gt;="&amp;$A317-1,$A$4:$A316,"&lt;="&amp;$A317,$B$4:$B316,$B317)&gt;0,MIN(BB$1,IF($A317=$A316,BB316,1))-AG317&lt;0),-1,MIN(1,IF($A317=$A316,BB316,1)-AG317+$D$3))</f>
        <v>#N/A</v>
      </c>
      <c r="BC317" t="e">
        <f>IF(OR($J317=0,COUNTIFS($A$4:$A316,"&gt;="&amp;$A317-1,$A$4:$A316,"&lt;="&amp;$A317,$B$4:$B316,$B317)&gt;0,MIN(BC$1,IF($A317=$A316,BC316,1))-AH317&lt;0),-1,MIN(1,IF($A317=$A316,BC316,1)-AH317+$D$3))</f>
        <v>#N/A</v>
      </c>
      <c r="BD317" t="e">
        <f>IF(OR($J317=0,COUNTIFS($A$4:$A316,"&gt;="&amp;$A317-1,$A$4:$A316,"&lt;="&amp;$A317,$B$4:$B316,$B317)&gt;0,MIN(BD$1,IF($A317=$A316,BD316,1))-AI317&lt;0),-1,MIN(1,IF($A317=$A316,BD316,1)-AI317+$D$3))</f>
        <v>#N/A</v>
      </c>
      <c r="BF317" s="44">
        <f t="shared" si="355"/>
        <v>2.2583661161773179E-7</v>
      </c>
      <c r="BG317" s="44">
        <f t="shared" si="356"/>
        <v>5.5539595482793865E-7</v>
      </c>
      <c r="BH317" s="44">
        <f t="shared" si="357"/>
        <v>5.6922243176578358E-7</v>
      </c>
      <c r="BI317" s="44">
        <f t="shared" si="358"/>
        <v>5.2580348901468963E-7</v>
      </c>
      <c r="BJ317" s="44">
        <f t="shared" si="359"/>
        <v>5.434678235555755E-7</v>
      </c>
      <c r="BK317" s="44">
        <f t="shared" si="360"/>
        <v>2.3338534659973417E-7</v>
      </c>
      <c r="BL317" s="44">
        <f t="shared" si="361"/>
        <v>1.2607843594347118E-7</v>
      </c>
      <c r="BM317" s="44">
        <f t="shared" si="362"/>
        <v>3.2072881822632555E-7</v>
      </c>
      <c r="BN317" s="44">
        <f t="shared" si="363"/>
        <v>3.3358296707806464E-7</v>
      </c>
      <c r="BO317" s="44">
        <f t="shared" si="364"/>
        <v>1.5632963639353815E-7</v>
      </c>
      <c r="BP317" s="44">
        <f t="shared" si="365"/>
        <v>5.2565491931795367E-7</v>
      </c>
      <c r="BQ317" s="44">
        <f t="shared" si="366"/>
        <v>1.4185250307591778E-7</v>
      </c>
      <c r="BR317" s="44">
        <f t="shared" si="367"/>
        <v>4.190678034813067E-7</v>
      </c>
      <c r="BS317" s="44">
        <f t="shared" si="368"/>
        <v>2.2600882749492771E-7</v>
      </c>
      <c r="BT317" s="44">
        <f t="shared" si="369"/>
        <v>8.9438621938092506E-7</v>
      </c>
      <c r="BU317" s="44">
        <f t="shared" si="370"/>
        <v>8.5440797060837044E-7</v>
      </c>
      <c r="BV317" s="44">
        <f t="shared" si="371"/>
        <v>8.2054514750486753E-7</v>
      </c>
      <c r="BW317" s="44">
        <f t="shared" si="372"/>
        <v>5.3668168140999933E-7</v>
      </c>
      <c r="BX317" s="44">
        <f t="shared" si="373"/>
        <v>3.9649068048764794E-7</v>
      </c>
      <c r="BY317" s="44">
        <f t="shared" si="374"/>
        <v>3.4043282062784951E-7</v>
      </c>
      <c r="CA317" s="44" t="str">
        <f t="shared" si="375"/>
        <v/>
      </c>
      <c r="CB317" s="44" t="str">
        <f t="shared" si="376"/>
        <v/>
      </c>
      <c r="CC317" s="44" t="str">
        <f t="shared" si="377"/>
        <v/>
      </c>
      <c r="CD317" s="44" t="str">
        <f t="shared" si="378"/>
        <v/>
      </c>
      <c r="CE317" s="44" t="str">
        <f t="shared" si="379"/>
        <v/>
      </c>
      <c r="CF317" s="44" t="str">
        <f t="shared" si="380"/>
        <v/>
      </c>
      <c r="CG317" s="44" t="str">
        <f t="shared" si="381"/>
        <v/>
      </c>
      <c r="CH317" s="44" t="str">
        <f t="shared" si="382"/>
        <v/>
      </c>
      <c r="CI317" s="44" t="str">
        <f t="shared" si="383"/>
        <v/>
      </c>
      <c r="CJ317" s="44" t="str">
        <f t="shared" si="384"/>
        <v/>
      </c>
      <c r="CK317" s="44" t="str">
        <f t="shared" si="385"/>
        <v/>
      </c>
      <c r="CL317" s="44" t="str">
        <f t="shared" si="386"/>
        <v/>
      </c>
      <c r="CM317" s="44" t="str">
        <f t="shared" si="387"/>
        <v/>
      </c>
      <c r="CN317" s="44" t="str">
        <f t="shared" si="388"/>
        <v/>
      </c>
      <c r="CO317" s="44" t="str">
        <f t="shared" si="389"/>
        <v/>
      </c>
      <c r="CP317" s="44" t="str">
        <f t="shared" si="390"/>
        <v/>
      </c>
      <c r="CQ317" s="44" t="str">
        <f t="shared" si="391"/>
        <v/>
      </c>
      <c r="CR317" s="44" t="str">
        <f t="shared" si="392"/>
        <v/>
      </c>
      <c r="CS317" s="44" t="str">
        <f t="shared" si="393"/>
        <v/>
      </c>
      <c r="CT317" s="44" t="str">
        <f t="shared" si="394"/>
        <v/>
      </c>
      <c r="CV317" s="44">
        <f t="shared" si="395"/>
        <v>0</v>
      </c>
    </row>
    <row r="318" spans="1:100" x14ac:dyDescent="0.25">
      <c r="A318" s="41"/>
      <c r="B318" s="42"/>
      <c r="C318" s="43" t="str" cm="1">
        <f t="array" ref="C318">IF(B318="","",INDEX(UWS!$B$10:$B$41,B318))</f>
        <v/>
      </c>
      <c r="D318" s="40" t="str">
        <f t="shared" si="352"/>
        <v/>
      </c>
      <c r="E318" s="69" t="str">
        <f t="shared" si="353"/>
        <v/>
      </c>
      <c r="F318" s="48" cm="1">
        <f t="array" ref="F318">0.1+IFERROR(INDEX($F$5:$F317,SUMPRODUCT(MAX(ROW($C$5:$C317)*($C318=$C$5:$C317))-ROW($A$4)))*0.9^($A318-INDEX($A$5:A317,SUMPRODUCT(MAX(ROW($C$5:$C317)*($C318=$C$5:$C317))-ROW($A$4)))),0)</f>
        <v>25.30000000000009</v>
      </c>
      <c r="G318" s="55" t="e">
        <f>INDEX(UWS!$AB$10:$AB$41,MATCH(C318,UWS!$B$10:$B$41,0))</f>
        <v>#N/A</v>
      </c>
      <c r="H318" s="48" t="e">
        <f>INDEX(UWS!$C$10:$C$41,MATCH(C318,UWS!$B$10:$B$41,0))</f>
        <v>#N/A</v>
      </c>
      <c r="I318" s="27">
        <f t="shared" si="354"/>
        <v>5</v>
      </c>
      <c r="J318" s="27" t="e">
        <f>INDEX(UWS!$E$10:$E$41,MATCH(C318,UWS!$B$10:$B$41,0))</f>
        <v>#N/A</v>
      </c>
      <c r="L318" s="108" t="str" cm="1">
        <f t="array" ref="L318">IF(K318="","",INDEX(UWS!$B$10:$B$41,K318))</f>
        <v/>
      </c>
      <c r="N318" s="108" t="str" cm="1">
        <f t="array" ref="N318">IF(M318="","",INDEX(UWS!$B$10:$B$41,M318))</f>
        <v/>
      </c>
      <c r="P318">
        <f>IFERROR(INDEX(UWS!$G$10:$Z$41,MATCH($C318,UWS!$B$10:$B$41,0),MATCH(P$4,UWS!$G$3:$Z$3,0)),0)</f>
        <v>0</v>
      </c>
      <c r="Q318">
        <f>IFERROR(INDEX(UWS!$G$10:$Z$41,MATCH($C318,UWS!$B$10:$B$41,0),MATCH(Q$4,UWS!$G$3:$Z$3,0)),0)</f>
        <v>0</v>
      </c>
      <c r="R318">
        <f>IFERROR(INDEX(UWS!$G$10:$Z$41,MATCH($C318,UWS!$B$10:$B$41,0),MATCH(R$4,UWS!$G$3:$Z$3,0)),0)</f>
        <v>0</v>
      </c>
      <c r="S318">
        <f>IFERROR(INDEX(UWS!$G$10:$Z$41,MATCH($C318,UWS!$B$10:$B$41,0),MATCH(S$4,UWS!$G$3:$Z$3,0)),0)</f>
        <v>0</v>
      </c>
      <c r="T318">
        <f>IFERROR(INDEX(UWS!$G$10:$Z$41,MATCH($C318,UWS!$B$10:$B$41,0),MATCH(T$4,UWS!$G$3:$Z$3,0)),0)</f>
        <v>0</v>
      </c>
      <c r="U318">
        <f>IFERROR(INDEX(UWS!$G$10:$Z$41,MATCH($C318,UWS!$B$10:$B$41,0),MATCH(U$4,UWS!$G$3:$Z$3,0)),0)</f>
        <v>0</v>
      </c>
      <c r="V318">
        <f>IFERROR(INDEX(UWS!$G$10:$Z$41,MATCH($C318,UWS!$B$10:$B$41,0),MATCH(V$4,UWS!$G$3:$Z$3,0)),0)</f>
        <v>0</v>
      </c>
      <c r="W318">
        <f>IFERROR(INDEX(UWS!$G$10:$Z$41,MATCH($C318,UWS!$B$10:$B$41,0),MATCH(W$4,UWS!$G$3:$Z$3,0)),0)</f>
        <v>0</v>
      </c>
      <c r="X318">
        <f>IFERROR(INDEX(UWS!$G$10:$Z$41,MATCH($C318,UWS!$B$10:$B$41,0),MATCH(X$4,UWS!$G$3:$Z$3,0)),0)</f>
        <v>0</v>
      </c>
      <c r="Y318">
        <f>IFERROR(INDEX(UWS!$G$10:$Z$41,MATCH($C318,UWS!$B$10:$B$41,0),MATCH(Y$4,UWS!$G$3:$Z$3,0)),0)</f>
        <v>0</v>
      </c>
      <c r="Z318">
        <f>IFERROR(INDEX(UWS!$G$10:$Z$41,MATCH($C318,UWS!$B$10:$B$41,0),MATCH(Z$4,UWS!$G$3:$Z$3,0)),0)</f>
        <v>0</v>
      </c>
      <c r="AA318">
        <f>IFERROR(INDEX(UWS!$G$10:$Z$41,MATCH($C318,UWS!$B$10:$B$41,0),MATCH(AA$4,UWS!$G$3:$Z$3,0)),0)</f>
        <v>0</v>
      </c>
      <c r="AB318">
        <f>IFERROR(INDEX(UWS!$G$10:$Z$41,MATCH($C318,UWS!$B$10:$B$41,0),MATCH(AB$4,UWS!$G$3:$Z$3,0)),0)</f>
        <v>0</v>
      </c>
      <c r="AC318">
        <f>IFERROR(INDEX(UWS!$G$10:$Z$41,MATCH($C318,UWS!$B$10:$B$41,0),MATCH(AC$4,UWS!$G$3:$Z$3,0)),0)</f>
        <v>0</v>
      </c>
      <c r="AD318">
        <f>IFERROR(INDEX(UWS!$G$10:$Z$41,MATCH($C318,UWS!$B$10:$B$41,0),MATCH(AD$4,UWS!$G$3:$Z$3,0)),0)</f>
        <v>0</v>
      </c>
      <c r="AE318">
        <f>IFERROR(INDEX(UWS!$G$10:$Z$41,MATCH($C318,UWS!$B$10:$B$41,0),MATCH(AE$4,UWS!$G$3:$Z$3,0)),0)</f>
        <v>0</v>
      </c>
      <c r="AF318">
        <f>IFERROR(INDEX(UWS!$G$10:$Z$41,MATCH($C318,UWS!$B$10:$B$41,0),MATCH(AF$4,UWS!$G$3:$Z$3,0)),0)</f>
        <v>0</v>
      </c>
      <c r="AG318">
        <f>IFERROR(INDEX(UWS!$G$10:$Z$41,MATCH($C318,UWS!$B$10:$B$41,0),MATCH(AG$4,UWS!$G$3:$Z$3,0)),0)</f>
        <v>0</v>
      </c>
      <c r="AH318">
        <f>IFERROR(INDEX(UWS!$G$10:$Z$41,MATCH($C318,UWS!$B$10:$B$41,0),MATCH(AH$4,UWS!$G$3:$Z$3,0)),0)</f>
        <v>0</v>
      </c>
      <c r="AI318">
        <f>IFERROR(INDEX(UWS!$G$10:$Z$41,MATCH($C318,UWS!$B$10:$B$41,0),MATCH(AI$4,UWS!$G$3:$Z$3,0)),0)</f>
        <v>0</v>
      </c>
      <c r="AK318" t="e">
        <f>IF(OR($J318=0,COUNTIFS($A$4:$A317,"&gt;="&amp;$A318-1,$A$4:$A317,"&lt;="&amp;$A318,$B$4:$B317,$B318)&gt;0,MIN(AK$1,IF($A318=$A317,AK317,1))-P318&lt;0),-1,MIN(1,IF($A318=$A317,AK317,1)-P318+$D$3))</f>
        <v>#N/A</v>
      </c>
      <c r="AL318" t="e">
        <f>IF(OR($J318=0,COUNTIFS($A$4:$A317,"&gt;="&amp;$A318-1,$A$4:$A317,"&lt;="&amp;$A318,$B$4:$B317,$B318)&gt;0,MIN(AL$1,IF($A318=$A317,AL317,1))-Q318&lt;0),-1,MIN(1,IF($A318=$A317,AL317,1)-Q318+$D$3))</f>
        <v>#N/A</v>
      </c>
      <c r="AM318" t="e">
        <f>IF(OR($J318=0,COUNTIFS($A$4:$A317,"&gt;="&amp;$A318-1,$A$4:$A317,"&lt;="&amp;$A318,$B$4:$B317,$B318)&gt;0,MIN(AM$1,IF($A318=$A317,AM317,1))-R318&lt;0),-1,MIN(1,IF($A318=$A317,AM317,1)-R318+$D$3))</f>
        <v>#N/A</v>
      </c>
      <c r="AN318" t="e">
        <f>IF(OR($J318=0,COUNTIFS($A$4:$A317,"&gt;="&amp;$A318-1,$A$4:$A317,"&lt;="&amp;$A318,$B$4:$B317,$B318)&gt;0,MIN(AN$1,IF($A318=$A317,AN317,1))-S318&lt;0),-1,MIN(1,IF($A318=$A317,AN317,1)-S318+$D$3))</f>
        <v>#N/A</v>
      </c>
      <c r="AO318" t="e">
        <f>IF(OR($J318=0,COUNTIFS($A$4:$A317,"&gt;="&amp;$A318-1,$A$4:$A317,"&lt;="&amp;$A318,$B$4:$B317,$B318)&gt;0,MIN(AO$1,IF($A318=$A317,AO317,1))-T318&lt;0),-1,MIN(1,IF($A318=$A317,AO317,1)-T318+$D$3))</f>
        <v>#N/A</v>
      </c>
      <c r="AP318" t="e">
        <f>IF(OR($J318=0,COUNTIFS($A$4:$A317,"&gt;="&amp;$A318-1,$A$4:$A317,"&lt;="&amp;$A318,$B$4:$B317,$B318)&gt;0,MIN(AP$1,IF($A318=$A317,AP317,1))-U318&lt;0),-1,MIN(1,IF($A318=$A317,AP317,1)-U318+$D$3))</f>
        <v>#N/A</v>
      </c>
      <c r="AQ318" t="e">
        <f>IF(OR($J318=0,COUNTIFS($A$4:$A317,"&gt;="&amp;$A318-1,$A$4:$A317,"&lt;="&amp;$A318,$B$4:$B317,$B318)&gt;0,MIN(AQ$1,IF($A318=$A317,AQ317,1))-V318&lt;0),-1,MIN(1,IF($A318=$A317,AQ317,1)-V318+$D$3))</f>
        <v>#N/A</v>
      </c>
      <c r="AR318" t="e">
        <f>IF(OR($J318=0,COUNTIFS($A$4:$A317,"&gt;="&amp;$A318-1,$A$4:$A317,"&lt;="&amp;$A318,$B$4:$B317,$B318)&gt;0,MIN(AR$1,IF($A318=$A317,AR317,1))-W318&lt;0),-1,MIN(1,IF($A318=$A317,AR317,1)-W318+$D$3))</f>
        <v>#N/A</v>
      </c>
      <c r="AS318" t="e">
        <f>IF(OR($J318=0,COUNTIFS($A$4:$A317,"&gt;="&amp;$A318-1,$A$4:$A317,"&lt;="&amp;$A318,$B$4:$B317,$B318)&gt;0,MIN(AS$1,IF($A318=$A317,AS317,1))-X318&lt;0),-1,MIN(1,IF($A318=$A317,AS317,1)-X318+$D$3))</f>
        <v>#N/A</v>
      </c>
      <c r="AT318" t="e">
        <f>IF(OR($J318=0,COUNTIFS($A$4:$A317,"&gt;="&amp;$A318-1,$A$4:$A317,"&lt;="&amp;$A318,$B$4:$B317,$B318)&gt;0,MIN(AT$1,IF($A318=$A317,AT317,1))-Y318&lt;0),-1,MIN(1,IF($A318=$A317,AT317,1)-Y318+$D$3))</f>
        <v>#N/A</v>
      </c>
      <c r="AU318" t="e">
        <f>IF(OR($J318=0,COUNTIFS($A$4:$A317,"&gt;="&amp;$A318-1,$A$4:$A317,"&lt;="&amp;$A318,$B$4:$B317,$B318)&gt;0,MIN(AU$1,IF($A318=$A317,AU317,1))-Z318&lt;0),-1,MIN(1,IF($A318=$A317,AU317,1)-Z318+$D$3))</f>
        <v>#N/A</v>
      </c>
      <c r="AV318" t="e">
        <f>IF(OR($J318=0,COUNTIFS($A$4:$A317,"&gt;="&amp;$A318-1,$A$4:$A317,"&lt;="&amp;$A318,$B$4:$B317,$B318)&gt;0,MIN(AV$1,IF($A318=$A317,AV317,1))-AA318&lt;0),-1,MIN(1,IF($A318=$A317,AV317,1)-AA318+$D$3))</f>
        <v>#N/A</v>
      </c>
      <c r="AW318" t="e">
        <f>IF(OR($J318=0,COUNTIFS($A$4:$A317,"&gt;="&amp;$A318-1,$A$4:$A317,"&lt;="&amp;$A318,$B$4:$B317,$B318)&gt;0,MIN(AW$1,IF($A318=$A317,AW317,1))-AB318&lt;0),-1,MIN(1,IF($A318=$A317,AW317,1)-AB318+$D$3))</f>
        <v>#N/A</v>
      </c>
      <c r="AX318" t="e">
        <f>IF(OR($J318=0,COUNTIFS($A$4:$A317,"&gt;="&amp;$A318-1,$A$4:$A317,"&lt;="&amp;$A318,$B$4:$B317,$B318)&gt;0,MIN(AX$1,IF($A318=$A317,AX317,1))-AC318&lt;0),-1,MIN(1,IF($A318=$A317,AX317,1)-AC318+$D$3))</f>
        <v>#N/A</v>
      </c>
      <c r="AY318" t="e">
        <f>IF(OR($J318=0,COUNTIFS($A$4:$A317,"&gt;="&amp;$A318-1,$A$4:$A317,"&lt;="&amp;$A318,$B$4:$B317,$B318)&gt;0,MIN(AY$1,IF($A318=$A317,AY317,1))-AD318&lt;0),-1,MIN(1,IF($A318=$A317,AY317,1)-AD318+$D$3))</f>
        <v>#N/A</v>
      </c>
      <c r="AZ318" t="e">
        <f>IF(OR($J318=0,COUNTIFS($A$4:$A317,"&gt;="&amp;$A318-1,$A$4:$A317,"&lt;="&amp;$A318,$B$4:$B317,$B318)&gt;0,MIN(AZ$1,IF($A318=$A317,AZ317,1))-AE318&lt;0),-1,MIN(1,IF($A318=$A317,AZ317,1)-AE318+$D$3))</f>
        <v>#N/A</v>
      </c>
      <c r="BA318" t="e">
        <f>IF(OR($J318=0,COUNTIFS($A$4:$A317,"&gt;="&amp;$A318-1,$A$4:$A317,"&lt;="&amp;$A318,$B$4:$B317,$B318)&gt;0,MIN(BA$1,IF($A318=$A317,BA317,1))-AF318&lt;0),-1,MIN(1,IF($A318=$A317,BA317,1)-AF318+$D$3))</f>
        <v>#N/A</v>
      </c>
      <c r="BB318" t="e">
        <f>IF(OR($J318=0,COUNTIFS($A$4:$A317,"&gt;="&amp;$A318-1,$A$4:$A317,"&lt;="&amp;$A318,$B$4:$B317,$B318)&gt;0,MIN(BB$1,IF($A318=$A317,BB317,1))-AG318&lt;0),-1,MIN(1,IF($A318=$A317,BB317,1)-AG318+$D$3))</f>
        <v>#N/A</v>
      </c>
      <c r="BC318" t="e">
        <f>IF(OR($J318=0,COUNTIFS($A$4:$A317,"&gt;="&amp;$A318-1,$A$4:$A317,"&lt;="&amp;$A318,$B$4:$B317,$B318)&gt;0,MIN(BC$1,IF($A318=$A317,BC317,1))-AH318&lt;0),-1,MIN(1,IF($A318=$A317,BC317,1)-AH318+$D$3))</f>
        <v>#N/A</v>
      </c>
      <c r="BD318" t="e">
        <f>IF(OR($J318=0,COUNTIFS($A$4:$A317,"&gt;="&amp;$A318-1,$A$4:$A317,"&lt;="&amp;$A318,$B$4:$B317,$B318)&gt;0,MIN(BD$1,IF($A318=$A317,BD317,1))-AI318&lt;0),-1,MIN(1,IF($A318=$A317,BD317,1)-AI318+$D$3))</f>
        <v>#N/A</v>
      </c>
      <c r="BF318" s="44">
        <f t="shared" si="355"/>
        <v>2.1454478103684518E-7</v>
      </c>
      <c r="BG318" s="44">
        <f t="shared" si="356"/>
        <v>5.2762615708654173E-7</v>
      </c>
      <c r="BH318" s="44">
        <f t="shared" si="357"/>
        <v>5.407613101774944E-7</v>
      </c>
      <c r="BI318" s="44">
        <f t="shared" si="358"/>
        <v>4.9951331456395513E-7</v>
      </c>
      <c r="BJ318" s="44">
        <f t="shared" si="359"/>
        <v>5.1629443237779666E-7</v>
      </c>
      <c r="BK318" s="44">
        <f t="shared" si="360"/>
        <v>2.2171607926974746E-7</v>
      </c>
      <c r="BL318" s="44">
        <f t="shared" si="361"/>
        <v>1.1977451414629761E-7</v>
      </c>
      <c r="BM318" s="44">
        <f t="shared" si="362"/>
        <v>3.0469237731500928E-7</v>
      </c>
      <c r="BN318" s="44">
        <f t="shared" si="363"/>
        <v>3.1690381872416141E-7</v>
      </c>
      <c r="BO318" s="44">
        <f t="shared" si="364"/>
        <v>1.4851315457386123E-7</v>
      </c>
      <c r="BP318" s="44">
        <f t="shared" si="365"/>
        <v>4.9937217335205601E-7</v>
      </c>
      <c r="BQ318" s="44">
        <f t="shared" si="366"/>
        <v>1.3475987792212189E-7</v>
      </c>
      <c r="BR318" s="44">
        <f t="shared" si="367"/>
        <v>3.9811441330724133E-7</v>
      </c>
      <c r="BS318" s="44">
        <f t="shared" si="368"/>
        <v>2.1470838612018131E-7</v>
      </c>
      <c r="BT318" s="44">
        <f t="shared" si="369"/>
        <v>8.4966690841187879E-7</v>
      </c>
      <c r="BU318" s="44">
        <f t="shared" si="370"/>
        <v>8.1168757207795182E-7</v>
      </c>
      <c r="BV318" s="44">
        <f t="shared" si="371"/>
        <v>7.795178901296241E-7</v>
      </c>
      <c r="BW318" s="44">
        <f t="shared" si="372"/>
        <v>5.0984759733949932E-7</v>
      </c>
      <c r="BX318" s="44">
        <f t="shared" si="373"/>
        <v>3.766661464632655E-7</v>
      </c>
      <c r="BY318" s="44">
        <f t="shared" si="374"/>
        <v>3.2341117959645704E-7</v>
      </c>
      <c r="CA318" s="44" t="str">
        <f t="shared" si="375"/>
        <v/>
      </c>
      <c r="CB318" s="44" t="str">
        <f t="shared" si="376"/>
        <v/>
      </c>
      <c r="CC318" s="44" t="str">
        <f t="shared" si="377"/>
        <v/>
      </c>
      <c r="CD318" s="44" t="str">
        <f t="shared" si="378"/>
        <v/>
      </c>
      <c r="CE318" s="44" t="str">
        <f t="shared" si="379"/>
        <v/>
      </c>
      <c r="CF318" s="44" t="str">
        <f t="shared" si="380"/>
        <v/>
      </c>
      <c r="CG318" s="44" t="str">
        <f t="shared" si="381"/>
        <v/>
      </c>
      <c r="CH318" s="44" t="str">
        <f t="shared" si="382"/>
        <v/>
      </c>
      <c r="CI318" s="44" t="str">
        <f t="shared" si="383"/>
        <v/>
      </c>
      <c r="CJ318" s="44" t="str">
        <f t="shared" si="384"/>
        <v/>
      </c>
      <c r="CK318" s="44" t="str">
        <f t="shared" si="385"/>
        <v/>
      </c>
      <c r="CL318" s="44" t="str">
        <f t="shared" si="386"/>
        <v/>
      </c>
      <c r="CM318" s="44" t="str">
        <f t="shared" si="387"/>
        <v/>
      </c>
      <c r="CN318" s="44" t="str">
        <f t="shared" si="388"/>
        <v/>
      </c>
      <c r="CO318" s="44" t="str">
        <f t="shared" si="389"/>
        <v/>
      </c>
      <c r="CP318" s="44" t="str">
        <f t="shared" si="390"/>
        <v/>
      </c>
      <c r="CQ318" s="44" t="str">
        <f t="shared" si="391"/>
        <v/>
      </c>
      <c r="CR318" s="44" t="str">
        <f t="shared" si="392"/>
        <v/>
      </c>
      <c r="CS318" s="44" t="str">
        <f t="shared" si="393"/>
        <v/>
      </c>
      <c r="CT318" s="44" t="str">
        <f t="shared" si="394"/>
        <v/>
      </c>
      <c r="CV318" s="44">
        <f t="shared" si="395"/>
        <v>0</v>
      </c>
    </row>
    <row r="319" spans="1:100" x14ac:dyDescent="0.25">
      <c r="A319" s="41"/>
      <c r="B319" s="42"/>
      <c r="C319" s="43" t="str" cm="1">
        <f t="array" ref="C319">IF(B319="","",INDEX(UWS!$B$10:$B$41,B319))</f>
        <v/>
      </c>
      <c r="D319" s="40" t="str">
        <f t="shared" si="352"/>
        <v/>
      </c>
      <c r="E319" s="69" t="str">
        <f t="shared" si="353"/>
        <v/>
      </c>
      <c r="F319" s="48" cm="1">
        <f t="array" ref="F319">0.1+IFERROR(INDEX($F$5:$F318,SUMPRODUCT(MAX(ROW($C$5:$C318)*($C319=$C$5:$C318))-ROW($A$4)))*0.9^($A319-INDEX($A$5:A318,SUMPRODUCT(MAX(ROW($C$5:$C318)*($C319=$C$5:$C318))-ROW($A$4)))),0)</f>
        <v>25.400000000000091</v>
      </c>
      <c r="G319" s="55" t="e">
        <f>INDEX(UWS!$AB$10:$AB$41,MATCH(C319,UWS!$B$10:$B$41,0))</f>
        <v>#N/A</v>
      </c>
      <c r="H319" s="48" t="e">
        <f>INDEX(UWS!$C$10:$C$41,MATCH(C319,UWS!$B$10:$B$41,0))</f>
        <v>#N/A</v>
      </c>
      <c r="I319" s="27">
        <f t="shared" si="354"/>
        <v>5</v>
      </c>
      <c r="J319" s="27" t="e">
        <f>INDEX(UWS!$E$10:$E$41,MATCH(C319,UWS!$B$10:$B$41,0))</f>
        <v>#N/A</v>
      </c>
      <c r="L319" s="108" t="str" cm="1">
        <f t="array" ref="L319">IF(K319="","",INDEX(UWS!$B$10:$B$41,K319))</f>
        <v/>
      </c>
      <c r="N319" s="108" t="str" cm="1">
        <f t="array" ref="N319">IF(M319="","",INDEX(UWS!$B$10:$B$41,M319))</f>
        <v/>
      </c>
      <c r="P319">
        <f>IFERROR(INDEX(UWS!$G$10:$Z$41,MATCH($C319,UWS!$B$10:$B$41,0),MATCH(P$4,UWS!$G$3:$Z$3,0)),0)</f>
        <v>0</v>
      </c>
      <c r="Q319">
        <f>IFERROR(INDEX(UWS!$G$10:$Z$41,MATCH($C319,UWS!$B$10:$B$41,0),MATCH(Q$4,UWS!$G$3:$Z$3,0)),0)</f>
        <v>0</v>
      </c>
      <c r="R319">
        <f>IFERROR(INDEX(UWS!$G$10:$Z$41,MATCH($C319,UWS!$B$10:$B$41,0),MATCH(R$4,UWS!$G$3:$Z$3,0)),0)</f>
        <v>0</v>
      </c>
      <c r="S319">
        <f>IFERROR(INDEX(UWS!$G$10:$Z$41,MATCH($C319,UWS!$B$10:$B$41,0),MATCH(S$4,UWS!$G$3:$Z$3,0)),0)</f>
        <v>0</v>
      </c>
      <c r="T319">
        <f>IFERROR(INDEX(UWS!$G$10:$Z$41,MATCH($C319,UWS!$B$10:$B$41,0),MATCH(T$4,UWS!$G$3:$Z$3,0)),0)</f>
        <v>0</v>
      </c>
      <c r="U319">
        <f>IFERROR(INDEX(UWS!$G$10:$Z$41,MATCH($C319,UWS!$B$10:$B$41,0),MATCH(U$4,UWS!$G$3:$Z$3,0)),0)</f>
        <v>0</v>
      </c>
      <c r="V319">
        <f>IFERROR(INDEX(UWS!$G$10:$Z$41,MATCH($C319,UWS!$B$10:$B$41,0),MATCH(V$4,UWS!$G$3:$Z$3,0)),0)</f>
        <v>0</v>
      </c>
      <c r="W319">
        <f>IFERROR(INDEX(UWS!$G$10:$Z$41,MATCH($C319,UWS!$B$10:$B$41,0),MATCH(W$4,UWS!$G$3:$Z$3,0)),0)</f>
        <v>0</v>
      </c>
      <c r="X319">
        <f>IFERROR(INDEX(UWS!$G$10:$Z$41,MATCH($C319,UWS!$B$10:$B$41,0),MATCH(X$4,UWS!$G$3:$Z$3,0)),0)</f>
        <v>0</v>
      </c>
      <c r="Y319">
        <f>IFERROR(INDEX(UWS!$G$10:$Z$41,MATCH($C319,UWS!$B$10:$B$41,0),MATCH(Y$4,UWS!$G$3:$Z$3,0)),0)</f>
        <v>0</v>
      </c>
      <c r="Z319">
        <f>IFERROR(INDEX(UWS!$G$10:$Z$41,MATCH($C319,UWS!$B$10:$B$41,0),MATCH(Z$4,UWS!$G$3:$Z$3,0)),0)</f>
        <v>0</v>
      </c>
      <c r="AA319">
        <f>IFERROR(INDEX(UWS!$G$10:$Z$41,MATCH($C319,UWS!$B$10:$B$41,0),MATCH(AA$4,UWS!$G$3:$Z$3,0)),0)</f>
        <v>0</v>
      </c>
      <c r="AB319">
        <f>IFERROR(INDEX(UWS!$G$10:$Z$41,MATCH($C319,UWS!$B$10:$B$41,0),MATCH(AB$4,UWS!$G$3:$Z$3,0)),0)</f>
        <v>0</v>
      </c>
      <c r="AC319">
        <f>IFERROR(INDEX(UWS!$G$10:$Z$41,MATCH($C319,UWS!$B$10:$B$41,0),MATCH(AC$4,UWS!$G$3:$Z$3,0)),0)</f>
        <v>0</v>
      </c>
      <c r="AD319">
        <f>IFERROR(INDEX(UWS!$G$10:$Z$41,MATCH($C319,UWS!$B$10:$B$41,0),MATCH(AD$4,UWS!$G$3:$Z$3,0)),0)</f>
        <v>0</v>
      </c>
      <c r="AE319">
        <f>IFERROR(INDEX(UWS!$G$10:$Z$41,MATCH($C319,UWS!$B$10:$B$41,0),MATCH(AE$4,UWS!$G$3:$Z$3,0)),0)</f>
        <v>0</v>
      </c>
      <c r="AF319">
        <f>IFERROR(INDEX(UWS!$G$10:$Z$41,MATCH($C319,UWS!$B$10:$B$41,0),MATCH(AF$4,UWS!$G$3:$Z$3,0)),0)</f>
        <v>0</v>
      </c>
      <c r="AG319">
        <f>IFERROR(INDEX(UWS!$G$10:$Z$41,MATCH($C319,UWS!$B$10:$B$41,0),MATCH(AG$4,UWS!$G$3:$Z$3,0)),0)</f>
        <v>0</v>
      </c>
      <c r="AH319">
        <f>IFERROR(INDEX(UWS!$G$10:$Z$41,MATCH($C319,UWS!$B$10:$B$41,0),MATCH(AH$4,UWS!$G$3:$Z$3,0)),0)</f>
        <v>0</v>
      </c>
      <c r="AI319">
        <f>IFERROR(INDEX(UWS!$G$10:$Z$41,MATCH($C319,UWS!$B$10:$B$41,0),MATCH(AI$4,UWS!$G$3:$Z$3,0)),0)</f>
        <v>0</v>
      </c>
      <c r="AK319" t="e">
        <f>IF(OR($J319=0,COUNTIFS($A$4:$A318,"&gt;="&amp;$A319-1,$A$4:$A318,"&lt;="&amp;$A319,$B$4:$B318,$B319)&gt;0,MIN(AK$1,IF($A319=$A318,AK318,1))-P319&lt;0),-1,MIN(1,IF($A319=$A318,AK318,1)-P319+$D$3))</f>
        <v>#N/A</v>
      </c>
      <c r="AL319" t="e">
        <f>IF(OR($J319=0,COUNTIFS($A$4:$A318,"&gt;="&amp;$A319-1,$A$4:$A318,"&lt;="&amp;$A319,$B$4:$B318,$B319)&gt;0,MIN(AL$1,IF($A319=$A318,AL318,1))-Q319&lt;0),-1,MIN(1,IF($A319=$A318,AL318,1)-Q319+$D$3))</f>
        <v>#N/A</v>
      </c>
      <c r="AM319" t="e">
        <f>IF(OR($J319=0,COUNTIFS($A$4:$A318,"&gt;="&amp;$A319-1,$A$4:$A318,"&lt;="&amp;$A319,$B$4:$B318,$B319)&gt;0,MIN(AM$1,IF($A319=$A318,AM318,1))-R319&lt;0),-1,MIN(1,IF($A319=$A318,AM318,1)-R319+$D$3))</f>
        <v>#N/A</v>
      </c>
      <c r="AN319" t="e">
        <f>IF(OR($J319=0,COUNTIFS($A$4:$A318,"&gt;="&amp;$A319-1,$A$4:$A318,"&lt;="&amp;$A319,$B$4:$B318,$B319)&gt;0,MIN(AN$1,IF($A319=$A318,AN318,1))-S319&lt;0),-1,MIN(1,IF($A319=$A318,AN318,1)-S319+$D$3))</f>
        <v>#N/A</v>
      </c>
      <c r="AO319" t="e">
        <f>IF(OR($J319=0,COUNTIFS($A$4:$A318,"&gt;="&amp;$A319-1,$A$4:$A318,"&lt;="&amp;$A319,$B$4:$B318,$B319)&gt;0,MIN(AO$1,IF($A319=$A318,AO318,1))-T319&lt;0),-1,MIN(1,IF($A319=$A318,AO318,1)-T319+$D$3))</f>
        <v>#N/A</v>
      </c>
      <c r="AP319" t="e">
        <f>IF(OR($J319=0,COUNTIFS($A$4:$A318,"&gt;="&amp;$A319-1,$A$4:$A318,"&lt;="&amp;$A319,$B$4:$B318,$B319)&gt;0,MIN(AP$1,IF($A319=$A318,AP318,1))-U319&lt;0),-1,MIN(1,IF($A319=$A318,AP318,1)-U319+$D$3))</f>
        <v>#N/A</v>
      </c>
      <c r="AQ319" t="e">
        <f>IF(OR($J319=0,COUNTIFS($A$4:$A318,"&gt;="&amp;$A319-1,$A$4:$A318,"&lt;="&amp;$A319,$B$4:$B318,$B319)&gt;0,MIN(AQ$1,IF($A319=$A318,AQ318,1))-V319&lt;0),-1,MIN(1,IF($A319=$A318,AQ318,1)-V319+$D$3))</f>
        <v>#N/A</v>
      </c>
      <c r="AR319" t="e">
        <f>IF(OR($J319=0,COUNTIFS($A$4:$A318,"&gt;="&amp;$A319-1,$A$4:$A318,"&lt;="&amp;$A319,$B$4:$B318,$B319)&gt;0,MIN(AR$1,IF($A319=$A318,AR318,1))-W319&lt;0),-1,MIN(1,IF($A319=$A318,AR318,1)-W319+$D$3))</f>
        <v>#N/A</v>
      </c>
      <c r="AS319" t="e">
        <f>IF(OR($J319=0,COUNTIFS($A$4:$A318,"&gt;="&amp;$A319-1,$A$4:$A318,"&lt;="&amp;$A319,$B$4:$B318,$B319)&gt;0,MIN(AS$1,IF($A319=$A318,AS318,1))-X319&lt;0),-1,MIN(1,IF($A319=$A318,AS318,1)-X319+$D$3))</f>
        <v>#N/A</v>
      </c>
      <c r="AT319" t="e">
        <f>IF(OR($J319=0,COUNTIFS($A$4:$A318,"&gt;="&amp;$A319-1,$A$4:$A318,"&lt;="&amp;$A319,$B$4:$B318,$B319)&gt;0,MIN(AT$1,IF($A319=$A318,AT318,1))-Y319&lt;0),-1,MIN(1,IF($A319=$A318,AT318,1)-Y319+$D$3))</f>
        <v>#N/A</v>
      </c>
      <c r="AU319" t="e">
        <f>IF(OR($J319=0,COUNTIFS($A$4:$A318,"&gt;="&amp;$A319-1,$A$4:$A318,"&lt;="&amp;$A319,$B$4:$B318,$B319)&gt;0,MIN(AU$1,IF($A319=$A318,AU318,1))-Z319&lt;0),-1,MIN(1,IF($A319=$A318,AU318,1)-Z319+$D$3))</f>
        <v>#N/A</v>
      </c>
      <c r="AV319" t="e">
        <f>IF(OR($J319=0,COUNTIFS($A$4:$A318,"&gt;="&amp;$A319-1,$A$4:$A318,"&lt;="&amp;$A319,$B$4:$B318,$B319)&gt;0,MIN(AV$1,IF($A319=$A318,AV318,1))-AA319&lt;0),-1,MIN(1,IF($A319=$A318,AV318,1)-AA319+$D$3))</f>
        <v>#N/A</v>
      </c>
      <c r="AW319" t="e">
        <f>IF(OR($J319=0,COUNTIFS($A$4:$A318,"&gt;="&amp;$A319-1,$A$4:$A318,"&lt;="&amp;$A319,$B$4:$B318,$B319)&gt;0,MIN(AW$1,IF($A319=$A318,AW318,1))-AB319&lt;0),-1,MIN(1,IF($A319=$A318,AW318,1)-AB319+$D$3))</f>
        <v>#N/A</v>
      </c>
      <c r="AX319" t="e">
        <f>IF(OR($J319=0,COUNTIFS($A$4:$A318,"&gt;="&amp;$A319-1,$A$4:$A318,"&lt;="&amp;$A319,$B$4:$B318,$B319)&gt;0,MIN(AX$1,IF($A319=$A318,AX318,1))-AC319&lt;0),-1,MIN(1,IF($A319=$A318,AX318,1)-AC319+$D$3))</f>
        <v>#N/A</v>
      </c>
      <c r="AY319" t="e">
        <f>IF(OR($J319=0,COUNTIFS($A$4:$A318,"&gt;="&amp;$A319-1,$A$4:$A318,"&lt;="&amp;$A319,$B$4:$B318,$B319)&gt;0,MIN(AY$1,IF($A319=$A318,AY318,1))-AD319&lt;0),-1,MIN(1,IF($A319=$A318,AY318,1)-AD319+$D$3))</f>
        <v>#N/A</v>
      </c>
      <c r="AZ319" t="e">
        <f>IF(OR($J319=0,COUNTIFS($A$4:$A318,"&gt;="&amp;$A319-1,$A$4:$A318,"&lt;="&amp;$A319,$B$4:$B318,$B319)&gt;0,MIN(AZ$1,IF($A319=$A318,AZ318,1))-AE319&lt;0),-1,MIN(1,IF($A319=$A318,AZ318,1)-AE319+$D$3))</f>
        <v>#N/A</v>
      </c>
      <c r="BA319" t="e">
        <f>IF(OR($J319=0,COUNTIFS($A$4:$A318,"&gt;="&amp;$A319-1,$A$4:$A318,"&lt;="&amp;$A319,$B$4:$B318,$B319)&gt;0,MIN(BA$1,IF($A319=$A318,BA318,1))-AF319&lt;0),-1,MIN(1,IF($A319=$A318,BA318,1)-AF319+$D$3))</f>
        <v>#N/A</v>
      </c>
      <c r="BB319" t="e">
        <f>IF(OR($J319=0,COUNTIFS($A$4:$A318,"&gt;="&amp;$A319-1,$A$4:$A318,"&lt;="&amp;$A319,$B$4:$B318,$B319)&gt;0,MIN(BB$1,IF($A319=$A318,BB318,1))-AG319&lt;0),-1,MIN(1,IF($A319=$A318,BB318,1)-AG319+$D$3))</f>
        <v>#N/A</v>
      </c>
      <c r="BC319" t="e">
        <f>IF(OR($J319=0,COUNTIFS($A$4:$A318,"&gt;="&amp;$A319-1,$A$4:$A318,"&lt;="&amp;$A319,$B$4:$B318,$B319)&gt;0,MIN(BC$1,IF($A319=$A318,BC318,1))-AH319&lt;0),-1,MIN(1,IF($A319=$A318,BC318,1)-AH319+$D$3))</f>
        <v>#N/A</v>
      </c>
      <c r="BD319" t="e">
        <f>IF(OR($J319=0,COUNTIFS($A$4:$A318,"&gt;="&amp;$A319-1,$A$4:$A318,"&lt;="&amp;$A319,$B$4:$B318,$B319)&gt;0,MIN(BD$1,IF($A319=$A318,BD318,1))-AI319&lt;0),-1,MIN(1,IF($A319=$A318,BD318,1)-AI319+$D$3))</f>
        <v>#N/A</v>
      </c>
      <c r="BF319" s="44">
        <f t="shared" si="355"/>
        <v>2.0381754198500292E-7</v>
      </c>
      <c r="BG319" s="44">
        <f t="shared" si="356"/>
        <v>5.0124484923221463E-7</v>
      </c>
      <c r="BH319" s="44">
        <f t="shared" si="357"/>
        <v>5.1372324466861963E-7</v>
      </c>
      <c r="BI319" s="44">
        <f t="shared" si="358"/>
        <v>4.7453764883575735E-7</v>
      </c>
      <c r="BJ319" s="44">
        <f t="shared" si="359"/>
        <v>4.9047971075890678E-7</v>
      </c>
      <c r="BK319" s="44">
        <f t="shared" si="360"/>
        <v>2.1063027530626008E-7</v>
      </c>
      <c r="BL319" s="44">
        <f t="shared" si="361"/>
        <v>1.1378578843898272E-7</v>
      </c>
      <c r="BM319" s="44">
        <f t="shared" si="362"/>
        <v>2.8945775844925878E-7</v>
      </c>
      <c r="BN319" s="44">
        <f t="shared" si="363"/>
        <v>3.0105862778795332E-7</v>
      </c>
      <c r="BO319" s="44">
        <f t="shared" si="364"/>
        <v>1.4108749684516815E-7</v>
      </c>
      <c r="BP319" s="44">
        <f t="shared" si="365"/>
        <v>4.744035646844532E-7</v>
      </c>
      <c r="BQ319" s="44">
        <f t="shared" si="366"/>
        <v>1.2802188402601578E-7</v>
      </c>
      <c r="BR319" s="44">
        <f t="shared" si="367"/>
        <v>3.7820869264187925E-7</v>
      </c>
      <c r="BS319" s="44">
        <f t="shared" si="368"/>
        <v>2.0397296681417223E-7</v>
      </c>
      <c r="BT319" s="44">
        <f t="shared" si="369"/>
        <v>8.0718356299128484E-7</v>
      </c>
      <c r="BU319" s="44">
        <f t="shared" si="370"/>
        <v>7.7110319347405422E-7</v>
      </c>
      <c r="BV319" s="44">
        <f t="shared" si="371"/>
        <v>7.4054199562314289E-7</v>
      </c>
      <c r="BW319" s="44">
        <f t="shared" si="372"/>
        <v>4.8435521747252436E-7</v>
      </c>
      <c r="BX319" s="44">
        <f t="shared" si="373"/>
        <v>3.5783283914010221E-7</v>
      </c>
      <c r="BY319" s="44">
        <f t="shared" si="374"/>
        <v>3.0724062061663418E-7</v>
      </c>
      <c r="CA319" s="44" t="str">
        <f t="shared" si="375"/>
        <v/>
      </c>
      <c r="CB319" s="44" t="str">
        <f t="shared" si="376"/>
        <v/>
      </c>
      <c r="CC319" s="44" t="str">
        <f t="shared" si="377"/>
        <v/>
      </c>
      <c r="CD319" s="44" t="str">
        <f t="shared" si="378"/>
        <v/>
      </c>
      <c r="CE319" s="44" t="str">
        <f t="shared" si="379"/>
        <v/>
      </c>
      <c r="CF319" s="44" t="str">
        <f t="shared" si="380"/>
        <v/>
      </c>
      <c r="CG319" s="44" t="str">
        <f t="shared" si="381"/>
        <v/>
      </c>
      <c r="CH319" s="44" t="str">
        <f t="shared" si="382"/>
        <v/>
      </c>
      <c r="CI319" s="44" t="str">
        <f t="shared" si="383"/>
        <v/>
      </c>
      <c r="CJ319" s="44" t="str">
        <f t="shared" si="384"/>
        <v/>
      </c>
      <c r="CK319" s="44" t="str">
        <f t="shared" si="385"/>
        <v/>
      </c>
      <c r="CL319" s="44" t="str">
        <f t="shared" si="386"/>
        <v/>
      </c>
      <c r="CM319" s="44" t="str">
        <f t="shared" si="387"/>
        <v/>
      </c>
      <c r="CN319" s="44" t="str">
        <f t="shared" si="388"/>
        <v/>
      </c>
      <c r="CO319" s="44" t="str">
        <f t="shared" si="389"/>
        <v/>
      </c>
      <c r="CP319" s="44" t="str">
        <f t="shared" si="390"/>
        <v/>
      </c>
      <c r="CQ319" s="44" t="str">
        <f t="shared" si="391"/>
        <v/>
      </c>
      <c r="CR319" s="44" t="str">
        <f t="shared" si="392"/>
        <v/>
      </c>
      <c r="CS319" s="44" t="str">
        <f t="shared" si="393"/>
        <v/>
      </c>
      <c r="CT319" s="44" t="str">
        <f t="shared" si="394"/>
        <v/>
      </c>
      <c r="CV319" s="44">
        <f t="shared" si="395"/>
        <v>0</v>
      </c>
    </row>
    <row r="320" spans="1:100" x14ac:dyDescent="0.25">
      <c r="A320" s="49"/>
      <c r="B320" s="50"/>
      <c r="C320" s="51" t="str" cm="1">
        <f t="array" ref="C320">IF(B320="","",INDEX(UWS!$B$10:$B$41,B320))</f>
        <v/>
      </c>
      <c r="D320" s="45" t="str">
        <f t="shared" si="352"/>
        <v/>
      </c>
      <c r="E320" s="70" t="str">
        <f t="shared" si="353"/>
        <v/>
      </c>
      <c r="F320" s="52" cm="1">
        <f t="array" ref="F320">0.1+IFERROR(INDEX($F$5:$F319,SUMPRODUCT(MAX(ROW($C$5:$C319)*($C320=$C$5:$C319))-ROW($A$4)))*0.9^($A320-INDEX($A$5:A319,SUMPRODUCT(MAX(ROW($C$5:$C319)*($C320=$C$5:$C319))-ROW($A$4)))),0)</f>
        <v>25.500000000000092</v>
      </c>
      <c r="G320" s="56" t="e">
        <f>INDEX(UWS!$AB$10:$AB$41,MATCH(C320,UWS!$B$10:$B$41,0))</f>
        <v>#N/A</v>
      </c>
      <c r="H320" s="52" t="e">
        <f>INDEX(UWS!$C$10:$C$41,MATCH(C320,UWS!$B$10:$B$41,0))</f>
        <v>#N/A</v>
      </c>
      <c r="I320" s="46">
        <f t="shared" si="354"/>
        <v>5</v>
      </c>
      <c r="J320" s="46" t="e">
        <f>INDEX(UWS!$E$10:$E$41,MATCH(C320,UWS!$B$10:$B$41,0))</f>
        <v>#N/A</v>
      </c>
      <c r="K320" s="46"/>
      <c r="L320" s="109" t="str" cm="1">
        <f t="array" ref="L320">IF(K320="","",INDEX(UWS!$B$10:$B$41,K320))</f>
        <v/>
      </c>
      <c r="M320" s="46"/>
      <c r="N320" s="109" t="str" cm="1">
        <f t="array" ref="N320">IF(M320="","",INDEX(UWS!$B$10:$B$41,M320))</f>
        <v/>
      </c>
      <c r="O320" s="47"/>
      <c r="P320" s="47">
        <f>IFERROR(INDEX(UWS!$G$10:$Z$41,MATCH($C320,UWS!$B$10:$B$41,0),MATCH(P$4,UWS!$G$3:$Z$3,0)),0)</f>
        <v>0</v>
      </c>
      <c r="Q320" s="47">
        <f>IFERROR(INDEX(UWS!$G$10:$Z$41,MATCH($C320,UWS!$B$10:$B$41,0),MATCH(Q$4,UWS!$G$3:$Z$3,0)),0)</f>
        <v>0</v>
      </c>
      <c r="R320" s="47">
        <f>IFERROR(INDEX(UWS!$G$10:$Z$41,MATCH($C320,UWS!$B$10:$B$41,0),MATCH(R$4,UWS!$G$3:$Z$3,0)),0)</f>
        <v>0</v>
      </c>
      <c r="S320" s="47">
        <f>IFERROR(INDEX(UWS!$G$10:$Z$41,MATCH($C320,UWS!$B$10:$B$41,0),MATCH(S$4,UWS!$G$3:$Z$3,0)),0)</f>
        <v>0</v>
      </c>
      <c r="T320" s="47">
        <f>IFERROR(INDEX(UWS!$G$10:$Z$41,MATCH($C320,UWS!$B$10:$B$41,0),MATCH(T$4,UWS!$G$3:$Z$3,0)),0)</f>
        <v>0</v>
      </c>
      <c r="U320" s="47">
        <f>IFERROR(INDEX(UWS!$G$10:$Z$41,MATCH($C320,UWS!$B$10:$B$41,0),MATCH(U$4,UWS!$G$3:$Z$3,0)),0)</f>
        <v>0</v>
      </c>
      <c r="V320" s="47">
        <f>IFERROR(INDEX(UWS!$G$10:$Z$41,MATCH($C320,UWS!$B$10:$B$41,0),MATCH(V$4,UWS!$G$3:$Z$3,0)),0)</f>
        <v>0</v>
      </c>
      <c r="W320" s="47">
        <f>IFERROR(INDEX(UWS!$G$10:$Z$41,MATCH($C320,UWS!$B$10:$B$41,0),MATCH(W$4,UWS!$G$3:$Z$3,0)),0)</f>
        <v>0</v>
      </c>
      <c r="X320" s="47">
        <f>IFERROR(INDEX(UWS!$G$10:$Z$41,MATCH($C320,UWS!$B$10:$B$41,0),MATCH(X$4,UWS!$G$3:$Z$3,0)),0)</f>
        <v>0</v>
      </c>
      <c r="Y320" s="47">
        <f>IFERROR(INDEX(UWS!$G$10:$Z$41,MATCH($C320,UWS!$B$10:$B$41,0),MATCH(Y$4,UWS!$G$3:$Z$3,0)),0)</f>
        <v>0</v>
      </c>
      <c r="Z320" s="47">
        <f>IFERROR(INDEX(UWS!$G$10:$Z$41,MATCH($C320,UWS!$B$10:$B$41,0),MATCH(Z$4,UWS!$G$3:$Z$3,0)),0)</f>
        <v>0</v>
      </c>
      <c r="AA320" s="47">
        <f>IFERROR(INDEX(UWS!$G$10:$Z$41,MATCH($C320,UWS!$B$10:$B$41,0),MATCH(AA$4,UWS!$G$3:$Z$3,0)),0)</f>
        <v>0</v>
      </c>
      <c r="AB320" s="47">
        <f>IFERROR(INDEX(UWS!$G$10:$Z$41,MATCH($C320,UWS!$B$10:$B$41,0),MATCH(AB$4,UWS!$G$3:$Z$3,0)),0)</f>
        <v>0</v>
      </c>
      <c r="AC320" s="47">
        <f>IFERROR(INDEX(UWS!$G$10:$Z$41,MATCH($C320,UWS!$B$10:$B$41,0),MATCH(AC$4,UWS!$G$3:$Z$3,0)),0)</f>
        <v>0</v>
      </c>
      <c r="AD320" s="47">
        <f>IFERROR(INDEX(UWS!$G$10:$Z$41,MATCH($C320,UWS!$B$10:$B$41,0),MATCH(AD$4,UWS!$G$3:$Z$3,0)),0)</f>
        <v>0</v>
      </c>
      <c r="AE320" s="47">
        <f>IFERROR(INDEX(UWS!$G$10:$Z$41,MATCH($C320,UWS!$B$10:$B$41,0),MATCH(AE$4,UWS!$G$3:$Z$3,0)),0)</f>
        <v>0</v>
      </c>
      <c r="AF320" s="47">
        <f>IFERROR(INDEX(UWS!$G$10:$Z$41,MATCH($C320,UWS!$B$10:$B$41,0),MATCH(AF$4,UWS!$G$3:$Z$3,0)),0)</f>
        <v>0</v>
      </c>
      <c r="AG320" s="47">
        <f>IFERROR(INDEX(UWS!$G$10:$Z$41,MATCH($C320,UWS!$B$10:$B$41,0),MATCH(AG$4,UWS!$G$3:$Z$3,0)),0)</f>
        <v>0</v>
      </c>
      <c r="AH320" s="47">
        <f>IFERROR(INDEX(UWS!$G$10:$Z$41,MATCH($C320,UWS!$B$10:$B$41,0),MATCH(AH$4,UWS!$G$3:$Z$3,0)),0)</f>
        <v>0</v>
      </c>
      <c r="AI320" s="47">
        <f>IFERROR(INDEX(UWS!$G$10:$Z$41,MATCH($C320,UWS!$B$10:$B$41,0),MATCH(AI$4,UWS!$G$3:$Z$3,0)),0)</f>
        <v>0</v>
      </c>
      <c r="AJ320" s="47"/>
      <c r="AK320" s="47" t="e">
        <f>IF(OR($J320=0,COUNTIFS($A$4:$A319,"&gt;="&amp;$A320-1,$A$4:$A319,"&lt;="&amp;$A320,$B$4:$B319,$B320)&gt;0,MIN(AK$1,IF($A320=$A319,AK319,1))-P320&lt;0),-1,MIN(1,IF($A320=$A319,AK319,1)-P320+$D$3))</f>
        <v>#N/A</v>
      </c>
      <c r="AL320" s="47" t="e">
        <f>IF(OR($J320=0,COUNTIFS($A$4:$A319,"&gt;="&amp;$A320-1,$A$4:$A319,"&lt;="&amp;$A320,$B$4:$B319,$B320)&gt;0,MIN(AL$1,IF($A320=$A319,AL319,1))-Q320&lt;0),-1,MIN(1,IF($A320=$A319,AL319,1)-Q320+$D$3))</f>
        <v>#N/A</v>
      </c>
      <c r="AM320" s="47" t="e">
        <f>IF(OR($J320=0,COUNTIFS($A$4:$A319,"&gt;="&amp;$A320-1,$A$4:$A319,"&lt;="&amp;$A320,$B$4:$B319,$B320)&gt;0,MIN(AM$1,IF($A320=$A319,AM319,1))-R320&lt;0),-1,MIN(1,IF($A320=$A319,AM319,1)-R320+$D$3))</f>
        <v>#N/A</v>
      </c>
      <c r="AN320" s="47" t="e">
        <f>IF(OR($J320=0,COUNTIFS($A$4:$A319,"&gt;="&amp;$A320-1,$A$4:$A319,"&lt;="&amp;$A320,$B$4:$B319,$B320)&gt;0,MIN(AN$1,IF($A320=$A319,AN319,1))-S320&lt;0),-1,MIN(1,IF($A320=$A319,AN319,1)-S320+$D$3))</f>
        <v>#N/A</v>
      </c>
      <c r="AO320" s="47" t="e">
        <f>IF(OR($J320=0,COUNTIFS($A$4:$A319,"&gt;="&amp;$A320-1,$A$4:$A319,"&lt;="&amp;$A320,$B$4:$B319,$B320)&gt;0,MIN(AO$1,IF($A320=$A319,AO319,1))-T320&lt;0),-1,MIN(1,IF($A320=$A319,AO319,1)-T320+$D$3))</f>
        <v>#N/A</v>
      </c>
      <c r="AP320" s="47" t="e">
        <f>IF(OR($J320=0,COUNTIFS($A$4:$A319,"&gt;="&amp;$A320-1,$A$4:$A319,"&lt;="&amp;$A320,$B$4:$B319,$B320)&gt;0,MIN(AP$1,IF($A320=$A319,AP319,1))-U320&lt;0),-1,MIN(1,IF($A320=$A319,AP319,1)-U320+$D$3))</f>
        <v>#N/A</v>
      </c>
      <c r="AQ320" s="47" t="e">
        <f>IF(OR($J320=0,COUNTIFS($A$4:$A319,"&gt;="&amp;$A320-1,$A$4:$A319,"&lt;="&amp;$A320,$B$4:$B319,$B320)&gt;0,MIN(AQ$1,IF($A320=$A319,AQ319,1))-V320&lt;0),-1,MIN(1,IF($A320=$A319,AQ319,1)-V320+$D$3))</f>
        <v>#N/A</v>
      </c>
      <c r="AR320" s="47" t="e">
        <f>IF(OR($J320=0,COUNTIFS($A$4:$A319,"&gt;="&amp;$A320-1,$A$4:$A319,"&lt;="&amp;$A320,$B$4:$B319,$B320)&gt;0,MIN(AR$1,IF($A320=$A319,AR319,1))-W320&lt;0),-1,MIN(1,IF($A320=$A319,AR319,1)-W320+$D$3))</f>
        <v>#N/A</v>
      </c>
      <c r="AS320" s="47" t="e">
        <f>IF(OR($J320=0,COUNTIFS($A$4:$A319,"&gt;="&amp;$A320-1,$A$4:$A319,"&lt;="&amp;$A320,$B$4:$B319,$B320)&gt;0,MIN(AS$1,IF($A320=$A319,AS319,1))-X320&lt;0),-1,MIN(1,IF($A320=$A319,AS319,1)-X320+$D$3))</f>
        <v>#N/A</v>
      </c>
      <c r="AT320" s="47" t="e">
        <f>IF(OR($J320=0,COUNTIFS($A$4:$A319,"&gt;="&amp;$A320-1,$A$4:$A319,"&lt;="&amp;$A320,$B$4:$B319,$B320)&gt;0,MIN(AT$1,IF($A320=$A319,AT319,1))-Y320&lt;0),-1,MIN(1,IF($A320=$A319,AT319,1)-Y320+$D$3))</f>
        <v>#N/A</v>
      </c>
      <c r="AU320" s="47" t="e">
        <f>IF(OR($J320=0,COUNTIFS($A$4:$A319,"&gt;="&amp;$A320-1,$A$4:$A319,"&lt;="&amp;$A320,$B$4:$B319,$B320)&gt;0,MIN(AU$1,IF($A320=$A319,AU319,1))-Z320&lt;0),-1,MIN(1,IF($A320=$A319,AU319,1)-Z320+$D$3))</f>
        <v>#N/A</v>
      </c>
      <c r="AV320" s="47" t="e">
        <f>IF(OR($J320=0,COUNTIFS($A$4:$A319,"&gt;="&amp;$A320-1,$A$4:$A319,"&lt;="&amp;$A320,$B$4:$B319,$B320)&gt;0,MIN(AV$1,IF($A320=$A319,AV319,1))-AA320&lt;0),-1,MIN(1,IF($A320=$A319,AV319,1)-AA320+$D$3))</f>
        <v>#N/A</v>
      </c>
      <c r="AW320" s="47" t="e">
        <f>IF(OR($J320=0,COUNTIFS($A$4:$A319,"&gt;="&amp;$A320-1,$A$4:$A319,"&lt;="&amp;$A320,$B$4:$B319,$B320)&gt;0,MIN(AW$1,IF($A320=$A319,AW319,1))-AB320&lt;0),-1,MIN(1,IF($A320=$A319,AW319,1)-AB320+$D$3))</f>
        <v>#N/A</v>
      </c>
      <c r="AX320" s="47" t="e">
        <f>IF(OR($J320=0,COUNTIFS($A$4:$A319,"&gt;="&amp;$A320-1,$A$4:$A319,"&lt;="&amp;$A320,$B$4:$B319,$B320)&gt;0,MIN(AX$1,IF($A320=$A319,AX319,1))-AC320&lt;0),-1,MIN(1,IF($A320=$A319,AX319,1)-AC320+$D$3))</f>
        <v>#N/A</v>
      </c>
      <c r="AY320" s="47" t="e">
        <f>IF(OR($J320=0,COUNTIFS($A$4:$A319,"&gt;="&amp;$A320-1,$A$4:$A319,"&lt;="&amp;$A320,$B$4:$B319,$B320)&gt;0,MIN(AY$1,IF($A320=$A319,AY319,1))-AD320&lt;0),-1,MIN(1,IF($A320=$A319,AY319,1)-AD320+$D$3))</f>
        <v>#N/A</v>
      </c>
      <c r="AZ320" s="47" t="e">
        <f>IF(OR($J320=0,COUNTIFS($A$4:$A319,"&gt;="&amp;$A320-1,$A$4:$A319,"&lt;="&amp;$A320,$B$4:$B319,$B320)&gt;0,MIN(AZ$1,IF($A320=$A319,AZ319,1))-AE320&lt;0),-1,MIN(1,IF($A320=$A319,AZ319,1)-AE320+$D$3))</f>
        <v>#N/A</v>
      </c>
      <c r="BA320" s="47" t="e">
        <f>IF(OR($J320=0,COUNTIFS($A$4:$A319,"&gt;="&amp;$A320-1,$A$4:$A319,"&lt;="&amp;$A320,$B$4:$B319,$B320)&gt;0,MIN(BA$1,IF($A320=$A319,BA319,1))-AF320&lt;0),-1,MIN(1,IF($A320=$A319,BA319,1)-AF320+$D$3))</f>
        <v>#N/A</v>
      </c>
      <c r="BB320" s="47" t="e">
        <f>IF(OR($J320=0,COUNTIFS($A$4:$A319,"&gt;="&amp;$A320-1,$A$4:$A319,"&lt;="&amp;$A320,$B$4:$B319,$B320)&gt;0,MIN(BB$1,IF($A320=$A319,BB319,1))-AG320&lt;0),-1,MIN(1,IF($A320=$A319,BB319,1)-AG320+$D$3))</f>
        <v>#N/A</v>
      </c>
      <c r="BC320" s="47" t="e">
        <f>IF(OR($J320=0,COUNTIFS($A$4:$A319,"&gt;="&amp;$A320-1,$A$4:$A319,"&lt;="&amp;$A320,$B$4:$B319,$B320)&gt;0,MIN(BC$1,IF($A320=$A319,BC319,1))-AH320&lt;0),-1,MIN(1,IF($A320=$A319,BC319,1)-AH320+$D$3))</f>
        <v>#N/A</v>
      </c>
      <c r="BD320" s="47" t="e">
        <f>IF(OR($J320=0,COUNTIFS($A$4:$A319,"&gt;="&amp;$A320-1,$A$4:$A319,"&lt;="&amp;$A320,$B$4:$B319,$B320)&gt;0,MIN(BD$1,IF($A320=$A319,BD319,1))-AI320&lt;0),-1,MIN(1,IF($A320=$A319,BD319,1)-AI320+$D$3))</f>
        <v>#N/A</v>
      </c>
      <c r="BE320" s="47"/>
      <c r="BF320" s="53">
        <f t="shared" si="355"/>
        <v>1.9362666488575277E-7</v>
      </c>
      <c r="BG320" s="53">
        <f t="shared" si="356"/>
        <v>4.7618260677060389E-7</v>
      </c>
      <c r="BH320" s="53">
        <f t="shared" si="357"/>
        <v>4.8803708243518866E-7</v>
      </c>
      <c r="BI320" s="53">
        <f t="shared" si="358"/>
        <v>4.5081076639396945E-7</v>
      </c>
      <c r="BJ320" s="53">
        <f t="shared" si="359"/>
        <v>4.6595572522096144E-7</v>
      </c>
      <c r="BK320" s="53">
        <f t="shared" si="360"/>
        <v>2.0009876154094706E-7</v>
      </c>
      <c r="BL320" s="53">
        <f t="shared" si="361"/>
        <v>1.0809649901703358E-7</v>
      </c>
      <c r="BM320" s="53">
        <f t="shared" si="362"/>
        <v>2.7498487052679581E-7</v>
      </c>
      <c r="BN320" s="53">
        <f t="shared" si="363"/>
        <v>2.8600569639855564E-7</v>
      </c>
      <c r="BO320" s="53">
        <f t="shared" si="364"/>
        <v>1.3403312200290973E-7</v>
      </c>
      <c r="BP320" s="53">
        <f t="shared" si="365"/>
        <v>4.5068338645023053E-7</v>
      </c>
      <c r="BQ320" s="53">
        <f t="shared" si="366"/>
        <v>1.2162078982471498E-7</v>
      </c>
      <c r="BR320" s="53">
        <f t="shared" si="367"/>
        <v>3.5929825800978527E-7</v>
      </c>
      <c r="BS320" s="53">
        <f t="shared" si="368"/>
        <v>1.9377431847346361E-7</v>
      </c>
      <c r="BT320" s="53">
        <f t="shared" si="369"/>
        <v>7.6682438484172052E-7</v>
      </c>
      <c r="BU320" s="53">
        <f t="shared" si="370"/>
        <v>7.3254803380035152E-7</v>
      </c>
      <c r="BV320" s="53">
        <f t="shared" si="371"/>
        <v>7.0351489584198574E-7</v>
      </c>
      <c r="BW320" s="53">
        <f t="shared" si="372"/>
        <v>4.6013745659889811E-7</v>
      </c>
      <c r="BX320" s="53">
        <f t="shared" si="373"/>
        <v>3.3994119718309709E-7</v>
      </c>
      <c r="BY320" s="53">
        <f t="shared" si="374"/>
        <v>2.9187858958580243E-7</v>
      </c>
      <c r="BZ320" s="47"/>
      <c r="CA320" s="53" t="str">
        <f t="shared" si="375"/>
        <v/>
      </c>
      <c r="CB320" s="53" t="str">
        <f t="shared" si="376"/>
        <v/>
      </c>
      <c r="CC320" s="53" t="str">
        <f t="shared" si="377"/>
        <v/>
      </c>
      <c r="CD320" s="53" t="str">
        <f t="shared" si="378"/>
        <v/>
      </c>
      <c r="CE320" s="53" t="str">
        <f t="shared" si="379"/>
        <v/>
      </c>
      <c r="CF320" s="53" t="str">
        <f t="shared" si="380"/>
        <v/>
      </c>
      <c r="CG320" s="53" t="str">
        <f t="shared" si="381"/>
        <v/>
      </c>
      <c r="CH320" s="53" t="str">
        <f t="shared" si="382"/>
        <v/>
      </c>
      <c r="CI320" s="53" t="str">
        <f t="shared" si="383"/>
        <v/>
      </c>
      <c r="CJ320" s="53" t="str">
        <f t="shared" si="384"/>
        <v/>
      </c>
      <c r="CK320" s="53" t="str">
        <f t="shared" si="385"/>
        <v/>
      </c>
      <c r="CL320" s="53" t="str">
        <f t="shared" si="386"/>
        <v/>
      </c>
      <c r="CM320" s="53" t="str">
        <f t="shared" si="387"/>
        <v/>
      </c>
      <c r="CN320" s="53" t="str">
        <f t="shared" si="388"/>
        <v/>
      </c>
      <c r="CO320" s="53" t="str">
        <f t="shared" si="389"/>
        <v/>
      </c>
      <c r="CP320" s="53" t="str">
        <f t="shared" si="390"/>
        <v/>
      </c>
      <c r="CQ320" s="53" t="str">
        <f t="shared" si="391"/>
        <v/>
      </c>
      <c r="CR320" s="53" t="str">
        <f t="shared" si="392"/>
        <v/>
      </c>
      <c r="CS320" s="53" t="str">
        <f t="shared" si="393"/>
        <v/>
      </c>
      <c r="CT320" s="53" t="str">
        <f t="shared" si="394"/>
        <v/>
      </c>
      <c r="CU320" s="47"/>
      <c r="CV320" s="53">
        <f t="shared" si="395"/>
        <v>0</v>
      </c>
    </row>
    <row r="321" spans="1:100" x14ac:dyDescent="0.25">
      <c r="A321" s="41"/>
      <c r="B321" s="42"/>
      <c r="C321" s="43" t="str" cm="1">
        <f t="array" ref="C321">IF(B321="","",INDEX(UWS!$B$10:$B$41,B321))</f>
        <v/>
      </c>
      <c r="D321" s="40" t="str">
        <f t="shared" si="352"/>
        <v/>
      </c>
      <c r="E321" s="69" t="str">
        <f t="shared" si="353"/>
        <v/>
      </c>
      <c r="F321" s="48" cm="1">
        <f t="array" ref="F321">0.1+IFERROR(INDEX($F$5:$F320,SUMPRODUCT(MAX(ROW($C$5:$C320)*($C321=$C$5:$C320))-ROW($A$4)))*0.9^($A321-INDEX($A$5:A320,SUMPRODUCT(MAX(ROW($C$5:$C320)*($C321=$C$5:$C320))-ROW($A$4)))),0)</f>
        <v>25.600000000000094</v>
      </c>
      <c r="G321" s="55" t="e">
        <f>INDEX(UWS!$AB$10:$AB$41,MATCH(C321,UWS!$B$10:$B$41,0))</f>
        <v>#N/A</v>
      </c>
      <c r="H321" s="48" t="e">
        <f>INDEX(UWS!$C$10:$C$41,MATCH(C321,UWS!$B$10:$B$41,0))</f>
        <v>#N/A</v>
      </c>
      <c r="I321" s="82">
        <f t="shared" si="354"/>
        <v>5</v>
      </c>
      <c r="J321" s="27" t="e">
        <f>INDEX(UWS!$E$10:$E$41,MATCH(C321,UWS!$B$10:$B$41,0))</f>
        <v>#N/A</v>
      </c>
      <c r="L321" s="108" t="str" cm="1">
        <f t="array" ref="L321">IF(K321="","",INDEX(UWS!$B$10:$B$41,K321))</f>
        <v/>
      </c>
      <c r="N321" s="108" t="str" cm="1">
        <f t="array" ref="N321">IF(M321="","",INDEX(UWS!$B$10:$B$41,M321))</f>
        <v/>
      </c>
      <c r="P321">
        <f>IFERROR(INDEX(UWS!$G$10:$Z$41,MATCH($C321,UWS!$B$10:$B$41,0),MATCH(P$4,UWS!$G$3:$Z$3,0)),0)</f>
        <v>0</v>
      </c>
      <c r="Q321">
        <f>IFERROR(INDEX(UWS!$G$10:$Z$41,MATCH($C321,UWS!$B$10:$B$41,0),MATCH(Q$4,UWS!$G$3:$Z$3,0)),0)</f>
        <v>0</v>
      </c>
      <c r="R321">
        <f>IFERROR(INDEX(UWS!$G$10:$Z$41,MATCH($C321,UWS!$B$10:$B$41,0),MATCH(R$4,UWS!$G$3:$Z$3,0)),0)</f>
        <v>0</v>
      </c>
      <c r="S321">
        <f>IFERROR(INDEX(UWS!$G$10:$Z$41,MATCH($C321,UWS!$B$10:$B$41,0),MATCH(S$4,UWS!$G$3:$Z$3,0)),0)</f>
        <v>0</v>
      </c>
      <c r="T321">
        <f>IFERROR(INDEX(UWS!$G$10:$Z$41,MATCH($C321,UWS!$B$10:$B$41,0),MATCH(T$4,UWS!$G$3:$Z$3,0)),0)</f>
        <v>0</v>
      </c>
      <c r="U321">
        <f>IFERROR(INDEX(UWS!$G$10:$Z$41,MATCH($C321,UWS!$B$10:$B$41,0),MATCH(U$4,UWS!$G$3:$Z$3,0)),0)</f>
        <v>0</v>
      </c>
      <c r="V321">
        <f>IFERROR(INDEX(UWS!$G$10:$Z$41,MATCH($C321,UWS!$B$10:$B$41,0),MATCH(V$4,UWS!$G$3:$Z$3,0)),0)</f>
        <v>0</v>
      </c>
      <c r="W321">
        <f>IFERROR(INDEX(UWS!$G$10:$Z$41,MATCH($C321,UWS!$B$10:$B$41,0),MATCH(W$4,UWS!$G$3:$Z$3,0)),0)</f>
        <v>0</v>
      </c>
      <c r="X321">
        <f>IFERROR(INDEX(UWS!$G$10:$Z$41,MATCH($C321,UWS!$B$10:$B$41,0),MATCH(X$4,UWS!$G$3:$Z$3,0)),0)</f>
        <v>0</v>
      </c>
      <c r="Y321">
        <f>IFERROR(INDEX(UWS!$G$10:$Z$41,MATCH($C321,UWS!$B$10:$B$41,0),MATCH(Y$4,UWS!$G$3:$Z$3,0)),0)</f>
        <v>0</v>
      </c>
      <c r="Z321">
        <f>IFERROR(INDEX(UWS!$G$10:$Z$41,MATCH($C321,UWS!$B$10:$B$41,0),MATCH(Z$4,UWS!$G$3:$Z$3,0)),0)</f>
        <v>0</v>
      </c>
      <c r="AA321">
        <f>IFERROR(INDEX(UWS!$G$10:$Z$41,MATCH($C321,UWS!$B$10:$B$41,0),MATCH(AA$4,UWS!$G$3:$Z$3,0)),0)</f>
        <v>0</v>
      </c>
      <c r="AB321">
        <f>IFERROR(INDEX(UWS!$G$10:$Z$41,MATCH($C321,UWS!$B$10:$B$41,0),MATCH(AB$4,UWS!$G$3:$Z$3,0)),0)</f>
        <v>0</v>
      </c>
      <c r="AC321">
        <f>IFERROR(INDEX(UWS!$G$10:$Z$41,MATCH($C321,UWS!$B$10:$B$41,0),MATCH(AC$4,UWS!$G$3:$Z$3,0)),0)</f>
        <v>0</v>
      </c>
      <c r="AD321">
        <f>IFERROR(INDEX(UWS!$G$10:$Z$41,MATCH($C321,UWS!$B$10:$B$41,0),MATCH(AD$4,UWS!$G$3:$Z$3,0)),0)</f>
        <v>0</v>
      </c>
      <c r="AE321">
        <f>IFERROR(INDEX(UWS!$G$10:$Z$41,MATCH($C321,UWS!$B$10:$B$41,0),MATCH(AE$4,UWS!$G$3:$Z$3,0)),0)</f>
        <v>0</v>
      </c>
      <c r="AF321">
        <f>IFERROR(INDEX(UWS!$G$10:$Z$41,MATCH($C321,UWS!$B$10:$B$41,0),MATCH(AF$4,UWS!$G$3:$Z$3,0)),0)</f>
        <v>0</v>
      </c>
      <c r="AG321">
        <f>IFERROR(INDEX(UWS!$G$10:$Z$41,MATCH($C321,UWS!$B$10:$B$41,0),MATCH(AG$4,UWS!$G$3:$Z$3,0)),0)</f>
        <v>0</v>
      </c>
      <c r="AH321">
        <f>IFERROR(INDEX(UWS!$G$10:$Z$41,MATCH($C321,UWS!$B$10:$B$41,0),MATCH(AH$4,UWS!$G$3:$Z$3,0)),0)</f>
        <v>0</v>
      </c>
      <c r="AI321">
        <f>IFERROR(INDEX(UWS!$G$10:$Z$41,MATCH($C321,UWS!$B$10:$B$41,0),MATCH(AI$4,UWS!$G$3:$Z$3,0)),0)</f>
        <v>0</v>
      </c>
      <c r="AK321" t="e">
        <f>IF(OR($J321=0,COUNTIFS($A$4:$A320,"&gt;="&amp;$A321-1,$A$4:$A320,"&lt;="&amp;$A321,$B$4:$B320,$B321)&gt;0,MIN(AK$1,IF($A321=$A320,AK320,1))-P321&lt;0),-1,MIN(1,IF($A321=$A320,AK320,1)-P321+$D$3))</f>
        <v>#N/A</v>
      </c>
      <c r="AL321" t="e">
        <f>IF(OR($J321=0,COUNTIFS($A$4:$A320,"&gt;="&amp;$A321-1,$A$4:$A320,"&lt;="&amp;$A321,$B$4:$B320,$B321)&gt;0,MIN(AL$1,IF($A321=$A320,AL320,1))-Q321&lt;0),-1,MIN(1,IF($A321=$A320,AL320,1)-Q321+$D$3))</f>
        <v>#N/A</v>
      </c>
      <c r="AM321" t="e">
        <f>IF(OR($J321=0,COUNTIFS($A$4:$A320,"&gt;="&amp;$A321-1,$A$4:$A320,"&lt;="&amp;$A321,$B$4:$B320,$B321)&gt;0,MIN(AM$1,IF($A321=$A320,AM320,1))-R321&lt;0),-1,MIN(1,IF($A321=$A320,AM320,1)-R321+$D$3))</f>
        <v>#N/A</v>
      </c>
      <c r="AN321" t="e">
        <f>IF(OR($J321=0,COUNTIFS($A$4:$A320,"&gt;="&amp;$A321-1,$A$4:$A320,"&lt;="&amp;$A321,$B$4:$B320,$B321)&gt;0,MIN(AN$1,IF($A321=$A320,AN320,1))-S321&lt;0),-1,MIN(1,IF($A321=$A320,AN320,1)-S321+$D$3))</f>
        <v>#N/A</v>
      </c>
      <c r="AO321" t="e">
        <f>IF(OR($J321=0,COUNTIFS($A$4:$A320,"&gt;="&amp;$A321-1,$A$4:$A320,"&lt;="&amp;$A321,$B$4:$B320,$B321)&gt;0,MIN(AO$1,IF($A321=$A320,AO320,1))-T321&lt;0),-1,MIN(1,IF($A321=$A320,AO320,1)-T321+$D$3))</f>
        <v>#N/A</v>
      </c>
      <c r="AP321" t="e">
        <f>IF(OR($J321=0,COUNTIFS($A$4:$A320,"&gt;="&amp;$A321-1,$A$4:$A320,"&lt;="&amp;$A321,$B$4:$B320,$B321)&gt;0,MIN(AP$1,IF($A321=$A320,AP320,1))-U321&lt;0),-1,MIN(1,IF($A321=$A320,AP320,1)-U321+$D$3))</f>
        <v>#N/A</v>
      </c>
      <c r="AQ321" t="e">
        <f>IF(OR($J321=0,COUNTIFS($A$4:$A320,"&gt;="&amp;$A321-1,$A$4:$A320,"&lt;="&amp;$A321,$B$4:$B320,$B321)&gt;0,MIN(AQ$1,IF($A321=$A320,AQ320,1))-V321&lt;0),-1,MIN(1,IF($A321=$A320,AQ320,1)-V321+$D$3))</f>
        <v>#N/A</v>
      </c>
      <c r="AR321" t="e">
        <f>IF(OR($J321=0,COUNTIFS($A$4:$A320,"&gt;="&amp;$A321-1,$A$4:$A320,"&lt;="&amp;$A321,$B$4:$B320,$B321)&gt;0,MIN(AR$1,IF($A321=$A320,AR320,1))-W321&lt;0),-1,MIN(1,IF($A321=$A320,AR320,1)-W321+$D$3))</f>
        <v>#N/A</v>
      </c>
      <c r="AS321" t="e">
        <f>IF(OR($J321=0,COUNTIFS($A$4:$A320,"&gt;="&amp;$A321-1,$A$4:$A320,"&lt;="&amp;$A321,$B$4:$B320,$B321)&gt;0,MIN(AS$1,IF($A321=$A320,AS320,1))-X321&lt;0),-1,MIN(1,IF($A321=$A320,AS320,1)-X321+$D$3))</f>
        <v>#N/A</v>
      </c>
      <c r="AT321" t="e">
        <f>IF(OR($J321=0,COUNTIFS($A$4:$A320,"&gt;="&amp;$A321-1,$A$4:$A320,"&lt;="&amp;$A321,$B$4:$B320,$B321)&gt;0,MIN(AT$1,IF($A321=$A320,AT320,1))-Y321&lt;0),-1,MIN(1,IF($A321=$A320,AT320,1)-Y321+$D$3))</f>
        <v>#N/A</v>
      </c>
      <c r="AU321" t="e">
        <f>IF(OR($J321=0,COUNTIFS($A$4:$A320,"&gt;="&amp;$A321-1,$A$4:$A320,"&lt;="&amp;$A321,$B$4:$B320,$B321)&gt;0,MIN(AU$1,IF($A321=$A320,AU320,1))-Z321&lt;0),-1,MIN(1,IF($A321=$A320,AU320,1)-Z321+$D$3))</f>
        <v>#N/A</v>
      </c>
      <c r="AV321" t="e">
        <f>IF(OR($J321=0,COUNTIFS($A$4:$A320,"&gt;="&amp;$A321-1,$A$4:$A320,"&lt;="&amp;$A321,$B$4:$B320,$B321)&gt;0,MIN(AV$1,IF($A321=$A320,AV320,1))-AA321&lt;0),-1,MIN(1,IF($A321=$A320,AV320,1)-AA321+$D$3))</f>
        <v>#N/A</v>
      </c>
      <c r="AW321" t="e">
        <f>IF(OR($J321=0,COUNTIFS($A$4:$A320,"&gt;="&amp;$A321-1,$A$4:$A320,"&lt;="&amp;$A321,$B$4:$B320,$B321)&gt;0,MIN(AW$1,IF($A321=$A320,AW320,1))-AB321&lt;0),-1,MIN(1,IF($A321=$A320,AW320,1)-AB321+$D$3))</f>
        <v>#N/A</v>
      </c>
      <c r="AX321" t="e">
        <f>IF(OR($J321=0,COUNTIFS($A$4:$A320,"&gt;="&amp;$A321-1,$A$4:$A320,"&lt;="&amp;$A321,$B$4:$B320,$B321)&gt;0,MIN(AX$1,IF($A321=$A320,AX320,1))-AC321&lt;0),-1,MIN(1,IF($A321=$A320,AX320,1)-AC321+$D$3))</f>
        <v>#N/A</v>
      </c>
      <c r="AY321" t="e">
        <f>IF(OR($J321=0,COUNTIFS($A$4:$A320,"&gt;="&amp;$A321-1,$A$4:$A320,"&lt;="&amp;$A321,$B$4:$B320,$B321)&gt;0,MIN(AY$1,IF($A321=$A320,AY320,1))-AD321&lt;0),-1,MIN(1,IF($A321=$A320,AY320,1)-AD321+$D$3))</f>
        <v>#N/A</v>
      </c>
      <c r="AZ321" t="e">
        <f>IF(OR($J321=0,COUNTIFS($A$4:$A320,"&gt;="&amp;$A321-1,$A$4:$A320,"&lt;="&amp;$A321,$B$4:$B320,$B321)&gt;0,MIN(AZ$1,IF($A321=$A320,AZ320,1))-AE321&lt;0),-1,MIN(1,IF($A321=$A320,AZ320,1)-AE321+$D$3))</f>
        <v>#N/A</v>
      </c>
      <c r="BA321" t="e">
        <f>IF(OR($J321=0,COUNTIFS($A$4:$A320,"&gt;="&amp;$A321-1,$A$4:$A320,"&lt;="&amp;$A321,$B$4:$B320,$B321)&gt;0,MIN(BA$1,IF($A321=$A320,BA320,1))-AF321&lt;0),-1,MIN(1,IF($A321=$A320,BA320,1)-AF321+$D$3))</f>
        <v>#N/A</v>
      </c>
      <c r="BB321" t="e">
        <f>IF(OR($J321=0,COUNTIFS($A$4:$A320,"&gt;="&amp;$A321-1,$A$4:$A320,"&lt;="&amp;$A321,$B$4:$B320,$B321)&gt;0,MIN(BB$1,IF($A321=$A320,BB320,1))-AG321&lt;0),-1,MIN(1,IF($A321=$A320,BB320,1)-AG321+$D$3))</f>
        <v>#N/A</v>
      </c>
      <c r="BC321" t="e">
        <f>IF(OR($J321=0,COUNTIFS($A$4:$A320,"&gt;="&amp;$A321-1,$A$4:$A320,"&lt;="&amp;$A321,$B$4:$B320,$B321)&gt;0,MIN(BC$1,IF($A321=$A320,BC320,1))-AH321&lt;0),-1,MIN(1,IF($A321=$A320,BC320,1)-AH321+$D$3))</f>
        <v>#N/A</v>
      </c>
      <c r="BD321" t="e">
        <f>IF(OR($J321=0,COUNTIFS($A$4:$A320,"&gt;="&amp;$A321-1,$A$4:$A320,"&lt;="&amp;$A321,$B$4:$B320,$B321)&gt;0,MIN(BD$1,IF($A321=$A320,BD320,1))-AI321&lt;0),-1,MIN(1,IF($A321=$A320,BD320,1)-AI321+$D$3))</f>
        <v>#N/A</v>
      </c>
      <c r="BF321" s="44">
        <f t="shared" si="355"/>
        <v>1.8394533164146513E-7</v>
      </c>
      <c r="BG321" s="44">
        <f t="shared" si="356"/>
        <v>4.5237347643207365E-7</v>
      </c>
      <c r="BH321" s="44">
        <f t="shared" si="357"/>
        <v>4.6363522831342923E-7</v>
      </c>
      <c r="BI321" s="44">
        <f t="shared" si="358"/>
        <v>4.2827022807427096E-7</v>
      </c>
      <c r="BJ321" s="44">
        <f t="shared" si="359"/>
        <v>4.4265793895991333E-7</v>
      </c>
      <c r="BK321" s="44">
        <f t="shared" si="360"/>
        <v>1.900938234638997E-7</v>
      </c>
      <c r="BL321" s="44">
        <f t="shared" si="361"/>
        <v>1.026916740661819E-7</v>
      </c>
      <c r="BM321" s="44">
        <f t="shared" si="362"/>
        <v>2.6123562700045602E-7</v>
      </c>
      <c r="BN321" s="44">
        <f t="shared" si="363"/>
        <v>2.7170541157862787E-7</v>
      </c>
      <c r="BO321" s="44">
        <f t="shared" si="364"/>
        <v>1.2733146590276423E-7</v>
      </c>
      <c r="BP321" s="44">
        <f t="shared" si="365"/>
        <v>4.2814921712771896E-7</v>
      </c>
      <c r="BQ321" s="44">
        <f t="shared" si="366"/>
        <v>1.1553975033347922E-7</v>
      </c>
      <c r="BR321" s="44">
        <f t="shared" si="367"/>
        <v>3.4133334510929601E-7</v>
      </c>
      <c r="BS321" s="44">
        <f t="shared" si="368"/>
        <v>1.8408560254979044E-7</v>
      </c>
      <c r="BT321" s="44">
        <f t="shared" si="369"/>
        <v>7.2848316559963444E-7</v>
      </c>
      <c r="BU321" s="44">
        <f t="shared" si="370"/>
        <v>6.9592063211033395E-7</v>
      </c>
      <c r="BV321" s="44">
        <f t="shared" si="371"/>
        <v>6.6833915104988638E-7</v>
      </c>
      <c r="BW321" s="44">
        <f t="shared" si="372"/>
        <v>4.3713058376895318E-7</v>
      </c>
      <c r="BX321" s="44">
        <f t="shared" si="373"/>
        <v>3.2294413732394222E-7</v>
      </c>
      <c r="BY321" s="44">
        <f t="shared" si="374"/>
        <v>2.772846601065123E-7</v>
      </c>
      <c r="CA321" s="44" t="str">
        <f t="shared" si="375"/>
        <v/>
      </c>
      <c r="CB321" s="44" t="str">
        <f t="shared" si="376"/>
        <v/>
      </c>
      <c r="CC321" s="44" t="str">
        <f t="shared" si="377"/>
        <v/>
      </c>
      <c r="CD321" s="44" t="str">
        <f t="shared" si="378"/>
        <v/>
      </c>
      <c r="CE321" s="44" t="str">
        <f t="shared" si="379"/>
        <v/>
      </c>
      <c r="CF321" s="44" t="str">
        <f t="shared" si="380"/>
        <v/>
      </c>
      <c r="CG321" s="44" t="str">
        <f t="shared" si="381"/>
        <v/>
      </c>
      <c r="CH321" s="44" t="str">
        <f t="shared" si="382"/>
        <v/>
      </c>
      <c r="CI321" s="44" t="str">
        <f t="shared" si="383"/>
        <v/>
      </c>
      <c r="CJ321" s="44" t="str">
        <f t="shared" si="384"/>
        <v/>
      </c>
      <c r="CK321" s="44" t="str">
        <f t="shared" si="385"/>
        <v/>
      </c>
      <c r="CL321" s="44" t="str">
        <f t="shared" si="386"/>
        <v/>
      </c>
      <c r="CM321" s="44" t="str">
        <f t="shared" si="387"/>
        <v/>
      </c>
      <c r="CN321" s="44" t="str">
        <f t="shared" si="388"/>
        <v/>
      </c>
      <c r="CO321" s="44" t="str">
        <f t="shared" si="389"/>
        <v/>
      </c>
      <c r="CP321" s="44" t="str">
        <f t="shared" si="390"/>
        <v/>
      </c>
      <c r="CQ321" s="44" t="str">
        <f t="shared" si="391"/>
        <v/>
      </c>
      <c r="CR321" s="44" t="str">
        <f t="shared" si="392"/>
        <v/>
      </c>
      <c r="CS321" s="44" t="str">
        <f t="shared" si="393"/>
        <v/>
      </c>
      <c r="CT321" s="44" t="str">
        <f t="shared" si="394"/>
        <v/>
      </c>
      <c r="CV321" s="44">
        <f t="shared" si="395"/>
        <v>0</v>
      </c>
    </row>
    <row r="322" spans="1:100" x14ac:dyDescent="0.25">
      <c r="A322" s="41"/>
      <c r="B322" s="42"/>
      <c r="C322" s="43" t="str" cm="1">
        <f t="array" ref="C322">IF(B322="","",INDEX(UWS!$B$10:$B$41,B322))</f>
        <v/>
      </c>
      <c r="D322" s="40" t="str">
        <f t="shared" si="352"/>
        <v/>
      </c>
      <c r="E322" s="69" t="str">
        <f t="shared" si="353"/>
        <v/>
      </c>
      <c r="F322" s="48" cm="1">
        <f t="array" ref="F322">0.1+IFERROR(INDEX($F$5:$F321,SUMPRODUCT(MAX(ROW($C$5:$C321)*($C322=$C$5:$C321))-ROW($A$4)))*0.9^($A322-INDEX($A$5:A321,SUMPRODUCT(MAX(ROW($C$5:$C321)*($C322=$C$5:$C321))-ROW($A$4)))),0)</f>
        <v>25.700000000000095</v>
      </c>
      <c r="G322" s="55" t="e">
        <f>INDEX(UWS!$AB$10:$AB$41,MATCH(C322,UWS!$B$10:$B$41,0))</f>
        <v>#N/A</v>
      </c>
      <c r="H322" s="48" t="e">
        <f>INDEX(UWS!$C$10:$C$41,MATCH(C322,UWS!$B$10:$B$41,0))</f>
        <v>#N/A</v>
      </c>
      <c r="I322" s="27">
        <f t="shared" si="354"/>
        <v>5</v>
      </c>
      <c r="J322" s="27" t="e">
        <f>INDEX(UWS!$E$10:$E$41,MATCH(C322,UWS!$B$10:$B$41,0))</f>
        <v>#N/A</v>
      </c>
      <c r="L322" s="108" t="str" cm="1">
        <f t="array" ref="L322">IF(K322="","",INDEX(UWS!$B$10:$B$41,K322))</f>
        <v/>
      </c>
      <c r="N322" s="108" t="str" cm="1">
        <f t="array" ref="N322">IF(M322="","",INDEX(UWS!$B$10:$B$41,M322))</f>
        <v/>
      </c>
      <c r="P322">
        <f>IFERROR(INDEX(UWS!$G$10:$Z$41,MATCH($C322,UWS!$B$10:$B$41,0),MATCH(P$4,UWS!$G$3:$Z$3,0)),0)</f>
        <v>0</v>
      </c>
      <c r="Q322">
        <f>IFERROR(INDEX(UWS!$G$10:$Z$41,MATCH($C322,UWS!$B$10:$B$41,0),MATCH(Q$4,UWS!$G$3:$Z$3,0)),0)</f>
        <v>0</v>
      </c>
      <c r="R322">
        <f>IFERROR(INDEX(UWS!$G$10:$Z$41,MATCH($C322,UWS!$B$10:$B$41,0),MATCH(R$4,UWS!$G$3:$Z$3,0)),0)</f>
        <v>0</v>
      </c>
      <c r="S322">
        <f>IFERROR(INDEX(UWS!$G$10:$Z$41,MATCH($C322,UWS!$B$10:$B$41,0),MATCH(S$4,UWS!$G$3:$Z$3,0)),0)</f>
        <v>0</v>
      </c>
      <c r="T322">
        <f>IFERROR(INDEX(UWS!$G$10:$Z$41,MATCH($C322,UWS!$B$10:$B$41,0),MATCH(T$4,UWS!$G$3:$Z$3,0)),0)</f>
        <v>0</v>
      </c>
      <c r="U322">
        <f>IFERROR(INDEX(UWS!$G$10:$Z$41,MATCH($C322,UWS!$B$10:$B$41,0),MATCH(U$4,UWS!$G$3:$Z$3,0)),0)</f>
        <v>0</v>
      </c>
      <c r="V322">
        <f>IFERROR(INDEX(UWS!$G$10:$Z$41,MATCH($C322,UWS!$B$10:$B$41,0),MATCH(V$4,UWS!$G$3:$Z$3,0)),0)</f>
        <v>0</v>
      </c>
      <c r="W322">
        <f>IFERROR(INDEX(UWS!$G$10:$Z$41,MATCH($C322,UWS!$B$10:$B$41,0),MATCH(W$4,UWS!$G$3:$Z$3,0)),0)</f>
        <v>0</v>
      </c>
      <c r="X322">
        <f>IFERROR(INDEX(UWS!$G$10:$Z$41,MATCH($C322,UWS!$B$10:$B$41,0),MATCH(X$4,UWS!$G$3:$Z$3,0)),0)</f>
        <v>0</v>
      </c>
      <c r="Y322">
        <f>IFERROR(INDEX(UWS!$G$10:$Z$41,MATCH($C322,UWS!$B$10:$B$41,0),MATCH(Y$4,UWS!$G$3:$Z$3,0)),0)</f>
        <v>0</v>
      </c>
      <c r="Z322">
        <f>IFERROR(INDEX(UWS!$G$10:$Z$41,MATCH($C322,UWS!$B$10:$B$41,0),MATCH(Z$4,UWS!$G$3:$Z$3,0)),0)</f>
        <v>0</v>
      </c>
      <c r="AA322">
        <f>IFERROR(INDEX(UWS!$G$10:$Z$41,MATCH($C322,UWS!$B$10:$B$41,0),MATCH(AA$4,UWS!$G$3:$Z$3,0)),0)</f>
        <v>0</v>
      </c>
      <c r="AB322">
        <f>IFERROR(INDEX(UWS!$G$10:$Z$41,MATCH($C322,UWS!$B$10:$B$41,0),MATCH(AB$4,UWS!$G$3:$Z$3,0)),0)</f>
        <v>0</v>
      </c>
      <c r="AC322">
        <f>IFERROR(INDEX(UWS!$G$10:$Z$41,MATCH($C322,UWS!$B$10:$B$41,0),MATCH(AC$4,UWS!$G$3:$Z$3,0)),0)</f>
        <v>0</v>
      </c>
      <c r="AD322">
        <f>IFERROR(INDEX(UWS!$G$10:$Z$41,MATCH($C322,UWS!$B$10:$B$41,0),MATCH(AD$4,UWS!$G$3:$Z$3,0)),0)</f>
        <v>0</v>
      </c>
      <c r="AE322">
        <f>IFERROR(INDEX(UWS!$G$10:$Z$41,MATCH($C322,UWS!$B$10:$B$41,0),MATCH(AE$4,UWS!$G$3:$Z$3,0)),0)</f>
        <v>0</v>
      </c>
      <c r="AF322">
        <f>IFERROR(INDEX(UWS!$G$10:$Z$41,MATCH($C322,UWS!$B$10:$B$41,0),MATCH(AF$4,UWS!$G$3:$Z$3,0)),0)</f>
        <v>0</v>
      </c>
      <c r="AG322">
        <f>IFERROR(INDEX(UWS!$G$10:$Z$41,MATCH($C322,UWS!$B$10:$B$41,0),MATCH(AG$4,UWS!$G$3:$Z$3,0)),0)</f>
        <v>0</v>
      </c>
      <c r="AH322">
        <f>IFERROR(INDEX(UWS!$G$10:$Z$41,MATCH($C322,UWS!$B$10:$B$41,0),MATCH(AH$4,UWS!$G$3:$Z$3,0)),0)</f>
        <v>0</v>
      </c>
      <c r="AI322">
        <f>IFERROR(INDEX(UWS!$G$10:$Z$41,MATCH($C322,UWS!$B$10:$B$41,0),MATCH(AI$4,UWS!$G$3:$Z$3,0)),0)</f>
        <v>0</v>
      </c>
      <c r="AK322" t="e">
        <f>IF(OR($J322=0,COUNTIFS($A$4:$A321,"&gt;="&amp;$A322-1,$A$4:$A321,"&lt;="&amp;$A322,$B$4:$B321,$B322)&gt;0,MIN(AK$1,IF($A322=$A321,AK321,1))-P322&lt;0),-1,MIN(1,IF($A322=$A321,AK321,1)-P322+$D$3))</f>
        <v>#N/A</v>
      </c>
      <c r="AL322" t="e">
        <f>IF(OR($J322=0,COUNTIFS($A$4:$A321,"&gt;="&amp;$A322-1,$A$4:$A321,"&lt;="&amp;$A322,$B$4:$B321,$B322)&gt;0,MIN(AL$1,IF($A322=$A321,AL321,1))-Q322&lt;0),-1,MIN(1,IF($A322=$A321,AL321,1)-Q322+$D$3))</f>
        <v>#N/A</v>
      </c>
      <c r="AM322" t="e">
        <f>IF(OR($J322=0,COUNTIFS($A$4:$A321,"&gt;="&amp;$A322-1,$A$4:$A321,"&lt;="&amp;$A322,$B$4:$B321,$B322)&gt;0,MIN(AM$1,IF($A322=$A321,AM321,1))-R322&lt;0),-1,MIN(1,IF($A322=$A321,AM321,1)-R322+$D$3))</f>
        <v>#N/A</v>
      </c>
      <c r="AN322" t="e">
        <f>IF(OR($J322=0,COUNTIFS($A$4:$A321,"&gt;="&amp;$A322-1,$A$4:$A321,"&lt;="&amp;$A322,$B$4:$B321,$B322)&gt;0,MIN(AN$1,IF($A322=$A321,AN321,1))-S322&lt;0),-1,MIN(1,IF($A322=$A321,AN321,1)-S322+$D$3))</f>
        <v>#N/A</v>
      </c>
      <c r="AO322" t="e">
        <f>IF(OR($J322=0,COUNTIFS($A$4:$A321,"&gt;="&amp;$A322-1,$A$4:$A321,"&lt;="&amp;$A322,$B$4:$B321,$B322)&gt;0,MIN(AO$1,IF($A322=$A321,AO321,1))-T322&lt;0),-1,MIN(1,IF($A322=$A321,AO321,1)-T322+$D$3))</f>
        <v>#N/A</v>
      </c>
      <c r="AP322" t="e">
        <f>IF(OR($J322=0,COUNTIFS($A$4:$A321,"&gt;="&amp;$A322-1,$A$4:$A321,"&lt;="&amp;$A322,$B$4:$B321,$B322)&gt;0,MIN(AP$1,IF($A322=$A321,AP321,1))-U322&lt;0),-1,MIN(1,IF($A322=$A321,AP321,1)-U322+$D$3))</f>
        <v>#N/A</v>
      </c>
      <c r="AQ322" t="e">
        <f>IF(OR($J322=0,COUNTIFS($A$4:$A321,"&gt;="&amp;$A322-1,$A$4:$A321,"&lt;="&amp;$A322,$B$4:$B321,$B322)&gt;0,MIN(AQ$1,IF($A322=$A321,AQ321,1))-V322&lt;0),-1,MIN(1,IF($A322=$A321,AQ321,1)-V322+$D$3))</f>
        <v>#N/A</v>
      </c>
      <c r="AR322" t="e">
        <f>IF(OR($J322=0,COUNTIFS($A$4:$A321,"&gt;="&amp;$A322-1,$A$4:$A321,"&lt;="&amp;$A322,$B$4:$B321,$B322)&gt;0,MIN(AR$1,IF($A322=$A321,AR321,1))-W322&lt;0),-1,MIN(1,IF($A322=$A321,AR321,1)-W322+$D$3))</f>
        <v>#N/A</v>
      </c>
      <c r="AS322" t="e">
        <f>IF(OR($J322=0,COUNTIFS($A$4:$A321,"&gt;="&amp;$A322-1,$A$4:$A321,"&lt;="&amp;$A322,$B$4:$B321,$B322)&gt;0,MIN(AS$1,IF($A322=$A321,AS321,1))-X322&lt;0),-1,MIN(1,IF($A322=$A321,AS321,1)-X322+$D$3))</f>
        <v>#N/A</v>
      </c>
      <c r="AT322" t="e">
        <f>IF(OR($J322=0,COUNTIFS($A$4:$A321,"&gt;="&amp;$A322-1,$A$4:$A321,"&lt;="&amp;$A322,$B$4:$B321,$B322)&gt;0,MIN(AT$1,IF($A322=$A321,AT321,1))-Y322&lt;0),-1,MIN(1,IF($A322=$A321,AT321,1)-Y322+$D$3))</f>
        <v>#N/A</v>
      </c>
      <c r="AU322" t="e">
        <f>IF(OR($J322=0,COUNTIFS($A$4:$A321,"&gt;="&amp;$A322-1,$A$4:$A321,"&lt;="&amp;$A322,$B$4:$B321,$B322)&gt;0,MIN(AU$1,IF($A322=$A321,AU321,1))-Z322&lt;0),-1,MIN(1,IF($A322=$A321,AU321,1)-Z322+$D$3))</f>
        <v>#N/A</v>
      </c>
      <c r="AV322" t="e">
        <f>IF(OR($J322=0,COUNTIFS($A$4:$A321,"&gt;="&amp;$A322-1,$A$4:$A321,"&lt;="&amp;$A322,$B$4:$B321,$B322)&gt;0,MIN(AV$1,IF($A322=$A321,AV321,1))-AA322&lt;0),-1,MIN(1,IF($A322=$A321,AV321,1)-AA322+$D$3))</f>
        <v>#N/A</v>
      </c>
      <c r="AW322" t="e">
        <f>IF(OR($J322=0,COUNTIFS($A$4:$A321,"&gt;="&amp;$A322-1,$A$4:$A321,"&lt;="&amp;$A322,$B$4:$B321,$B322)&gt;0,MIN(AW$1,IF($A322=$A321,AW321,1))-AB322&lt;0),-1,MIN(1,IF($A322=$A321,AW321,1)-AB322+$D$3))</f>
        <v>#N/A</v>
      </c>
      <c r="AX322" t="e">
        <f>IF(OR($J322=0,COUNTIFS($A$4:$A321,"&gt;="&amp;$A322-1,$A$4:$A321,"&lt;="&amp;$A322,$B$4:$B321,$B322)&gt;0,MIN(AX$1,IF($A322=$A321,AX321,1))-AC322&lt;0),-1,MIN(1,IF($A322=$A321,AX321,1)-AC322+$D$3))</f>
        <v>#N/A</v>
      </c>
      <c r="AY322" t="e">
        <f>IF(OR($J322=0,COUNTIFS($A$4:$A321,"&gt;="&amp;$A322-1,$A$4:$A321,"&lt;="&amp;$A322,$B$4:$B321,$B322)&gt;0,MIN(AY$1,IF($A322=$A321,AY321,1))-AD322&lt;0),-1,MIN(1,IF($A322=$A321,AY321,1)-AD322+$D$3))</f>
        <v>#N/A</v>
      </c>
      <c r="AZ322" t="e">
        <f>IF(OR($J322=0,COUNTIFS($A$4:$A321,"&gt;="&amp;$A322-1,$A$4:$A321,"&lt;="&amp;$A322,$B$4:$B321,$B322)&gt;0,MIN(AZ$1,IF($A322=$A321,AZ321,1))-AE322&lt;0),-1,MIN(1,IF($A322=$A321,AZ321,1)-AE322+$D$3))</f>
        <v>#N/A</v>
      </c>
      <c r="BA322" t="e">
        <f>IF(OR($J322=0,COUNTIFS($A$4:$A321,"&gt;="&amp;$A322-1,$A$4:$A321,"&lt;="&amp;$A322,$B$4:$B321,$B322)&gt;0,MIN(BA$1,IF($A322=$A321,BA321,1))-AF322&lt;0),-1,MIN(1,IF($A322=$A321,BA321,1)-AF322+$D$3))</f>
        <v>#N/A</v>
      </c>
      <c r="BB322" t="e">
        <f>IF(OR($J322=0,COUNTIFS($A$4:$A321,"&gt;="&amp;$A322-1,$A$4:$A321,"&lt;="&amp;$A322,$B$4:$B321,$B322)&gt;0,MIN(BB$1,IF($A322=$A321,BB321,1))-AG322&lt;0),-1,MIN(1,IF($A322=$A321,BB321,1)-AG322+$D$3))</f>
        <v>#N/A</v>
      </c>
      <c r="BC322" t="e">
        <f>IF(OR($J322=0,COUNTIFS($A$4:$A321,"&gt;="&amp;$A322-1,$A$4:$A321,"&lt;="&amp;$A322,$B$4:$B321,$B322)&gt;0,MIN(BC$1,IF($A322=$A321,BC321,1))-AH322&lt;0),-1,MIN(1,IF($A322=$A321,BC321,1)-AH322+$D$3))</f>
        <v>#N/A</v>
      </c>
      <c r="BD322" t="e">
        <f>IF(OR($J322=0,COUNTIFS($A$4:$A321,"&gt;="&amp;$A322-1,$A$4:$A321,"&lt;="&amp;$A322,$B$4:$B321,$B322)&gt;0,MIN(BD$1,IF($A322=$A321,BD321,1))-AI322&lt;0),-1,MIN(1,IF($A322=$A321,BD321,1)-AI322+$D$3))</f>
        <v>#N/A</v>
      </c>
      <c r="BF322" s="44">
        <f t="shared" si="355"/>
        <v>1.7474806505939185E-7</v>
      </c>
      <c r="BG322" s="44">
        <f t="shared" si="356"/>
        <v>4.2975480261046993E-7</v>
      </c>
      <c r="BH322" s="44">
        <f t="shared" si="357"/>
        <v>4.4045346689775776E-7</v>
      </c>
      <c r="BI322" s="44">
        <f t="shared" si="358"/>
        <v>4.0685671667055737E-7</v>
      </c>
      <c r="BJ322" s="44">
        <f t="shared" si="359"/>
        <v>4.2052504201191763E-7</v>
      </c>
      <c r="BK322" s="44">
        <f t="shared" si="360"/>
        <v>1.805891322907047E-7</v>
      </c>
      <c r="BL322" s="44">
        <f t="shared" si="361"/>
        <v>9.7557090362872806E-8</v>
      </c>
      <c r="BM322" s="44">
        <f t="shared" si="362"/>
        <v>2.4817384565043321E-7</v>
      </c>
      <c r="BN322" s="44">
        <f t="shared" si="363"/>
        <v>2.5812014099969646E-7</v>
      </c>
      <c r="BO322" s="44">
        <f t="shared" si="364"/>
        <v>1.2096489260762602E-7</v>
      </c>
      <c r="BP322" s="44">
        <f t="shared" si="365"/>
        <v>4.0674175627133299E-7</v>
      </c>
      <c r="BQ322" s="44">
        <f t="shared" si="366"/>
        <v>1.0976276281680525E-7</v>
      </c>
      <c r="BR322" s="44">
        <f t="shared" si="367"/>
        <v>3.2426667785383117E-7</v>
      </c>
      <c r="BS322" s="44">
        <f t="shared" si="368"/>
        <v>1.7488132242230089E-7</v>
      </c>
      <c r="BT322" s="44">
        <f t="shared" si="369"/>
        <v>6.9205900731965273E-7</v>
      </c>
      <c r="BU322" s="44">
        <f t="shared" si="370"/>
        <v>6.6112460050481723E-7</v>
      </c>
      <c r="BV322" s="44">
        <f t="shared" si="371"/>
        <v>6.3492219349739203E-7</v>
      </c>
      <c r="BW322" s="44">
        <f t="shared" si="372"/>
        <v>4.1527405458050548E-7</v>
      </c>
      <c r="BX322" s="44">
        <f t="shared" si="373"/>
        <v>3.0679693045774508E-7</v>
      </c>
      <c r="BY322" s="44">
        <f t="shared" si="374"/>
        <v>2.6342042710118669E-7</v>
      </c>
      <c r="CA322" s="44" t="str">
        <f t="shared" si="375"/>
        <v/>
      </c>
      <c r="CB322" s="44" t="str">
        <f t="shared" si="376"/>
        <v/>
      </c>
      <c r="CC322" s="44" t="str">
        <f t="shared" si="377"/>
        <v/>
      </c>
      <c r="CD322" s="44" t="str">
        <f t="shared" si="378"/>
        <v/>
      </c>
      <c r="CE322" s="44" t="str">
        <f t="shared" si="379"/>
        <v/>
      </c>
      <c r="CF322" s="44" t="str">
        <f t="shared" si="380"/>
        <v/>
      </c>
      <c r="CG322" s="44" t="str">
        <f t="shared" si="381"/>
        <v/>
      </c>
      <c r="CH322" s="44" t="str">
        <f t="shared" si="382"/>
        <v/>
      </c>
      <c r="CI322" s="44" t="str">
        <f t="shared" si="383"/>
        <v/>
      </c>
      <c r="CJ322" s="44" t="str">
        <f t="shared" si="384"/>
        <v/>
      </c>
      <c r="CK322" s="44" t="str">
        <f t="shared" si="385"/>
        <v/>
      </c>
      <c r="CL322" s="44" t="str">
        <f t="shared" si="386"/>
        <v/>
      </c>
      <c r="CM322" s="44" t="str">
        <f t="shared" si="387"/>
        <v/>
      </c>
      <c r="CN322" s="44" t="str">
        <f t="shared" si="388"/>
        <v/>
      </c>
      <c r="CO322" s="44" t="str">
        <f t="shared" si="389"/>
        <v/>
      </c>
      <c r="CP322" s="44" t="str">
        <f t="shared" si="390"/>
        <v/>
      </c>
      <c r="CQ322" s="44" t="str">
        <f t="shared" si="391"/>
        <v/>
      </c>
      <c r="CR322" s="44" t="str">
        <f t="shared" si="392"/>
        <v/>
      </c>
      <c r="CS322" s="44" t="str">
        <f t="shared" si="393"/>
        <v/>
      </c>
      <c r="CT322" s="44" t="str">
        <f t="shared" si="394"/>
        <v/>
      </c>
      <c r="CV322" s="44">
        <f t="shared" si="395"/>
        <v>0</v>
      </c>
    </row>
    <row r="323" spans="1:100" x14ac:dyDescent="0.25">
      <c r="A323" s="41"/>
      <c r="B323" s="42"/>
      <c r="C323" s="43" t="str" cm="1">
        <f t="array" ref="C323">IF(B323="","",INDEX(UWS!$B$10:$B$41,B323))</f>
        <v/>
      </c>
      <c r="D323" s="40" t="str">
        <f t="shared" si="352"/>
        <v/>
      </c>
      <c r="E323" s="69" t="str">
        <f t="shared" si="353"/>
        <v/>
      </c>
      <c r="F323" s="48" cm="1">
        <f t="array" ref="F323">0.1+IFERROR(INDEX($F$5:$F322,SUMPRODUCT(MAX(ROW($C$5:$C322)*($C323=$C$5:$C322))-ROW($A$4)))*0.9^($A323-INDEX($A$5:A322,SUMPRODUCT(MAX(ROW($C$5:$C322)*($C323=$C$5:$C322))-ROW($A$4)))),0)</f>
        <v>25.800000000000097</v>
      </c>
      <c r="G323" s="55" t="e">
        <f>INDEX(UWS!$AB$10:$AB$41,MATCH(C323,UWS!$B$10:$B$41,0))</f>
        <v>#N/A</v>
      </c>
      <c r="H323" s="48" t="e">
        <f>INDEX(UWS!$C$10:$C$41,MATCH(C323,UWS!$B$10:$B$41,0))</f>
        <v>#N/A</v>
      </c>
      <c r="I323" s="27">
        <f t="shared" si="354"/>
        <v>5</v>
      </c>
      <c r="J323" s="27" t="e">
        <f>INDEX(UWS!$E$10:$E$41,MATCH(C323,UWS!$B$10:$B$41,0))</f>
        <v>#N/A</v>
      </c>
      <c r="L323" s="108" t="str" cm="1">
        <f t="array" ref="L323">IF(K323="","",INDEX(UWS!$B$10:$B$41,K323))</f>
        <v/>
      </c>
      <c r="N323" s="108" t="str" cm="1">
        <f t="array" ref="N323">IF(M323="","",INDEX(UWS!$B$10:$B$41,M323))</f>
        <v/>
      </c>
      <c r="P323">
        <f>IFERROR(INDEX(UWS!$G$10:$Z$41,MATCH($C323,UWS!$B$10:$B$41,0),MATCH(P$4,UWS!$G$3:$Z$3,0)),0)</f>
        <v>0</v>
      </c>
      <c r="Q323">
        <f>IFERROR(INDEX(UWS!$G$10:$Z$41,MATCH($C323,UWS!$B$10:$B$41,0),MATCH(Q$4,UWS!$G$3:$Z$3,0)),0)</f>
        <v>0</v>
      </c>
      <c r="R323">
        <f>IFERROR(INDEX(UWS!$G$10:$Z$41,MATCH($C323,UWS!$B$10:$B$41,0),MATCH(R$4,UWS!$G$3:$Z$3,0)),0)</f>
        <v>0</v>
      </c>
      <c r="S323">
        <f>IFERROR(INDEX(UWS!$G$10:$Z$41,MATCH($C323,UWS!$B$10:$B$41,0),MATCH(S$4,UWS!$G$3:$Z$3,0)),0)</f>
        <v>0</v>
      </c>
      <c r="T323">
        <f>IFERROR(INDEX(UWS!$G$10:$Z$41,MATCH($C323,UWS!$B$10:$B$41,0),MATCH(T$4,UWS!$G$3:$Z$3,0)),0)</f>
        <v>0</v>
      </c>
      <c r="U323">
        <f>IFERROR(INDEX(UWS!$G$10:$Z$41,MATCH($C323,UWS!$B$10:$B$41,0),MATCH(U$4,UWS!$G$3:$Z$3,0)),0)</f>
        <v>0</v>
      </c>
      <c r="V323">
        <f>IFERROR(INDEX(UWS!$G$10:$Z$41,MATCH($C323,UWS!$B$10:$B$41,0),MATCH(V$4,UWS!$G$3:$Z$3,0)),0)</f>
        <v>0</v>
      </c>
      <c r="W323">
        <f>IFERROR(INDEX(UWS!$G$10:$Z$41,MATCH($C323,UWS!$B$10:$B$41,0),MATCH(W$4,UWS!$G$3:$Z$3,0)),0)</f>
        <v>0</v>
      </c>
      <c r="X323">
        <f>IFERROR(INDEX(UWS!$G$10:$Z$41,MATCH($C323,UWS!$B$10:$B$41,0),MATCH(X$4,UWS!$G$3:$Z$3,0)),0)</f>
        <v>0</v>
      </c>
      <c r="Y323">
        <f>IFERROR(INDEX(UWS!$G$10:$Z$41,MATCH($C323,UWS!$B$10:$B$41,0),MATCH(Y$4,UWS!$G$3:$Z$3,0)),0)</f>
        <v>0</v>
      </c>
      <c r="Z323">
        <f>IFERROR(INDEX(UWS!$G$10:$Z$41,MATCH($C323,UWS!$B$10:$B$41,0),MATCH(Z$4,UWS!$G$3:$Z$3,0)),0)</f>
        <v>0</v>
      </c>
      <c r="AA323">
        <f>IFERROR(INDEX(UWS!$G$10:$Z$41,MATCH($C323,UWS!$B$10:$B$41,0),MATCH(AA$4,UWS!$G$3:$Z$3,0)),0)</f>
        <v>0</v>
      </c>
      <c r="AB323">
        <f>IFERROR(INDEX(UWS!$G$10:$Z$41,MATCH($C323,UWS!$B$10:$B$41,0),MATCH(AB$4,UWS!$G$3:$Z$3,0)),0)</f>
        <v>0</v>
      </c>
      <c r="AC323">
        <f>IFERROR(INDEX(UWS!$G$10:$Z$41,MATCH($C323,UWS!$B$10:$B$41,0),MATCH(AC$4,UWS!$G$3:$Z$3,0)),0)</f>
        <v>0</v>
      </c>
      <c r="AD323">
        <f>IFERROR(INDEX(UWS!$G$10:$Z$41,MATCH($C323,UWS!$B$10:$B$41,0),MATCH(AD$4,UWS!$G$3:$Z$3,0)),0)</f>
        <v>0</v>
      </c>
      <c r="AE323">
        <f>IFERROR(INDEX(UWS!$G$10:$Z$41,MATCH($C323,UWS!$B$10:$B$41,0),MATCH(AE$4,UWS!$G$3:$Z$3,0)),0)</f>
        <v>0</v>
      </c>
      <c r="AF323">
        <f>IFERROR(INDEX(UWS!$G$10:$Z$41,MATCH($C323,UWS!$B$10:$B$41,0),MATCH(AF$4,UWS!$G$3:$Z$3,0)),0)</f>
        <v>0</v>
      </c>
      <c r="AG323">
        <f>IFERROR(INDEX(UWS!$G$10:$Z$41,MATCH($C323,UWS!$B$10:$B$41,0),MATCH(AG$4,UWS!$G$3:$Z$3,0)),0)</f>
        <v>0</v>
      </c>
      <c r="AH323">
        <f>IFERROR(INDEX(UWS!$G$10:$Z$41,MATCH($C323,UWS!$B$10:$B$41,0),MATCH(AH$4,UWS!$G$3:$Z$3,0)),0)</f>
        <v>0</v>
      </c>
      <c r="AI323">
        <f>IFERROR(INDEX(UWS!$G$10:$Z$41,MATCH($C323,UWS!$B$10:$B$41,0),MATCH(AI$4,UWS!$G$3:$Z$3,0)),0)</f>
        <v>0</v>
      </c>
      <c r="AK323" t="e">
        <f>IF(OR($J323=0,COUNTIFS($A$4:$A322,"&gt;="&amp;$A323-1,$A$4:$A322,"&lt;="&amp;$A323,$B$4:$B322,$B323)&gt;0,MIN(AK$1,IF($A323=$A322,AK322,1))-P323&lt;0),-1,MIN(1,IF($A323=$A322,AK322,1)-P323+$D$3))</f>
        <v>#N/A</v>
      </c>
      <c r="AL323" t="e">
        <f>IF(OR($J323=0,COUNTIFS($A$4:$A322,"&gt;="&amp;$A323-1,$A$4:$A322,"&lt;="&amp;$A323,$B$4:$B322,$B323)&gt;0,MIN(AL$1,IF($A323=$A322,AL322,1))-Q323&lt;0),-1,MIN(1,IF($A323=$A322,AL322,1)-Q323+$D$3))</f>
        <v>#N/A</v>
      </c>
      <c r="AM323" t="e">
        <f>IF(OR($J323=0,COUNTIFS($A$4:$A322,"&gt;="&amp;$A323-1,$A$4:$A322,"&lt;="&amp;$A323,$B$4:$B322,$B323)&gt;0,MIN(AM$1,IF($A323=$A322,AM322,1))-R323&lt;0),-1,MIN(1,IF($A323=$A322,AM322,1)-R323+$D$3))</f>
        <v>#N/A</v>
      </c>
      <c r="AN323" t="e">
        <f>IF(OR($J323=0,COUNTIFS($A$4:$A322,"&gt;="&amp;$A323-1,$A$4:$A322,"&lt;="&amp;$A323,$B$4:$B322,$B323)&gt;0,MIN(AN$1,IF($A323=$A322,AN322,1))-S323&lt;0),-1,MIN(1,IF($A323=$A322,AN322,1)-S323+$D$3))</f>
        <v>#N/A</v>
      </c>
      <c r="AO323" t="e">
        <f>IF(OR($J323=0,COUNTIFS($A$4:$A322,"&gt;="&amp;$A323-1,$A$4:$A322,"&lt;="&amp;$A323,$B$4:$B322,$B323)&gt;0,MIN(AO$1,IF($A323=$A322,AO322,1))-T323&lt;0),-1,MIN(1,IF($A323=$A322,AO322,1)-T323+$D$3))</f>
        <v>#N/A</v>
      </c>
      <c r="AP323" t="e">
        <f>IF(OR($J323=0,COUNTIFS($A$4:$A322,"&gt;="&amp;$A323-1,$A$4:$A322,"&lt;="&amp;$A323,$B$4:$B322,$B323)&gt;0,MIN(AP$1,IF($A323=$A322,AP322,1))-U323&lt;0),-1,MIN(1,IF($A323=$A322,AP322,1)-U323+$D$3))</f>
        <v>#N/A</v>
      </c>
      <c r="AQ323" t="e">
        <f>IF(OR($J323=0,COUNTIFS($A$4:$A322,"&gt;="&amp;$A323-1,$A$4:$A322,"&lt;="&amp;$A323,$B$4:$B322,$B323)&gt;0,MIN(AQ$1,IF($A323=$A322,AQ322,1))-V323&lt;0),-1,MIN(1,IF($A323=$A322,AQ322,1)-V323+$D$3))</f>
        <v>#N/A</v>
      </c>
      <c r="AR323" t="e">
        <f>IF(OR($J323=0,COUNTIFS($A$4:$A322,"&gt;="&amp;$A323-1,$A$4:$A322,"&lt;="&amp;$A323,$B$4:$B322,$B323)&gt;0,MIN(AR$1,IF($A323=$A322,AR322,1))-W323&lt;0),-1,MIN(1,IF($A323=$A322,AR322,1)-W323+$D$3))</f>
        <v>#N/A</v>
      </c>
      <c r="AS323" t="e">
        <f>IF(OR($J323=0,COUNTIFS($A$4:$A322,"&gt;="&amp;$A323-1,$A$4:$A322,"&lt;="&amp;$A323,$B$4:$B322,$B323)&gt;0,MIN(AS$1,IF($A323=$A322,AS322,1))-X323&lt;0),-1,MIN(1,IF($A323=$A322,AS322,1)-X323+$D$3))</f>
        <v>#N/A</v>
      </c>
      <c r="AT323" t="e">
        <f>IF(OR($J323=0,COUNTIFS($A$4:$A322,"&gt;="&amp;$A323-1,$A$4:$A322,"&lt;="&amp;$A323,$B$4:$B322,$B323)&gt;0,MIN(AT$1,IF($A323=$A322,AT322,1))-Y323&lt;0),-1,MIN(1,IF($A323=$A322,AT322,1)-Y323+$D$3))</f>
        <v>#N/A</v>
      </c>
      <c r="AU323" t="e">
        <f>IF(OR($J323=0,COUNTIFS($A$4:$A322,"&gt;="&amp;$A323-1,$A$4:$A322,"&lt;="&amp;$A323,$B$4:$B322,$B323)&gt;0,MIN(AU$1,IF($A323=$A322,AU322,1))-Z323&lt;0),-1,MIN(1,IF($A323=$A322,AU322,1)-Z323+$D$3))</f>
        <v>#N/A</v>
      </c>
      <c r="AV323" t="e">
        <f>IF(OR($J323=0,COUNTIFS($A$4:$A322,"&gt;="&amp;$A323-1,$A$4:$A322,"&lt;="&amp;$A323,$B$4:$B322,$B323)&gt;0,MIN(AV$1,IF($A323=$A322,AV322,1))-AA323&lt;0),-1,MIN(1,IF($A323=$A322,AV322,1)-AA323+$D$3))</f>
        <v>#N/A</v>
      </c>
      <c r="AW323" t="e">
        <f>IF(OR($J323=0,COUNTIFS($A$4:$A322,"&gt;="&amp;$A323-1,$A$4:$A322,"&lt;="&amp;$A323,$B$4:$B322,$B323)&gt;0,MIN(AW$1,IF($A323=$A322,AW322,1))-AB323&lt;0),-1,MIN(1,IF($A323=$A322,AW322,1)-AB323+$D$3))</f>
        <v>#N/A</v>
      </c>
      <c r="AX323" t="e">
        <f>IF(OR($J323=0,COUNTIFS($A$4:$A322,"&gt;="&amp;$A323-1,$A$4:$A322,"&lt;="&amp;$A323,$B$4:$B322,$B323)&gt;0,MIN(AX$1,IF($A323=$A322,AX322,1))-AC323&lt;0),-1,MIN(1,IF($A323=$A322,AX322,1)-AC323+$D$3))</f>
        <v>#N/A</v>
      </c>
      <c r="AY323" t="e">
        <f>IF(OR($J323=0,COUNTIFS($A$4:$A322,"&gt;="&amp;$A323-1,$A$4:$A322,"&lt;="&amp;$A323,$B$4:$B322,$B323)&gt;0,MIN(AY$1,IF($A323=$A322,AY322,1))-AD323&lt;0),-1,MIN(1,IF($A323=$A322,AY322,1)-AD323+$D$3))</f>
        <v>#N/A</v>
      </c>
      <c r="AZ323" t="e">
        <f>IF(OR($J323=0,COUNTIFS($A$4:$A322,"&gt;="&amp;$A323-1,$A$4:$A322,"&lt;="&amp;$A323,$B$4:$B322,$B323)&gt;0,MIN(AZ$1,IF($A323=$A322,AZ322,1))-AE323&lt;0),-1,MIN(1,IF($A323=$A322,AZ322,1)-AE323+$D$3))</f>
        <v>#N/A</v>
      </c>
      <c r="BA323" t="e">
        <f>IF(OR($J323=0,COUNTIFS($A$4:$A322,"&gt;="&amp;$A323-1,$A$4:$A322,"&lt;="&amp;$A323,$B$4:$B322,$B323)&gt;0,MIN(BA$1,IF($A323=$A322,BA322,1))-AF323&lt;0),-1,MIN(1,IF($A323=$A322,BA322,1)-AF323+$D$3))</f>
        <v>#N/A</v>
      </c>
      <c r="BB323" t="e">
        <f>IF(OR($J323=0,COUNTIFS($A$4:$A322,"&gt;="&amp;$A323-1,$A$4:$A322,"&lt;="&amp;$A323,$B$4:$B322,$B323)&gt;0,MIN(BB$1,IF($A323=$A322,BB322,1))-AG323&lt;0),-1,MIN(1,IF($A323=$A322,BB322,1)-AG323+$D$3))</f>
        <v>#N/A</v>
      </c>
      <c r="BC323" t="e">
        <f>IF(OR($J323=0,COUNTIFS($A$4:$A322,"&gt;="&amp;$A323-1,$A$4:$A322,"&lt;="&amp;$A323,$B$4:$B322,$B323)&gt;0,MIN(BC$1,IF($A323=$A322,BC322,1))-AH323&lt;0),-1,MIN(1,IF($A323=$A322,BC322,1)-AH323+$D$3))</f>
        <v>#N/A</v>
      </c>
      <c r="BD323" t="e">
        <f>IF(OR($J323=0,COUNTIFS($A$4:$A322,"&gt;="&amp;$A323-1,$A$4:$A322,"&lt;="&amp;$A323,$B$4:$B322,$B323)&gt;0,MIN(BD$1,IF($A323=$A322,BD322,1))-AI323&lt;0),-1,MIN(1,IF($A323=$A322,BD322,1)-AI323+$D$3))</f>
        <v>#N/A</v>
      </c>
      <c r="BF323" s="44">
        <f t="shared" si="355"/>
        <v>1.6601066180642225E-7</v>
      </c>
      <c r="BG323" s="44">
        <f t="shared" si="356"/>
        <v>4.0826706247994642E-7</v>
      </c>
      <c r="BH323" s="44">
        <f t="shared" si="357"/>
        <v>4.1843079355286983E-7</v>
      </c>
      <c r="BI323" s="44">
        <f t="shared" si="358"/>
        <v>3.8651388083702947E-7</v>
      </c>
      <c r="BJ323" s="44">
        <f t="shared" si="359"/>
        <v>3.9949878991132174E-7</v>
      </c>
      <c r="BK323" s="44">
        <f t="shared" si="360"/>
        <v>1.7155967567616946E-7</v>
      </c>
      <c r="BL323" s="44">
        <f t="shared" si="361"/>
        <v>9.2679235844729161E-8</v>
      </c>
      <c r="BM323" s="44">
        <f t="shared" si="362"/>
        <v>2.3576515336791153E-7</v>
      </c>
      <c r="BN323" s="44">
        <f t="shared" si="363"/>
        <v>2.4521413394971163E-7</v>
      </c>
      <c r="BO323" s="44">
        <f t="shared" si="364"/>
        <v>1.1491664797724471E-7</v>
      </c>
      <c r="BP323" s="44">
        <f t="shared" si="365"/>
        <v>3.8640466845776632E-7</v>
      </c>
      <c r="BQ323" s="44">
        <f t="shared" si="366"/>
        <v>1.0427462467596498E-7</v>
      </c>
      <c r="BR323" s="44">
        <f t="shared" si="367"/>
        <v>3.0805334396113963E-7</v>
      </c>
      <c r="BS323" s="44">
        <f t="shared" si="368"/>
        <v>1.6613725630118583E-7</v>
      </c>
      <c r="BT323" s="44">
        <f t="shared" si="369"/>
        <v>6.5745605695367005E-7</v>
      </c>
      <c r="BU323" s="44">
        <f t="shared" si="370"/>
        <v>6.2806837047957629E-7</v>
      </c>
      <c r="BV323" s="44">
        <f t="shared" si="371"/>
        <v>6.0317608382252242E-7</v>
      </c>
      <c r="BW323" s="44">
        <f t="shared" si="372"/>
        <v>3.9451035185148019E-7</v>
      </c>
      <c r="BX323" s="44">
        <f t="shared" si="373"/>
        <v>2.9145708393485782E-7</v>
      </c>
      <c r="BY323" s="44">
        <f t="shared" si="374"/>
        <v>2.5024940574612736E-7</v>
      </c>
      <c r="CA323" s="44" t="str">
        <f t="shared" si="375"/>
        <v/>
      </c>
      <c r="CB323" s="44" t="str">
        <f t="shared" si="376"/>
        <v/>
      </c>
      <c r="CC323" s="44" t="str">
        <f t="shared" si="377"/>
        <v/>
      </c>
      <c r="CD323" s="44" t="str">
        <f t="shared" si="378"/>
        <v/>
      </c>
      <c r="CE323" s="44" t="str">
        <f t="shared" si="379"/>
        <v/>
      </c>
      <c r="CF323" s="44" t="str">
        <f t="shared" si="380"/>
        <v/>
      </c>
      <c r="CG323" s="44" t="str">
        <f t="shared" si="381"/>
        <v/>
      </c>
      <c r="CH323" s="44" t="str">
        <f t="shared" si="382"/>
        <v/>
      </c>
      <c r="CI323" s="44" t="str">
        <f t="shared" si="383"/>
        <v/>
      </c>
      <c r="CJ323" s="44" t="str">
        <f t="shared" si="384"/>
        <v/>
      </c>
      <c r="CK323" s="44" t="str">
        <f t="shared" si="385"/>
        <v/>
      </c>
      <c r="CL323" s="44" t="str">
        <f t="shared" si="386"/>
        <v/>
      </c>
      <c r="CM323" s="44" t="str">
        <f t="shared" si="387"/>
        <v/>
      </c>
      <c r="CN323" s="44" t="str">
        <f t="shared" si="388"/>
        <v/>
      </c>
      <c r="CO323" s="44" t="str">
        <f t="shared" si="389"/>
        <v/>
      </c>
      <c r="CP323" s="44" t="str">
        <f t="shared" si="390"/>
        <v/>
      </c>
      <c r="CQ323" s="44" t="str">
        <f t="shared" si="391"/>
        <v/>
      </c>
      <c r="CR323" s="44" t="str">
        <f t="shared" si="392"/>
        <v/>
      </c>
      <c r="CS323" s="44" t="str">
        <f t="shared" si="393"/>
        <v/>
      </c>
      <c r="CT323" s="44" t="str">
        <f t="shared" si="394"/>
        <v/>
      </c>
      <c r="CV323" s="44">
        <f t="shared" si="395"/>
        <v>0</v>
      </c>
    </row>
    <row r="324" spans="1:100" x14ac:dyDescent="0.25">
      <c r="A324" s="41"/>
      <c r="B324" s="42"/>
      <c r="C324" s="43" t="str" cm="1">
        <f t="array" ref="C324">IF(B324="","",INDEX(UWS!$B$10:$B$41,B324))</f>
        <v/>
      </c>
      <c r="D324" s="40" t="str">
        <f t="shared" si="352"/>
        <v/>
      </c>
      <c r="E324" s="69" t="str">
        <f t="shared" si="353"/>
        <v/>
      </c>
      <c r="F324" s="48" cm="1">
        <f t="array" ref="F324">0.1+IFERROR(INDEX($F$5:$F323,SUMPRODUCT(MAX(ROW($C$5:$C323)*($C324=$C$5:$C323))-ROW($A$4)))*0.9^($A324-INDEX($A$5:A323,SUMPRODUCT(MAX(ROW($C$5:$C323)*($C324=$C$5:$C323))-ROW($A$4)))),0)</f>
        <v>25.900000000000098</v>
      </c>
      <c r="G324" s="55" t="e">
        <f>INDEX(UWS!$AB$10:$AB$41,MATCH(C324,UWS!$B$10:$B$41,0))</f>
        <v>#N/A</v>
      </c>
      <c r="H324" s="48" t="e">
        <f>INDEX(UWS!$C$10:$C$41,MATCH(C324,UWS!$B$10:$B$41,0))</f>
        <v>#N/A</v>
      </c>
      <c r="I324" s="27">
        <f t="shared" si="354"/>
        <v>5</v>
      </c>
      <c r="J324" s="27" t="e">
        <f>INDEX(UWS!$E$10:$E$41,MATCH(C324,UWS!$B$10:$B$41,0))</f>
        <v>#N/A</v>
      </c>
      <c r="L324" s="108" t="str" cm="1">
        <f t="array" ref="L324">IF(K324="","",INDEX(UWS!$B$10:$B$41,K324))</f>
        <v/>
      </c>
      <c r="N324" s="108" t="str" cm="1">
        <f t="array" ref="N324">IF(M324="","",INDEX(UWS!$B$10:$B$41,M324))</f>
        <v/>
      </c>
      <c r="P324">
        <f>IFERROR(INDEX(UWS!$G$10:$Z$41,MATCH($C324,UWS!$B$10:$B$41,0),MATCH(P$4,UWS!$G$3:$Z$3,0)),0)</f>
        <v>0</v>
      </c>
      <c r="Q324">
        <f>IFERROR(INDEX(UWS!$G$10:$Z$41,MATCH($C324,UWS!$B$10:$B$41,0),MATCH(Q$4,UWS!$G$3:$Z$3,0)),0)</f>
        <v>0</v>
      </c>
      <c r="R324">
        <f>IFERROR(INDEX(UWS!$G$10:$Z$41,MATCH($C324,UWS!$B$10:$B$41,0),MATCH(R$4,UWS!$G$3:$Z$3,0)),0)</f>
        <v>0</v>
      </c>
      <c r="S324">
        <f>IFERROR(INDEX(UWS!$G$10:$Z$41,MATCH($C324,UWS!$B$10:$B$41,0),MATCH(S$4,UWS!$G$3:$Z$3,0)),0)</f>
        <v>0</v>
      </c>
      <c r="T324">
        <f>IFERROR(INDEX(UWS!$G$10:$Z$41,MATCH($C324,UWS!$B$10:$B$41,0),MATCH(T$4,UWS!$G$3:$Z$3,0)),0)</f>
        <v>0</v>
      </c>
      <c r="U324">
        <f>IFERROR(INDEX(UWS!$G$10:$Z$41,MATCH($C324,UWS!$B$10:$B$41,0),MATCH(U$4,UWS!$G$3:$Z$3,0)),0)</f>
        <v>0</v>
      </c>
      <c r="V324">
        <f>IFERROR(INDEX(UWS!$G$10:$Z$41,MATCH($C324,UWS!$B$10:$B$41,0),MATCH(V$4,UWS!$G$3:$Z$3,0)),0)</f>
        <v>0</v>
      </c>
      <c r="W324">
        <f>IFERROR(INDEX(UWS!$G$10:$Z$41,MATCH($C324,UWS!$B$10:$B$41,0),MATCH(W$4,UWS!$G$3:$Z$3,0)),0)</f>
        <v>0</v>
      </c>
      <c r="X324">
        <f>IFERROR(INDEX(UWS!$G$10:$Z$41,MATCH($C324,UWS!$B$10:$B$41,0),MATCH(X$4,UWS!$G$3:$Z$3,0)),0)</f>
        <v>0</v>
      </c>
      <c r="Y324">
        <f>IFERROR(INDEX(UWS!$G$10:$Z$41,MATCH($C324,UWS!$B$10:$B$41,0),MATCH(Y$4,UWS!$G$3:$Z$3,0)),0)</f>
        <v>0</v>
      </c>
      <c r="Z324">
        <f>IFERROR(INDEX(UWS!$G$10:$Z$41,MATCH($C324,UWS!$B$10:$B$41,0),MATCH(Z$4,UWS!$G$3:$Z$3,0)),0)</f>
        <v>0</v>
      </c>
      <c r="AA324">
        <f>IFERROR(INDEX(UWS!$G$10:$Z$41,MATCH($C324,UWS!$B$10:$B$41,0),MATCH(AA$4,UWS!$G$3:$Z$3,0)),0)</f>
        <v>0</v>
      </c>
      <c r="AB324">
        <f>IFERROR(INDEX(UWS!$G$10:$Z$41,MATCH($C324,UWS!$B$10:$B$41,0),MATCH(AB$4,UWS!$G$3:$Z$3,0)),0)</f>
        <v>0</v>
      </c>
      <c r="AC324">
        <f>IFERROR(INDEX(UWS!$G$10:$Z$41,MATCH($C324,UWS!$B$10:$B$41,0),MATCH(AC$4,UWS!$G$3:$Z$3,0)),0)</f>
        <v>0</v>
      </c>
      <c r="AD324">
        <f>IFERROR(INDEX(UWS!$G$10:$Z$41,MATCH($C324,UWS!$B$10:$B$41,0),MATCH(AD$4,UWS!$G$3:$Z$3,0)),0)</f>
        <v>0</v>
      </c>
      <c r="AE324">
        <f>IFERROR(INDEX(UWS!$G$10:$Z$41,MATCH($C324,UWS!$B$10:$B$41,0),MATCH(AE$4,UWS!$G$3:$Z$3,0)),0)</f>
        <v>0</v>
      </c>
      <c r="AF324">
        <f>IFERROR(INDEX(UWS!$G$10:$Z$41,MATCH($C324,UWS!$B$10:$B$41,0),MATCH(AF$4,UWS!$G$3:$Z$3,0)),0)</f>
        <v>0</v>
      </c>
      <c r="AG324">
        <f>IFERROR(INDEX(UWS!$G$10:$Z$41,MATCH($C324,UWS!$B$10:$B$41,0),MATCH(AG$4,UWS!$G$3:$Z$3,0)),0)</f>
        <v>0</v>
      </c>
      <c r="AH324">
        <f>IFERROR(INDEX(UWS!$G$10:$Z$41,MATCH($C324,UWS!$B$10:$B$41,0),MATCH(AH$4,UWS!$G$3:$Z$3,0)),0)</f>
        <v>0</v>
      </c>
      <c r="AI324">
        <f>IFERROR(INDEX(UWS!$G$10:$Z$41,MATCH($C324,UWS!$B$10:$B$41,0),MATCH(AI$4,UWS!$G$3:$Z$3,0)),0)</f>
        <v>0</v>
      </c>
      <c r="AK324" t="e">
        <f>IF(OR($J324=0,COUNTIFS($A$4:$A323,"&gt;="&amp;$A324-1,$A$4:$A323,"&lt;="&amp;$A324,$B$4:$B323,$B324)&gt;0,MIN(AK$1,IF($A324=$A323,AK323,1))-P324&lt;0),-1,MIN(1,IF($A324=$A323,AK323,1)-P324+$D$3))</f>
        <v>#N/A</v>
      </c>
      <c r="AL324" t="e">
        <f>IF(OR($J324=0,COUNTIFS($A$4:$A323,"&gt;="&amp;$A324-1,$A$4:$A323,"&lt;="&amp;$A324,$B$4:$B323,$B324)&gt;0,MIN(AL$1,IF($A324=$A323,AL323,1))-Q324&lt;0),-1,MIN(1,IF($A324=$A323,AL323,1)-Q324+$D$3))</f>
        <v>#N/A</v>
      </c>
      <c r="AM324" t="e">
        <f>IF(OR($J324=0,COUNTIFS($A$4:$A323,"&gt;="&amp;$A324-1,$A$4:$A323,"&lt;="&amp;$A324,$B$4:$B323,$B324)&gt;0,MIN(AM$1,IF($A324=$A323,AM323,1))-R324&lt;0),-1,MIN(1,IF($A324=$A323,AM323,1)-R324+$D$3))</f>
        <v>#N/A</v>
      </c>
      <c r="AN324" t="e">
        <f>IF(OR($J324=0,COUNTIFS($A$4:$A323,"&gt;="&amp;$A324-1,$A$4:$A323,"&lt;="&amp;$A324,$B$4:$B323,$B324)&gt;0,MIN(AN$1,IF($A324=$A323,AN323,1))-S324&lt;0),-1,MIN(1,IF($A324=$A323,AN323,1)-S324+$D$3))</f>
        <v>#N/A</v>
      </c>
      <c r="AO324" t="e">
        <f>IF(OR($J324=0,COUNTIFS($A$4:$A323,"&gt;="&amp;$A324-1,$A$4:$A323,"&lt;="&amp;$A324,$B$4:$B323,$B324)&gt;0,MIN(AO$1,IF($A324=$A323,AO323,1))-T324&lt;0),-1,MIN(1,IF($A324=$A323,AO323,1)-T324+$D$3))</f>
        <v>#N/A</v>
      </c>
      <c r="AP324" t="e">
        <f>IF(OR($J324=0,COUNTIFS($A$4:$A323,"&gt;="&amp;$A324-1,$A$4:$A323,"&lt;="&amp;$A324,$B$4:$B323,$B324)&gt;0,MIN(AP$1,IF($A324=$A323,AP323,1))-U324&lt;0),-1,MIN(1,IF($A324=$A323,AP323,1)-U324+$D$3))</f>
        <v>#N/A</v>
      </c>
      <c r="AQ324" t="e">
        <f>IF(OR($J324=0,COUNTIFS($A$4:$A323,"&gt;="&amp;$A324-1,$A$4:$A323,"&lt;="&amp;$A324,$B$4:$B323,$B324)&gt;0,MIN(AQ$1,IF($A324=$A323,AQ323,1))-V324&lt;0),-1,MIN(1,IF($A324=$A323,AQ323,1)-V324+$D$3))</f>
        <v>#N/A</v>
      </c>
      <c r="AR324" t="e">
        <f>IF(OR($J324=0,COUNTIFS($A$4:$A323,"&gt;="&amp;$A324-1,$A$4:$A323,"&lt;="&amp;$A324,$B$4:$B323,$B324)&gt;0,MIN(AR$1,IF($A324=$A323,AR323,1))-W324&lt;0),-1,MIN(1,IF($A324=$A323,AR323,1)-W324+$D$3))</f>
        <v>#N/A</v>
      </c>
      <c r="AS324" t="e">
        <f>IF(OR($J324=0,COUNTIFS($A$4:$A323,"&gt;="&amp;$A324-1,$A$4:$A323,"&lt;="&amp;$A324,$B$4:$B323,$B324)&gt;0,MIN(AS$1,IF($A324=$A323,AS323,1))-X324&lt;0),-1,MIN(1,IF($A324=$A323,AS323,1)-X324+$D$3))</f>
        <v>#N/A</v>
      </c>
      <c r="AT324" t="e">
        <f>IF(OR($J324=0,COUNTIFS($A$4:$A323,"&gt;="&amp;$A324-1,$A$4:$A323,"&lt;="&amp;$A324,$B$4:$B323,$B324)&gt;0,MIN(AT$1,IF($A324=$A323,AT323,1))-Y324&lt;0),-1,MIN(1,IF($A324=$A323,AT323,1)-Y324+$D$3))</f>
        <v>#N/A</v>
      </c>
      <c r="AU324" t="e">
        <f>IF(OR($J324=0,COUNTIFS($A$4:$A323,"&gt;="&amp;$A324-1,$A$4:$A323,"&lt;="&amp;$A324,$B$4:$B323,$B324)&gt;0,MIN(AU$1,IF($A324=$A323,AU323,1))-Z324&lt;0),-1,MIN(1,IF($A324=$A323,AU323,1)-Z324+$D$3))</f>
        <v>#N/A</v>
      </c>
      <c r="AV324" t="e">
        <f>IF(OR($J324=0,COUNTIFS($A$4:$A323,"&gt;="&amp;$A324-1,$A$4:$A323,"&lt;="&amp;$A324,$B$4:$B323,$B324)&gt;0,MIN(AV$1,IF($A324=$A323,AV323,1))-AA324&lt;0),-1,MIN(1,IF($A324=$A323,AV323,1)-AA324+$D$3))</f>
        <v>#N/A</v>
      </c>
      <c r="AW324" t="e">
        <f>IF(OR($J324=0,COUNTIFS($A$4:$A323,"&gt;="&amp;$A324-1,$A$4:$A323,"&lt;="&amp;$A324,$B$4:$B323,$B324)&gt;0,MIN(AW$1,IF($A324=$A323,AW323,1))-AB324&lt;0),-1,MIN(1,IF($A324=$A323,AW323,1)-AB324+$D$3))</f>
        <v>#N/A</v>
      </c>
      <c r="AX324" t="e">
        <f>IF(OR($J324=0,COUNTIFS($A$4:$A323,"&gt;="&amp;$A324-1,$A$4:$A323,"&lt;="&amp;$A324,$B$4:$B323,$B324)&gt;0,MIN(AX$1,IF($A324=$A323,AX323,1))-AC324&lt;0),-1,MIN(1,IF($A324=$A323,AX323,1)-AC324+$D$3))</f>
        <v>#N/A</v>
      </c>
      <c r="AY324" t="e">
        <f>IF(OR($J324=0,COUNTIFS($A$4:$A323,"&gt;="&amp;$A324-1,$A$4:$A323,"&lt;="&amp;$A324,$B$4:$B323,$B324)&gt;0,MIN(AY$1,IF($A324=$A323,AY323,1))-AD324&lt;0),-1,MIN(1,IF($A324=$A323,AY323,1)-AD324+$D$3))</f>
        <v>#N/A</v>
      </c>
      <c r="AZ324" t="e">
        <f>IF(OR($J324=0,COUNTIFS($A$4:$A323,"&gt;="&amp;$A324-1,$A$4:$A323,"&lt;="&amp;$A324,$B$4:$B323,$B324)&gt;0,MIN(AZ$1,IF($A324=$A323,AZ323,1))-AE324&lt;0),-1,MIN(1,IF($A324=$A323,AZ323,1)-AE324+$D$3))</f>
        <v>#N/A</v>
      </c>
      <c r="BA324" t="e">
        <f>IF(OR($J324=0,COUNTIFS($A$4:$A323,"&gt;="&amp;$A324-1,$A$4:$A323,"&lt;="&amp;$A324,$B$4:$B323,$B324)&gt;0,MIN(BA$1,IF($A324=$A323,BA323,1))-AF324&lt;0),-1,MIN(1,IF($A324=$A323,BA323,1)-AF324+$D$3))</f>
        <v>#N/A</v>
      </c>
      <c r="BB324" t="e">
        <f>IF(OR($J324=0,COUNTIFS($A$4:$A323,"&gt;="&amp;$A324-1,$A$4:$A323,"&lt;="&amp;$A324,$B$4:$B323,$B324)&gt;0,MIN(BB$1,IF($A324=$A323,BB323,1))-AG324&lt;0),-1,MIN(1,IF($A324=$A323,BB323,1)-AG324+$D$3))</f>
        <v>#N/A</v>
      </c>
      <c r="BC324" t="e">
        <f>IF(OR($J324=0,COUNTIFS($A$4:$A323,"&gt;="&amp;$A324-1,$A$4:$A323,"&lt;="&amp;$A324,$B$4:$B323,$B324)&gt;0,MIN(BC$1,IF($A324=$A323,BC323,1))-AH324&lt;0),-1,MIN(1,IF($A324=$A323,BC323,1)-AH324+$D$3))</f>
        <v>#N/A</v>
      </c>
      <c r="BD324" t="e">
        <f>IF(OR($J324=0,COUNTIFS($A$4:$A323,"&gt;="&amp;$A324-1,$A$4:$A323,"&lt;="&amp;$A324,$B$4:$B323,$B324)&gt;0,MIN(BD$1,IF($A324=$A323,BD323,1))-AI324&lt;0),-1,MIN(1,IF($A324=$A323,BD323,1)-AI324+$D$3))</f>
        <v>#N/A</v>
      </c>
      <c r="BF324" s="44">
        <f t="shared" si="355"/>
        <v>1.5771012871610112E-7</v>
      </c>
      <c r="BG324" s="44">
        <f t="shared" si="356"/>
        <v>3.8785370935594906E-7</v>
      </c>
      <c r="BH324" s="44">
        <f t="shared" si="357"/>
        <v>3.9750925387522634E-7</v>
      </c>
      <c r="BI324" s="44">
        <f t="shared" si="358"/>
        <v>3.6718818679517799E-7</v>
      </c>
      <c r="BJ324" s="44">
        <f t="shared" si="359"/>
        <v>3.7952385041575563E-7</v>
      </c>
      <c r="BK324" s="44">
        <f t="shared" si="360"/>
        <v>1.6298169189236098E-7</v>
      </c>
      <c r="BL324" s="44">
        <f t="shared" si="361"/>
        <v>8.8045274052492703E-8</v>
      </c>
      <c r="BM324" s="44">
        <f t="shared" si="362"/>
        <v>2.2397689569951595E-7</v>
      </c>
      <c r="BN324" s="44">
        <f t="shared" si="363"/>
        <v>2.3295342725222603E-7</v>
      </c>
      <c r="BO324" s="44">
        <f t="shared" si="364"/>
        <v>1.0917081557838247E-7</v>
      </c>
      <c r="BP324" s="44">
        <f t="shared" si="365"/>
        <v>3.6708443503487798E-7</v>
      </c>
      <c r="BQ324" s="44">
        <f t="shared" si="366"/>
        <v>9.9060893442166721E-8</v>
      </c>
      <c r="BR324" s="44">
        <f t="shared" si="367"/>
        <v>2.9265067676308265E-7</v>
      </c>
      <c r="BS324" s="44">
        <f t="shared" si="368"/>
        <v>1.5783039348612653E-7</v>
      </c>
      <c r="BT324" s="44">
        <f t="shared" si="369"/>
        <v>6.2458325410598653E-7</v>
      </c>
      <c r="BU324" s="44">
        <f t="shared" si="370"/>
        <v>5.9666495195559744E-7</v>
      </c>
      <c r="BV324" s="44">
        <f t="shared" si="371"/>
        <v>5.7301727963139631E-7</v>
      </c>
      <c r="BW324" s="44">
        <f t="shared" si="372"/>
        <v>3.7478483425890619E-7</v>
      </c>
      <c r="BX324" s="44">
        <f t="shared" si="373"/>
        <v>2.768842297381149E-7</v>
      </c>
      <c r="BY324" s="44">
        <f t="shared" si="374"/>
        <v>2.3773693545882097E-7</v>
      </c>
      <c r="CA324" s="44" t="str">
        <f t="shared" si="375"/>
        <v/>
      </c>
      <c r="CB324" s="44" t="str">
        <f t="shared" si="376"/>
        <v/>
      </c>
      <c r="CC324" s="44" t="str">
        <f t="shared" si="377"/>
        <v/>
      </c>
      <c r="CD324" s="44" t="str">
        <f t="shared" si="378"/>
        <v/>
      </c>
      <c r="CE324" s="44" t="str">
        <f t="shared" si="379"/>
        <v/>
      </c>
      <c r="CF324" s="44" t="str">
        <f t="shared" si="380"/>
        <v/>
      </c>
      <c r="CG324" s="44" t="str">
        <f t="shared" si="381"/>
        <v/>
      </c>
      <c r="CH324" s="44" t="str">
        <f t="shared" si="382"/>
        <v/>
      </c>
      <c r="CI324" s="44" t="str">
        <f t="shared" si="383"/>
        <v/>
      </c>
      <c r="CJ324" s="44" t="str">
        <f t="shared" si="384"/>
        <v/>
      </c>
      <c r="CK324" s="44" t="str">
        <f t="shared" si="385"/>
        <v/>
      </c>
      <c r="CL324" s="44" t="str">
        <f t="shared" si="386"/>
        <v/>
      </c>
      <c r="CM324" s="44" t="str">
        <f t="shared" si="387"/>
        <v/>
      </c>
      <c r="CN324" s="44" t="str">
        <f t="shared" si="388"/>
        <v/>
      </c>
      <c r="CO324" s="44" t="str">
        <f t="shared" si="389"/>
        <v/>
      </c>
      <c r="CP324" s="44" t="str">
        <f t="shared" si="390"/>
        <v/>
      </c>
      <c r="CQ324" s="44" t="str">
        <f t="shared" si="391"/>
        <v/>
      </c>
      <c r="CR324" s="44" t="str">
        <f t="shared" si="392"/>
        <v/>
      </c>
      <c r="CS324" s="44" t="str">
        <f t="shared" si="393"/>
        <v/>
      </c>
      <c r="CT324" s="44" t="str">
        <f t="shared" si="394"/>
        <v/>
      </c>
      <c r="CV324" s="44">
        <f t="shared" si="395"/>
        <v>0</v>
      </c>
    </row>
    <row r="325" spans="1:100" x14ac:dyDescent="0.25">
      <c r="A325" s="49"/>
      <c r="B325" s="50"/>
      <c r="C325" s="51" t="str" cm="1">
        <f t="array" ref="C325">IF(B325="","",INDEX(UWS!$B$10:$B$41,B325))</f>
        <v/>
      </c>
      <c r="D325" s="45" t="str">
        <f t="shared" si="352"/>
        <v/>
      </c>
      <c r="E325" s="70" t="str">
        <f t="shared" si="353"/>
        <v/>
      </c>
      <c r="F325" s="52" cm="1">
        <f t="array" ref="F325">0.1+IFERROR(INDEX($F$5:$F324,SUMPRODUCT(MAX(ROW($C$5:$C324)*($C325=$C$5:$C324))-ROW($A$4)))*0.9^($A325-INDEX($A$5:A324,SUMPRODUCT(MAX(ROW($C$5:$C324)*($C325=$C$5:$C324))-ROW($A$4)))),0)</f>
        <v>26.000000000000099</v>
      </c>
      <c r="G325" s="56" t="e">
        <f>INDEX(UWS!$AB$10:$AB$41,MATCH(C325,UWS!$B$10:$B$41,0))</f>
        <v>#N/A</v>
      </c>
      <c r="H325" s="52" t="e">
        <f>INDEX(UWS!$C$10:$C$41,MATCH(C325,UWS!$B$10:$B$41,0))</f>
        <v>#N/A</v>
      </c>
      <c r="I325" s="46">
        <f t="shared" si="354"/>
        <v>5</v>
      </c>
      <c r="J325" s="46" t="e">
        <f>INDEX(UWS!$E$10:$E$41,MATCH(C325,UWS!$B$10:$B$41,0))</f>
        <v>#N/A</v>
      </c>
      <c r="K325" s="46"/>
      <c r="L325" s="109" t="str" cm="1">
        <f t="array" ref="L325">IF(K325="","",INDEX(UWS!$B$10:$B$41,K325))</f>
        <v/>
      </c>
      <c r="M325" s="46"/>
      <c r="N325" s="109" t="str" cm="1">
        <f t="array" ref="N325">IF(M325="","",INDEX(UWS!$B$10:$B$41,M325))</f>
        <v/>
      </c>
      <c r="O325" s="47"/>
      <c r="P325" s="47">
        <f>IFERROR(INDEX(UWS!$G$10:$Z$41,MATCH($C325,UWS!$B$10:$B$41,0),MATCH(P$4,UWS!$G$3:$Z$3,0)),0)</f>
        <v>0</v>
      </c>
      <c r="Q325" s="47">
        <f>IFERROR(INDEX(UWS!$G$10:$Z$41,MATCH($C325,UWS!$B$10:$B$41,0),MATCH(Q$4,UWS!$G$3:$Z$3,0)),0)</f>
        <v>0</v>
      </c>
      <c r="R325" s="47">
        <f>IFERROR(INDEX(UWS!$G$10:$Z$41,MATCH($C325,UWS!$B$10:$B$41,0),MATCH(R$4,UWS!$G$3:$Z$3,0)),0)</f>
        <v>0</v>
      </c>
      <c r="S325" s="47">
        <f>IFERROR(INDEX(UWS!$G$10:$Z$41,MATCH($C325,UWS!$B$10:$B$41,0),MATCH(S$4,UWS!$G$3:$Z$3,0)),0)</f>
        <v>0</v>
      </c>
      <c r="T325" s="47">
        <f>IFERROR(INDEX(UWS!$G$10:$Z$41,MATCH($C325,UWS!$B$10:$B$41,0),MATCH(T$4,UWS!$G$3:$Z$3,0)),0)</f>
        <v>0</v>
      </c>
      <c r="U325" s="47">
        <f>IFERROR(INDEX(UWS!$G$10:$Z$41,MATCH($C325,UWS!$B$10:$B$41,0),MATCH(U$4,UWS!$G$3:$Z$3,0)),0)</f>
        <v>0</v>
      </c>
      <c r="V325" s="47">
        <f>IFERROR(INDEX(UWS!$G$10:$Z$41,MATCH($C325,UWS!$B$10:$B$41,0),MATCH(V$4,UWS!$G$3:$Z$3,0)),0)</f>
        <v>0</v>
      </c>
      <c r="W325" s="47">
        <f>IFERROR(INDEX(UWS!$G$10:$Z$41,MATCH($C325,UWS!$B$10:$B$41,0),MATCH(W$4,UWS!$G$3:$Z$3,0)),0)</f>
        <v>0</v>
      </c>
      <c r="X325" s="47">
        <f>IFERROR(INDEX(UWS!$G$10:$Z$41,MATCH($C325,UWS!$B$10:$B$41,0),MATCH(X$4,UWS!$G$3:$Z$3,0)),0)</f>
        <v>0</v>
      </c>
      <c r="Y325" s="47">
        <f>IFERROR(INDEX(UWS!$G$10:$Z$41,MATCH($C325,UWS!$B$10:$B$41,0),MATCH(Y$4,UWS!$G$3:$Z$3,0)),0)</f>
        <v>0</v>
      </c>
      <c r="Z325" s="47">
        <f>IFERROR(INDEX(UWS!$G$10:$Z$41,MATCH($C325,UWS!$B$10:$B$41,0),MATCH(Z$4,UWS!$G$3:$Z$3,0)),0)</f>
        <v>0</v>
      </c>
      <c r="AA325" s="47">
        <f>IFERROR(INDEX(UWS!$G$10:$Z$41,MATCH($C325,UWS!$B$10:$B$41,0),MATCH(AA$4,UWS!$G$3:$Z$3,0)),0)</f>
        <v>0</v>
      </c>
      <c r="AB325" s="47">
        <f>IFERROR(INDEX(UWS!$G$10:$Z$41,MATCH($C325,UWS!$B$10:$B$41,0),MATCH(AB$4,UWS!$G$3:$Z$3,0)),0)</f>
        <v>0</v>
      </c>
      <c r="AC325" s="47">
        <f>IFERROR(INDEX(UWS!$G$10:$Z$41,MATCH($C325,UWS!$B$10:$B$41,0),MATCH(AC$4,UWS!$G$3:$Z$3,0)),0)</f>
        <v>0</v>
      </c>
      <c r="AD325" s="47">
        <f>IFERROR(INDEX(UWS!$G$10:$Z$41,MATCH($C325,UWS!$B$10:$B$41,0),MATCH(AD$4,UWS!$G$3:$Z$3,0)),0)</f>
        <v>0</v>
      </c>
      <c r="AE325" s="47">
        <f>IFERROR(INDEX(UWS!$G$10:$Z$41,MATCH($C325,UWS!$B$10:$B$41,0),MATCH(AE$4,UWS!$G$3:$Z$3,0)),0)</f>
        <v>0</v>
      </c>
      <c r="AF325" s="47">
        <f>IFERROR(INDEX(UWS!$G$10:$Z$41,MATCH($C325,UWS!$B$10:$B$41,0),MATCH(AF$4,UWS!$G$3:$Z$3,0)),0)</f>
        <v>0</v>
      </c>
      <c r="AG325" s="47">
        <f>IFERROR(INDEX(UWS!$G$10:$Z$41,MATCH($C325,UWS!$B$10:$B$41,0),MATCH(AG$4,UWS!$G$3:$Z$3,0)),0)</f>
        <v>0</v>
      </c>
      <c r="AH325" s="47">
        <f>IFERROR(INDEX(UWS!$G$10:$Z$41,MATCH($C325,UWS!$B$10:$B$41,0),MATCH(AH$4,UWS!$G$3:$Z$3,0)),0)</f>
        <v>0</v>
      </c>
      <c r="AI325" s="47">
        <f>IFERROR(INDEX(UWS!$G$10:$Z$41,MATCH($C325,UWS!$B$10:$B$41,0),MATCH(AI$4,UWS!$G$3:$Z$3,0)),0)</f>
        <v>0</v>
      </c>
      <c r="AJ325" s="47"/>
      <c r="AK325" s="47" t="e">
        <f>IF(OR($J325=0,COUNTIFS($A$4:$A324,"&gt;="&amp;$A325-1,$A$4:$A324,"&lt;="&amp;$A325,$B$4:$B324,$B325)&gt;0,MIN(AK$1,IF($A325=$A324,AK324,1))-P325&lt;0),-1,MIN(1,IF($A325=$A324,AK324,1)-P325+$D$3))</f>
        <v>#N/A</v>
      </c>
      <c r="AL325" s="47" t="e">
        <f>IF(OR($J325=0,COUNTIFS($A$4:$A324,"&gt;="&amp;$A325-1,$A$4:$A324,"&lt;="&amp;$A325,$B$4:$B324,$B325)&gt;0,MIN(AL$1,IF($A325=$A324,AL324,1))-Q325&lt;0),-1,MIN(1,IF($A325=$A324,AL324,1)-Q325+$D$3))</f>
        <v>#N/A</v>
      </c>
      <c r="AM325" s="47" t="e">
        <f>IF(OR($J325=0,COUNTIFS($A$4:$A324,"&gt;="&amp;$A325-1,$A$4:$A324,"&lt;="&amp;$A325,$B$4:$B324,$B325)&gt;0,MIN(AM$1,IF($A325=$A324,AM324,1))-R325&lt;0),-1,MIN(1,IF($A325=$A324,AM324,1)-R325+$D$3))</f>
        <v>#N/A</v>
      </c>
      <c r="AN325" s="47" t="e">
        <f>IF(OR($J325=0,COUNTIFS($A$4:$A324,"&gt;="&amp;$A325-1,$A$4:$A324,"&lt;="&amp;$A325,$B$4:$B324,$B325)&gt;0,MIN(AN$1,IF($A325=$A324,AN324,1))-S325&lt;0),-1,MIN(1,IF($A325=$A324,AN324,1)-S325+$D$3))</f>
        <v>#N/A</v>
      </c>
      <c r="AO325" s="47" t="e">
        <f>IF(OR($J325=0,COUNTIFS($A$4:$A324,"&gt;="&amp;$A325-1,$A$4:$A324,"&lt;="&amp;$A325,$B$4:$B324,$B325)&gt;0,MIN(AO$1,IF($A325=$A324,AO324,1))-T325&lt;0),-1,MIN(1,IF($A325=$A324,AO324,1)-T325+$D$3))</f>
        <v>#N/A</v>
      </c>
      <c r="AP325" s="47" t="e">
        <f>IF(OR($J325=0,COUNTIFS($A$4:$A324,"&gt;="&amp;$A325-1,$A$4:$A324,"&lt;="&amp;$A325,$B$4:$B324,$B325)&gt;0,MIN(AP$1,IF($A325=$A324,AP324,1))-U325&lt;0),-1,MIN(1,IF($A325=$A324,AP324,1)-U325+$D$3))</f>
        <v>#N/A</v>
      </c>
      <c r="AQ325" s="47" t="e">
        <f>IF(OR($J325=0,COUNTIFS($A$4:$A324,"&gt;="&amp;$A325-1,$A$4:$A324,"&lt;="&amp;$A325,$B$4:$B324,$B325)&gt;0,MIN(AQ$1,IF($A325=$A324,AQ324,1))-V325&lt;0),-1,MIN(1,IF($A325=$A324,AQ324,1)-V325+$D$3))</f>
        <v>#N/A</v>
      </c>
      <c r="AR325" s="47" t="e">
        <f>IF(OR($J325=0,COUNTIFS($A$4:$A324,"&gt;="&amp;$A325-1,$A$4:$A324,"&lt;="&amp;$A325,$B$4:$B324,$B325)&gt;0,MIN(AR$1,IF($A325=$A324,AR324,1))-W325&lt;0),-1,MIN(1,IF($A325=$A324,AR324,1)-W325+$D$3))</f>
        <v>#N/A</v>
      </c>
      <c r="AS325" s="47" t="e">
        <f>IF(OR($J325=0,COUNTIFS($A$4:$A324,"&gt;="&amp;$A325-1,$A$4:$A324,"&lt;="&amp;$A325,$B$4:$B324,$B325)&gt;0,MIN(AS$1,IF($A325=$A324,AS324,1))-X325&lt;0),-1,MIN(1,IF($A325=$A324,AS324,1)-X325+$D$3))</f>
        <v>#N/A</v>
      </c>
      <c r="AT325" s="47" t="e">
        <f>IF(OR($J325=0,COUNTIFS($A$4:$A324,"&gt;="&amp;$A325-1,$A$4:$A324,"&lt;="&amp;$A325,$B$4:$B324,$B325)&gt;0,MIN(AT$1,IF($A325=$A324,AT324,1))-Y325&lt;0),-1,MIN(1,IF($A325=$A324,AT324,1)-Y325+$D$3))</f>
        <v>#N/A</v>
      </c>
      <c r="AU325" s="47" t="e">
        <f>IF(OR($J325=0,COUNTIFS($A$4:$A324,"&gt;="&amp;$A325-1,$A$4:$A324,"&lt;="&amp;$A325,$B$4:$B324,$B325)&gt;0,MIN(AU$1,IF($A325=$A324,AU324,1))-Z325&lt;0),-1,MIN(1,IF($A325=$A324,AU324,1)-Z325+$D$3))</f>
        <v>#N/A</v>
      </c>
      <c r="AV325" s="47" t="e">
        <f>IF(OR($J325=0,COUNTIFS($A$4:$A324,"&gt;="&amp;$A325-1,$A$4:$A324,"&lt;="&amp;$A325,$B$4:$B324,$B325)&gt;0,MIN(AV$1,IF($A325=$A324,AV324,1))-AA325&lt;0),-1,MIN(1,IF($A325=$A324,AV324,1)-AA325+$D$3))</f>
        <v>#N/A</v>
      </c>
      <c r="AW325" s="47" t="e">
        <f>IF(OR($J325=0,COUNTIFS($A$4:$A324,"&gt;="&amp;$A325-1,$A$4:$A324,"&lt;="&amp;$A325,$B$4:$B324,$B325)&gt;0,MIN(AW$1,IF($A325=$A324,AW324,1))-AB325&lt;0),-1,MIN(1,IF($A325=$A324,AW324,1)-AB325+$D$3))</f>
        <v>#N/A</v>
      </c>
      <c r="AX325" s="47" t="e">
        <f>IF(OR($J325=0,COUNTIFS($A$4:$A324,"&gt;="&amp;$A325-1,$A$4:$A324,"&lt;="&amp;$A325,$B$4:$B324,$B325)&gt;0,MIN(AX$1,IF($A325=$A324,AX324,1))-AC325&lt;0),-1,MIN(1,IF($A325=$A324,AX324,1)-AC325+$D$3))</f>
        <v>#N/A</v>
      </c>
      <c r="AY325" s="47" t="e">
        <f>IF(OR($J325=0,COUNTIFS($A$4:$A324,"&gt;="&amp;$A325-1,$A$4:$A324,"&lt;="&amp;$A325,$B$4:$B324,$B325)&gt;0,MIN(AY$1,IF($A325=$A324,AY324,1))-AD325&lt;0),-1,MIN(1,IF($A325=$A324,AY324,1)-AD325+$D$3))</f>
        <v>#N/A</v>
      </c>
      <c r="AZ325" s="47" t="e">
        <f>IF(OR($J325=0,COUNTIFS($A$4:$A324,"&gt;="&amp;$A325-1,$A$4:$A324,"&lt;="&amp;$A325,$B$4:$B324,$B325)&gt;0,MIN(AZ$1,IF($A325=$A324,AZ324,1))-AE325&lt;0),-1,MIN(1,IF($A325=$A324,AZ324,1)-AE325+$D$3))</f>
        <v>#N/A</v>
      </c>
      <c r="BA325" s="47" t="e">
        <f>IF(OR($J325=0,COUNTIFS($A$4:$A324,"&gt;="&amp;$A325-1,$A$4:$A324,"&lt;="&amp;$A325,$B$4:$B324,$B325)&gt;0,MIN(BA$1,IF($A325=$A324,BA324,1))-AF325&lt;0),-1,MIN(1,IF($A325=$A324,BA324,1)-AF325+$D$3))</f>
        <v>#N/A</v>
      </c>
      <c r="BB325" s="47" t="e">
        <f>IF(OR($J325=0,COUNTIFS($A$4:$A324,"&gt;="&amp;$A325-1,$A$4:$A324,"&lt;="&amp;$A325,$B$4:$B324,$B325)&gt;0,MIN(BB$1,IF($A325=$A324,BB324,1))-AG325&lt;0),-1,MIN(1,IF($A325=$A324,BB324,1)-AG325+$D$3))</f>
        <v>#N/A</v>
      </c>
      <c r="BC325" s="47" t="e">
        <f>IF(OR($J325=0,COUNTIFS($A$4:$A324,"&gt;="&amp;$A325-1,$A$4:$A324,"&lt;="&amp;$A325,$B$4:$B324,$B325)&gt;0,MIN(BC$1,IF($A325=$A324,BC324,1))-AH325&lt;0),-1,MIN(1,IF($A325=$A324,BC324,1)-AH325+$D$3))</f>
        <v>#N/A</v>
      </c>
      <c r="BD325" s="47" t="e">
        <f>IF(OR($J325=0,COUNTIFS($A$4:$A324,"&gt;="&amp;$A325-1,$A$4:$A324,"&lt;="&amp;$A325,$B$4:$B324,$B325)&gt;0,MIN(BD$1,IF($A325=$A324,BD324,1))-AI325&lt;0),-1,MIN(1,IF($A325=$A324,BD324,1)-AI325+$D$3))</f>
        <v>#N/A</v>
      </c>
      <c r="BE325" s="47"/>
      <c r="BF325" s="53">
        <f t="shared" si="355"/>
        <v>1.4982462228029605E-7</v>
      </c>
      <c r="BG325" s="53">
        <f t="shared" si="356"/>
        <v>3.6846102388815159E-7</v>
      </c>
      <c r="BH325" s="53">
        <f t="shared" si="357"/>
        <v>3.7763379118146502E-7</v>
      </c>
      <c r="BI325" s="53">
        <f t="shared" si="358"/>
        <v>3.4882877745541906E-7</v>
      </c>
      <c r="BJ325" s="53">
        <f t="shared" si="359"/>
        <v>3.6054765789496782E-7</v>
      </c>
      <c r="BK325" s="53">
        <f t="shared" si="360"/>
        <v>1.5483260729774293E-7</v>
      </c>
      <c r="BL325" s="53">
        <f t="shared" si="361"/>
        <v>8.364301034986807E-8</v>
      </c>
      <c r="BM325" s="53">
        <f t="shared" si="362"/>
        <v>2.1277805091454015E-7</v>
      </c>
      <c r="BN325" s="53">
        <f t="shared" si="363"/>
        <v>2.2130575588961472E-7</v>
      </c>
      <c r="BO325" s="53">
        <f t="shared" si="364"/>
        <v>1.0371227479946334E-7</v>
      </c>
      <c r="BP325" s="53">
        <f t="shared" si="365"/>
        <v>3.4873021328313406E-7</v>
      </c>
      <c r="BQ325" s="53">
        <f t="shared" si="366"/>
        <v>9.4107848770058381E-8</v>
      </c>
      <c r="BR325" s="53">
        <f t="shared" si="367"/>
        <v>2.7801814292492851E-7</v>
      </c>
      <c r="BS325" s="53">
        <f t="shared" si="368"/>
        <v>1.4993887381182019E-7</v>
      </c>
      <c r="BT325" s="53">
        <f t="shared" si="369"/>
        <v>5.9335409140068716E-7</v>
      </c>
      <c r="BU325" s="53">
        <f t="shared" si="370"/>
        <v>5.6683170435781757E-7</v>
      </c>
      <c r="BV325" s="53">
        <f t="shared" si="371"/>
        <v>5.4436641564982649E-7</v>
      </c>
      <c r="BW325" s="53">
        <f t="shared" si="372"/>
        <v>3.5604559254596087E-7</v>
      </c>
      <c r="BX325" s="53">
        <f t="shared" si="373"/>
        <v>2.6304001825120913E-7</v>
      </c>
      <c r="BY325" s="53">
        <f t="shared" si="374"/>
        <v>2.2585008868587993E-7</v>
      </c>
      <c r="BZ325" s="47"/>
      <c r="CA325" s="53" t="str">
        <f t="shared" si="375"/>
        <v/>
      </c>
      <c r="CB325" s="53" t="str">
        <f t="shared" si="376"/>
        <v/>
      </c>
      <c r="CC325" s="53" t="str">
        <f t="shared" si="377"/>
        <v/>
      </c>
      <c r="CD325" s="53" t="str">
        <f t="shared" si="378"/>
        <v/>
      </c>
      <c r="CE325" s="53" t="str">
        <f t="shared" si="379"/>
        <v/>
      </c>
      <c r="CF325" s="53" t="str">
        <f t="shared" si="380"/>
        <v/>
      </c>
      <c r="CG325" s="53" t="str">
        <f t="shared" si="381"/>
        <v/>
      </c>
      <c r="CH325" s="53" t="str">
        <f t="shared" si="382"/>
        <v/>
      </c>
      <c r="CI325" s="53" t="str">
        <f t="shared" si="383"/>
        <v/>
      </c>
      <c r="CJ325" s="53" t="str">
        <f t="shared" si="384"/>
        <v/>
      </c>
      <c r="CK325" s="53" t="str">
        <f t="shared" si="385"/>
        <v/>
      </c>
      <c r="CL325" s="53" t="str">
        <f t="shared" si="386"/>
        <v/>
      </c>
      <c r="CM325" s="53" t="str">
        <f t="shared" si="387"/>
        <v/>
      </c>
      <c r="CN325" s="53" t="str">
        <f t="shared" si="388"/>
        <v/>
      </c>
      <c r="CO325" s="53" t="str">
        <f t="shared" si="389"/>
        <v/>
      </c>
      <c r="CP325" s="53" t="str">
        <f t="shared" si="390"/>
        <v/>
      </c>
      <c r="CQ325" s="53" t="str">
        <f t="shared" si="391"/>
        <v/>
      </c>
      <c r="CR325" s="53" t="str">
        <f t="shared" si="392"/>
        <v/>
      </c>
      <c r="CS325" s="53" t="str">
        <f t="shared" si="393"/>
        <v/>
      </c>
      <c r="CT325" s="53" t="str">
        <f t="shared" si="394"/>
        <v/>
      </c>
      <c r="CU325" s="47"/>
      <c r="CV325" s="53">
        <f t="shared" si="395"/>
        <v>0</v>
      </c>
    </row>
    <row r="326" spans="1:100" x14ac:dyDescent="0.25">
      <c r="A326" s="41"/>
      <c r="B326" s="42"/>
      <c r="C326" s="43" t="str" cm="1">
        <f t="array" ref="C326">IF(B326="","",INDEX(UWS!$B$10:$B$41,B326))</f>
        <v/>
      </c>
      <c r="D326" s="40" t="str">
        <f t="shared" si="352"/>
        <v/>
      </c>
      <c r="E326" s="69" t="str">
        <f t="shared" si="353"/>
        <v/>
      </c>
      <c r="F326" s="48" cm="1">
        <f t="array" ref="F326">0.1+IFERROR(INDEX($F$5:$F325,SUMPRODUCT(MAX(ROW($C$5:$C325)*($C326=$C$5:$C325))-ROW($A$4)))*0.9^($A326-INDEX($A$5:A325,SUMPRODUCT(MAX(ROW($C$5:$C325)*($C326=$C$5:$C325))-ROW($A$4)))),0)</f>
        <v>26.100000000000101</v>
      </c>
      <c r="G326" s="55" t="e">
        <f>INDEX(UWS!$AB$10:$AB$41,MATCH(C326,UWS!$B$10:$B$41,0))</f>
        <v>#N/A</v>
      </c>
      <c r="H326" s="48" t="e">
        <f>INDEX(UWS!$C$10:$C$41,MATCH(C326,UWS!$B$10:$B$41,0))</f>
        <v>#N/A</v>
      </c>
      <c r="I326" s="82">
        <f t="shared" si="354"/>
        <v>5</v>
      </c>
      <c r="J326" s="27" t="e">
        <f>INDEX(UWS!$E$10:$E$41,MATCH(C326,UWS!$B$10:$B$41,0))</f>
        <v>#N/A</v>
      </c>
      <c r="L326" s="108" t="str" cm="1">
        <f t="array" ref="L326">IF(K326="","",INDEX(UWS!$B$10:$B$41,K326))</f>
        <v/>
      </c>
      <c r="N326" s="108" t="str" cm="1">
        <f t="array" ref="N326">IF(M326="","",INDEX(UWS!$B$10:$B$41,M326))</f>
        <v/>
      </c>
      <c r="P326">
        <f>IFERROR(INDEX(UWS!$G$10:$Z$41,MATCH($C326,UWS!$B$10:$B$41,0),MATCH(P$4,UWS!$G$3:$Z$3,0)),0)</f>
        <v>0</v>
      </c>
      <c r="Q326">
        <f>IFERROR(INDEX(UWS!$G$10:$Z$41,MATCH($C326,UWS!$B$10:$B$41,0),MATCH(Q$4,UWS!$G$3:$Z$3,0)),0)</f>
        <v>0</v>
      </c>
      <c r="R326">
        <f>IFERROR(INDEX(UWS!$G$10:$Z$41,MATCH($C326,UWS!$B$10:$B$41,0),MATCH(R$4,UWS!$G$3:$Z$3,0)),0)</f>
        <v>0</v>
      </c>
      <c r="S326">
        <f>IFERROR(INDEX(UWS!$G$10:$Z$41,MATCH($C326,UWS!$B$10:$B$41,0),MATCH(S$4,UWS!$G$3:$Z$3,0)),0)</f>
        <v>0</v>
      </c>
      <c r="T326">
        <f>IFERROR(INDEX(UWS!$G$10:$Z$41,MATCH($C326,UWS!$B$10:$B$41,0),MATCH(T$4,UWS!$G$3:$Z$3,0)),0)</f>
        <v>0</v>
      </c>
      <c r="U326">
        <f>IFERROR(INDEX(UWS!$G$10:$Z$41,MATCH($C326,UWS!$B$10:$B$41,0),MATCH(U$4,UWS!$G$3:$Z$3,0)),0)</f>
        <v>0</v>
      </c>
      <c r="V326">
        <f>IFERROR(INDEX(UWS!$G$10:$Z$41,MATCH($C326,UWS!$B$10:$B$41,0),MATCH(V$4,UWS!$G$3:$Z$3,0)),0)</f>
        <v>0</v>
      </c>
      <c r="W326">
        <f>IFERROR(INDEX(UWS!$G$10:$Z$41,MATCH($C326,UWS!$B$10:$B$41,0),MATCH(W$4,UWS!$G$3:$Z$3,0)),0)</f>
        <v>0</v>
      </c>
      <c r="X326">
        <f>IFERROR(INDEX(UWS!$G$10:$Z$41,MATCH($C326,UWS!$B$10:$B$41,0),MATCH(X$4,UWS!$G$3:$Z$3,0)),0)</f>
        <v>0</v>
      </c>
      <c r="Y326">
        <f>IFERROR(INDEX(UWS!$G$10:$Z$41,MATCH($C326,UWS!$B$10:$B$41,0),MATCH(Y$4,UWS!$G$3:$Z$3,0)),0)</f>
        <v>0</v>
      </c>
      <c r="Z326">
        <f>IFERROR(INDEX(UWS!$G$10:$Z$41,MATCH($C326,UWS!$B$10:$B$41,0),MATCH(Z$4,UWS!$G$3:$Z$3,0)),0)</f>
        <v>0</v>
      </c>
      <c r="AA326">
        <f>IFERROR(INDEX(UWS!$G$10:$Z$41,MATCH($C326,UWS!$B$10:$B$41,0),MATCH(AA$4,UWS!$G$3:$Z$3,0)),0)</f>
        <v>0</v>
      </c>
      <c r="AB326">
        <f>IFERROR(INDEX(UWS!$G$10:$Z$41,MATCH($C326,UWS!$B$10:$B$41,0),MATCH(AB$4,UWS!$G$3:$Z$3,0)),0)</f>
        <v>0</v>
      </c>
      <c r="AC326">
        <f>IFERROR(INDEX(UWS!$G$10:$Z$41,MATCH($C326,UWS!$B$10:$B$41,0),MATCH(AC$4,UWS!$G$3:$Z$3,0)),0)</f>
        <v>0</v>
      </c>
      <c r="AD326">
        <f>IFERROR(INDEX(UWS!$G$10:$Z$41,MATCH($C326,UWS!$B$10:$B$41,0),MATCH(AD$4,UWS!$G$3:$Z$3,0)),0)</f>
        <v>0</v>
      </c>
      <c r="AE326">
        <f>IFERROR(INDEX(UWS!$G$10:$Z$41,MATCH($C326,UWS!$B$10:$B$41,0),MATCH(AE$4,UWS!$G$3:$Z$3,0)),0)</f>
        <v>0</v>
      </c>
      <c r="AF326">
        <f>IFERROR(INDEX(UWS!$G$10:$Z$41,MATCH($C326,UWS!$B$10:$B$41,0),MATCH(AF$4,UWS!$G$3:$Z$3,0)),0)</f>
        <v>0</v>
      </c>
      <c r="AG326">
        <f>IFERROR(INDEX(UWS!$G$10:$Z$41,MATCH($C326,UWS!$B$10:$B$41,0),MATCH(AG$4,UWS!$G$3:$Z$3,0)),0)</f>
        <v>0</v>
      </c>
      <c r="AH326">
        <f>IFERROR(INDEX(UWS!$G$10:$Z$41,MATCH($C326,UWS!$B$10:$B$41,0),MATCH(AH$4,UWS!$G$3:$Z$3,0)),0)</f>
        <v>0</v>
      </c>
      <c r="AI326">
        <f>IFERROR(INDEX(UWS!$G$10:$Z$41,MATCH($C326,UWS!$B$10:$B$41,0),MATCH(AI$4,UWS!$G$3:$Z$3,0)),0)</f>
        <v>0</v>
      </c>
      <c r="AK326" t="e">
        <f>IF(OR($J326=0,COUNTIFS($A$4:$A325,"&gt;="&amp;$A326-1,$A$4:$A325,"&lt;="&amp;$A326,$B$4:$B325,$B326)&gt;0,MIN(AK$1,IF($A326=$A325,AK325,1))-P326&lt;0),-1,MIN(1,IF($A326=$A325,AK325,1)-P326+$D$3))</f>
        <v>#N/A</v>
      </c>
      <c r="AL326" t="e">
        <f>IF(OR($J326=0,COUNTIFS($A$4:$A325,"&gt;="&amp;$A326-1,$A$4:$A325,"&lt;="&amp;$A326,$B$4:$B325,$B326)&gt;0,MIN(AL$1,IF($A326=$A325,AL325,1))-Q326&lt;0),-1,MIN(1,IF($A326=$A325,AL325,1)-Q326+$D$3))</f>
        <v>#N/A</v>
      </c>
      <c r="AM326" t="e">
        <f>IF(OR($J326=0,COUNTIFS($A$4:$A325,"&gt;="&amp;$A326-1,$A$4:$A325,"&lt;="&amp;$A326,$B$4:$B325,$B326)&gt;0,MIN(AM$1,IF($A326=$A325,AM325,1))-R326&lt;0),-1,MIN(1,IF($A326=$A325,AM325,1)-R326+$D$3))</f>
        <v>#N/A</v>
      </c>
      <c r="AN326" t="e">
        <f>IF(OR($J326=0,COUNTIFS($A$4:$A325,"&gt;="&amp;$A326-1,$A$4:$A325,"&lt;="&amp;$A326,$B$4:$B325,$B326)&gt;0,MIN(AN$1,IF($A326=$A325,AN325,1))-S326&lt;0),-1,MIN(1,IF($A326=$A325,AN325,1)-S326+$D$3))</f>
        <v>#N/A</v>
      </c>
      <c r="AO326" t="e">
        <f>IF(OR($J326=0,COUNTIFS($A$4:$A325,"&gt;="&amp;$A326-1,$A$4:$A325,"&lt;="&amp;$A326,$B$4:$B325,$B326)&gt;0,MIN(AO$1,IF($A326=$A325,AO325,1))-T326&lt;0),-1,MIN(1,IF($A326=$A325,AO325,1)-T326+$D$3))</f>
        <v>#N/A</v>
      </c>
      <c r="AP326" t="e">
        <f>IF(OR($J326=0,COUNTIFS($A$4:$A325,"&gt;="&amp;$A326-1,$A$4:$A325,"&lt;="&amp;$A326,$B$4:$B325,$B326)&gt;0,MIN(AP$1,IF($A326=$A325,AP325,1))-U326&lt;0),-1,MIN(1,IF($A326=$A325,AP325,1)-U326+$D$3))</f>
        <v>#N/A</v>
      </c>
      <c r="AQ326" t="e">
        <f>IF(OR($J326=0,COUNTIFS($A$4:$A325,"&gt;="&amp;$A326-1,$A$4:$A325,"&lt;="&amp;$A326,$B$4:$B325,$B326)&gt;0,MIN(AQ$1,IF($A326=$A325,AQ325,1))-V326&lt;0),-1,MIN(1,IF($A326=$A325,AQ325,1)-V326+$D$3))</f>
        <v>#N/A</v>
      </c>
      <c r="AR326" t="e">
        <f>IF(OR($J326=0,COUNTIFS($A$4:$A325,"&gt;="&amp;$A326-1,$A$4:$A325,"&lt;="&amp;$A326,$B$4:$B325,$B326)&gt;0,MIN(AR$1,IF($A326=$A325,AR325,1))-W326&lt;0),-1,MIN(1,IF($A326=$A325,AR325,1)-W326+$D$3))</f>
        <v>#N/A</v>
      </c>
      <c r="AS326" t="e">
        <f>IF(OR($J326=0,COUNTIFS($A$4:$A325,"&gt;="&amp;$A326-1,$A$4:$A325,"&lt;="&amp;$A326,$B$4:$B325,$B326)&gt;0,MIN(AS$1,IF($A326=$A325,AS325,1))-X326&lt;0),-1,MIN(1,IF($A326=$A325,AS325,1)-X326+$D$3))</f>
        <v>#N/A</v>
      </c>
      <c r="AT326" t="e">
        <f>IF(OR($J326=0,COUNTIFS($A$4:$A325,"&gt;="&amp;$A326-1,$A$4:$A325,"&lt;="&amp;$A326,$B$4:$B325,$B326)&gt;0,MIN(AT$1,IF($A326=$A325,AT325,1))-Y326&lt;0),-1,MIN(1,IF($A326=$A325,AT325,1)-Y326+$D$3))</f>
        <v>#N/A</v>
      </c>
      <c r="AU326" t="e">
        <f>IF(OR($J326=0,COUNTIFS($A$4:$A325,"&gt;="&amp;$A326-1,$A$4:$A325,"&lt;="&amp;$A326,$B$4:$B325,$B326)&gt;0,MIN(AU$1,IF($A326=$A325,AU325,1))-Z326&lt;0),-1,MIN(1,IF($A326=$A325,AU325,1)-Z326+$D$3))</f>
        <v>#N/A</v>
      </c>
      <c r="AV326" t="e">
        <f>IF(OR($J326=0,COUNTIFS($A$4:$A325,"&gt;="&amp;$A326-1,$A$4:$A325,"&lt;="&amp;$A326,$B$4:$B325,$B326)&gt;0,MIN(AV$1,IF($A326=$A325,AV325,1))-AA326&lt;0),-1,MIN(1,IF($A326=$A325,AV325,1)-AA326+$D$3))</f>
        <v>#N/A</v>
      </c>
      <c r="AW326" t="e">
        <f>IF(OR($J326=0,COUNTIFS($A$4:$A325,"&gt;="&amp;$A326-1,$A$4:$A325,"&lt;="&amp;$A326,$B$4:$B325,$B326)&gt;0,MIN(AW$1,IF($A326=$A325,AW325,1))-AB326&lt;0),-1,MIN(1,IF($A326=$A325,AW325,1)-AB326+$D$3))</f>
        <v>#N/A</v>
      </c>
      <c r="AX326" t="e">
        <f>IF(OR($J326=0,COUNTIFS($A$4:$A325,"&gt;="&amp;$A326-1,$A$4:$A325,"&lt;="&amp;$A326,$B$4:$B325,$B326)&gt;0,MIN(AX$1,IF($A326=$A325,AX325,1))-AC326&lt;0),-1,MIN(1,IF($A326=$A325,AX325,1)-AC326+$D$3))</f>
        <v>#N/A</v>
      </c>
      <c r="AY326" t="e">
        <f>IF(OR($J326=0,COUNTIFS($A$4:$A325,"&gt;="&amp;$A326-1,$A$4:$A325,"&lt;="&amp;$A326,$B$4:$B325,$B326)&gt;0,MIN(AY$1,IF($A326=$A325,AY325,1))-AD326&lt;0),-1,MIN(1,IF($A326=$A325,AY325,1)-AD326+$D$3))</f>
        <v>#N/A</v>
      </c>
      <c r="AZ326" t="e">
        <f>IF(OR($J326=0,COUNTIFS($A$4:$A325,"&gt;="&amp;$A326-1,$A$4:$A325,"&lt;="&amp;$A326,$B$4:$B325,$B326)&gt;0,MIN(AZ$1,IF($A326=$A325,AZ325,1))-AE326&lt;0),-1,MIN(1,IF($A326=$A325,AZ325,1)-AE326+$D$3))</f>
        <v>#N/A</v>
      </c>
      <c r="BA326" t="e">
        <f>IF(OR($J326=0,COUNTIFS($A$4:$A325,"&gt;="&amp;$A326-1,$A$4:$A325,"&lt;="&amp;$A326,$B$4:$B325,$B326)&gt;0,MIN(BA$1,IF($A326=$A325,BA325,1))-AF326&lt;0),-1,MIN(1,IF($A326=$A325,BA325,1)-AF326+$D$3))</f>
        <v>#N/A</v>
      </c>
      <c r="BB326" t="e">
        <f>IF(OR($J326=0,COUNTIFS($A$4:$A325,"&gt;="&amp;$A326-1,$A$4:$A325,"&lt;="&amp;$A326,$B$4:$B325,$B326)&gt;0,MIN(BB$1,IF($A326=$A325,BB325,1))-AG326&lt;0),-1,MIN(1,IF($A326=$A325,BB325,1)-AG326+$D$3))</f>
        <v>#N/A</v>
      </c>
      <c r="BC326" t="e">
        <f>IF(OR($J326=0,COUNTIFS($A$4:$A325,"&gt;="&amp;$A326-1,$A$4:$A325,"&lt;="&amp;$A326,$B$4:$B325,$B326)&gt;0,MIN(BC$1,IF($A326=$A325,BC325,1))-AH326&lt;0),-1,MIN(1,IF($A326=$A325,BC325,1)-AH326+$D$3))</f>
        <v>#N/A</v>
      </c>
      <c r="BD326" t="e">
        <f>IF(OR($J326=0,COUNTIFS($A$4:$A325,"&gt;="&amp;$A326-1,$A$4:$A325,"&lt;="&amp;$A326,$B$4:$B325,$B326)&gt;0,MIN(BD$1,IF($A326=$A325,BD325,1))-AI326&lt;0),-1,MIN(1,IF($A326=$A325,BD325,1)-AI326+$D$3))</f>
        <v>#N/A</v>
      </c>
      <c r="BF326" s="44">
        <f t="shared" si="355"/>
        <v>1.4233339116628125E-7</v>
      </c>
      <c r="BG326" s="44">
        <f t="shared" si="356"/>
        <v>3.50037972693744E-7</v>
      </c>
      <c r="BH326" s="44">
        <f t="shared" si="357"/>
        <v>3.5875210162239177E-7</v>
      </c>
      <c r="BI326" s="44">
        <f t="shared" si="358"/>
        <v>3.3138733858264811E-7</v>
      </c>
      <c r="BJ326" s="44">
        <f t="shared" si="359"/>
        <v>3.425202750002194E-7</v>
      </c>
      <c r="BK326" s="44">
        <f t="shared" si="360"/>
        <v>1.4709097693285578E-7</v>
      </c>
      <c r="BL326" s="44">
        <f t="shared" si="361"/>
        <v>7.9460859832374662E-8</v>
      </c>
      <c r="BM326" s="44">
        <f t="shared" si="362"/>
        <v>2.0213914836881314E-7</v>
      </c>
      <c r="BN326" s="44">
        <f t="shared" si="363"/>
        <v>2.1024046809513396E-7</v>
      </c>
      <c r="BO326" s="44">
        <f t="shared" si="364"/>
        <v>9.8526661059490162E-8</v>
      </c>
      <c r="BP326" s="44">
        <f t="shared" si="365"/>
        <v>3.3129370261897735E-7</v>
      </c>
      <c r="BQ326" s="44">
        <f t="shared" si="366"/>
        <v>8.9402456331555452E-8</v>
      </c>
      <c r="BR326" s="44">
        <f t="shared" si="367"/>
        <v>2.6411723577868209E-7</v>
      </c>
      <c r="BS326" s="44">
        <f t="shared" si="368"/>
        <v>1.4244193012122917E-7</v>
      </c>
      <c r="BT326" s="44">
        <f t="shared" si="369"/>
        <v>5.6368638683065277E-7</v>
      </c>
      <c r="BU326" s="44">
        <f t="shared" si="370"/>
        <v>5.3849011913992662E-7</v>
      </c>
      <c r="BV326" s="44">
        <f t="shared" si="371"/>
        <v>5.1714809486733513E-7</v>
      </c>
      <c r="BW326" s="44">
        <f t="shared" si="372"/>
        <v>3.382433129186628E-7</v>
      </c>
      <c r="BX326" s="44">
        <f t="shared" si="373"/>
        <v>2.4988801733864867E-7</v>
      </c>
      <c r="BY326" s="44">
        <f t="shared" si="374"/>
        <v>2.1455758425158592E-7</v>
      </c>
      <c r="CA326" s="44" t="str">
        <f t="shared" si="375"/>
        <v/>
      </c>
      <c r="CB326" s="44" t="str">
        <f t="shared" si="376"/>
        <v/>
      </c>
      <c r="CC326" s="44" t="str">
        <f t="shared" si="377"/>
        <v/>
      </c>
      <c r="CD326" s="44" t="str">
        <f t="shared" si="378"/>
        <v/>
      </c>
      <c r="CE326" s="44" t="str">
        <f t="shared" si="379"/>
        <v/>
      </c>
      <c r="CF326" s="44" t="str">
        <f t="shared" si="380"/>
        <v/>
      </c>
      <c r="CG326" s="44" t="str">
        <f t="shared" si="381"/>
        <v/>
      </c>
      <c r="CH326" s="44" t="str">
        <f t="shared" si="382"/>
        <v/>
      </c>
      <c r="CI326" s="44" t="str">
        <f t="shared" si="383"/>
        <v/>
      </c>
      <c r="CJ326" s="44" t="str">
        <f t="shared" si="384"/>
        <v/>
      </c>
      <c r="CK326" s="44" t="str">
        <f t="shared" si="385"/>
        <v/>
      </c>
      <c r="CL326" s="44" t="str">
        <f t="shared" si="386"/>
        <v/>
      </c>
      <c r="CM326" s="44" t="str">
        <f t="shared" si="387"/>
        <v/>
      </c>
      <c r="CN326" s="44" t="str">
        <f t="shared" si="388"/>
        <v/>
      </c>
      <c r="CO326" s="44" t="str">
        <f t="shared" si="389"/>
        <v/>
      </c>
      <c r="CP326" s="44" t="str">
        <f t="shared" si="390"/>
        <v/>
      </c>
      <c r="CQ326" s="44" t="str">
        <f t="shared" si="391"/>
        <v/>
      </c>
      <c r="CR326" s="44" t="str">
        <f t="shared" si="392"/>
        <v/>
      </c>
      <c r="CS326" s="44" t="str">
        <f t="shared" si="393"/>
        <v/>
      </c>
      <c r="CT326" s="44" t="str">
        <f t="shared" si="394"/>
        <v/>
      </c>
      <c r="CV326" s="44">
        <f t="shared" si="395"/>
        <v>0</v>
      </c>
    </row>
    <row r="327" spans="1:100" x14ac:dyDescent="0.25">
      <c r="A327" s="41"/>
      <c r="B327" s="42"/>
      <c r="C327" s="43" t="str" cm="1">
        <f t="array" ref="C327">IF(B327="","",INDEX(UWS!$B$10:$B$41,B327))</f>
        <v/>
      </c>
      <c r="D327" s="40" t="str">
        <f t="shared" si="352"/>
        <v/>
      </c>
      <c r="E327" s="69" t="str">
        <f t="shared" si="353"/>
        <v/>
      </c>
      <c r="F327" s="48" cm="1">
        <f t="array" ref="F327">0.1+IFERROR(INDEX($F$5:$F326,SUMPRODUCT(MAX(ROW($C$5:$C326)*($C327=$C$5:$C326))-ROW($A$4)))*0.9^($A327-INDEX($A$5:A326,SUMPRODUCT(MAX(ROW($C$5:$C326)*($C327=$C$5:$C326))-ROW($A$4)))),0)</f>
        <v>26.200000000000102</v>
      </c>
      <c r="G327" s="55" t="e">
        <f>INDEX(UWS!$AB$10:$AB$41,MATCH(C327,UWS!$B$10:$B$41,0))</f>
        <v>#N/A</v>
      </c>
      <c r="H327" s="48" t="e">
        <f>INDEX(UWS!$C$10:$C$41,MATCH(C327,UWS!$B$10:$B$41,0))</f>
        <v>#N/A</v>
      </c>
      <c r="I327" s="27">
        <f t="shared" si="354"/>
        <v>5</v>
      </c>
      <c r="J327" s="27" t="e">
        <f>INDEX(UWS!$E$10:$E$41,MATCH(C327,UWS!$B$10:$B$41,0))</f>
        <v>#N/A</v>
      </c>
      <c r="L327" s="108" t="str" cm="1">
        <f t="array" ref="L327">IF(K327="","",INDEX(UWS!$B$10:$B$41,K327))</f>
        <v/>
      </c>
      <c r="N327" s="108" t="str" cm="1">
        <f t="array" ref="N327">IF(M327="","",INDEX(UWS!$B$10:$B$41,M327))</f>
        <v/>
      </c>
      <c r="P327">
        <f>IFERROR(INDEX(UWS!$G$10:$Z$41,MATCH($C327,UWS!$B$10:$B$41,0),MATCH(P$4,UWS!$G$3:$Z$3,0)),0)</f>
        <v>0</v>
      </c>
      <c r="Q327">
        <f>IFERROR(INDEX(UWS!$G$10:$Z$41,MATCH($C327,UWS!$B$10:$B$41,0),MATCH(Q$4,UWS!$G$3:$Z$3,0)),0)</f>
        <v>0</v>
      </c>
      <c r="R327">
        <f>IFERROR(INDEX(UWS!$G$10:$Z$41,MATCH($C327,UWS!$B$10:$B$41,0),MATCH(R$4,UWS!$G$3:$Z$3,0)),0)</f>
        <v>0</v>
      </c>
      <c r="S327">
        <f>IFERROR(INDEX(UWS!$G$10:$Z$41,MATCH($C327,UWS!$B$10:$B$41,0),MATCH(S$4,UWS!$G$3:$Z$3,0)),0)</f>
        <v>0</v>
      </c>
      <c r="T327">
        <f>IFERROR(INDEX(UWS!$G$10:$Z$41,MATCH($C327,UWS!$B$10:$B$41,0),MATCH(T$4,UWS!$G$3:$Z$3,0)),0)</f>
        <v>0</v>
      </c>
      <c r="U327">
        <f>IFERROR(INDEX(UWS!$G$10:$Z$41,MATCH($C327,UWS!$B$10:$B$41,0),MATCH(U$4,UWS!$G$3:$Z$3,0)),0)</f>
        <v>0</v>
      </c>
      <c r="V327">
        <f>IFERROR(INDEX(UWS!$G$10:$Z$41,MATCH($C327,UWS!$B$10:$B$41,0),MATCH(V$4,UWS!$G$3:$Z$3,0)),0)</f>
        <v>0</v>
      </c>
      <c r="W327">
        <f>IFERROR(INDEX(UWS!$G$10:$Z$41,MATCH($C327,UWS!$B$10:$B$41,0),MATCH(W$4,UWS!$G$3:$Z$3,0)),0)</f>
        <v>0</v>
      </c>
      <c r="X327">
        <f>IFERROR(INDEX(UWS!$G$10:$Z$41,MATCH($C327,UWS!$B$10:$B$41,0),MATCH(X$4,UWS!$G$3:$Z$3,0)),0)</f>
        <v>0</v>
      </c>
      <c r="Y327">
        <f>IFERROR(INDEX(UWS!$G$10:$Z$41,MATCH($C327,UWS!$B$10:$B$41,0),MATCH(Y$4,UWS!$G$3:$Z$3,0)),0)</f>
        <v>0</v>
      </c>
      <c r="Z327">
        <f>IFERROR(INDEX(UWS!$G$10:$Z$41,MATCH($C327,UWS!$B$10:$B$41,0),MATCH(Z$4,UWS!$G$3:$Z$3,0)),0)</f>
        <v>0</v>
      </c>
      <c r="AA327">
        <f>IFERROR(INDEX(UWS!$G$10:$Z$41,MATCH($C327,UWS!$B$10:$B$41,0),MATCH(AA$4,UWS!$G$3:$Z$3,0)),0)</f>
        <v>0</v>
      </c>
      <c r="AB327">
        <f>IFERROR(INDEX(UWS!$G$10:$Z$41,MATCH($C327,UWS!$B$10:$B$41,0),MATCH(AB$4,UWS!$G$3:$Z$3,0)),0)</f>
        <v>0</v>
      </c>
      <c r="AC327">
        <f>IFERROR(INDEX(UWS!$G$10:$Z$41,MATCH($C327,UWS!$B$10:$B$41,0),MATCH(AC$4,UWS!$G$3:$Z$3,0)),0)</f>
        <v>0</v>
      </c>
      <c r="AD327">
        <f>IFERROR(INDEX(UWS!$G$10:$Z$41,MATCH($C327,UWS!$B$10:$B$41,0),MATCH(AD$4,UWS!$G$3:$Z$3,0)),0)</f>
        <v>0</v>
      </c>
      <c r="AE327">
        <f>IFERROR(INDEX(UWS!$G$10:$Z$41,MATCH($C327,UWS!$B$10:$B$41,0),MATCH(AE$4,UWS!$G$3:$Z$3,0)),0)</f>
        <v>0</v>
      </c>
      <c r="AF327">
        <f>IFERROR(INDEX(UWS!$G$10:$Z$41,MATCH($C327,UWS!$B$10:$B$41,0),MATCH(AF$4,UWS!$G$3:$Z$3,0)),0)</f>
        <v>0</v>
      </c>
      <c r="AG327">
        <f>IFERROR(INDEX(UWS!$G$10:$Z$41,MATCH($C327,UWS!$B$10:$B$41,0),MATCH(AG$4,UWS!$G$3:$Z$3,0)),0)</f>
        <v>0</v>
      </c>
      <c r="AH327">
        <f>IFERROR(INDEX(UWS!$G$10:$Z$41,MATCH($C327,UWS!$B$10:$B$41,0),MATCH(AH$4,UWS!$G$3:$Z$3,0)),0)</f>
        <v>0</v>
      </c>
      <c r="AI327">
        <f>IFERROR(INDEX(UWS!$G$10:$Z$41,MATCH($C327,UWS!$B$10:$B$41,0),MATCH(AI$4,UWS!$G$3:$Z$3,0)),0)</f>
        <v>0</v>
      </c>
      <c r="AK327" t="e">
        <f>IF(OR($J327=0,COUNTIFS($A$4:$A326,"&gt;="&amp;$A327-1,$A$4:$A326,"&lt;="&amp;$A327,$B$4:$B326,$B327)&gt;0,MIN(AK$1,IF($A327=$A326,AK326,1))-P327&lt;0),-1,MIN(1,IF($A327=$A326,AK326,1)-P327+$D$3))</f>
        <v>#N/A</v>
      </c>
      <c r="AL327" t="e">
        <f>IF(OR($J327=0,COUNTIFS($A$4:$A326,"&gt;="&amp;$A327-1,$A$4:$A326,"&lt;="&amp;$A327,$B$4:$B326,$B327)&gt;0,MIN(AL$1,IF($A327=$A326,AL326,1))-Q327&lt;0),-1,MIN(1,IF($A327=$A326,AL326,1)-Q327+$D$3))</f>
        <v>#N/A</v>
      </c>
      <c r="AM327" t="e">
        <f>IF(OR($J327=0,COUNTIFS($A$4:$A326,"&gt;="&amp;$A327-1,$A$4:$A326,"&lt;="&amp;$A327,$B$4:$B326,$B327)&gt;0,MIN(AM$1,IF($A327=$A326,AM326,1))-R327&lt;0),-1,MIN(1,IF($A327=$A326,AM326,1)-R327+$D$3))</f>
        <v>#N/A</v>
      </c>
      <c r="AN327" t="e">
        <f>IF(OR($J327=0,COUNTIFS($A$4:$A326,"&gt;="&amp;$A327-1,$A$4:$A326,"&lt;="&amp;$A327,$B$4:$B326,$B327)&gt;0,MIN(AN$1,IF($A327=$A326,AN326,1))-S327&lt;0),-1,MIN(1,IF($A327=$A326,AN326,1)-S327+$D$3))</f>
        <v>#N/A</v>
      </c>
      <c r="AO327" t="e">
        <f>IF(OR($J327=0,COUNTIFS($A$4:$A326,"&gt;="&amp;$A327-1,$A$4:$A326,"&lt;="&amp;$A327,$B$4:$B326,$B327)&gt;0,MIN(AO$1,IF($A327=$A326,AO326,1))-T327&lt;0),-1,MIN(1,IF($A327=$A326,AO326,1)-T327+$D$3))</f>
        <v>#N/A</v>
      </c>
      <c r="AP327" t="e">
        <f>IF(OR($J327=0,COUNTIFS($A$4:$A326,"&gt;="&amp;$A327-1,$A$4:$A326,"&lt;="&amp;$A327,$B$4:$B326,$B327)&gt;0,MIN(AP$1,IF($A327=$A326,AP326,1))-U327&lt;0),-1,MIN(1,IF($A327=$A326,AP326,1)-U327+$D$3))</f>
        <v>#N/A</v>
      </c>
      <c r="AQ327" t="e">
        <f>IF(OR($J327=0,COUNTIFS($A$4:$A326,"&gt;="&amp;$A327-1,$A$4:$A326,"&lt;="&amp;$A327,$B$4:$B326,$B327)&gt;0,MIN(AQ$1,IF($A327=$A326,AQ326,1))-V327&lt;0),-1,MIN(1,IF($A327=$A326,AQ326,1)-V327+$D$3))</f>
        <v>#N/A</v>
      </c>
      <c r="AR327" t="e">
        <f>IF(OR($J327=0,COUNTIFS($A$4:$A326,"&gt;="&amp;$A327-1,$A$4:$A326,"&lt;="&amp;$A327,$B$4:$B326,$B327)&gt;0,MIN(AR$1,IF($A327=$A326,AR326,1))-W327&lt;0),-1,MIN(1,IF($A327=$A326,AR326,1)-W327+$D$3))</f>
        <v>#N/A</v>
      </c>
      <c r="AS327" t="e">
        <f>IF(OR($J327=0,COUNTIFS($A$4:$A326,"&gt;="&amp;$A327-1,$A$4:$A326,"&lt;="&amp;$A327,$B$4:$B326,$B327)&gt;0,MIN(AS$1,IF($A327=$A326,AS326,1))-X327&lt;0),-1,MIN(1,IF($A327=$A326,AS326,1)-X327+$D$3))</f>
        <v>#N/A</v>
      </c>
      <c r="AT327" t="e">
        <f>IF(OR($J327=0,COUNTIFS($A$4:$A326,"&gt;="&amp;$A327-1,$A$4:$A326,"&lt;="&amp;$A327,$B$4:$B326,$B327)&gt;0,MIN(AT$1,IF($A327=$A326,AT326,1))-Y327&lt;0),-1,MIN(1,IF($A327=$A326,AT326,1)-Y327+$D$3))</f>
        <v>#N/A</v>
      </c>
      <c r="AU327" t="e">
        <f>IF(OR($J327=0,COUNTIFS($A$4:$A326,"&gt;="&amp;$A327-1,$A$4:$A326,"&lt;="&amp;$A327,$B$4:$B326,$B327)&gt;0,MIN(AU$1,IF($A327=$A326,AU326,1))-Z327&lt;0),-1,MIN(1,IF($A327=$A326,AU326,1)-Z327+$D$3))</f>
        <v>#N/A</v>
      </c>
      <c r="AV327" t="e">
        <f>IF(OR($J327=0,COUNTIFS($A$4:$A326,"&gt;="&amp;$A327-1,$A$4:$A326,"&lt;="&amp;$A327,$B$4:$B326,$B327)&gt;0,MIN(AV$1,IF($A327=$A326,AV326,1))-AA327&lt;0),-1,MIN(1,IF($A327=$A326,AV326,1)-AA327+$D$3))</f>
        <v>#N/A</v>
      </c>
      <c r="AW327" t="e">
        <f>IF(OR($J327=0,COUNTIFS($A$4:$A326,"&gt;="&amp;$A327-1,$A$4:$A326,"&lt;="&amp;$A327,$B$4:$B326,$B327)&gt;0,MIN(AW$1,IF($A327=$A326,AW326,1))-AB327&lt;0),-1,MIN(1,IF($A327=$A326,AW326,1)-AB327+$D$3))</f>
        <v>#N/A</v>
      </c>
      <c r="AX327" t="e">
        <f>IF(OR($J327=0,COUNTIFS($A$4:$A326,"&gt;="&amp;$A327-1,$A$4:$A326,"&lt;="&amp;$A327,$B$4:$B326,$B327)&gt;0,MIN(AX$1,IF($A327=$A326,AX326,1))-AC327&lt;0),-1,MIN(1,IF($A327=$A326,AX326,1)-AC327+$D$3))</f>
        <v>#N/A</v>
      </c>
      <c r="AY327" t="e">
        <f>IF(OR($J327=0,COUNTIFS($A$4:$A326,"&gt;="&amp;$A327-1,$A$4:$A326,"&lt;="&amp;$A327,$B$4:$B326,$B327)&gt;0,MIN(AY$1,IF($A327=$A326,AY326,1))-AD327&lt;0),-1,MIN(1,IF($A327=$A326,AY326,1)-AD327+$D$3))</f>
        <v>#N/A</v>
      </c>
      <c r="AZ327" t="e">
        <f>IF(OR($J327=0,COUNTIFS($A$4:$A326,"&gt;="&amp;$A327-1,$A$4:$A326,"&lt;="&amp;$A327,$B$4:$B326,$B327)&gt;0,MIN(AZ$1,IF($A327=$A326,AZ326,1))-AE327&lt;0),-1,MIN(1,IF($A327=$A326,AZ326,1)-AE327+$D$3))</f>
        <v>#N/A</v>
      </c>
      <c r="BA327" t="e">
        <f>IF(OR($J327=0,COUNTIFS($A$4:$A326,"&gt;="&amp;$A327-1,$A$4:$A326,"&lt;="&amp;$A327,$B$4:$B326,$B327)&gt;0,MIN(BA$1,IF($A327=$A326,BA326,1))-AF327&lt;0),-1,MIN(1,IF($A327=$A326,BA326,1)-AF327+$D$3))</f>
        <v>#N/A</v>
      </c>
      <c r="BB327" t="e">
        <f>IF(OR($J327=0,COUNTIFS($A$4:$A326,"&gt;="&amp;$A327-1,$A$4:$A326,"&lt;="&amp;$A327,$B$4:$B326,$B327)&gt;0,MIN(BB$1,IF($A327=$A326,BB326,1))-AG327&lt;0),-1,MIN(1,IF($A327=$A326,BB326,1)-AG327+$D$3))</f>
        <v>#N/A</v>
      </c>
      <c r="BC327" t="e">
        <f>IF(OR($J327=0,COUNTIFS($A$4:$A326,"&gt;="&amp;$A327-1,$A$4:$A326,"&lt;="&amp;$A327,$B$4:$B326,$B327)&gt;0,MIN(BC$1,IF($A327=$A326,BC326,1))-AH327&lt;0),-1,MIN(1,IF($A327=$A326,BC326,1)-AH327+$D$3))</f>
        <v>#N/A</v>
      </c>
      <c r="BD327" t="e">
        <f>IF(OR($J327=0,COUNTIFS($A$4:$A326,"&gt;="&amp;$A327-1,$A$4:$A326,"&lt;="&amp;$A327,$B$4:$B326,$B327)&gt;0,MIN(BD$1,IF($A327=$A326,BD326,1))-AI327&lt;0),-1,MIN(1,IF($A327=$A326,BD326,1)-AI327+$D$3))</f>
        <v>#N/A</v>
      </c>
      <c r="BF327" s="44">
        <f t="shared" si="355"/>
        <v>1.3521672160796717E-7</v>
      </c>
      <c r="BG327" s="44">
        <f t="shared" si="356"/>
        <v>3.3253607405905676E-7</v>
      </c>
      <c r="BH327" s="44">
        <f t="shared" si="357"/>
        <v>3.4081449654127215E-7</v>
      </c>
      <c r="BI327" s="44">
        <f t="shared" si="358"/>
        <v>3.1481797165351568E-7</v>
      </c>
      <c r="BJ327" s="44">
        <f t="shared" si="359"/>
        <v>3.2539426125020843E-7</v>
      </c>
      <c r="BK327" s="44">
        <f t="shared" si="360"/>
        <v>1.3973642808621299E-7</v>
      </c>
      <c r="BL327" s="44">
        <f t="shared" si="361"/>
        <v>7.5487816840755932E-8</v>
      </c>
      <c r="BM327" s="44">
        <f t="shared" si="362"/>
        <v>1.9203219095037249E-7</v>
      </c>
      <c r="BN327" s="44">
        <f t="shared" si="363"/>
        <v>1.9972844469037724E-7</v>
      </c>
      <c r="BO327" s="44">
        <f t="shared" si="364"/>
        <v>9.3600328006515645E-8</v>
      </c>
      <c r="BP327" s="44">
        <f t="shared" si="365"/>
        <v>3.1472901748802846E-7</v>
      </c>
      <c r="BQ327" s="44">
        <f t="shared" si="366"/>
        <v>8.4932333514977675E-8</v>
      </c>
      <c r="BR327" s="44">
        <f t="shared" si="367"/>
        <v>2.5091137398974796E-7</v>
      </c>
      <c r="BS327" s="44">
        <f t="shared" si="368"/>
        <v>1.3531983361516771E-7</v>
      </c>
      <c r="BT327" s="44">
        <f t="shared" si="369"/>
        <v>5.3550206748912011E-7</v>
      </c>
      <c r="BU327" s="44">
        <f t="shared" si="370"/>
        <v>5.1156561318293031E-7</v>
      </c>
      <c r="BV327" s="44">
        <f t="shared" si="371"/>
        <v>4.9129069012396832E-7</v>
      </c>
      <c r="BW327" s="44">
        <f t="shared" si="372"/>
        <v>3.2133114727272964E-7</v>
      </c>
      <c r="BX327" s="44">
        <f t="shared" si="373"/>
        <v>2.3739361647171622E-7</v>
      </c>
      <c r="BY327" s="44">
        <f t="shared" si="374"/>
        <v>2.0382970503900662E-7</v>
      </c>
      <c r="CA327" s="44" t="str">
        <f t="shared" si="375"/>
        <v/>
      </c>
      <c r="CB327" s="44" t="str">
        <f t="shared" si="376"/>
        <v/>
      </c>
      <c r="CC327" s="44" t="str">
        <f t="shared" si="377"/>
        <v/>
      </c>
      <c r="CD327" s="44" t="str">
        <f t="shared" si="378"/>
        <v/>
      </c>
      <c r="CE327" s="44" t="str">
        <f t="shared" si="379"/>
        <v/>
      </c>
      <c r="CF327" s="44" t="str">
        <f t="shared" si="380"/>
        <v/>
      </c>
      <c r="CG327" s="44" t="str">
        <f t="shared" si="381"/>
        <v/>
      </c>
      <c r="CH327" s="44" t="str">
        <f t="shared" si="382"/>
        <v/>
      </c>
      <c r="CI327" s="44" t="str">
        <f t="shared" si="383"/>
        <v/>
      </c>
      <c r="CJ327" s="44" t="str">
        <f t="shared" si="384"/>
        <v/>
      </c>
      <c r="CK327" s="44" t="str">
        <f t="shared" si="385"/>
        <v/>
      </c>
      <c r="CL327" s="44" t="str">
        <f t="shared" si="386"/>
        <v/>
      </c>
      <c r="CM327" s="44" t="str">
        <f t="shared" si="387"/>
        <v/>
      </c>
      <c r="CN327" s="44" t="str">
        <f t="shared" si="388"/>
        <v/>
      </c>
      <c r="CO327" s="44" t="str">
        <f t="shared" si="389"/>
        <v/>
      </c>
      <c r="CP327" s="44" t="str">
        <f t="shared" si="390"/>
        <v/>
      </c>
      <c r="CQ327" s="44" t="str">
        <f t="shared" si="391"/>
        <v/>
      </c>
      <c r="CR327" s="44" t="str">
        <f t="shared" si="392"/>
        <v/>
      </c>
      <c r="CS327" s="44" t="str">
        <f t="shared" si="393"/>
        <v/>
      </c>
      <c r="CT327" s="44" t="str">
        <f t="shared" si="394"/>
        <v/>
      </c>
      <c r="CV327" s="44">
        <f t="shared" si="395"/>
        <v>0</v>
      </c>
    </row>
    <row r="328" spans="1:100" x14ac:dyDescent="0.25">
      <c r="A328" s="41"/>
      <c r="B328" s="42"/>
      <c r="C328" s="43" t="str" cm="1">
        <f t="array" ref="C328">IF(B328="","",INDEX(UWS!$B$10:$B$41,B328))</f>
        <v/>
      </c>
      <c r="D328" s="40" t="str">
        <f t="shared" si="352"/>
        <v/>
      </c>
      <c r="E328" s="69" t="str">
        <f t="shared" si="353"/>
        <v/>
      </c>
      <c r="F328" s="48" cm="1">
        <f t="array" ref="F328">0.1+IFERROR(INDEX($F$5:$F327,SUMPRODUCT(MAX(ROW($C$5:$C327)*($C328=$C$5:$C327))-ROW($A$4)))*0.9^($A328-INDEX($A$5:A327,SUMPRODUCT(MAX(ROW($C$5:$C327)*($C328=$C$5:$C327))-ROW($A$4)))),0)</f>
        <v>26.300000000000104</v>
      </c>
      <c r="G328" s="55" t="e">
        <f>INDEX(UWS!$AB$10:$AB$41,MATCH(C328,UWS!$B$10:$B$41,0))</f>
        <v>#N/A</v>
      </c>
      <c r="H328" s="48" t="e">
        <f>INDEX(UWS!$C$10:$C$41,MATCH(C328,UWS!$B$10:$B$41,0))</f>
        <v>#N/A</v>
      </c>
      <c r="I328" s="27">
        <f t="shared" si="354"/>
        <v>5</v>
      </c>
      <c r="J328" s="27" t="e">
        <f>INDEX(UWS!$E$10:$E$41,MATCH(C328,UWS!$B$10:$B$41,0))</f>
        <v>#N/A</v>
      </c>
      <c r="L328" s="108" t="str" cm="1">
        <f t="array" ref="L328">IF(K328="","",INDEX(UWS!$B$10:$B$41,K328))</f>
        <v/>
      </c>
      <c r="N328" s="108" t="str" cm="1">
        <f t="array" ref="N328">IF(M328="","",INDEX(UWS!$B$10:$B$41,M328))</f>
        <v/>
      </c>
      <c r="P328">
        <f>IFERROR(INDEX(UWS!$G$10:$Z$41,MATCH($C328,UWS!$B$10:$B$41,0),MATCH(P$4,UWS!$G$3:$Z$3,0)),0)</f>
        <v>0</v>
      </c>
      <c r="Q328">
        <f>IFERROR(INDEX(UWS!$G$10:$Z$41,MATCH($C328,UWS!$B$10:$B$41,0),MATCH(Q$4,UWS!$G$3:$Z$3,0)),0)</f>
        <v>0</v>
      </c>
      <c r="R328">
        <f>IFERROR(INDEX(UWS!$G$10:$Z$41,MATCH($C328,UWS!$B$10:$B$41,0),MATCH(R$4,UWS!$G$3:$Z$3,0)),0)</f>
        <v>0</v>
      </c>
      <c r="S328">
        <f>IFERROR(INDEX(UWS!$G$10:$Z$41,MATCH($C328,UWS!$B$10:$B$41,0),MATCH(S$4,UWS!$G$3:$Z$3,0)),0)</f>
        <v>0</v>
      </c>
      <c r="T328">
        <f>IFERROR(INDEX(UWS!$G$10:$Z$41,MATCH($C328,UWS!$B$10:$B$41,0),MATCH(T$4,UWS!$G$3:$Z$3,0)),0)</f>
        <v>0</v>
      </c>
      <c r="U328">
        <f>IFERROR(INDEX(UWS!$G$10:$Z$41,MATCH($C328,UWS!$B$10:$B$41,0),MATCH(U$4,UWS!$G$3:$Z$3,0)),0)</f>
        <v>0</v>
      </c>
      <c r="V328">
        <f>IFERROR(INDEX(UWS!$G$10:$Z$41,MATCH($C328,UWS!$B$10:$B$41,0),MATCH(V$4,UWS!$G$3:$Z$3,0)),0)</f>
        <v>0</v>
      </c>
      <c r="W328">
        <f>IFERROR(INDEX(UWS!$G$10:$Z$41,MATCH($C328,UWS!$B$10:$B$41,0),MATCH(W$4,UWS!$G$3:$Z$3,0)),0)</f>
        <v>0</v>
      </c>
      <c r="X328">
        <f>IFERROR(INDEX(UWS!$G$10:$Z$41,MATCH($C328,UWS!$B$10:$B$41,0),MATCH(X$4,UWS!$G$3:$Z$3,0)),0)</f>
        <v>0</v>
      </c>
      <c r="Y328">
        <f>IFERROR(INDEX(UWS!$G$10:$Z$41,MATCH($C328,UWS!$B$10:$B$41,0),MATCH(Y$4,UWS!$G$3:$Z$3,0)),0)</f>
        <v>0</v>
      </c>
      <c r="Z328">
        <f>IFERROR(INDEX(UWS!$G$10:$Z$41,MATCH($C328,UWS!$B$10:$B$41,0),MATCH(Z$4,UWS!$G$3:$Z$3,0)),0)</f>
        <v>0</v>
      </c>
      <c r="AA328">
        <f>IFERROR(INDEX(UWS!$G$10:$Z$41,MATCH($C328,UWS!$B$10:$B$41,0),MATCH(AA$4,UWS!$G$3:$Z$3,0)),0)</f>
        <v>0</v>
      </c>
      <c r="AB328">
        <f>IFERROR(INDEX(UWS!$G$10:$Z$41,MATCH($C328,UWS!$B$10:$B$41,0),MATCH(AB$4,UWS!$G$3:$Z$3,0)),0)</f>
        <v>0</v>
      </c>
      <c r="AC328">
        <f>IFERROR(INDEX(UWS!$G$10:$Z$41,MATCH($C328,UWS!$B$10:$B$41,0),MATCH(AC$4,UWS!$G$3:$Z$3,0)),0)</f>
        <v>0</v>
      </c>
      <c r="AD328">
        <f>IFERROR(INDEX(UWS!$G$10:$Z$41,MATCH($C328,UWS!$B$10:$B$41,0),MATCH(AD$4,UWS!$G$3:$Z$3,0)),0)</f>
        <v>0</v>
      </c>
      <c r="AE328">
        <f>IFERROR(INDEX(UWS!$G$10:$Z$41,MATCH($C328,UWS!$B$10:$B$41,0),MATCH(AE$4,UWS!$G$3:$Z$3,0)),0)</f>
        <v>0</v>
      </c>
      <c r="AF328">
        <f>IFERROR(INDEX(UWS!$G$10:$Z$41,MATCH($C328,UWS!$B$10:$B$41,0),MATCH(AF$4,UWS!$G$3:$Z$3,0)),0)</f>
        <v>0</v>
      </c>
      <c r="AG328">
        <f>IFERROR(INDEX(UWS!$G$10:$Z$41,MATCH($C328,UWS!$B$10:$B$41,0),MATCH(AG$4,UWS!$G$3:$Z$3,0)),0)</f>
        <v>0</v>
      </c>
      <c r="AH328">
        <f>IFERROR(INDEX(UWS!$G$10:$Z$41,MATCH($C328,UWS!$B$10:$B$41,0),MATCH(AH$4,UWS!$G$3:$Z$3,0)),0)</f>
        <v>0</v>
      </c>
      <c r="AI328">
        <f>IFERROR(INDEX(UWS!$G$10:$Z$41,MATCH($C328,UWS!$B$10:$B$41,0),MATCH(AI$4,UWS!$G$3:$Z$3,0)),0)</f>
        <v>0</v>
      </c>
      <c r="AK328" t="e">
        <f>IF(OR($J328=0,COUNTIFS($A$4:$A327,"&gt;="&amp;$A328-1,$A$4:$A327,"&lt;="&amp;$A328,$B$4:$B327,$B328)&gt;0,MIN(AK$1,IF($A328=$A327,AK327,1))-P328&lt;0),-1,MIN(1,IF($A328=$A327,AK327,1)-P328+$D$3))</f>
        <v>#N/A</v>
      </c>
      <c r="AL328" t="e">
        <f>IF(OR($J328=0,COUNTIFS($A$4:$A327,"&gt;="&amp;$A328-1,$A$4:$A327,"&lt;="&amp;$A328,$B$4:$B327,$B328)&gt;0,MIN(AL$1,IF($A328=$A327,AL327,1))-Q328&lt;0),-1,MIN(1,IF($A328=$A327,AL327,1)-Q328+$D$3))</f>
        <v>#N/A</v>
      </c>
      <c r="AM328" t="e">
        <f>IF(OR($J328=0,COUNTIFS($A$4:$A327,"&gt;="&amp;$A328-1,$A$4:$A327,"&lt;="&amp;$A328,$B$4:$B327,$B328)&gt;0,MIN(AM$1,IF($A328=$A327,AM327,1))-R328&lt;0),-1,MIN(1,IF($A328=$A327,AM327,1)-R328+$D$3))</f>
        <v>#N/A</v>
      </c>
      <c r="AN328" t="e">
        <f>IF(OR($J328=0,COUNTIFS($A$4:$A327,"&gt;="&amp;$A328-1,$A$4:$A327,"&lt;="&amp;$A328,$B$4:$B327,$B328)&gt;0,MIN(AN$1,IF($A328=$A327,AN327,1))-S328&lt;0),-1,MIN(1,IF($A328=$A327,AN327,1)-S328+$D$3))</f>
        <v>#N/A</v>
      </c>
      <c r="AO328" t="e">
        <f>IF(OR($J328=0,COUNTIFS($A$4:$A327,"&gt;="&amp;$A328-1,$A$4:$A327,"&lt;="&amp;$A328,$B$4:$B327,$B328)&gt;0,MIN(AO$1,IF($A328=$A327,AO327,1))-T328&lt;0),-1,MIN(1,IF($A328=$A327,AO327,1)-T328+$D$3))</f>
        <v>#N/A</v>
      </c>
      <c r="AP328" t="e">
        <f>IF(OR($J328=0,COUNTIFS($A$4:$A327,"&gt;="&amp;$A328-1,$A$4:$A327,"&lt;="&amp;$A328,$B$4:$B327,$B328)&gt;0,MIN(AP$1,IF($A328=$A327,AP327,1))-U328&lt;0),-1,MIN(1,IF($A328=$A327,AP327,1)-U328+$D$3))</f>
        <v>#N/A</v>
      </c>
      <c r="AQ328" t="e">
        <f>IF(OR($J328=0,COUNTIFS($A$4:$A327,"&gt;="&amp;$A328-1,$A$4:$A327,"&lt;="&amp;$A328,$B$4:$B327,$B328)&gt;0,MIN(AQ$1,IF($A328=$A327,AQ327,1))-V328&lt;0),-1,MIN(1,IF($A328=$A327,AQ327,1)-V328+$D$3))</f>
        <v>#N/A</v>
      </c>
      <c r="AR328" t="e">
        <f>IF(OR($J328=0,COUNTIFS($A$4:$A327,"&gt;="&amp;$A328-1,$A$4:$A327,"&lt;="&amp;$A328,$B$4:$B327,$B328)&gt;0,MIN(AR$1,IF($A328=$A327,AR327,1))-W328&lt;0),-1,MIN(1,IF($A328=$A327,AR327,1)-W328+$D$3))</f>
        <v>#N/A</v>
      </c>
      <c r="AS328" t="e">
        <f>IF(OR($J328=0,COUNTIFS($A$4:$A327,"&gt;="&amp;$A328-1,$A$4:$A327,"&lt;="&amp;$A328,$B$4:$B327,$B328)&gt;0,MIN(AS$1,IF($A328=$A327,AS327,1))-X328&lt;0),-1,MIN(1,IF($A328=$A327,AS327,1)-X328+$D$3))</f>
        <v>#N/A</v>
      </c>
      <c r="AT328" t="e">
        <f>IF(OR($J328=0,COUNTIFS($A$4:$A327,"&gt;="&amp;$A328-1,$A$4:$A327,"&lt;="&amp;$A328,$B$4:$B327,$B328)&gt;0,MIN(AT$1,IF($A328=$A327,AT327,1))-Y328&lt;0),-1,MIN(1,IF($A328=$A327,AT327,1)-Y328+$D$3))</f>
        <v>#N/A</v>
      </c>
      <c r="AU328" t="e">
        <f>IF(OR($J328=0,COUNTIFS($A$4:$A327,"&gt;="&amp;$A328-1,$A$4:$A327,"&lt;="&amp;$A328,$B$4:$B327,$B328)&gt;0,MIN(AU$1,IF($A328=$A327,AU327,1))-Z328&lt;0),-1,MIN(1,IF($A328=$A327,AU327,1)-Z328+$D$3))</f>
        <v>#N/A</v>
      </c>
      <c r="AV328" t="e">
        <f>IF(OR($J328=0,COUNTIFS($A$4:$A327,"&gt;="&amp;$A328-1,$A$4:$A327,"&lt;="&amp;$A328,$B$4:$B327,$B328)&gt;0,MIN(AV$1,IF($A328=$A327,AV327,1))-AA328&lt;0),-1,MIN(1,IF($A328=$A327,AV327,1)-AA328+$D$3))</f>
        <v>#N/A</v>
      </c>
      <c r="AW328" t="e">
        <f>IF(OR($J328=0,COUNTIFS($A$4:$A327,"&gt;="&amp;$A328-1,$A$4:$A327,"&lt;="&amp;$A328,$B$4:$B327,$B328)&gt;0,MIN(AW$1,IF($A328=$A327,AW327,1))-AB328&lt;0),-1,MIN(1,IF($A328=$A327,AW327,1)-AB328+$D$3))</f>
        <v>#N/A</v>
      </c>
      <c r="AX328" t="e">
        <f>IF(OR($J328=0,COUNTIFS($A$4:$A327,"&gt;="&amp;$A328-1,$A$4:$A327,"&lt;="&amp;$A328,$B$4:$B327,$B328)&gt;0,MIN(AX$1,IF($A328=$A327,AX327,1))-AC328&lt;0),-1,MIN(1,IF($A328=$A327,AX327,1)-AC328+$D$3))</f>
        <v>#N/A</v>
      </c>
      <c r="AY328" t="e">
        <f>IF(OR($J328=0,COUNTIFS($A$4:$A327,"&gt;="&amp;$A328-1,$A$4:$A327,"&lt;="&amp;$A328,$B$4:$B327,$B328)&gt;0,MIN(AY$1,IF($A328=$A327,AY327,1))-AD328&lt;0),-1,MIN(1,IF($A328=$A327,AY327,1)-AD328+$D$3))</f>
        <v>#N/A</v>
      </c>
      <c r="AZ328" t="e">
        <f>IF(OR($J328=0,COUNTIFS($A$4:$A327,"&gt;="&amp;$A328-1,$A$4:$A327,"&lt;="&amp;$A328,$B$4:$B327,$B328)&gt;0,MIN(AZ$1,IF($A328=$A327,AZ327,1))-AE328&lt;0),-1,MIN(1,IF($A328=$A327,AZ327,1)-AE328+$D$3))</f>
        <v>#N/A</v>
      </c>
      <c r="BA328" t="e">
        <f>IF(OR($J328=0,COUNTIFS($A$4:$A327,"&gt;="&amp;$A328-1,$A$4:$A327,"&lt;="&amp;$A328,$B$4:$B327,$B328)&gt;0,MIN(BA$1,IF($A328=$A327,BA327,1))-AF328&lt;0),-1,MIN(1,IF($A328=$A327,BA327,1)-AF328+$D$3))</f>
        <v>#N/A</v>
      </c>
      <c r="BB328" t="e">
        <f>IF(OR($J328=0,COUNTIFS($A$4:$A327,"&gt;="&amp;$A328-1,$A$4:$A327,"&lt;="&amp;$A328,$B$4:$B327,$B328)&gt;0,MIN(BB$1,IF($A328=$A327,BB327,1))-AG328&lt;0),-1,MIN(1,IF($A328=$A327,BB327,1)-AG328+$D$3))</f>
        <v>#N/A</v>
      </c>
      <c r="BC328" t="e">
        <f>IF(OR($J328=0,COUNTIFS($A$4:$A327,"&gt;="&amp;$A328-1,$A$4:$A327,"&lt;="&amp;$A328,$B$4:$B327,$B328)&gt;0,MIN(BC$1,IF($A328=$A327,BC327,1))-AH328&lt;0),-1,MIN(1,IF($A328=$A327,BC327,1)-AH328+$D$3))</f>
        <v>#N/A</v>
      </c>
      <c r="BD328" t="e">
        <f>IF(OR($J328=0,COUNTIFS($A$4:$A327,"&gt;="&amp;$A328-1,$A$4:$A327,"&lt;="&amp;$A328,$B$4:$B327,$B328)&gt;0,MIN(BD$1,IF($A328=$A327,BD327,1))-AI328&lt;0),-1,MIN(1,IF($A328=$A327,BD327,1)-AI328+$D$3))</f>
        <v>#N/A</v>
      </c>
      <c r="BF328" s="44">
        <f t="shared" si="355"/>
        <v>1.2845588552756881E-7</v>
      </c>
      <c r="BG328" s="44">
        <f t="shared" si="356"/>
        <v>3.159092703561039E-7</v>
      </c>
      <c r="BH328" s="44">
        <f t="shared" si="357"/>
        <v>3.2377377171420851E-7</v>
      </c>
      <c r="BI328" s="44">
        <f t="shared" si="358"/>
        <v>2.9907707307083988E-7</v>
      </c>
      <c r="BJ328" s="44">
        <f t="shared" si="359"/>
        <v>3.0912454818769799E-7</v>
      </c>
      <c r="BK328" s="44">
        <f t="shared" si="360"/>
        <v>1.3274960668190233E-7</v>
      </c>
      <c r="BL328" s="44">
        <f t="shared" si="361"/>
        <v>7.1713425998718133E-8</v>
      </c>
      <c r="BM328" s="44">
        <f t="shared" si="362"/>
        <v>1.8243058140285386E-7</v>
      </c>
      <c r="BN328" s="44">
        <f t="shared" si="363"/>
        <v>1.8974202245585837E-7</v>
      </c>
      <c r="BO328" s="44">
        <f t="shared" si="364"/>
        <v>8.8920311606189857E-8</v>
      </c>
      <c r="BP328" s="44">
        <f t="shared" si="365"/>
        <v>2.9899256661362703E-7</v>
      </c>
      <c r="BQ328" s="44">
        <f t="shared" si="366"/>
        <v>8.0685716839228784E-8</v>
      </c>
      <c r="BR328" s="44">
        <f t="shared" si="367"/>
        <v>2.3836580529026055E-7</v>
      </c>
      <c r="BS328" s="44">
        <f t="shared" si="368"/>
        <v>1.2855384193440933E-7</v>
      </c>
      <c r="BT328" s="44">
        <f t="shared" si="369"/>
        <v>5.087269641146641E-7</v>
      </c>
      <c r="BU328" s="44">
        <f t="shared" si="370"/>
        <v>4.8598733252378377E-7</v>
      </c>
      <c r="BV328" s="44">
        <f t="shared" si="371"/>
        <v>4.667261556177699E-7</v>
      </c>
      <c r="BW328" s="44">
        <f t="shared" si="372"/>
        <v>3.0526458990909314E-7</v>
      </c>
      <c r="BX328" s="44">
        <f t="shared" si="373"/>
        <v>2.255239356481304E-7</v>
      </c>
      <c r="BY328" s="44">
        <f t="shared" si="374"/>
        <v>1.9363821978705627E-7</v>
      </c>
      <c r="CA328" s="44" t="str">
        <f t="shared" si="375"/>
        <v/>
      </c>
      <c r="CB328" s="44" t="str">
        <f t="shared" si="376"/>
        <v/>
      </c>
      <c r="CC328" s="44" t="str">
        <f t="shared" si="377"/>
        <v/>
      </c>
      <c r="CD328" s="44" t="str">
        <f t="shared" si="378"/>
        <v/>
      </c>
      <c r="CE328" s="44" t="str">
        <f t="shared" si="379"/>
        <v/>
      </c>
      <c r="CF328" s="44" t="str">
        <f t="shared" si="380"/>
        <v/>
      </c>
      <c r="CG328" s="44" t="str">
        <f t="shared" si="381"/>
        <v/>
      </c>
      <c r="CH328" s="44" t="str">
        <f t="shared" si="382"/>
        <v/>
      </c>
      <c r="CI328" s="44" t="str">
        <f t="shared" si="383"/>
        <v/>
      </c>
      <c r="CJ328" s="44" t="str">
        <f t="shared" si="384"/>
        <v/>
      </c>
      <c r="CK328" s="44" t="str">
        <f t="shared" si="385"/>
        <v/>
      </c>
      <c r="CL328" s="44" t="str">
        <f t="shared" si="386"/>
        <v/>
      </c>
      <c r="CM328" s="44" t="str">
        <f t="shared" si="387"/>
        <v/>
      </c>
      <c r="CN328" s="44" t="str">
        <f t="shared" si="388"/>
        <v/>
      </c>
      <c r="CO328" s="44" t="str">
        <f t="shared" si="389"/>
        <v/>
      </c>
      <c r="CP328" s="44" t="str">
        <f t="shared" si="390"/>
        <v/>
      </c>
      <c r="CQ328" s="44" t="str">
        <f t="shared" si="391"/>
        <v/>
      </c>
      <c r="CR328" s="44" t="str">
        <f t="shared" si="392"/>
        <v/>
      </c>
      <c r="CS328" s="44" t="str">
        <f t="shared" si="393"/>
        <v/>
      </c>
      <c r="CT328" s="44" t="str">
        <f t="shared" si="394"/>
        <v/>
      </c>
      <c r="CV328" s="44">
        <f t="shared" si="395"/>
        <v>0</v>
      </c>
    </row>
    <row r="329" spans="1:100" x14ac:dyDescent="0.25">
      <c r="A329" s="41"/>
      <c r="B329" s="42"/>
      <c r="C329" s="43" t="str" cm="1">
        <f t="array" ref="C329">IF(B329="","",INDEX(UWS!$B$10:$B$41,B329))</f>
        <v/>
      </c>
      <c r="D329" s="40" t="str">
        <f t="shared" si="352"/>
        <v/>
      </c>
      <c r="E329" s="69" t="str">
        <f t="shared" si="353"/>
        <v/>
      </c>
      <c r="F329" s="48" cm="1">
        <f t="array" ref="F329">0.1+IFERROR(INDEX($F$5:$F328,SUMPRODUCT(MAX(ROW($C$5:$C328)*($C329=$C$5:$C328))-ROW($A$4)))*0.9^($A329-INDEX($A$5:A328,SUMPRODUCT(MAX(ROW($C$5:$C328)*($C329=$C$5:$C328))-ROW($A$4)))),0)</f>
        <v>26.400000000000105</v>
      </c>
      <c r="G329" s="55" t="e">
        <f>INDEX(UWS!$AB$10:$AB$41,MATCH(C329,UWS!$B$10:$B$41,0))</f>
        <v>#N/A</v>
      </c>
      <c r="H329" s="48" t="e">
        <f>INDEX(UWS!$C$10:$C$41,MATCH(C329,UWS!$B$10:$B$41,0))</f>
        <v>#N/A</v>
      </c>
      <c r="I329" s="27">
        <f t="shared" si="354"/>
        <v>5</v>
      </c>
      <c r="J329" s="27" t="e">
        <f>INDEX(UWS!$E$10:$E$41,MATCH(C329,UWS!$B$10:$B$41,0))</f>
        <v>#N/A</v>
      </c>
      <c r="L329" s="108" t="str" cm="1">
        <f t="array" ref="L329">IF(K329="","",INDEX(UWS!$B$10:$B$41,K329))</f>
        <v/>
      </c>
      <c r="N329" s="108" t="str" cm="1">
        <f t="array" ref="N329">IF(M329="","",INDEX(UWS!$B$10:$B$41,M329))</f>
        <v/>
      </c>
      <c r="P329">
        <f>IFERROR(INDEX(UWS!$G$10:$Z$41,MATCH($C329,UWS!$B$10:$B$41,0),MATCH(P$4,UWS!$G$3:$Z$3,0)),0)</f>
        <v>0</v>
      </c>
      <c r="Q329">
        <f>IFERROR(INDEX(UWS!$G$10:$Z$41,MATCH($C329,UWS!$B$10:$B$41,0),MATCH(Q$4,UWS!$G$3:$Z$3,0)),0)</f>
        <v>0</v>
      </c>
      <c r="R329">
        <f>IFERROR(INDEX(UWS!$G$10:$Z$41,MATCH($C329,UWS!$B$10:$B$41,0),MATCH(R$4,UWS!$G$3:$Z$3,0)),0)</f>
        <v>0</v>
      </c>
      <c r="S329">
        <f>IFERROR(INDEX(UWS!$G$10:$Z$41,MATCH($C329,UWS!$B$10:$B$41,0),MATCH(S$4,UWS!$G$3:$Z$3,0)),0)</f>
        <v>0</v>
      </c>
      <c r="T329">
        <f>IFERROR(INDEX(UWS!$G$10:$Z$41,MATCH($C329,UWS!$B$10:$B$41,0),MATCH(T$4,UWS!$G$3:$Z$3,0)),0)</f>
        <v>0</v>
      </c>
      <c r="U329">
        <f>IFERROR(INDEX(UWS!$G$10:$Z$41,MATCH($C329,UWS!$B$10:$B$41,0),MATCH(U$4,UWS!$G$3:$Z$3,0)),0)</f>
        <v>0</v>
      </c>
      <c r="V329">
        <f>IFERROR(INDEX(UWS!$G$10:$Z$41,MATCH($C329,UWS!$B$10:$B$41,0),MATCH(V$4,UWS!$G$3:$Z$3,0)),0)</f>
        <v>0</v>
      </c>
      <c r="W329">
        <f>IFERROR(INDEX(UWS!$G$10:$Z$41,MATCH($C329,UWS!$B$10:$B$41,0),MATCH(W$4,UWS!$G$3:$Z$3,0)),0)</f>
        <v>0</v>
      </c>
      <c r="X329">
        <f>IFERROR(INDEX(UWS!$G$10:$Z$41,MATCH($C329,UWS!$B$10:$B$41,0),MATCH(X$4,UWS!$G$3:$Z$3,0)),0)</f>
        <v>0</v>
      </c>
      <c r="Y329">
        <f>IFERROR(INDEX(UWS!$G$10:$Z$41,MATCH($C329,UWS!$B$10:$B$41,0),MATCH(Y$4,UWS!$G$3:$Z$3,0)),0)</f>
        <v>0</v>
      </c>
      <c r="Z329">
        <f>IFERROR(INDEX(UWS!$G$10:$Z$41,MATCH($C329,UWS!$B$10:$B$41,0),MATCH(Z$4,UWS!$G$3:$Z$3,0)),0)</f>
        <v>0</v>
      </c>
      <c r="AA329">
        <f>IFERROR(INDEX(UWS!$G$10:$Z$41,MATCH($C329,UWS!$B$10:$B$41,0),MATCH(AA$4,UWS!$G$3:$Z$3,0)),0)</f>
        <v>0</v>
      </c>
      <c r="AB329">
        <f>IFERROR(INDEX(UWS!$G$10:$Z$41,MATCH($C329,UWS!$B$10:$B$41,0),MATCH(AB$4,UWS!$G$3:$Z$3,0)),0)</f>
        <v>0</v>
      </c>
      <c r="AC329">
        <f>IFERROR(INDEX(UWS!$G$10:$Z$41,MATCH($C329,UWS!$B$10:$B$41,0),MATCH(AC$4,UWS!$G$3:$Z$3,0)),0)</f>
        <v>0</v>
      </c>
      <c r="AD329">
        <f>IFERROR(INDEX(UWS!$G$10:$Z$41,MATCH($C329,UWS!$B$10:$B$41,0),MATCH(AD$4,UWS!$G$3:$Z$3,0)),0)</f>
        <v>0</v>
      </c>
      <c r="AE329">
        <f>IFERROR(INDEX(UWS!$G$10:$Z$41,MATCH($C329,UWS!$B$10:$B$41,0),MATCH(AE$4,UWS!$G$3:$Z$3,0)),0)</f>
        <v>0</v>
      </c>
      <c r="AF329">
        <f>IFERROR(INDEX(UWS!$G$10:$Z$41,MATCH($C329,UWS!$B$10:$B$41,0),MATCH(AF$4,UWS!$G$3:$Z$3,0)),0)</f>
        <v>0</v>
      </c>
      <c r="AG329">
        <f>IFERROR(INDEX(UWS!$G$10:$Z$41,MATCH($C329,UWS!$B$10:$B$41,0),MATCH(AG$4,UWS!$G$3:$Z$3,0)),0)</f>
        <v>0</v>
      </c>
      <c r="AH329">
        <f>IFERROR(INDEX(UWS!$G$10:$Z$41,MATCH($C329,UWS!$B$10:$B$41,0),MATCH(AH$4,UWS!$G$3:$Z$3,0)),0)</f>
        <v>0</v>
      </c>
      <c r="AI329">
        <f>IFERROR(INDEX(UWS!$G$10:$Z$41,MATCH($C329,UWS!$B$10:$B$41,0),MATCH(AI$4,UWS!$G$3:$Z$3,0)),0)</f>
        <v>0</v>
      </c>
      <c r="AK329" t="e">
        <f>IF(OR($J329=0,COUNTIFS($A$4:$A328,"&gt;="&amp;$A329-1,$A$4:$A328,"&lt;="&amp;$A329,$B$4:$B328,$B329)&gt;0,MIN(AK$1,IF($A329=$A328,AK328,1))-P329&lt;0),-1,MIN(1,IF($A329=$A328,AK328,1)-P329+$D$3))</f>
        <v>#N/A</v>
      </c>
      <c r="AL329" t="e">
        <f>IF(OR($J329=0,COUNTIFS($A$4:$A328,"&gt;="&amp;$A329-1,$A$4:$A328,"&lt;="&amp;$A329,$B$4:$B328,$B329)&gt;0,MIN(AL$1,IF($A329=$A328,AL328,1))-Q329&lt;0),-1,MIN(1,IF($A329=$A328,AL328,1)-Q329+$D$3))</f>
        <v>#N/A</v>
      </c>
      <c r="AM329" t="e">
        <f>IF(OR($J329=0,COUNTIFS($A$4:$A328,"&gt;="&amp;$A329-1,$A$4:$A328,"&lt;="&amp;$A329,$B$4:$B328,$B329)&gt;0,MIN(AM$1,IF($A329=$A328,AM328,1))-R329&lt;0),-1,MIN(1,IF($A329=$A328,AM328,1)-R329+$D$3))</f>
        <v>#N/A</v>
      </c>
      <c r="AN329" t="e">
        <f>IF(OR($J329=0,COUNTIFS($A$4:$A328,"&gt;="&amp;$A329-1,$A$4:$A328,"&lt;="&amp;$A329,$B$4:$B328,$B329)&gt;0,MIN(AN$1,IF($A329=$A328,AN328,1))-S329&lt;0),-1,MIN(1,IF($A329=$A328,AN328,1)-S329+$D$3))</f>
        <v>#N/A</v>
      </c>
      <c r="AO329" t="e">
        <f>IF(OR($J329=0,COUNTIFS($A$4:$A328,"&gt;="&amp;$A329-1,$A$4:$A328,"&lt;="&amp;$A329,$B$4:$B328,$B329)&gt;0,MIN(AO$1,IF($A329=$A328,AO328,1))-T329&lt;0),-1,MIN(1,IF($A329=$A328,AO328,1)-T329+$D$3))</f>
        <v>#N/A</v>
      </c>
      <c r="AP329" t="e">
        <f>IF(OR($J329=0,COUNTIFS($A$4:$A328,"&gt;="&amp;$A329-1,$A$4:$A328,"&lt;="&amp;$A329,$B$4:$B328,$B329)&gt;0,MIN(AP$1,IF($A329=$A328,AP328,1))-U329&lt;0),-1,MIN(1,IF($A329=$A328,AP328,1)-U329+$D$3))</f>
        <v>#N/A</v>
      </c>
      <c r="AQ329" t="e">
        <f>IF(OR($J329=0,COUNTIFS($A$4:$A328,"&gt;="&amp;$A329-1,$A$4:$A328,"&lt;="&amp;$A329,$B$4:$B328,$B329)&gt;0,MIN(AQ$1,IF($A329=$A328,AQ328,1))-V329&lt;0),-1,MIN(1,IF($A329=$A328,AQ328,1)-V329+$D$3))</f>
        <v>#N/A</v>
      </c>
      <c r="AR329" t="e">
        <f>IF(OR($J329=0,COUNTIFS($A$4:$A328,"&gt;="&amp;$A329-1,$A$4:$A328,"&lt;="&amp;$A329,$B$4:$B328,$B329)&gt;0,MIN(AR$1,IF($A329=$A328,AR328,1))-W329&lt;0),-1,MIN(1,IF($A329=$A328,AR328,1)-W329+$D$3))</f>
        <v>#N/A</v>
      </c>
      <c r="AS329" t="e">
        <f>IF(OR($J329=0,COUNTIFS($A$4:$A328,"&gt;="&amp;$A329-1,$A$4:$A328,"&lt;="&amp;$A329,$B$4:$B328,$B329)&gt;0,MIN(AS$1,IF($A329=$A328,AS328,1))-X329&lt;0),-1,MIN(1,IF($A329=$A328,AS328,1)-X329+$D$3))</f>
        <v>#N/A</v>
      </c>
      <c r="AT329" t="e">
        <f>IF(OR($J329=0,COUNTIFS($A$4:$A328,"&gt;="&amp;$A329-1,$A$4:$A328,"&lt;="&amp;$A329,$B$4:$B328,$B329)&gt;0,MIN(AT$1,IF($A329=$A328,AT328,1))-Y329&lt;0),-1,MIN(1,IF($A329=$A328,AT328,1)-Y329+$D$3))</f>
        <v>#N/A</v>
      </c>
      <c r="AU329" t="e">
        <f>IF(OR($J329=0,COUNTIFS($A$4:$A328,"&gt;="&amp;$A329-1,$A$4:$A328,"&lt;="&amp;$A329,$B$4:$B328,$B329)&gt;0,MIN(AU$1,IF($A329=$A328,AU328,1))-Z329&lt;0),-1,MIN(1,IF($A329=$A328,AU328,1)-Z329+$D$3))</f>
        <v>#N/A</v>
      </c>
      <c r="AV329" t="e">
        <f>IF(OR($J329=0,COUNTIFS($A$4:$A328,"&gt;="&amp;$A329-1,$A$4:$A328,"&lt;="&amp;$A329,$B$4:$B328,$B329)&gt;0,MIN(AV$1,IF($A329=$A328,AV328,1))-AA329&lt;0),-1,MIN(1,IF($A329=$A328,AV328,1)-AA329+$D$3))</f>
        <v>#N/A</v>
      </c>
      <c r="AW329" t="e">
        <f>IF(OR($J329=0,COUNTIFS($A$4:$A328,"&gt;="&amp;$A329-1,$A$4:$A328,"&lt;="&amp;$A329,$B$4:$B328,$B329)&gt;0,MIN(AW$1,IF($A329=$A328,AW328,1))-AB329&lt;0),-1,MIN(1,IF($A329=$A328,AW328,1)-AB329+$D$3))</f>
        <v>#N/A</v>
      </c>
      <c r="AX329" t="e">
        <f>IF(OR($J329=0,COUNTIFS($A$4:$A328,"&gt;="&amp;$A329-1,$A$4:$A328,"&lt;="&amp;$A329,$B$4:$B328,$B329)&gt;0,MIN(AX$1,IF($A329=$A328,AX328,1))-AC329&lt;0),-1,MIN(1,IF($A329=$A328,AX328,1)-AC329+$D$3))</f>
        <v>#N/A</v>
      </c>
      <c r="AY329" t="e">
        <f>IF(OR($J329=0,COUNTIFS($A$4:$A328,"&gt;="&amp;$A329-1,$A$4:$A328,"&lt;="&amp;$A329,$B$4:$B328,$B329)&gt;0,MIN(AY$1,IF($A329=$A328,AY328,1))-AD329&lt;0),-1,MIN(1,IF($A329=$A328,AY328,1)-AD329+$D$3))</f>
        <v>#N/A</v>
      </c>
      <c r="AZ329" t="e">
        <f>IF(OR($J329=0,COUNTIFS($A$4:$A328,"&gt;="&amp;$A329-1,$A$4:$A328,"&lt;="&amp;$A329,$B$4:$B328,$B329)&gt;0,MIN(AZ$1,IF($A329=$A328,AZ328,1))-AE329&lt;0),-1,MIN(1,IF($A329=$A328,AZ328,1)-AE329+$D$3))</f>
        <v>#N/A</v>
      </c>
      <c r="BA329" t="e">
        <f>IF(OR($J329=0,COUNTIFS($A$4:$A328,"&gt;="&amp;$A329-1,$A$4:$A328,"&lt;="&amp;$A329,$B$4:$B328,$B329)&gt;0,MIN(BA$1,IF($A329=$A328,BA328,1))-AF329&lt;0),-1,MIN(1,IF($A329=$A328,BA328,1)-AF329+$D$3))</f>
        <v>#N/A</v>
      </c>
      <c r="BB329" t="e">
        <f>IF(OR($J329=0,COUNTIFS($A$4:$A328,"&gt;="&amp;$A329-1,$A$4:$A328,"&lt;="&amp;$A329,$B$4:$B328,$B329)&gt;0,MIN(BB$1,IF($A329=$A328,BB328,1))-AG329&lt;0),-1,MIN(1,IF($A329=$A328,BB328,1)-AG329+$D$3))</f>
        <v>#N/A</v>
      </c>
      <c r="BC329" t="e">
        <f>IF(OR($J329=0,COUNTIFS($A$4:$A328,"&gt;="&amp;$A329-1,$A$4:$A328,"&lt;="&amp;$A329,$B$4:$B328,$B329)&gt;0,MIN(BC$1,IF($A329=$A328,BC328,1))-AH329&lt;0),-1,MIN(1,IF($A329=$A328,BC328,1)-AH329+$D$3))</f>
        <v>#N/A</v>
      </c>
      <c r="BD329" t="e">
        <f>IF(OR($J329=0,COUNTIFS($A$4:$A328,"&gt;="&amp;$A329-1,$A$4:$A328,"&lt;="&amp;$A329,$B$4:$B328,$B329)&gt;0,MIN(BD$1,IF($A329=$A328,BD328,1))-AI329&lt;0),-1,MIN(1,IF($A329=$A328,BD328,1)-AI329+$D$3))</f>
        <v>#N/A</v>
      </c>
      <c r="BF329" s="44">
        <f t="shared" si="355"/>
        <v>1.2203309125119035E-7</v>
      </c>
      <c r="BG329" s="44">
        <f t="shared" si="356"/>
        <v>3.0011380683829871E-7</v>
      </c>
      <c r="BH329" s="44">
        <f t="shared" si="357"/>
        <v>3.0758508312849804E-7</v>
      </c>
      <c r="BI329" s="44">
        <f t="shared" si="358"/>
        <v>2.8412321941729788E-7</v>
      </c>
      <c r="BJ329" s="44">
        <f t="shared" si="359"/>
        <v>2.9366832077831306E-7</v>
      </c>
      <c r="BK329" s="44">
        <f t="shared" si="360"/>
        <v>1.261121263478072E-7</v>
      </c>
      <c r="BL329" s="44">
        <f t="shared" si="361"/>
        <v>6.8127754698782217E-8</v>
      </c>
      <c r="BM329" s="44">
        <f t="shared" si="362"/>
        <v>1.7330905233271116E-7</v>
      </c>
      <c r="BN329" s="44">
        <f t="shared" si="363"/>
        <v>1.8025492133306545E-7</v>
      </c>
      <c r="BO329" s="44">
        <f t="shared" si="364"/>
        <v>8.4474296025880358E-8</v>
      </c>
      <c r="BP329" s="44">
        <f t="shared" si="365"/>
        <v>2.8404293828294565E-7</v>
      </c>
      <c r="BQ329" s="44">
        <f t="shared" si="366"/>
        <v>7.6651430997267344E-8</v>
      </c>
      <c r="BR329" s="44">
        <f t="shared" si="367"/>
        <v>2.264475150257475E-7</v>
      </c>
      <c r="BS329" s="44">
        <f t="shared" si="368"/>
        <v>1.2212614983768885E-7</v>
      </c>
      <c r="BT329" s="44">
        <f t="shared" si="369"/>
        <v>4.8329061590893088E-7</v>
      </c>
      <c r="BU329" s="44">
        <f t="shared" si="370"/>
        <v>4.6168796589759454E-7</v>
      </c>
      <c r="BV329" s="44">
        <f t="shared" si="371"/>
        <v>4.4338984783688139E-7</v>
      </c>
      <c r="BW329" s="44">
        <f t="shared" si="372"/>
        <v>2.9000136041363847E-7</v>
      </c>
      <c r="BX329" s="44">
        <f t="shared" si="373"/>
        <v>2.1424773886572387E-7</v>
      </c>
      <c r="BY329" s="44">
        <f t="shared" si="374"/>
        <v>1.8395630879770346E-7</v>
      </c>
      <c r="CA329" s="44" t="str">
        <f t="shared" si="375"/>
        <v/>
      </c>
      <c r="CB329" s="44" t="str">
        <f t="shared" si="376"/>
        <v/>
      </c>
      <c r="CC329" s="44" t="str">
        <f t="shared" si="377"/>
        <v/>
      </c>
      <c r="CD329" s="44" t="str">
        <f t="shared" si="378"/>
        <v/>
      </c>
      <c r="CE329" s="44" t="str">
        <f t="shared" si="379"/>
        <v/>
      </c>
      <c r="CF329" s="44" t="str">
        <f t="shared" si="380"/>
        <v/>
      </c>
      <c r="CG329" s="44" t="str">
        <f t="shared" si="381"/>
        <v/>
      </c>
      <c r="CH329" s="44" t="str">
        <f t="shared" si="382"/>
        <v/>
      </c>
      <c r="CI329" s="44" t="str">
        <f t="shared" si="383"/>
        <v/>
      </c>
      <c r="CJ329" s="44" t="str">
        <f t="shared" si="384"/>
        <v/>
      </c>
      <c r="CK329" s="44" t="str">
        <f t="shared" si="385"/>
        <v/>
      </c>
      <c r="CL329" s="44" t="str">
        <f t="shared" si="386"/>
        <v/>
      </c>
      <c r="CM329" s="44" t="str">
        <f t="shared" si="387"/>
        <v/>
      </c>
      <c r="CN329" s="44" t="str">
        <f t="shared" si="388"/>
        <v/>
      </c>
      <c r="CO329" s="44" t="str">
        <f t="shared" si="389"/>
        <v/>
      </c>
      <c r="CP329" s="44" t="str">
        <f t="shared" si="390"/>
        <v/>
      </c>
      <c r="CQ329" s="44" t="str">
        <f t="shared" si="391"/>
        <v/>
      </c>
      <c r="CR329" s="44" t="str">
        <f t="shared" si="392"/>
        <v/>
      </c>
      <c r="CS329" s="44" t="str">
        <f t="shared" si="393"/>
        <v/>
      </c>
      <c r="CT329" s="44" t="str">
        <f t="shared" si="394"/>
        <v/>
      </c>
      <c r="CV329" s="44">
        <f t="shared" si="395"/>
        <v>0</v>
      </c>
    </row>
    <row r="330" spans="1:100" x14ac:dyDescent="0.25">
      <c r="A330" s="49"/>
      <c r="B330" s="50"/>
      <c r="C330" s="51" t="str" cm="1">
        <f t="array" ref="C330">IF(B330="","",INDEX(UWS!$B$10:$B$41,B330))</f>
        <v/>
      </c>
      <c r="D330" s="45" t="str">
        <f t="shared" si="352"/>
        <v/>
      </c>
      <c r="E330" s="70" t="str">
        <f t="shared" si="353"/>
        <v/>
      </c>
      <c r="F330" s="52" cm="1">
        <f t="array" ref="F330">0.1+IFERROR(INDEX($F$5:$F329,SUMPRODUCT(MAX(ROW($C$5:$C329)*($C330=$C$5:$C329))-ROW($A$4)))*0.9^($A330-INDEX($A$5:A329,SUMPRODUCT(MAX(ROW($C$5:$C329)*($C330=$C$5:$C329))-ROW($A$4)))),0)</f>
        <v>26.500000000000107</v>
      </c>
      <c r="G330" s="56" t="e">
        <f>INDEX(UWS!$AB$10:$AB$41,MATCH(C330,UWS!$B$10:$B$41,0))</f>
        <v>#N/A</v>
      </c>
      <c r="H330" s="52" t="e">
        <f>INDEX(UWS!$C$10:$C$41,MATCH(C330,UWS!$B$10:$B$41,0))</f>
        <v>#N/A</v>
      </c>
      <c r="I330" s="46">
        <f t="shared" si="354"/>
        <v>5</v>
      </c>
      <c r="J330" s="46" t="e">
        <f>INDEX(UWS!$E$10:$E$41,MATCH(C330,UWS!$B$10:$B$41,0))</f>
        <v>#N/A</v>
      </c>
      <c r="K330" s="46"/>
      <c r="L330" s="109" t="str" cm="1">
        <f t="array" ref="L330">IF(K330="","",INDEX(UWS!$B$10:$B$41,K330))</f>
        <v/>
      </c>
      <c r="M330" s="46"/>
      <c r="N330" s="109" t="str" cm="1">
        <f t="array" ref="N330">IF(M330="","",INDEX(UWS!$B$10:$B$41,M330))</f>
        <v/>
      </c>
      <c r="O330" s="47"/>
      <c r="P330" s="47">
        <f>IFERROR(INDEX(UWS!$G$10:$Z$41,MATCH($C330,UWS!$B$10:$B$41,0),MATCH(P$4,UWS!$G$3:$Z$3,0)),0)</f>
        <v>0</v>
      </c>
      <c r="Q330" s="47">
        <f>IFERROR(INDEX(UWS!$G$10:$Z$41,MATCH($C330,UWS!$B$10:$B$41,0),MATCH(Q$4,UWS!$G$3:$Z$3,0)),0)</f>
        <v>0</v>
      </c>
      <c r="R330" s="47">
        <f>IFERROR(INDEX(UWS!$G$10:$Z$41,MATCH($C330,UWS!$B$10:$B$41,0),MATCH(R$4,UWS!$G$3:$Z$3,0)),0)</f>
        <v>0</v>
      </c>
      <c r="S330" s="47">
        <f>IFERROR(INDEX(UWS!$G$10:$Z$41,MATCH($C330,UWS!$B$10:$B$41,0),MATCH(S$4,UWS!$G$3:$Z$3,0)),0)</f>
        <v>0</v>
      </c>
      <c r="T330" s="47">
        <f>IFERROR(INDEX(UWS!$G$10:$Z$41,MATCH($C330,UWS!$B$10:$B$41,0),MATCH(T$4,UWS!$G$3:$Z$3,0)),0)</f>
        <v>0</v>
      </c>
      <c r="U330" s="47">
        <f>IFERROR(INDEX(UWS!$G$10:$Z$41,MATCH($C330,UWS!$B$10:$B$41,0),MATCH(U$4,UWS!$G$3:$Z$3,0)),0)</f>
        <v>0</v>
      </c>
      <c r="V330" s="47">
        <f>IFERROR(INDEX(UWS!$G$10:$Z$41,MATCH($C330,UWS!$B$10:$B$41,0),MATCH(V$4,UWS!$G$3:$Z$3,0)),0)</f>
        <v>0</v>
      </c>
      <c r="W330" s="47">
        <f>IFERROR(INDEX(UWS!$G$10:$Z$41,MATCH($C330,UWS!$B$10:$B$41,0),MATCH(W$4,UWS!$G$3:$Z$3,0)),0)</f>
        <v>0</v>
      </c>
      <c r="X330" s="47">
        <f>IFERROR(INDEX(UWS!$G$10:$Z$41,MATCH($C330,UWS!$B$10:$B$41,0),MATCH(X$4,UWS!$G$3:$Z$3,0)),0)</f>
        <v>0</v>
      </c>
      <c r="Y330" s="47">
        <f>IFERROR(INDEX(UWS!$G$10:$Z$41,MATCH($C330,UWS!$B$10:$B$41,0),MATCH(Y$4,UWS!$G$3:$Z$3,0)),0)</f>
        <v>0</v>
      </c>
      <c r="Z330" s="47">
        <f>IFERROR(INDEX(UWS!$G$10:$Z$41,MATCH($C330,UWS!$B$10:$B$41,0),MATCH(Z$4,UWS!$G$3:$Z$3,0)),0)</f>
        <v>0</v>
      </c>
      <c r="AA330" s="47">
        <f>IFERROR(INDEX(UWS!$G$10:$Z$41,MATCH($C330,UWS!$B$10:$B$41,0),MATCH(AA$4,UWS!$G$3:$Z$3,0)),0)</f>
        <v>0</v>
      </c>
      <c r="AB330" s="47">
        <f>IFERROR(INDEX(UWS!$G$10:$Z$41,MATCH($C330,UWS!$B$10:$B$41,0),MATCH(AB$4,UWS!$G$3:$Z$3,0)),0)</f>
        <v>0</v>
      </c>
      <c r="AC330" s="47">
        <f>IFERROR(INDEX(UWS!$G$10:$Z$41,MATCH($C330,UWS!$B$10:$B$41,0),MATCH(AC$4,UWS!$G$3:$Z$3,0)),0)</f>
        <v>0</v>
      </c>
      <c r="AD330" s="47">
        <f>IFERROR(INDEX(UWS!$G$10:$Z$41,MATCH($C330,UWS!$B$10:$B$41,0),MATCH(AD$4,UWS!$G$3:$Z$3,0)),0)</f>
        <v>0</v>
      </c>
      <c r="AE330" s="47">
        <f>IFERROR(INDEX(UWS!$G$10:$Z$41,MATCH($C330,UWS!$B$10:$B$41,0),MATCH(AE$4,UWS!$G$3:$Z$3,0)),0)</f>
        <v>0</v>
      </c>
      <c r="AF330" s="47">
        <f>IFERROR(INDEX(UWS!$G$10:$Z$41,MATCH($C330,UWS!$B$10:$B$41,0),MATCH(AF$4,UWS!$G$3:$Z$3,0)),0)</f>
        <v>0</v>
      </c>
      <c r="AG330" s="47">
        <f>IFERROR(INDEX(UWS!$G$10:$Z$41,MATCH($C330,UWS!$B$10:$B$41,0),MATCH(AG$4,UWS!$G$3:$Z$3,0)),0)</f>
        <v>0</v>
      </c>
      <c r="AH330" s="47">
        <f>IFERROR(INDEX(UWS!$G$10:$Z$41,MATCH($C330,UWS!$B$10:$B$41,0),MATCH(AH$4,UWS!$G$3:$Z$3,0)),0)</f>
        <v>0</v>
      </c>
      <c r="AI330" s="47">
        <f>IFERROR(INDEX(UWS!$G$10:$Z$41,MATCH($C330,UWS!$B$10:$B$41,0),MATCH(AI$4,UWS!$G$3:$Z$3,0)),0)</f>
        <v>0</v>
      </c>
      <c r="AJ330" s="47"/>
      <c r="AK330" s="47" t="e">
        <f>IF(OR($J330=0,COUNTIFS($A$4:$A329,"&gt;="&amp;$A330-1,$A$4:$A329,"&lt;="&amp;$A330,$B$4:$B329,$B330)&gt;0,MIN(AK$1,IF($A330=$A329,AK329,1))-P330&lt;0),-1,MIN(1,IF($A330=$A329,AK329,1)-P330+$D$3))</f>
        <v>#N/A</v>
      </c>
      <c r="AL330" s="47" t="e">
        <f>IF(OR($J330=0,COUNTIFS($A$4:$A329,"&gt;="&amp;$A330-1,$A$4:$A329,"&lt;="&amp;$A330,$B$4:$B329,$B330)&gt;0,MIN(AL$1,IF($A330=$A329,AL329,1))-Q330&lt;0),-1,MIN(1,IF($A330=$A329,AL329,1)-Q330+$D$3))</f>
        <v>#N/A</v>
      </c>
      <c r="AM330" s="47" t="e">
        <f>IF(OR($J330=0,COUNTIFS($A$4:$A329,"&gt;="&amp;$A330-1,$A$4:$A329,"&lt;="&amp;$A330,$B$4:$B329,$B330)&gt;0,MIN(AM$1,IF($A330=$A329,AM329,1))-R330&lt;0),-1,MIN(1,IF($A330=$A329,AM329,1)-R330+$D$3))</f>
        <v>#N/A</v>
      </c>
      <c r="AN330" s="47" t="e">
        <f>IF(OR($J330=0,COUNTIFS($A$4:$A329,"&gt;="&amp;$A330-1,$A$4:$A329,"&lt;="&amp;$A330,$B$4:$B329,$B330)&gt;0,MIN(AN$1,IF($A330=$A329,AN329,1))-S330&lt;0),-1,MIN(1,IF($A330=$A329,AN329,1)-S330+$D$3))</f>
        <v>#N/A</v>
      </c>
      <c r="AO330" s="47" t="e">
        <f>IF(OR($J330=0,COUNTIFS($A$4:$A329,"&gt;="&amp;$A330-1,$A$4:$A329,"&lt;="&amp;$A330,$B$4:$B329,$B330)&gt;0,MIN(AO$1,IF($A330=$A329,AO329,1))-T330&lt;0),-1,MIN(1,IF($A330=$A329,AO329,1)-T330+$D$3))</f>
        <v>#N/A</v>
      </c>
      <c r="AP330" s="47" t="e">
        <f>IF(OR($J330=0,COUNTIFS($A$4:$A329,"&gt;="&amp;$A330-1,$A$4:$A329,"&lt;="&amp;$A330,$B$4:$B329,$B330)&gt;0,MIN(AP$1,IF($A330=$A329,AP329,1))-U330&lt;0),-1,MIN(1,IF($A330=$A329,AP329,1)-U330+$D$3))</f>
        <v>#N/A</v>
      </c>
      <c r="AQ330" s="47" t="e">
        <f>IF(OR($J330=0,COUNTIFS($A$4:$A329,"&gt;="&amp;$A330-1,$A$4:$A329,"&lt;="&amp;$A330,$B$4:$B329,$B330)&gt;0,MIN(AQ$1,IF($A330=$A329,AQ329,1))-V330&lt;0),-1,MIN(1,IF($A330=$A329,AQ329,1)-V330+$D$3))</f>
        <v>#N/A</v>
      </c>
      <c r="AR330" s="47" t="e">
        <f>IF(OR($J330=0,COUNTIFS($A$4:$A329,"&gt;="&amp;$A330-1,$A$4:$A329,"&lt;="&amp;$A330,$B$4:$B329,$B330)&gt;0,MIN(AR$1,IF($A330=$A329,AR329,1))-W330&lt;0),-1,MIN(1,IF($A330=$A329,AR329,1)-W330+$D$3))</f>
        <v>#N/A</v>
      </c>
      <c r="AS330" s="47" t="e">
        <f>IF(OR($J330=0,COUNTIFS($A$4:$A329,"&gt;="&amp;$A330-1,$A$4:$A329,"&lt;="&amp;$A330,$B$4:$B329,$B330)&gt;0,MIN(AS$1,IF($A330=$A329,AS329,1))-X330&lt;0),-1,MIN(1,IF($A330=$A329,AS329,1)-X330+$D$3))</f>
        <v>#N/A</v>
      </c>
      <c r="AT330" s="47" t="e">
        <f>IF(OR($J330=0,COUNTIFS($A$4:$A329,"&gt;="&amp;$A330-1,$A$4:$A329,"&lt;="&amp;$A330,$B$4:$B329,$B330)&gt;0,MIN(AT$1,IF($A330=$A329,AT329,1))-Y330&lt;0),-1,MIN(1,IF($A330=$A329,AT329,1)-Y330+$D$3))</f>
        <v>#N/A</v>
      </c>
      <c r="AU330" s="47" t="e">
        <f>IF(OR($J330=0,COUNTIFS($A$4:$A329,"&gt;="&amp;$A330-1,$A$4:$A329,"&lt;="&amp;$A330,$B$4:$B329,$B330)&gt;0,MIN(AU$1,IF($A330=$A329,AU329,1))-Z330&lt;0),-1,MIN(1,IF($A330=$A329,AU329,1)-Z330+$D$3))</f>
        <v>#N/A</v>
      </c>
      <c r="AV330" s="47" t="e">
        <f>IF(OR($J330=0,COUNTIFS($A$4:$A329,"&gt;="&amp;$A330-1,$A$4:$A329,"&lt;="&amp;$A330,$B$4:$B329,$B330)&gt;0,MIN(AV$1,IF($A330=$A329,AV329,1))-AA330&lt;0),-1,MIN(1,IF($A330=$A329,AV329,1)-AA330+$D$3))</f>
        <v>#N/A</v>
      </c>
      <c r="AW330" s="47" t="e">
        <f>IF(OR($J330=0,COUNTIFS($A$4:$A329,"&gt;="&amp;$A330-1,$A$4:$A329,"&lt;="&amp;$A330,$B$4:$B329,$B330)&gt;0,MIN(AW$1,IF($A330=$A329,AW329,1))-AB330&lt;0),-1,MIN(1,IF($A330=$A329,AW329,1)-AB330+$D$3))</f>
        <v>#N/A</v>
      </c>
      <c r="AX330" s="47" t="e">
        <f>IF(OR($J330=0,COUNTIFS($A$4:$A329,"&gt;="&amp;$A330-1,$A$4:$A329,"&lt;="&amp;$A330,$B$4:$B329,$B330)&gt;0,MIN(AX$1,IF($A330=$A329,AX329,1))-AC330&lt;0),-1,MIN(1,IF($A330=$A329,AX329,1)-AC330+$D$3))</f>
        <v>#N/A</v>
      </c>
      <c r="AY330" s="47" t="e">
        <f>IF(OR($J330=0,COUNTIFS($A$4:$A329,"&gt;="&amp;$A330-1,$A$4:$A329,"&lt;="&amp;$A330,$B$4:$B329,$B330)&gt;0,MIN(AY$1,IF($A330=$A329,AY329,1))-AD330&lt;0),-1,MIN(1,IF($A330=$A329,AY329,1)-AD330+$D$3))</f>
        <v>#N/A</v>
      </c>
      <c r="AZ330" s="47" t="e">
        <f>IF(OR($J330=0,COUNTIFS($A$4:$A329,"&gt;="&amp;$A330-1,$A$4:$A329,"&lt;="&amp;$A330,$B$4:$B329,$B330)&gt;0,MIN(AZ$1,IF($A330=$A329,AZ329,1))-AE330&lt;0),-1,MIN(1,IF($A330=$A329,AZ329,1)-AE330+$D$3))</f>
        <v>#N/A</v>
      </c>
      <c r="BA330" s="47" t="e">
        <f>IF(OR($J330=0,COUNTIFS($A$4:$A329,"&gt;="&amp;$A330-1,$A$4:$A329,"&lt;="&amp;$A330,$B$4:$B329,$B330)&gt;0,MIN(BA$1,IF($A330=$A329,BA329,1))-AF330&lt;0),-1,MIN(1,IF($A330=$A329,BA329,1)-AF330+$D$3))</f>
        <v>#N/A</v>
      </c>
      <c r="BB330" s="47" t="e">
        <f>IF(OR($J330=0,COUNTIFS($A$4:$A329,"&gt;="&amp;$A330-1,$A$4:$A329,"&lt;="&amp;$A330,$B$4:$B329,$B330)&gt;0,MIN(BB$1,IF($A330=$A329,BB329,1))-AG330&lt;0),-1,MIN(1,IF($A330=$A329,BB329,1)-AG330+$D$3))</f>
        <v>#N/A</v>
      </c>
      <c r="BC330" s="47" t="e">
        <f>IF(OR($J330=0,COUNTIFS($A$4:$A329,"&gt;="&amp;$A330-1,$A$4:$A329,"&lt;="&amp;$A330,$B$4:$B329,$B330)&gt;0,MIN(BC$1,IF($A330=$A329,BC329,1))-AH330&lt;0),-1,MIN(1,IF($A330=$A329,BC329,1)-AH330+$D$3))</f>
        <v>#N/A</v>
      </c>
      <c r="BD330" s="47" t="e">
        <f>IF(OR($J330=0,COUNTIFS($A$4:$A329,"&gt;="&amp;$A330-1,$A$4:$A329,"&lt;="&amp;$A330,$B$4:$B329,$B330)&gt;0,MIN(BD$1,IF($A330=$A329,BD329,1))-AI330&lt;0),-1,MIN(1,IF($A330=$A329,BD329,1)-AI330+$D$3))</f>
        <v>#N/A</v>
      </c>
      <c r="BE330" s="47"/>
      <c r="BF330" s="53">
        <f t="shared" si="355"/>
        <v>1.1593143668863083E-7</v>
      </c>
      <c r="BG330" s="53">
        <f t="shared" si="356"/>
        <v>2.8510811649638374E-7</v>
      </c>
      <c r="BH330" s="53">
        <f t="shared" si="357"/>
        <v>2.9220582897207312E-7</v>
      </c>
      <c r="BI330" s="53">
        <f t="shared" si="358"/>
        <v>2.69917058446433E-7</v>
      </c>
      <c r="BJ330" s="53">
        <f t="shared" si="359"/>
        <v>2.7898490473939738E-7</v>
      </c>
      <c r="BK330" s="53">
        <f t="shared" si="360"/>
        <v>1.1980652003041684E-7</v>
      </c>
      <c r="BL330" s="53">
        <f t="shared" si="361"/>
        <v>6.4721366963843097E-8</v>
      </c>
      <c r="BM330" s="53">
        <f t="shared" si="362"/>
        <v>1.646435997160756E-7</v>
      </c>
      <c r="BN330" s="53">
        <f t="shared" si="363"/>
        <v>1.7124217526641218E-7</v>
      </c>
      <c r="BO330" s="53">
        <f t="shared" si="364"/>
        <v>8.0250581224586336E-8</v>
      </c>
      <c r="BP330" s="53">
        <f t="shared" si="365"/>
        <v>2.6984079136879835E-7</v>
      </c>
      <c r="BQ330" s="53">
        <f t="shared" si="366"/>
        <v>7.2818859447403971E-8</v>
      </c>
      <c r="BR330" s="53">
        <f t="shared" si="367"/>
        <v>2.1512513927446011E-7</v>
      </c>
      <c r="BS330" s="53">
        <f t="shared" si="368"/>
        <v>1.160198423458044E-7</v>
      </c>
      <c r="BT330" s="53">
        <f t="shared" si="369"/>
        <v>4.591260851134843E-7</v>
      </c>
      <c r="BU330" s="53">
        <f t="shared" si="370"/>
        <v>4.3860356760271481E-7</v>
      </c>
      <c r="BV330" s="53">
        <f t="shared" si="371"/>
        <v>4.2122035544503728E-7</v>
      </c>
      <c r="BW330" s="53">
        <f t="shared" si="372"/>
        <v>2.7550129239295656E-7</v>
      </c>
      <c r="BX330" s="53">
        <f t="shared" si="373"/>
        <v>2.0353535192243768E-7</v>
      </c>
      <c r="BY330" s="53">
        <f t="shared" si="374"/>
        <v>1.7475849335781827E-7</v>
      </c>
      <c r="BZ330" s="47"/>
      <c r="CA330" s="53" t="str">
        <f t="shared" si="375"/>
        <v/>
      </c>
      <c r="CB330" s="53" t="str">
        <f t="shared" si="376"/>
        <v/>
      </c>
      <c r="CC330" s="53" t="str">
        <f t="shared" si="377"/>
        <v/>
      </c>
      <c r="CD330" s="53" t="str">
        <f t="shared" si="378"/>
        <v/>
      </c>
      <c r="CE330" s="53" t="str">
        <f t="shared" si="379"/>
        <v/>
      </c>
      <c r="CF330" s="53" t="str">
        <f t="shared" si="380"/>
        <v/>
      </c>
      <c r="CG330" s="53" t="str">
        <f t="shared" si="381"/>
        <v/>
      </c>
      <c r="CH330" s="53" t="str">
        <f t="shared" si="382"/>
        <v/>
      </c>
      <c r="CI330" s="53" t="str">
        <f t="shared" si="383"/>
        <v/>
      </c>
      <c r="CJ330" s="53" t="str">
        <f t="shared" si="384"/>
        <v/>
      </c>
      <c r="CK330" s="53" t="str">
        <f t="shared" si="385"/>
        <v/>
      </c>
      <c r="CL330" s="53" t="str">
        <f t="shared" si="386"/>
        <v/>
      </c>
      <c r="CM330" s="53" t="str">
        <f t="shared" si="387"/>
        <v/>
      </c>
      <c r="CN330" s="53" t="str">
        <f t="shared" si="388"/>
        <v/>
      </c>
      <c r="CO330" s="53" t="str">
        <f t="shared" si="389"/>
        <v/>
      </c>
      <c r="CP330" s="53" t="str">
        <f t="shared" si="390"/>
        <v/>
      </c>
      <c r="CQ330" s="53" t="str">
        <f t="shared" si="391"/>
        <v/>
      </c>
      <c r="CR330" s="53" t="str">
        <f t="shared" si="392"/>
        <v/>
      </c>
      <c r="CS330" s="53" t="str">
        <f t="shared" si="393"/>
        <v/>
      </c>
      <c r="CT330" s="53" t="str">
        <f t="shared" si="394"/>
        <v/>
      </c>
      <c r="CU330" s="47"/>
      <c r="CV330" s="53">
        <f t="shared" si="395"/>
        <v>0</v>
      </c>
    </row>
    <row r="331" spans="1:100" x14ac:dyDescent="0.25">
      <c r="A331" s="41"/>
      <c r="B331" s="42"/>
      <c r="C331" s="43" t="str" cm="1">
        <f t="array" ref="C331">IF(B331="","",INDEX(UWS!$B$10:$B$41,B331))</f>
        <v/>
      </c>
      <c r="D331" s="40" t="str">
        <f t="shared" si="352"/>
        <v/>
      </c>
      <c r="E331" s="69" t="str">
        <f t="shared" si="353"/>
        <v/>
      </c>
      <c r="F331" s="48" cm="1">
        <f t="array" ref="F331">0.1+IFERROR(INDEX($F$5:$F330,SUMPRODUCT(MAX(ROW($C$5:$C330)*($C331=$C$5:$C330))-ROW($A$4)))*0.9^($A331-INDEX($A$5:A330,SUMPRODUCT(MAX(ROW($C$5:$C330)*($C331=$C$5:$C330))-ROW($A$4)))),0)</f>
        <v>26.600000000000108</v>
      </c>
      <c r="G331" s="55" t="e">
        <f>INDEX(UWS!$AB$10:$AB$41,MATCH(C331,UWS!$B$10:$B$41,0))</f>
        <v>#N/A</v>
      </c>
      <c r="H331" s="48" t="e">
        <f>INDEX(UWS!$C$10:$C$41,MATCH(C331,UWS!$B$10:$B$41,0))</f>
        <v>#N/A</v>
      </c>
      <c r="I331" s="82">
        <f t="shared" si="354"/>
        <v>5</v>
      </c>
      <c r="J331" s="27" t="e">
        <f>INDEX(UWS!$E$10:$E$41,MATCH(C331,UWS!$B$10:$B$41,0))</f>
        <v>#N/A</v>
      </c>
      <c r="L331" s="108" t="str" cm="1">
        <f t="array" ref="L331">IF(K331="","",INDEX(UWS!$B$10:$B$41,K331))</f>
        <v/>
      </c>
      <c r="N331" s="108" t="str" cm="1">
        <f t="array" ref="N331">IF(M331="","",INDEX(UWS!$B$10:$B$41,M331))</f>
        <v/>
      </c>
      <c r="P331">
        <f>IFERROR(INDEX(UWS!$G$10:$Z$41,MATCH($C331,UWS!$B$10:$B$41,0),MATCH(P$4,UWS!$G$3:$Z$3,0)),0)</f>
        <v>0</v>
      </c>
      <c r="Q331">
        <f>IFERROR(INDEX(UWS!$G$10:$Z$41,MATCH($C331,UWS!$B$10:$B$41,0),MATCH(Q$4,UWS!$G$3:$Z$3,0)),0)</f>
        <v>0</v>
      </c>
      <c r="R331">
        <f>IFERROR(INDEX(UWS!$G$10:$Z$41,MATCH($C331,UWS!$B$10:$B$41,0),MATCH(R$4,UWS!$G$3:$Z$3,0)),0)</f>
        <v>0</v>
      </c>
      <c r="S331">
        <f>IFERROR(INDEX(UWS!$G$10:$Z$41,MATCH($C331,UWS!$B$10:$B$41,0),MATCH(S$4,UWS!$G$3:$Z$3,0)),0)</f>
        <v>0</v>
      </c>
      <c r="T331">
        <f>IFERROR(INDEX(UWS!$G$10:$Z$41,MATCH($C331,UWS!$B$10:$B$41,0),MATCH(T$4,UWS!$G$3:$Z$3,0)),0)</f>
        <v>0</v>
      </c>
      <c r="U331">
        <f>IFERROR(INDEX(UWS!$G$10:$Z$41,MATCH($C331,UWS!$B$10:$B$41,0),MATCH(U$4,UWS!$G$3:$Z$3,0)),0)</f>
        <v>0</v>
      </c>
      <c r="V331">
        <f>IFERROR(INDEX(UWS!$G$10:$Z$41,MATCH($C331,UWS!$B$10:$B$41,0),MATCH(V$4,UWS!$G$3:$Z$3,0)),0)</f>
        <v>0</v>
      </c>
      <c r="W331">
        <f>IFERROR(INDEX(UWS!$G$10:$Z$41,MATCH($C331,UWS!$B$10:$B$41,0),MATCH(W$4,UWS!$G$3:$Z$3,0)),0)</f>
        <v>0</v>
      </c>
      <c r="X331">
        <f>IFERROR(INDEX(UWS!$G$10:$Z$41,MATCH($C331,UWS!$B$10:$B$41,0),MATCH(X$4,UWS!$G$3:$Z$3,0)),0)</f>
        <v>0</v>
      </c>
      <c r="Y331">
        <f>IFERROR(INDEX(UWS!$G$10:$Z$41,MATCH($C331,UWS!$B$10:$B$41,0),MATCH(Y$4,UWS!$G$3:$Z$3,0)),0)</f>
        <v>0</v>
      </c>
      <c r="Z331">
        <f>IFERROR(INDEX(UWS!$G$10:$Z$41,MATCH($C331,UWS!$B$10:$B$41,0),MATCH(Z$4,UWS!$G$3:$Z$3,0)),0)</f>
        <v>0</v>
      </c>
      <c r="AA331">
        <f>IFERROR(INDEX(UWS!$G$10:$Z$41,MATCH($C331,UWS!$B$10:$B$41,0),MATCH(AA$4,UWS!$G$3:$Z$3,0)),0)</f>
        <v>0</v>
      </c>
      <c r="AB331">
        <f>IFERROR(INDEX(UWS!$G$10:$Z$41,MATCH($C331,UWS!$B$10:$B$41,0),MATCH(AB$4,UWS!$G$3:$Z$3,0)),0)</f>
        <v>0</v>
      </c>
      <c r="AC331">
        <f>IFERROR(INDEX(UWS!$G$10:$Z$41,MATCH($C331,UWS!$B$10:$B$41,0),MATCH(AC$4,UWS!$G$3:$Z$3,0)),0)</f>
        <v>0</v>
      </c>
      <c r="AD331">
        <f>IFERROR(INDEX(UWS!$G$10:$Z$41,MATCH($C331,UWS!$B$10:$B$41,0),MATCH(AD$4,UWS!$G$3:$Z$3,0)),0)</f>
        <v>0</v>
      </c>
      <c r="AE331">
        <f>IFERROR(INDEX(UWS!$G$10:$Z$41,MATCH($C331,UWS!$B$10:$B$41,0),MATCH(AE$4,UWS!$G$3:$Z$3,0)),0)</f>
        <v>0</v>
      </c>
      <c r="AF331">
        <f>IFERROR(INDEX(UWS!$G$10:$Z$41,MATCH($C331,UWS!$B$10:$B$41,0),MATCH(AF$4,UWS!$G$3:$Z$3,0)),0)</f>
        <v>0</v>
      </c>
      <c r="AG331">
        <f>IFERROR(INDEX(UWS!$G$10:$Z$41,MATCH($C331,UWS!$B$10:$B$41,0),MATCH(AG$4,UWS!$G$3:$Z$3,0)),0)</f>
        <v>0</v>
      </c>
      <c r="AH331">
        <f>IFERROR(INDEX(UWS!$G$10:$Z$41,MATCH($C331,UWS!$B$10:$B$41,0),MATCH(AH$4,UWS!$G$3:$Z$3,0)),0)</f>
        <v>0</v>
      </c>
      <c r="AI331">
        <f>IFERROR(INDEX(UWS!$G$10:$Z$41,MATCH($C331,UWS!$B$10:$B$41,0),MATCH(AI$4,UWS!$G$3:$Z$3,0)),0)</f>
        <v>0</v>
      </c>
      <c r="AK331" t="e">
        <f>IF(OR($J331=0,COUNTIFS($A$4:$A330,"&gt;="&amp;$A331-1,$A$4:$A330,"&lt;="&amp;$A331,$B$4:$B330,$B331)&gt;0,MIN(AK$1,IF($A331=$A330,AK330,1))-P331&lt;0),-1,MIN(1,IF($A331=$A330,AK330,1)-P331+$D$3))</f>
        <v>#N/A</v>
      </c>
      <c r="AL331" t="e">
        <f>IF(OR($J331=0,COUNTIFS($A$4:$A330,"&gt;="&amp;$A331-1,$A$4:$A330,"&lt;="&amp;$A331,$B$4:$B330,$B331)&gt;0,MIN(AL$1,IF($A331=$A330,AL330,1))-Q331&lt;0),-1,MIN(1,IF($A331=$A330,AL330,1)-Q331+$D$3))</f>
        <v>#N/A</v>
      </c>
      <c r="AM331" t="e">
        <f>IF(OR($J331=0,COUNTIFS($A$4:$A330,"&gt;="&amp;$A331-1,$A$4:$A330,"&lt;="&amp;$A331,$B$4:$B330,$B331)&gt;0,MIN(AM$1,IF($A331=$A330,AM330,1))-R331&lt;0),-1,MIN(1,IF($A331=$A330,AM330,1)-R331+$D$3))</f>
        <v>#N/A</v>
      </c>
      <c r="AN331" t="e">
        <f>IF(OR($J331=0,COUNTIFS($A$4:$A330,"&gt;="&amp;$A331-1,$A$4:$A330,"&lt;="&amp;$A331,$B$4:$B330,$B331)&gt;0,MIN(AN$1,IF($A331=$A330,AN330,1))-S331&lt;0),-1,MIN(1,IF($A331=$A330,AN330,1)-S331+$D$3))</f>
        <v>#N/A</v>
      </c>
      <c r="AO331" t="e">
        <f>IF(OR($J331=0,COUNTIFS($A$4:$A330,"&gt;="&amp;$A331-1,$A$4:$A330,"&lt;="&amp;$A331,$B$4:$B330,$B331)&gt;0,MIN(AO$1,IF($A331=$A330,AO330,1))-T331&lt;0),-1,MIN(1,IF($A331=$A330,AO330,1)-T331+$D$3))</f>
        <v>#N/A</v>
      </c>
      <c r="AP331" t="e">
        <f>IF(OR($J331=0,COUNTIFS($A$4:$A330,"&gt;="&amp;$A331-1,$A$4:$A330,"&lt;="&amp;$A331,$B$4:$B330,$B331)&gt;0,MIN(AP$1,IF($A331=$A330,AP330,1))-U331&lt;0),-1,MIN(1,IF($A331=$A330,AP330,1)-U331+$D$3))</f>
        <v>#N/A</v>
      </c>
      <c r="AQ331" t="e">
        <f>IF(OR($J331=0,COUNTIFS($A$4:$A330,"&gt;="&amp;$A331-1,$A$4:$A330,"&lt;="&amp;$A331,$B$4:$B330,$B331)&gt;0,MIN(AQ$1,IF($A331=$A330,AQ330,1))-V331&lt;0),-1,MIN(1,IF($A331=$A330,AQ330,1)-V331+$D$3))</f>
        <v>#N/A</v>
      </c>
      <c r="AR331" t="e">
        <f>IF(OR($J331=0,COUNTIFS($A$4:$A330,"&gt;="&amp;$A331-1,$A$4:$A330,"&lt;="&amp;$A331,$B$4:$B330,$B331)&gt;0,MIN(AR$1,IF($A331=$A330,AR330,1))-W331&lt;0),-1,MIN(1,IF($A331=$A330,AR330,1)-W331+$D$3))</f>
        <v>#N/A</v>
      </c>
      <c r="AS331" t="e">
        <f>IF(OR($J331=0,COUNTIFS($A$4:$A330,"&gt;="&amp;$A331-1,$A$4:$A330,"&lt;="&amp;$A331,$B$4:$B330,$B331)&gt;0,MIN(AS$1,IF($A331=$A330,AS330,1))-X331&lt;0),-1,MIN(1,IF($A331=$A330,AS330,1)-X331+$D$3))</f>
        <v>#N/A</v>
      </c>
      <c r="AT331" t="e">
        <f>IF(OR($J331=0,COUNTIFS($A$4:$A330,"&gt;="&amp;$A331-1,$A$4:$A330,"&lt;="&amp;$A331,$B$4:$B330,$B331)&gt;0,MIN(AT$1,IF($A331=$A330,AT330,1))-Y331&lt;0),-1,MIN(1,IF($A331=$A330,AT330,1)-Y331+$D$3))</f>
        <v>#N/A</v>
      </c>
      <c r="AU331" t="e">
        <f>IF(OR($J331=0,COUNTIFS($A$4:$A330,"&gt;="&amp;$A331-1,$A$4:$A330,"&lt;="&amp;$A331,$B$4:$B330,$B331)&gt;0,MIN(AU$1,IF($A331=$A330,AU330,1))-Z331&lt;0),-1,MIN(1,IF($A331=$A330,AU330,1)-Z331+$D$3))</f>
        <v>#N/A</v>
      </c>
      <c r="AV331" t="e">
        <f>IF(OR($J331=0,COUNTIFS($A$4:$A330,"&gt;="&amp;$A331-1,$A$4:$A330,"&lt;="&amp;$A331,$B$4:$B330,$B331)&gt;0,MIN(AV$1,IF($A331=$A330,AV330,1))-AA331&lt;0),-1,MIN(1,IF($A331=$A330,AV330,1)-AA331+$D$3))</f>
        <v>#N/A</v>
      </c>
      <c r="AW331" t="e">
        <f>IF(OR($J331=0,COUNTIFS($A$4:$A330,"&gt;="&amp;$A331-1,$A$4:$A330,"&lt;="&amp;$A331,$B$4:$B330,$B331)&gt;0,MIN(AW$1,IF($A331=$A330,AW330,1))-AB331&lt;0),-1,MIN(1,IF($A331=$A330,AW330,1)-AB331+$D$3))</f>
        <v>#N/A</v>
      </c>
      <c r="AX331" t="e">
        <f>IF(OR($J331=0,COUNTIFS($A$4:$A330,"&gt;="&amp;$A331-1,$A$4:$A330,"&lt;="&amp;$A331,$B$4:$B330,$B331)&gt;0,MIN(AX$1,IF($A331=$A330,AX330,1))-AC331&lt;0),-1,MIN(1,IF($A331=$A330,AX330,1)-AC331+$D$3))</f>
        <v>#N/A</v>
      </c>
      <c r="AY331" t="e">
        <f>IF(OR($J331=0,COUNTIFS($A$4:$A330,"&gt;="&amp;$A331-1,$A$4:$A330,"&lt;="&amp;$A331,$B$4:$B330,$B331)&gt;0,MIN(AY$1,IF($A331=$A330,AY330,1))-AD331&lt;0),-1,MIN(1,IF($A331=$A330,AY330,1)-AD331+$D$3))</f>
        <v>#N/A</v>
      </c>
      <c r="AZ331" t="e">
        <f>IF(OR($J331=0,COUNTIFS($A$4:$A330,"&gt;="&amp;$A331-1,$A$4:$A330,"&lt;="&amp;$A331,$B$4:$B330,$B331)&gt;0,MIN(AZ$1,IF($A331=$A330,AZ330,1))-AE331&lt;0),-1,MIN(1,IF($A331=$A330,AZ330,1)-AE331+$D$3))</f>
        <v>#N/A</v>
      </c>
      <c r="BA331" t="e">
        <f>IF(OR($J331=0,COUNTIFS($A$4:$A330,"&gt;="&amp;$A331-1,$A$4:$A330,"&lt;="&amp;$A331,$B$4:$B330,$B331)&gt;0,MIN(BA$1,IF($A331=$A330,BA330,1))-AF331&lt;0),-1,MIN(1,IF($A331=$A330,BA330,1)-AF331+$D$3))</f>
        <v>#N/A</v>
      </c>
      <c r="BB331" t="e">
        <f>IF(OR($J331=0,COUNTIFS($A$4:$A330,"&gt;="&amp;$A331-1,$A$4:$A330,"&lt;="&amp;$A331,$B$4:$B330,$B331)&gt;0,MIN(BB$1,IF($A331=$A330,BB330,1))-AG331&lt;0),-1,MIN(1,IF($A331=$A330,BB330,1)-AG331+$D$3))</f>
        <v>#N/A</v>
      </c>
      <c r="BC331" t="e">
        <f>IF(OR($J331=0,COUNTIFS($A$4:$A330,"&gt;="&amp;$A331-1,$A$4:$A330,"&lt;="&amp;$A331,$B$4:$B330,$B331)&gt;0,MIN(BC$1,IF($A331=$A330,BC330,1))-AH331&lt;0),-1,MIN(1,IF($A331=$A330,BC330,1)-AH331+$D$3))</f>
        <v>#N/A</v>
      </c>
      <c r="BD331" t="e">
        <f>IF(OR($J331=0,COUNTIFS($A$4:$A330,"&gt;="&amp;$A331-1,$A$4:$A330,"&lt;="&amp;$A331,$B$4:$B330,$B331)&gt;0,MIN(BD$1,IF($A331=$A330,BD330,1))-AI331&lt;0),-1,MIN(1,IF($A331=$A330,BD330,1)-AI331+$D$3))</f>
        <v>#N/A</v>
      </c>
      <c r="BF331" s="44">
        <f t="shared" si="355"/>
        <v>1.1013486485419928E-7</v>
      </c>
      <c r="BG331" s="44">
        <f t="shared" si="356"/>
        <v>2.7085271067156452E-7</v>
      </c>
      <c r="BH331" s="44">
        <f t="shared" si="357"/>
        <v>2.7759553752346944E-7</v>
      </c>
      <c r="BI331" s="44">
        <f t="shared" si="358"/>
        <v>2.5642120552411132E-7</v>
      </c>
      <c r="BJ331" s="44">
        <f t="shared" si="359"/>
        <v>2.6503565950242752E-7</v>
      </c>
      <c r="BK331" s="44">
        <f t="shared" si="360"/>
        <v>1.1381619402889599E-7</v>
      </c>
      <c r="BL331" s="44">
        <f t="shared" si="361"/>
        <v>6.1485298615650936E-8</v>
      </c>
      <c r="BM331" s="44">
        <f t="shared" si="362"/>
        <v>1.5641141973027181E-7</v>
      </c>
      <c r="BN331" s="44">
        <f t="shared" si="363"/>
        <v>1.6268006650309157E-7</v>
      </c>
      <c r="BO331" s="44">
        <f t="shared" si="364"/>
        <v>7.6238052163357015E-8</v>
      </c>
      <c r="BP331" s="44">
        <f t="shared" si="365"/>
        <v>2.5634875180035843E-7</v>
      </c>
      <c r="BQ331" s="44">
        <f t="shared" si="366"/>
        <v>6.9177916475033771E-8</v>
      </c>
      <c r="BR331" s="44">
        <f t="shared" si="367"/>
        <v>2.043688823107371E-7</v>
      </c>
      <c r="BS331" s="44">
        <f t="shared" si="368"/>
        <v>1.1021885022851418E-7</v>
      </c>
      <c r="BT331" s="44">
        <f t="shared" si="369"/>
        <v>4.3616978085781008E-7</v>
      </c>
      <c r="BU331" s="44">
        <f t="shared" si="370"/>
        <v>4.1667338922257903E-7</v>
      </c>
      <c r="BV331" s="44">
        <f t="shared" si="371"/>
        <v>4.0015933767278539E-7</v>
      </c>
      <c r="BW331" s="44">
        <f t="shared" si="372"/>
        <v>2.6172622777330871E-7</v>
      </c>
      <c r="BX331" s="44">
        <f t="shared" si="373"/>
        <v>1.9335858432631579E-7</v>
      </c>
      <c r="BY331" s="44">
        <f t="shared" si="374"/>
        <v>1.6602056868992734E-7</v>
      </c>
      <c r="CA331" s="44" t="str">
        <f t="shared" si="375"/>
        <v/>
      </c>
      <c r="CB331" s="44" t="str">
        <f t="shared" si="376"/>
        <v/>
      </c>
      <c r="CC331" s="44" t="str">
        <f t="shared" si="377"/>
        <v/>
      </c>
      <c r="CD331" s="44" t="str">
        <f t="shared" si="378"/>
        <v/>
      </c>
      <c r="CE331" s="44" t="str">
        <f t="shared" si="379"/>
        <v/>
      </c>
      <c r="CF331" s="44" t="str">
        <f t="shared" si="380"/>
        <v/>
      </c>
      <c r="CG331" s="44" t="str">
        <f t="shared" si="381"/>
        <v/>
      </c>
      <c r="CH331" s="44" t="str">
        <f t="shared" si="382"/>
        <v/>
      </c>
      <c r="CI331" s="44" t="str">
        <f t="shared" si="383"/>
        <v/>
      </c>
      <c r="CJ331" s="44" t="str">
        <f t="shared" si="384"/>
        <v/>
      </c>
      <c r="CK331" s="44" t="str">
        <f t="shared" si="385"/>
        <v/>
      </c>
      <c r="CL331" s="44" t="str">
        <f t="shared" si="386"/>
        <v/>
      </c>
      <c r="CM331" s="44" t="str">
        <f t="shared" si="387"/>
        <v/>
      </c>
      <c r="CN331" s="44" t="str">
        <f t="shared" si="388"/>
        <v/>
      </c>
      <c r="CO331" s="44" t="str">
        <f t="shared" si="389"/>
        <v/>
      </c>
      <c r="CP331" s="44" t="str">
        <f t="shared" si="390"/>
        <v/>
      </c>
      <c r="CQ331" s="44" t="str">
        <f t="shared" si="391"/>
        <v/>
      </c>
      <c r="CR331" s="44" t="str">
        <f t="shared" si="392"/>
        <v/>
      </c>
      <c r="CS331" s="44" t="str">
        <f t="shared" si="393"/>
        <v/>
      </c>
      <c r="CT331" s="44" t="str">
        <f t="shared" si="394"/>
        <v/>
      </c>
      <c r="CV331" s="44">
        <f t="shared" si="395"/>
        <v>0</v>
      </c>
    </row>
    <row r="332" spans="1:100" x14ac:dyDescent="0.25">
      <c r="A332" s="41"/>
      <c r="B332" s="42"/>
      <c r="C332" s="43" t="str" cm="1">
        <f t="array" ref="C332">IF(B332="","",INDEX(UWS!$B$10:$B$41,B332))</f>
        <v/>
      </c>
      <c r="D332" s="40" t="str">
        <f t="shared" si="352"/>
        <v/>
      </c>
      <c r="E332" s="69" t="str">
        <f t="shared" si="353"/>
        <v/>
      </c>
      <c r="F332" s="48" cm="1">
        <f t="array" ref="F332">0.1+IFERROR(INDEX($F$5:$F331,SUMPRODUCT(MAX(ROW($C$5:$C331)*($C332=$C$5:$C331))-ROW($A$4)))*0.9^($A332-INDEX($A$5:A331,SUMPRODUCT(MAX(ROW($C$5:$C331)*($C332=$C$5:$C331))-ROW($A$4)))),0)</f>
        <v>26.700000000000109</v>
      </c>
      <c r="G332" s="55" t="e">
        <f>INDEX(UWS!$AB$10:$AB$41,MATCH(C332,UWS!$B$10:$B$41,0))</f>
        <v>#N/A</v>
      </c>
      <c r="H332" s="48" t="e">
        <f>INDEX(UWS!$C$10:$C$41,MATCH(C332,UWS!$B$10:$B$41,0))</f>
        <v>#N/A</v>
      </c>
      <c r="I332" s="27">
        <f t="shared" si="354"/>
        <v>5</v>
      </c>
      <c r="J332" s="27" t="e">
        <f>INDEX(UWS!$E$10:$E$41,MATCH(C332,UWS!$B$10:$B$41,0))</f>
        <v>#N/A</v>
      </c>
      <c r="L332" s="108" t="str" cm="1">
        <f t="array" ref="L332">IF(K332="","",INDEX(UWS!$B$10:$B$41,K332))</f>
        <v/>
      </c>
      <c r="N332" s="108" t="str" cm="1">
        <f t="array" ref="N332">IF(M332="","",INDEX(UWS!$B$10:$B$41,M332))</f>
        <v/>
      </c>
      <c r="P332">
        <f>IFERROR(INDEX(UWS!$G$10:$Z$41,MATCH($C332,UWS!$B$10:$B$41,0),MATCH(P$4,UWS!$G$3:$Z$3,0)),0)</f>
        <v>0</v>
      </c>
      <c r="Q332">
        <f>IFERROR(INDEX(UWS!$G$10:$Z$41,MATCH($C332,UWS!$B$10:$B$41,0),MATCH(Q$4,UWS!$G$3:$Z$3,0)),0)</f>
        <v>0</v>
      </c>
      <c r="R332">
        <f>IFERROR(INDEX(UWS!$G$10:$Z$41,MATCH($C332,UWS!$B$10:$B$41,0),MATCH(R$4,UWS!$G$3:$Z$3,0)),0)</f>
        <v>0</v>
      </c>
      <c r="S332">
        <f>IFERROR(INDEX(UWS!$G$10:$Z$41,MATCH($C332,UWS!$B$10:$B$41,0),MATCH(S$4,UWS!$G$3:$Z$3,0)),0)</f>
        <v>0</v>
      </c>
      <c r="T332">
        <f>IFERROR(INDEX(UWS!$G$10:$Z$41,MATCH($C332,UWS!$B$10:$B$41,0),MATCH(T$4,UWS!$G$3:$Z$3,0)),0)</f>
        <v>0</v>
      </c>
      <c r="U332">
        <f>IFERROR(INDEX(UWS!$G$10:$Z$41,MATCH($C332,UWS!$B$10:$B$41,0),MATCH(U$4,UWS!$G$3:$Z$3,0)),0)</f>
        <v>0</v>
      </c>
      <c r="V332">
        <f>IFERROR(INDEX(UWS!$G$10:$Z$41,MATCH($C332,UWS!$B$10:$B$41,0),MATCH(V$4,UWS!$G$3:$Z$3,0)),0)</f>
        <v>0</v>
      </c>
      <c r="W332">
        <f>IFERROR(INDEX(UWS!$G$10:$Z$41,MATCH($C332,UWS!$B$10:$B$41,0),MATCH(W$4,UWS!$G$3:$Z$3,0)),0)</f>
        <v>0</v>
      </c>
      <c r="X332">
        <f>IFERROR(INDEX(UWS!$G$10:$Z$41,MATCH($C332,UWS!$B$10:$B$41,0),MATCH(X$4,UWS!$G$3:$Z$3,0)),0)</f>
        <v>0</v>
      </c>
      <c r="Y332">
        <f>IFERROR(INDEX(UWS!$G$10:$Z$41,MATCH($C332,UWS!$B$10:$B$41,0),MATCH(Y$4,UWS!$G$3:$Z$3,0)),0)</f>
        <v>0</v>
      </c>
      <c r="Z332">
        <f>IFERROR(INDEX(UWS!$G$10:$Z$41,MATCH($C332,UWS!$B$10:$B$41,0),MATCH(Z$4,UWS!$G$3:$Z$3,0)),0)</f>
        <v>0</v>
      </c>
      <c r="AA332">
        <f>IFERROR(INDEX(UWS!$G$10:$Z$41,MATCH($C332,UWS!$B$10:$B$41,0),MATCH(AA$4,UWS!$G$3:$Z$3,0)),0)</f>
        <v>0</v>
      </c>
      <c r="AB332">
        <f>IFERROR(INDEX(UWS!$G$10:$Z$41,MATCH($C332,UWS!$B$10:$B$41,0),MATCH(AB$4,UWS!$G$3:$Z$3,0)),0)</f>
        <v>0</v>
      </c>
      <c r="AC332">
        <f>IFERROR(INDEX(UWS!$G$10:$Z$41,MATCH($C332,UWS!$B$10:$B$41,0),MATCH(AC$4,UWS!$G$3:$Z$3,0)),0)</f>
        <v>0</v>
      </c>
      <c r="AD332">
        <f>IFERROR(INDEX(UWS!$G$10:$Z$41,MATCH($C332,UWS!$B$10:$B$41,0),MATCH(AD$4,UWS!$G$3:$Z$3,0)),0)</f>
        <v>0</v>
      </c>
      <c r="AE332">
        <f>IFERROR(INDEX(UWS!$G$10:$Z$41,MATCH($C332,UWS!$B$10:$B$41,0),MATCH(AE$4,UWS!$G$3:$Z$3,0)),0)</f>
        <v>0</v>
      </c>
      <c r="AF332">
        <f>IFERROR(INDEX(UWS!$G$10:$Z$41,MATCH($C332,UWS!$B$10:$B$41,0),MATCH(AF$4,UWS!$G$3:$Z$3,0)),0)</f>
        <v>0</v>
      </c>
      <c r="AG332">
        <f>IFERROR(INDEX(UWS!$G$10:$Z$41,MATCH($C332,UWS!$B$10:$B$41,0),MATCH(AG$4,UWS!$G$3:$Z$3,0)),0)</f>
        <v>0</v>
      </c>
      <c r="AH332">
        <f>IFERROR(INDEX(UWS!$G$10:$Z$41,MATCH($C332,UWS!$B$10:$B$41,0),MATCH(AH$4,UWS!$G$3:$Z$3,0)),0)</f>
        <v>0</v>
      </c>
      <c r="AI332">
        <f>IFERROR(INDEX(UWS!$G$10:$Z$41,MATCH($C332,UWS!$B$10:$B$41,0),MATCH(AI$4,UWS!$G$3:$Z$3,0)),0)</f>
        <v>0</v>
      </c>
      <c r="AK332" t="e">
        <f>IF(OR($J332=0,COUNTIFS($A$4:$A331,"&gt;="&amp;$A332-1,$A$4:$A331,"&lt;="&amp;$A332,$B$4:$B331,$B332)&gt;0,MIN(AK$1,IF($A332=$A331,AK331,1))-P332&lt;0),-1,MIN(1,IF($A332=$A331,AK331,1)-P332+$D$3))</f>
        <v>#N/A</v>
      </c>
      <c r="AL332" t="e">
        <f>IF(OR($J332=0,COUNTIFS($A$4:$A331,"&gt;="&amp;$A332-1,$A$4:$A331,"&lt;="&amp;$A332,$B$4:$B331,$B332)&gt;0,MIN(AL$1,IF($A332=$A331,AL331,1))-Q332&lt;0),-1,MIN(1,IF($A332=$A331,AL331,1)-Q332+$D$3))</f>
        <v>#N/A</v>
      </c>
      <c r="AM332" t="e">
        <f>IF(OR($J332=0,COUNTIFS($A$4:$A331,"&gt;="&amp;$A332-1,$A$4:$A331,"&lt;="&amp;$A332,$B$4:$B331,$B332)&gt;0,MIN(AM$1,IF($A332=$A331,AM331,1))-R332&lt;0),-1,MIN(1,IF($A332=$A331,AM331,1)-R332+$D$3))</f>
        <v>#N/A</v>
      </c>
      <c r="AN332" t="e">
        <f>IF(OR($J332=0,COUNTIFS($A$4:$A331,"&gt;="&amp;$A332-1,$A$4:$A331,"&lt;="&amp;$A332,$B$4:$B331,$B332)&gt;0,MIN(AN$1,IF($A332=$A331,AN331,1))-S332&lt;0),-1,MIN(1,IF($A332=$A331,AN331,1)-S332+$D$3))</f>
        <v>#N/A</v>
      </c>
      <c r="AO332" t="e">
        <f>IF(OR($J332=0,COUNTIFS($A$4:$A331,"&gt;="&amp;$A332-1,$A$4:$A331,"&lt;="&amp;$A332,$B$4:$B331,$B332)&gt;0,MIN(AO$1,IF($A332=$A331,AO331,1))-T332&lt;0),-1,MIN(1,IF($A332=$A331,AO331,1)-T332+$D$3))</f>
        <v>#N/A</v>
      </c>
      <c r="AP332" t="e">
        <f>IF(OR($J332=0,COUNTIFS($A$4:$A331,"&gt;="&amp;$A332-1,$A$4:$A331,"&lt;="&amp;$A332,$B$4:$B331,$B332)&gt;0,MIN(AP$1,IF($A332=$A331,AP331,1))-U332&lt;0),-1,MIN(1,IF($A332=$A331,AP331,1)-U332+$D$3))</f>
        <v>#N/A</v>
      </c>
      <c r="AQ332" t="e">
        <f>IF(OR($J332=0,COUNTIFS($A$4:$A331,"&gt;="&amp;$A332-1,$A$4:$A331,"&lt;="&amp;$A332,$B$4:$B331,$B332)&gt;0,MIN(AQ$1,IF($A332=$A331,AQ331,1))-V332&lt;0),-1,MIN(1,IF($A332=$A331,AQ331,1)-V332+$D$3))</f>
        <v>#N/A</v>
      </c>
      <c r="AR332" t="e">
        <f>IF(OR($J332=0,COUNTIFS($A$4:$A331,"&gt;="&amp;$A332-1,$A$4:$A331,"&lt;="&amp;$A332,$B$4:$B331,$B332)&gt;0,MIN(AR$1,IF($A332=$A331,AR331,1))-W332&lt;0),-1,MIN(1,IF($A332=$A331,AR331,1)-W332+$D$3))</f>
        <v>#N/A</v>
      </c>
      <c r="AS332" t="e">
        <f>IF(OR($J332=0,COUNTIFS($A$4:$A331,"&gt;="&amp;$A332-1,$A$4:$A331,"&lt;="&amp;$A332,$B$4:$B331,$B332)&gt;0,MIN(AS$1,IF($A332=$A331,AS331,1))-X332&lt;0),-1,MIN(1,IF($A332=$A331,AS331,1)-X332+$D$3))</f>
        <v>#N/A</v>
      </c>
      <c r="AT332" t="e">
        <f>IF(OR($J332=0,COUNTIFS($A$4:$A331,"&gt;="&amp;$A332-1,$A$4:$A331,"&lt;="&amp;$A332,$B$4:$B331,$B332)&gt;0,MIN(AT$1,IF($A332=$A331,AT331,1))-Y332&lt;0),-1,MIN(1,IF($A332=$A331,AT331,1)-Y332+$D$3))</f>
        <v>#N/A</v>
      </c>
      <c r="AU332" t="e">
        <f>IF(OR($J332=0,COUNTIFS($A$4:$A331,"&gt;="&amp;$A332-1,$A$4:$A331,"&lt;="&amp;$A332,$B$4:$B331,$B332)&gt;0,MIN(AU$1,IF($A332=$A331,AU331,1))-Z332&lt;0),-1,MIN(1,IF($A332=$A331,AU331,1)-Z332+$D$3))</f>
        <v>#N/A</v>
      </c>
      <c r="AV332" t="e">
        <f>IF(OR($J332=0,COUNTIFS($A$4:$A331,"&gt;="&amp;$A332-1,$A$4:$A331,"&lt;="&amp;$A332,$B$4:$B331,$B332)&gt;0,MIN(AV$1,IF($A332=$A331,AV331,1))-AA332&lt;0),-1,MIN(1,IF($A332=$A331,AV331,1)-AA332+$D$3))</f>
        <v>#N/A</v>
      </c>
      <c r="AW332" t="e">
        <f>IF(OR($J332=0,COUNTIFS($A$4:$A331,"&gt;="&amp;$A332-1,$A$4:$A331,"&lt;="&amp;$A332,$B$4:$B331,$B332)&gt;0,MIN(AW$1,IF($A332=$A331,AW331,1))-AB332&lt;0),-1,MIN(1,IF($A332=$A331,AW331,1)-AB332+$D$3))</f>
        <v>#N/A</v>
      </c>
      <c r="AX332" t="e">
        <f>IF(OR($J332=0,COUNTIFS($A$4:$A331,"&gt;="&amp;$A332-1,$A$4:$A331,"&lt;="&amp;$A332,$B$4:$B331,$B332)&gt;0,MIN(AX$1,IF($A332=$A331,AX331,1))-AC332&lt;0),-1,MIN(1,IF($A332=$A331,AX331,1)-AC332+$D$3))</f>
        <v>#N/A</v>
      </c>
      <c r="AY332" t="e">
        <f>IF(OR($J332=0,COUNTIFS($A$4:$A331,"&gt;="&amp;$A332-1,$A$4:$A331,"&lt;="&amp;$A332,$B$4:$B331,$B332)&gt;0,MIN(AY$1,IF($A332=$A331,AY331,1))-AD332&lt;0),-1,MIN(1,IF($A332=$A331,AY331,1)-AD332+$D$3))</f>
        <v>#N/A</v>
      </c>
      <c r="AZ332" t="e">
        <f>IF(OR($J332=0,COUNTIFS($A$4:$A331,"&gt;="&amp;$A332-1,$A$4:$A331,"&lt;="&amp;$A332,$B$4:$B331,$B332)&gt;0,MIN(AZ$1,IF($A332=$A331,AZ331,1))-AE332&lt;0),-1,MIN(1,IF($A332=$A331,AZ331,1)-AE332+$D$3))</f>
        <v>#N/A</v>
      </c>
      <c r="BA332" t="e">
        <f>IF(OR($J332=0,COUNTIFS($A$4:$A331,"&gt;="&amp;$A332-1,$A$4:$A331,"&lt;="&amp;$A332,$B$4:$B331,$B332)&gt;0,MIN(BA$1,IF($A332=$A331,BA331,1))-AF332&lt;0),-1,MIN(1,IF($A332=$A331,BA331,1)-AF332+$D$3))</f>
        <v>#N/A</v>
      </c>
      <c r="BB332" t="e">
        <f>IF(OR($J332=0,COUNTIFS($A$4:$A331,"&gt;="&amp;$A332-1,$A$4:$A331,"&lt;="&amp;$A332,$B$4:$B331,$B332)&gt;0,MIN(BB$1,IF($A332=$A331,BB331,1))-AG332&lt;0),-1,MIN(1,IF($A332=$A331,BB331,1)-AG332+$D$3))</f>
        <v>#N/A</v>
      </c>
      <c r="BC332" t="e">
        <f>IF(OR($J332=0,COUNTIFS($A$4:$A331,"&gt;="&amp;$A332-1,$A$4:$A331,"&lt;="&amp;$A332,$B$4:$B331,$B332)&gt;0,MIN(BC$1,IF($A332=$A331,BC331,1))-AH332&lt;0),-1,MIN(1,IF($A332=$A331,BC331,1)-AH332+$D$3))</f>
        <v>#N/A</v>
      </c>
      <c r="BD332" t="e">
        <f>IF(OR($J332=0,COUNTIFS($A$4:$A331,"&gt;="&amp;$A332-1,$A$4:$A331,"&lt;="&amp;$A332,$B$4:$B331,$B332)&gt;0,MIN(BD$1,IF($A332=$A331,BD331,1))-AI332&lt;0),-1,MIN(1,IF($A332=$A331,BD331,1)-AI332+$D$3))</f>
        <v>#N/A</v>
      </c>
      <c r="BF332" s="44">
        <f t="shared" si="355"/>
        <v>1.0462812161148932E-7</v>
      </c>
      <c r="BG332" s="44">
        <f t="shared" si="356"/>
        <v>2.573100751379863E-7</v>
      </c>
      <c r="BH332" s="44">
        <f t="shared" si="357"/>
        <v>2.6371576064729597E-7</v>
      </c>
      <c r="BI332" s="44">
        <f t="shared" si="358"/>
        <v>2.4360014524790572E-7</v>
      </c>
      <c r="BJ332" s="44">
        <f t="shared" si="359"/>
        <v>2.5178387652730615E-7</v>
      </c>
      <c r="BK332" s="44">
        <f t="shared" si="360"/>
        <v>1.0812538432745119E-7</v>
      </c>
      <c r="BL332" s="44">
        <f t="shared" si="361"/>
        <v>5.8411033684868384E-8</v>
      </c>
      <c r="BM332" s="44">
        <f t="shared" si="362"/>
        <v>1.4859084874375821E-7</v>
      </c>
      <c r="BN332" s="44">
        <f t="shared" si="363"/>
        <v>1.5454606317793698E-7</v>
      </c>
      <c r="BO332" s="44">
        <f t="shared" si="364"/>
        <v>7.2426149555189162E-8</v>
      </c>
      <c r="BP332" s="44">
        <f t="shared" si="365"/>
        <v>2.4353131421034048E-7</v>
      </c>
      <c r="BQ332" s="44">
        <f t="shared" si="366"/>
        <v>6.5719020651282085E-8</v>
      </c>
      <c r="BR332" s="44">
        <f t="shared" si="367"/>
        <v>1.9415043819520023E-7</v>
      </c>
      <c r="BS332" s="44">
        <f t="shared" si="368"/>
        <v>1.0470790771708847E-7</v>
      </c>
      <c r="BT332" s="44">
        <f t="shared" si="369"/>
        <v>4.1436129181491958E-7</v>
      </c>
      <c r="BU332" s="44">
        <f t="shared" si="370"/>
        <v>3.9583971976145008E-7</v>
      </c>
      <c r="BV332" s="44">
        <f t="shared" si="371"/>
        <v>3.801513707891461E-7</v>
      </c>
      <c r="BW332" s="44">
        <f t="shared" si="372"/>
        <v>2.4863991638464327E-7</v>
      </c>
      <c r="BX332" s="44">
        <f t="shared" si="373"/>
        <v>1.8369065511000001E-7</v>
      </c>
      <c r="BY332" s="44">
        <f t="shared" si="374"/>
        <v>1.5771954025543098E-7</v>
      </c>
      <c r="CA332" s="44" t="str">
        <f t="shared" si="375"/>
        <v/>
      </c>
      <c r="CB332" s="44" t="str">
        <f t="shared" si="376"/>
        <v/>
      </c>
      <c r="CC332" s="44" t="str">
        <f t="shared" si="377"/>
        <v/>
      </c>
      <c r="CD332" s="44" t="str">
        <f t="shared" si="378"/>
        <v/>
      </c>
      <c r="CE332" s="44" t="str">
        <f t="shared" si="379"/>
        <v/>
      </c>
      <c r="CF332" s="44" t="str">
        <f t="shared" si="380"/>
        <v/>
      </c>
      <c r="CG332" s="44" t="str">
        <f t="shared" si="381"/>
        <v/>
      </c>
      <c r="CH332" s="44" t="str">
        <f t="shared" si="382"/>
        <v/>
      </c>
      <c r="CI332" s="44" t="str">
        <f t="shared" si="383"/>
        <v/>
      </c>
      <c r="CJ332" s="44" t="str">
        <f t="shared" si="384"/>
        <v/>
      </c>
      <c r="CK332" s="44" t="str">
        <f t="shared" si="385"/>
        <v/>
      </c>
      <c r="CL332" s="44" t="str">
        <f t="shared" si="386"/>
        <v/>
      </c>
      <c r="CM332" s="44" t="str">
        <f t="shared" si="387"/>
        <v/>
      </c>
      <c r="CN332" s="44" t="str">
        <f t="shared" si="388"/>
        <v/>
      </c>
      <c r="CO332" s="44" t="str">
        <f t="shared" si="389"/>
        <v/>
      </c>
      <c r="CP332" s="44" t="str">
        <f t="shared" si="390"/>
        <v/>
      </c>
      <c r="CQ332" s="44" t="str">
        <f t="shared" si="391"/>
        <v/>
      </c>
      <c r="CR332" s="44" t="str">
        <f t="shared" si="392"/>
        <v/>
      </c>
      <c r="CS332" s="44" t="str">
        <f t="shared" si="393"/>
        <v/>
      </c>
      <c r="CT332" s="44" t="str">
        <f t="shared" si="394"/>
        <v/>
      </c>
      <c r="CV332" s="44">
        <f t="shared" si="395"/>
        <v>0</v>
      </c>
    </row>
    <row r="333" spans="1:100" x14ac:dyDescent="0.25">
      <c r="A333" s="41"/>
      <c r="B333" s="42"/>
      <c r="C333" s="43" t="str" cm="1">
        <f t="array" ref="C333">IF(B333="","",INDEX(UWS!$B$10:$B$41,B333))</f>
        <v/>
      </c>
      <c r="D333" s="40" t="str">
        <f t="shared" si="352"/>
        <v/>
      </c>
      <c r="E333" s="69" t="str">
        <f t="shared" si="353"/>
        <v/>
      </c>
      <c r="F333" s="48" cm="1">
        <f t="array" ref="F333">0.1+IFERROR(INDEX($F$5:$F332,SUMPRODUCT(MAX(ROW($C$5:$C332)*($C333=$C$5:$C332))-ROW($A$4)))*0.9^($A333-INDEX($A$5:A332,SUMPRODUCT(MAX(ROW($C$5:$C332)*($C333=$C$5:$C332))-ROW($A$4)))),0)</f>
        <v>26.800000000000111</v>
      </c>
      <c r="G333" s="55" t="e">
        <f>INDEX(UWS!$AB$10:$AB$41,MATCH(C333,UWS!$B$10:$B$41,0))</f>
        <v>#N/A</v>
      </c>
      <c r="H333" s="48" t="e">
        <f>INDEX(UWS!$C$10:$C$41,MATCH(C333,UWS!$B$10:$B$41,0))</f>
        <v>#N/A</v>
      </c>
      <c r="I333" s="27">
        <f t="shared" si="354"/>
        <v>5</v>
      </c>
      <c r="J333" s="27" t="e">
        <f>INDEX(UWS!$E$10:$E$41,MATCH(C333,UWS!$B$10:$B$41,0))</f>
        <v>#N/A</v>
      </c>
      <c r="L333" s="108" t="str" cm="1">
        <f t="array" ref="L333">IF(K333="","",INDEX(UWS!$B$10:$B$41,K333))</f>
        <v/>
      </c>
      <c r="N333" s="108" t="str" cm="1">
        <f t="array" ref="N333">IF(M333="","",INDEX(UWS!$B$10:$B$41,M333))</f>
        <v/>
      </c>
      <c r="P333">
        <f>IFERROR(INDEX(UWS!$G$10:$Z$41,MATCH($C333,UWS!$B$10:$B$41,0),MATCH(P$4,UWS!$G$3:$Z$3,0)),0)</f>
        <v>0</v>
      </c>
      <c r="Q333">
        <f>IFERROR(INDEX(UWS!$G$10:$Z$41,MATCH($C333,UWS!$B$10:$B$41,0),MATCH(Q$4,UWS!$G$3:$Z$3,0)),0)</f>
        <v>0</v>
      </c>
      <c r="R333">
        <f>IFERROR(INDEX(UWS!$G$10:$Z$41,MATCH($C333,UWS!$B$10:$B$41,0),MATCH(R$4,UWS!$G$3:$Z$3,0)),0)</f>
        <v>0</v>
      </c>
      <c r="S333">
        <f>IFERROR(INDEX(UWS!$G$10:$Z$41,MATCH($C333,UWS!$B$10:$B$41,0),MATCH(S$4,UWS!$G$3:$Z$3,0)),0)</f>
        <v>0</v>
      </c>
      <c r="T333">
        <f>IFERROR(INDEX(UWS!$G$10:$Z$41,MATCH($C333,UWS!$B$10:$B$41,0),MATCH(T$4,UWS!$G$3:$Z$3,0)),0)</f>
        <v>0</v>
      </c>
      <c r="U333">
        <f>IFERROR(INDEX(UWS!$G$10:$Z$41,MATCH($C333,UWS!$B$10:$B$41,0),MATCH(U$4,UWS!$G$3:$Z$3,0)),0)</f>
        <v>0</v>
      </c>
      <c r="V333">
        <f>IFERROR(INDEX(UWS!$G$10:$Z$41,MATCH($C333,UWS!$B$10:$B$41,0),MATCH(V$4,UWS!$G$3:$Z$3,0)),0)</f>
        <v>0</v>
      </c>
      <c r="W333">
        <f>IFERROR(INDEX(UWS!$G$10:$Z$41,MATCH($C333,UWS!$B$10:$B$41,0),MATCH(W$4,UWS!$G$3:$Z$3,0)),0)</f>
        <v>0</v>
      </c>
      <c r="X333">
        <f>IFERROR(INDEX(UWS!$G$10:$Z$41,MATCH($C333,UWS!$B$10:$B$41,0),MATCH(X$4,UWS!$G$3:$Z$3,0)),0)</f>
        <v>0</v>
      </c>
      <c r="Y333">
        <f>IFERROR(INDEX(UWS!$G$10:$Z$41,MATCH($C333,UWS!$B$10:$B$41,0),MATCH(Y$4,UWS!$G$3:$Z$3,0)),0)</f>
        <v>0</v>
      </c>
      <c r="Z333">
        <f>IFERROR(INDEX(UWS!$G$10:$Z$41,MATCH($C333,UWS!$B$10:$B$41,0),MATCH(Z$4,UWS!$G$3:$Z$3,0)),0)</f>
        <v>0</v>
      </c>
      <c r="AA333">
        <f>IFERROR(INDEX(UWS!$G$10:$Z$41,MATCH($C333,UWS!$B$10:$B$41,0),MATCH(AA$4,UWS!$G$3:$Z$3,0)),0)</f>
        <v>0</v>
      </c>
      <c r="AB333">
        <f>IFERROR(INDEX(UWS!$G$10:$Z$41,MATCH($C333,UWS!$B$10:$B$41,0),MATCH(AB$4,UWS!$G$3:$Z$3,0)),0)</f>
        <v>0</v>
      </c>
      <c r="AC333">
        <f>IFERROR(INDEX(UWS!$G$10:$Z$41,MATCH($C333,UWS!$B$10:$B$41,0),MATCH(AC$4,UWS!$G$3:$Z$3,0)),0)</f>
        <v>0</v>
      </c>
      <c r="AD333">
        <f>IFERROR(INDEX(UWS!$G$10:$Z$41,MATCH($C333,UWS!$B$10:$B$41,0),MATCH(AD$4,UWS!$G$3:$Z$3,0)),0)</f>
        <v>0</v>
      </c>
      <c r="AE333">
        <f>IFERROR(INDEX(UWS!$G$10:$Z$41,MATCH($C333,UWS!$B$10:$B$41,0),MATCH(AE$4,UWS!$G$3:$Z$3,0)),0)</f>
        <v>0</v>
      </c>
      <c r="AF333">
        <f>IFERROR(INDEX(UWS!$G$10:$Z$41,MATCH($C333,UWS!$B$10:$B$41,0),MATCH(AF$4,UWS!$G$3:$Z$3,0)),0)</f>
        <v>0</v>
      </c>
      <c r="AG333">
        <f>IFERROR(INDEX(UWS!$G$10:$Z$41,MATCH($C333,UWS!$B$10:$B$41,0),MATCH(AG$4,UWS!$G$3:$Z$3,0)),0)</f>
        <v>0</v>
      </c>
      <c r="AH333">
        <f>IFERROR(INDEX(UWS!$G$10:$Z$41,MATCH($C333,UWS!$B$10:$B$41,0),MATCH(AH$4,UWS!$G$3:$Z$3,0)),0)</f>
        <v>0</v>
      </c>
      <c r="AI333">
        <f>IFERROR(INDEX(UWS!$G$10:$Z$41,MATCH($C333,UWS!$B$10:$B$41,0),MATCH(AI$4,UWS!$G$3:$Z$3,0)),0)</f>
        <v>0</v>
      </c>
      <c r="AK333" t="e">
        <f>IF(OR($J333=0,COUNTIFS($A$4:$A332,"&gt;="&amp;$A333-1,$A$4:$A332,"&lt;="&amp;$A333,$B$4:$B332,$B333)&gt;0,MIN(AK$1,IF($A333=$A332,AK332,1))-P333&lt;0),-1,MIN(1,IF($A333=$A332,AK332,1)-P333+$D$3))</f>
        <v>#N/A</v>
      </c>
      <c r="AL333" t="e">
        <f>IF(OR($J333=0,COUNTIFS($A$4:$A332,"&gt;="&amp;$A333-1,$A$4:$A332,"&lt;="&amp;$A333,$B$4:$B332,$B333)&gt;0,MIN(AL$1,IF($A333=$A332,AL332,1))-Q333&lt;0),-1,MIN(1,IF($A333=$A332,AL332,1)-Q333+$D$3))</f>
        <v>#N/A</v>
      </c>
      <c r="AM333" t="e">
        <f>IF(OR($J333=0,COUNTIFS($A$4:$A332,"&gt;="&amp;$A333-1,$A$4:$A332,"&lt;="&amp;$A333,$B$4:$B332,$B333)&gt;0,MIN(AM$1,IF($A333=$A332,AM332,1))-R333&lt;0),-1,MIN(1,IF($A333=$A332,AM332,1)-R333+$D$3))</f>
        <v>#N/A</v>
      </c>
      <c r="AN333" t="e">
        <f>IF(OR($J333=0,COUNTIFS($A$4:$A332,"&gt;="&amp;$A333-1,$A$4:$A332,"&lt;="&amp;$A333,$B$4:$B332,$B333)&gt;0,MIN(AN$1,IF($A333=$A332,AN332,1))-S333&lt;0),-1,MIN(1,IF($A333=$A332,AN332,1)-S333+$D$3))</f>
        <v>#N/A</v>
      </c>
      <c r="AO333" t="e">
        <f>IF(OR($J333=0,COUNTIFS($A$4:$A332,"&gt;="&amp;$A333-1,$A$4:$A332,"&lt;="&amp;$A333,$B$4:$B332,$B333)&gt;0,MIN(AO$1,IF($A333=$A332,AO332,1))-T333&lt;0),-1,MIN(1,IF($A333=$A332,AO332,1)-T333+$D$3))</f>
        <v>#N/A</v>
      </c>
      <c r="AP333" t="e">
        <f>IF(OR($J333=0,COUNTIFS($A$4:$A332,"&gt;="&amp;$A333-1,$A$4:$A332,"&lt;="&amp;$A333,$B$4:$B332,$B333)&gt;0,MIN(AP$1,IF($A333=$A332,AP332,1))-U333&lt;0),-1,MIN(1,IF($A333=$A332,AP332,1)-U333+$D$3))</f>
        <v>#N/A</v>
      </c>
      <c r="AQ333" t="e">
        <f>IF(OR($J333=0,COUNTIFS($A$4:$A332,"&gt;="&amp;$A333-1,$A$4:$A332,"&lt;="&amp;$A333,$B$4:$B332,$B333)&gt;0,MIN(AQ$1,IF($A333=$A332,AQ332,1))-V333&lt;0),-1,MIN(1,IF($A333=$A332,AQ332,1)-V333+$D$3))</f>
        <v>#N/A</v>
      </c>
      <c r="AR333" t="e">
        <f>IF(OR($J333=0,COUNTIFS($A$4:$A332,"&gt;="&amp;$A333-1,$A$4:$A332,"&lt;="&amp;$A333,$B$4:$B332,$B333)&gt;0,MIN(AR$1,IF($A333=$A332,AR332,1))-W333&lt;0),-1,MIN(1,IF($A333=$A332,AR332,1)-W333+$D$3))</f>
        <v>#N/A</v>
      </c>
      <c r="AS333" t="e">
        <f>IF(OR($J333=0,COUNTIFS($A$4:$A332,"&gt;="&amp;$A333-1,$A$4:$A332,"&lt;="&amp;$A333,$B$4:$B332,$B333)&gt;0,MIN(AS$1,IF($A333=$A332,AS332,1))-X333&lt;0),-1,MIN(1,IF($A333=$A332,AS332,1)-X333+$D$3))</f>
        <v>#N/A</v>
      </c>
      <c r="AT333" t="e">
        <f>IF(OR($J333=0,COUNTIFS($A$4:$A332,"&gt;="&amp;$A333-1,$A$4:$A332,"&lt;="&amp;$A333,$B$4:$B332,$B333)&gt;0,MIN(AT$1,IF($A333=$A332,AT332,1))-Y333&lt;0),-1,MIN(1,IF($A333=$A332,AT332,1)-Y333+$D$3))</f>
        <v>#N/A</v>
      </c>
      <c r="AU333" t="e">
        <f>IF(OR($J333=0,COUNTIFS($A$4:$A332,"&gt;="&amp;$A333-1,$A$4:$A332,"&lt;="&amp;$A333,$B$4:$B332,$B333)&gt;0,MIN(AU$1,IF($A333=$A332,AU332,1))-Z333&lt;0),-1,MIN(1,IF($A333=$A332,AU332,1)-Z333+$D$3))</f>
        <v>#N/A</v>
      </c>
      <c r="AV333" t="e">
        <f>IF(OR($J333=0,COUNTIFS($A$4:$A332,"&gt;="&amp;$A333-1,$A$4:$A332,"&lt;="&amp;$A333,$B$4:$B332,$B333)&gt;0,MIN(AV$1,IF($A333=$A332,AV332,1))-AA333&lt;0),-1,MIN(1,IF($A333=$A332,AV332,1)-AA333+$D$3))</f>
        <v>#N/A</v>
      </c>
      <c r="AW333" t="e">
        <f>IF(OR($J333=0,COUNTIFS($A$4:$A332,"&gt;="&amp;$A333-1,$A$4:$A332,"&lt;="&amp;$A333,$B$4:$B332,$B333)&gt;0,MIN(AW$1,IF($A333=$A332,AW332,1))-AB333&lt;0),-1,MIN(1,IF($A333=$A332,AW332,1)-AB333+$D$3))</f>
        <v>#N/A</v>
      </c>
      <c r="AX333" t="e">
        <f>IF(OR($J333=0,COUNTIFS($A$4:$A332,"&gt;="&amp;$A333-1,$A$4:$A332,"&lt;="&amp;$A333,$B$4:$B332,$B333)&gt;0,MIN(AX$1,IF($A333=$A332,AX332,1))-AC333&lt;0),-1,MIN(1,IF($A333=$A332,AX332,1)-AC333+$D$3))</f>
        <v>#N/A</v>
      </c>
      <c r="AY333" t="e">
        <f>IF(OR($J333=0,COUNTIFS($A$4:$A332,"&gt;="&amp;$A333-1,$A$4:$A332,"&lt;="&amp;$A333,$B$4:$B332,$B333)&gt;0,MIN(AY$1,IF($A333=$A332,AY332,1))-AD333&lt;0),-1,MIN(1,IF($A333=$A332,AY332,1)-AD333+$D$3))</f>
        <v>#N/A</v>
      </c>
      <c r="AZ333" t="e">
        <f>IF(OR($J333=0,COUNTIFS($A$4:$A332,"&gt;="&amp;$A333-1,$A$4:$A332,"&lt;="&amp;$A333,$B$4:$B332,$B333)&gt;0,MIN(AZ$1,IF($A333=$A332,AZ332,1))-AE333&lt;0),-1,MIN(1,IF($A333=$A332,AZ332,1)-AE333+$D$3))</f>
        <v>#N/A</v>
      </c>
      <c r="BA333" t="e">
        <f>IF(OR($J333=0,COUNTIFS($A$4:$A332,"&gt;="&amp;$A333-1,$A$4:$A332,"&lt;="&amp;$A333,$B$4:$B332,$B333)&gt;0,MIN(BA$1,IF($A333=$A332,BA332,1))-AF333&lt;0),-1,MIN(1,IF($A333=$A332,BA332,1)-AF333+$D$3))</f>
        <v>#N/A</v>
      </c>
      <c r="BB333" t="e">
        <f>IF(OR($J333=0,COUNTIFS($A$4:$A332,"&gt;="&amp;$A333-1,$A$4:$A332,"&lt;="&amp;$A333,$B$4:$B332,$B333)&gt;0,MIN(BB$1,IF($A333=$A332,BB332,1))-AG333&lt;0),-1,MIN(1,IF($A333=$A332,BB332,1)-AG333+$D$3))</f>
        <v>#N/A</v>
      </c>
      <c r="BC333" t="e">
        <f>IF(OR($J333=0,COUNTIFS($A$4:$A332,"&gt;="&amp;$A333-1,$A$4:$A332,"&lt;="&amp;$A333,$B$4:$B332,$B333)&gt;0,MIN(BC$1,IF($A333=$A332,BC332,1))-AH333&lt;0),-1,MIN(1,IF($A333=$A332,BC332,1)-AH333+$D$3))</f>
        <v>#N/A</v>
      </c>
      <c r="BD333" t="e">
        <f>IF(OR($J333=0,COUNTIFS($A$4:$A332,"&gt;="&amp;$A333-1,$A$4:$A332,"&lt;="&amp;$A333,$B$4:$B332,$B333)&gt;0,MIN(BD$1,IF($A333=$A332,BD332,1))-AI333&lt;0),-1,MIN(1,IF($A333=$A332,BD332,1)-AI333+$D$3))</f>
        <v>#N/A</v>
      </c>
      <c r="BF333" s="44">
        <f t="shared" si="355"/>
        <v>9.939671553091485E-8</v>
      </c>
      <c r="BG333" s="44">
        <f t="shared" si="356"/>
        <v>2.4444457138108695E-7</v>
      </c>
      <c r="BH333" s="44">
        <f t="shared" si="357"/>
        <v>2.5052997261493116E-7</v>
      </c>
      <c r="BI333" s="44">
        <f t="shared" si="358"/>
        <v>2.3142013798551043E-7</v>
      </c>
      <c r="BJ333" s="44">
        <f t="shared" si="359"/>
        <v>2.3919468270094084E-7</v>
      </c>
      <c r="BK333" s="44">
        <f t="shared" si="360"/>
        <v>1.0271911511107862E-7</v>
      </c>
      <c r="BL333" s="44">
        <f t="shared" si="361"/>
        <v>5.5490482000624962E-8</v>
      </c>
      <c r="BM333" s="44">
        <f t="shared" si="362"/>
        <v>1.4116130630657029E-7</v>
      </c>
      <c r="BN333" s="44">
        <f t="shared" si="363"/>
        <v>1.4681876001904012E-7</v>
      </c>
      <c r="BO333" s="44">
        <f t="shared" si="364"/>
        <v>6.8804842077429699E-8</v>
      </c>
      <c r="BP333" s="44">
        <f t="shared" si="365"/>
        <v>2.3135474849982343E-7</v>
      </c>
      <c r="BQ333" s="44">
        <f t="shared" si="366"/>
        <v>6.2433069618717982E-8</v>
      </c>
      <c r="BR333" s="44">
        <f t="shared" si="367"/>
        <v>1.844429162854402E-7</v>
      </c>
      <c r="BS333" s="44">
        <f t="shared" si="368"/>
        <v>9.9472512331234031E-8</v>
      </c>
      <c r="BT333" s="44">
        <f t="shared" si="369"/>
        <v>3.936432272241736E-7</v>
      </c>
      <c r="BU333" s="44">
        <f t="shared" si="370"/>
        <v>3.7604773377337757E-7</v>
      </c>
      <c r="BV333" s="44">
        <f t="shared" si="371"/>
        <v>3.6114380224968879E-7</v>
      </c>
      <c r="BW333" s="44">
        <f t="shared" si="372"/>
        <v>2.3620792056541108E-7</v>
      </c>
      <c r="BX333" s="44">
        <f t="shared" si="373"/>
        <v>1.745061223545E-7</v>
      </c>
      <c r="BY333" s="44">
        <f t="shared" si="374"/>
        <v>1.4983356324265942E-7</v>
      </c>
      <c r="CA333" s="44" t="str">
        <f t="shared" si="375"/>
        <v/>
      </c>
      <c r="CB333" s="44" t="str">
        <f t="shared" si="376"/>
        <v/>
      </c>
      <c r="CC333" s="44" t="str">
        <f t="shared" si="377"/>
        <v/>
      </c>
      <c r="CD333" s="44" t="str">
        <f t="shared" si="378"/>
        <v/>
      </c>
      <c r="CE333" s="44" t="str">
        <f t="shared" si="379"/>
        <v/>
      </c>
      <c r="CF333" s="44" t="str">
        <f t="shared" si="380"/>
        <v/>
      </c>
      <c r="CG333" s="44" t="str">
        <f t="shared" si="381"/>
        <v/>
      </c>
      <c r="CH333" s="44" t="str">
        <f t="shared" si="382"/>
        <v/>
      </c>
      <c r="CI333" s="44" t="str">
        <f t="shared" si="383"/>
        <v/>
      </c>
      <c r="CJ333" s="44" t="str">
        <f t="shared" si="384"/>
        <v/>
      </c>
      <c r="CK333" s="44" t="str">
        <f t="shared" si="385"/>
        <v/>
      </c>
      <c r="CL333" s="44" t="str">
        <f t="shared" si="386"/>
        <v/>
      </c>
      <c r="CM333" s="44" t="str">
        <f t="shared" si="387"/>
        <v/>
      </c>
      <c r="CN333" s="44" t="str">
        <f t="shared" si="388"/>
        <v/>
      </c>
      <c r="CO333" s="44" t="str">
        <f t="shared" si="389"/>
        <v/>
      </c>
      <c r="CP333" s="44" t="str">
        <f t="shared" si="390"/>
        <v/>
      </c>
      <c r="CQ333" s="44" t="str">
        <f t="shared" si="391"/>
        <v/>
      </c>
      <c r="CR333" s="44" t="str">
        <f t="shared" si="392"/>
        <v/>
      </c>
      <c r="CS333" s="44" t="str">
        <f t="shared" si="393"/>
        <v/>
      </c>
      <c r="CT333" s="44" t="str">
        <f t="shared" si="394"/>
        <v/>
      </c>
      <c r="CV333" s="44">
        <f t="shared" si="395"/>
        <v>0</v>
      </c>
    </row>
    <row r="334" spans="1:100" x14ac:dyDescent="0.25">
      <c r="A334" s="41"/>
      <c r="B334" s="42"/>
      <c r="C334" s="43" t="str" cm="1">
        <f t="array" ref="C334">IF(B334="","",INDEX(UWS!$B$10:$B$41,B334))</f>
        <v/>
      </c>
      <c r="D334" s="40" t="str">
        <f t="shared" si="352"/>
        <v/>
      </c>
      <c r="E334" s="69" t="str">
        <f t="shared" si="353"/>
        <v/>
      </c>
      <c r="F334" s="48" cm="1">
        <f t="array" ref="F334">0.1+IFERROR(INDEX($F$5:$F333,SUMPRODUCT(MAX(ROW($C$5:$C333)*($C334=$C$5:$C333))-ROW($A$4)))*0.9^($A334-INDEX($A$5:A333,SUMPRODUCT(MAX(ROW($C$5:$C333)*($C334=$C$5:$C333))-ROW($A$4)))),0)</f>
        <v>26.900000000000112</v>
      </c>
      <c r="G334" s="55" t="e">
        <f>INDEX(UWS!$AB$10:$AB$41,MATCH(C334,UWS!$B$10:$B$41,0))</f>
        <v>#N/A</v>
      </c>
      <c r="H334" s="48" t="e">
        <f>INDEX(UWS!$C$10:$C$41,MATCH(C334,UWS!$B$10:$B$41,0))</f>
        <v>#N/A</v>
      </c>
      <c r="I334" s="27">
        <f t="shared" si="354"/>
        <v>5</v>
      </c>
      <c r="J334" s="27" t="e">
        <f>INDEX(UWS!$E$10:$E$41,MATCH(C334,UWS!$B$10:$B$41,0))</f>
        <v>#N/A</v>
      </c>
      <c r="L334" s="108" t="str" cm="1">
        <f t="array" ref="L334">IF(K334="","",INDEX(UWS!$B$10:$B$41,K334))</f>
        <v/>
      </c>
      <c r="N334" s="108" t="str" cm="1">
        <f t="array" ref="N334">IF(M334="","",INDEX(UWS!$B$10:$B$41,M334))</f>
        <v/>
      </c>
      <c r="P334">
        <f>IFERROR(INDEX(UWS!$G$10:$Z$41,MATCH($C334,UWS!$B$10:$B$41,0),MATCH(P$4,UWS!$G$3:$Z$3,0)),0)</f>
        <v>0</v>
      </c>
      <c r="Q334">
        <f>IFERROR(INDEX(UWS!$G$10:$Z$41,MATCH($C334,UWS!$B$10:$B$41,0),MATCH(Q$4,UWS!$G$3:$Z$3,0)),0)</f>
        <v>0</v>
      </c>
      <c r="R334">
        <f>IFERROR(INDEX(UWS!$G$10:$Z$41,MATCH($C334,UWS!$B$10:$B$41,0),MATCH(R$4,UWS!$G$3:$Z$3,0)),0)</f>
        <v>0</v>
      </c>
      <c r="S334">
        <f>IFERROR(INDEX(UWS!$G$10:$Z$41,MATCH($C334,UWS!$B$10:$B$41,0),MATCH(S$4,UWS!$G$3:$Z$3,0)),0)</f>
        <v>0</v>
      </c>
      <c r="T334">
        <f>IFERROR(INDEX(UWS!$G$10:$Z$41,MATCH($C334,UWS!$B$10:$B$41,0),MATCH(T$4,UWS!$G$3:$Z$3,0)),0)</f>
        <v>0</v>
      </c>
      <c r="U334">
        <f>IFERROR(INDEX(UWS!$G$10:$Z$41,MATCH($C334,UWS!$B$10:$B$41,0),MATCH(U$4,UWS!$G$3:$Z$3,0)),0)</f>
        <v>0</v>
      </c>
      <c r="V334">
        <f>IFERROR(INDEX(UWS!$G$10:$Z$41,MATCH($C334,UWS!$B$10:$B$41,0),MATCH(V$4,UWS!$G$3:$Z$3,0)),0)</f>
        <v>0</v>
      </c>
      <c r="W334">
        <f>IFERROR(INDEX(UWS!$G$10:$Z$41,MATCH($C334,UWS!$B$10:$B$41,0),MATCH(W$4,UWS!$G$3:$Z$3,0)),0)</f>
        <v>0</v>
      </c>
      <c r="X334">
        <f>IFERROR(INDEX(UWS!$G$10:$Z$41,MATCH($C334,UWS!$B$10:$B$41,0),MATCH(X$4,UWS!$G$3:$Z$3,0)),0)</f>
        <v>0</v>
      </c>
      <c r="Y334">
        <f>IFERROR(INDEX(UWS!$G$10:$Z$41,MATCH($C334,UWS!$B$10:$B$41,0),MATCH(Y$4,UWS!$G$3:$Z$3,0)),0)</f>
        <v>0</v>
      </c>
      <c r="Z334">
        <f>IFERROR(INDEX(UWS!$G$10:$Z$41,MATCH($C334,UWS!$B$10:$B$41,0),MATCH(Z$4,UWS!$G$3:$Z$3,0)),0)</f>
        <v>0</v>
      </c>
      <c r="AA334">
        <f>IFERROR(INDEX(UWS!$G$10:$Z$41,MATCH($C334,UWS!$B$10:$B$41,0),MATCH(AA$4,UWS!$G$3:$Z$3,0)),0)</f>
        <v>0</v>
      </c>
      <c r="AB334">
        <f>IFERROR(INDEX(UWS!$G$10:$Z$41,MATCH($C334,UWS!$B$10:$B$41,0),MATCH(AB$4,UWS!$G$3:$Z$3,0)),0)</f>
        <v>0</v>
      </c>
      <c r="AC334">
        <f>IFERROR(INDEX(UWS!$G$10:$Z$41,MATCH($C334,UWS!$B$10:$B$41,0),MATCH(AC$4,UWS!$G$3:$Z$3,0)),0)</f>
        <v>0</v>
      </c>
      <c r="AD334">
        <f>IFERROR(INDEX(UWS!$G$10:$Z$41,MATCH($C334,UWS!$B$10:$B$41,0),MATCH(AD$4,UWS!$G$3:$Z$3,0)),0)</f>
        <v>0</v>
      </c>
      <c r="AE334">
        <f>IFERROR(INDEX(UWS!$G$10:$Z$41,MATCH($C334,UWS!$B$10:$B$41,0),MATCH(AE$4,UWS!$G$3:$Z$3,0)),0)</f>
        <v>0</v>
      </c>
      <c r="AF334">
        <f>IFERROR(INDEX(UWS!$G$10:$Z$41,MATCH($C334,UWS!$B$10:$B$41,0),MATCH(AF$4,UWS!$G$3:$Z$3,0)),0)</f>
        <v>0</v>
      </c>
      <c r="AG334">
        <f>IFERROR(INDEX(UWS!$G$10:$Z$41,MATCH($C334,UWS!$B$10:$B$41,0),MATCH(AG$4,UWS!$G$3:$Z$3,0)),0)</f>
        <v>0</v>
      </c>
      <c r="AH334">
        <f>IFERROR(INDEX(UWS!$G$10:$Z$41,MATCH($C334,UWS!$B$10:$B$41,0),MATCH(AH$4,UWS!$G$3:$Z$3,0)),0)</f>
        <v>0</v>
      </c>
      <c r="AI334">
        <f>IFERROR(INDEX(UWS!$G$10:$Z$41,MATCH($C334,UWS!$B$10:$B$41,0),MATCH(AI$4,UWS!$G$3:$Z$3,0)),0)</f>
        <v>0</v>
      </c>
      <c r="AK334" t="e">
        <f>IF(OR($J334=0,COUNTIFS($A$4:$A333,"&gt;="&amp;$A334-1,$A$4:$A333,"&lt;="&amp;$A334,$B$4:$B333,$B334)&gt;0,MIN(AK$1,IF($A334=$A333,AK333,1))-P334&lt;0),-1,MIN(1,IF($A334=$A333,AK333,1)-P334+$D$3))</f>
        <v>#N/A</v>
      </c>
      <c r="AL334" t="e">
        <f>IF(OR($J334=0,COUNTIFS($A$4:$A333,"&gt;="&amp;$A334-1,$A$4:$A333,"&lt;="&amp;$A334,$B$4:$B333,$B334)&gt;0,MIN(AL$1,IF($A334=$A333,AL333,1))-Q334&lt;0),-1,MIN(1,IF($A334=$A333,AL333,1)-Q334+$D$3))</f>
        <v>#N/A</v>
      </c>
      <c r="AM334" t="e">
        <f>IF(OR($J334=0,COUNTIFS($A$4:$A333,"&gt;="&amp;$A334-1,$A$4:$A333,"&lt;="&amp;$A334,$B$4:$B333,$B334)&gt;0,MIN(AM$1,IF($A334=$A333,AM333,1))-R334&lt;0),-1,MIN(1,IF($A334=$A333,AM333,1)-R334+$D$3))</f>
        <v>#N/A</v>
      </c>
      <c r="AN334" t="e">
        <f>IF(OR($J334=0,COUNTIFS($A$4:$A333,"&gt;="&amp;$A334-1,$A$4:$A333,"&lt;="&amp;$A334,$B$4:$B333,$B334)&gt;0,MIN(AN$1,IF($A334=$A333,AN333,1))-S334&lt;0),-1,MIN(1,IF($A334=$A333,AN333,1)-S334+$D$3))</f>
        <v>#N/A</v>
      </c>
      <c r="AO334" t="e">
        <f>IF(OR($J334=0,COUNTIFS($A$4:$A333,"&gt;="&amp;$A334-1,$A$4:$A333,"&lt;="&amp;$A334,$B$4:$B333,$B334)&gt;0,MIN(AO$1,IF($A334=$A333,AO333,1))-T334&lt;0),-1,MIN(1,IF($A334=$A333,AO333,1)-T334+$D$3))</f>
        <v>#N/A</v>
      </c>
      <c r="AP334" t="e">
        <f>IF(OR($J334=0,COUNTIFS($A$4:$A333,"&gt;="&amp;$A334-1,$A$4:$A333,"&lt;="&amp;$A334,$B$4:$B333,$B334)&gt;0,MIN(AP$1,IF($A334=$A333,AP333,1))-U334&lt;0),-1,MIN(1,IF($A334=$A333,AP333,1)-U334+$D$3))</f>
        <v>#N/A</v>
      </c>
      <c r="AQ334" t="e">
        <f>IF(OR($J334=0,COUNTIFS($A$4:$A333,"&gt;="&amp;$A334-1,$A$4:$A333,"&lt;="&amp;$A334,$B$4:$B333,$B334)&gt;0,MIN(AQ$1,IF($A334=$A333,AQ333,1))-V334&lt;0),-1,MIN(1,IF($A334=$A333,AQ333,1)-V334+$D$3))</f>
        <v>#N/A</v>
      </c>
      <c r="AR334" t="e">
        <f>IF(OR($J334=0,COUNTIFS($A$4:$A333,"&gt;="&amp;$A334-1,$A$4:$A333,"&lt;="&amp;$A334,$B$4:$B333,$B334)&gt;0,MIN(AR$1,IF($A334=$A333,AR333,1))-W334&lt;0),-1,MIN(1,IF($A334=$A333,AR333,1)-W334+$D$3))</f>
        <v>#N/A</v>
      </c>
      <c r="AS334" t="e">
        <f>IF(OR($J334=0,COUNTIFS($A$4:$A333,"&gt;="&amp;$A334-1,$A$4:$A333,"&lt;="&amp;$A334,$B$4:$B333,$B334)&gt;0,MIN(AS$1,IF($A334=$A333,AS333,1))-X334&lt;0),-1,MIN(1,IF($A334=$A333,AS333,1)-X334+$D$3))</f>
        <v>#N/A</v>
      </c>
      <c r="AT334" t="e">
        <f>IF(OR($J334=0,COUNTIFS($A$4:$A333,"&gt;="&amp;$A334-1,$A$4:$A333,"&lt;="&amp;$A334,$B$4:$B333,$B334)&gt;0,MIN(AT$1,IF($A334=$A333,AT333,1))-Y334&lt;0),-1,MIN(1,IF($A334=$A333,AT333,1)-Y334+$D$3))</f>
        <v>#N/A</v>
      </c>
      <c r="AU334" t="e">
        <f>IF(OR($J334=0,COUNTIFS($A$4:$A333,"&gt;="&amp;$A334-1,$A$4:$A333,"&lt;="&amp;$A334,$B$4:$B333,$B334)&gt;0,MIN(AU$1,IF($A334=$A333,AU333,1))-Z334&lt;0),-1,MIN(1,IF($A334=$A333,AU333,1)-Z334+$D$3))</f>
        <v>#N/A</v>
      </c>
      <c r="AV334" t="e">
        <f>IF(OR($J334=0,COUNTIFS($A$4:$A333,"&gt;="&amp;$A334-1,$A$4:$A333,"&lt;="&amp;$A334,$B$4:$B333,$B334)&gt;0,MIN(AV$1,IF($A334=$A333,AV333,1))-AA334&lt;0),-1,MIN(1,IF($A334=$A333,AV333,1)-AA334+$D$3))</f>
        <v>#N/A</v>
      </c>
      <c r="AW334" t="e">
        <f>IF(OR($J334=0,COUNTIFS($A$4:$A333,"&gt;="&amp;$A334-1,$A$4:$A333,"&lt;="&amp;$A334,$B$4:$B333,$B334)&gt;0,MIN(AW$1,IF($A334=$A333,AW333,1))-AB334&lt;0),-1,MIN(1,IF($A334=$A333,AW333,1)-AB334+$D$3))</f>
        <v>#N/A</v>
      </c>
      <c r="AX334" t="e">
        <f>IF(OR($J334=0,COUNTIFS($A$4:$A333,"&gt;="&amp;$A334-1,$A$4:$A333,"&lt;="&amp;$A334,$B$4:$B333,$B334)&gt;0,MIN(AX$1,IF($A334=$A333,AX333,1))-AC334&lt;0),-1,MIN(1,IF($A334=$A333,AX333,1)-AC334+$D$3))</f>
        <v>#N/A</v>
      </c>
      <c r="AY334" t="e">
        <f>IF(OR($J334=0,COUNTIFS($A$4:$A333,"&gt;="&amp;$A334-1,$A$4:$A333,"&lt;="&amp;$A334,$B$4:$B333,$B334)&gt;0,MIN(AY$1,IF($A334=$A333,AY333,1))-AD334&lt;0),-1,MIN(1,IF($A334=$A333,AY333,1)-AD334+$D$3))</f>
        <v>#N/A</v>
      </c>
      <c r="AZ334" t="e">
        <f>IF(OR($J334=0,COUNTIFS($A$4:$A333,"&gt;="&amp;$A334-1,$A$4:$A333,"&lt;="&amp;$A334,$B$4:$B333,$B334)&gt;0,MIN(AZ$1,IF($A334=$A333,AZ333,1))-AE334&lt;0),-1,MIN(1,IF($A334=$A333,AZ333,1)-AE334+$D$3))</f>
        <v>#N/A</v>
      </c>
      <c r="BA334" t="e">
        <f>IF(OR($J334=0,COUNTIFS($A$4:$A333,"&gt;="&amp;$A334-1,$A$4:$A333,"&lt;="&amp;$A334,$B$4:$B333,$B334)&gt;0,MIN(BA$1,IF($A334=$A333,BA333,1))-AF334&lt;0),-1,MIN(1,IF($A334=$A333,BA333,1)-AF334+$D$3))</f>
        <v>#N/A</v>
      </c>
      <c r="BB334" t="e">
        <f>IF(OR($J334=0,COUNTIFS($A$4:$A333,"&gt;="&amp;$A334-1,$A$4:$A333,"&lt;="&amp;$A334,$B$4:$B333,$B334)&gt;0,MIN(BB$1,IF($A334=$A333,BB333,1))-AG334&lt;0),-1,MIN(1,IF($A334=$A333,BB333,1)-AG334+$D$3))</f>
        <v>#N/A</v>
      </c>
      <c r="BC334" t="e">
        <f>IF(OR($J334=0,COUNTIFS($A$4:$A333,"&gt;="&amp;$A334-1,$A$4:$A333,"&lt;="&amp;$A334,$B$4:$B333,$B334)&gt;0,MIN(BC$1,IF($A334=$A333,BC333,1))-AH334&lt;0),-1,MIN(1,IF($A334=$A333,BC333,1)-AH334+$D$3))</f>
        <v>#N/A</v>
      </c>
      <c r="BD334" t="e">
        <f>IF(OR($J334=0,COUNTIFS($A$4:$A333,"&gt;="&amp;$A334-1,$A$4:$A333,"&lt;="&amp;$A334,$B$4:$B333,$B334)&gt;0,MIN(BD$1,IF($A334=$A333,BD333,1))-AI334&lt;0),-1,MIN(1,IF($A334=$A333,BD333,1)-AI334+$D$3))</f>
        <v>#N/A</v>
      </c>
      <c r="BF334" s="44">
        <f t="shared" si="355"/>
        <v>9.4426879754369105E-8</v>
      </c>
      <c r="BG334" s="44">
        <f t="shared" si="356"/>
        <v>2.3222234281203259E-7</v>
      </c>
      <c r="BH334" s="44">
        <f t="shared" si="357"/>
        <v>2.3800347398418459E-7</v>
      </c>
      <c r="BI334" s="44">
        <f t="shared" si="358"/>
        <v>2.1984913108623489E-7</v>
      </c>
      <c r="BJ334" s="44">
        <f t="shared" si="359"/>
        <v>2.2723494856589377E-7</v>
      </c>
      <c r="BK334" s="44">
        <f t="shared" si="360"/>
        <v>9.7583159355524678E-8</v>
      </c>
      <c r="BL334" s="44">
        <f t="shared" si="361"/>
        <v>5.2715957900593709E-8</v>
      </c>
      <c r="BM334" s="44">
        <f t="shared" si="362"/>
        <v>1.3410324099124178E-7</v>
      </c>
      <c r="BN334" s="44">
        <f t="shared" si="363"/>
        <v>1.3947782201808811E-7</v>
      </c>
      <c r="BO334" s="44">
        <f t="shared" si="364"/>
        <v>6.5364599973558207E-8</v>
      </c>
      <c r="BP334" s="44">
        <f t="shared" si="365"/>
        <v>2.1978701107483226E-7</v>
      </c>
      <c r="BQ334" s="44">
        <f t="shared" si="366"/>
        <v>5.9311416137782079E-8</v>
      </c>
      <c r="BR334" s="44">
        <f t="shared" si="367"/>
        <v>1.7522077047116818E-7</v>
      </c>
      <c r="BS334" s="44">
        <f t="shared" si="368"/>
        <v>9.4498886714672325E-8</v>
      </c>
      <c r="BT334" s="44">
        <f t="shared" si="369"/>
        <v>3.7396106586296489E-7</v>
      </c>
      <c r="BU334" s="44">
        <f t="shared" si="370"/>
        <v>3.572453470847087E-7</v>
      </c>
      <c r="BV334" s="44">
        <f t="shared" si="371"/>
        <v>3.4308661213720433E-7</v>
      </c>
      <c r="BW334" s="44">
        <f t="shared" si="372"/>
        <v>2.2439752453714051E-7</v>
      </c>
      <c r="BX334" s="44">
        <f t="shared" si="373"/>
        <v>1.65780816236775E-7</v>
      </c>
      <c r="BY334" s="44">
        <f t="shared" si="374"/>
        <v>1.4234188508052644E-7</v>
      </c>
      <c r="CA334" s="44" t="str">
        <f t="shared" si="375"/>
        <v/>
      </c>
      <c r="CB334" s="44" t="str">
        <f t="shared" si="376"/>
        <v/>
      </c>
      <c r="CC334" s="44" t="str">
        <f t="shared" si="377"/>
        <v/>
      </c>
      <c r="CD334" s="44" t="str">
        <f t="shared" si="378"/>
        <v/>
      </c>
      <c r="CE334" s="44" t="str">
        <f t="shared" si="379"/>
        <v/>
      </c>
      <c r="CF334" s="44" t="str">
        <f t="shared" si="380"/>
        <v/>
      </c>
      <c r="CG334" s="44" t="str">
        <f t="shared" si="381"/>
        <v/>
      </c>
      <c r="CH334" s="44" t="str">
        <f t="shared" si="382"/>
        <v/>
      </c>
      <c r="CI334" s="44" t="str">
        <f t="shared" si="383"/>
        <v/>
      </c>
      <c r="CJ334" s="44" t="str">
        <f t="shared" si="384"/>
        <v/>
      </c>
      <c r="CK334" s="44" t="str">
        <f t="shared" si="385"/>
        <v/>
      </c>
      <c r="CL334" s="44" t="str">
        <f t="shared" si="386"/>
        <v/>
      </c>
      <c r="CM334" s="44" t="str">
        <f t="shared" si="387"/>
        <v/>
      </c>
      <c r="CN334" s="44" t="str">
        <f t="shared" si="388"/>
        <v/>
      </c>
      <c r="CO334" s="44" t="str">
        <f t="shared" si="389"/>
        <v/>
      </c>
      <c r="CP334" s="44" t="str">
        <f t="shared" si="390"/>
        <v/>
      </c>
      <c r="CQ334" s="44" t="str">
        <f t="shared" si="391"/>
        <v/>
      </c>
      <c r="CR334" s="44" t="str">
        <f t="shared" si="392"/>
        <v/>
      </c>
      <c r="CS334" s="44" t="str">
        <f t="shared" si="393"/>
        <v/>
      </c>
      <c r="CT334" s="44" t="str">
        <f t="shared" si="394"/>
        <v/>
      </c>
      <c r="CV334" s="44">
        <f t="shared" si="395"/>
        <v>0</v>
      </c>
    </row>
    <row r="335" spans="1:100" x14ac:dyDescent="0.25">
      <c r="A335" s="49"/>
      <c r="B335" s="50"/>
      <c r="C335" s="51" t="str" cm="1">
        <f t="array" ref="C335">IF(B335="","",INDEX(UWS!$B$10:$B$41,B335))</f>
        <v/>
      </c>
      <c r="D335" s="45" t="str">
        <f t="shared" si="352"/>
        <v/>
      </c>
      <c r="E335" s="70" t="str">
        <f t="shared" si="353"/>
        <v/>
      </c>
      <c r="F335" s="52" cm="1">
        <f t="array" ref="F335">0.1+IFERROR(INDEX($F$5:$F334,SUMPRODUCT(MAX(ROW($C$5:$C334)*($C335=$C$5:$C334))-ROW($A$4)))*0.9^($A335-INDEX($A$5:A334,SUMPRODUCT(MAX(ROW($C$5:$C334)*($C335=$C$5:$C334))-ROW($A$4)))),0)</f>
        <v>27.000000000000114</v>
      </c>
      <c r="G335" s="56" t="e">
        <f>INDEX(UWS!$AB$10:$AB$41,MATCH(C335,UWS!$B$10:$B$41,0))</f>
        <v>#N/A</v>
      </c>
      <c r="H335" s="52" t="e">
        <f>INDEX(UWS!$C$10:$C$41,MATCH(C335,UWS!$B$10:$B$41,0))</f>
        <v>#N/A</v>
      </c>
      <c r="I335" s="46">
        <f t="shared" si="354"/>
        <v>5</v>
      </c>
      <c r="J335" s="46" t="e">
        <f>INDEX(UWS!$E$10:$E$41,MATCH(C335,UWS!$B$10:$B$41,0))</f>
        <v>#N/A</v>
      </c>
      <c r="K335" s="46"/>
      <c r="L335" s="109" t="str" cm="1">
        <f t="array" ref="L335">IF(K335="","",INDEX(UWS!$B$10:$B$41,K335))</f>
        <v/>
      </c>
      <c r="M335" s="46"/>
      <c r="N335" s="109" t="str" cm="1">
        <f t="array" ref="N335">IF(M335="","",INDEX(UWS!$B$10:$B$41,M335))</f>
        <v/>
      </c>
      <c r="O335" s="47"/>
      <c r="P335" s="47">
        <f>IFERROR(INDEX(UWS!$G$10:$Z$41,MATCH($C335,UWS!$B$10:$B$41,0),MATCH(P$4,UWS!$G$3:$Z$3,0)),0)</f>
        <v>0</v>
      </c>
      <c r="Q335" s="47">
        <f>IFERROR(INDEX(UWS!$G$10:$Z$41,MATCH($C335,UWS!$B$10:$B$41,0),MATCH(Q$4,UWS!$G$3:$Z$3,0)),0)</f>
        <v>0</v>
      </c>
      <c r="R335" s="47">
        <f>IFERROR(INDEX(UWS!$G$10:$Z$41,MATCH($C335,UWS!$B$10:$B$41,0),MATCH(R$4,UWS!$G$3:$Z$3,0)),0)</f>
        <v>0</v>
      </c>
      <c r="S335" s="47">
        <f>IFERROR(INDEX(UWS!$G$10:$Z$41,MATCH($C335,UWS!$B$10:$B$41,0),MATCH(S$4,UWS!$G$3:$Z$3,0)),0)</f>
        <v>0</v>
      </c>
      <c r="T335" s="47">
        <f>IFERROR(INDEX(UWS!$G$10:$Z$41,MATCH($C335,UWS!$B$10:$B$41,0),MATCH(T$4,UWS!$G$3:$Z$3,0)),0)</f>
        <v>0</v>
      </c>
      <c r="U335" s="47">
        <f>IFERROR(INDEX(UWS!$G$10:$Z$41,MATCH($C335,UWS!$B$10:$B$41,0),MATCH(U$4,UWS!$G$3:$Z$3,0)),0)</f>
        <v>0</v>
      </c>
      <c r="V335" s="47">
        <f>IFERROR(INDEX(UWS!$G$10:$Z$41,MATCH($C335,UWS!$B$10:$B$41,0),MATCH(V$4,UWS!$G$3:$Z$3,0)),0)</f>
        <v>0</v>
      </c>
      <c r="W335" s="47">
        <f>IFERROR(INDEX(UWS!$G$10:$Z$41,MATCH($C335,UWS!$B$10:$B$41,0),MATCH(W$4,UWS!$G$3:$Z$3,0)),0)</f>
        <v>0</v>
      </c>
      <c r="X335" s="47">
        <f>IFERROR(INDEX(UWS!$G$10:$Z$41,MATCH($C335,UWS!$B$10:$B$41,0),MATCH(X$4,UWS!$G$3:$Z$3,0)),0)</f>
        <v>0</v>
      </c>
      <c r="Y335" s="47">
        <f>IFERROR(INDEX(UWS!$G$10:$Z$41,MATCH($C335,UWS!$B$10:$B$41,0),MATCH(Y$4,UWS!$G$3:$Z$3,0)),0)</f>
        <v>0</v>
      </c>
      <c r="Z335" s="47">
        <f>IFERROR(INDEX(UWS!$G$10:$Z$41,MATCH($C335,UWS!$B$10:$B$41,0),MATCH(Z$4,UWS!$G$3:$Z$3,0)),0)</f>
        <v>0</v>
      </c>
      <c r="AA335" s="47">
        <f>IFERROR(INDEX(UWS!$G$10:$Z$41,MATCH($C335,UWS!$B$10:$B$41,0),MATCH(AA$4,UWS!$G$3:$Z$3,0)),0)</f>
        <v>0</v>
      </c>
      <c r="AB335" s="47">
        <f>IFERROR(INDEX(UWS!$G$10:$Z$41,MATCH($C335,UWS!$B$10:$B$41,0),MATCH(AB$4,UWS!$G$3:$Z$3,0)),0)</f>
        <v>0</v>
      </c>
      <c r="AC335" s="47">
        <f>IFERROR(INDEX(UWS!$G$10:$Z$41,MATCH($C335,UWS!$B$10:$B$41,0),MATCH(AC$4,UWS!$G$3:$Z$3,0)),0)</f>
        <v>0</v>
      </c>
      <c r="AD335" s="47">
        <f>IFERROR(INDEX(UWS!$G$10:$Z$41,MATCH($C335,UWS!$B$10:$B$41,0),MATCH(AD$4,UWS!$G$3:$Z$3,0)),0)</f>
        <v>0</v>
      </c>
      <c r="AE335" s="47">
        <f>IFERROR(INDEX(UWS!$G$10:$Z$41,MATCH($C335,UWS!$B$10:$B$41,0),MATCH(AE$4,UWS!$G$3:$Z$3,0)),0)</f>
        <v>0</v>
      </c>
      <c r="AF335" s="47">
        <f>IFERROR(INDEX(UWS!$G$10:$Z$41,MATCH($C335,UWS!$B$10:$B$41,0),MATCH(AF$4,UWS!$G$3:$Z$3,0)),0)</f>
        <v>0</v>
      </c>
      <c r="AG335" s="47">
        <f>IFERROR(INDEX(UWS!$G$10:$Z$41,MATCH($C335,UWS!$B$10:$B$41,0),MATCH(AG$4,UWS!$G$3:$Z$3,0)),0)</f>
        <v>0</v>
      </c>
      <c r="AH335" s="47">
        <f>IFERROR(INDEX(UWS!$G$10:$Z$41,MATCH($C335,UWS!$B$10:$B$41,0),MATCH(AH$4,UWS!$G$3:$Z$3,0)),0)</f>
        <v>0</v>
      </c>
      <c r="AI335" s="47">
        <f>IFERROR(INDEX(UWS!$G$10:$Z$41,MATCH($C335,UWS!$B$10:$B$41,0),MATCH(AI$4,UWS!$G$3:$Z$3,0)),0)</f>
        <v>0</v>
      </c>
      <c r="AJ335" s="47"/>
      <c r="AK335" s="47" t="e">
        <f>IF(OR($J335=0,COUNTIFS($A$4:$A334,"&gt;="&amp;$A335-1,$A$4:$A334,"&lt;="&amp;$A335,$B$4:$B334,$B335)&gt;0,MIN(AK$1,IF($A335=$A334,AK334,1))-P335&lt;0),-1,MIN(1,IF($A335=$A334,AK334,1)-P335+$D$3))</f>
        <v>#N/A</v>
      </c>
      <c r="AL335" s="47" t="e">
        <f>IF(OR($J335=0,COUNTIFS($A$4:$A334,"&gt;="&amp;$A335-1,$A$4:$A334,"&lt;="&amp;$A335,$B$4:$B334,$B335)&gt;0,MIN(AL$1,IF($A335=$A334,AL334,1))-Q335&lt;0),-1,MIN(1,IF($A335=$A334,AL334,1)-Q335+$D$3))</f>
        <v>#N/A</v>
      </c>
      <c r="AM335" s="47" t="e">
        <f>IF(OR($J335=0,COUNTIFS($A$4:$A334,"&gt;="&amp;$A335-1,$A$4:$A334,"&lt;="&amp;$A335,$B$4:$B334,$B335)&gt;0,MIN(AM$1,IF($A335=$A334,AM334,1))-R335&lt;0),-1,MIN(1,IF($A335=$A334,AM334,1)-R335+$D$3))</f>
        <v>#N/A</v>
      </c>
      <c r="AN335" s="47" t="e">
        <f>IF(OR($J335=0,COUNTIFS($A$4:$A334,"&gt;="&amp;$A335-1,$A$4:$A334,"&lt;="&amp;$A335,$B$4:$B334,$B335)&gt;0,MIN(AN$1,IF($A335=$A334,AN334,1))-S335&lt;0),-1,MIN(1,IF($A335=$A334,AN334,1)-S335+$D$3))</f>
        <v>#N/A</v>
      </c>
      <c r="AO335" s="47" t="e">
        <f>IF(OR($J335=0,COUNTIFS($A$4:$A334,"&gt;="&amp;$A335-1,$A$4:$A334,"&lt;="&amp;$A335,$B$4:$B334,$B335)&gt;0,MIN(AO$1,IF($A335=$A334,AO334,1))-T335&lt;0),-1,MIN(1,IF($A335=$A334,AO334,1)-T335+$D$3))</f>
        <v>#N/A</v>
      </c>
      <c r="AP335" s="47" t="e">
        <f>IF(OR($J335=0,COUNTIFS($A$4:$A334,"&gt;="&amp;$A335-1,$A$4:$A334,"&lt;="&amp;$A335,$B$4:$B334,$B335)&gt;0,MIN(AP$1,IF($A335=$A334,AP334,1))-U335&lt;0),-1,MIN(1,IF($A335=$A334,AP334,1)-U335+$D$3))</f>
        <v>#N/A</v>
      </c>
      <c r="AQ335" s="47" t="e">
        <f>IF(OR($J335=0,COUNTIFS($A$4:$A334,"&gt;="&amp;$A335-1,$A$4:$A334,"&lt;="&amp;$A335,$B$4:$B334,$B335)&gt;0,MIN(AQ$1,IF($A335=$A334,AQ334,1))-V335&lt;0),-1,MIN(1,IF($A335=$A334,AQ334,1)-V335+$D$3))</f>
        <v>#N/A</v>
      </c>
      <c r="AR335" s="47" t="e">
        <f>IF(OR($J335=0,COUNTIFS($A$4:$A334,"&gt;="&amp;$A335-1,$A$4:$A334,"&lt;="&amp;$A335,$B$4:$B334,$B335)&gt;0,MIN(AR$1,IF($A335=$A334,AR334,1))-W335&lt;0),-1,MIN(1,IF($A335=$A334,AR334,1)-W335+$D$3))</f>
        <v>#N/A</v>
      </c>
      <c r="AS335" s="47" t="e">
        <f>IF(OR($J335=0,COUNTIFS($A$4:$A334,"&gt;="&amp;$A335-1,$A$4:$A334,"&lt;="&amp;$A335,$B$4:$B334,$B335)&gt;0,MIN(AS$1,IF($A335=$A334,AS334,1))-X335&lt;0),-1,MIN(1,IF($A335=$A334,AS334,1)-X335+$D$3))</f>
        <v>#N/A</v>
      </c>
      <c r="AT335" s="47" t="e">
        <f>IF(OR($J335=0,COUNTIFS($A$4:$A334,"&gt;="&amp;$A335-1,$A$4:$A334,"&lt;="&amp;$A335,$B$4:$B334,$B335)&gt;0,MIN(AT$1,IF($A335=$A334,AT334,1))-Y335&lt;0),-1,MIN(1,IF($A335=$A334,AT334,1)-Y335+$D$3))</f>
        <v>#N/A</v>
      </c>
      <c r="AU335" s="47" t="e">
        <f>IF(OR($J335=0,COUNTIFS($A$4:$A334,"&gt;="&amp;$A335-1,$A$4:$A334,"&lt;="&amp;$A335,$B$4:$B334,$B335)&gt;0,MIN(AU$1,IF($A335=$A334,AU334,1))-Z335&lt;0),-1,MIN(1,IF($A335=$A334,AU334,1)-Z335+$D$3))</f>
        <v>#N/A</v>
      </c>
      <c r="AV335" s="47" t="e">
        <f>IF(OR($J335=0,COUNTIFS($A$4:$A334,"&gt;="&amp;$A335-1,$A$4:$A334,"&lt;="&amp;$A335,$B$4:$B334,$B335)&gt;0,MIN(AV$1,IF($A335=$A334,AV334,1))-AA335&lt;0),-1,MIN(1,IF($A335=$A334,AV334,1)-AA335+$D$3))</f>
        <v>#N/A</v>
      </c>
      <c r="AW335" s="47" t="e">
        <f>IF(OR($J335=0,COUNTIFS($A$4:$A334,"&gt;="&amp;$A335-1,$A$4:$A334,"&lt;="&amp;$A335,$B$4:$B334,$B335)&gt;0,MIN(AW$1,IF($A335=$A334,AW334,1))-AB335&lt;0),-1,MIN(1,IF($A335=$A334,AW334,1)-AB335+$D$3))</f>
        <v>#N/A</v>
      </c>
      <c r="AX335" s="47" t="e">
        <f>IF(OR($J335=0,COUNTIFS($A$4:$A334,"&gt;="&amp;$A335-1,$A$4:$A334,"&lt;="&amp;$A335,$B$4:$B334,$B335)&gt;0,MIN(AX$1,IF($A335=$A334,AX334,1))-AC335&lt;0),-1,MIN(1,IF($A335=$A334,AX334,1)-AC335+$D$3))</f>
        <v>#N/A</v>
      </c>
      <c r="AY335" s="47" t="e">
        <f>IF(OR($J335=0,COUNTIFS($A$4:$A334,"&gt;="&amp;$A335-1,$A$4:$A334,"&lt;="&amp;$A335,$B$4:$B334,$B335)&gt;0,MIN(AY$1,IF($A335=$A334,AY334,1))-AD335&lt;0),-1,MIN(1,IF($A335=$A334,AY334,1)-AD335+$D$3))</f>
        <v>#N/A</v>
      </c>
      <c r="AZ335" s="47" t="e">
        <f>IF(OR($J335=0,COUNTIFS($A$4:$A334,"&gt;="&amp;$A335-1,$A$4:$A334,"&lt;="&amp;$A335,$B$4:$B334,$B335)&gt;0,MIN(AZ$1,IF($A335=$A334,AZ334,1))-AE335&lt;0),-1,MIN(1,IF($A335=$A334,AZ334,1)-AE335+$D$3))</f>
        <v>#N/A</v>
      </c>
      <c r="BA335" s="47" t="e">
        <f>IF(OR($J335=0,COUNTIFS($A$4:$A334,"&gt;="&amp;$A335-1,$A$4:$A334,"&lt;="&amp;$A335,$B$4:$B334,$B335)&gt;0,MIN(BA$1,IF($A335=$A334,BA334,1))-AF335&lt;0),-1,MIN(1,IF($A335=$A334,BA334,1)-AF335+$D$3))</f>
        <v>#N/A</v>
      </c>
      <c r="BB335" s="47" t="e">
        <f>IF(OR($J335=0,COUNTIFS($A$4:$A334,"&gt;="&amp;$A335-1,$A$4:$A334,"&lt;="&amp;$A335,$B$4:$B334,$B335)&gt;0,MIN(BB$1,IF($A335=$A334,BB334,1))-AG335&lt;0),-1,MIN(1,IF($A335=$A334,BB334,1)-AG335+$D$3))</f>
        <v>#N/A</v>
      </c>
      <c r="BC335" s="47" t="e">
        <f>IF(OR($J335=0,COUNTIFS($A$4:$A334,"&gt;="&amp;$A335-1,$A$4:$A334,"&lt;="&amp;$A335,$B$4:$B334,$B335)&gt;0,MIN(BC$1,IF($A335=$A334,BC334,1))-AH335&lt;0),-1,MIN(1,IF($A335=$A334,BC334,1)-AH335+$D$3))</f>
        <v>#N/A</v>
      </c>
      <c r="BD335" s="47" t="e">
        <f>IF(OR($J335=0,COUNTIFS($A$4:$A334,"&gt;="&amp;$A335-1,$A$4:$A334,"&lt;="&amp;$A335,$B$4:$B334,$B335)&gt;0,MIN(BD$1,IF($A335=$A334,BD334,1))-AI335&lt;0),-1,MIN(1,IF($A335=$A334,BD334,1)-AI335+$D$3))</f>
        <v>#N/A</v>
      </c>
      <c r="BE335" s="47"/>
      <c r="BF335" s="53">
        <f t="shared" si="355"/>
        <v>8.9705535766650649E-8</v>
      </c>
      <c r="BG335" s="53">
        <f t="shared" si="356"/>
        <v>2.2061122567143096E-7</v>
      </c>
      <c r="BH335" s="53">
        <f t="shared" si="357"/>
        <v>2.2610330028497534E-7</v>
      </c>
      <c r="BI335" s="53">
        <f t="shared" si="358"/>
        <v>2.0885667453192312E-7</v>
      </c>
      <c r="BJ335" s="53">
        <f t="shared" si="359"/>
        <v>2.1587320113759908E-7</v>
      </c>
      <c r="BK335" s="53">
        <f t="shared" si="360"/>
        <v>9.2704001387748441E-8</v>
      </c>
      <c r="BL335" s="53">
        <f t="shared" si="361"/>
        <v>5.0080160005564021E-8</v>
      </c>
      <c r="BM335" s="53">
        <f t="shared" si="362"/>
        <v>1.2739807894167967E-7</v>
      </c>
      <c r="BN335" s="53">
        <f t="shared" si="363"/>
        <v>1.325039309171837E-7</v>
      </c>
      <c r="BO335" s="53">
        <f t="shared" si="364"/>
        <v>6.2096369974880293E-8</v>
      </c>
      <c r="BP335" s="53">
        <f t="shared" si="365"/>
        <v>2.0879766052109064E-7</v>
      </c>
      <c r="BQ335" s="53">
        <f t="shared" si="366"/>
        <v>5.6345845330892972E-8</v>
      </c>
      <c r="BR335" s="53">
        <f t="shared" si="367"/>
        <v>1.6645973194760977E-7</v>
      </c>
      <c r="BS335" s="53">
        <f t="shared" si="368"/>
        <v>8.97739423789387E-8</v>
      </c>
      <c r="BT335" s="53">
        <f t="shared" si="369"/>
        <v>3.5526301256981663E-7</v>
      </c>
      <c r="BU335" s="53">
        <f t="shared" si="370"/>
        <v>3.3938307973047323E-7</v>
      </c>
      <c r="BV335" s="53">
        <f t="shared" si="371"/>
        <v>3.2593228153034408E-7</v>
      </c>
      <c r="BW335" s="53">
        <f t="shared" si="372"/>
        <v>2.1317764831028347E-7</v>
      </c>
      <c r="BX335" s="53">
        <f t="shared" si="373"/>
        <v>1.5749177542493623E-7</v>
      </c>
      <c r="BY335" s="53">
        <f t="shared" si="374"/>
        <v>1.352247908265001E-7</v>
      </c>
      <c r="BZ335" s="47"/>
      <c r="CA335" s="53" t="str">
        <f t="shared" si="375"/>
        <v/>
      </c>
      <c r="CB335" s="53" t="str">
        <f t="shared" si="376"/>
        <v/>
      </c>
      <c r="CC335" s="53" t="str">
        <f t="shared" si="377"/>
        <v/>
      </c>
      <c r="CD335" s="53" t="str">
        <f t="shared" si="378"/>
        <v/>
      </c>
      <c r="CE335" s="53" t="str">
        <f t="shared" si="379"/>
        <v/>
      </c>
      <c r="CF335" s="53" t="str">
        <f t="shared" si="380"/>
        <v/>
      </c>
      <c r="CG335" s="53" t="str">
        <f t="shared" si="381"/>
        <v/>
      </c>
      <c r="CH335" s="53" t="str">
        <f t="shared" si="382"/>
        <v/>
      </c>
      <c r="CI335" s="53" t="str">
        <f t="shared" si="383"/>
        <v/>
      </c>
      <c r="CJ335" s="53" t="str">
        <f t="shared" si="384"/>
        <v/>
      </c>
      <c r="CK335" s="53" t="str">
        <f t="shared" si="385"/>
        <v/>
      </c>
      <c r="CL335" s="53" t="str">
        <f t="shared" si="386"/>
        <v/>
      </c>
      <c r="CM335" s="53" t="str">
        <f t="shared" si="387"/>
        <v/>
      </c>
      <c r="CN335" s="53" t="str">
        <f t="shared" si="388"/>
        <v/>
      </c>
      <c r="CO335" s="53" t="str">
        <f t="shared" si="389"/>
        <v/>
      </c>
      <c r="CP335" s="53" t="str">
        <f t="shared" si="390"/>
        <v/>
      </c>
      <c r="CQ335" s="53" t="str">
        <f t="shared" si="391"/>
        <v/>
      </c>
      <c r="CR335" s="53" t="str">
        <f t="shared" si="392"/>
        <v/>
      </c>
      <c r="CS335" s="53" t="str">
        <f t="shared" si="393"/>
        <v/>
      </c>
      <c r="CT335" s="53" t="str">
        <f t="shared" si="394"/>
        <v/>
      </c>
      <c r="CU335" s="47"/>
      <c r="CV335" s="53">
        <f t="shared" si="395"/>
        <v>0</v>
      </c>
    </row>
    <row r="336" spans="1:100" x14ac:dyDescent="0.25">
      <c r="A336" s="41"/>
      <c r="B336" s="42"/>
      <c r="C336" s="43" t="str" cm="1">
        <f t="array" ref="C336">IF(B336="","",INDEX(UWS!$B$10:$B$41,B336))</f>
        <v/>
      </c>
      <c r="D336" s="40" t="str">
        <f t="shared" si="352"/>
        <v/>
      </c>
      <c r="E336" s="69" t="str">
        <f t="shared" si="353"/>
        <v/>
      </c>
      <c r="F336" s="48" cm="1">
        <f t="array" ref="F336">0.1+IFERROR(INDEX($F$5:$F335,SUMPRODUCT(MAX(ROW($C$5:$C335)*($C336=$C$5:$C335))-ROW($A$4)))*0.9^($A336-INDEX($A$5:A335,SUMPRODUCT(MAX(ROW($C$5:$C335)*($C336=$C$5:$C335))-ROW($A$4)))),0)</f>
        <v>27.100000000000115</v>
      </c>
      <c r="G336" s="55" t="e">
        <f>INDEX(UWS!$AB$10:$AB$41,MATCH(C336,UWS!$B$10:$B$41,0))</f>
        <v>#N/A</v>
      </c>
      <c r="H336" s="48" t="e">
        <f>INDEX(UWS!$C$10:$C$41,MATCH(C336,UWS!$B$10:$B$41,0))</f>
        <v>#N/A</v>
      </c>
      <c r="I336" s="82">
        <f t="shared" si="354"/>
        <v>5</v>
      </c>
      <c r="J336" s="27" t="e">
        <f>INDEX(UWS!$E$10:$E$41,MATCH(C336,UWS!$B$10:$B$41,0))</f>
        <v>#N/A</v>
      </c>
      <c r="L336" s="108" t="str" cm="1">
        <f t="array" ref="L336">IF(K336="","",INDEX(UWS!$B$10:$B$41,K336))</f>
        <v/>
      </c>
      <c r="N336" s="108" t="str" cm="1">
        <f t="array" ref="N336">IF(M336="","",INDEX(UWS!$B$10:$B$41,M336))</f>
        <v/>
      </c>
      <c r="P336">
        <f>IFERROR(INDEX(UWS!$G$10:$Z$41,MATCH($C336,UWS!$B$10:$B$41,0),MATCH(P$4,UWS!$G$3:$Z$3,0)),0)</f>
        <v>0</v>
      </c>
      <c r="Q336">
        <f>IFERROR(INDEX(UWS!$G$10:$Z$41,MATCH($C336,UWS!$B$10:$B$41,0),MATCH(Q$4,UWS!$G$3:$Z$3,0)),0)</f>
        <v>0</v>
      </c>
      <c r="R336">
        <f>IFERROR(INDEX(UWS!$G$10:$Z$41,MATCH($C336,UWS!$B$10:$B$41,0),MATCH(R$4,UWS!$G$3:$Z$3,0)),0)</f>
        <v>0</v>
      </c>
      <c r="S336">
        <f>IFERROR(INDEX(UWS!$G$10:$Z$41,MATCH($C336,UWS!$B$10:$B$41,0),MATCH(S$4,UWS!$G$3:$Z$3,0)),0)</f>
        <v>0</v>
      </c>
      <c r="T336">
        <f>IFERROR(INDEX(UWS!$G$10:$Z$41,MATCH($C336,UWS!$B$10:$B$41,0),MATCH(T$4,UWS!$G$3:$Z$3,0)),0)</f>
        <v>0</v>
      </c>
      <c r="U336">
        <f>IFERROR(INDEX(UWS!$G$10:$Z$41,MATCH($C336,UWS!$B$10:$B$41,0),MATCH(U$4,UWS!$G$3:$Z$3,0)),0)</f>
        <v>0</v>
      </c>
      <c r="V336">
        <f>IFERROR(INDEX(UWS!$G$10:$Z$41,MATCH($C336,UWS!$B$10:$B$41,0),MATCH(V$4,UWS!$G$3:$Z$3,0)),0)</f>
        <v>0</v>
      </c>
      <c r="W336">
        <f>IFERROR(INDEX(UWS!$G$10:$Z$41,MATCH($C336,UWS!$B$10:$B$41,0),MATCH(W$4,UWS!$G$3:$Z$3,0)),0)</f>
        <v>0</v>
      </c>
      <c r="X336">
        <f>IFERROR(INDEX(UWS!$G$10:$Z$41,MATCH($C336,UWS!$B$10:$B$41,0),MATCH(X$4,UWS!$G$3:$Z$3,0)),0)</f>
        <v>0</v>
      </c>
      <c r="Y336">
        <f>IFERROR(INDEX(UWS!$G$10:$Z$41,MATCH($C336,UWS!$B$10:$B$41,0),MATCH(Y$4,UWS!$G$3:$Z$3,0)),0)</f>
        <v>0</v>
      </c>
      <c r="Z336">
        <f>IFERROR(INDEX(UWS!$G$10:$Z$41,MATCH($C336,UWS!$B$10:$B$41,0),MATCH(Z$4,UWS!$G$3:$Z$3,0)),0)</f>
        <v>0</v>
      </c>
      <c r="AA336">
        <f>IFERROR(INDEX(UWS!$G$10:$Z$41,MATCH($C336,UWS!$B$10:$B$41,0),MATCH(AA$4,UWS!$G$3:$Z$3,0)),0)</f>
        <v>0</v>
      </c>
      <c r="AB336">
        <f>IFERROR(INDEX(UWS!$G$10:$Z$41,MATCH($C336,UWS!$B$10:$B$41,0),MATCH(AB$4,UWS!$G$3:$Z$3,0)),0)</f>
        <v>0</v>
      </c>
      <c r="AC336">
        <f>IFERROR(INDEX(UWS!$G$10:$Z$41,MATCH($C336,UWS!$B$10:$B$41,0),MATCH(AC$4,UWS!$G$3:$Z$3,0)),0)</f>
        <v>0</v>
      </c>
      <c r="AD336">
        <f>IFERROR(INDEX(UWS!$G$10:$Z$41,MATCH($C336,UWS!$B$10:$B$41,0),MATCH(AD$4,UWS!$G$3:$Z$3,0)),0)</f>
        <v>0</v>
      </c>
      <c r="AE336">
        <f>IFERROR(INDEX(UWS!$G$10:$Z$41,MATCH($C336,UWS!$B$10:$B$41,0),MATCH(AE$4,UWS!$G$3:$Z$3,0)),0)</f>
        <v>0</v>
      </c>
      <c r="AF336">
        <f>IFERROR(INDEX(UWS!$G$10:$Z$41,MATCH($C336,UWS!$B$10:$B$41,0),MATCH(AF$4,UWS!$G$3:$Z$3,0)),0)</f>
        <v>0</v>
      </c>
      <c r="AG336">
        <f>IFERROR(INDEX(UWS!$G$10:$Z$41,MATCH($C336,UWS!$B$10:$B$41,0),MATCH(AG$4,UWS!$G$3:$Z$3,0)),0)</f>
        <v>0</v>
      </c>
      <c r="AH336">
        <f>IFERROR(INDEX(UWS!$G$10:$Z$41,MATCH($C336,UWS!$B$10:$B$41,0),MATCH(AH$4,UWS!$G$3:$Z$3,0)),0)</f>
        <v>0</v>
      </c>
      <c r="AI336">
        <f>IFERROR(INDEX(UWS!$G$10:$Z$41,MATCH($C336,UWS!$B$10:$B$41,0),MATCH(AI$4,UWS!$G$3:$Z$3,0)),0)</f>
        <v>0</v>
      </c>
      <c r="AK336" t="e">
        <f>IF(OR($J336=0,COUNTIFS($A$4:$A335,"&gt;="&amp;$A336-1,$A$4:$A335,"&lt;="&amp;$A336,$B$4:$B335,$B336)&gt;0,MIN(AK$1,IF($A336=$A335,AK335,1))-P336&lt;0),-1,MIN(1,IF($A336=$A335,AK335,1)-P336+$D$3))</f>
        <v>#N/A</v>
      </c>
      <c r="AL336" t="e">
        <f>IF(OR($J336=0,COUNTIFS($A$4:$A335,"&gt;="&amp;$A336-1,$A$4:$A335,"&lt;="&amp;$A336,$B$4:$B335,$B336)&gt;0,MIN(AL$1,IF($A336=$A335,AL335,1))-Q336&lt;0),-1,MIN(1,IF($A336=$A335,AL335,1)-Q336+$D$3))</f>
        <v>#N/A</v>
      </c>
      <c r="AM336" t="e">
        <f>IF(OR($J336=0,COUNTIFS($A$4:$A335,"&gt;="&amp;$A336-1,$A$4:$A335,"&lt;="&amp;$A336,$B$4:$B335,$B336)&gt;0,MIN(AM$1,IF($A336=$A335,AM335,1))-R336&lt;0),-1,MIN(1,IF($A336=$A335,AM335,1)-R336+$D$3))</f>
        <v>#N/A</v>
      </c>
      <c r="AN336" t="e">
        <f>IF(OR($J336=0,COUNTIFS($A$4:$A335,"&gt;="&amp;$A336-1,$A$4:$A335,"&lt;="&amp;$A336,$B$4:$B335,$B336)&gt;0,MIN(AN$1,IF($A336=$A335,AN335,1))-S336&lt;0),-1,MIN(1,IF($A336=$A335,AN335,1)-S336+$D$3))</f>
        <v>#N/A</v>
      </c>
      <c r="AO336" t="e">
        <f>IF(OR($J336=0,COUNTIFS($A$4:$A335,"&gt;="&amp;$A336-1,$A$4:$A335,"&lt;="&amp;$A336,$B$4:$B335,$B336)&gt;0,MIN(AO$1,IF($A336=$A335,AO335,1))-T336&lt;0),-1,MIN(1,IF($A336=$A335,AO335,1)-T336+$D$3))</f>
        <v>#N/A</v>
      </c>
      <c r="AP336" t="e">
        <f>IF(OR($J336=0,COUNTIFS($A$4:$A335,"&gt;="&amp;$A336-1,$A$4:$A335,"&lt;="&amp;$A336,$B$4:$B335,$B336)&gt;0,MIN(AP$1,IF($A336=$A335,AP335,1))-U336&lt;0),-1,MIN(1,IF($A336=$A335,AP335,1)-U336+$D$3))</f>
        <v>#N/A</v>
      </c>
      <c r="AQ336" t="e">
        <f>IF(OR($J336=0,COUNTIFS($A$4:$A335,"&gt;="&amp;$A336-1,$A$4:$A335,"&lt;="&amp;$A336,$B$4:$B335,$B336)&gt;0,MIN(AQ$1,IF($A336=$A335,AQ335,1))-V336&lt;0),-1,MIN(1,IF($A336=$A335,AQ335,1)-V336+$D$3))</f>
        <v>#N/A</v>
      </c>
      <c r="AR336" t="e">
        <f>IF(OR($J336=0,COUNTIFS($A$4:$A335,"&gt;="&amp;$A336-1,$A$4:$A335,"&lt;="&amp;$A336,$B$4:$B335,$B336)&gt;0,MIN(AR$1,IF($A336=$A335,AR335,1))-W336&lt;0),-1,MIN(1,IF($A336=$A335,AR335,1)-W336+$D$3))</f>
        <v>#N/A</v>
      </c>
      <c r="AS336" t="e">
        <f>IF(OR($J336=0,COUNTIFS($A$4:$A335,"&gt;="&amp;$A336-1,$A$4:$A335,"&lt;="&amp;$A336,$B$4:$B335,$B336)&gt;0,MIN(AS$1,IF($A336=$A335,AS335,1))-X336&lt;0),-1,MIN(1,IF($A336=$A335,AS335,1)-X336+$D$3))</f>
        <v>#N/A</v>
      </c>
      <c r="AT336" t="e">
        <f>IF(OR($J336=0,COUNTIFS($A$4:$A335,"&gt;="&amp;$A336-1,$A$4:$A335,"&lt;="&amp;$A336,$B$4:$B335,$B336)&gt;0,MIN(AT$1,IF($A336=$A335,AT335,1))-Y336&lt;0),-1,MIN(1,IF($A336=$A335,AT335,1)-Y336+$D$3))</f>
        <v>#N/A</v>
      </c>
      <c r="AU336" t="e">
        <f>IF(OR($J336=0,COUNTIFS($A$4:$A335,"&gt;="&amp;$A336-1,$A$4:$A335,"&lt;="&amp;$A336,$B$4:$B335,$B336)&gt;0,MIN(AU$1,IF($A336=$A335,AU335,1))-Z336&lt;0),-1,MIN(1,IF($A336=$A335,AU335,1)-Z336+$D$3))</f>
        <v>#N/A</v>
      </c>
      <c r="AV336" t="e">
        <f>IF(OR($J336=0,COUNTIFS($A$4:$A335,"&gt;="&amp;$A336-1,$A$4:$A335,"&lt;="&amp;$A336,$B$4:$B335,$B336)&gt;0,MIN(AV$1,IF($A336=$A335,AV335,1))-AA336&lt;0),-1,MIN(1,IF($A336=$A335,AV335,1)-AA336+$D$3))</f>
        <v>#N/A</v>
      </c>
      <c r="AW336" t="e">
        <f>IF(OR($J336=0,COUNTIFS($A$4:$A335,"&gt;="&amp;$A336-1,$A$4:$A335,"&lt;="&amp;$A336,$B$4:$B335,$B336)&gt;0,MIN(AW$1,IF($A336=$A335,AW335,1))-AB336&lt;0),-1,MIN(1,IF($A336=$A335,AW335,1)-AB336+$D$3))</f>
        <v>#N/A</v>
      </c>
      <c r="AX336" t="e">
        <f>IF(OR($J336=0,COUNTIFS($A$4:$A335,"&gt;="&amp;$A336-1,$A$4:$A335,"&lt;="&amp;$A336,$B$4:$B335,$B336)&gt;0,MIN(AX$1,IF($A336=$A335,AX335,1))-AC336&lt;0),-1,MIN(1,IF($A336=$A335,AX335,1)-AC336+$D$3))</f>
        <v>#N/A</v>
      </c>
      <c r="AY336" t="e">
        <f>IF(OR($J336=0,COUNTIFS($A$4:$A335,"&gt;="&amp;$A336-1,$A$4:$A335,"&lt;="&amp;$A336,$B$4:$B335,$B336)&gt;0,MIN(AY$1,IF($A336=$A335,AY335,1))-AD336&lt;0),-1,MIN(1,IF($A336=$A335,AY335,1)-AD336+$D$3))</f>
        <v>#N/A</v>
      </c>
      <c r="AZ336" t="e">
        <f>IF(OR($J336=0,COUNTIFS($A$4:$A335,"&gt;="&amp;$A336-1,$A$4:$A335,"&lt;="&amp;$A336,$B$4:$B335,$B336)&gt;0,MIN(AZ$1,IF($A336=$A335,AZ335,1))-AE336&lt;0),-1,MIN(1,IF($A336=$A335,AZ335,1)-AE336+$D$3))</f>
        <v>#N/A</v>
      </c>
      <c r="BA336" t="e">
        <f>IF(OR($J336=0,COUNTIFS($A$4:$A335,"&gt;="&amp;$A336-1,$A$4:$A335,"&lt;="&amp;$A336,$B$4:$B335,$B336)&gt;0,MIN(BA$1,IF($A336=$A335,BA335,1))-AF336&lt;0),-1,MIN(1,IF($A336=$A335,BA335,1)-AF336+$D$3))</f>
        <v>#N/A</v>
      </c>
      <c r="BB336" t="e">
        <f>IF(OR($J336=0,COUNTIFS($A$4:$A335,"&gt;="&amp;$A336-1,$A$4:$A335,"&lt;="&amp;$A336,$B$4:$B335,$B336)&gt;0,MIN(BB$1,IF($A336=$A335,BB335,1))-AG336&lt;0),-1,MIN(1,IF($A336=$A335,BB335,1)-AG336+$D$3))</f>
        <v>#N/A</v>
      </c>
      <c r="BC336" t="e">
        <f>IF(OR($J336=0,COUNTIFS($A$4:$A335,"&gt;="&amp;$A336-1,$A$4:$A335,"&lt;="&amp;$A336,$B$4:$B335,$B336)&gt;0,MIN(BC$1,IF($A336=$A335,BC335,1))-AH336&lt;0),-1,MIN(1,IF($A336=$A335,BC335,1)-AH336+$D$3))</f>
        <v>#N/A</v>
      </c>
      <c r="BD336" t="e">
        <f>IF(OR($J336=0,COUNTIFS($A$4:$A335,"&gt;="&amp;$A336-1,$A$4:$A335,"&lt;="&amp;$A336,$B$4:$B335,$B336)&gt;0,MIN(BD$1,IF($A336=$A335,BD335,1))-AI336&lt;0),-1,MIN(1,IF($A336=$A335,BD335,1)-AI336+$D$3))</f>
        <v>#N/A</v>
      </c>
      <c r="BF336" s="44">
        <f t="shared" si="355"/>
        <v>8.5220258978318118E-8</v>
      </c>
      <c r="BG336" s="44">
        <f t="shared" si="356"/>
        <v>2.0958066438785941E-7</v>
      </c>
      <c r="BH336" s="44">
        <f t="shared" si="357"/>
        <v>2.1479813527072656E-7</v>
      </c>
      <c r="BI336" s="44">
        <f t="shared" si="358"/>
        <v>1.9841384080532695E-7</v>
      </c>
      <c r="BJ336" s="44">
        <f t="shared" si="359"/>
        <v>2.0507954108071913E-7</v>
      </c>
      <c r="BK336" s="44">
        <f t="shared" si="360"/>
        <v>8.8068801318361011E-8</v>
      </c>
      <c r="BL336" s="44">
        <f t="shared" si="361"/>
        <v>4.7576152005285821E-8</v>
      </c>
      <c r="BM336" s="44">
        <f t="shared" si="362"/>
        <v>1.2102817499459568E-7</v>
      </c>
      <c r="BN336" s="44">
        <f t="shared" si="363"/>
        <v>1.258787343713245E-7</v>
      </c>
      <c r="BO336" s="44">
        <f t="shared" si="364"/>
        <v>5.8991551476136274E-8</v>
      </c>
      <c r="BP336" s="44">
        <f t="shared" si="365"/>
        <v>1.9835777749503609E-7</v>
      </c>
      <c r="BQ336" s="44">
        <f t="shared" si="366"/>
        <v>5.3528553064348321E-8</v>
      </c>
      <c r="BR336" s="44">
        <f t="shared" si="367"/>
        <v>1.5813674535022929E-7</v>
      </c>
      <c r="BS336" s="44">
        <f t="shared" si="368"/>
        <v>8.5285245259991761E-8</v>
      </c>
      <c r="BT336" s="44">
        <f t="shared" si="369"/>
        <v>3.3749986194132579E-7</v>
      </c>
      <c r="BU336" s="44">
        <f t="shared" si="370"/>
        <v>3.2241392574394955E-7</v>
      </c>
      <c r="BV336" s="44">
        <f t="shared" si="371"/>
        <v>3.0963566745382688E-7</v>
      </c>
      <c r="BW336" s="44">
        <f t="shared" si="372"/>
        <v>2.0251876589476927E-7</v>
      </c>
      <c r="BX336" s="44">
        <f t="shared" si="373"/>
        <v>1.4961718665368941E-7</v>
      </c>
      <c r="BY336" s="44">
        <f t="shared" si="374"/>
        <v>1.284635512851751E-7</v>
      </c>
      <c r="CA336" s="44" t="str">
        <f t="shared" si="375"/>
        <v/>
      </c>
      <c r="CB336" s="44" t="str">
        <f t="shared" si="376"/>
        <v/>
      </c>
      <c r="CC336" s="44" t="str">
        <f t="shared" si="377"/>
        <v/>
      </c>
      <c r="CD336" s="44" t="str">
        <f t="shared" si="378"/>
        <v/>
      </c>
      <c r="CE336" s="44" t="str">
        <f t="shared" si="379"/>
        <v/>
      </c>
      <c r="CF336" s="44" t="str">
        <f t="shared" si="380"/>
        <v/>
      </c>
      <c r="CG336" s="44" t="str">
        <f t="shared" si="381"/>
        <v/>
      </c>
      <c r="CH336" s="44" t="str">
        <f t="shared" si="382"/>
        <v/>
      </c>
      <c r="CI336" s="44" t="str">
        <f t="shared" si="383"/>
        <v/>
      </c>
      <c r="CJ336" s="44" t="str">
        <f t="shared" si="384"/>
        <v/>
      </c>
      <c r="CK336" s="44" t="str">
        <f t="shared" si="385"/>
        <v/>
      </c>
      <c r="CL336" s="44" t="str">
        <f t="shared" si="386"/>
        <v/>
      </c>
      <c r="CM336" s="44" t="str">
        <f t="shared" si="387"/>
        <v/>
      </c>
      <c r="CN336" s="44" t="str">
        <f t="shared" si="388"/>
        <v/>
      </c>
      <c r="CO336" s="44" t="str">
        <f t="shared" si="389"/>
        <v/>
      </c>
      <c r="CP336" s="44" t="str">
        <f t="shared" si="390"/>
        <v/>
      </c>
      <c r="CQ336" s="44" t="str">
        <f t="shared" si="391"/>
        <v/>
      </c>
      <c r="CR336" s="44" t="str">
        <f t="shared" si="392"/>
        <v/>
      </c>
      <c r="CS336" s="44" t="str">
        <f t="shared" si="393"/>
        <v/>
      </c>
      <c r="CT336" s="44" t="str">
        <f t="shared" si="394"/>
        <v/>
      </c>
      <c r="CV336" s="44">
        <f t="shared" si="395"/>
        <v>0</v>
      </c>
    </row>
    <row r="337" spans="1:100" x14ac:dyDescent="0.25">
      <c r="A337" s="41"/>
      <c r="B337" s="42"/>
      <c r="C337" s="43" t="str" cm="1">
        <f t="array" ref="C337">IF(B337="","",INDEX(UWS!$B$10:$B$41,B337))</f>
        <v/>
      </c>
      <c r="D337" s="40" t="str">
        <f t="shared" si="352"/>
        <v/>
      </c>
      <c r="E337" s="69" t="str">
        <f t="shared" si="353"/>
        <v/>
      </c>
      <c r="F337" s="48" cm="1">
        <f t="array" ref="F337">0.1+IFERROR(INDEX($F$5:$F336,SUMPRODUCT(MAX(ROW($C$5:$C336)*($C337=$C$5:$C336))-ROW($A$4)))*0.9^($A337-INDEX($A$5:A336,SUMPRODUCT(MAX(ROW($C$5:$C336)*($C337=$C$5:$C336))-ROW($A$4)))),0)</f>
        <v>27.200000000000117</v>
      </c>
      <c r="G337" s="55" t="e">
        <f>INDEX(UWS!$AB$10:$AB$41,MATCH(C337,UWS!$B$10:$B$41,0))</f>
        <v>#N/A</v>
      </c>
      <c r="H337" s="48" t="e">
        <f>INDEX(UWS!$C$10:$C$41,MATCH(C337,UWS!$B$10:$B$41,0))</f>
        <v>#N/A</v>
      </c>
      <c r="I337" s="27">
        <f t="shared" si="354"/>
        <v>5</v>
      </c>
      <c r="J337" s="27" t="e">
        <f>INDEX(UWS!$E$10:$E$41,MATCH(C337,UWS!$B$10:$B$41,0))</f>
        <v>#N/A</v>
      </c>
      <c r="L337" s="108" t="str" cm="1">
        <f t="array" ref="L337">IF(K337="","",INDEX(UWS!$B$10:$B$41,K337))</f>
        <v/>
      </c>
      <c r="N337" s="108" t="str" cm="1">
        <f t="array" ref="N337">IF(M337="","",INDEX(UWS!$B$10:$B$41,M337))</f>
        <v/>
      </c>
      <c r="P337">
        <f>IFERROR(INDEX(UWS!$G$10:$Z$41,MATCH($C337,UWS!$B$10:$B$41,0),MATCH(P$4,UWS!$G$3:$Z$3,0)),0)</f>
        <v>0</v>
      </c>
      <c r="Q337">
        <f>IFERROR(INDEX(UWS!$G$10:$Z$41,MATCH($C337,UWS!$B$10:$B$41,0),MATCH(Q$4,UWS!$G$3:$Z$3,0)),0)</f>
        <v>0</v>
      </c>
      <c r="R337">
        <f>IFERROR(INDEX(UWS!$G$10:$Z$41,MATCH($C337,UWS!$B$10:$B$41,0),MATCH(R$4,UWS!$G$3:$Z$3,0)),0)</f>
        <v>0</v>
      </c>
      <c r="S337">
        <f>IFERROR(INDEX(UWS!$G$10:$Z$41,MATCH($C337,UWS!$B$10:$B$41,0),MATCH(S$4,UWS!$G$3:$Z$3,0)),0)</f>
        <v>0</v>
      </c>
      <c r="T337">
        <f>IFERROR(INDEX(UWS!$G$10:$Z$41,MATCH($C337,UWS!$B$10:$B$41,0),MATCH(T$4,UWS!$G$3:$Z$3,0)),0)</f>
        <v>0</v>
      </c>
      <c r="U337">
        <f>IFERROR(INDEX(UWS!$G$10:$Z$41,MATCH($C337,UWS!$B$10:$B$41,0),MATCH(U$4,UWS!$G$3:$Z$3,0)),0)</f>
        <v>0</v>
      </c>
      <c r="V337">
        <f>IFERROR(INDEX(UWS!$G$10:$Z$41,MATCH($C337,UWS!$B$10:$B$41,0),MATCH(V$4,UWS!$G$3:$Z$3,0)),0)</f>
        <v>0</v>
      </c>
      <c r="W337">
        <f>IFERROR(INDEX(UWS!$G$10:$Z$41,MATCH($C337,UWS!$B$10:$B$41,0),MATCH(W$4,UWS!$G$3:$Z$3,0)),0)</f>
        <v>0</v>
      </c>
      <c r="X337">
        <f>IFERROR(INDEX(UWS!$G$10:$Z$41,MATCH($C337,UWS!$B$10:$B$41,0),MATCH(X$4,UWS!$G$3:$Z$3,0)),0)</f>
        <v>0</v>
      </c>
      <c r="Y337">
        <f>IFERROR(INDEX(UWS!$G$10:$Z$41,MATCH($C337,UWS!$B$10:$B$41,0),MATCH(Y$4,UWS!$G$3:$Z$3,0)),0)</f>
        <v>0</v>
      </c>
      <c r="Z337">
        <f>IFERROR(INDEX(UWS!$G$10:$Z$41,MATCH($C337,UWS!$B$10:$B$41,0),MATCH(Z$4,UWS!$G$3:$Z$3,0)),0)</f>
        <v>0</v>
      </c>
      <c r="AA337">
        <f>IFERROR(INDEX(UWS!$G$10:$Z$41,MATCH($C337,UWS!$B$10:$B$41,0),MATCH(AA$4,UWS!$G$3:$Z$3,0)),0)</f>
        <v>0</v>
      </c>
      <c r="AB337">
        <f>IFERROR(INDEX(UWS!$G$10:$Z$41,MATCH($C337,UWS!$B$10:$B$41,0),MATCH(AB$4,UWS!$G$3:$Z$3,0)),0)</f>
        <v>0</v>
      </c>
      <c r="AC337">
        <f>IFERROR(INDEX(UWS!$G$10:$Z$41,MATCH($C337,UWS!$B$10:$B$41,0),MATCH(AC$4,UWS!$G$3:$Z$3,0)),0)</f>
        <v>0</v>
      </c>
      <c r="AD337">
        <f>IFERROR(INDEX(UWS!$G$10:$Z$41,MATCH($C337,UWS!$B$10:$B$41,0),MATCH(AD$4,UWS!$G$3:$Z$3,0)),0)</f>
        <v>0</v>
      </c>
      <c r="AE337">
        <f>IFERROR(INDEX(UWS!$G$10:$Z$41,MATCH($C337,UWS!$B$10:$B$41,0),MATCH(AE$4,UWS!$G$3:$Z$3,0)),0)</f>
        <v>0</v>
      </c>
      <c r="AF337">
        <f>IFERROR(INDEX(UWS!$G$10:$Z$41,MATCH($C337,UWS!$B$10:$B$41,0),MATCH(AF$4,UWS!$G$3:$Z$3,0)),0)</f>
        <v>0</v>
      </c>
      <c r="AG337">
        <f>IFERROR(INDEX(UWS!$G$10:$Z$41,MATCH($C337,UWS!$B$10:$B$41,0),MATCH(AG$4,UWS!$G$3:$Z$3,0)),0)</f>
        <v>0</v>
      </c>
      <c r="AH337">
        <f>IFERROR(INDEX(UWS!$G$10:$Z$41,MATCH($C337,UWS!$B$10:$B$41,0),MATCH(AH$4,UWS!$G$3:$Z$3,0)),0)</f>
        <v>0</v>
      </c>
      <c r="AI337">
        <f>IFERROR(INDEX(UWS!$G$10:$Z$41,MATCH($C337,UWS!$B$10:$B$41,0),MATCH(AI$4,UWS!$G$3:$Z$3,0)),0)</f>
        <v>0</v>
      </c>
      <c r="AK337" t="e">
        <f>IF(OR($J337=0,COUNTIFS($A$4:$A336,"&gt;="&amp;$A337-1,$A$4:$A336,"&lt;="&amp;$A337,$B$4:$B336,$B337)&gt;0,MIN(AK$1,IF($A337=$A336,AK336,1))-P337&lt;0),-1,MIN(1,IF($A337=$A336,AK336,1)-P337+$D$3))</f>
        <v>#N/A</v>
      </c>
      <c r="AL337" t="e">
        <f>IF(OR($J337=0,COUNTIFS($A$4:$A336,"&gt;="&amp;$A337-1,$A$4:$A336,"&lt;="&amp;$A337,$B$4:$B336,$B337)&gt;0,MIN(AL$1,IF($A337=$A336,AL336,1))-Q337&lt;0),-1,MIN(1,IF($A337=$A336,AL336,1)-Q337+$D$3))</f>
        <v>#N/A</v>
      </c>
      <c r="AM337" t="e">
        <f>IF(OR($J337=0,COUNTIFS($A$4:$A336,"&gt;="&amp;$A337-1,$A$4:$A336,"&lt;="&amp;$A337,$B$4:$B336,$B337)&gt;0,MIN(AM$1,IF($A337=$A336,AM336,1))-R337&lt;0),-1,MIN(1,IF($A337=$A336,AM336,1)-R337+$D$3))</f>
        <v>#N/A</v>
      </c>
      <c r="AN337" t="e">
        <f>IF(OR($J337=0,COUNTIFS($A$4:$A336,"&gt;="&amp;$A337-1,$A$4:$A336,"&lt;="&amp;$A337,$B$4:$B336,$B337)&gt;0,MIN(AN$1,IF($A337=$A336,AN336,1))-S337&lt;0),-1,MIN(1,IF($A337=$A336,AN336,1)-S337+$D$3))</f>
        <v>#N/A</v>
      </c>
      <c r="AO337" t="e">
        <f>IF(OR($J337=0,COUNTIFS($A$4:$A336,"&gt;="&amp;$A337-1,$A$4:$A336,"&lt;="&amp;$A337,$B$4:$B336,$B337)&gt;0,MIN(AO$1,IF($A337=$A336,AO336,1))-T337&lt;0),-1,MIN(1,IF($A337=$A336,AO336,1)-T337+$D$3))</f>
        <v>#N/A</v>
      </c>
      <c r="AP337" t="e">
        <f>IF(OR($J337=0,COUNTIFS($A$4:$A336,"&gt;="&amp;$A337-1,$A$4:$A336,"&lt;="&amp;$A337,$B$4:$B336,$B337)&gt;0,MIN(AP$1,IF($A337=$A336,AP336,1))-U337&lt;0),-1,MIN(1,IF($A337=$A336,AP336,1)-U337+$D$3))</f>
        <v>#N/A</v>
      </c>
      <c r="AQ337" t="e">
        <f>IF(OR($J337=0,COUNTIFS($A$4:$A336,"&gt;="&amp;$A337-1,$A$4:$A336,"&lt;="&amp;$A337,$B$4:$B336,$B337)&gt;0,MIN(AQ$1,IF($A337=$A336,AQ336,1))-V337&lt;0),-1,MIN(1,IF($A337=$A336,AQ336,1)-V337+$D$3))</f>
        <v>#N/A</v>
      </c>
      <c r="AR337" t="e">
        <f>IF(OR($J337=0,COUNTIFS($A$4:$A336,"&gt;="&amp;$A337-1,$A$4:$A336,"&lt;="&amp;$A337,$B$4:$B336,$B337)&gt;0,MIN(AR$1,IF($A337=$A336,AR336,1))-W337&lt;0),-1,MIN(1,IF($A337=$A336,AR336,1)-W337+$D$3))</f>
        <v>#N/A</v>
      </c>
      <c r="AS337" t="e">
        <f>IF(OR($J337=0,COUNTIFS($A$4:$A336,"&gt;="&amp;$A337-1,$A$4:$A336,"&lt;="&amp;$A337,$B$4:$B336,$B337)&gt;0,MIN(AS$1,IF($A337=$A336,AS336,1))-X337&lt;0),-1,MIN(1,IF($A337=$A336,AS336,1)-X337+$D$3))</f>
        <v>#N/A</v>
      </c>
      <c r="AT337" t="e">
        <f>IF(OR($J337=0,COUNTIFS($A$4:$A336,"&gt;="&amp;$A337-1,$A$4:$A336,"&lt;="&amp;$A337,$B$4:$B336,$B337)&gt;0,MIN(AT$1,IF($A337=$A336,AT336,1))-Y337&lt;0),-1,MIN(1,IF($A337=$A336,AT336,1)-Y337+$D$3))</f>
        <v>#N/A</v>
      </c>
      <c r="AU337" t="e">
        <f>IF(OR($J337=0,COUNTIFS($A$4:$A336,"&gt;="&amp;$A337-1,$A$4:$A336,"&lt;="&amp;$A337,$B$4:$B336,$B337)&gt;0,MIN(AU$1,IF($A337=$A336,AU336,1))-Z337&lt;0),-1,MIN(1,IF($A337=$A336,AU336,1)-Z337+$D$3))</f>
        <v>#N/A</v>
      </c>
      <c r="AV337" t="e">
        <f>IF(OR($J337=0,COUNTIFS($A$4:$A336,"&gt;="&amp;$A337-1,$A$4:$A336,"&lt;="&amp;$A337,$B$4:$B336,$B337)&gt;0,MIN(AV$1,IF($A337=$A336,AV336,1))-AA337&lt;0),-1,MIN(1,IF($A337=$A336,AV336,1)-AA337+$D$3))</f>
        <v>#N/A</v>
      </c>
      <c r="AW337" t="e">
        <f>IF(OR($J337=0,COUNTIFS($A$4:$A336,"&gt;="&amp;$A337-1,$A$4:$A336,"&lt;="&amp;$A337,$B$4:$B336,$B337)&gt;0,MIN(AW$1,IF($A337=$A336,AW336,1))-AB337&lt;0),-1,MIN(1,IF($A337=$A336,AW336,1)-AB337+$D$3))</f>
        <v>#N/A</v>
      </c>
      <c r="AX337" t="e">
        <f>IF(OR($J337=0,COUNTIFS($A$4:$A336,"&gt;="&amp;$A337-1,$A$4:$A336,"&lt;="&amp;$A337,$B$4:$B336,$B337)&gt;0,MIN(AX$1,IF($A337=$A336,AX336,1))-AC337&lt;0),-1,MIN(1,IF($A337=$A336,AX336,1)-AC337+$D$3))</f>
        <v>#N/A</v>
      </c>
      <c r="AY337" t="e">
        <f>IF(OR($J337=0,COUNTIFS($A$4:$A336,"&gt;="&amp;$A337-1,$A$4:$A336,"&lt;="&amp;$A337,$B$4:$B336,$B337)&gt;0,MIN(AY$1,IF($A337=$A336,AY336,1))-AD337&lt;0),-1,MIN(1,IF($A337=$A336,AY336,1)-AD337+$D$3))</f>
        <v>#N/A</v>
      </c>
      <c r="AZ337" t="e">
        <f>IF(OR($J337=0,COUNTIFS($A$4:$A336,"&gt;="&amp;$A337-1,$A$4:$A336,"&lt;="&amp;$A337,$B$4:$B336,$B337)&gt;0,MIN(AZ$1,IF($A337=$A336,AZ336,1))-AE337&lt;0),-1,MIN(1,IF($A337=$A336,AZ336,1)-AE337+$D$3))</f>
        <v>#N/A</v>
      </c>
      <c r="BA337" t="e">
        <f>IF(OR($J337=0,COUNTIFS($A$4:$A336,"&gt;="&amp;$A337-1,$A$4:$A336,"&lt;="&amp;$A337,$B$4:$B336,$B337)&gt;0,MIN(BA$1,IF($A337=$A336,BA336,1))-AF337&lt;0),-1,MIN(1,IF($A337=$A336,BA336,1)-AF337+$D$3))</f>
        <v>#N/A</v>
      </c>
      <c r="BB337" t="e">
        <f>IF(OR($J337=0,COUNTIFS($A$4:$A336,"&gt;="&amp;$A337-1,$A$4:$A336,"&lt;="&amp;$A337,$B$4:$B336,$B337)&gt;0,MIN(BB$1,IF($A337=$A336,BB336,1))-AG337&lt;0),-1,MIN(1,IF($A337=$A336,BB336,1)-AG337+$D$3))</f>
        <v>#N/A</v>
      </c>
      <c r="BC337" t="e">
        <f>IF(OR($J337=0,COUNTIFS($A$4:$A336,"&gt;="&amp;$A337-1,$A$4:$A336,"&lt;="&amp;$A337,$B$4:$B336,$B337)&gt;0,MIN(BC$1,IF($A337=$A336,BC336,1))-AH337&lt;0),-1,MIN(1,IF($A337=$A336,BC336,1)-AH337+$D$3))</f>
        <v>#N/A</v>
      </c>
      <c r="BD337" t="e">
        <f>IF(OR($J337=0,COUNTIFS($A$4:$A336,"&gt;="&amp;$A337-1,$A$4:$A336,"&lt;="&amp;$A337,$B$4:$B336,$B337)&gt;0,MIN(BD$1,IF($A337=$A336,BD336,1))-AI337&lt;0),-1,MIN(1,IF($A337=$A336,BD336,1)-AI337+$D$3))</f>
        <v>#N/A</v>
      </c>
      <c r="BF337" s="44">
        <f t="shared" si="355"/>
        <v>8.0959246029402204E-8</v>
      </c>
      <c r="BG337" s="44">
        <f t="shared" si="356"/>
        <v>1.9910163116846643E-7</v>
      </c>
      <c r="BH337" s="44">
        <f t="shared" si="357"/>
        <v>2.0405822850719022E-7</v>
      </c>
      <c r="BI337" s="44">
        <f t="shared" si="358"/>
        <v>1.8849314876506059E-7</v>
      </c>
      <c r="BJ337" s="44">
        <f t="shared" si="359"/>
        <v>1.9482556402668316E-7</v>
      </c>
      <c r="BK337" s="44">
        <f t="shared" si="360"/>
        <v>8.3665361252442951E-8</v>
      </c>
      <c r="BL337" s="44">
        <f t="shared" si="361"/>
        <v>4.5197344405021531E-8</v>
      </c>
      <c r="BM337" s="44">
        <f t="shared" si="362"/>
        <v>1.1497676624486589E-7</v>
      </c>
      <c r="BN337" s="44">
        <f t="shared" si="363"/>
        <v>1.1958479765275826E-7</v>
      </c>
      <c r="BO337" s="44">
        <f t="shared" si="364"/>
        <v>5.6041973902329456E-8</v>
      </c>
      <c r="BP337" s="44">
        <f t="shared" si="365"/>
        <v>1.8843988862028427E-7</v>
      </c>
      <c r="BQ337" s="44">
        <f t="shared" si="366"/>
        <v>5.0852125411130901E-8</v>
      </c>
      <c r="BR337" s="44">
        <f t="shared" si="367"/>
        <v>1.5022990808271782E-7</v>
      </c>
      <c r="BS337" s="44">
        <f t="shared" si="368"/>
        <v>8.1020982996992172E-8</v>
      </c>
      <c r="BT337" s="44">
        <f t="shared" si="369"/>
        <v>3.206248688442595E-7</v>
      </c>
      <c r="BU337" s="44">
        <f t="shared" si="370"/>
        <v>3.0629322945675207E-7</v>
      </c>
      <c r="BV337" s="44">
        <f t="shared" si="371"/>
        <v>2.9415388408113552E-7</v>
      </c>
      <c r="BW337" s="44">
        <f t="shared" si="372"/>
        <v>1.9239282760003081E-7</v>
      </c>
      <c r="BX337" s="44">
        <f t="shared" si="373"/>
        <v>1.4213632732100494E-7</v>
      </c>
      <c r="BY337" s="44">
        <f t="shared" si="374"/>
        <v>1.2204037372091634E-7</v>
      </c>
      <c r="CA337" s="44" t="str">
        <f t="shared" si="375"/>
        <v/>
      </c>
      <c r="CB337" s="44" t="str">
        <f t="shared" si="376"/>
        <v/>
      </c>
      <c r="CC337" s="44" t="str">
        <f t="shared" si="377"/>
        <v/>
      </c>
      <c r="CD337" s="44" t="str">
        <f t="shared" si="378"/>
        <v/>
      </c>
      <c r="CE337" s="44" t="str">
        <f t="shared" si="379"/>
        <v/>
      </c>
      <c r="CF337" s="44" t="str">
        <f t="shared" si="380"/>
        <v/>
      </c>
      <c r="CG337" s="44" t="str">
        <f t="shared" si="381"/>
        <v/>
      </c>
      <c r="CH337" s="44" t="str">
        <f t="shared" si="382"/>
        <v/>
      </c>
      <c r="CI337" s="44" t="str">
        <f t="shared" si="383"/>
        <v/>
      </c>
      <c r="CJ337" s="44" t="str">
        <f t="shared" si="384"/>
        <v/>
      </c>
      <c r="CK337" s="44" t="str">
        <f t="shared" si="385"/>
        <v/>
      </c>
      <c r="CL337" s="44" t="str">
        <f t="shared" si="386"/>
        <v/>
      </c>
      <c r="CM337" s="44" t="str">
        <f t="shared" si="387"/>
        <v/>
      </c>
      <c r="CN337" s="44" t="str">
        <f t="shared" si="388"/>
        <v/>
      </c>
      <c r="CO337" s="44" t="str">
        <f t="shared" si="389"/>
        <v/>
      </c>
      <c r="CP337" s="44" t="str">
        <f t="shared" si="390"/>
        <v/>
      </c>
      <c r="CQ337" s="44" t="str">
        <f t="shared" si="391"/>
        <v/>
      </c>
      <c r="CR337" s="44" t="str">
        <f t="shared" si="392"/>
        <v/>
      </c>
      <c r="CS337" s="44" t="str">
        <f t="shared" si="393"/>
        <v/>
      </c>
      <c r="CT337" s="44" t="str">
        <f t="shared" si="394"/>
        <v/>
      </c>
      <c r="CV337" s="44">
        <f t="shared" si="395"/>
        <v>0</v>
      </c>
    </row>
    <row r="338" spans="1:100" x14ac:dyDescent="0.25">
      <c r="A338" s="41"/>
      <c r="B338" s="42"/>
      <c r="C338" s="43" t="str" cm="1">
        <f t="array" ref="C338">IF(B338="","",INDEX(UWS!$B$10:$B$41,B338))</f>
        <v/>
      </c>
      <c r="D338" s="40" t="str">
        <f t="shared" si="352"/>
        <v/>
      </c>
      <c r="E338" s="69" t="str">
        <f t="shared" si="353"/>
        <v/>
      </c>
      <c r="F338" s="48" cm="1">
        <f t="array" ref="F338">0.1+IFERROR(INDEX($F$5:$F337,SUMPRODUCT(MAX(ROW($C$5:$C337)*($C338=$C$5:$C337))-ROW($A$4)))*0.9^($A338-INDEX($A$5:A337,SUMPRODUCT(MAX(ROW($C$5:$C337)*($C338=$C$5:$C337))-ROW($A$4)))),0)</f>
        <v>27.300000000000118</v>
      </c>
      <c r="G338" s="55" t="e">
        <f>INDEX(UWS!$AB$10:$AB$41,MATCH(C338,UWS!$B$10:$B$41,0))</f>
        <v>#N/A</v>
      </c>
      <c r="H338" s="48" t="e">
        <f>INDEX(UWS!$C$10:$C$41,MATCH(C338,UWS!$B$10:$B$41,0))</f>
        <v>#N/A</v>
      </c>
      <c r="I338" s="27">
        <f t="shared" si="354"/>
        <v>5</v>
      </c>
      <c r="J338" s="27" t="e">
        <f>INDEX(UWS!$E$10:$E$41,MATCH(C338,UWS!$B$10:$B$41,0))</f>
        <v>#N/A</v>
      </c>
      <c r="L338" s="108" t="str" cm="1">
        <f t="array" ref="L338">IF(K338="","",INDEX(UWS!$B$10:$B$41,K338))</f>
        <v/>
      </c>
      <c r="N338" s="108" t="str" cm="1">
        <f t="array" ref="N338">IF(M338="","",INDEX(UWS!$B$10:$B$41,M338))</f>
        <v/>
      </c>
      <c r="P338">
        <f>IFERROR(INDEX(UWS!$G$10:$Z$41,MATCH($C338,UWS!$B$10:$B$41,0),MATCH(P$4,UWS!$G$3:$Z$3,0)),0)</f>
        <v>0</v>
      </c>
      <c r="Q338">
        <f>IFERROR(INDEX(UWS!$G$10:$Z$41,MATCH($C338,UWS!$B$10:$B$41,0),MATCH(Q$4,UWS!$G$3:$Z$3,0)),0)</f>
        <v>0</v>
      </c>
      <c r="R338">
        <f>IFERROR(INDEX(UWS!$G$10:$Z$41,MATCH($C338,UWS!$B$10:$B$41,0),MATCH(R$4,UWS!$G$3:$Z$3,0)),0)</f>
        <v>0</v>
      </c>
      <c r="S338">
        <f>IFERROR(INDEX(UWS!$G$10:$Z$41,MATCH($C338,UWS!$B$10:$B$41,0),MATCH(S$4,UWS!$G$3:$Z$3,0)),0)</f>
        <v>0</v>
      </c>
      <c r="T338">
        <f>IFERROR(INDEX(UWS!$G$10:$Z$41,MATCH($C338,UWS!$B$10:$B$41,0),MATCH(T$4,UWS!$G$3:$Z$3,0)),0)</f>
        <v>0</v>
      </c>
      <c r="U338">
        <f>IFERROR(INDEX(UWS!$G$10:$Z$41,MATCH($C338,UWS!$B$10:$B$41,0),MATCH(U$4,UWS!$G$3:$Z$3,0)),0)</f>
        <v>0</v>
      </c>
      <c r="V338">
        <f>IFERROR(INDEX(UWS!$G$10:$Z$41,MATCH($C338,UWS!$B$10:$B$41,0),MATCH(V$4,UWS!$G$3:$Z$3,0)),0)</f>
        <v>0</v>
      </c>
      <c r="W338">
        <f>IFERROR(INDEX(UWS!$G$10:$Z$41,MATCH($C338,UWS!$B$10:$B$41,0),MATCH(W$4,UWS!$G$3:$Z$3,0)),0)</f>
        <v>0</v>
      </c>
      <c r="X338">
        <f>IFERROR(INDEX(UWS!$G$10:$Z$41,MATCH($C338,UWS!$B$10:$B$41,0),MATCH(X$4,UWS!$G$3:$Z$3,0)),0)</f>
        <v>0</v>
      </c>
      <c r="Y338">
        <f>IFERROR(INDEX(UWS!$G$10:$Z$41,MATCH($C338,UWS!$B$10:$B$41,0),MATCH(Y$4,UWS!$G$3:$Z$3,0)),0)</f>
        <v>0</v>
      </c>
      <c r="Z338">
        <f>IFERROR(INDEX(UWS!$G$10:$Z$41,MATCH($C338,UWS!$B$10:$B$41,0),MATCH(Z$4,UWS!$G$3:$Z$3,0)),0)</f>
        <v>0</v>
      </c>
      <c r="AA338">
        <f>IFERROR(INDEX(UWS!$G$10:$Z$41,MATCH($C338,UWS!$B$10:$B$41,0),MATCH(AA$4,UWS!$G$3:$Z$3,0)),0)</f>
        <v>0</v>
      </c>
      <c r="AB338">
        <f>IFERROR(INDEX(UWS!$G$10:$Z$41,MATCH($C338,UWS!$B$10:$B$41,0),MATCH(AB$4,UWS!$G$3:$Z$3,0)),0)</f>
        <v>0</v>
      </c>
      <c r="AC338">
        <f>IFERROR(INDEX(UWS!$G$10:$Z$41,MATCH($C338,UWS!$B$10:$B$41,0),MATCH(AC$4,UWS!$G$3:$Z$3,0)),0)</f>
        <v>0</v>
      </c>
      <c r="AD338">
        <f>IFERROR(INDEX(UWS!$G$10:$Z$41,MATCH($C338,UWS!$B$10:$B$41,0),MATCH(AD$4,UWS!$G$3:$Z$3,0)),0)</f>
        <v>0</v>
      </c>
      <c r="AE338">
        <f>IFERROR(INDEX(UWS!$G$10:$Z$41,MATCH($C338,UWS!$B$10:$B$41,0),MATCH(AE$4,UWS!$G$3:$Z$3,0)),0)</f>
        <v>0</v>
      </c>
      <c r="AF338">
        <f>IFERROR(INDEX(UWS!$G$10:$Z$41,MATCH($C338,UWS!$B$10:$B$41,0),MATCH(AF$4,UWS!$G$3:$Z$3,0)),0)</f>
        <v>0</v>
      </c>
      <c r="AG338">
        <f>IFERROR(INDEX(UWS!$G$10:$Z$41,MATCH($C338,UWS!$B$10:$B$41,0),MATCH(AG$4,UWS!$G$3:$Z$3,0)),0)</f>
        <v>0</v>
      </c>
      <c r="AH338">
        <f>IFERROR(INDEX(UWS!$G$10:$Z$41,MATCH($C338,UWS!$B$10:$B$41,0),MATCH(AH$4,UWS!$G$3:$Z$3,0)),0)</f>
        <v>0</v>
      </c>
      <c r="AI338">
        <f>IFERROR(INDEX(UWS!$G$10:$Z$41,MATCH($C338,UWS!$B$10:$B$41,0),MATCH(AI$4,UWS!$G$3:$Z$3,0)),0)</f>
        <v>0</v>
      </c>
      <c r="AK338" t="e">
        <f>IF(OR($J338=0,COUNTIFS($A$4:$A337,"&gt;="&amp;$A338-1,$A$4:$A337,"&lt;="&amp;$A338,$B$4:$B337,$B338)&gt;0,MIN(AK$1,IF($A338=$A337,AK337,1))-P338&lt;0),-1,MIN(1,IF($A338=$A337,AK337,1)-P338+$D$3))</f>
        <v>#N/A</v>
      </c>
      <c r="AL338" t="e">
        <f>IF(OR($J338=0,COUNTIFS($A$4:$A337,"&gt;="&amp;$A338-1,$A$4:$A337,"&lt;="&amp;$A338,$B$4:$B337,$B338)&gt;0,MIN(AL$1,IF($A338=$A337,AL337,1))-Q338&lt;0),-1,MIN(1,IF($A338=$A337,AL337,1)-Q338+$D$3))</f>
        <v>#N/A</v>
      </c>
      <c r="AM338" t="e">
        <f>IF(OR($J338=0,COUNTIFS($A$4:$A337,"&gt;="&amp;$A338-1,$A$4:$A337,"&lt;="&amp;$A338,$B$4:$B337,$B338)&gt;0,MIN(AM$1,IF($A338=$A337,AM337,1))-R338&lt;0),-1,MIN(1,IF($A338=$A337,AM337,1)-R338+$D$3))</f>
        <v>#N/A</v>
      </c>
      <c r="AN338" t="e">
        <f>IF(OR($J338=0,COUNTIFS($A$4:$A337,"&gt;="&amp;$A338-1,$A$4:$A337,"&lt;="&amp;$A338,$B$4:$B337,$B338)&gt;0,MIN(AN$1,IF($A338=$A337,AN337,1))-S338&lt;0),-1,MIN(1,IF($A338=$A337,AN337,1)-S338+$D$3))</f>
        <v>#N/A</v>
      </c>
      <c r="AO338" t="e">
        <f>IF(OR($J338=0,COUNTIFS($A$4:$A337,"&gt;="&amp;$A338-1,$A$4:$A337,"&lt;="&amp;$A338,$B$4:$B337,$B338)&gt;0,MIN(AO$1,IF($A338=$A337,AO337,1))-T338&lt;0),-1,MIN(1,IF($A338=$A337,AO337,1)-T338+$D$3))</f>
        <v>#N/A</v>
      </c>
      <c r="AP338" t="e">
        <f>IF(OR($J338=0,COUNTIFS($A$4:$A337,"&gt;="&amp;$A338-1,$A$4:$A337,"&lt;="&amp;$A338,$B$4:$B337,$B338)&gt;0,MIN(AP$1,IF($A338=$A337,AP337,1))-U338&lt;0),-1,MIN(1,IF($A338=$A337,AP337,1)-U338+$D$3))</f>
        <v>#N/A</v>
      </c>
      <c r="AQ338" t="e">
        <f>IF(OR($J338=0,COUNTIFS($A$4:$A337,"&gt;="&amp;$A338-1,$A$4:$A337,"&lt;="&amp;$A338,$B$4:$B337,$B338)&gt;0,MIN(AQ$1,IF($A338=$A337,AQ337,1))-V338&lt;0),-1,MIN(1,IF($A338=$A337,AQ337,1)-V338+$D$3))</f>
        <v>#N/A</v>
      </c>
      <c r="AR338" t="e">
        <f>IF(OR($J338=0,COUNTIFS($A$4:$A337,"&gt;="&amp;$A338-1,$A$4:$A337,"&lt;="&amp;$A338,$B$4:$B337,$B338)&gt;0,MIN(AR$1,IF($A338=$A337,AR337,1))-W338&lt;0),-1,MIN(1,IF($A338=$A337,AR337,1)-W338+$D$3))</f>
        <v>#N/A</v>
      </c>
      <c r="AS338" t="e">
        <f>IF(OR($J338=0,COUNTIFS($A$4:$A337,"&gt;="&amp;$A338-1,$A$4:$A337,"&lt;="&amp;$A338,$B$4:$B337,$B338)&gt;0,MIN(AS$1,IF($A338=$A337,AS337,1))-X338&lt;0),-1,MIN(1,IF($A338=$A337,AS337,1)-X338+$D$3))</f>
        <v>#N/A</v>
      </c>
      <c r="AT338" t="e">
        <f>IF(OR($J338=0,COUNTIFS($A$4:$A337,"&gt;="&amp;$A338-1,$A$4:$A337,"&lt;="&amp;$A338,$B$4:$B337,$B338)&gt;0,MIN(AT$1,IF($A338=$A337,AT337,1))-Y338&lt;0),-1,MIN(1,IF($A338=$A337,AT337,1)-Y338+$D$3))</f>
        <v>#N/A</v>
      </c>
      <c r="AU338" t="e">
        <f>IF(OR($J338=0,COUNTIFS($A$4:$A337,"&gt;="&amp;$A338-1,$A$4:$A337,"&lt;="&amp;$A338,$B$4:$B337,$B338)&gt;0,MIN(AU$1,IF($A338=$A337,AU337,1))-Z338&lt;0),-1,MIN(1,IF($A338=$A337,AU337,1)-Z338+$D$3))</f>
        <v>#N/A</v>
      </c>
      <c r="AV338" t="e">
        <f>IF(OR($J338=0,COUNTIFS($A$4:$A337,"&gt;="&amp;$A338-1,$A$4:$A337,"&lt;="&amp;$A338,$B$4:$B337,$B338)&gt;0,MIN(AV$1,IF($A338=$A337,AV337,1))-AA338&lt;0),-1,MIN(1,IF($A338=$A337,AV337,1)-AA338+$D$3))</f>
        <v>#N/A</v>
      </c>
      <c r="AW338" t="e">
        <f>IF(OR($J338=0,COUNTIFS($A$4:$A337,"&gt;="&amp;$A338-1,$A$4:$A337,"&lt;="&amp;$A338,$B$4:$B337,$B338)&gt;0,MIN(AW$1,IF($A338=$A337,AW337,1))-AB338&lt;0),-1,MIN(1,IF($A338=$A337,AW337,1)-AB338+$D$3))</f>
        <v>#N/A</v>
      </c>
      <c r="AX338" t="e">
        <f>IF(OR($J338=0,COUNTIFS($A$4:$A337,"&gt;="&amp;$A338-1,$A$4:$A337,"&lt;="&amp;$A338,$B$4:$B337,$B338)&gt;0,MIN(AX$1,IF($A338=$A337,AX337,1))-AC338&lt;0),-1,MIN(1,IF($A338=$A337,AX337,1)-AC338+$D$3))</f>
        <v>#N/A</v>
      </c>
      <c r="AY338" t="e">
        <f>IF(OR($J338=0,COUNTIFS($A$4:$A337,"&gt;="&amp;$A338-1,$A$4:$A337,"&lt;="&amp;$A338,$B$4:$B337,$B338)&gt;0,MIN(AY$1,IF($A338=$A337,AY337,1))-AD338&lt;0),-1,MIN(1,IF($A338=$A337,AY337,1)-AD338+$D$3))</f>
        <v>#N/A</v>
      </c>
      <c r="AZ338" t="e">
        <f>IF(OR($J338=0,COUNTIFS($A$4:$A337,"&gt;="&amp;$A338-1,$A$4:$A337,"&lt;="&amp;$A338,$B$4:$B337,$B338)&gt;0,MIN(AZ$1,IF($A338=$A337,AZ337,1))-AE338&lt;0),-1,MIN(1,IF($A338=$A337,AZ337,1)-AE338+$D$3))</f>
        <v>#N/A</v>
      </c>
      <c r="BA338" t="e">
        <f>IF(OR($J338=0,COUNTIFS($A$4:$A337,"&gt;="&amp;$A338-1,$A$4:$A337,"&lt;="&amp;$A338,$B$4:$B337,$B338)&gt;0,MIN(BA$1,IF($A338=$A337,BA337,1))-AF338&lt;0),-1,MIN(1,IF($A338=$A337,BA337,1)-AF338+$D$3))</f>
        <v>#N/A</v>
      </c>
      <c r="BB338" t="e">
        <f>IF(OR($J338=0,COUNTIFS($A$4:$A337,"&gt;="&amp;$A338-1,$A$4:$A337,"&lt;="&amp;$A338,$B$4:$B337,$B338)&gt;0,MIN(BB$1,IF($A338=$A337,BB337,1))-AG338&lt;0),-1,MIN(1,IF($A338=$A337,BB337,1)-AG338+$D$3))</f>
        <v>#N/A</v>
      </c>
      <c r="BC338" t="e">
        <f>IF(OR($J338=0,COUNTIFS($A$4:$A337,"&gt;="&amp;$A338-1,$A$4:$A337,"&lt;="&amp;$A338,$B$4:$B337,$B338)&gt;0,MIN(BC$1,IF($A338=$A337,BC337,1))-AH338&lt;0),-1,MIN(1,IF($A338=$A337,BC337,1)-AH338+$D$3))</f>
        <v>#N/A</v>
      </c>
      <c r="BD338" t="e">
        <f>IF(OR($J338=0,COUNTIFS($A$4:$A337,"&gt;="&amp;$A338-1,$A$4:$A337,"&lt;="&amp;$A338,$B$4:$B337,$B338)&gt;0,MIN(BD$1,IF($A338=$A337,BD337,1))-AI338&lt;0),-1,MIN(1,IF($A338=$A337,BD337,1)-AI338+$D$3))</f>
        <v>#N/A</v>
      </c>
      <c r="BF338" s="44">
        <f t="shared" si="355"/>
        <v>7.6911283727932095E-8</v>
      </c>
      <c r="BG338" s="44">
        <f t="shared" si="356"/>
        <v>1.8914654961004311E-7</v>
      </c>
      <c r="BH338" s="44">
        <f t="shared" si="357"/>
        <v>1.9385531708183071E-7</v>
      </c>
      <c r="BI338" s="44">
        <f t="shared" si="358"/>
        <v>1.7906849132680755E-7</v>
      </c>
      <c r="BJ338" s="44">
        <f t="shared" si="359"/>
        <v>1.85084285825349E-7</v>
      </c>
      <c r="BK338" s="44">
        <f t="shared" si="360"/>
        <v>7.9482093189820801E-8</v>
      </c>
      <c r="BL338" s="44">
        <f t="shared" si="361"/>
        <v>4.2937477184770449E-8</v>
      </c>
      <c r="BM338" s="44">
        <f t="shared" si="362"/>
        <v>1.0922792793262259E-7</v>
      </c>
      <c r="BN338" s="44">
        <f t="shared" si="363"/>
        <v>1.1360555777012034E-7</v>
      </c>
      <c r="BO338" s="44">
        <f t="shared" si="364"/>
        <v>5.3239875207212981E-8</v>
      </c>
      <c r="BP338" s="44">
        <f t="shared" si="365"/>
        <v>1.7901789418927005E-7</v>
      </c>
      <c r="BQ338" s="44">
        <f t="shared" si="366"/>
        <v>4.8309519140574352E-8</v>
      </c>
      <c r="BR338" s="44">
        <f t="shared" si="367"/>
        <v>1.4271841267858192E-7</v>
      </c>
      <c r="BS338" s="44">
        <f t="shared" si="368"/>
        <v>7.6969933847142561E-8</v>
      </c>
      <c r="BT338" s="44">
        <f t="shared" si="369"/>
        <v>3.0459362540204649E-7</v>
      </c>
      <c r="BU338" s="44">
        <f t="shared" si="370"/>
        <v>2.9097856798391444E-7</v>
      </c>
      <c r="BV338" s="44">
        <f t="shared" si="371"/>
        <v>2.7944618987707871E-7</v>
      </c>
      <c r="BW338" s="44">
        <f t="shared" si="372"/>
        <v>1.8277318622002925E-7</v>
      </c>
      <c r="BX338" s="44">
        <f t="shared" si="373"/>
        <v>1.3502951095495469E-7</v>
      </c>
      <c r="BY338" s="44">
        <f t="shared" si="374"/>
        <v>1.1593835503487051E-7</v>
      </c>
      <c r="CA338" s="44" t="str">
        <f t="shared" si="375"/>
        <v/>
      </c>
      <c r="CB338" s="44" t="str">
        <f t="shared" si="376"/>
        <v/>
      </c>
      <c r="CC338" s="44" t="str">
        <f t="shared" si="377"/>
        <v/>
      </c>
      <c r="CD338" s="44" t="str">
        <f t="shared" si="378"/>
        <v/>
      </c>
      <c r="CE338" s="44" t="str">
        <f t="shared" si="379"/>
        <v/>
      </c>
      <c r="CF338" s="44" t="str">
        <f t="shared" si="380"/>
        <v/>
      </c>
      <c r="CG338" s="44" t="str">
        <f t="shared" si="381"/>
        <v/>
      </c>
      <c r="CH338" s="44" t="str">
        <f t="shared" si="382"/>
        <v/>
      </c>
      <c r="CI338" s="44" t="str">
        <f t="shared" si="383"/>
        <v/>
      </c>
      <c r="CJ338" s="44" t="str">
        <f t="shared" si="384"/>
        <v/>
      </c>
      <c r="CK338" s="44" t="str">
        <f t="shared" si="385"/>
        <v/>
      </c>
      <c r="CL338" s="44" t="str">
        <f t="shared" si="386"/>
        <v/>
      </c>
      <c r="CM338" s="44" t="str">
        <f t="shared" si="387"/>
        <v/>
      </c>
      <c r="CN338" s="44" t="str">
        <f t="shared" si="388"/>
        <v/>
      </c>
      <c r="CO338" s="44" t="str">
        <f t="shared" si="389"/>
        <v/>
      </c>
      <c r="CP338" s="44" t="str">
        <f t="shared" si="390"/>
        <v/>
      </c>
      <c r="CQ338" s="44" t="str">
        <f t="shared" si="391"/>
        <v/>
      </c>
      <c r="CR338" s="44" t="str">
        <f t="shared" si="392"/>
        <v/>
      </c>
      <c r="CS338" s="44" t="str">
        <f t="shared" si="393"/>
        <v/>
      </c>
      <c r="CT338" s="44" t="str">
        <f t="shared" si="394"/>
        <v/>
      </c>
      <c r="CV338" s="44">
        <f t="shared" si="395"/>
        <v>0</v>
      </c>
    </row>
    <row r="339" spans="1:100" x14ac:dyDescent="0.25">
      <c r="A339" s="41"/>
      <c r="B339" s="42"/>
      <c r="C339" s="43" t="str" cm="1">
        <f t="array" ref="C339">IF(B339="","",INDEX(UWS!$B$10:$B$41,B339))</f>
        <v/>
      </c>
      <c r="D339" s="40" t="str">
        <f t="shared" si="352"/>
        <v/>
      </c>
      <c r="E339" s="69" t="str">
        <f t="shared" si="353"/>
        <v/>
      </c>
      <c r="F339" s="48" cm="1">
        <f t="array" ref="F339">0.1+IFERROR(INDEX($F$5:$F338,SUMPRODUCT(MAX(ROW($C$5:$C338)*($C339=$C$5:$C338))-ROW($A$4)))*0.9^($A339-INDEX($A$5:A338,SUMPRODUCT(MAX(ROW($C$5:$C338)*($C339=$C$5:$C338))-ROW($A$4)))),0)</f>
        <v>27.400000000000119</v>
      </c>
      <c r="G339" s="55" t="e">
        <f>INDEX(UWS!$AB$10:$AB$41,MATCH(C339,UWS!$B$10:$B$41,0))</f>
        <v>#N/A</v>
      </c>
      <c r="H339" s="48" t="e">
        <f>INDEX(UWS!$C$10:$C$41,MATCH(C339,UWS!$B$10:$B$41,0))</f>
        <v>#N/A</v>
      </c>
      <c r="I339" s="27">
        <f t="shared" si="354"/>
        <v>5</v>
      </c>
      <c r="J339" s="27" t="e">
        <f>INDEX(UWS!$E$10:$E$41,MATCH(C339,UWS!$B$10:$B$41,0))</f>
        <v>#N/A</v>
      </c>
      <c r="L339" s="108" t="str" cm="1">
        <f t="array" ref="L339">IF(K339="","",INDEX(UWS!$B$10:$B$41,K339))</f>
        <v/>
      </c>
      <c r="N339" s="108" t="str" cm="1">
        <f t="array" ref="N339">IF(M339="","",INDEX(UWS!$B$10:$B$41,M339))</f>
        <v/>
      </c>
      <c r="P339">
        <f>IFERROR(INDEX(UWS!$G$10:$Z$41,MATCH($C339,UWS!$B$10:$B$41,0),MATCH(P$4,UWS!$G$3:$Z$3,0)),0)</f>
        <v>0</v>
      </c>
      <c r="Q339">
        <f>IFERROR(INDEX(UWS!$G$10:$Z$41,MATCH($C339,UWS!$B$10:$B$41,0),MATCH(Q$4,UWS!$G$3:$Z$3,0)),0)</f>
        <v>0</v>
      </c>
      <c r="R339">
        <f>IFERROR(INDEX(UWS!$G$10:$Z$41,MATCH($C339,UWS!$B$10:$B$41,0),MATCH(R$4,UWS!$G$3:$Z$3,0)),0)</f>
        <v>0</v>
      </c>
      <c r="S339">
        <f>IFERROR(INDEX(UWS!$G$10:$Z$41,MATCH($C339,UWS!$B$10:$B$41,0),MATCH(S$4,UWS!$G$3:$Z$3,0)),0)</f>
        <v>0</v>
      </c>
      <c r="T339">
        <f>IFERROR(INDEX(UWS!$G$10:$Z$41,MATCH($C339,UWS!$B$10:$B$41,0),MATCH(T$4,UWS!$G$3:$Z$3,0)),0)</f>
        <v>0</v>
      </c>
      <c r="U339">
        <f>IFERROR(INDEX(UWS!$G$10:$Z$41,MATCH($C339,UWS!$B$10:$B$41,0),MATCH(U$4,UWS!$G$3:$Z$3,0)),0)</f>
        <v>0</v>
      </c>
      <c r="V339">
        <f>IFERROR(INDEX(UWS!$G$10:$Z$41,MATCH($C339,UWS!$B$10:$B$41,0),MATCH(V$4,UWS!$G$3:$Z$3,0)),0)</f>
        <v>0</v>
      </c>
      <c r="W339">
        <f>IFERROR(INDEX(UWS!$G$10:$Z$41,MATCH($C339,UWS!$B$10:$B$41,0),MATCH(W$4,UWS!$G$3:$Z$3,0)),0)</f>
        <v>0</v>
      </c>
      <c r="X339">
        <f>IFERROR(INDEX(UWS!$G$10:$Z$41,MATCH($C339,UWS!$B$10:$B$41,0),MATCH(X$4,UWS!$G$3:$Z$3,0)),0)</f>
        <v>0</v>
      </c>
      <c r="Y339">
        <f>IFERROR(INDEX(UWS!$G$10:$Z$41,MATCH($C339,UWS!$B$10:$B$41,0),MATCH(Y$4,UWS!$G$3:$Z$3,0)),0)</f>
        <v>0</v>
      </c>
      <c r="Z339">
        <f>IFERROR(INDEX(UWS!$G$10:$Z$41,MATCH($C339,UWS!$B$10:$B$41,0),MATCH(Z$4,UWS!$G$3:$Z$3,0)),0)</f>
        <v>0</v>
      </c>
      <c r="AA339">
        <f>IFERROR(INDEX(UWS!$G$10:$Z$41,MATCH($C339,UWS!$B$10:$B$41,0),MATCH(AA$4,UWS!$G$3:$Z$3,0)),0)</f>
        <v>0</v>
      </c>
      <c r="AB339">
        <f>IFERROR(INDEX(UWS!$G$10:$Z$41,MATCH($C339,UWS!$B$10:$B$41,0),MATCH(AB$4,UWS!$G$3:$Z$3,0)),0)</f>
        <v>0</v>
      </c>
      <c r="AC339">
        <f>IFERROR(INDEX(UWS!$G$10:$Z$41,MATCH($C339,UWS!$B$10:$B$41,0),MATCH(AC$4,UWS!$G$3:$Z$3,0)),0)</f>
        <v>0</v>
      </c>
      <c r="AD339">
        <f>IFERROR(INDEX(UWS!$G$10:$Z$41,MATCH($C339,UWS!$B$10:$B$41,0),MATCH(AD$4,UWS!$G$3:$Z$3,0)),0)</f>
        <v>0</v>
      </c>
      <c r="AE339">
        <f>IFERROR(INDEX(UWS!$G$10:$Z$41,MATCH($C339,UWS!$B$10:$B$41,0),MATCH(AE$4,UWS!$G$3:$Z$3,0)),0)</f>
        <v>0</v>
      </c>
      <c r="AF339">
        <f>IFERROR(INDEX(UWS!$G$10:$Z$41,MATCH($C339,UWS!$B$10:$B$41,0),MATCH(AF$4,UWS!$G$3:$Z$3,0)),0)</f>
        <v>0</v>
      </c>
      <c r="AG339">
        <f>IFERROR(INDEX(UWS!$G$10:$Z$41,MATCH($C339,UWS!$B$10:$B$41,0),MATCH(AG$4,UWS!$G$3:$Z$3,0)),0)</f>
        <v>0</v>
      </c>
      <c r="AH339">
        <f>IFERROR(INDEX(UWS!$G$10:$Z$41,MATCH($C339,UWS!$B$10:$B$41,0),MATCH(AH$4,UWS!$G$3:$Z$3,0)),0)</f>
        <v>0</v>
      </c>
      <c r="AI339">
        <f>IFERROR(INDEX(UWS!$G$10:$Z$41,MATCH($C339,UWS!$B$10:$B$41,0),MATCH(AI$4,UWS!$G$3:$Z$3,0)),0)</f>
        <v>0</v>
      </c>
      <c r="AK339" t="e">
        <f>IF(OR($J339=0,COUNTIFS($A$4:$A338,"&gt;="&amp;$A339-1,$A$4:$A338,"&lt;="&amp;$A339,$B$4:$B338,$B339)&gt;0,MIN(AK$1,IF($A339=$A338,AK338,1))-P339&lt;0),-1,MIN(1,IF($A339=$A338,AK338,1)-P339+$D$3))</f>
        <v>#N/A</v>
      </c>
      <c r="AL339" t="e">
        <f>IF(OR($J339=0,COUNTIFS($A$4:$A338,"&gt;="&amp;$A339-1,$A$4:$A338,"&lt;="&amp;$A339,$B$4:$B338,$B339)&gt;0,MIN(AL$1,IF($A339=$A338,AL338,1))-Q339&lt;0),-1,MIN(1,IF($A339=$A338,AL338,1)-Q339+$D$3))</f>
        <v>#N/A</v>
      </c>
      <c r="AM339" t="e">
        <f>IF(OR($J339=0,COUNTIFS($A$4:$A338,"&gt;="&amp;$A339-1,$A$4:$A338,"&lt;="&amp;$A339,$B$4:$B338,$B339)&gt;0,MIN(AM$1,IF($A339=$A338,AM338,1))-R339&lt;0),-1,MIN(1,IF($A339=$A338,AM338,1)-R339+$D$3))</f>
        <v>#N/A</v>
      </c>
      <c r="AN339" t="e">
        <f>IF(OR($J339=0,COUNTIFS($A$4:$A338,"&gt;="&amp;$A339-1,$A$4:$A338,"&lt;="&amp;$A339,$B$4:$B338,$B339)&gt;0,MIN(AN$1,IF($A339=$A338,AN338,1))-S339&lt;0),-1,MIN(1,IF($A339=$A338,AN338,1)-S339+$D$3))</f>
        <v>#N/A</v>
      </c>
      <c r="AO339" t="e">
        <f>IF(OR($J339=0,COUNTIFS($A$4:$A338,"&gt;="&amp;$A339-1,$A$4:$A338,"&lt;="&amp;$A339,$B$4:$B338,$B339)&gt;0,MIN(AO$1,IF($A339=$A338,AO338,1))-T339&lt;0),-1,MIN(1,IF($A339=$A338,AO338,1)-T339+$D$3))</f>
        <v>#N/A</v>
      </c>
      <c r="AP339" t="e">
        <f>IF(OR($J339=0,COUNTIFS($A$4:$A338,"&gt;="&amp;$A339-1,$A$4:$A338,"&lt;="&amp;$A339,$B$4:$B338,$B339)&gt;0,MIN(AP$1,IF($A339=$A338,AP338,1))-U339&lt;0),-1,MIN(1,IF($A339=$A338,AP338,1)-U339+$D$3))</f>
        <v>#N/A</v>
      </c>
      <c r="AQ339" t="e">
        <f>IF(OR($J339=0,COUNTIFS($A$4:$A338,"&gt;="&amp;$A339-1,$A$4:$A338,"&lt;="&amp;$A339,$B$4:$B338,$B339)&gt;0,MIN(AQ$1,IF($A339=$A338,AQ338,1))-V339&lt;0),-1,MIN(1,IF($A339=$A338,AQ338,1)-V339+$D$3))</f>
        <v>#N/A</v>
      </c>
      <c r="AR339" t="e">
        <f>IF(OR($J339=0,COUNTIFS($A$4:$A338,"&gt;="&amp;$A339-1,$A$4:$A338,"&lt;="&amp;$A339,$B$4:$B338,$B339)&gt;0,MIN(AR$1,IF($A339=$A338,AR338,1))-W339&lt;0),-1,MIN(1,IF($A339=$A338,AR338,1)-W339+$D$3))</f>
        <v>#N/A</v>
      </c>
      <c r="AS339" t="e">
        <f>IF(OR($J339=0,COUNTIFS($A$4:$A338,"&gt;="&amp;$A339-1,$A$4:$A338,"&lt;="&amp;$A339,$B$4:$B338,$B339)&gt;0,MIN(AS$1,IF($A339=$A338,AS338,1))-X339&lt;0),-1,MIN(1,IF($A339=$A338,AS338,1)-X339+$D$3))</f>
        <v>#N/A</v>
      </c>
      <c r="AT339" t="e">
        <f>IF(OR($J339=0,COUNTIFS($A$4:$A338,"&gt;="&amp;$A339-1,$A$4:$A338,"&lt;="&amp;$A339,$B$4:$B338,$B339)&gt;0,MIN(AT$1,IF($A339=$A338,AT338,1))-Y339&lt;0),-1,MIN(1,IF($A339=$A338,AT338,1)-Y339+$D$3))</f>
        <v>#N/A</v>
      </c>
      <c r="AU339" t="e">
        <f>IF(OR($J339=0,COUNTIFS($A$4:$A338,"&gt;="&amp;$A339-1,$A$4:$A338,"&lt;="&amp;$A339,$B$4:$B338,$B339)&gt;0,MIN(AU$1,IF($A339=$A338,AU338,1))-Z339&lt;0),-1,MIN(1,IF($A339=$A338,AU338,1)-Z339+$D$3))</f>
        <v>#N/A</v>
      </c>
      <c r="AV339" t="e">
        <f>IF(OR($J339=0,COUNTIFS($A$4:$A338,"&gt;="&amp;$A339-1,$A$4:$A338,"&lt;="&amp;$A339,$B$4:$B338,$B339)&gt;0,MIN(AV$1,IF($A339=$A338,AV338,1))-AA339&lt;0),-1,MIN(1,IF($A339=$A338,AV338,1)-AA339+$D$3))</f>
        <v>#N/A</v>
      </c>
      <c r="AW339" t="e">
        <f>IF(OR($J339=0,COUNTIFS($A$4:$A338,"&gt;="&amp;$A339-1,$A$4:$A338,"&lt;="&amp;$A339,$B$4:$B338,$B339)&gt;0,MIN(AW$1,IF($A339=$A338,AW338,1))-AB339&lt;0),-1,MIN(1,IF($A339=$A338,AW338,1)-AB339+$D$3))</f>
        <v>#N/A</v>
      </c>
      <c r="AX339" t="e">
        <f>IF(OR($J339=0,COUNTIFS($A$4:$A338,"&gt;="&amp;$A339-1,$A$4:$A338,"&lt;="&amp;$A339,$B$4:$B338,$B339)&gt;0,MIN(AX$1,IF($A339=$A338,AX338,1))-AC339&lt;0),-1,MIN(1,IF($A339=$A338,AX338,1)-AC339+$D$3))</f>
        <v>#N/A</v>
      </c>
      <c r="AY339" t="e">
        <f>IF(OR($J339=0,COUNTIFS($A$4:$A338,"&gt;="&amp;$A339-1,$A$4:$A338,"&lt;="&amp;$A339,$B$4:$B338,$B339)&gt;0,MIN(AY$1,IF($A339=$A338,AY338,1))-AD339&lt;0),-1,MIN(1,IF($A339=$A338,AY338,1)-AD339+$D$3))</f>
        <v>#N/A</v>
      </c>
      <c r="AZ339" t="e">
        <f>IF(OR($J339=0,COUNTIFS($A$4:$A338,"&gt;="&amp;$A339-1,$A$4:$A338,"&lt;="&amp;$A339,$B$4:$B338,$B339)&gt;0,MIN(AZ$1,IF($A339=$A338,AZ338,1))-AE339&lt;0),-1,MIN(1,IF($A339=$A338,AZ338,1)-AE339+$D$3))</f>
        <v>#N/A</v>
      </c>
      <c r="BA339" t="e">
        <f>IF(OR($J339=0,COUNTIFS($A$4:$A338,"&gt;="&amp;$A339-1,$A$4:$A338,"&lt;="&amp;$A339,$B$4:$B338,$B339)&gt;0,MIN(BA$1,IF($A339=$A338,BA338,1))-AF339&lt;0),-1,MIN(1,IF($A339=$A338,BA338,1)-AF339+$D$3))</f>
        <v>#N/A</v>
      </c>
      <c r="BB339" t="e">
        <f>IF(OR($J339=0,COUNTIFS($A$4:$A338,"&gt;="&amp;$A339-1,$A$4:$A338,"&lt;="&amp;$A339,$B$4:$B338,$B339)&gt;0,MIN(BB$1,IF($A339=$A338,BB338,1))-AG339&lt;0),-1,MIN(1,IF($A339=$A338,BB338,1)-AG339+$D$3))</f>
        <v>#N/A</v>
      </c>
      <c r="BC339" t="e">
        <f>IF(OR($J339=0,COUNTIFS($A$4:$A338,"&gt;="&amp;$A339-1,$A$4:$A338,"&lt;="&amp;$A339,$B$4:$B338,$B339)&gt;0,MIN(BC$1,IF($A339=$A338,BC338,1))-AH339&lt;0),-1,MIN(1,IF($A339=$A338,BC338,1)-AH339+$D$3))</f>
        <v>#N/A</v>
      </c>
      <c r="BD339" t="e">
        <f>IF(OR($J339=0,COUNTIFS($A$4:$A338,"&gt;="&amp;$A339-1,$A$4:$A338,"&lt;="&amp;$A339,$B$4:$B338,$B339)&gt;0,MIN(BD$1,IF($A339=$A338,BD338,1))-AI339&lt;0),-1,MIN(1,IF($A339=$A338,BD338,1)-AI339+$D$3))</f>
        <v>#N/A</v>
      </c>
      <c r="BF339" s="44">
        <f t="shared" si="355"/>
        <v>7.306571954153548E-8</v>
      </c>
      <c r="BG339" s="44">
        <f t="shared" si="356"/>
        <v>1.7968922212954093E-7</v>
      </c>
      <c r="BH339" s="44">
        <f t="shared" si="357"/>
        <v>1.8416255122773917E-7</v>
      </c>
      <c r="BI339" s="44">
        <f t="shared" si="358"/>
        <v>1.7011506676046717E-7</v>
      </c>
      <c r="BJ339" s="44">
        <f t="shared" si="359"/>
        <v>1.7583007153408154E-7</v>
      </c>
      <c r="BK339" s="44">
        <f t="shared" si="360"/>
        <v>7.5507988530329763E-8</v>
      </c>
      <c r="BL339" s="44">
        <f t="shared" si="361"/>
        <v>4.0790603325531928E-8</v>
      </c>
      <c r="BM339" s="44">
        <f t="shared" si="362"/>
        <v>1.0376653153599145E-7</v>
      </c>
      <c r="BN339" s="44">
        <f t="shared" si="363"/>
        <v>1.0792527988161433E-7</v>
      </c>
      <c r="BO339" s="44">
        <f t="shared" si="364"/>
        <v>5.0577881446852327E-8</v>
      </c>
      <c r="BP339" s="44">
        <f t="shared" si="365"/>
        <v>1.7006699947980653E-7</v>
      </c>
      <c r="BQ339" s="44">
        <f t="shared" si="366"/>
        <v>4.5894043183545632E-8</v>
      </c>
      <c r="BR339" s="44">
        <f t="shared" si="367"/>
        <v>1.3558249204465281E-7</v>
      </c>
      <c r="BS339" s="44">
        <f t="shared" si="368"/>
        <v>7.3121437154785431E-8</v>
      </c>
      <c r="BT339" s="44">
        <f t="shared" si="369"/>
        <v>2.8936394413194413E-7</v>
      </c>
      <c r="BU339" s="44">
        <f t="shared" si="370"/>
        <v>2.7642963958471871E-7</v>
      </c>
      <c r="BV339" s="44">
        <f t="shared" si="371"/>
        <v>2.6547388038322476E-7</v>
      </c>
      <c r="BW339" s="44">
        <f t="shared" si="372"/>
        <v>1.7363452690902777E-7</v>
      </c>
      <c r="BX339" s="44">
        <f t="shared" si="373"/>
        <v>1.2827803540720696E-7</v>
      </c>
      <c r="BY339" s="44">
        <f t="shared" si="374"/>
        <v>1.1014143728312699E-7</v>
      </c>
      <c r="CA339" s="44" t="str">
        <f t="shared" si="375"/>
        <v/>
      </c>
      <c r="CB339" s="44" t="str">
        <f t="shared" si="376"/>
        <v/>
      </c>
      <c r="CC339" s="44" t="str">
        <f t="shared" si="377"/>
        <v/>
      </c>
      <c r="CD339" s="44" t="str">
        <f t="shared" si="378"/>
        <v/>
      </c>
      <c r="CE339" s="44" t="str">
        <f t="shared" si="379"/>
        <v/>
      </c>
      <c r="CF339" s="44" t="str">
        <f t="shared" si="380"/>
        <v/>
      </c>
      <c r="CG339" s="44" t="str">
        <f t="shared" si="381"/>
        <v/>
      </c>
      <c r="CH339" s="44" t="str">
        <f t="shared" si="382"/>
        <v/>
      </c>
      <c r="CI339" s="44" t="str">
        <f t="shared" si="383"/>
        <v/>
      </c>
      <c r="CJ339" s="44" t="str">
        <f t="shared" si="384"/>
        <v/>
      </c>
      <c r="CK339" s="44" t="str">
        <f t="shared" si="385"/>
        <v/>
      </c>
      <c r="CL339" s="44" t="str">
        <f t="shared" si="386"/>
        <v/>
      </c>
      <c r="CM339" s="44" t="str">
        <f t="shared" si="387"/>
        <v/>
      </c>
      <c r="CN339" s="44" t="str">
        <f t="shared" si="388"/>
        <v/>
      </c>
      <c r="CO339" s="44" t="str">
        <f t="shared" si="389"/>
        <v/>
      </c>
      <c r="CP339" s="44" t="str">
        <f t="shared" si="390"/>
        <v/>
      </c>
      <c r="CQ339" s="44" t="str">
        <f t="shared" si="391"/>
        <v/>
      </c>
      <c r="CR339" s="44" t="str">
        <f t="shared" si="392"/>
        <v/>
      </c>
      <c r="CS339" s="44" t="str">
        <f t="shared" si="393"/>
        <v/>
      </c>
      <c r="CT339" s="44" t="str">
        <f t="shared" si="394"/>
        <v/>
      </c>
      <c r="CV339" s="44">
        <f t="shared" si="395"/>
        <v>0</v>
      </c>
    </row>
    <row r="340" spans="1:100" x14ac:dyDescent="0.25">
      <c r="A340" s="49"/>
      <c r="B340" s="50"/>
      <c r="C340" s="51" t="str" cm="1">
        <f t="array" ref="C340">IF(B340="","",INDEX(UWS!$B$10:$B$41,B340))</f>
        <v/>
      </c>
      <c r="D340" s="45" t="str">
        <f t="shared" si="352"/>
        <v/>
      </c>
      <c r="E340" s="70" t="str">
        <f t="shared" si="353"/>
        <v/>
      </c>
      <c r="F340" s="52" cm="1">
        <f t="array" ref="F340">0.1+IFERROR(INDEX($F$5:$F339,SUMPRODUCT(MAX(ROW($C$5:$C339)*($C340=$C$5:$C339))-ROW($A$4)))*0.9^($A340-INDEX($A$5:A339,SUMPRODUCT(MAX(ROW($C$5:$C339)*($C340=$C$5:$C339))-ROW($A$4)))),0)</f>
        <v>27.500000000000121</v>
      </c>
      <c r="G340" s="56" t="e">
        <f>INDEX(UWS!$AB$10:$AB$41,MATCH(C340,UWS!$B$10:$B$41,0))</f>
        <v>#N/A</v>
      </c>
      <c r="H340" s="52" t="e">
        <f>INDEX(UWS!$C$10:$C$41,MATCH(C340,UWS!$B$10:$B$41,0))</f>
        <v>#N/A</v>
      </c>
      <c r="I340" s="46">
        <f t="shared" si="354"/>
        <v>5</v>
      </c>
      <c r="J340" s="46" t="e">
        <f>INDEX(UWS!$E$10:$E$41,MATCH(C340,UWS!$B$10:$B$41,0))</f>
        <v>#N/A</v>
      </c>
      <c r="K340" s="46"/>
      <c r="L340" s="109" t="str" cm="1">
        <f t="array" ref="L340">IF(K340="","",INDEX(UWS!$B$10:$B$41,K340))</f>
        <v/>
      </c>
      <c r="M340" s="46"/>
      <c r="N340" s="109" t="str" cm="1">
        <f t="array" ref="N340">IF(M340="","",INDEX(UWS!$B$10:$B$41,M340))</f>
        <v/>
      </c>
      <c r="O340" s="47"/>
      <c r="P340" s="47">
        <f>IFERROR(INDEX(UWS!$G$10:$Z$41,MATCH($C340,UWS!$B$10:$B$41,0),MATCH(P$4,UWS!$G$3:$Z$3,0)),0)</f>
        <v>0</v>
      </c>
      <c r="Q340" s="47">
        <f>IFERROR(INDEX(UWS!$G$10:$Z$41,MATCH($C340,UWS!$B$10:$B$41,0),MATCH(Q$4,UWS!$G$3:$Z$3,0)),0)</f>
        <v>0</v>
      </c>
      <c r="R340" s="47">
        <f>IFERROR(INDEX(UWS!$G$10:$Z$41,MATCH($C340,UWS!$B$10:$B$41,0),MATCH(R$4,UWS!$G$3:$Z$3,0)),0)</f>
        <v>0</v>
      </c>
      <c r="S340" s="47">
        <f>IFERROR(INDEX(UWS!$G$10:$Z$41,MATCH($C340,UWS!$B$10:$B$41,0),MATCH(S$4,UWS!$G$3:$Z$3,0)),0)</f>
        <v>0</v>
      </c>
      <c r="T340" s="47">
        <f>IFERROR(INDEX(UWS!$G$10:$Z$41,MATCH($C340,UWS!$B$10:$B$41,0),MATCH(T$4,UWS!$G$3:$Z$3,0)),0)</f>
        <v>0</v>
      </c>
      <c r="U340" s="47">
        <f>IFERROR(INDEX(UWS!$G$10:$Z$41,MATCH($C340,UWS!$B$10:$B$41,0),MATCH(U$4,UWS!$G$3:$Z$3,0)),0)</f>
        <v>0</v>
      </c>
      <c r="V340" s="47">
        <f>IFERROR(INDEX(UWS!$G$10:$Z$41,MATCH($C340,UWS!$B$10:$B$41,0),MATCH(V$4,UWS!$G$3:$Z$3,0)),0)</f>
        <v>0</v>
      </c>
      <c r="W340" s="47">
        <f>IFERROR(INDEX(UWS!$G$10:$Z$41,MATCH($C340,UWS!$B$10:$B$41,0),MATCH(W$4,UWS!$G$3:$Z$3,0)),0)</f>
        <v>0</v>
      </c>
      <c r="X340" s="47">
        <f>IFERROR(INDEX(UWS!$G$10:$Z$41,MATCH($C340,UWS!$B$10:$B$41,0),MATCH(X$4,UWS!$G$3:$Z$3,0)),0)</f>
        <v>0</v>
      </c>
      <c r="Y340" s="47">
        <f>IFERROR(INDEX(UWS!$G$10:$Z$41,MATCH($C340,UWS!$B$10:$B$41,0),MATCH(Y$4,UWS!$G$3:$Z$3,0)),0)</f>
        <v>0</v>
      </c>
      <c r="Z340" s="47">
        <f>IFERROR(INDEX(UWS!$G$10:$Z$41,MATCH($C340,UWS!$B$10:$B$41,0),MATCH(Z$4,UWS!$G$3:$Z$3,0)),0)</f>
        <v>0</v>
      </c>
      <c r="AA340" s="47">
        <f>IFERROR(INDEX(UWS!$G$10:$Z$41,MATCH($C340,UWS!$B$10:$B$41,0),MATCH(AA$4,UWS!$G$3:$Z$3,0)),0)</f>
        <v>0</v>
      </c>
      <c r="AB340" s="47">
        <f>IFERROR(INDEX(UWS!$G$10:$Z$41,MATCH($C340,UWS!$B$10:$B$41,0),MATCH(AB$4,UWS!$G$3:$Z$3,0)),0)</f>
        <v>0</v>
      </c>
      <c r="AC340" s="47">
        <f>IFERROR(INDEX(UWS!$G$10:$Z$41,MATCH($C340,UWS!$B$10:$B$41,0),MATCH(AC$4,UWS!$G$3:$Z$3,0)),0)</f>
        <v>0</v>
      </c>
      <c r="AD340" s="47">
        <f>IFERROR(INDEX(UWS!$G$10:$Z$41,MATCH($C340,UWS!$B$10:$B$41,0),MATCH(AD$4,UWS!$G$3:$Z$3,0)),0)</f>
        <v>0</v>
      </c>
      <c r="AE340" s="47">
        <f>IFERROR(INDEX(UWS!$G$10:$Z$41,MATCH($C340,UWS!$B$10:$B$41,0),MATCH(AE$4,UWS!$G$3:$Z$3,0)),0)</f>
        <v>0</v>
      </c>
      <c r="AF340" s="47">
        <f>IFERROR(INDEX(UWS!$G$10:$Z$41,MATCH($C340,UWS!$B$10:$B$41,0),MATCH(AF$4,UWS!$G$3:$Z$3,0)),0)</f>
        <v>0</v>
      </c>
      <c r="AG340" s="47">
        <f>IFERROR(INDEX(UWS!$G$10:$Z$41,MATCH($C340,UWS!$B$10:$B$41,0),MATCH(AG$4,UWS!$G$3:$Z$3,0)),0)</f>
        <v>0</v>
      </c>
      <c r="AH340" s="47">
        <f>IFERROR(INDEX(UWS!$G$10:$Z$41,MATCH($C340,UWS!$B$10:$B$41,0),MATCH(AH$4,UWS!$G$3:$Z$3,0)),0)</f>
        <v>0</v>
      </c>
      <c r="AI340" s="47">
        <f>IFERROR(INDEX(UWS!$G$10:$Z$41,MATCH($C340,UWS!$B$10:$B$41,0),MATCH(AI$4,UWS!$G$3:$Z$3,0)),0)</f>
        <v>0</v>
      </c>
      <c r="AJ340" s="47"/>
      <c r="AK340" s="47" t="e">
        <f>IF(OR($J340=0,COUNTIFS($A$4:$A339,"&gt;="&amp;$A340-1,$A$4:$A339,"&lt;="&amp;$A340,$B$4:$B339,$B340)&gt;0,MIN(AK$1,IF($A340=$A339,AK339,1))-P340&lt;0),-1,MIN(1,IF($A340=$A339,AK339,1)-P340+$D$3))</f>
        <v>#N/A</v>
      </c>
      <c r="AL340" s="47" t="e">
        <f>IF(OR($J340=0,COUNTIFS($A$4:$A339,"&gt;="&amp;$A340-1,$A$4:$A339,"&lt;="&amp;$A340,$B$4:$B339,$B340)&gt;0,MIN(AL$1,IF($A340=$A339,AL339,1))-Q340&lt;0),-1,MIN(1,IF($A340=$A339,AL339,1)-Q340+$D$3))</f>
        <v>#N/A</v>
      </c>
      <c r="AM340" s="47" t="e">
        <f>IF(OR($J340=0,COUNTIFS($A$4:$A339,"&gt;="&amp;$A340-1,$A$4:$A339,"&lt;="&amp;$A340,$B$4:$B339,$B340)&gt;0,MIN(AM$1,IF($A340=$A339,AM339,1))-R340&lt;0),-1,MIN(1,IF($A340=$A339,AM339,1)-R340+$D$3))</f>
        <v>#N/A</v>
      </c>
      <c r="AN340" s="47" t="e">
        <f>IF(OR($J340=0,COUNTIFS($A$4:$A339,"&gt;="&amp;$A340-1,$A$4:$A339,"&lt;="&amp;$A340,$B$4:$B339,$B340)&gt;0,MIN(AN$1,IF($A340=$A339,AN339,1))-S340&lt;0),-1,MIN(1,IF($A340=$A339,AN339,1)-S340+$D$3))</f>
        <v>#N/A</v>
      </c>
      <c r="AO340" s="47" t="e">
        <f>IF(OR($J340=0,COUNTIFS($A$4:$A339,"&gt;="&amp;$A340-1,$A$4:$A339,"&lt;="&amp;$A340,$B$4:$B339,$B340)&gt;0,MIN(AO$1,IF($A340=$A339,AO339,1))-T340&lt;0),-1,MIN(1,IF($A340=$A339,AO339,1)-T340+$D$3))</f>
        <v>#N/A</v>
      </c>
      <c r="AP340" s="47" t="e">
        <f>IF(OR($J340=0,COUNTIFS($A$4:$A339,"&gt;="&amp;$A340-1,$A$4:$A339,"&lt;="&amp;$A340,$B$4:$B339,$B340)&gt;0,MIN(AP$1,IF($A340=$A339,AP339,1))-U340&lt;0),-1,MIN(1,IF($A340=$A339,AP339,1)-U340+$D$3))</f>
        <v>#N/A</v>
      </c>
      <c r="AQ340" s="47" t="e">
        <f>IF(OR($J340=0,COUNTIFS($A$4:$A339,"&gt;="&amp;$A340-1,$A$4:$A339,"&lt;="&amp;$A340,$B$4:$B339,$B340)&gt;0,MIN(AQ$1,IF($A340=$A339,AQ339,1))-V340&lt;0),-1,MIN(1,IF($A340=$A339,AQ339,1)-V340+$D$3))</f>
        <v>#N/A</v>
      </c>
      <c r="AR340" s="47" t="e">
        <f>IF(OR($J340=0,COUNTIFS($A$4:$A339,"&gt;="&amp;$A340-1,$A$4:$A339,"&lt;="&amp;$A340,$B$4:$B339,$B340)&gt;0,MIN(AR$1,IF($A340=$A339,AR339,1))-W340&lt;0),-1,MIN(1,IF($A340=$A339,AR339,1)-W340+$D$3))</f>
        <v>#N/A</v>
      </c>
      <c r="AS340" s="47" t="e">
        <f>IF(OR($J340=0,COUNTIFS($A$4:$A339,"&gt;="&amp;$A340-1,$A$4:$A339,"&lt;="&amp;$A340,$B$4:$B339,$B340)&gt;0,MIN(AS$1,IF($A340=$A339,AS339,1))-X340&lt;0),-1,MIN(1,IF($A340=$A339,AS339,1)-X340+$D$3))</f>
        <v>#N/A</v>
      </c>
      <c r="AT340" s="47" t="e">
        <f>IF(OR($J340=0,COUNTIFS($A$4:$A339,"&gt;="&amp;$A340-1,$A$4:$A339,"&lt;="&amp;$A340,$B$4:$B339,$B340)&gt;0,MIN(AT$1,IF($A340=$A339,AT339,1))-Y340&lt;0),-1,MIN(1,IF($A340=$A339,AT339,1)-Y340+$D$3))</f>
        <v>#N/A</v>
      </c>
      <c r="AU340" s="47" t="e">
        <f>IF(OR($J340=0,COUNTIFS($A$4:$A339,"&gt;="&amp;$A340-1,$A$4:$A339,"&lt;="&amp;$A340,$B$4:$B339,$B340)&gt;0,MIN(AU$1,IF($A340=$A339,AU339,1))-Z340&lt;0),-1,MIN(1,IF($A340=$A339,AU339,1)-Z340+$D$3))</f>
        <v>#N/A</v>
      </c>
      <c r="AV340" s="47" t="e">
        <f>IF(OR($J340=0,COUNTIFS($A$4:$A339,"&gt;="&amp;$A340-1,$A$4:$A339,"&lt;="&amp;$A340,$B$4:$B339,$B340)&gt;0,MIN(AV$1,IF($A340=$A339,AV339,1))-AA340&lt;0),-1,MIN(1,IF($A340=$A339,AV339,1)-AA340+$D$3))</f>
        <v>#N/A</v>
      </c>
      <c r="AW340" s="47" t="e">
        <f>IF(OR($J340=0,COUNTIFS($A$4:$A339,"&gt;="&amp;$A340-1,$A$4:$A339,"&lt;="&amp;$A340,$B$4:$B339,$B340)&gt;0,MIN(AW$1,IF($A340=$A339,AW339,1))-AB340&lt;0),-1,MIN(1,IF($A340=$A339,AW339,1)-AB340+$D$3))</f>
        <v>#N/A</v>
      </c>
      <c r="AX340" s="47" t="e">
        <f>IF(OR($J340=0,COUNTIFS($A$4:$A339,"&gt;="&amp;$A340-1,$A$4:$A339,"&lt;="&amp;$A340,$B$4:$B339,$B340)&gt;0,MIN(AX$1,IF($A340=$A339,AX339,1))-AC340&lt;0),-1,MIN(1,IF($A340=$A339,AX339,1)-AC340+$D$3))</f>
        <v>#N/A</v>
      </c>
      <c r="AY340" s="47" t="e">
        <f>IF(OR($J340=0,COUNTIFS($A$4:$A339,"&gt;="&amp;$A340-1,$A$4:$A339,"&lt;="&amp;$A340,$B$4:$B339,$B340)&gt;0,MIN(AY$1,IF($A340=$A339,AY339,1))-AD340&lt;0),-1,MIN(1,IF($A340=$A339,AY339,1)-AD340+$D$3))</f>
        <v>#N/A</v>
      </c>
      <c r="AZ340" s="47" t="e">
        <f>IF(OR($J340=0,COUNTIFS($A$4:$A339,"&gt;="&amp;$A340-1,$A$4:$A339,"&lt;="&amp;$A340,$B$4:$B339,$B340)&gt;0,MIN(AZ$1,IF($A340=$A339,AZ339,1))-AE340&lt;0),-1,MIN(1,IF($A340=$A339,AZ339,1)-AE340+$D$3))</f>
        <v>#N/A</v>
      </c>
      <c r="BA340" s="47" t="e">
        <f>IF(OR($J340=0,COUNTIFS($A$4:$A339,"&gt;="&amp;$A340-1,$A$4:$A339,"&lt;="&amp;$A340,$B$4:$B339,$B340)&gt;0,MIN(BA$1,IF($A340=$A339,BA339,1))-AF340&lt;0),-1,MIN(1,IF($A340=$A339,BA339,1)-AF340+$D$3))</f>
        <v>#N/A</v>
      </c>
      <c r="BB340" s="47" t="e">
        <f>IF(OR($J340=0,COUNTIFS($A$4:$A339,"&gt;="&amp;$A340-1,$A$4:$A339,"&lt;="&amp;$A340,$B$4:$B339,$B340)&gt;0,MIN(BB$1,IF($A340=$A339,BB339,1))-AG340&lt;0),-1,MIN(1,IF($A340=$A339,BB339,1)-AG340+$D$3))</f>
        <v>#N/A</v>
      </c>
      <c r="BC340" s="47" t="e">
        <f>IF(OR($J340=0,COUNTIFS($A$4:$A339,"&gt;="&amp;$A340-1,$A$4:$A339,"&lt;="&amp;$A340,$B$4:$B339,$B340)&gt;0,MIN(BC$1,IF($A340=$A339,BC339,1))-AH340&lt;0),-1,MIN(1,IF($A340=$A339,BC339,1)-AH340+$D$3))</f>
        <v>#N/A</v>
      </c>
      <c r="BD340" s="47" t="e">
        <f>IF(OR($J340=0,COUNTIFS($A$4:$A339,"&gt;="&amp;$A340-1,$A$4:$A339,"&lt;="&amp;$A340,$B$4:$B339,$B340)&gt;0,MIN(BD$1,IF($A340=$A339,BD339,1))-AI340&lt;0),-1,MIN(1,IF($A340=$A339,BD339,1)-AI340+$D$3))</f>
        <v>#N/A</v>
      </c>
      <c r="BE340" s="47"/>
      <c r="BF340" s="53">
        <f t="shared" si="355"/>
        <v>6.9412433564458702E-8</v>
      </c>
      <c r="BG340" s="53">
        <f t="shared" si="356"/>
        <v>1.7070476102306389E-7</v>
      </c>
      <c r="BH340" s="53">
        <f t="shared" si="357"/>
        <v>1.7495442366635221E-7</v>
      </c>
      <c r="BI340" s="53">
        <f t="shared" si="358"/>
        <v>1.6160931342244381E-7</v>
      </c>
      <c r="BJ340" s="53">
        <f t="shared" si="359"/>
        <v>1.6703856795737745E-7</v>
      </c>
      <c r="BK340" s="53">
        <f t="shared" si="360"/>
        <v>7.1732589103813274E-8</v>
      </c>
      <c r="BL340" s="53">
        <f t="shared" si="361"/>
        <v>3.8751073159255331E-8</v>
      </c>
      <c r="BM340" s="53">
        <f t="shared" si="362"/>
        <v>9.8578204959191872E-8</v>
      </c>
      <c r="BN340" s="53">
        <f t="shared" si="363"/>
        <v>1.0252901588753361E-7</v>
      </c>
      <c r="BO340" s="53">
        <f t="shared" si="364"/>
        <v>4.804898737450971E-8</v>
      </c>
      <c r="BP340" s="53">
        <f t="shared" si="365"/>
        <v>1.6156364950581621E-7</v>
      </c>
      <c r="BQ340" s="53">
        <f t="shared" si="366"/>
        <v>4.3599341024368349E-8</v>
      </c>
      <c r="BR340" s="53">
        <f t="shared" si="367"/>
        <v>1.2880336744242016E-7</v>
      </c>
      <c r="BS340" s="53">
        <f t="shared" si="368"/>
        <v>6.9465365297046151E-8</v>
      </c>
      <c r="BT340" s="53">
        <f t="shared" si="369"/>
        <v>2.7489574692534689E-7</v>
      </c>
      <c r="BU340" s="53">
        <f t="shared" si="370"/>
        <v>2.6260815760548274E-7</v>
      </c>
      <c r="BV340" s="53">
        <f t="shared" si="371"/>
        <v>2.5220018636406353E-7</v>
      </c>
      <c r="BW340" s="53">
        <f t="shared" si="372"/>
        <v>1.6495280056357639E-7</v>
      </c>
      <c r="BX340" s="53">
        <f t="shared" si="373"/>
        <v>1.2186413363684661E-7</v>
      </c>
      <c r="BY340" s="53">
        <f t="shared" si="374"/>
        <v>1.0463436541897063E-7</v>
      </c>
      <c r="BZ340" s="47"/>
      <c r="CA340" s="53" t="str">
        <f t="shared" si="375"/>
        <v/>
      </c>
      <c r="CB340" s="53" t="str">
        <f t="shared" si="376"/>
        <v/>
      </c>
      <c r="CC340" s="53" t="str">
        <f t="shared" si="377"/>
        <v/>
      </c>
      <c r="CD340" s="53" t="str">
        <f t="shared" si="378"/>
        <v/>
      </c>
      <c r="CE340" s="53" t="str">
        <f t="shared" si="379"/>
        <v/>
      </c>
      <c r="CF340" s="53" t="str">
        <f t="shared" si="380"/>
        <v/>
      </c>
      <c r="CG340" s="53" t="str">
        <f t="shared" si="381"/>
        <v/>
      </c>
      <c r="CH340" s="53" t="str">
        <f t="shared" si="382"/>
        <v/>
      </c>
      <c r="CI340" s="53" t="str">
        <f t="shared" si="383"/>
        <v/>
      </c>
      <c r="CJ340" s="53" t="str">
        <f t="shared" si="384"/>
        <v/>
      </c>
      <c r="CK340" s="53" t="str">
        <f t="shared" si="385"/>
        <v/>
      </c>
      <c r="CL340" s="53" t="str">
        <f t="shared" si="386"/>
        <v/>
      </c>
      <c r="CM340" s="53" t="str">
        <f t="shared" si="387"/>
        <v/>
      </c>
      <c r="CN340" s="53" t="str">
        <f t="shared" si="388"/>
        <v/>
      </c>
      <c r="CO340" s="53" t="str">
        <f t="shared" si="389"/>
        <v/>
      </c>
      <c r="CP340" s="53" t="str">
        <f t="shared" si="390"/>
        <v/>
      </c>
      <c r="CQ340" s="53" t="str">
        <f t="shared" si="391"/>
        <v/>
      </c>
      <c r="CR340" s="53" t="str">
        <f t="shared" si="392"/>
        <v/>
      </c>
      <c r="CS340" s="53" t="str">
        <f t="shared" si="393"/>
        <v/>
      </c>
      <c r="CT340" s="53" t="str">
        <f t="shared" si="394"/>
        <v/>
      </c>
      <c r="CU340" s="47"/>
      <c r="CV340" s="53">
        <f t="shared" si="395"/>
        <v>0</v>
      </c>
    </row>
    <row r="341" spans="1:100" x14ac:dyDescent="0.25">
      <c r="A341" s="41"/>
      <c r="B341" s="42"/>
      <c r="C341" s="43" t="str" cm="1">
        <f t="array" ref="C341">IF(B341="","",INDEX(UWS!$B$10:$B$41,B341))</f>
        <v/>
      </c>
      <c r="D341" s="40" t="str">
        <f t="shared" si="352"/>
        <v/>
      </c>
      <c r="E341" s="69" t="str">
        <f t="shared" si="353"/>
        <v/>
      </c>
      <c r="F341" s="48" cm="1">
        <f t="array" ref="F341">0.1+IFERROR(INDEX($F$5:$F340,SUMPRODUCT(MAX(ROW($C$5:$C340)*($C341=$C$5:$C340))-ROW($A$4)))*0.9^($A341-INDEX($A$5:A340,SUMPRODUCT(MAX(ROW($C$5:$C340)*($C341=$C$5:$C340))-ROW($A$4)))),0)</f>
        <v>27.600000000000122</v>
      </c>
      <c r="G341" s="55" t="e">
        <f>INDEX(UWS!$AB$10:$AB$41,MATCH(C341,UWS!$B$10:$B$41,0))</f>
        <v>#N/A</v>
      </c>
      <c r="H341" s="48" t="e">
        <f>INDEX(UWS!$C$10:$C$41,MATCH(C341,UWS!$B$10:$B$41,0))</f>
        <v>#N/A</v>
      </c>
      <c r="I341" s="82">
        <f t="shared" si="354"/>
        <v>5</v>
      </c>
      <c r="J341" s="27" t="e">
        <f>INDEX(UWS!$E$10:$E$41,MATCH(C341,UWS!$B$10:$B$41,0))</f>
        <v>#N/A</v>
      </c>
      <c r="L341" s="108" t="str" cm="1">
        <f t="array" ref="L341">IF(K341="","",INDEX(UWS!$B$10:$B$41,K341))</f>
        <v/>
      </c>
      <c r="N341" s="108" t="str" cm="1">
        <f t="array" ref="N341">IF(M341="","",INDEX(UWS!$B$10:$B$41,M341))</f>
        <v/>
      </c>
      <c r="P341">
        <f>IFERROR(INDEX(UWS!$G$10:$Z$41,MATCH($C341,UWS!$B$10:$B$41,0),MATCH(P$4,UWS!$G$3:$Z$3,0)),0)</f>
        <v>0</v>
      </c>
      <c r="Q341">
        <f>IFERROR(INDEX(UWS!$G$10:$Z$41,MATCH($C341,UWS!$B$10:$B$41,0),MATCH(Q$4,UWS!$G$3:$Z$3,0)),0)</f>
        <v>0</v>
      </c>
      <c r="R341">
        <f>IFERROR(INDEX(UWS!$G$10:$Z$41,MATCH($C341,UWS!$B$10:$B$41,0),MATCH(R$4,UWS!$G$3:$Z$3,0)),0)</f>
        <v>0</v>
      </c>
      <c r="S341">
        <f>IFERROR(INDEX(UWS!$G$10:$Z$41,MATCH($C341,UWS!$B$10:$B$41,0),MATCH(S$4,UWS!$G$3:$Z$3,0)),0)</f>
        <v>0</v>
      </c>
      <c r="T341">
        <f>IFERROR(INDEX(UWS!$G$10:$Z$41,MATCH($C341,UWS!$B$10:$B$41,0),MATCH(T$4,UWS!$G$3:$Z$3,0)),0)</f>
        <v>0</v>
      </c>
      <c r="U341">
        <f>IFERROR(INDEX(UWS!$G$10:$Z$41,MATCH($C341,UWS!$B$10:$B$41,0),MATCH(U$4,UWS!$G$3:$Z$3,0)),0)</f>
        <v>0</v>
      </c>
      <c r="V341">
        <f>IFERROR(INDEX(UWS!$G$10:$Z$41,MATCH($C341,UWS!$B$10:$B$41,0),MATCH(V$4,UWS!$G$3:$Z$3,0)),0)</f>
        <v>0</v>
      </c>
      <c r="W341">
        <f>IFERROR(INDEX(UWS!$G$10:$Z$41,MATCH($C341,UWS!$B$10:$B$41,0),MATCH(W$4,UWS!$G$3:$Z$3,0)),0)</f>
        <v>0</v>
      </c>
      <c r="X341">
        <f>IFERROR(INDEX(UWS!$G$10:$Z$41,MATCH($C341,UWS!$B$10:$B$41,0),MATCH(X$4,UWS!$G$3:$Z$3,0)),0)</f>
        <v>0</v>
      </c>
      <c r="Y341">
        <f>IFERROR(INDEX(UWS!$G$10:$Z$41,MATCH($C341,UWS!$B$10:$B$41,0),MATCH(Y$4,UWS!$G$3:$Z$3,0)),0)</f>
        <v>0</v>
      </c>
      <c r="Z341">
        <f>IFERROR(INDEX(UWS!$G$10:$Z$41,MATCH($C341,UWS!$B$10:$B$41,0),MATCH(Z$4,UWS!$G$3:$Z$3,0)),0)</f>
        <v>0</v>
      </c>
      <c r="AA341">
        <f>IFERROR(INDEX(UWS!$G$10:$Z$41,MATCH($C341,UWS!$B$10:$B$41,0),MATCH(AA$4,UWS!$G$3:$Z$3,0)),0)</f>
        <v>0</v>
      </c>
      <c r="AB341">
        <f>IFERROR(INDEX(UWS!$G$10:$Z$41,MATCH($C341,UWS!$B$10:$B$41,0),MATCH(AB$4,UWS!$G$3:$Z$3,0)),0)</f>
        <v>0</v>
      </c>
      <c r="AC341">
        <f>IFERROR(INDEX(UWS!$G$10:$Z$41,MATCH($C341,UWS!$B$10:$B$41,0),MATCH(AC$4,UWS!$G$3:$Z$3,0)),0)</f>
        <v>0</v>
      </c>
      <c r="AD341">
        <f>IFERROR(INDEX(UWS!$G$10:$Z$41,MATCH($C341,UWS!$B$10:$B$41,0),MATCH(AD$4,UWS!$G$3:$Z$3,0)),0)</f>
        <v>0</v>
      </c>
      <c r="AE341">
        <f>IFERROR(INDEX(UWS!$G$10:$Z$41,MATCH($C341,UWS!$B$10:$B$41,0),MATCH(AE$4,UWS!$G$3:$Z$3,0)),0)</f>
        <v>0</v>
      </c>
      <c r="AF341">
        <f>IFERROR(INDEX(UWS!$G$10:$Z$41,MATCH($C341,UWS!$B$10:$B$41,0),MATCH(AF$4,UWS!$G$3:$Z$3,0)),0)</f>
        <v>0</v>
      </c>
      <c r="AG341">
        <f>IFERROR(INDEX(UWS!$G$10:$Z$41,MATCH($C341,UWS!$B$10:$B$41,0),MATCH(AG$4,UWS!$G$3:$Z$3,0)),0)</f>
        <v>0</v>
      </c>
      <c r="AH341">
        <f>IFERROR(INDEX(UWS!$G$10:$Z$41,MATCH($C341,UWS!$B$10:$B$41,0),MATCH(AH$4,UWS!$G$3:$Z$3,0)),0)</f>
        <v>0</v>
      </c>
      <c r="AI341">
        <f>IFERROR(INDEX(UWS!$G$10:$Z$41,MATCH($C341,UWS!$B$10:$B$41,0),MATCH(AI$4,UWS!$G$3:$Z$3,0)),0)</f>
        <v>0</v>
      </c>
      <c r="AK341" t="e">
        <f>IF(OR($J341=0,COUNTIFS($A$4:$A340,"&gt;="&amp;$A341-1,$A$4:$A340,"&lt;="&amp;$A341,$B$4:$B340,$B341)&gt;0,MIN(AK$1,IF($A341=$A340,AK340,1))-P341&lt;0),-1,MIN(1,IF($A341=$A340,AK340,1)-P341+$D$3))</f>
        <v>#N/A</v>
      </c>
      <c r="AL341" t="e">
        <f>IF(OR($J341=0,COUNTIFS($A$4:$A340,"&gt;="&amp;$A341-1,$A$4:$A340,"&lt;="&amp;$A341,$B$4:$B340,$B341)&gt;0,MIN(AL$1,IF($A341=$A340,AL340,1))-Q341&lt;0),-1,MIN(1,IF($A341=$A340,AL340,1)-Q341+$D$3))</f>
        <v>#N/A</v>
      </c>
      <c r="AM341" t="e">
        <f>IF(OR($J341=0,COUNTIFS($A$4:$A340,"&gt;="&amp;$A341-1,$A$4:$A340,"&lt;="&amp;$A341,$B$4:$B340,$B341)&gt;0,MIN(AM$1,IF($A341=$A340,AM340,1))-R341&lt;0),-1,MIN(1,IF($A341=$A340,AM340,1)-R341+$D$3))</f>
        <v>#N/A</v>
      </c>
      <c r="AN341" t="e">
        <f>IF(OR($J341=0,COUNTIFS($A$4:$A340,"&gt;="&amp;$A341-1,$A$4:$A340,"&lt;="&amp;$A341,$B$4:$B340,$B341)&gt;0,MIN(AN$1,IF($A341=$A340,AN340,1))-S341&lt;0),-1,MIN(1,IF($A341=$A340,AN340,1)-S341+$D$3))</f>
        <v>#N/A</v>
      </c>
      <c r="AO341" t="e">
        <f>IF(OR($J341=0,COUNTIFS($A$4:$A340,"&gt;="&amp;$A341-1,$A$4:$A340,"&lt;="&amp;$A341,$B$4:$B340,$B341)&gt;0,MIN(AO$1,IF($A341=$A340,AO340,1))-T341&lt;0),-1,MIN(1,IF($A341=$A340,AO340,1)-T341+$D$3))</f>
        <v>#N/A</v>
      </c>
      <c r="AP341" t="e">
        <f>IF(OR($J341=0,COUNTIFS($A$4:$A340,"&gt;="&amp;$A341-1,$A$4:$A340,"&lt;="&amp;$A341,$B$4:$B340,$B341)&gt;0,MIN(AP$1,IF($A341=$A340,AP340,1))-U341&lt;0),-1,MIN(1,IF($A341=$A340,AP340,1)-U341+$D$3))</f>
        <v>#N/A</v>
      </c>
      <c r="AQ341" t="e">
        <f>IF(OR($J341=0,COUNTIFS($A$4:$A340,"&gt;="&amp;$A341-1,$A$4:$A340,"&lt;="&amp;$A341,$B$4:$B340,$B341)&gt;0,MIN(AQ$1,IF($A341=$A340,AQ340,1))-V341&lt;0),-1,MIN(1,IF($A341=$A340,AQ340,1)-V341+$D$3))</f>
        <v>#N/A</v>
      </c>
      <c r="AR341" t="e">
        <f>IF(OR($J341=0,COUNTIFS($A$4:$A340,"&gt;="&amp;$A341-1,$A$4:$A340,"&lt;="&amp;$A341,$B$4:$B340,$B341)&gt;0,MIN(AR$1,IF($A341=$A340,AR340,1))-W341&lt;0),-1,MIN(1,IF($A341=$A340,AR340,1)-W341+$D$3))</f>
        <v>#N/A</v>
      </c>
      <c r="AS341" t="e">
        <f>IF(OR($J341=0,COUNTIFS($A$4:$A340,"&gt;="&amp;$A341-1,$A$4:$A340,"&lt;="&amp;$A341,$B$4:$B340,$B341)&gt;0,MIN(AS$1,IF($A341=$A340,AS340,1))-X341&lt;0),-1,MIN(1,IF($A341=$A340,AS340,1)-X341+$D$3))</f>
        <v>#N/A</v>
      </c>
      <c r="AT341" t="e">
        <f>IF(OR($J341=0,COUNTIFS($A$4:$A340,"&gt;="&amp;$A341-1,$A$4:$A340,"&lt;="&amp;$A341,$B$4:$B340,$B341)&gt;0,MIN(AT$1,IF($A341=$A340,AT340,1))-Y341&lt;0),-1,MIN(1,IF($A341=$A340,AT340,1)-Y341+$D$3))</f>
        <v>#N/A</v>
      </c>
      <c r="AU341" t="e">
        <f>IF(OR($J341=0,COUNTIFS($A$4:$A340,"&gt;="&amp;$A341-1,$A$4:$A340,"&lt;="&amp;$A341,$B$4:$B340,$B341)&gt;0,MIN(AU$1,IF($A341=$A340,AU340,1))-Z341&lt;0),-1,MIN(1,IF($A341=$A340,AU340,1)-Z341+$D$3))</f>
        <v>#N/A</v>
      </c>
      <c r="AV341" t="e">
        <f>IF(OR($J341=0,COUNTIFS($A$4:$A340,"&gt;="&amp;$A341-1,$A$4:$A340,"&lt;="&amp;$A341,$B$4:$B340,$B341)&gt;0,MIN(AV$1,IF($A341=$A340,AV340,1))-AA341&lt;0),-1,MIN(1,IF($A341=$A340,AV340,1)-AA341+$D$3))</f>
        <v>#N/A</v>
      </c>
      <c r="AW341" t="e">
        <f>IF(OR($J341=0,COUNTIFS($A$4:$A340,"&gt;="&amp;$A341-1,$A$4:$A340,"&lt;="&amp;$A341,$B$4:$B340,$B341)&gt;0,MIN(AW$1,IF($A341=$A340,AW340,1))-AB341&lt;0),-1,MIN(1,IF($A341=$A340,AW340,1)-AB341+$D$3))</f>
        <v>#N/A</v>
      </c>
      <c r="AX341" t="e">
        <f>IF(OR($J341=0,COUNTIFS($A$4:$A340,"&gt;="&amp;$A341-1,$A$4:$A340,"&lt;="&amp;$A341,$B$4:$B340,$B341)&gt;0,MIN(AX$1,IF($A341=$A340,AX340,1))-AC341&lt;0),-1,MIN(1,IF($A341=$A340,AX340,1)-AC341+$D$3))</f>
        <v>#N/A</v>
      </c>
      <c r="AY341" t="e">
        <f>IF(OR($J341=0,COUNTIFS($A$4:$A340,"&gt;="&amp;$A341-1,$A$4:$A340,"&lt;="&amp;$A341,$B$4:$B340,$B341)&gt;0,MIN(AY$1,IF($A341=$A340,AY340,1))-AD341&lt;0),-1,MIN(1,IF($A341=$A340,AY340,1)-AD341+$D$3))</f>
        <v>#N/A</v>
      </c>
      <c r="AZ341" t="e">
        <f>IF(OR($J341=0,COUNTIFS($A$4:$A340,"&gt;="&amp;$A341-1,$A$4:$A340,"&lt;="&amp;$A341,$B$4:$B340,$B341)&gt;0,MIN(AZ$1,IF($A341=$A340,AZ340,1))-AE341&lt;0),-1,MIN(1,IF($A341=$A340,AZ340,1)-AE341+$D$3))</f>
        <v>#N/A</v>
      </c>
      <c r="BA341" t="e">
        <f>IF(OR($J341=0,COUNTIFS($A$4:$A340,"&gt;="&amp;$A341-1,$A$4:$A340,"&lt;="&amp;$A341,$B$4:$B340,$B341)&gt;0,MIN(BA$1,IF($A341=$A340,BA340,1))-AF341&lt;0),-1,MIN(1,IF($A341=$A340,BA340,1)-AF341+$D$3))</f>
        <v>#N/A</v>
      </c>
      <c r="BB341" t="e">
        <f>IF(OR($J341=0,COUNTIFS($A$4:$A340,"&gt;="&amp;$A341-1,$A$4:$A340,"&lt;="&amp;$A341,$B$4:$B340,$B341)&gt;0,MIN(BB$1,IF($A341=$A340,BB340,1))-AG341&lt;0),-1,MIN(1,IF($A341=$A340,BB340,1)-AG341+$D$3))</f>
        <v>#N/A</v>
      </c>
      <c r="BC341" t="e">
        <f>IF(OR($J341=0,COUNTIFS($A$4:$A340,"&gt;="&amp;$A341-1,$A$4:$A340,"&lt;="&amp;$A341,$B$4:$B340,$B341)&gt;0,MIN(BC$1,IF($A341=$A340,BC340,1))-AH341&lt;0),-1,MIN(1,IF($A341=$A340,BC340,1)-AH341+$D$3))</f>
        <v>#N/A</v>
      </c>
      <c r="BD341" t="e">
        <f>IF(OR($J341=0,COUNTIFS($A$4:$A340,"&gt;="&amp;$A341-1,$A$4:$A340,"&lt;="&amp;$A341,$B$4:$B340,$B341)&gt;0,MIN(BD$1,IF($A341=$A340,BD340,1))-AI341&lt;0),-1,MIN(1,IF($A341=$A340,BD340,1)-AI341+$D$3))</f>
        <v>#N/A</v>
      </c>
      <c r="BF341" s="44">
        <f t="shared" si="355"/>
        <v>6.5941811886235761E-8</v>
      </c>
      <c r="BG341" s="44">
        <f t="shared" si="356"/>
        <v>1.6216952297191069E-7</v>
      </c>
      <c r="BH341" s="44">
        <f t="shared" si="357"/>
        <v>1.662067024830346E-7</v>
      </c>
      <c r="BI341" s="44">
        <f t="shared" si="358"/>
        <v>1.5352884775132161E-7</v>
      </c>
      <c r="BJ341" s="44">
        <f t="shared" si="359"/>
        <v>1.5868663955950858E-7</v>
      </c>
      <c r="BK341" s="44">
        <f t="shared" si="360"/>
        <v>6.8145959648622603E-8</v>
      </c>
      <c r="BL341" s="44">
        <f t="shared" si="361"/>
        <v>3.6813519501292564E-8</v>
      </c>
      <c r="BM341" s="44">
        <f t="shared" si="362"/>
        <v>9.3649294711232272E-8</v>
      </c>
      <c r="BN341" s="44">
        <f t="shared" si="363"/>
        <v>9.7402565093156921E-8</v>
      </c>
      <c r="BO341" s="44">
        <f t="shared" si="364"/>
        <v>4.5646538005784219E-8</v>
      </c>
      <c r="BP341" s="44">
        <f t="shared" si="365"/>
        <v>1.534854670305254E-7</v>
      </c>
      <c r="BQ341" s="44">
        <f t="shared" si="366"/>
        <v>4.1419373973149931E-8</v>
      </c>
      <c r="BR341" s="44">
        <f t="shared" si="367"/>
        <v>1.2236319907029913E-7</v>
      </c>
      <c r="BS341" s="44">
        <f t="shared" si="368"/>
        <v>6.5992097032193837E-8</v>
      </c>
      <c r="BT341" s="44">
        <f t="shared" si="369"/>
        <v>2.6115095957907954E-7</v>
      </c>
      <c r="BU341" s="44">
        <f t="shared" si="370"/>
        <v>2.4947774972520861E-7</v>
      </c>
      <c r="BV341" s="44">
        <f t="shared" si="371"/>
        <v>2.3959017704586032E-7</v>
      </c>
      <c r="BW341" s="44">
        <f t="shared" si="372"/>
        <v>1.5670516053539756E-7</v>
      </c>
      <c r="BX341" s="44">
        <f t="shared" si="373"/>
        <v>1.1577092695500427E-7</v>
      </c>
      <c r="BY341" s="44">
        <f t="shared" si="374"/>
        <v>9.9402647148022088E-8</v>
      </c>
      <c r="CA341" s="44" t="str">
        <f t="shared" si="375"/>
        <v/>
      </c>
      <c r="CB341" s="44" t="str">
        <f t="shared" si="376"/>
        <v/>
      </c>
      <c r="CC341" s="44" t="str">
        <f t="shared" si="377"/>
        <v/>
      </c>
      <c r="CD341" s="44" t="str">
        <f t="shared" si="378"/>
        <v/>
      </c>
      <c r="CE341" s="44" t="str">
        <f t="shared" si="379"/>
        <v/>
      </c>
      <c r="CF341" s="44" t="str">
        <f t="shared" si="380"/>
        <v/>
      </c>
      <c r="CG341" s="44" t="str">
        <f t="shared" si="381"/>
        <v/>
      </c>
      <c r="CH341" s="44" t="str">
        <f t="shared" si="382"/>
        <v/>
      </c>
      <c r="CI341" s="44" t="str">
        <f t="shared" si="383"/>
        <v/>
      </c>
      <c r="CJ341" s="44" t="str">
        <f t="shared" si="384"/>
        <v/>
      </c>
      <c r="CK341" s="44" t="str">
        <f t="shared" si="385"/>
        <v/>
      </c>
      <c r="CL341" s="44" t="str">
        <f t="shared" si="386"/>
        <v/>
      </c>
      <c r="CM341" s="44" t="str">
        <f t="shared" si="387"/>
        <v/>
      </c>
      <c r="CN341" s="44" t="str">
        <f t="shared" si="388"/>
        <v/>
      </c>
      <c r="CO341" s="44" t="str">
        <f t="shared" si="389"/>
        <v/>
      </c>
      <c r="CP341" s="44" t="str">
        <f t="shared" si="390"/>
        <v/>
      </c>
      <c r="CQ341" s="44" t="str">
        <f t="shared" si="391"/>
        <v/>
      </c>
      <c r="CR341" s="44" t="str">
        <f t="shared" si="392"/>
        <v/>
      </c>
      <c r="CS341" s="44" t="str">
        <f t="shared" si="393"/>
        <v/>
      </c>
      <c r="CT341" s="44" t="str">
        <f t="shared" si="394"/>
        <v/>
      </c>
      <c r="CV341" s="44">
        <f t="shared" si="395"/>
        <v>0</v>
      </c>
    </row>
    <row r="342" spans="1:100" x14ac:dyDescent="0.25">
      <c r="A342" s="41"/>
      <c r="B342" s="42"/>
      <c r="C342" s="43" t="str" cm="1">
        <f t="array" ref="C342">IF(B342="","",INDEX(UWS!$B$10:$B$41,B342))</f>
        <v/>
      </c>
      <c r="D342" s="40" t="str">
        <f t="shared" si="352"/>
        <v/>
      </c>
      <c r="E342" s="69" t="str">
        <f t="shared" si="353"/>
        <v/>
      </c>
      <c r="F342" s="48" cm="1">
        <f t="array" ref="F342">0.1+IFERROR(INDEX($F$5:$F341,SUMPRODUCT(MAX(ROW($C$5:$C341)*($C342=$C$5:$C341))-ROW($A$4)))*0.9^($A342-INDEX($A$5:A341,SUMPRODUCT(MAX(ROW($C$5:$C341)*($C342=$C$5:$C341))-ROW($A$4)))),0)</f>
        <v>27.700000000000124</v>
      </c>
      <c r="G342" s="55" t="e">
        <f>INDEX(UWS!$AB$10:$AB$41,MATCH(C342,UWS!$B$10:$B$41,0))</f>
        <v>#N/A</v>
      </c>
      <c r="H342" s="48" t="e">
        <f>INDEX(UWS!$C$10:$C$41,MATCH(C342,UWS!$B$10:$B$41,0))</f>
        <v>#N/A</v>
      </c>
      <c r="I342" s="27">
        <f t="shared" si="354"/>
        <v>5</v>
      </c>
      <c r="J342" s="27" t="e">
        <f>INDEX(UWS!$E$10:$E$41,MATCH(C342,UWS!$B$10:$B$41,0))</f>
        <v>#N/A</v>
      </c>
      <c r="L342" s="108" t="str" cm="1">
        <f t="array" ref="L342">IF(K342="","",INDEX(UWS!$B$10:$B$41,K342))</f>
        <v/>
      </c>
      <c r="N342" s="108" t="str" cm="1">
        <f t="array" ref="N342">IF(M342="","",INDEX(UWS!$B$10:$B$41,M342))</f>
        <v/>
      </c>
      <c r="P342">
        <f>IFERROR(INDEX(UWS!$G$10:$Z$41,MATCH($C342,UWS!$B$10:$B$41,0),MATCH(P$4,UWS!$G$3:$Z$3,0)),0)</f>
        <v>0</v>
      </c>
      <c r="Q342">
        <f>IFERROR(INDEX(UWS!$G$10:$Z$41,MATCH($C342,UWS!$B$10:$B$41,0),MATCH(Q$4,UWS!$G$3:$Z$3,0)),0)</f>
        <v>0</v>
      </c>
      <c r="R342">
        <f>IFERROR(INDEX(UWS!$G$10:$Z$41,MATCH($C342,UWS!$B$10:$B$41,0),MATCH(R$4,UWS!$G$3:$Z$3,0)),0)</f>
        <v>0</v>
      </c>
      <c r="S342">
        <f>IFERROR(INDEX(UWS!$G$10:$Z$41,MATCH($C342,UWS!$B$10:$B$41,0),MATCH(S$4,UWS!$G$3:$Z$3,0)),0)</f>
        <v>0</v>
      </c>
      <c r="T342">
        <f>IFERROR(INDEX(UWS!$G$10:$Z$41,MATCH($C342,UWS!$B$10:$B$41,0),MATCH(T$4,UWS!$G$3:$Z$3,0)),0)</f>
        <v>0</v>
      </c>
      <c r="U342">
        <f>IFERROR(INDEX(UWS!$G$10:$Z$41,MATCH($C342,UWS!$B$10:$B$41,0),MATCH(U$4,UWS!$G$3:$Z$3,0)),0)</f>
        <v>0</v>
      </c>
      <c r="V342">
        <f>IFERROR(INDEX(UWS!$G$10:$Z$41,MATCH($C342,UWS!$B$10:$B$41,0),MATCH(V$4,UWS!$G$3:$Z$3,0)),0)</f>
        <v>0</v>
      </c>
      <c r="W342">
        <f>IFERROR(INDEX(UWS!$G$10:$Z$41,MATCH($C342,UWS!$B$10:$B$41,0),MATCH(W$4,UWS!$G$3:$Z$3,0)),0)</f>
        <v>0</v>
      </c>
      <c r="X342">
        <f>IFERROR(INDEX(UWS!$G$10:$Z$41,MATCH($C342,UWS!$B$10:$B$41,0),MATCH(X$4,UWS!$G$3:$Z$3,0)),0)</f>
        <v>0</v>
      </c>
      <c r="Y342">
        <f>IFERROR(INDEX(UWS!$G$10:$Z$41,MATCH($C342,UWS!$B$10:$B$41,0),MATCH(Y$4,UWS!$G$3:$Z$3,0)),0)</f>
        <v>0</v>
      </c>
      <c r="Z342">
        <f>IFERROR(INDEX(UWS!$G$10:$Z$41,MATCH($C342,UWS!$B$10:$B$41,0),MATCH(Z$4,UWS!$G$3:$Z$3,0)),0)</f>
        <v>0</v>
      </c>
      <c r="AA342">
        <f>IFERROR(INDEX(UWS!$G$10:$Z$41,MATCH($C342,UWS!$B$10:$B$41,0),MATCH(AA$4,UWS!$G$3:$Z$3,0)),0)</f>
        <v>0</v>
      </c>
      <c r="AB342">
        <f>IFERROR(INDEX(UWS!$G$10:$Z$41,MATCH($C342,UWS!$B$10:$B$41,0),MATCH(AB$4,UWS!$G$3:$Z$3,0)),0)</f>
        <v>0</v>
      </c>
      <c r="AC342">
        <f>IFERROR(INDEX(UWS!$G$10:$Z$41,MATCH($C342,UWS!$B$10:$B$41,0),MATCH(AC$4,UWS!$G$3:$Z$3,0)),0)</f>
        <v>0</v>
      </c>
      <c r="AD342">
        <f>IFERROR(INDEX(UWS!$G$10:$Z$41,MATCH($C342,UWS!$B$10:$B$41,0),MATCH(AD$4,UWS!$G$3:$Z$3,0)),0)</f>
        <v>0</v>
      </c>
      <c r="AE342">
        <f>IFERROR(INDEX(UWS!$G$10:$Z$41,MATCH($C342,UWS!$B$10:$B$41,0),MATCH(AE$4,UWS!$G$3:$Z$3,0)),0)</f>
        <v>0</v>
      </c>
      <c r="AF342">
        <f>IFERROR(INDEX(UWS!$G$10:$Z$41,MATCH($C342,UWS!$B$10:$B$41,0),MATCH(AF$4,UWS!$G$3:$Z$3,0)),0)</f>
        <v>0</v>
      </c>
      <c r="AG342">
        <f>IFERROR(INDEX(UWS!$G$10:$Z$41,MATCH($C342,UWS!$B$10:$B$41,0),MATCH(AG$4,UWS!$G$3:$Z$3,0)),0)</f>
        <v>0</v>
      </c>
      <c r="AH342">
        <f>IFERROR(INDEX(UWS!$G$10:$Z$41,MATCH($C342,UWS!$B$10:$B$41,0),MATCH(AH$4,UWS!$G$3:$Z$3,0)),0)</f>
        <v>0</v>
      </c>
      <c r="AI342">
        <f>IFERROR(INDEX(UWS!$G$10:$Z$41,MATCH($C342,UWS!$B$10:$B$41,0),MATCH(AI$4,UWS!$G$3:$Z$3,0)),0)</f>
        <v>0</v>
      </c>
      <c r="AK342" t="e">
        <f>IF(OR($J342=0,COUNTIFS($A$4:$A341,"&gt;="&amp;$A342-1,$A$4:$A341,"&lt;="&amp;$A342,$B$4:$B341,$B342)&gt;0,MIN(AK$1,IF($A342=$A341,AK341,1))-P342&lt;0),-1,MIN(1,IF($A342=$A341,AK341,1)-P342+$D$3))</f>
        <v>#N/A</v>
      </c>
      <c r="AL342" t="e">
        <f>IF(OR($J342=0,COUNTIFS($A$4:$A341,"&gt;="&amp;$A342-1,$A$4:$A341,"&lt;="&amp;$A342,$B$4:$B341,$B342)&gt;0,MIN(AL$1,IF($A342=$A341,AL341,1))-Q342&lt;0),-1,MIN(1,IF($A342=$A341,AL341,1)-Q342+$D$3))</f>
        <v>#N/A</v>
      </c>
      <c r="AM342" t="e">
        <f>IF(OR($J342=0,COUNTIFS($A$4:$A341,"&gt;="&amp;$A342-1,$A$4:$A341,"&lt;="&amp;$A342,$B$4:$B341,$B342)&gt;0,MIN(AM$1,IF($A342=$A341,AM341,1))-R342&lt;0),-1,MIN(1,IF($A342=$A341,AM341,1)-R342+$D$3))</f>
        <v>#N/A</v>
      </c>
      <c r="AN342" t="e">
        <f>IF(OR($J342=0,COUNTIFS($A$4:$A341,"&gt;="&amp;$A342-1,$A$4:$A341,"&lt;="&amp;$A342,$B$4:$B341,$B342)&gt;0,MIN(AN$1,IF($A342=$A341,AN341,1))-S342&lt;0),-1,MIN(1,IF($A342=$A341,AN341,1)-S342+$D$3))</f>
        <v>#N/A</v>
      </c>
      <c r="AO342" t="e">
        <f>IF(OR($J342=0,COUNTIFS($A$4:$A341,"&gt;="&amp;$A342-1,$A$4:$A341,"&lt;="&amp;$A342,$B$4:$B341,$B342)&gt;0,MIN(AO$1,IF($A342=$A341,AO341,1))-T342&lt;0),-1,MIN(1,IF($A342=$A341,AO341,1)-T342+$D$3))</f>
        <v>#N/A</v>
      </c>
      <c r="AP342" t="e">
        <f>IF(OR($J342=0,COUNTIFS($A$4:$A341,"&gt;="&amp;$A342-1,$A$4:$A341,"&lt;="&amp;$A342,$B$4:$B341,$B342)&gt;0,MIN(AP$1,IF($A342=$A341,AP341,1))-U342&lt;0),-1,MIN(1,IF($A342=$A341,AP341,1)-U342+$D$3))</f>
        <v>#N/A</v>
      </c>
      <c r="AQ342" t="e">
        <f>IF(OR($J342=0,COUNTIFS($A$4:$A341,"&gt;="&amp;$A342-1,$A$4:$A341,"&lt;="&amp;$A342,$B$4:$B341,$B342)&gt;0,MIN(AQ$1,IF($A342=$A341,AQ341,1))-V342&lt;0),-1,MIN(1,IF($A342=$A341,AQ341,1)-V342+$D$3))</f>
        <v>#N/A</v>
      </c>
      <c r="AR342" t="e">
        <f>IF(OR($J342=0,COUNTIFS($A$4:$A341,"&gt;="&amp;$A342-1,$A$4:$A341,"&lt;="&amp;$A342,$B$4:$B341,$B342)&gt;0,MIN(AR$1,IF($A342=$A341,AR341,1))-W342&lt;0),-1,MIN(1,IF($A342=$A341,AR341,1)-W342+$D$3))</f>
        <v>#N/A</v>
      </c>
      <c r="AS342" t="e">
        <f>IF(OR($J342=0,COUNTIFS($A$4:$A341,"&gt;="&amp;$A342-1,$A$4:$A341,"&lt;="&amp;$A342,$B$4:$B341,$B342)&gt;0,MIN(AS$1,IF($A342=$A341,AS341,1))-X342&lt;0),-1,MIN(1,IF($A342=$A341,AS341,1)-X342+$D$3))</f>
        <v>#N/A</v>
      </c>
      <c r="AT342" t="e">
        <f>IF(OR($J342=0,COUNTIFS($A$4:$A341,"&gt;="&amp;$A342-1,$A$4:$A341,"&lt;="&amp;$A342,$B$4:$B341,$B342)&gt;0,MIN(AT$1,IF($A342=$A341,AT341,1))-Y342&lt;0),-1,MIN(1,IF($A342=$A341,AT341,1)-Y342+$D$3))</f>
        <v>#N/A</v>
      </c>
      <c r="AU342" t="e">
        <f>IF(OR($J342=0,COUNTIFS($A$4:$A341,"&gt;="&amp;$A342-1,$A$4:$A341,"&lt;="&amp;$A342,$B$4:$B341,$B342)&gt;0,MIN(AU$1,IF($A342=$A341,AU341,1))-Z342&lt;0),-1,MIN(1,IF($A342=$A341,AU341,1)-Z342+$D$3))</f>
        <v>#N/A</v>
      </c>
      <c r="AV342" t="e">
        <f>IF(OR($J342=0,COUNTIFS($A$4:$A341,"&gt;="&amp;$A342-1,$A$4:$A341,"&lt;="&amp;$A342,$B$4:$B341,$B342)&gt;0,MIN(AV$1,IF($A342=$A341,AV341,1))-AA342&lt;0),-1,MIN(1,IF($A342=$A341,AV341,1)-AA342+$D$3))</f>
        <v>#N/A</v>
      </c>
      <c r="AW342" t="e">
        <f>IF(OR($J342=0,COUNTIFS($A$4:$A341,"&gt;="&amp;$A342-1,$A$4:$A341,"&lt;="&amp;$A342,$B$4:$B341,$B342)&gt;0,MIN(AW$1,IF($A342=$A341,AW341,1))-AB342&lt;0),-1,MIN(1,IF($A342=$A341,AW341,1)-AB342+$D$3))</f>
        <v>#N/A</v>
      </c>
      <c r="AX342" t="e">
        <f>IF(OR($J342=0,COUNTIFS($A$4:$A341,"&gt;="&amp;$A342-1,$A$4:$A341,"&lt;="&amp;$A342,$B$4:$B341,$B342)&gt;0,MIN(AX$1,IF($A342=$A341,AX341,1))-AC342&lt;0),-1,MIN(1,IF($A342=$A341,AX341,1)-AC342+$D$3))</f>
        <v>#N/A</v>
      </c>
      <c r="AY342" t="e">
        <f>IF(OR($J342=0,COUNTIFS($A$4:$A341,"&gt;="&amp;$A342-1,$A$4:$A341,"&lt;="&amp;$A342,$B$4:$B341,$B342)&gt;0,MIN(AY$1,IF($A342=$A341,AY341,1))-AD342&lt;0),-1,MIN(1,IF($A342=$A341,AY341,1)-AD342+$D$3))</f>
        <v>#N/A</v>
      </c>
      <c r="AZ342" t="e">
        <f>IF(OR($J342=0,COUNTIFS($A$4:$A341,"&gt;="&amp;$A342-1,$A$4:$A341,"&lt;="&amp;$A342,$B$4:$B341,$B342)&gt;0,MIN(AZ$1,IF($A342=$A341,AZ341,1))-AE342&lt;0),-1,MIN(1,IF($A342=$A341,AZ341,1)-AE342+$D$3))</f>
        <v>#N/A</v>
      </c>
      <c r="BA342" t="e">
        <f>IF(OR($J342=0,COUNTIFS($A$4:$A341,"&gt;="&amp;$A342-1,$A$4:$A341,"&lt;="&amp;$A342,$B$4:$B341,$B342)&gt;0,MIN(BA$1,IF($A342=$A341,BA341,1))-AF342&lt;0),-1,MIN(1,IF($A342=$A341,BA341,1)-AF342+$D$3))</f>
        <v>#N/A</v>
      </c>
      <c r="BB342" t="e">
        <f>IF(OR($J342=0,COUNTIFS($A$4:$A341,"&gt;="&amp;$A342-1,$A$4:$A341,"&lt;="&amp;$A342,$B$4:$B341,$B342)&gt;0,MIN(BB$1,IF($A342=$A341,BB341,1))-AG342&lt;0),-1,MIN(1,IF($A342=$A341,BB341,1)-AG342+$D$3))</f>
        <v>#N/A</v>
      </c>
      <c r="BC342" t="e">
        <f>IF(OR($J342=0,COUNTIFS($A$4:$A341,"&gt;="&amp;$A342-1,$A$4:$A341,"&lt;="&amp;$A342,$B$4:$B341,$B342)&gt;0,MIN(BC$1,IF($A342=$A341,BC341,1))-AH342&lt;0),-1,MIN(1,IF($A342=$A341,BC341,1)-AH342+$D$3))</f>
        <v>#N/A</v>
      </c>
      <c r="BD342" t="e">
        <f>IF(OR($J342=0,COUNTIFS($A$4:$A341,"&gt;="&amp;$A342-1,$A$4:$A341,"&lt;="&amp;$A342,$B$4:$B341,$B342)&gt;0,MIN(BD$1,IF($A342=$A341,BD341,1))-AI342&lt;0),-1,MIN(1,IF($A342=$A341,BD341,1)-AI342+$D$3))</f>
        <v>#N/A</v>
      </c>
      <c r="BF342" s="44">
        <f t="shared" si="355"/>
        <v>6.2644721291923973E-8</v>
      </c>
      <c r="BG342" s="44">
        <f t="shared" si="356"/>
        <v>1.5406104682331515E-7</v>
      </c>
      <c r="BH342" s="44">
        <f t="shared" si="357"/>
        <v>1.5789636735888286E-7</v>
      </c>
      <c r="BI342" s="44">
        <f t="shared" si="358"/>
        <v>1.4585240536375553E-7</v>
      </c>
      <c r="BJ342" s="44">
        <f t="shared" si="359"/>
        <v>1.5075230758153314E-7</v>
      </c>
      <c r="BK342" s="44">
        <f t="shared" si="360"/>
        <v>6.4738661666191475E-8</v>
      </c>
      <c r="BL342" s="44">
        <f t="shared" si="361"/>
        <v>3.4972843526227931E-8</v>
      </c>
      <c r="BM342" s="44">
        <f t="shared" si="362"/>
        <v>8.8966829975670657E-8</v>
      </c>
      <c r="BN342" s="44">
        <f t="shared" si="363"/>
        <v>9.2532436838499068E-8</v>
      </c>
      <c r="BO342" s="44">
        <f t="shared" si="364"/>
        <v>4.3364211105495004E-8</v>
      </c>
      <c r="BP342" s="44">
        <f t="shared" si="365"/>
        <v>1.4581119367899913E-7</v>
      </c>
      <c r="BQ342" s="44">
        <f t="shared" si="366"/>
        <v>3.9348405274492431E-8</v>
      </c>
      <c r="BR342" s="44">
        <f t="shared" si="367"/>
        <v>1.1624503911678417E-7</v>
      </c>
      <c r="BS342" s="44">
        <f t="shared" si="368"/>
        <v>6.2692492180584143E-8</v>
      </c>
      <c r="BT342" s="44">
        <f t="shared" si="369"/>
        <v>2.4809341160012557E-7</v>
      </c>
      <c r="BU342" s="44">
        <f t="shared" si="370"/>
        <v>2.3700386223894818E-7</v>
      </c>
      <c r="BV342" s="44">
        <f t="shared" si="371"/>
        <v>2.276106681935673E-7</v>
      </c>
      <c r="BW342" s="44">
        <f t="shared" si="372"/>
        <v>1.4886990250862767E-7</v>
      </c>
      <c r="BX342" s="44">
        <f t="shared" si="373"/>
        <v>1.0998238060725405E-7</v>
      </c>
      <c r="BY342" s="44">
        <f t="shared" si="374"/>
        <v>9.4432514790620983E-8</v>
      </c>
      <c r="CA342" s="44" t="str">
        <f t="shared" si="375"/>
        <v/>
      </c>
      <c r="CB342" s="44" t="str">
        <f t="shared" si="376"/>
        <v/>
      </c>
      <c r="CC342" s="44" t="str">
        <f t="shared" si="377"/>
        <v/>
      </c>
      <c r="CD342" s="44" t="str">
        <f t="shared" si="378"/>
        <v/>
      </c>
      <c r="CE342" s="44" t="str">
        <f t="shared" si="379"/>
        <v/>
      </c>
      <c r="CF342" s="44" t="str">
        <f t="shared" si="380"/>
        <v/>
      </c>
      <c r="CG342" s="44" t="str">
        <f t="shared" si="381"/>
        <v/>
      </c>
      <c r="CH342" s="44" t="str">
        <f t="shared" si="382"/>
        <v/>
      </c>
      <c r="CI342" s="44" t="str">
        <f t="shared" si="383"/>
        <v/>
      </c>
      <c r="CJ342" s="44" t="str">
        <f t="shared" si="384"/>
        <v/>
      </c>
      <c r="CK342" s="44" t="str">
        <f t="shared" si="385"/>
        <v/>
      </c>
      <c r="CL342" s="44" t="str">
        <f t="shared" si="386"/>
        <v/>
      </c>
      <c r="CM342" s="44" t="str">
        <f t="shared" si="387"/>
        <v/>
      </c>
      <c r="CN342" s="44" t="str">
        <f t="shared" si="388"/>
        <v/>
      </c>
      <c r="CO342" s="44" t="str">
        <f t="shared" si="389"/>
        <v/>
      </c>
      <c r="CP342" s="44" t="str">
        <f t="shared" si="390"/>
        <v/>
      </c>
      <c r="CQ342" s="44" t="str">
        <f t="shared" si="391"/>
        <v/>
      </c>
      <c r="CR342" s="44" t="str">
        <f t="shared" si="392"/>
        <v/>
      </c>
      <c r="CS342" s="44" t="str">
        <f t="shared" si="393"/>
        <v/>
      </c>
      <c r="CT342" s="44" t="str">
        <f t="shared" si="394"/>
        <v/>
      </c>
      <c r="CV342" s="44">
        <f t="shared" si="395"/>
        <v>0</v>
      </c>
    </row>
    <row r="343" spans="1:100" x14ac:dyDescent="0.25">
      <c r="A343" s="41"/>
      <c r="B343" s="42"/>
      <c r="C343" s="43" t="str" cm="1">
        <f t="array" ref="C343">IF(B343="","",INDEX(UWS!$B$10:$B$41,B343))</f>
        <v/>
      </c>
      <c r="D343" s="40" t="str">
        <f t="shared" si="352"/>
        <v/>
      </c>
      <c r="E343" s="69" t="str">
        <f t="shared" si="353"/>
        <v/>
      </c>
      <c r="F343" s="48" cm="1">
        <f t="array" ref="F343">0.1+IFERROR(INDEX($F$5:$F342,SUMPRODUCT(MAX(ROW($C$5:$C342)*($C343=$C$5:$C342))-ROW($A$4)))*0.9^($A343-INDEX($A$5:A342,SUMPRODUCT(MAX(ROW($C$5:$C342)*($C343=$C$5:$C342))-ROW($A$4)))),0)</f>
        <v>27.800000000000125</v>
      </c>
      <c r="G343" s="55" t="e">
        <f>INDEX(UWS!$AB$10:$AB$41,MATCH(C343,UWS!$B$10:$B$41,0))</f>
        <v>#N/A</v>
      </c>
      <c r="H343" s="48" t="e">
        <f>INDEX(UWS!$C$10:$C$41,MATCH(C343,UWS!$B$10:$B$41,0))</f>
        <v>#N/A</v>
      </c>
      <c r="I343" s="27">
        <f t="shared" si="354"/>
        <v>5</v>
      </c>
      <c r="J343" s="27" t="e">
        <f>INDEX(UWS!$E$10:$E$41,MATCH(C343,UWS!$B$10:$B$41,0))</f>
        <v>#N/A</v>
      </c>
      <c r="L343" s="108" t="str" cm="1">
        <f t="array" ref="L343">IF(K343="","",INDEX(UWS!$B$10:$B$41,K343))</f>
        <v/>
      </c>
      <c r="N343" s="108" t="str" cm="1">
        <f t="array" ref="N343">IF(M343="","",INDEX(UWS!$B$10:$B$41,M343))</f>
        <v/>
      </c>
      <c r="P343">
        <f>IFERROR(INDEX(UWS!$G$10:$Z$41,MATCH($C343,UWS!$B$10:$B$41,0),MATCH(P$4,UWS!$G$3:$Z$3,0)),0)</f>
        <v>0</v>
      </c>
      <c r="Q343">
        <f>IFERROR(INDEX(UWS!$G$10:$Z$41,MATCH($C343,UWS!$B$10:$B$41,0),MATCH(Q$4,UWS!$G$3:$Z$3,0)),0)</f>
        <v>0</v>
      </c>
      <c r="R343">
        <f>IFERROR(INDEX(UWS!$G$10:$Z$41,MATCH($C343,UWS!$B$10:$B$41,0),MATCH(R$4,UWS!$G$3:$Z$3,0)),0)</f>
        <v>0</v>
      </c>
      <c r="S343">
        <f>IFERROR(INDEX(UWS!$G$10:$Z$41,MATCH($C343,UWS!$B$10:$B$41,0),MATCH(S$4,UWS!$G$3:$Z$3,0)),0)</f>
        <v>0</v>
      </c>
      <c r="T343">
        <f>IFERROR(INDEX(UWS!$G$10:$Z$41,MATCH($C343,UWS!$B$10:$B$41,0),MATCH(T$4,UWS!$G$3:$Z$3,0)),0)</f>
        <v>0</v>
      </c>
      <c r="U343">
        <f>IFERROR(INDEX(UWS!$G$10:$Z$41,MATCH($C343,UWS!$B$10:$B$41,0),MATCH(U$4,UWS!$G$3:$Z$3,0)),0)</f>
        <v>0</v>
      </c>
      <c r="V343">
        <f>IFERROR(INDEX(UWS!$G$10:$Z$41,MATCH($C343,UWS!$B$10:$B$41,0),MATCH(V$4,UWS!$G$3:$Z$3,0)),0)</f>
        <v>0</v>
      </c>
      <c r="W343">
        <f>IFERROR(INDEX(UWS!$G$10:$Z$41,MATCH($C343,UWS!$B$10:$B$41,0),MATCH(W$4,UWS!$G$3:$Z$3,0)),0)</f>
        <v>0</v>
      </c>
      <c r="X343">
        <f>IFERROR(INDEX(UWS!$G$10:$Z$41,MATCH($C343,UWS!$B$10:$B$41,0),MATCH(X$4,UWS!$G$3:$Z$3,0)),0)</f>
        <v>0</v>
      </c>
      <c r="Y343">
        <f>IFERROR(INDEX(UWS!$G$10:$Z$41,MATCH($C343,UWS!$B$10:$B$41,0),MATCH(Y$4,UWS!$G$3:$Z$3,0)),0)</f>
        <v>0</v>
      </c>
      <c r="Z343">
        <f>IFERROR(INDEX(UWS!$G$10:$Z$41,MATCH($C343,UWS!$B$10:$B$41,0),MATCH(Z$4,UWS!$G$3:$Z$3,0)),0)</f>
        <v>0</v>
      </c>
      <c r="AA343">
        <f>IFERROR(INDEX(UWS!$G$10:$Z$41,MATCH($C343,UWS!$B$10:$B$41,0),MATCH(AA$4,UWS!$G$3:$Z$3,0)),0)</f>
        <v>0</v>
      </c>
      <c r="AB343">
        <f>IFERROR(INDEX(UWS!$G$10:$Z$41,MATCH($C343,UWS!$B$10:$B$41,0),MATCH(AB$4,UWS!$G$3:$Z$3,0)),0)</f>
        <v>0</v>
      </c>
      <c r="AC343">
        <f>IFERROR(INDEX(UWS!$G$10:$Z$41,MATCH($C343,UWS!$B$10:$B$41,0),MATCH(AC$4,UWS!$G$3:$Z$3,0)),0)</f>
        <v>0</v>
      </c>
      <c r="AD343">
        <f>IFERROR(INDEX(UWS!$G$10:$Z$41,MATCH($C343,UWS!$B$10:$B$41,0),MATCH(AD$4,UWS!$G$3:$Z$3,0)),0)</f>
        <v>0</v>
      </c>
      <c r="AE343">
        <f>IFERROR(INDEX(UWS!$G$10:$Z$41,MATCH($C343,UWS!$B$10:$B$41,0),MATCH(AE$4,UWS!$G$3:$Z$3,0)),0)</f>
        <v>0</v>
      </c>
      <c r="AF343">
        <f>IFERROR(INDEX(UWS!$G$10:$Z$41,MATCH($C343,UWS!$B$10:$B$41,0),MATCH(AF$4,UWS!$G$3:$Z$3,0)),0)</f>
        <v>0</v>
      </c>
      <c r="AG343">
        <f>IFERROR(INDEX(UWS!$G$10:$Z$41,MATCH($C343,UWS!$B$10:$B$41,0),MATCH(AG$4,UWS!$G$3:$Z$3,0)),0)</f>
        <v>0</v>
      </c>
      <c r="AH343">
        <f>IFERROR(INDEX(UWS!$G$10:$Z$41,MATCH($C343,UWS!$B$10:$B$41,0),MATCH(AH$4,UWS!$G$3:$Z$3,0)),0)</f>
        <v>0</v>
      </c>
      <c r="AI343">
        <f>IFERROR(INDEX(UWS!$G$10:$Z$41,MATCH($C343,UWS!$B$10:$B$41,0),MATCH(AI$4,UWS!$G$3:$Z$3,0)),0)</f>
        <v>0</v>
      </c>
      <c r="AK343" t="e">
        <f>IF(OR($J343=0,COUNTIFS($A$4:$A342,"&gt;="&amp;$A343-1,$A$4:$A342,"&lt;="&amp;$A343,$B$4:$B342,$B343)&gt;0,MIN(AK$1,IF($A343=$A342,AK342,1))-P343&lt;0),-1,MIN(1,IF($A343=$A342,AK342,1)-P343+$D$3))</f>
        <v>#N/A</v>
      </c>
      <c r="AL343" t="e">
        <f>IF(OR($J343=0,COUNTIFS($A$4:$A342,"&gt;="&amp;$A343-1,$A$4:$A342,"&lt;="&amp;$A343,$B$4:$B342,$B343)&gt;0,MIN(AL$1,IF($A343=$A342,AL342,1))-Q343&lt;0),-1,MIN(1,IF($A343=$A342,AL342,1)-Q343+$D$3))</f>
        <v>#N/A</v>
      </c>
      <c r="AM343" t="e">
        <f>IF(OR($J343=0,COUNTIFS($A$4:$A342,"&gt;="&amp;$A343-1,$A$4:$A342,"&lt;="&amp;$A343,$B$4:$B342,$B343)&gt;0,MIN(AM$1,IF($A343=$A342,AM342,1))-R343&lt;0),-1,MIN(1,IF($A343=$A342,AM342,1)-R343+$D$3))</f>
        <v>#N/A</v>
      </c>
      <c r="AN343" t="e">
        <f>IF(OR($J343=0,COUNTIFS($A$4:$A342,"&gt;="&amp;$A343-1,$A$4:$A342,"&lt;="&amp;$A343,$B$4:$B342,$B343)&gt;0,MIN(AN$1,IF($A343=$A342,AN342,1))-S343&lt;0),-1,MIN(1,IF($A343=$A342,AN342,1)-S343+$D$3))</f>
        <v>#N/A</v>
      </c>
      <c r="AO343" t="e">
        <f>IF(OR($J343=0,COUNTIFS($A$4:$A342,"&gt;="&amp;$A343-1,$A$4:$A342,"&lt;="&amp;$A343,$B$4:$B342,$B343)&gt;0,MIN(AO$1,IF($A343=$A342,AO342,1))-T343&lt;0),-1,MIN(1,IF($A343=$A342,AO342,1)-T343+$D$3))</f>
        <v>#N/A</v>
      </c>
      <c r="AP343" t="e">
        <f>IF(OR($J343=0,COUNTIFS($A$4:$A342,"&gt;="&amp;$A343-1,$A$4:$A342,"&lt;="&amp;$A343,$B$4:$B342,$B343)&gt;0,MIN(AP$1,IF($A343=$A342,AP342,1))-U343&lt;0),-1,MIN(1,IF($A343=$A342,AP342,1)-U343+$D$3))</f>
        <v>#N/A</v>
      </c>
      <c r="AQ343" t="e">
        <f>IF(OR($J343=0,COUNTIFS($A$4:$A342,"&gt;="&amp;$A343-1,$A$4:$A342,"&lt;="&amp;$A343,$B$4:$B342,$B343)&gt;0,MIN(AQ$1,IF($A343=$A342,AQ342,1))-V343&lt;0),-1,MIN(1,IF($A343=$A342,AQ342,1)-V343+$D$3))</f>
        <v>#N/A</v>
      </c>
      <c r="AR343" t="e">
        <f>IF(OR($J343=0,COUNTIFS($A$4:$A342,"&gt;="&amp;$A343-1,$A$4:$A342,"&lt;="&amp;$A343,$B$4:$B342,$B343)&gt;0,MIN(AR$1,IF($A343=$A342,AR342,1))-W343&lt;0),-1,MIN(1,IF($A343=$A342,AR342,1)-W343+$D$3))</f>
        <v>#N/A</v>
      </c>
      <c r="AS343" t="e">
        <f>IF(OR($J343=0,COUNTIFS($A$4:$A342,"&gt;="&amp;$A343-1,$A$4:$A342,"&lt;="&amp;$A343,$B$4:$B342,$B343)&gt;0,MIN(AS$1,IF($A343=$A342,AS342,1))-X343&lt;0),-1,MIN(1,IF($A343=$A342,AS342,1)-X343+$D$3))</f>
        <v>#N/A</v>
      </c>
      <c r="AT343" t="e">
        <f>IF(OR($J343=0,COUNTIFS($A$4:$A342,"&gt;="&amp;$A343-1,$A$4:$A342,"&lt;="&amp;$A343,$B$4:$B342,$B343)&gt;0,MIN(AT$1,IF($A343=$A342,AT342,1))-Y343&lt;0),-1,MIN(1,IF($A343=$A342,AT342,1)-Y343+$D$3))</f>
        <v>#N/A</v>
      </c>
      <c r="AU343" t="e">
        <f>IF(OR($J343=0,COUNTIFS($A$4:$A342,"&gt;="&amp;$A343-1,$A$4:$A342,"&lt;="&amp;$A343,$B$4:$B342,$B343)&gt;0,MIN(AU$1,IF($A343=$A342,AU342,1))-Z343&lt;0),-1,MIN(1,IF($A343=$A342,AU342,1)-Z343+$D$3))</f>
        <v>#N/A</v>
      </c>
      <c r="AV343" t="e">
        <f>IF(OR($J343=0,COUNTIFS($A$4:$A342,"&gt;="&amp;$A343-1,$A$4:$A342,"&lt;="&amp;$A343,$B$4:$B342,$B343)&gt;0,MIN(AV$1,IF($A343=$A342,AV342,1))-AA343&lt;0),-1,MIN(1,IF($A343=$A342,AV342,1)-AA343+$D$3))</f>
        <v>#N/A</v>
      </c>
      <c r="AW343" t="e">
        <f>IF(OR($J343=0,COUNTIFS($A$4:$A342,"&gt;="&amp;$A343-1,$A$4:$A342,"&lt;="&amp;$A343,$B$4:$B342,$B343)&gt;0,MIN(AW$1,IF($A343=$A342,AW342,1))-AB343&lt;0),-1,MIN(1,IF($A343=$A342,AW342,1)-AB343+$D$3))</f>
        <v>#N/A</v>
      </c>
      <c r="AX343" t="e">
        <f>IF(OR($J343=0,COUNTIFS($A$4:$A342,"&gt;="&amp;$A343-1,$A$4:$A342,"&lt;="&amp;$A343,$B$4:$B342,$B343)&gt;0,MIN(AX$1,IF($A343=$A342,AX342,1))-AC343&lt;0),-1,MIN(1,IF($A343=$A342,AX342,1)-AC343+$D$3))</f>
        <v>#N/A</v>
      </c>
      <c r="AY343" t="e">
        <f>IF(OR($J343=0,COUNTIFS($A$4:$A342,"&gt;="&amp;$A343-1,$A$4:$A342,"&lt;="&amp;$A343,$B$4:$B342,$B343)&gt;0,MIN(AY$1,IF($A343=$A342,AY342,1))-AD343&lt;0),-1,MIN(1,IF($A343=$A342,AY342,1)-AD343+$D$3))</f>
        <v>#N/A</v>
      </c>
      <c r="AZ343" t="e">
        <f>IF(OR($J343=0,COUNTIFS($A$4:$A342,"&gt;="&amp;$A343-1,$A$4:$A342,"&lt;="&amp;$A343,$B$4:$B342,$B343)&gt;0,MIN(AZ$1,IF($A343=$A342,AZ342,1))-AE343&lt;0),-1,MIN(1,IF($A343=$A342,AZ342,1)-AE343+$D$3))</f>
        <v>#N/A</v>
      </c>
      <c r="BA343" t="e">
        <f>IF(OR($J343=0,COUNTIFS($A$4:$A342,"&gt;="&amp;$A343-1,$A$4:$A342,"&lt;="&amp;$A343,$B$4:$B342,$B343)&gt;0,MIN(BA$1,IF($A343=$A342,BA342,1))-AF343&lt;0),-1,MIN(1,IF($A343=$A342,BA342,1)-AF343+$D$3))</f>
        <v>#N/A</v>
      </c>
      <c r="BB343" t="e">
        <f>IF(OR($J343=0,COUNTIFS($A$4:$A342,"&gt;="&amp;$A343-1,$A$4:$A342,"&lt;="&amp;$A343,$B$4:$B342,$B343)&gt;0,MIN(BB$1,IF($A343=$A342,BB342,1))-AG343&lt;0),-1,MIN(1,IF($A343=$A342,BB342,1)-AG343+$D$3))</f>
        <v>#N/A</v>
      </c>
      <c r="BC343" t="e">
        <f>IF(OR($J343=0,COUNTIFS($A$4:$A342,"&gt;="&amp;$A343-1,$A$4:$A342,"&lt;="&amp;$A343,$B$4:$B342,$B343)&gt;0,MIN(BC$1,IF($A343=$A342,BC342,1))-AH343&lt;0),-1,MIN(1,IF($A343=$A342,BC342,1)-AH343+$D$3))</f>
        <v>#N/A</v>
      </c>
      <c r="BD343" t="e">
        <f>IF(OR($J343=0,COUNTIFS($A$4:$A342,"&gt;="&amp;$A343-1,$A$4:$A342,"&lt;="&amp;$A343,$B$4:$B342,$B343)&gt;0,MIN(BD$1,IF($A343=$A342,BD342,1))-AI343&lt;0),-1,MIN(1,IF($A343=$A342,BD342,1)-AI343+$D$3))</f>
        <v>#N/A</v>
      </c>
      <c r="BF343" s="44">
        <f t="shared" si="355"/>
        <v>5.9512485227327771E-8</v>
      </c>
      <c r="BG343" s="44">
        <f t="shared" si="356"/>
        <v>1.4635799448214939E-7</v>
      </c>
      <c r="BH343" s="44">
        <f t="shared" si="357"/>
        <v>1.5000154899093871E-7</v>
      </c>
      <c r="BI343" s="44">
        <f t="shared" si="358"/>
        <v>1.3855978509556774E-7</v>
      </c>
      <c r="BJ343" s="44">
        <f t="shared" si="359"/>
        <v>1.4321469220245649E-7</v>
      </c>
      <c r="BK343" s="44">
        <f t="shared" si="360"/>
        <v>6.1501728582881894E-8</v>
      </c>
      <c r="BL343" s="44">
        <f t="shared" si="361"/>
        <v>3.3224201349916532E-8</v>
      </c>
      <c r="BM343" s="44">
        <f t="shared" si="362"/>
        <v>8.4518488476887119E-8</v>
      </c>
      <c r="BN343" s="44">
        <f t="shared" si="363"/>
        <v>8.7905814996574106E-8</v>
      </c>
      <c r="BO343" s="44">
        <f t="shared" si="364"/>
        <v>4.1196000550220255E-8</v>
      </c>
      <c r="BP343" s="44">
        <f t="shared" si="365"/>
        <v>1.3852063399504917E-7</v>
      </c>
      <c r="BQ343" s="44">
        <f t="shared" si="366"/>
        <v>3.7380985010767808E-8</v>
      </c>
      <c r="BR343" s="44">
        <f t="shared" si="367"/>
        <v>1.1043278716094496E-7</v>
      </c>
      <c r="BS343" s="44">
        <f t="shared" si="368"/>
        <v>5.9557867571554933E-8</v>
      </c>
      <c r="BT343" s="44">
        <f t="shared" si="369"/>
        <v>2.3568874102011928E-7</v>
      </c>
      <c r="BU343" s="44">
        <f t="shared" si="370"/>
        <v>2.2515366912700075E-7</v>
      </c>
      <c r="BV343" s="44">
        <f t="shared" si="371"/>
        <v>2.1623013478388893E-7</v>
      </c>
      <c r="BW343" s="44">
        <f t="shared" si="372"/>
        <v>1.4142640738319628E-7</v>
      </c>
      <c r="BX343" s="44">
        <f t="shared" si="373"/>
        <v>1.0448326157689134E-7</v>
      </c>
      <c r="BY343" s="44">
        <f t="shared" si="374"/>
        <v>8.9710889051089927E-8</v>
      </c>
      <c r="CA343" s="44" t="str">
        <f t="shared" si="375"/>
        <v/>
      </c>
      <c r="CB343" s="44" t="str">
        <f t="shared" si="376"/>
        <v/>
      </c>
      <c r="CC343" s="44" t="str">
        <f t="shared" si="377"/>
        <v/>
      </c>
      <c r="CD343" s="44" t="str">
        <f t="shared" si="378"/>
        <v/>
      </c>
      <c r="CE343" s="44" t="str">
        <f t="shared" si="379"/>
        <v/>
      </c>
      <c r="CF343" s="44" t="str">
        <f t="shared" si="380"/>
        <v/>
      </c>
      <c r="CG343" s="44" t="str">
        <f t="shared" si="381"/>
        <v/>
      </c>
      <c r="CH343" s="44" t="str">
        <f t="shared" si="382"/>
        <v/>
      </c>
      <c r="CI343" s="44" t="str">
        <f t="shared" si="383"/>
        <v/>
      </c>
      <c r="CJ343" s="44" t="str">
        <f t="shared" si="384"/>
        <v/>
      </c>
      <c r="CK343" s="44" t="str">
        <f t="shared" si="385"/>
        <v/>
      </c>
      <c r="CL343" s="44" t="str">
        <f t="shared" si="386"/>
        <v/>
      </c>
      <c r="CM343" s="44" t="str">
        <f t="shared" si="387"/>
        <v/>
      </c>
      <c r="CN343" s="44" t="str">
        <f t="shared" si="388"/>
        <v/>
      </c>
      <c r="CO343" s="44" t="str">
        <f t="shared" si="389"/>
        <v/>
      </c>
      <c r="CP343" s="44" t="str">
        <f t="shared" si="390"/>
        <v/>
      </c>
      <c r="CQ343" s="44" t="str">
        <f t="shared" si="391"/>
        <v/>
      </c>
      <c r="CR343" s="44" t="str">
        <f t="shared" si="392"/>
        <v/>
      </c>
      <c r="CS343" s="44" t="str">
        <f t="shared" si="393"/>
        <v/>
      </c>
      <c r="CT343" s="44" t="str">
        <f t="shared" si="394"/>
        <v/>
      </c>
      <c r="CV343" s="44">
        <f t="shared" si="395"/>
        <v>0</v>
      </c>
    </row>
    <row r="344" spans="1:100" x14ac:dyDescent="0.25">
      <c r="A344" s="41"/>
      <c r="B344" s="42"/>
      <c r="C344" s="43" t="str" cm="1">
        <f t="array" ref="C344">IF(B344="","",INDEX(UWS!$B$10:$B$41,B344))</f>
        <v/>
      </c>
      <c r="D344" s="40" t="str">
        <f t="shared" si="352"/>
        <v/>
      </c>
      <c r="E344" s="69" t="str">
        <f t="shared" si="353"/>
        <v/>
      </c>
      <c r="F344" s="48" cm="1">
        <f t="array" ref="F344">0.1+IFERROR(INDEX($F$5:$F343,SUMPRODUCT(MAX(ROW($C$5:$C343)*($C344=$C$5:$C343))-ROW($A$4)))*0.9^($A344-INDEX($A$5:A343,SUMPRODUCT(MAX(ROW($C$5:$C343)*($C344=$C$5:$C343))-ROW($A$4)))),0)</f>
        <v>27.900000000000126</v>
      </c>
      <c r="G344" s="55" t="e">
        <f>INDEX(UWS!$AB$10:$AB$41,MATCH(C344,UWS!$B$10:$B$41,0))</f>
        <v>#N/A</v>
      </c>
      <c r="H344" s="48" t="e">
        <f>INDEX(UWS!$C$10:$C$41,MATCH(C344,UWS!$B$10:$B$41,0))</f>
        <v>#N/A</v>
      </c>
      <c r="I344" s="27">
        <f t="shared" si="354"/>
        <v>5</v>
      </c>
      <c r="J344" s="27" t="e">
        <f>INDEX(UWS!$E$10:$E$41,MATCH(C344,UWS!$B$10:$B$41,0))</f>
        <v>#N/A</v>
      </c>
      <c r="L344" s="108" t="str" cm="1">
        <f t="array" ref="L344">IF(K344="","",INDEX(UWS!$B$10:$B$41,K344))</f>
        <v/>
      </c>
      <c r="N344" s="108" t="str" cm="1">
        <f t="array" ref="N344">IF(M344="","",INDEX(UWS!$B$10:$B$41,M344))</f>
        <v/>
      </c>
      <c r="P344">
        <f>IFERROR(INDEX(UWS!$G$10:$Z$41,MATCH($C344,UWS!$B$10:$B$41,0),MATCH(P$4,UWS!$G$3:$Z$3,0)),0)</f>
        <v>0</v>
      </c>
      <c r="Q344">
        <f>IFERROR(INDEX(UWS!$G$10:$Z$41,MATCH($C344,UWS!$B$10:$B$41,0),MATCH(Q$4,UWS!$G$3:$Z$3,0)),0)</f>
        <v>0</v>
      </c>
      <c r="R344">
        <f>IFERROR(INDEX(UWS!$G$10:$Z$41,MATCH($C344,UWS!$B$10:$B$41,0),MATCH(R$4,UWS!$G$3:$Z$3,0)),0)</f>
        <v>0</v>
      </c>
      <c r="S344">
        <f>IFERROR(INDEX(UWS!$G$10:$Z$41,MATCH($C344,UWS!$B$10:$B$41,0),MATCH(S$4,UWS!$G$3:$Z$3,0)),0)</f>
        <v>0</v>
      </c>
      <c r="T344">
        <f>IFERROR(INDEX(UWS!$G$10:$Z$41,MATCH($C344,UWS!$B$10:$B$41,0),MATCH(T$4,UWS!$G$3:$Z$3,0)),0)</f>
        <v>0</v>
      </c>
      <c r="U344">
        <f>IFERROR(INDEX(UWS!$G$10:$Z$41,MATCH($C344,UWS!$B$10:$B$41,0),MATCH(U$4,UWS!$G$3:$Z$3,0)),0)</f>
        <v>0</v>
      </c>
      <c r="V344">
        <f>IFERROR(INDEX(UWS!$G$10:$Z$41,MATCH($C344,UWS!$B$10:$B$41,0),MATCH(V$4,UWS!$G$3:$Z$3,0)),0)</f>
        <v>0</v>
      </c>
      <c r="W344">
        <f>IFERROR(INDEX(UWS!$G$10:$Z$41,MATCH($C344,UWS!$B$10:$B$41,0),MATCH(W$4,UWS!$G$3:$Z$3,0)),0)</f>
        <v>0</v>
      </c>
      <c r="X344">
        <f>IFERROR(INDEX(UWS!$G$10:$Z$41,MATCH($C344,UWS!$B$10:$B$41,0),MATCH(X$4,UWS!$G$3:$Z$3,0)),0)</f>
        <v>0</v>
      </c>
      <c r="Y344">
        <f>IFERROR(INDEX(UWS!$G$10:$Z$41,MATCH($C344,UWS!$B$10:$B$41,0),MATCH(Y$4,UWS!$G$3:$Z$3,0)),0)</f>
        <v>0</v>
      </c>
      <c r="Z344">
        <f>IFERROR(INDEX(UWS!$G$10:$Z$41,MATCH($C344,UWS!$B$10:$B$41,0),MATCH(Z$4,UWS!$G$3:$Z$3,0)),0)</f>
        <v>0</v>
      </c>
      <c r="AA344">
        <f>IFERROR(INDEX(UWS!$G$10:$Z$41,MATCH($C344,UWS!$B$10:$B$41,0),MATCH(AA$4,UWS!$G$3:$Z$3,0)),0)</f>
        <v>0</v>
      </c>
      <c r="AB344">
        <f>IFERROR(INDEX(UWS!$G$10:$Z$41,MATCH($C344,UWS!$B$10:$B$41,0),MATCH(AB$4,UWS!$G$3:$Z$3,0)),0)</f>
        <v>0</v>
      </c>
      <c r="AC344">
        <f>IFERROR(INDEX(UWS!$G$10:$Z$41,MATCH($C344,UWS!$B$10:$B$41,0),MATCH(AC$4,UWS!$G$3:$Z$3,0)),0)</f>
        <v>0</v>
      </c>
      <c r="AD344">
        <f>IFERROR(INDEX(UWS!$G$10:$Z$41,MATCH($C344,UWS!$B$10:$B$41,0),MATCH(AD$4,UWS!$G$3:$Z$3,0)),0)</f>
        <v>0</v>
      </c>
      <c r="AE344">
        <f>IFERROR(INDEX(UWS!$G$10:$Z$41,MATCH($C344,UWS!$B$10:$B$41,0),MATCH(AE$4,UWS!$G$3:$Z$3,0)),0)</f>
        <v>0</v>
      </c>
      <c r="AF344">
        <f>IFERROR(INDEX(UWS!$G$10:$Z$41,MATCH($C344,UWS!$B$10:$B$41,0),MATCH(AF$4,UWS!$G$3:$Z$3,0)),0)</f>
        <v>0</v>
      </c>
      <c r="AG344">
        <f>IFERROR(INDEX(UWS!$G$10:$Z$41,MATCH($C344,UWS!$B$10:$B$41,0),MATCH(AG$4,UWS!$G$3:$Z$3,0)),0)</f>
        <v>0</v>
      </c>
      <c r="AH344">
        <f>IFERROR(INDEX(UWS!$G$10:$Z$41,MATCH($C344,UWS!$B$10:$B$41,0),MATCH(AH$4,UWS!$G$3:$Z$3,0)),0)</f>
        <v>0</v>
      </c>
      <c r="AI344">
        <f>IFERROR(INDEX(UWS!$G$10:$Z$41,MATCH($C344,UWS!$B$10:$B$41,0),MATCH(AI$4,UWS!$G$3:$Z$3,0)),0)</f>
        <v>0</v>
      </c>
      <c r="AK344" t="e">
        <f>IF(OR($J344=0,COUNTIFS($A$4:$A343,"&gt;="&amp;$A344-1,$A$4:$A343,"&lt;="&amp;$A344,$B$4:$B343,$B344)&gt;0,MIN(AK$1,IF($A344=$A343,AK343,1))-P344&lt;0),-1,MIN(1,IF($A344=$A343,AK343,1)-P344+$D$3))</f>
        <v>#N/A</v>
      </c>
      <c r="AL344" t="e">
        <f>IF(OR($J344=0,COUNTIFS($A$4:$A343,"&gt;="&amp;$A344-1,$A$4:$A343,"&lt;="&amp;$A344,$B$4:$B343,$B344)&gt;0,MIN(AL$1,IF($A344=$A343,AL343,1))-Q344&lt;0),-1,MIN(1,IF($A344=$A343,AL343,1)-Q344+$D$3))</f>
        <v>#N/A</v>
      </c>
      <c r="AM344" t="e">
        <f>IF(OR($J344=0,COUNTIFS($A$4:$A343,"&gt;="&amp;$A344-1,$A$4:$A343,"&lt;="&amp;$A344,$B$4:$B343,$B344)&gt;0,MIN(AM$1,IF($A344=$A343,AM343,1))-R344&lt;0),-1,MIN(1,IF($A344=$A343,AM343,1)-R344+$D$3))</f>
        <v>#N/A</v>
      </c>
      <c r="AN344" t="e">
        <f>IF(OR($J344=0,COUNTIFS($A$4:$A343,"&gt;="&amp;$A344-1,$A$4:$A343,"&lt;="&amp;$A344,$B$4:$B343,$B344)&gt;0,MIN(AN$1,IF($A344=$A343,AN343,1))-S344&lt;0),-1,MIN(1,IF($A344=$A343,AN343,1)-S344+$D$3))</f>
        <v>#N/A</v>
      </c>
      <c r="AO344" t="e">
        <f>IF(OR($J344=0,COUNTIFS($A$4:$A343,"&gt;="&amp;$A344-1,$A$4:$A343,"&lt;="&amp;$A344,$B$4:$B343,$B344)&gt;0,MIN(AO$1,IF($A344=$A343,AO343,1))-T344&lt;0),-1,MIN(1,IF($A344=$A343,AO343,1)-T344+$D$3))</f>
        <v>#N/A</v>
      </c>
      <c r="AP344" t="e">
        <f>IF(OR($J344=0,COUNTIFS($A$4:$A343,"&gt;="&amp;$A344-1,$A$4:$A343,"&lt;="&amp;$A344,$B$4:$B343,$B344)&gt;0,MIN(AP$1,IF($A344=$A343,AP343,1))-U344&lt;0),-1,MIN(1,IF($A344=$A343,AP343,1)-U344+$D$3))</f>
        <v>#N/A</v>
      </c>
      <c r="AQ344" t="e">
        <f>IF(OR($J344=0,COUNTIFS($A$4:$A343,"&gt;="&amp;$A344-1,$A$4:$A343,"&lt;="&amp;$A344,$B$4:$B343,$B344)&gt;0,MIN(AQ$1,IF($A344=$A343,AQ343,1))-V344&lt;0),-1,MIN(1,IF($A344=$A343,AQ343,1)-V344+$D$3))</f>
        <v>#N/A</v>
      </c>
      <c r="AR344" t="e">
        <f>IF(OR($J344=0,COUNTIFS($A$4:$A343,"&gt;="&amp;$A344-1,$A$4:$A343,"&lt;="&amp;$A344,$B$4:$B343,$B344)&gt;0,MIN(AR$1,IF($A344=$A343,AR343,1))-W344&lt;0),-1,MIN(1,IF($A344=$A343,AR343,1)-W344+$D$3))</f>
        <v>#N/A</v>
      </c>
      <c r="AS344" t="e">
        <f>IF(OR($J344=0,COUNTIFS($A$4:$A343,"&gt;="&amp;$A344-1,$A$4:$A343,"&lt;="&amp;$A344,$B$4:$B343,$B344)&gt;0,MIN(AS$1,IF($A344=$A343,AS343,1))-X344&lt;0),-1,MIN(1,IF($A344=$A343,AS343,1)-X344+$D$3))</f>
        <v>#N/A</v>
      </c>
      <c r="AT344" t="e">
        <f>IF(OR($J344=0,COUNTIFS($A$4:$A343,"&gt;="&amp;$A344-1,$A$4:$A343,"&lt;="&amp;$A344,$B$4:$B343,$B344)&gt;0,MIN(AT$1,IF($A344=$A343,AT343,1))-Y344&lt;0),-1,MIN(1,IF($A344=$A343,AT343,1)-Y344+$D$3))</f>
        <v>#N/A</v>
      </c>
      <c r="AU344" t="e">
        <f>IF(OR($J344=0,COUNTIFS($A$4:$A343,"&gt;="&amp;$A344-1,$A$4:$A343,"&lt;="&amp;$A344,$B$4:$B343,$B344)&gt;0,MIN(AU$1,IF($A344=$A343,AU343,1))-Z344&lt;0),-1,MIN(1,IF($A344=$A343,AU343,1)-Z344+$D$3))</f>
        <v>#N/A</v>
      </c>
      <c r="AV344" t="e">
        <f>IF(OR($J344=0,COUNTIFS($A$4:$A343,"&gt;="&amp;$A344-1,$A$4:$A343,"&lt;="&amp;$A344,$B$4:$B343,$B344)&gt;0,MIN(AV$1,IF($A344=$A343,AV343,1))-AA344&lt;0),-1,MIN(1,IF($A344=$A343,AV343,1)-AA344+$D$3))</f>
        <v>#N/A</v>
      </c>
      <c r="AW344" t="e">
        <f>IF(OR($J344=0,COUNTIFS($A$4:$A343,"&gt;="&amp;$A344-1,$A$4:$A343,"&lt;="&amp;$A344,$B$4:$B343,$B344)&gt;0,MIN(AW$1,IF($A344=$A343,AW343,1))-AB344&lt;0),-1,MIN(1,IF($A344=$A343,AW343,1)-AB344+$D$3))</f>
        <v>#N/A</v>
      </c>
      <c r="AX344" t="e">
        <f>IF(OR($J344=0,COUNTIFS($A$4:$A343,"&gt;="&amp;$A344-1,$A$4:$A343,"&lt;="&amp;$A344,$B$4:$B343,$B344)&gt;0,MIN(AX$1,IF($A344=$A343,AX343,1))-AC344&lt;0),-1,MIN(1,IF($A344=$A343,AX343,1)-AC344+$D$3))</f>
        <v>#N/A</v>
      </c>
      <c r="AY344" t="e">
        <f>IF(OR($J344=0,COUNTIFS($A$4:$A343,"&gt;="&amp;$A344-1,$A$4:$A343,"&lt;="&amp;$A344,$B$4:$B343,$B344)&gt;0,MIN(AY$1,IF($A344=$A343,AY343,1))-AD344&lt;0),-1,MIN(1,IF($A344=$A343,AY343,1)-AD344+$D$3))</f>
        <v>#N/A</v>
      </c>
      <c r="AZ344" t="e">
        <f>IF(OR($J344=0,COUNTIFS($A$4:$A343,"&gt;="&amp;$A344-1,$A$4:$A343,"&lt;="&amp;$A344,$B$4:$B343,$B344)&gt;0,MIN(AZ$1,IF($A344=$A343,AZ343,1))-AE344&lt;0),-1,MIN(1,IF($A344=$A343,AZ343,1)-AE344+$D$3))</f>
        <v>#N/A</v>
      </c>
      <c r="BA344" t="e">
        <f>IF(OR($J344=0,COUNTIFS($A$4:$A343,"&gt;="&amp;$A344-1,$A$4:$A343,"&lt;="&amp;$A344,$B$4:$B343,$B344)&gt;0,MIN(BA$1,IF($A344=$A343,BA343,1))-AF344&lt;0),-1,MIN(1,IF($A344=$A343,BA343,1)-AF344+$D$3))</f>
        <v>#N/A</v>
      </c>
      <c r="BB344" t="e">
        <f>IF(OR($J344=0,COUNTIFS($A$4:$A343,"&gt;="&amp;$A344-1,$A$4:$A343,"&lt;="&amp;$A344,$B$4:$B343,$B344)&gt;0,MIN(BB$1,IF($A344=$A343,BB343,1))-AG344&lt;0),-1,MIN(1,IF($A344=$A343,BB343,1)-AG344+$D$3))</f>
        <v>#N/A</v>
      </c>
      <c r="BC344" t="e">
        <f>IF(OR($J344=0,COUNTIFS($A$4:$A343,"&gt;="&amp;$A344-1,$A$4:$A343,"&lt;="&amp;$A344,$B$4:$B343,$B344)&gt;0,MIN(BC$1,IF($A344=$A343,BC343,1))-AH344&lt;0),-1,MIN(1,IF($A344=$A343,BC343,1)-AH344+$D$3))</f>
        <v>#N/A</v>
      </c>
      <c r="BD344" t="e">
        <f>IF(OR($J344=0,COUNTIFS($A$4:$A343,"&gt;="&amp;$A344-1,$A$4:$A343,"&lt;="&amp;$A344,$B$4:$B343,$B344)&gt;0,MIN(BD$1,IF($A344=$A343,BD343,1))-AI344&lt;0),-1,MIN(1,IF($A344=$A343,BD343,1)-AI344+$D$3))</f>
        <v>#N/A</v>
      </c>
      <c r="BF344" s="44">
        <f t="shared" si="355"/>
        <v>5.6536860965961383E-8</v>
      </c>
      <c r="BG344" s="44">
        <f t="shared" si="356"/>
        <v>1.3904009475804192E-7</v>
      </c>
      <c r="BH344" s="44">
        <f t="shared" si="357"/>
        <v>1.4250147154139178E-7</v>
      </c>
      <c r="BI344" s="44">
        <f t="shared" si="358"/>
        <v>1.3163179584078936E-7</v>
      </c>
      <c r="BJ344" s="44">
        <f t="shared" si="359"/>
        <v>1.3605395759233365E-7</v>
      </c>
      <c r="BK344" s="44">
        <f t="shared" si="360"/>
        <v>5.8426642153737799E-8</v>
      </c>
      <c r="BL344" s="44">
        <f t="shared" si="361"/>
        <v>3.1562991282420706E-8</v>
      </c>
      <c r="BM344" s="44">
        <f t="shared" si="362"/>
        <v>8.0292564053042761E-8</v>
      </c>
      <c r="BN344" s="44">
        <f t="shared" si="363"/>
        <v>8.3510524246745402E-8</v>
      </c>
      <c r="BO344" s="44">
        <f t="shared" si="364"/>
        <v>3.9136200522709238E-8</v>
      </c>
      <c r="BP344" s="44">
        <f t="shared" si="365"/>
        <v>1.315946022952967E-7</v>
      </c>
      <c r="BQ344" s="44">
        <f t="shared" si="366"/>
        <v>3.5511935760229418E-8</v>
      </c>
      <c r="BR344" s="44">
        <f t="shared" si="367"/>
        <v>1.0491114780289771E-7</v>
      </c>
      <c r="BS344" s="44">
        <f t="shared" si="368"/>
        <v>5.6579974192977186E-8</v>
      </c>
      <c r="BT344" s="44">
        <f t="shared" si="369"/>
        <v>2.239043039691133E-7</v>
      </c>
      <c r="BU344" s="44">
        <f t="shared" si="370"/>
        <v>2.1389598567065069E-7</v>
      </c>
      <c r="BV344" s="44">
        <f t="shared" si="371"/>
        <v>2.0541862804469446E-7</v>
      </c>
      <c r="BW344" s="44">
        <f t="shared" si="372"/>
        <v>1.3435508701403646E-7</v>
      </c>
      <c r="BX344" s="44">
        <f t="shared" si="373"/>
        <v>9.9259098498046771E-8</v>
      </c>
      <c r="BY344" s="44">
        <f t="shared" si="374"/>
        <v>8.5225344598535425E-8</v>
      </c>
      <c r="CA344" s="44" t="str">
        <f t="shared" si="375"/>
        <v/>
      </c>
      <c r="CB344" s="44" t="str">
        <f t="shared" si="376"/>
        <v/>
      </c>
      <c r="CC344" s="44" t="str">
        <f t="shared" si="377"/>
        <v/>
      </c>
      <c r="CD344" s="44" t="str">
        <f t="shared" si="378"/>
        <v/>
      </c>
      <c r="CE344" s="44" t="str">
        <f t="shared" si="379"/>
        <v/>
      </c>
      <c r="CF344" s="44" t="str">
        <f t="shared" si="380"/>
        <v/>
      </c>
      <c r="CG344" s="44" t="str">
        <f t="shared" si="381"/>
        <v/>
      </c>
      <c r="CH344" s="44" t="str">
        <f t="shared" si="382"/>
        <v/>
      </c>
      <c r="CI344" s="44" t="str">
        <f t="shared" si="383"/>
        <v/>
      </c>
      <c r="CJ344" s="44" t="str">
        <f t="shared" si="384"/>
        <v/>
      </c>
      <c r="CK344" s="44" t="str">
        <f t="shared" si="385"/>
        <v/>
      </c>
      <c r="CL344" s="44" t="str">
        <f t="shared" si="386"/>
        <v/>
      </c>
      <c r="CM344" s="44" t="str">
        <f t="shared" si="387"/>
        <v/>
      </c>
      <c r="CN344" s="44" t="str">
        <f t="shared" si="388"/>
        <v/>
      </c>
      <c r="CO344" s="44" t="str">
        <f t="shared" si="389"/>
        <v/>
      </c>
      <c r="CP344" s="44" t="str">
        <f t="shared" si="390"/>
        <v/>
      </c>
      <c r="CQ344" s="44" t="str">
        <f t="shared" si="391"/>
        <v/>
      </c>
      <c r="CR344" s="44" t="str">
        <f t="shared" si="392"/>
        <v/>
      </c>
      <c r="CS344" s="44" t="str">
        <f t="shared" si="393"/>
        <v/>
      </c>
      <c r="CT344" s="44" t="str">
        <f t="shared" si="394"/>
        <v/>
      </c>
      <c r="CV344" s="44">
        <f t="shared" si="395"/>
        <v>0</v>
      </c>
    </row>
    <row r="345" spans="1:100" x14ac:dyDescent="0.25">
      <c r="A345" s="49"/>
      <c r="B345" s="50"/>
      <c r="C345" s="51" t="str" cm="1">
        <f t="array" ref="C345">IF(B345="","",INDEX(UWS!$B$10:$B$41,B345))</f>
        <v/>
      </c>
      <c r="D345" s="45" t="str">
        <f t="shared" si="352"/>
        <v/>
      </c>
      <c r="E345" s="70" t="str">
        <f t="shared" si="353"/>
        <v/>
      </c>
      <c r="F345" s="52" cm="1">
        <f t="array" ref="F345">0.1+IFERROR(INDEX($F$5:$F344,SUMPRODUCT(MAX(ROW($C$5:$C344)*($C345=$C$5:$C344))-ROW($A$4)))*0.9^($A345-INDEX($A$5:A344,SUMPRODUCT(MAX(ROW($C$5:$C344)*($C345=$C$5:$C344))-ROW($A$4)))),0)</f>
        <v>28.000000000000128</v>
      </c>
      <c r="G345" s="56" t="e">
        <f>INDEX(UWS!$AB$10:$AB$41,MATCH(C345,UWS!$B$10:$B$41,0))</f>
        <v>#N/A</v>
      </c>
      <c r="H345" s="52" t="e">
        <f>INDEX(UWS!$C$10:$C$41,MATCH(C345,UWS!$B$10:$B$41,0))</f>
        <v>#N/A</v>
      </c>
      <c r="I345" s="46">
        <f t="shared" si="354"/>
        <v>5</v>
      </c>
      <c r="J345" s="46" t="e">
        <f>INDEX(UWS!$E$10:$E$41,MATCH(C345,UWS!$B$10:$B$41,0))</f>
        <v>#N/A</v>
      </c>
      <c r="K345" s="46"/>
      <c r="L345" s="109" t="str" cm="1">
        <f t="array" ref="L345">IF(K345="","",INDEX(UWS!$B$10:$B$41,K345))</f>
        <v/>
      </c>
      <c r="M345" s="46"/>
      <c r="N345" s="109" t="str" cm="1">
        <f t="array" ref="N345">IF(M345="","",INDEX(UWS!$B$10:$B$41,M345))</f>
        <v/>
      </c>
      <c r="O345" s="47"/>
      <c r="P345" s="47">
        <f>IFERROR(INDEX(UWS!$G$10:$Z$41,MATCH($C345,UWS!$B$10:$B$41,0),MATCH(P$4,UWS!$G$3:$Z$3,0)),0)</f>
        <v>0</v>
      </c>
      <c r="Q345" s="47">
        <f>IFERROR(INDEX(UWS!$G$10:$Z$41,MATCH($C345,UWS!$B$10:$B$41,0),MATCH(Q$4,UWS!$G$3:$Z$3,0)),0)</f>
        <v>0</v>
      </c>
      <c r="R345" s="47">
        <f>IFERROR(INDEX(UWS!$G$10:$Z$41,MATCH($C345,UWS!$B$10:$B$41,0),MATCH(R$4,UWS!$G$3:$Z$3,0)),0)</f>
        <v>0</v>
      </c>
      <c r="S345" s="47">
        <f>IFERROR(INDEX(UWS!$G$10:$Z$41,MATCH($C345,UWS!$B$10:$B$41,0),MATCH(S$4,UWS!$G$3:$Z$3,0)),0)</f>
        <v>0</v>
      </c>
      <c r="T345" s="47">
        <f>IFERROR(INDEX(UWS!$G$10:$Z$41,MATCH($C345,UWS!$B$10:$B$41,0),MATCH(T$4,UWS!$G$3:$Z$3,0)),0)</f>
        <v>0</v>
      </c>
      <c r="U345" s="47">
        <f>IFERROR(INDEX(UWS!$G$10:$Z$41,MATCH($C345,UWS!$B$10:$B$41,0),MATCH(U$4,UWS!$G$3:$Z$3,0)),0)</f>
        <v>0</v>
      </c>
      <c r="V345" s="47">
        <f>IFERROR(INDEX(UWS!$G$10:$Z$41,MATCH($C345,UWS!$B$10:$B$41,0),MATCH(V$4,UWS!$G$3:$Z$3,0)),0)</f>
        <v>0</v>
      </c>
      <c r="W345" s="47">
        <f>IFERROR(INDEX(UWS!$G$10:$Z$41,MATCH($C345,UWS!$B$10:$B$41,0),MATCH(W$4,UWS!$G$3:$Z$3,0)),0)</f>
        <v>0</v>
      </c>
      <c r="X345" s="47">
        <f>IFERROR(INDEX(UWS!$G$10:$Z$41,MATCH($C345,UWS!$B$10:$B$41,0),MATCH(X$4,UWS!$G$3:$Z$3,0)),0)</f>
        <v>0</v>
      </c>
      <c r="Y345" s="47">
        <f>IFERROR(INDEX(UWS!$G$10:$Z$41,MATCH($C345,UWS!$B$10:$B$41,0),MATCH(Y$4,UWS!$G$3:$Z$3,0)),0)</f>
        <v>0</v>
      </c>
      <c r="Z345" s="47">
        <f>IFERROR(INDEX(UWS!$G$10:$Z$41,MATCH($C345,UWS!$B$10:$B$41,0),MATCH(Z$4,UWS!$G$3:$Z$3,0)),0)</f>
        <v>0</v>
      </c>
      <c r="AA345" s="47">
        <f>IFERROR(INDEX(UWS!$G$10:$Z$41,MATCH($C345,UWS!$B$10:$B$41,0),MATCH(AA$4,UWS!$G$3:$Z$3,0)),0)</f>
        <v>0</v>
      </c>
      <c r="AB345" s="47">
        <f>IFERROR(INDEX(UWS!$G$10:$Z$41,MATCH($C345,UWS!$B$10:$B$41,0),MATCH(AB$4,UWS!$G$3:$Z$3,0)),0)</f>
        <v>0</v>
      </c>
      <c r="AC345" s="47">
        <f>IFERROR(INDEX(UWS!$G$10:$Z$41,MATCH($C345,UWS!$B$10:$B$41,0),MATCH(AC$4,UWS!$G$3:$Z$3,0)),0)</f>
        <v>0</v>
      </c>
      <c r="AD345" s="47">
        <f>IFERROR(INDEX(UWS!$G$10:$Z$41,MATCH($C345,UWS!$B$10:$B$41,0),MATCH(AD$4,UWS!$G$3:$Z$3,0)),0)</f>
        <v>0</v>
      </c>
      <c r="AE345" s="47">
        <f>IFERROR(INDEX(UWS!$G$10:$Z$41,MATCH($C345,UWS!$B$10:$B$41,0),MATCH(AE$4,UWS!$G$3:$Z$3,0)),0)</f>
        <v>0</v>
      </c>
      <c r="AF345" s="47">
        <f>IFERROR(INDEX(UWS!$G$10:$Z$41,MATCH($C345,UWS!$B$10:$B$41,0),MATCH(AF$4,UWS!$G$3:$Z$3,0)),0)</f>
        <v>0</v>
      </c>
      <c r="AG345" s="47">
        <f>IFERROR(INDEX(UWS!$G$10:$Z$41,MATCH($C345,UWS!$B$10:$B$41,0),MATCH(AG$4,UWS!$G$3:$Z$3,0)),0)</f>
        <v>0</v>
      </c>
      <c r="AH345" s="47">
        <f>IFERROR(INDEX(UWS!$G$10:$Z$41,MATCH($C345,UWS!$B$10:$B$41,0),MATCH(AH$4,UWS!$G$3:$Z$3,0)),0)</f>
        <v>0</v>
      </c>
      <c r="AI345" s="47">
        <f>IFERROR(INDEX(UWS!$G$10:$Z$41,MATCH($C345,UWS!$B$10:$B$41,0),MATCH(AI$4,UWS!$G$3:$Z$3,0)),0)</f>
        <v>0</v>
      </c>
      <c r="AJ345" s="47"/>
      <c r="AK345" s="47" t="e">
        <f>IF(OR($J345=0,COUNTIFS($A$4:$A344,"&gt;="&amp;$A345-1,$A$4:$A344,"&lt;="&amp;$A345,$B$4:$B344,$B345)&gt;0,MIN(AK$1,IF($A345=$A344,AK344,1))-P345&lt;0),-1,MIN(1,IF($A345=$A344,AK344,1)-P345+$D$3))</f>
        <v>#N/A</v>
      </c>
      <c r="AL345" s="47" t="e">
        <f>IF(OR($J345=0,COUNTIFS($A$4:$A344,"&gt;="&amp;$A345-1,$A$4:$A344,"&lt;="&amp;$A345,$B$4:$B344,$B345)&gt;0,MIN(AL$1,IF($A345=$A344,AL344,1))-Q345&lt;0),-1,MIN(1,IF($A345=$A344,AL344,1)-Q345+$D$3))</f>
        <v>#N/A</v>
      </c>
      <c r="AM345" s="47" t="e">
        <f>IF(OR($J345=0,COUNTIFS($A$4:$A344,"&gt;="&amp;$A345-1,$A$4:$A344,"&lt;="&amp;$A345,$B$4:$B344,$B345)&gt;0,MIN(AM$1,IF($A345=$A344,AM344,1))-R345&lt;0),-1,MIN(1,IF($A345=$A344,AM344,1)-R345+$D$3))</f>
        <v>#N/A</v>
      </c>
      <c r="AN345" s="47" t="e">
        <f>IF(OR($J345=0,COUNTIFS($A$4:$A344,"&gt;="&amp;$A345-1,$A$4:$A344,"&lt;="&amp;$A345,$B$4:$B344,$B345)&gt;0,MIN(AN$1,IF($A345=$A344,AN344,1))-S345&lt;0),-1,MIN(1,IF($A345=$A344,AN344,1)-S345+$D$3))</f>
        <v>#N/A</v>
      </c>
      <c r="AO345" s="47" t="e">
        <f>IF(OR($J345=0,COUNTIFS($A$4:$A344,"&gt;="&amp;$A345-1,$A$4:$A344,"&lt;="&amp;$A345,$B$4:$B344,$B345)&gt;0,MIN(AO$1,IF($A345=$A344,AO344,1))-T345&lt;0),-1,MIN(1,IF($A345=$A344,AO344,1)-T345+$D$3))</f>
        <v>#N/A</v>
      </c>
      <c r="AP345" s="47" t="e">
        <f>IF(OR($J345=0,COUNTIFS($A$4:$A344,"&gt;="&amp;$A345-1,$A$4:$A344,"&lt;="&amp;$A345,$B$4:$B344,$B345)&gt;0,MIN(AP$1,IF($A345=$A344,AP344,1))-U345&lt;0),-1,MIN(1,IF($A345=$A344,AP344,1)-U345+$D$3))</f>
        <v>#N/A</v>
      </c>
      <c r="AQ345" s="47" t="e">
        <f>IF(OR($J345=0,COUNTIFS($A$4:$A344,"&gt;="&amp;$A345-1,$A$4:$A344,"&lt;="&amp;$A345,$B$4:$B344,$B345)&gt;0,MIN(AQ$1,IF($A345=$A344,AQ344,1))-V345&lt;0),-1,MIN(1,IF($A345=$A344,AQ344,1)-V345+$D$3))</f>
        <v>#N/A</v>
      </c>
      <c r="AR345" s="47" t="e">
        <f>IF(OR($J345=0,COUNTIFS($A$4:$A344,"&gt;="&amp;$A345-1,$A$4:$A344,"&lt;="&amp;$A345,$B$4:$B344,$B345)&gt;0,MIN(AR$1,IF($A345=$A344,AR344,1))-W345&lt;0),-1,MIN(1,IF($A345=$A344,AR344,1)-W345+$D$3))</f>
        <v>#N/A</v>
      </c>
      <c r="AS345" s="47" t="e">
        <f>IF(OR($J345=0,COUNTIFS($A$4:$A344,"&gt;="&amp;$A345-1,$A$4:$A344,"&lt;="&amp;$A345,$B$4:$B344,$B345)&gt;0,MIN(AS$1,IF($A345=$A344,AS344,1))-X345&lt;0),-1,MIN(1,IF($A345=$A344,AS344,1)-X345+$D$3))</f>
        <v>#N/A</v>
      </c>
      <c r="AT345" s="47" t="e">
        <f>IF(OR($J345=0,COUNTIFS($A$4:$A344,"&gt;="&amp;$A345-1,$A$4:$A344,"&lt;="&amp;$A345,$B$4:$B344,$B345)&gt;0,MIN(AT$1,IF($A345=$A344,AT344,1))-Y345&lt;0),-1,MIN(1,IF($A345=$A344,AT344,1)-Y345+$D$3))</f>
        <v>#N/A</v>
      </c>
      <c r="AU345" s="47" t="e">
        <f>IF(OR($J345=0,COUNTIFS($A$4:$A344,"&gt;="&amp;$A345-1,$A$4:$A344,"&lt;="&amp;$A345,$B$4:$B344,$B345)&gt;0,MIN(AU$1,IF($A345=$A344,AU344,1))-Z345&lt;0),-1,MIN(1,IF($A345=$A344,AU344,1)-Z345+$D$3))</f>
        <v>#N/A</v>
      </c>
      <c r="AV345" s="47" t="e">
        <f>IF(OR($J345=0,COUNTIFS($A$4:$A344,"&gt;="&amp;$A345-1,$A$4:$A344,"&lt;="&amp;$A345,$B$4:$B344,$B345)&gt;0,MIN(AV$1,IF($A345=$A344,AV344,1))-AA345&lt;0),-1,MIN(1,IF($A345=$A344,AV344,1)-AA345+$D$3))</f>
        <v>#N/A</v>
      </c>
      <c r="AW345" s="47" t="e">
        <f>IF(OR($J345=0,COUNTIFS($A$4:$A344,"&gt;="&amp;$A345-1,$A$4:$A344,"&lt;="&amp;$A345,$B$4:$B344,$B345)&gt;0,MIN(AW$1,IF($A345=$A344,AW344,1))-AB345&lt;0),-1,MIN(1,IF($A345=$A344,AW344,1)-AB345+$D$3))</f>
        <v>#N/A</v>
      </c>
      <c r="AX345" s="47" t="e">
        <f>IF(OR($J345=0,COUNTIFS($A$4:$A344,"&gt;="&amp;$A345-1,$A$4:$A344,"&lt;="&amp;$A345,$B$4:$B344,$B345)&gt;0,MIN(AX$1,IF($A345=$A344,AX344,1))-AC345&lt;0),-1,MIN(1,IF($A345=$A344,AX344,1)-AC345+$D$3))</f>
        <v>#N/A</v>
      </c>
      <c r="AY345" s="47" t="e">
        <f>IF(OR($J345=0,COUNTIFS($A$4:$A344,"&gt;="&amp;$A345-1,$A$4:$A344,"&lt;="&amp;$A345,$B$4:$B344,$B345)&gt;0,MIN(AY$1,IF($A345=$A344,AY344,1))-AD345&lt;0),-1,MIN(1,IF($A345=$A344,AY344,1)-AD345+$D$3))</f>
        <v>#N/A</v>
      </c>
      <c r="AZ345" s="47" t="e">
        <f>IF(OR($J345=0,COUNTIFS($A$4:$A344,"&gt;="&amp;$A345-1,$A$4:$A344,"&lt;="&amp;$A345,$B$4:$B344,$B345)&gt;0,MIN(AZ$1,IF($A345=$A344,AZ344,1))-AE345&lt;0),-1,MIN(1,IF($A345=$A344,AZ344,1)-AE345+$D$3))</f>
        <v>#N/A</v>
      </c>
      <c r="BA345" s="47" t="e">
        <f>IF(OR($J345=0,COUNTIFS($A$4:$A344,"&gt;="&amp;$A345-1,$A$4:$A344,"&lt;="&amp;$A345,$B$4:$B344,$B345)&gt;0,MIN(BA$1,IF($A345=$A344,BA344,1))-AF345&lt;0),-1,MIN(1,IF($A345=$A344,BA344,1)-AF345+$D$3))</f>
        <v>#N/A</v>
      </c>
      <c r="BB345" s="47" t="e">
        <f>IF(OR($J345=0,COUNTIFS($A$4:$A344,"&gt;="&amp;$A345-1,$A$4:$A344,"&lt;="&amp;$A345,$B$4:$B344,$B345)&gt;0,MIN(BB$1,IF($A345=$A344,BB344,1))-AG345&lt;0),-1,MIN(1,IF($A345=$A344,BB344,1)-AG345+$D$3))</f>
        <v>#N/A</v>
      </c>
      <c r="BC345" s="47" t="e">
        <f>IF(OR($J345=0,COUNTIFS($A$4:$A344,"&gt;="&amp;$A345-1,$A$4:$A344,"&lt;="&amp;$A345,$B$4:$B344,$B345)&gt;0,MIN(BC$1,IF($A345=$A344,BC344,1))-AH345&lt;0),-1,MIN(1,IF($A345=$A344,BC344,1)-AH345+$D$3))</f>
        <v>#N/A</v>
      </c>
      <c r="BD345" s="47" t="e">
        <f>IF(OR($J345=0,COUNTIFS($A$4:$A344,"&gt;="&amp;$A345-1,$A$4:$A344,"&lt;="&amp;$A345,$B$4:$B344,$B345)&gt;0,MIN(BD$1,IF($A345=$A344,BD344,1))-AI345&lt;0),-1,MIN(1,IF($A345=$A344,BD344,1)-AI345+$D$3))</f>
        <v>#N/A</v>
      </c>
      <c r="BE345" s="47"/>
      <c r="BF345" s="53">
        <f t="shared" si="355"/>
        <v>5.371001791766331E-8</v>
      </c>
      <c r="BG345" s="53">
        <f t="shared" si="356"/>
        <v>1.3208809002013982E-7</v>
      </c>
      <c r="BH345" s="53">
        <f t="shared" si="357"/>
        <v>1.3537639796432217E-7</v>
      </c>
      <c r="BI345" s="53">
        <f t="shared" si="358"/>
        <v>1.2505020604874987E-7</v>
      </c>
      <c r="BJ345" s="53">
        <f t="shared" si="359"/>
        <v>1.2925125971271696E-7</v>
      </c>
      <c r="BK345" s="53">
        <f t="shared" si="360"/>
        <v>5.5505310046050904E-8</v>
      </c>
      <c r="BL345" s="53">
        <f t="shared" si="361"/>
        <v>2.9984841718299668E-8</v>
      </c>
      <c r="BM345" s="53">
        <f t="shared" si="362"/>
        <v>7.6277935850390618E-8</v>
      </c>
      <c r="BN345" s="53">
        <f t="shared" si="363"/>
        <v>7.9334998034408127E-8</v>
      </c>
      <c r="BO345" s="53">
        <f t="shared" si="364"/>
        <v>3.7179390496573777E-8</v>
      </c>
      <c r="BP345" s="53">
        <f t="shared" si="365"/>
        <v>1.2501487218053186E-7</v>
      </c>
      <c r="BQ345" s="53">
        <f t="shared" si="366"/>
        <v>3.3736338972217945E-8</v>
      </c>
      <c r="BR345" s="53">
        <f t="shared" si="367"/>
        <v>9.9665590412752825E-8</v>
      </c>
      <c r="BS345" s="53">
        <f t="shared" si="368"/>
        <v>5.3750975483328327E-8</v>
      </c>
      <c r="BT345" s="53">
        <f t="shared" si="369"/>
        <v>2.1270908877065763E-7</v>
      </c>
      <c r="BU345" s="53">
        <f t="shared" si="370"/>
        <v>2.0320118638711815E-7</v>
      </c>
      <c r="BV345" s="53">
        <f t="shared" si="371"/>
        <v>1.9514769664245972E-7</v>
      </c>
      <c r="BW345" s="53">
        <f t="shared" si="372"/>
        <v>1.2763733266333464E-7</v>
      </c>
      <c r="BX345" s="53">
        <f t="shared" si="373"/>
        <v>9.4296143573144422E-8</v>
      </c>
      <c r="BY345" s="53">
        <f t="shared" si="374"/>
        <v>8.0964077368608646E-8</v>
      </c>
      <c r="BZ345" s="47"/>
      <c r="CA345" s="53" t="str">
        <f t="shared" si="375"/>
        <v/>
      </c>
      <c r="CB345" s="53" t="str">
        <f t="shared" si="376"/>
        <v/>
      </c>
      <c r="CC345" s="53" t="str">
        <f t="shared" si="377"/>
        <v/>
      </c>
      <c r="CD345" s="53" t="str">
        <f t="shared" si="378"/>
        <v/>
      </c>
      <c r="CE345" s="53" t="str">
        <f t="shared" si="379"/>
        <v/>
      </c>
      <c r="CF345" s="53" t="str">
        <f t="shared" si="380"/>
        <v/>
      </c>
      <c r="CG345" s="53" t="str">
        <f t="shared" si="381"/>
        <v/>
      </c>
      <c r="CH345" s="53" t="str">
        <f t="shared" si="382"/>
        <v/>
      </c>
      <c r="CI345" s="53" t="str">
        <f t="shared" si="383"/>
        <v/>
      </c>
      <c r="CJ345" s="53" t="str">
        <f t="shared" si="384"/>
        <v/>
      </c>
      <c r="CK345" s="53" t="str">
        <f t="shared" si="385"/>
        <v/>
      </c>
      <c r="CL345" s="53" t="str">
        <f t="shared" si="386"/>
        <v/>
      </c>
      <c r="CM345" s="53" t="str">
        <f t="shared" si="387"/>
        <v/>
      </c>
      <c r="CN345" s="53" t="str">
        <f t="shared" si="388"/>
        <v/>
      </c>
      <c r="CO345" s="53" t="str">
        <f t="shared" si="389"/>
        <v/>
      </c>
      <c r="CP345" s="53" t="str">
        <f t="shared" si="390"/>
        <v/>
      </c>
      <c r="CQ345" s="53" t="str">
        <f t="shared" si="391"/>
        <v/>
      </c>
      <c r="CR345" s="53" t="str">
        <f t="shared" si="392"/>
        <v/>
      </c>
      <c r="CS345" s="53" t="str">
        <f t="shared" si="393"/>
        <v/>
      </c>
      <c r="CT345" s="53" t="str">
        <f t="shared" si="394"/>
        <v/>
      </c>
      <c r="CU345" s="47"/>
      <c r="CV345" s="53">
        <f t="shared" si="395"/>
        <v>0</v>
      </c>
    </row>
    <row r="346" spans="1:100" x14ac:dyDescent="0.25">
      <c r="A346" s="41"/>
      <c r="B346" s="42"/>
      <c r="C346" s="43" t="str" cm="1">
        <f t="array" ref="C346">IF(B346="","",INDEX(UWS!$B$10:$B$41,B346))</f>
        <v/>
      </c>
      <c r="D346" s="40" t="str">
        <f t="shared" si="352"/>
        <v/>
      </c>
      <c r="E346" s="69" t="str">
        <f t="shared" si="353"/>
        <v/>
      </c>
      <c r="F346" s="48" cm="1">
        <f t="array" ref="F346">0.1+IFERROR(INDEX($F$5:$F345,SUMPRODUCT(MAX(ROW($C$5:$C345)*($C346=$C$5:$C345))-ROW($A$4)))*0.9^($A346-INDEX($A$5:A345,SUMPRODUCT(MAX(ROW($C$5:$C345)*($C346=$C$5:$C345))-ROW($A$4)))),0)</f>
        <v>28.100000000000129</v>
      </c>
      <c r="G346" s="55" t="e">
        <f>INDEX(UWS!$AB$10:$AB$41,MATCH(C346,UWS!$B$10:$B$41,0))</f>
        <v>#N/A</v>
      </c>
      <c r="H346" s="48" t="e">
        <f>INDEX(UWS!$C$10:$C$41,MATCH(C346,UWS!$B$10:$B$41,0))</f>
        <v>#N/A</v>
      </c>
      <c r="I346" s="82">
        <f t="shared" si="354"/>
        <v>5</v>
      </c>
      <c r="J346" s="27" t="e">
        <f>INDEX(UWS!$E$10:$E$41,MATCH(C346,UWS!$B$10:$B$41,0))</f>
        <v>#N/A</v>
      </c>
      <c r="L346" s="108" t="str" cm="1">
        <f t="array" ref="L346">IF(K346="","",INDEX(UWS!$B$10:$B$41,K346))</f>
        <v/>
      </c>
      <c r="N346" s="108" t="str" cm="1">
        <f t="array" ref="N346">IF(M346="","",INDEX(UWS!$B$10:$B$41,M346))</f>
        <v/>
      </c>
      <c r="P346">
        <f>IFERROR(INDEX(UWS!$G$10:$Z$41,MATCH($C346,UWS!$B$10:$B$41,0),MATCH(P$4,UWS!$G$3:$Z$3,0)),0)</f>
        <v>0</v>
      </c>
      <c r="Q346">
        <f>IFERROR(INDEX(UWS!$G$10:$Z$41,MATCH($C346,UWS!$B$10:$B$41,0),MATCH(Q$4,UWS!$G$3:$Z$3,0)),0)</f>
        <v>0</v>
      </c>
      <c r="R346">
        <f>IFERROR(INDEX(UWS!$G$10:$Z$41,MATCH($C346,UWS!$B$10:$B$41,0),MATCH(R$4,UWS!$G$3:$Z$3,0)),0)</f>
        <v>0</v>
      </c>
      <c r="S346">
        <f>IFERROR(INDEX(UWS!$G$10:$Z$41,MATCH($C346,UWS!$B$10:$B$41,0),MATCH(S$4,UWS!$G$3:$Z$3,0)),0)</f>
        <v>0</v>
      </c>
      <c r="T346">
        <f>IFERROR(INDEX(UWS!$G$10:$Z$41,MATCH($C346,UWS!$B$10:$B$41,0),MATCH(T$4,UWS!$G$3:$Z$3,0)),0)</f>
        <v>0</v>
      </c>
      <c r="U346">
        <f>IFERROR(INDEX(UWS!$G$10:$Z$41,MATCH($C346,UWS!$B$10:$B$41,0),MATCH(U$4,UWS!$G$3:$Z$3,0)),0)</f>
        <v>0</v>
      </c>
      <c r="V346">
        <f>IFERROR(INDEX(UWS!$G$10:$Z$41,MATCH($C346,UWS!$B$10:$B$41,0),MATCH(V$4,UWS!$G$3:$Z$3,0)),0)</f>
        <v>0</v>
      </c>
      <c r="W346">
        <f>IFERROR(INDEX(UWS!$G$10:$Z$41,MATCH($C346,UWS!$B$10:$B$41,0),MATCH(W$4,UWS!$G$3:$Z$3,0)),0)</f>
        <v>0</v>
      </c>
      <c r="X346">
        <f>IFERROR(INDEX(UWS!$G$10:$Z$41,MATCH($C346,UWS!$B$10:$B$41,0),MATCH(X$4,UWS!$G$3:$Z$3,0)),0)</f>
        <v>0</v>
      </c>
      <c r="Y346">
        <f>IFERROR(INDEX(UWS!$G$10:$Z$41,MATCH($C346,UWS!$B$10:$B$41,0),MATCH(Y$4,UWS!$G$3:$Z$3,0)),0)</f>
        <v>0</v>
      </c>
      <c r="Z346">
        <f>IFERROR(INDEX(UWS!$G$10:$Z$41,MATCH($C346,UWS!$B$10:$B$41,0),MATCH(Z$4,UWS!$G$3:$Z$3,0)),0)</f>
        <v>0</v>
      </c>
      <c r="AA346">
        <f>IFERROR(INDEX(UWS!$G$10:$Z$41,MATCH($C346,UWS!$B$10:$B$41,0),MATCH(AA$4,UWS!$G$3:$Z$3,0)),0)</f>
        <v>0</v>
      </c>
      <c r="AB346">
        <f>IFERROR(INDEX(UWS!$G$10:$Z$41,MATCH($C346,UWS!$B$10:$B$41,0),MATCH(AB$4,UWS!$G$3:$Z$3,0)),0)</f>
        <v>0</v>
      </c>
      <c r="AC346">
        <f>IFERROR(INDEX(UWS!$G$10:$Z$41,MATCH($C346,UWS!$B$10:$B$41,0),MATCH(AC$4,UWS!$G$3:$Z$3,0)),0)</f>
        <v>0</v>
      </c>
      <c r="AD346">
        <f>IFERROR(INDEX(UWS!$G$10:$Z$41,MATCH($C346,UWS!$B$10:$B$41,0),MATCH(AD$4,UWS!$G$3:$Z$3,0)),0)</f>
        <v>0</v>
      </c>
      <c r="AE346">
        <f>IFERROR(INDEX(UWS!$G$10:$Z$41,MATCH($C346,UWS!$B$10:$B$41,0),MATCH(AE$4,UWS!$G$3:$Z$3,0)),0)</f>
        <v>0</v>
      </c>
      <c r="AF346">
        <f>IFERROR(INDEX(UWS!$G$10:$Z$41,MATCH($C346,UWS!$B$10:$B$41,0),MATCH(AF$4,UWS!$G$3:$Z$3,0)),0)</f>
        <v>0</v>
      </c>
      <c r="AG346">
        <f>IFERROR(INDEX(UWS!$G$10:$Z$41,MATCH($C346,UWS!$B$10:$B$41,0),MATCH(AG$4,UWS!$G$3:$Z$3,0)),0)</f>
        <v>0</v>
      </c>
      <c r="AH346">
        <f>IFERROR(INDEX(UWS!$G$10:$Z$41,MATCH($C346,UWS!$B$10:$B$41,0),MATCH(AH$4,UWS!$G$3:$Z$3,0)),0)</f>
        <v>0</v>
      </c>
      <c r="AI346">
        <f>IFERROR(INDEX(UWS!$G$10:$Z$41,MATCH($C346,UWS!$B$10:$B$41,0),MATCH(AI$4,UWS!$G$3:$Z$3,0)),0)</f>
        <v>0</v>
      </c>
      <c r="AK346" t="e">
        <f>IF(OR($J346=0,COUNTIFS($A$4:$A345,"&gt;="&amp;$A346-1,$A$4:$A345,"&lt;="&amp;$A346,$B$4:$B345,$B346)&gt;0,MIN(AK$1,IF($A346=$A345,AK345,1))-P346&lt;0),-1,MIN(1,IF($A346=$A345,AK345,1)-P346+$D$3))</f>
        <v>#N/A</v>
      </c>
      <c r="AL346" t="e">
        <f>IF(OR($J346=0,COUNTIFS($A$4:$A345,"&gt;="&amp;$A346-1,$A$4:$A345,"&lt;="&amp;$A346,$B$4:$B345,$B346)&gt;0,MIN(AL$1,IF($A346=$A345,AL345,1))-Q346&lt;0),-1,MIN(1,IF($A346=$A345,AL345,1)-Q346+$D$3))</f>
        <v>#N/A</v>
      </c>
      <c r="AM346" t="e">
        <f>IF(OR($J346=0,COUNTIFS($A$4:$A345,"&gt;="&amp;$A346-1,$A$4:$A345,"&lt;="&amp;$A346,$B$4:$B345,$B346)&gt;0,MIN(AM$1,IF($A346=$A345,AM345,1))-R346&lt;0),-1,MIN(1,IF($A346=$A345,AM345,1)-R346+$D$3))</f>
        <v>#N/A</v>
      </c>
      <c r="AN346" t="e">
        <f>IF(OR($J346=0,COUNTIFS($A$4:$A345,"&gt;="&amp;$A346-1,$A$4:$A345,"&lt;="&amp;$A346,$B$4:$B345,$B346)&gt;0,MIN(AN$1,IF($A346=$A345,AN345,1))-S346&lt;0),-1,MIN(1,IF($A346=$A345,AN345,1)-S346+$D$3))</f>
        <v>#N/A</v>
      </c>
      <c r="AO346" t="e">
        <f>IF(OR($J346=0,COUNTIFS($A$4:$A345,"&gt;="&amp;$A346-1,$A$4:$A345,"&lt;="&amp;$A346,$B$4:$B345,$B346)&gt;0,MIN(AO$1,IF($A346=$A345,AO345,1))-T346&lt;0),-1,MIN(1,IF($A346=$A345,AO345,1)-T346+$D$3))</f>
        <v>#N/A</v>
      </c>
      <c r="AP346" t="e">
        <f>IF(OR($J346=0,COUNTIFS($A$4:$A345,"&gt;="&amp;$A346-1,$A$4:$A345,"&lt;="&amp;$A346,$B$4:$B345,$B346)&gt;0,MIN(AP$1,IF($A346=$A345,AP345,1))-U346&lt;0),-1,MIN(1,IF($A346=$A345,AP345,1)-U346+$D$3))</f>
        <v>#N/A</v>
      </c>
      <c r="AQ346" t="e">
        <f>IF(OR($J346=0,COUNTIFS($A$4:$A345,"&gt;="&amp;$A346-1,$A$4:$A345,"&lt;="&amp;$A346,$B$4:$B345,$B346)&gt;0,MIN(AQ$1,IF($A346=$A345,AQ345,1))-V346&lt;0),-1,MIN(1,IF($A346=$A345,AQ345,1)-V346+$D$3))</f>
        <v>#N/A</v>
      </c>
      <c r="AR346" t="e">
        <f>IF(OR($J346=0,COUNTIFS($A$4:$A345,"&gt;="&amp;$A346-1,$A$4:$A345,"&lt;="&amp;$A346,$B$4:$B345,$B346)&gt;0,MIN(AR$1,IF($A346=$A345,AR345,1))-W346&lt;0),-1,MIN(1,IF($A346=$A345,AR345,1)-W346+$D$3))</f>
        <v>#N/A</v>
      </c>
      <c r="AS346" t="e">
        <f>IF(OR($J346=0,COUNTIFS($A$4:$A345,"&gt;="&amp;$A346-1,$A$4:$A345,"&lt;="&amp;$A346,$B$4:$B345,$B346)&gt;0,MIN(AS$1,IF($A346=$A345,AS345,1))-X346&lt;0),-1,MIN(1,IF($A346=$A345,AS345,1)-X346+$D$3))</f>
        <v>#N/A</v>
      </c>
      <c r="AT346" t="e">
        <f>IF(OR($J346=0,COUNTIFS($A$4:$A345,"&gt;="&amp;$A346-1,$A$4:$A345,"&lt;="&amp;$A346,$B$4:$B345,$B346)&gt;0,MIN(AT$1,IF($A346=$A345,AT345,1))-Y346&lt;0),-1,MIN(1,IF($A346=$A345,AT345,1)-Y346+$D$3))</f>
        <v>#N/A</v>
      </c>
      <c r="AU346" t="e">
        <f>IF(OR($J346=0,COUNTIFS($A$4:$A345,"&gt;="&amp;$A346-1,$A$4:$A345,"&lt;="&amp;$A346,$B$4:$B345,$B346)&gt;0,MIN(AU$1,IF($A346=$A345,AU345,1))-Z346&lt;0),-1,MIN(1,IF($A346=$A345,AU345,1)-Z346+$D$3))</f>
        <v>#N/A</v>
      </c>
      <c r="AV346" t="e">
        <f>IF(OR($J346=0,COUNTIFS($A$4:$A345,"&gt;="&amp;$A346-1,$A$4:$A345,"&lt;="&amp;$A346,$B$4:$B345,$B346)&gt;0,MIN(AV$1,IF($A346=$A345,AV345,1))-AA346&lt;0),-1,MIN(1,IF($A346=$A345,AV345,1)-AA346+$D$3))</f>
        <v>#N/A</v>
      </c>
      <c r="AW346" t="e">
        <f>IF(OR($J346=0,COUNTIFS($A$4:$A345,"&gt;="&amp;$A346-1,$A$4:$A345,"&lt;="&amp;$A346,$B$4:$B345,$B346)&gt;0,MIN(AW$1,IF($A346=$A345,AW345,1))-AB346&lt;0),-1,MIN(1,IF($A346=$A345,AW345,1)-AB346+$D$3))</f>
        <v>#N/A</v>
      </c>
      <c r="AX346" t="e">
        <f>IF(OR($J346=0,COUNTIFS($A$4:$A345,"&gt;="&amp;$A346-1,$A$4:$A345,"&lt;="&amp;$A346,$B$4:$B345,$B346)&gt;0,MIN(AX$1,IF($A346=$A345,AX345,1))-AC346&lt;0),-1,MIN(1,IF($A346=$A345,AX345,1)-AC346+$D$3))</f>
        <v>#N/A</v>
      </c>
      <c r="AY346" t="e">
        <f>IF(OR($J346=0,COUNTIFS($A$4:$A345,"&gt;="&amp;$A346-1,$A$4:$A345,"&lt;="&amp;$A346,$B$4:$B345,$B346)&gt;0,MIN(AY$1,IF($A346=$A345,AY345,1))-AD346&lt;0),-1,MIN(1,IF($A346=$A345,AY345,1)-AD346+$D$3))</f>
        <v>#N/A</v>
      </c>
      <c r="AZ346" t="e">
        <f>IF(OR($J346=0,COUNTIFS($A$4:$A345,"&gt;="&amp;$A346-1,$A$4:$A345,"&lt;="&amp;$A346,$B$4:$B345,$B346)&gt;0,MIN(AZ$1,IF($A346=$A345,AZ345,1))-AE346&lt;0),-1,MIN(1,IF($A346=$A345,AZ345,1)-AE346+$D$3))</f>
        <v>#N/A</v>
      </c>
      <c r="BA346" t="e">
        <f>IF(OR($J346=0,COUNTIFS($A$4:$A345,"&gt;="&amp;$A346-1,$A$4:$A345,"&lt;="&amp;$A346,$B$4:$B345,$B346)&gt;0,MIN(BA$1,IF($A346=$A345,BA345,1))-AF346&lt;0),-1,MIN(1,IF($A346=$A345,BA345,1)-AF346+$D$3))</f>
        <v>#N/A</v>
      </c>
      <c r="BB346" t="e">
        <f>IF(OR($J346=0,COUNTIFS($A$4:$A345,"&gt;="&amp;$A346-1,$A$4:$A345,"&lt;="&amp;$A346,$B$4:$B345,$B346)&gt;0,MIN(BB$1,IF($A346=$A345,BB345,1))-AG346&lt;0),-1,MIN(1,IF($A346=$A345,BB345,1)-AG346+$D$3))</f>
        <v>#N/A</v>
      </c>
      <c r="BC346" t="e">
        <f>IF(OR($J346=0,COUNTIFS($A$4:$A345,"&gt;="&amp;$A346-1,$A$4:$A345,"&lt;="&amp;$A346,$B$4:$B345,$B346)&gt;0,MIN(BC$1,IF($A346=$A345,BC345,1))-AH346&lt;0),-1,MIN(1,IF($A346=$A345,BC345,1)-AH346+$D$3))</f>
        <v>#N/A</v>
      </c>
      <c r="BD346" t="e">
        <f>IF(OR($J346=0,COUNTIFS($A$4:$A345,"&gt;="&amp;$A346-1,$A$4:$A345,"&lt;="&amp;$A346,$B$4:$B345,$B346)&gt;0,MIN(BD$1,IF($A346=$A345,BD345,1))-AI346&lt;0),-1,MIN(1,IF($A346=$A345,BD345,1)-AI346+$D$3))</f>
        <v>#N/A</v>
      </c>
      <c r="BF346" s="44">
        <f t="shared" si="355"/>
        <v>5.1024517021780145E-8</v>
      </c>
      <c r="BG346" s="44">
        <f t="shared" si="356"/>
        <v>1.2548368551913282E-7</v>
      </c>
      <c r="BH346" s="44">
        <f t="shared" si="357"/>
        <v>1.2860757806610606E-7</v>
      </c>
      <c r="BI346" s="44">
        <f t="shared" si="358"/>
        <v>1.1879769574631237E-7</v>
      </c>
      <c r="BJ346" s="44">
        <f t="shared" si="359"/>
        <v>1.227886967270811E-7</v>
      </c>
      <c r="BK346" s="44">
        <f t="shared" si="360"/>
        <v>5.2730044543748357E-8</v>
      </c>
      <c r="BL346" s="44">
        <f t="shared" si="361"/>
        <v>2.8485599632384683E-8</v>
      </c>
      <c r="BM346" s="44">
        <f t="shared" si="362"/>
        <v>7.246403905787108E-8</v>
      </c>
      <c r="BN346" s="44">
        <f t="shared" si="363"/>
        <v>7.5368248132687714E-8</v>
      </c>
      <c r="BO346" s="44">
        <f t="shared" si="364"/>
        <v>3.5320420971745085E-8</v>
      </c>
      <c r="BP346" s="44">
        <f t="shared" si="365"/>
        <v>1.1876412857150526E-7</v>
      </c>
      <c r="BQ346" s="44">
        <f t="shared" si="366"/>
        <v>3.2049522023607045E-8</v>
      </c>
      <c r="BR346" s="44">
        <f t="shared" si="367"/>
        <v>9.4682310892115177E-8</v>
      </c>
      <c r="BS346" s="44">
        <f t="shared" si="368"/>
        <v>5.1063426709161906E-8</v>
      </c>
      <c r="BT346" s="44">
        <f t="shared" si="369"/>
        <v>2.0207363433212475E-7</v>
      </c>
      <c r="BU346" s="44">
        <f t="shared" si="370"/>
        <v>1.9304112706776224E-7</v>
      </c>
      <c r="BV346" s="44">
        <f t="shared" si="371"/>
        <v>1.8539031181033674E-7</v>
      </c>
      <c r="BW346" s="44">
        <f t="shared" si="372"/>
        <v>1.212554660301679E-7</v>
      </c>
      <c r="BX346" s="44">
        <f t="shared" si="373"/>
        <v>8.95813363944872E-8</v>
      </c>
      <c r="BY346" s="44">
        <f t="shared" si="374"/>
        <v>7.6915873500178211E-8</v>
      </c>
      <c r="CA346" s="44" t="str">
        <f t="shared" si="375"/>
        <v/>
      </c>
      <c r="CB346" s="44" t="str">
        <f t="shared" si="376"/>
        <v/>
      </c>
      <c r="CC346" s="44" t="str">
        <f t="shared" si="377"/>
        <v/>
      </c>
      <c r="CD346" s="44" t="str">
        <f t="shared" si="378"/>
        <v/>
      </c>
      <c r="CE346" s="44" t="str">
        <f t="shared" si="379"/>
        <v/>
      </c>
      <c r="CF346" s="44" t="str">
        <f t="shared" si="380"/>
        <v/>
      </c>
      <c r="CG346" s="44" t="str">
        <f t="shared" si="381"/>
        <v/>
      </c>
      <c r="CH346" s="44" t="str">
        <f t="shared" si="382"/>
        <v/>
      </c>
      <c r="CI346" s="44" t="str">
        <f t="shared" si="383"/>
        <v/>
      </c>
      <c r="CJ346" s="44" t="str">
        <f t="shared" si="384"/>
        <v/>
      </c>
      <c r="CK346" s="44" t="str">
        <f t="shared" si="385"/>
        <v/>
      </c>
      <c r="CL346" s="44" t="str">
        <f t="shared" si="386"/>
        <v/>
      </c>
      <c r="CM346" s="44" t="str">
        <f t="shared" si="387"/>
        <v/>
      </c>
      <c r="CN346" s="44" t="str">
        <f t="shared" si="388"/>
        <v/>
      </c>
      <c r="CO346" s="44" t="str">
        <f t="shared" si="389"/>
        <v/>
      </c>
      <c r="CP346" s="44" t="str">
        <f t="shared" si="390"/>
        <v/>
      </c>
      <c r="CQ346" s="44" t="str">
        <f t="shared" si="391"/>
        <v/>
      </c>
      <c r="CR346" s="44" t="str">
        <f t="shared" si="392"/>
        <v/>
      </c>
      <c r="CS346" s="44" t="str">
        <f t="shared" si="393"/>
        <v/>
      </c>
      <c r="CT346" s="44" t="str">
        <f t="shared" si="394"/>
        <v/>
      </c>
      <c r="CV346" s="44">
        <f t="shared" si="395"/>
        <v>0</v>
      </c>
    </row>
    <row r="347" spans="1:100" x14ac:dyDescent="0.25">
      <c r="A347" s="41"/>
      <c r="B347" s="42"/>
      <c r="C347" s="43" t="str" cm="1">
        <f t="array" ref="C347">IF(B347="","",INDEX(UWS!$B$10:$B$41,B347))</f>
        <v/>
      </c>
      <c r="D347" s="40" t="str">
        <f t="shared" si="352"/>
        <v/>
      </c>
      <c r="E347" s="69" t="str">
        <f t="shared" si="353"/>
        <v/>
      </c>
      <c r="F347" s="48" cm="1">
        <f t="array" ref="F347">0.1+IFERROR(INDEX($F$5:$F346,SUMPRODUCT(MAX(ROW($C$5:$C346)*($C347=$C$5:$C346))-ROW($A$4)))*0.9^($A347-INDEX($A$5:A346,SUMPRODUCT(MAX(ROW($C$5:$C346)*($C347=$C$5:$C346))-ROW($A$4)))),0)</f>
        <v>28.200000000000131</v>
      </c>
      <c r="G347" s="55" t="e">
        <f>INDEX(UWS!$AB$10:$AB$41,MATCH(C347,UWS!$B$10:$B$41,0))</f>
        <v>#N/A</v>
      </c>
      <c r="H347" s="48" t="e">
        <f>INDEX(UWS!$C$10:$C$41,MATCH(C347,UWS!$B$10:$B$41,0))</f>
        <v>#N/A</v>
      </c>
      <c r="I347" s="27">
        <f t="shared" si="354"/>
        <v>5</v>
      </c>
      <c r="J347" s="27" t="e">
        <f>INDEX(UWS!$E$10:$E$41,MATCH(C347,UWS!$B$10:$B$41,0))</f>
        <v>#N/A</v>
      </c>
      <c r="L347" s="108" t="str" cm="1">
        <f t="array" ref="L347">IF(K347="","",INDEX(UWS!$B$10:$B$41,K347))</f>
        <v/>
      </c>
      <c r="N347" s="108" t="str" cm="1">
        <f t="array" ref="N347">IF(M347="","",INDEX(UWS!$B$10:$B$41,M347))</f>
        <v/>
      </c>
      <c r="P347">
        <f>IFERROR(INDEX(UWS!$G$10:$Z$41,MATCH($C347,UWS!$B$10:$B$41,0),MATCH(P$4,UWS!$G$3:$Z$3,0)),0)</f>
        <v>0</v>
      </c>
      <c r="Q347">
        <f>IFERROR(INDEX(UWS!$G$10:$Z$41,MATCH($C347,UWS!$B$10:$B$41,0),MATCH(Q$4,UWS!$G$3:$Z$3,0)),0)</f>
        <v>0</v>
      </c>
      <c r="R347">
        <f>IFERROR(INDEX(UWS!$G$10:$Z$41,MATCH($C347,UWS!$B$10:$B$41,0),MATCH(R$4,UWS!$G$3:$Z$3,0)),0)</f>
        <v>0</v>
      </c>
      <c r="S347">
        <f>IFERROR(INDEX(UWS!$G$10:$Z$41,MATCH($C347,UWS!$B$10:$B$41,0),MATCH(S$4,UWS!$G$3:$Z$3,0)),0)</f>
        <v>0</v>
      </c>
      <c r="T347">
        <f>IFERROR(INDEX(UWS!$G$10:$Z$41,MATCH($C347,UWS!$B$10:$B$41,0),MATCH(T$4,UWS!$G$3:$Z$3,0)),0)</f>
        <v>0</v>
      </c>
      <c r="U347">
        <f>IFERROR(INDEX(UWS!$G$10:$Z$41,MATCH($C347,UWS!$B$10:$B$41,0),MATCH(U$4,UWS!$G$3:$Z$3,0)),0)</f>
        <v>0</v>
      </c>
      <c r="V347">
        <f>IFERROR(INDEX(UWS!$G$10:$Z$41,MATCH($C347,UWS!$B$10:$B$41,0),MATCH(V$4,UWS!$G$3:$Z$3,0)),0)</f>
        <v>0</v>
      </c>
      <c r="W347">
        <f>IFERROR(INDEX(UWS!$G$10:$Z$41,MATCH($C347,UWS!$B$10:$B$41,0),MATCH(W$4,UWS!$G$3:$Z$3,0)),0)</f>
        <v>0</v>
      </c>
      <c r="X347">
        <f>IFERROR(INDEX(UWS!$G$10:$Z$41,MATCH($C347,UWS!$B$10:$B$41,0),MATCH(X$4,UWS!$G$3:$Z$3,0)),0)</f>
        <v>0</v>
      </c>
      <c r="Y347">
        <f>IFERROR(INDEX(UWS!$G$10:$Z$41,MATCH($C347,UWS!$B$10:$B$41,0),MATCH(Y$4,UWS!$G$3:$Z$3,0)),0)</f>
        <v>0</v>
      </c>
      <c r="Z347">
        <f>IFERROR(INDEX(UWS!$G$10:$Z$41,MATCH($C347,UWS!$B$10:$B$41,0),MATCH(Z$4,UWS!$G$3:$Z$3,0)),0)</f>
        <v>0</v>
      </c>
      <c r="AA347">
        <f>IFERROR(INDEX(UWS!$G$10:$Z$41,MATCH($C347,UWS!$B$10:$B$41,0),MATCH(AA$4,UWS!$G$3:$Z$3,0)),0)</f>
        <v>0</v>
      </c>
      <c r="AB347">
        <f>IFERROR(INDEX(UWS!$G$10:$Z$41,MATCH($C347,UWS!$B$10:$B$41,0),MATCH(AB$4,UWS!$G$3:$Z$3,0)),0)</f>
        <v>0</v>
      </c>
      <c r="AC347">
        <f>IFERROR(INDEX(UWS!$G$10:$Z$41,MATCH($C347,UWS!$B$10:$B$41,0),MATCH(AC$4,UWS!$G$3:$Z$3,0)),0)</f>
        <v>0</v>
      </c>
      <c r="AD347">
        <f>IFERROR(INDEX(UWS!$G$10:$Z$41,MATCH($C347,UWS!$B$10:$B$41,0),MATCH(AD$4,UWS!$G$3:$Z$3,0)),0)</f>
        <v>0</v>
      </c>
      <c r="AE347">
        <f>IFERROR(INDEX(UWS!$G$10:$Z$41,MATCH($C347,UWS!$B$10:$B$41,0),MATCH(AE$4,UWS!$G$3:$Z$3,0)),0)</f>
        <v>0</v>
      </c>
      <c r="AF347">
        <f>IFERROR(INDEX(UWS!$G$10:$Z$41,MATCH($C347,UWS!$B$10:$B$41,0),MATCH(AF$4,UWS!$G$3:$Z$3,0)),0)</f>
        <v>0</v>
      </c>
      <c r="AG347">
        <f>IFERROR(INDEX(UWS!$G$10:$Z$41,MATCH($C347,UWS!$B$10:$B$41,0),MATCH(AG$4,UWS!$G$3:$Z$3,0)),0)</f>
        <v>0</v>
      </c>
      <c r="AH347">
        <f>IFERROR(INDEX(UWS!$G$10:$Z$41,MATCH($C347,UWS!$B$10:$B$41,0),MATCH(AH$4,UWS!$G$3:$Z$3,0)),0)</f>
        <v>0</v>
      </c>
      <c r="AI347">
        <f>IFERROR(INDEX(UWS!$G$10:$Z$41,MATCH($C347,UWS!$B$10:$B$41,0),MATCH(AI$4,UWS!$G$3:$Z$3,0)),0)</f>
        <v>0</v>
      </c>
      <c r="AK347" t="e">
        <f>IF(OR($J347=0,COUNTIFS($A$4:$A346,"&gt;="&amp;$A347-1,$A$4:$A346,"&lt;="&amp;$A347,$B$4:$B346,$B347)&gt;0,MIN(AK$1,IF($A347=$A346,AK346,1))-P347&lt;0),-1,MIN(1,IF($A347=$A346,AK346,1)-P347+$D$3))</f>
        <v>#N/A</v>
      </c>
      <c r="AL347" t="e">
        <f>IF(OR($J347=0,COUNTIFS($A$4:$A346,"&gt;="&amp;$A347-1,$A$4:$A346,"&lt;="&amp;$A347,$B$4:$B346,$B347)&gt;0,MIN(AL$1,IF($A347=$A346,AL346,1))-Q347&lt;0),-1,MIN(1,IF($A347=$A346,AL346,1)-Q347+$D$3))</f>
        <v>#N/A</v>
      </c>
      <c r="AM347" t="e">
        <f>IF(OR($J347=0,COUNTIFS($A$4:$A346,"&gt;="&amp;$A347-1,$A$4:$A346,"&lt;="&amp;$A347,$B$4:$B346,$B347)&gt;0,MIN(AM$1,IF($A347=$A346,AM346,1))-R347&lt;0),-1,MIN(1,IF($A347=$A346,AM346,1)-R347+$D$3))</f>
        <v>#N/A</v>
      </c>
      <c r="AN347" t="e">
        <f>IF(OR($J347=0,COUNTIFS($A$4:$A346,"&gt;="&amp;$A347-1,$A$4:$A346,"&lt;="&amp;$A347,$B$4:$B346,$B347)&gt;0,MIN(AN$1,IF($A347=$A346,AN346,1))-S347&lt;0),-1,MIN(1,IF($A347=$A346,AN346,1)-S347+$D$3))</f>
        <v>#N/A</v>
      </c>
      <c r="AO347" t="e">
        <f>IF(OR($J347=0,COUNTIFS($A$4:$A346,"&gt;="&amp;$A347-1,$A$4:$A346,"&lt;="&amp;$A347,$B$4:$B346,$B347)&gt;0,MIN(AO$1,IF($A347=$A346,AO346,1))-T347&lt;0),-1,MIN(1,IF($A347=$A346,AO346,1)-T347+$D$3))</f>
        <v>#N/A</v>
      </c>
      <c r="AP347" t="e">
        <f>IF(OR($J347=0,COUNTIFS($A$4:$A346,"&gt;="&amp;$A347-1,$A$4:$A346,"&lt;="&amp;$A347,$B$4:$B346,$B347)&gt;0,MIN(AP$1,IF($A347=$A346,AP346,1))-U347&lt;0),-1,MIN(1,IF($A347=$A346,AP346,1)-U347+$D$3))</f>
        <v>#N/A</v>
      </c>
      <c r="AQ347" t="e">
        <f>IF(OR($J347=0,COUNTIFS($A$4:$A346,"&gt;="&amp;$A347-1,$A$4:$A346,"&lt;="&amp;$A347,$B$4:$B346,$B347)&gt;0,MIN(AQ$1,IF($A347=$A346,AQ346,1))-V347&lt;0),-1,MIN(1,IF($A347=$A346,AQ346,1)-V347+$D$3))</f>
        <v>#N/A</v>
      </c>
      <c r="AR347" t="e">
        <f>IF(OR($J347=0,COUNTIFS($A$4:$A346,"&gt;="&amp;$A347-1,$A$4:$A346,"&lt;="&amp;$A347,$B$4:$B346,$B347)&gt;0,MIN(AR$1,IF($A347=$A346,AR346,1))-W347&lt;0),-1,MIN(1,IF($A347=$A346,AR346,1)-W347+$D$3))</f>
        <v>#N/A</v>
      </c>
      <c r="AS347" t="e">
        <f>IF(OR($J347=0,COUNTIFS($A$4:$A346,"&gt;="&amp;$A347-1,$A$4:$A346,"&lt;="&amp;$A347,$B$4:$B346,$B347)&gt;0,MIN(AS$1,IF($A347=$A346,AS346,1))-X347&lt;0),-1,MIN(1,IF($A347=$A346,AS346,1)-X347+$D$3))</f>
        <v>#N/A</v>
      </c>
      <c r="AT347" t="e">
        <f>IF(OR($J347=0,COUNTIFS($A$4:$A346,"&gt;="&amp;$A347-1,$A$4:$A346,"&lt;="&amp;$A347,$B$4:$B346,$B347)&gt;0,MIN(AT$1,IF($A347=$A346,AT346,1))-Y347&lt;0),-1,MIN(1,IF($A347=$A346,AT346,1)-Y347+$D$3))</f>
        <v>#N/A</v>
      </c>
      <c r="AU347" t="e">
        <f>IF(OR($J347=0,COUNTIFS($A$4:$A346,"&gt;="&amp;$A347-1,$A$4:$A346,"&lt;="&amp;$A347,$B$4:$B346,$B347)&gt;0,MIN(AU$1,IF($A347=$A346,AU346,1))-Z347&lt;0),-1,MIN(1,IF($A347=$A346,AU346,1)-Z347+$D$3))</f>
        <v>#N/A</v>
      </c>
      <c r="AV347" t="e">
        <f>IF(OR($J347=0,COUNTIFS($A$4:$A346,"&gt;="&amp;$A347-1,$A$4:$A346,"&lt;="&amp;$A347,$B$4:$B346,$B347)&gt;0,MIN(AV$1,IF($A347=$A346,AV346,1))-AA347&lt;0),-1,MIN(1,IF($A347=$A346,AV346,1)-AA347+$D$3))</f>
        <v>#N/A</v>
      </c>
      <c r="AW347" t="e">
        <f>IF(OR($J347=0,COUNTIFS($A$4:$A346,"&gt;="&amp;$A347-1,$A$4:$A346,"&lt;="&amp;$A347,$B$4:$B346,$B347)&gt;0,MIN(AW$1,IF($A347=$A346,AW346,1))-AB347&lt;0),-1,MIN(1,IF($A347=$A346,AW346,1)-AB347+$D$3))</f>
        <v>#N/A</v>
      </c>
      <c r="AX347" t="e">
        <f>IF(OR($J347=0,COUNTIFS($A$4:$A346,"&gt;="&amp;$A347-1,$A$4:$A346,"&lt;="&amp;$A347,$B$4:$B346,$B347)&gt;0,MIN(AX$1,IF($A347=$A346,AX346,1))-AC347&lt;0),-1,MIN(1,IF($A347=$A346,AX346,1)-AC347+$D$3))</f>
        <v>#N/A</v>
      </c>
      <c r="AY347" t="e">
        <f>IF(OR($J347=0,COUNTIFS($A$4:$A346,"&gt;="&amp;$A347-1,$A$4:$A346,"&lt;="&amp;$A347,$B$4:$B346,$B347)&gt;0,MIN(AY$1,IF($A347=$A346,AY346,1))-AD347&lt;0),-1,MIN(1,IF($A347=$A346,AY346,1)-AD347+$D$3))</f>
        <v>#N/A</v>
      </c>
      <c r="AZ347" t="e">
        <f>IF(OR($J347=0,COUNTIFS($A$4:$A346,"&gt;="&amp;$A347-1,$A$4:$A346,"&lt;="&amp;$A347,$B$4:$B346,$B347)&gt;0,MIN(AZ$1,IF($A347=$A346,AZ346,1))-AE347&lt;0),-1,MIN(1,IF($A347=$A346,AZ346,1)-AE347+$D$3))</f>
        <v>#N/A</v>
      </c>
      <c r="BA347" t="e">
        <f>IF(OR($J347=0,COUNTIFS($A$4:$A346,"&gt;="&amp;$A347-1,$A$4:$A346,"&lt;="&amp;$A347,$B$4:$B346,$B347)&gt;0,MIN(BA$1,IF($A347=$A346,BA346,1))-AF347&lt;0),-1,MIN(1,IF($A347=$A346,BA346,1)-AF347+$D$3))</f>
        <v>#N/A</v>
      </c>
      <c r="BB347" t="e">
        <f>IF(OR($J347=0,COUNTIFS($A$4:$A346,"&gt;="&amp;$A347-1,$A$4:$A346,"&lt;="&amp;$A347,$B$4:$B346,$B347)&gt;0,MIN(BB$1,IF($A347=$A346,BB346,1))-AG347&lt;0),-1,MIN(1,IF($A347=$A346,BB346,1)-AG347+$D$3))</f>
        <v>#N/A</v>
      </c>
      <c r="BC347" t="e">
        <f>IF(OR($J347=0,COUNTIFS($A$4:$A346,"&gt;="&amp;$A347-1,$A$4:$A346,"&lt;="&amp;$A347,$B$4:$B346,$B347)&gt;0,MIN(BC$1,IF($A347=$A346,BC346,1))-AH347&lt;0),-1,MIN(1,IF($A347=$A346,BC346,1)-AH347+$D$3))</f>
        <v>#N/A</v>
      </c>
      <c r="BD347" t="e">
        <f>IF(OR($J347=0,COUNTIFS($A$4:$A346,"&gt;="&amp;$A347-1,$A$4:$A346,"&lt;="&amp;$A347,$B$4:$B346,$B347)&gt;0,MIN(BD$1,IF($A347=$A346,BD346,1))-AI347&lt;0),-1,MIN(1,IF($A347=$A346,BD346,1)-AI347+$D$3))</f>
        <v>#N/A</v>
      </c>
      <c r="BF347" s="44">
        <f t="shared" si="355"/>
        <v>4.8473291170691138E-8</v>
      </c>
      <c r="BG347" s="44">
        <f t="shared" si="356"/>
        <v>1.1920950124317618E-7</v>
      </c>
      <c r="BH347" s="44">
        <f t="shared" si="357"/>
        <v>1.2217719916280077E-7</v>
      </c>
      <c r="BI347" s="44">
        <f t="shared" si="358"/>
        <v>1.1285781095899676E-7</v>
      </c>
      <c r="BJ347" s="44">
        <f t="shared" si="359"/>
        <v>1.1664926189072704E-7</v>
      </c>
      <c r="BK347" s="44">
        <f t="shared" si="360"/>
        <v>5.009354231656094E-8</v>
      </c>
      <c r="BL347" s="44">
        <f t="shared" si="361"/>
        <v>2.7061319650765447E-8</v>
      </c>
      <c r="BM347" s="44">
        <f t="shared" si="362"/>
        <v>6.8840837104977523E-8</v>
      </c>
      <c r="BN347" s="44">
        <f t="shared" si="363"/>
        <v>7.1599835726053325E-8</v>
      </c>
      <c r="BO347" s="44">
        <f t="shared" si="364"/>
        <v>3.3554399923157832E-8</v>
      </c>
      <c r="BP347" s="44">
        <f t="shared" si="365"/>
        <v>1.1282592214293E-7</v>
      </c>
      <c r="BQ347" s="44">
        <f t="shared" si="366"/>
        <v>3.0447045922426694E-8</v>
      </c>
      <c r="BR347" s="44">
        <f t="shared" si="367"/>
        <v>8.9948195347509413E-8</v>
      </c>
      <c r="BS347" s="44">
        <f t="shared" si="368"/>
        <v>4.851025537370381E-8</v>
      </c>
      <c r="BT347" s="44">
        <f t="shared" si="369"/>
        <v>1.9196995261551852E-7</v>
      </c>
      <c r="BU347" s="44">
        <f t="shared" si="370"/>
        <v>1.8338907071437411E-7</v>
      </c>
      <c r="BV347" s="44">
        <f t="shared" si="371"/>
        <v>1.7612079621981989E-7</v>
      </c>
      <c r="BW347" s="44">
        <f t="shared" si="372"/>
        <v>1.1519269272865951E-7</v>
      </c>
      <c r="BX347" s="44">
        <f t="shared" si="373"/>
        <v>8.5102269574762835E-8</v>
      </c>
      <c r="BY347" s="44">
        <f t="shared" si="374"/>
        <v>7.3070079825169294E-8</v>
      </c>
      <c r="CA347" s="44" t="str">
        <f t="shared" si="375"/>
        <v/>
      </c>
      <c r="CB347" s="44" t="str">
        <f t="shared" si="376"/>
        <v/>
      </c>
      <c r="CC347" s="44" t="str">
        <f t="shared" si="377"/>
        <v/>
      </c>
      <c r="CD347" s="44" t="str">
        <f t="shared" si="378"/>
        <v/>
      </c>
      <c r="CE347" s="44" t="str">
        <f t="shared" si="379"/>
        <v/>
      </c>
      <c r="CF347" s="44" t="str">
        <f t="shared" si="380"/>
        <v/>
      </c>
      <c r="CG347" s="44" t="str">
        <f t="shared" si="381"/>
        <v/>
      </c>
      <c r="CH347" s="44" t="str">
        <f t="shared" si="382"/>
        <v/>
      </c>
      <c r="CI347" s="44" t="str">
        <f t="shared" si="383"/>
        <v/>
      </c>
      <c r="CJ347" s="44" t="str">
        <f t="shared" si="384"/>
        <v/>
      </c>
      <c r="CK347" s="44" t="str">
        <f t="shared" si="385"/>
        <v/>
      </c>
      <c r="CL347" s="44" t="str">
        <f t="shared" si="386"/>
        <v/>
      </c>
      <c r="CM347" s="44" t="str">
        <f t="shared" si="387"/>
        <v/>
      </c>
      <c r="CN347" s="44" t="str">
        <f t="shared" si="388"/>
        <v/>
      </c>
      <c r="CO347" s="44" t="str">
        <f t="shared" si="389"/>
        <v/>
      </c>
      <c r="CP347" s="44" t="str">
        <f t="shared" si="390"/>
        <v/>
      </c>
      <c r="CQ347" s="44" t="str">
        <f t="shared" si="391"/>
        <v/>
      </c>
      <c r="CR347" s="44" t="str">
        <f t="shared" si="392"/>
        <v/>
      </c>
      <c r="CS347" s="44" t="str">
        <f t="shared" si="393"/>
        <v/>
      </c>
      <c r="CT347" s="44" t="str">
        <f t="shared" si="394"/>
        <v/>
      </c>
      <c r="CV347" s="44">
        <f t="shared" si="395"/>
        <v>0</v>
      </c>
    </row>
    <row r="348" spans="1:100" x14ac:dyDescent="0.25">
      <c r="A348" s="41"/>
      <c r="B348" s="42"/>
      <c r="C348" s="43" t="str" cm="1">
        <f t="array" ref="C348">IF(B348="","",INDEX(UWS!$B$10:$B$41,B348))</f>
        <v/>
      </c>
      <c r="D348" s="40" t="str">
        <f t="shared" si="352"/>
        <v/>
      </c>
      <c r="E348" s="69" t="str">
        <f t="shared" si="353"/>
        <v/>
      </c>
      <c r="F348" s="48" cm="1">
        <f t="array" ref="F348">0.1+IFERROR(INDEX($F$5:$F347,SUMPRODUCT(MAX(ROW($C$5:$C347)*($C348=$C$5:$C347))-ROW($A$4)))*0.9^($A348-INDEX($A$5:A347,SUMPRODUCT(MAX(ROW($C$5:$C347)*($C348=$C$5:$C347))-ROW($A$4)))),0)</f>
        <v>28.300000000000132</v>
      </c>
      <c r="G348" s="55" t="e">
        <f>INDEX(UWS!$AB$10:$AB$41,MATCH(C348,UWS!$B$10:$B$41,0))</f>
        <v>#N/A</v>
      </c>
      <c r="H348" s="48" t="e">
        <f>INDEX(UWS!$C$10:$C$41,MATCH(C348,UWS!$B$10:$B$41,0))</f>
        <v>#N/A</v>
      </c>
      <c r="I348" s="27">
        <f t="shared" si="354"/>
        <v>5</v>
      </c>
      <c r="J348" s="27" t="e">
        <f>INDEX(UWS!$E$10:$E$41,MATCH(C348,UWS!$B$10:$B$41,0))</f>
        <v>#N/A</v>
      </c>
      <c r="L348" s="108" t="str" cm="1">
        <f t="array" ref="L348">IF(K348="","",INDEX(UWS!$B$10:$B$41,K348))</f>
        <v/>
      </c>
      <c r="N348" s="108" t="str" cm="1">
        <f t="array" ref="N348">IF(M348="","",INDEX(UWS!$B$10:$B$41,M348))</f>
        <v/>
      </c>
      <c r="P348">
        <f>IFERROR(INDEX(UWS!$G$10:$Z$41,MATCH($C348,UWS!$B$10:$B$41,0),MATCH(P$4,UWS!$G$3:$Z$3,0)),0)</f>
        <v>0</v>
      </c>
      <c r="Q348">
        <f>IFERROR(INDEX(UWS!$G$10:$Z$41,MATCH($C348,UWS!$B$10:$B$41,0),MATCH(Q$4,UWS!$G$3:$Z$3,0)),0)</f>
        <v>0</v>
      </c>
      <c r="R348">
        <f>IFERROR(INDEX(UWS!$G$10:$Z$41,MATCH($C348,UWS!$B$10:$B$41,0),MATCH(R$4,UWS!$G$3:$Z$3,0)),0)</f>
        <v>0</v>
      </c>
      <c r="S348">
        <f>IFERROR(INDEX(UWS!$G$10:$Z$41,MATCH($C348,UWS!$B$10:$B$41,0),MATCH(S$4,UWS!$G$3:$Z$3,0)),0)</f>
        <v>0</v>
      </c>
      <c r="T348">
        <f>IFERROR(INDEX(UWS!$G$10:$Z$41,MATCH($C348,UWS!$B$10:$B$41,0),MATCH(T$4,UWS!$G$3:$Z$3,0)),0)</f>
        <v>0</v>
      </c>
      <c r="U348">
        <f>IFERROR(INDEX(UWS!$G$10:$Z$41,MATCH($C348,UWS!$B$10:$B$41,0),MATCH(U$4,UWS!$G$3:$Z$3,0)),0)</f>
        <v>0</v>
      </c>
      <c r="V348">
        <f>IFERROR(INDEX(UWS!$G$10:$Z$41,MATCH($C348,UWS!$B$10:$B$41,0),MATCH(V$4,UWS!$G$3:$Z$3,0)),0)</f>
        <v>0</v>
      </c>
      <c r="W348">
        <f>IFERROR(INDEX(UWS!$G$10:$Z$41,MATCH($C348,UWS!$B$10:$B$41,0),MATCH(W$4,UWS!$G$3:$Z$3,0)),0)</f>
        <v>0</v>
      </c>
      <c r="X348">
        <f>IFERROR(INDEX(UWS!$G$10:$Z$41,MATCH($C348,UWS!$B$10:$B$41,0),MATCH(X$4,UWS!$G$3:$Z$3,0)),0)</f>
        <v>0</v>
      </c>
      <c r="Y348">
        <f>IFERROR(INDEX(UWS!$G$10:$Z$41,MATCH($C348,UWS!$B$10:$B$41,0),MATCH(Y$4,UWS!$G$3:$Z$3,0)),0)</f>
        <v>0</v>
      </c>
      <c r="Z348">
        <f>IFERROR(INDEX(UWS!$G$10:$Z$41,MATCH($C348,UWS!$B$10:$B$41,0),MATCH(Z$4,UWS!$G$3:$Z$3,0)),0)</f>
        <v>0</v>
      </c>
      <c r="AA348">
        <f>IFERROR(INDEX(UWS!$G$10:$Z$41,MATCH($C348,UWS!$B$10:$B$41,0),MATCH(AA$4,UWS!$G$3:$Z$3,0)),0)</f>
        <v>0</v>
      </c>
      <c r="AB348">
        <f>IFERROR(INDEX(UWS!$G$10:$Z$41,MATCH($C348,UWS!$B$10:$B$41,0),MATCH(AB$4,UWS!$G$3:$Z$3,0)),0)</f>
        <v>0</v>
      </c>
      <c r="AC348">
        <f>IFERROR(INDEX(UWS!$G$10:$Z$41,MATCH($C348,UWS!$B$10:$B$41,0),MATCH(AC$4,UWS!$G$3:$Z$3,0)),0)</f>
        <v>0</v>
      </c>
      <c r="AD348">
        <f>IFERROR(INDEX(UWS!$G$10:$Z$41,MATCH($C348,UWS!$B$10:$B$41,0),MATCH(AD$4,UWS!$G$3:$Z$3,0)),0)</f>
        <v>0</v>
      </c>
      <c r="AE348">
        <f>IFERROR(INDEX(UWS!$G$10:$Z$41,MATCH($C348,UWS!$B$10:$B$41,0),MATCH(AE$4,UWS!$G$3:$Z$3,0)),0)</f>
        <v>0</v>
      </c>
      <c r="AF348">
        <f>IFERROR(INDEX(UWS!$G$10:$Z$41,MATCH($C348,UWS!$B$10:$B$41,0),MATCH(AF$4,UWS!$G$3:$Z$3,0)),0)</f>
        <v>0</v>
      </c>
      <c r="AG348">
        <f>IFERROR(INDEX(UWS!$G$10:$Z$41,MATCH($C348,UWS!$B$10:$B$41,0),MATCH(AG$4,UWS!$G$3:$Z$3,0)),0)</f>
        <v>0</v>
      </c>
      <c r="AH348">
        <f>IFERROR(INDEX(UWS!$G$10:$Z$41,MATCH($C348,UWS!$B$10:$B$41,0),MATCH(AH$4,UWS!$G$3:$Z$3,0)),0)</f>
        <v>0</v>
      </c>
      <c r="AI348">
        <f>IFERROR(INDEX(UWS!$G$10:$Z$41,MATCH($C348,UWS!$B$10:$B$41,0),MATCH(AI$4,UWS!$G$3:$Z$3,0)),0)</f>
        <v>0</v>
      </c>
      <c r="AK348" t="e">
        <f>IF(OR($J348=0,COUNTIFS($A$4:$A347,"&gt;="&amp;$A348-1,$A$4:$A347,"&lt;="&amp;$A348,$B$4:$B347,$B348)&gt;0,MIN(AK$1,IF($A348=$A347,AK347,1))-P348&lt;0),-1,MIN(1,IF($A348=$A347,AK347,1)-P348+$D$3))</f>
        <v>#N/A</v>
      </c>
      <c r="AL348" t="e">
        <f>IF(OR($J348=0,COUNTIFS($A$4:$A347,"&gt;="&amp;$A348-1,$A$4:$A347,"&lt;="&amp;$A348,$B$4:$B347,$B348)&gt;0,MIN(AL$1,IF($A348=$A347,AL347,1))-Q348&lt;0),-1,MIN(1,IF($A348=$A347,AL347,1)-Q348+$D$3))</f>
        <v>#N/A</v>
      </c>
      <c r="AM348" t="e">
        <f>IF(OR($J348=0,COUNTIFS($A$4:$A347,"&gt;="&amp;$A348-1,$A$4:$A347,"&lt;="&amp;$A348,$B$4:$B347,$B348)&gt;0,MIN(AM$1,IF($A348=$A347,AM347,1))-R348&lt;0),-1,MIN(1,IF($A348=$A347,AM347,1)-R348+$D$3))</f>
        <v>#N/A</v>
      </c>
      <c r="AN348" t="e">
        <f>IF(OR($J348=0,COUNTIFS($A$4:$A347,"&gt;="&amp;$A348-1,$A$4:$A347,"&lt;="&amp;$A348,$B$4:$B347,$B348)&gt;0,MIN(AN$1,IF($A348=$A347,AN347,1))-S348&lt;0),-1,MIN(1,IF($A348=$A347,AN347,1)-S348+$D$3))</f>
        <v>#N/A</v>
      </c>
      <c r="AO348" t="e">
        <f>IF(OR($J348=0,COUNTIFS($A$4:$A347,"&gt;="&amp;$A348-1,$A$4:$A347,"&lt;="&amp;$A348,$B$4:$B347,$B348)&gt;0,MIN(AO$1,IF($A348=$A347,AO347,1))-T348&lt;0),-1,MIN(1,IF($A348=$A347,AO347,1)-T348+$D$3))</f>
        <v>#N/A</v>
      </c>
      <c r="AP348" t="e">
        <f>IF(OR($J348=0,COUNTIFS($A$4:$A347,"&gt;="&amp;$A348-1,$A$4:$A347,"&lt;="&amp;$A348,$B$4:$B347,$B348)&gt;0,MIN(AP$1,IF($A348=$A347,AP347,1))-U348&lt;0),-1,MIN(1,IF($A348=$A347,AP347,1)-U348+$D$3))</f>
        <v>#N/A</v>
      </c>
      <c r="AQ348" t="e">
        <f>IF(OR($J348=0,COUNTIFS($A$4:$A347,"&gt;="&amp;$A348-1,$A$4:$A347,"&lt;="&amp;$A348,$B$4:$B347,$B348)&gt;0,MIN(AQ$1,IF($A348=$A347,AQ347,1))-V348&lt;0),-1,MIN(1,IF($A348=$A347,AQ347,1)-V348+$D$3))</f>
        <v>#N/A</v>
      </c>
      <c r="AR348" t="e">
        <f>IF(OR($J348=0,COUNTIFS($A$4:$A347,"&gt;="&amp;$A348-1,$A$4:$A347,"&lt;="&amp;$A348,$B$4:$B347,$B348)&gt;0,MIN(AR$1,IF($A348=$A347,AR347,1))-W348&lt;0),-1,MIN(1,IF($A348=$A347,AR347,1)-W348+$D$3))</f>
        <v>#N/A</v>
      </c>
      <c r="AS348" t="e">
        <f>IF(OR($J348=0,COUNTIFS($A$4:$A347,"&gt;="&amp;$A348-1,$A$4:$A347,"&lt;="&amp;$A348,$B$4:$B347,$B348)&gt;0,MIN(AS$1,IF($A348=$A347,AS347,1))-X348&lt;0),-1,MIN(1,IF($A348=$A347,AS347,1)-X348+$D$3))</f>
        <v>#N/A</v>
      </c>
      <c r="AT348" t="e">
        <f>IF(OR($J348=0,COUNTIFS($A$4:$A347,"&gt;="&amp;$A348-1,$A$4:$A347,"&lt;="&amp;$A348,$B$4:$B347,$B348)&gt;0,MIN(AT$1,IF($A348=$A347,AT347,1))-Y348&lt;0),-1,MIN(1,IF($A348=$A347,AT347,1)-Y348+$D$3))</f>
        <v>#N/A</v>
      </c>
      <c r="AU348" t="e">
        <f>IF(OR($J348=0,COUNTIFS($A$4:$A347,"&gt;="&amp;$A348-1,$A$4:$A347,"&lt;="&amp;$A348,$B$4:$B347,$B348)&gt;0,MIN(AU$1,IF($A348=$A347,AU347,1))-Z348&lt;0),-1,MIN(1,IF($A348=$A347,AU347,1)-Z348+$D$3))</f>
        <v>#N/A</v>
      </c>
      <c r="AV348" t="e">
        <f>IF(OR($J348=0,COUNTIFS($A$4:$A347,"&gt;="&amp;$A348-1,$A$4:$A347,"&lt;="&amp;$A348,$B$4:$B347,$B348)&gt;0,MIN(AV$1,IF($A348=$A347,AV347,1))-AA348&lt;0),-1,MIN(1,IF($A348=$A347,AV347,1)-AA348+$D$3))</f>
        <v>#N/A</v>
      </c>
      <c r="AW348" t="e">
        <f>IF(OR($J348=0,COUNTIFS($A$4:$A347,"&gt;="&amp;$A348-1,$A$4:$A347,"&lt;="&amp;$A348,$B$4:$B347,$B348)&gt;0,MIN(AW$1,IF($A348=$A347,AW347,1))-AB348&lt;0),-1,MIN(1,IF($A348=$A347,AW347,1)-AB348+$D$3))</f>
        <v>#N/A</v>
      </c>
      <c r="AX348" t="e">
        <f>IF(OR($J348=0,COUNTIFS($A$4:$A347,"&gt;="&amp;$A348-1,$A$4:$A347,"&lt;="&amp;$A348,$B$4:$B347,$B348)&gt;0,MIN(AX$1,IF($A348=$A347,AX347,1))-AC348&lt;0),-1,MIN(1,IF($A348=$A347,AX347,1)-AC348+$D$3))</f>
        <v>#N/A</v>
      </c>
      <c r="AY348" t="e">
        <f>IF(OR($J348=0,COUNTIFS($A$4:$A347,"&gt;="&amp;$A348-1,$A$4:$A347,"&lt;="&amp;$A348,$B$4:$B347,$B348)&gt;0,MIN(AY$1,IF($A348=$A347,AY347,1))-AD348&lt;0),-1,MIN(1,IF($A348=$A347,AY347,1)-AD348+$D$3))</f>
        <v>#N/A</v>
      </c>
      <c r="AZ348" t="e">
        <f>IF(OR($J348=0,COUNTIFS($A$4:$A347,"&gt;="&amp;$A348-1,$A$4:$A347,"&lt;="&amp;$A348,$B$4:$B347,$B348)&gt;0,MIN(AZ$1,IF($A348=$A347,AZ347,1))-AE348&lt;0),-1,MIN(1,IF($A348=$A347,AZ347,1)-AE348+$D$3))</f>
        <v>#N/A</v>
      </c>
      <c r="BA348" t="e">
        <f>IF(OR($J348=0,COUNTIFS($A$4:$A347,"&gt;="&amp;$A348-1,$A$4:$A347,"&lt;="&amp;$A348,$B$4:$B347,$B348)&gt;0,MIN(BA$1,IF($A348=$A347,BA347,1))-AF348&lt;0),-1,MIN(1,IF($A348=$A347,BA347,1)-AF348+$D$3))</f>
        <v>#N/A</v>
      </c>
      <c r="BB348" t="e">
        <f>IF(OR($J348=0,COUNTIFS($A$4:$A347,"&gt;="&amp;$A348-1,$A$4:$A347,"&lt;="&amp;$A348,$B$4:$B347,$B348)&gt;0,MIN(BB$1,IF($A348=$A347,BB347,1))-AG348&lt;0),-1,MIN(1,IF($A348=$A347,BB347,1)-AG348+$D$3))</f>
        <v>#N/A</v>
      </c>
      <c r="BC348" t="e">
        <f>IF(OR($J348=0,COUNTIFS($A$4:$A347,"&gt;="&amp;$A348-1,$A$4:$A347,"&lt;="&amp;$A348,$B$4:$B347,$B348)&gt;0,MIN(BC$1,IF($A348=$A347,BC347,1))-AH348&lt;0),-1,MIN(1,IF($A348=$A347,BC347,1)-AH348+$D$3))</f>
        <v>#N/A</v>
      </c>
      <c r="BD348" t="e">
        <f>IF(OR($J348=0,COUNTIFS($A$4:$A347,"&gt;="&amp;$A348-1,$A$4:$A347,"&lt;="&amp;$A348,$B$4:$B347,$B348)&gt;0,MIN(BD$1,IF($A348=$A347,BD347,1))-AI348&lt;0),-1,MIN(1,IF($A348=$A347,BD347,1)-AI348+$D$3))</f>
        <v>#N/A</v>
      </c>
      <c r="BF348" s="44">
        <f t="shared" si="355"/>
        <v>4.6049626612156579E-8</v>
      </c>
      <c r="BG348" s="44">
        <f t="shared" si="356"/>
        <v>1.1324902618101737E-7</v>
      </c>
      <c r="BH348" s="44">
        <f t="shared" si="357"/>
        <v>1.1606833920466073E-7</v>
      </c>
      <c r="BI348" s="44">
        <f t="shared" si="358"/>
        <v>1.0721492041104692E-7</v>
      </c>
      <c r="BJ348" s="44">
        <f t="shared" si="359"/>
        <v>1.1081679879619068E-7</v>
      </c>
      <c r="BK348" s="44">
        <f t="shared" si="360"/>
        <v>4.7588865200732889E-8</v>
      </c>
      <c r="BL348" s="44">
        <f t="shared" si="361"/>
        <v>2.5708253668227173E-8</v>
      </c>
      <c r="BM348" s="44">
        <f t="shared" si="362"/>
        <v>6.5398795249728646E-8</v>
      </c>
      <c r="BN348" s="44">
        <f t="shared" si="363"/>
        <v>6.8019843939750652E-8</v>
      </c>
      <c r="BO348" s="44">
        <f t="shared" si="364"/>
        <v>3.187667992699994E-8</v>
      </c>
      <c r="BP348" s="44">
        <f t="shared" si="365"/>
        <v>1.0718462603578349E-7</v>
      </c>
      <c r="BQ348" s="44">
        <f t="shared" si="366"/>
        <v>2.8924693626305357E-8</v>
      </c>
      <c r="BR348" s="44">
        <f t="shared" si="367"/>
        <v>8.5450785580133941E-8</v>
      </c>
      <c r="BS348" s="44">
        <f t="shared" si="368"/>
        <v>4.6084742605018617E-8</v>
      </c>
      <c r="BT348" s="44">
        <f t="shared" si="369"/>
        <v>1.8237145498474258E-7</v>
      </c>
      <c r="BU348" s="44">
        <f t="shared" si="370"/>
        <v>1.7421961717865539E-7</v>
      </c>
      <c r="BV348" s="44">
        <f t="shared" si="371"/>
        <v>1.673147564088289E-7</v>
      </c>
      <c r="BW348" s="44">
        <f t="shared" si="372"/>
        <v>1.0943305809222653E-7</v>
      </c>
      <c r="BX348" s="44">
        <f t="shared" si="373"/>
        <v>8.084715609602469E-8</v>
      </c>
      <c r="BY348" s="44">
        <f t="shared" si="374"/>
        <v>6.9416575833910831E-8</v>
      </c>
      <c r="CA348" s="44" t="str">
        <f t="shared" si="375"/>
        <v/>
      </c>
      <c r="CB348" s="44" t="str">
        <f t="shared" si="376"/>
        <v/>
      </c>
      <c r="CC348" s="44" t="str">
        <f t="shared" si="377"/>
        <v/>
      </c>
      <c r="CD348" s="44" t="str">
        <f t="shared" si="378"/>
        <v/>
      </c>
      <c r="CE348" s="44" t="str">
        <f t="shared" si="379"/>
        <v/>
      </c>
      <c r="CF348" s="44" t="str">
        <f t="shared" si="380"/>
        <v/>
      </c>
      <c r="CG348" s="44" t="str">
        <f t="shared" si="381"/>
        <v/>
      </c>
      <c r="CH348" s="44" t="str">
        <f t="shared" si="382"/>
        <v/>
      </c>
      <c r="CI348" s="44" t="str">
        <f t="shared" si="383"/>
        <v/>
      </c>
      <c r="CJ348" s="44" t="str">
        <f t="shared" si="384"/>
        <v/>
      </c>
      <c r="CK348" s="44" t="str">
        <f t="shared" si="385"/>
        <v/>
      </c>
      <c r="CL348" s="44" t="str">
        <f t="shared" si="386"/>
        <v/>
      </c>
      <c r="CM348" s="44" t="str">
        <f t="shared" si="387"/>
        <v/>
      </c>
      <c r="CN348" s="44" t="str">
        <f t="shared" si="388"/>
        <v/>
      </c>
      <c r="CO348" s="44" t="str">
        <f t="shared" si="389"/>
        <v/>
      </c>
      <c r="CP348" s="44" t="str">
        <f t="shared" si="390"/>
        <v/>
      </c>
      <c r="CQ348" s="44" t="str">
        <f t="shared" si="391"/>
        <v/>
      </c>
      <c r="CR348" s="44" t="str">
        <f t="shared" si="392"/>
        <v/>
      </c>
      <c r="CS348" s="44" t="str">
        <f t="shared" si="393"/>
        <v/>
      </c>
      <c r="CT348" s="44" t="str">
        <f t="shared" si="394"/>
        <v/>
      </c>
      <c r="CV348" s="44">
        <f t="shared" si="395"/>
        <v>0</v>
      </c>
    </row>
    <row r="349" spans="1:100" x14ac:dyDescent="0.25">
      <c r="A349" s="41"/>
      <c r="B349" s="42"/>
      <c r="C349" s="43" t="str" cm="1">
        <f t="array" ref="C349">IF(B349="","",INDEX(UWS!$B$10:$B$41,B349))</f>
        <v/>
      </c>
      <c r="D349" s="40" t="str">
        <f t="shared" si="352"/>
        <v/>
      </c>
      <c r="E349" s="69" t="str">
        <f t="shared" si="353"/>
        <v/>
      </c>
      <c r="F349" s="48" cm="1">
        <f t="array" ref="F349">0.1+IFERROR(INDEX($F$5:$F348,SUMPRODUCT(MAX(ROW($C$5:$C348)*($C349=$C$5:$C348))-ROW($A$4)))*0.9^($A349-INDEX($A$5:A348,SUMPRODUCT(MAX(ROW($C$5:$C348)*($C349=$C$5:$C348))-ROW($A$4)))),0)</f>
        <v>28.400000000000134</v>
      </c>
      <c r="G349" s="55" t="e">
        <f>INDEX(UWS!$AB$10:$AB$41,MATCH(C349,UWS!$B$10:$B$41,0))</f>
        <v>#N/A</v>
      </c>
      <c r="H349" s="48" t="e">
        <f>INDEX(UWS!$C$10:$C$41,MATCH(C349,UWS!$B$10:$B$41,0))</f>
        <v>#N/A</v>
      </c>
      <c r="I349" s="27">
        <f t="shared" si="354"/>
        <v>5</v>
      </c>
      <c r="J349" s="27" t="e">
        <f>INDEX(UWS!$E$10:$E$41,MATCH(C349,UWS!$B$10:$B$41,0))</f>
        <v>#N/A</v>
      </c>
      <c r="L349" s="108" t="str" cm="1">
        <f t="array" ref="L349">IF(K349="","",INDEX(UWS!$B$10:$B$41,K349))</f>
        <v/>
      </c>
      <c r="N349" s="108" t="str" cm="1">
        <f t="array" ref="N349">IF(M349="","",INDEX(UWS!$B$10:$B$41,M349))</f>
        <v/>
      </c>
      <c r="P349">
        <f>IFERROR(INDEX(UWS!$G$10:$Z$41,MATCH($C349,UWS!$B$10:$B$41,0),MATCH(P$4,UWS!$G$3:$Z$3,0)),0)</f>
        <v>0</v>
      </c>
      <c r="Q349">
        <f>IFERROR(INDEX(UWS!$G$10:$Z$41,MATCH($C349,UWS!$B$10:$B$41,0),MATCH(Q$4,UWS!$G$3:$Z$3,0)),0)</f>
        <v>0</v>
      </c>
      <c r="R349">
        <f>IFERROR(INDEX(UWS!$G$10:$Z$41,MATCH($C349,UWS!$B$10:$B$41,0),MATCH(R$4,UWS!$G$3:$Z$3,0)),0)</f>
        <v>0</v>
      </c>
      <c r="S349">
        <f>IFERROR(INDEX(UWS!$G$10:$Z$41,MATCH($C349,UWS!$B$10:$B$41,0),MATCH(S$4,UWS!$G$3:$Z$3,0)),0)</f>
        <v>0</v>
      </c>
      <c r="T349">
        <f>IFERROR(INDEX(UWS!$G$10:$Z$41,MATCH($C349,UWS!$B$10:$B$41,0),MATCH(T$4,UWS!$G$3:$Z$3,0)),0)</f>
        <v>0</v>
      </c>
      <c r="U349">
        <f>IFERROR(INDEX(UWS!$G$10:$Z$41,MATCH($C349,UWS!$B$10:$B$41,0),MATCH(U$4,UWS!$G$3:$Z$3,0)),0)</f>
        <v>0</v>
      </c>
      <c r="V349">
        <f>IFERROR(INDEX(UWS!$G$10:$Z$41,MATCH($C349,UWS!$B$10:$B$41,0),MATCH(V$4,UWS!$G$3:$Z$3,0)),0)</f>
        <v>0</v>
      </c>
      <c r="W349">
        <f>IFERROR(INDEX(UWS!$G$10:$Z$41,MATCH($C349,UWS!$B$10:$B$41,0),MATCH(W$4,UWS!$G$3:$Z$3,0)),0)</f>
        <v>0</v>
      </c>
      <c r="X349">
        <f>IFERROR(INDEX(UWS!$G$10:$Z$41,MATCH($C349,UWS!$B$10:$B$41,0),MATCH(X$4,UWS!$G$3:$Z$3,0)),0)</f>
        <v>0</v>
      </c>
      <c r="Y349">
        <f>IFERROR(INDEX(UWS!$G$10:$Z$41,MATCH($C349,UWS!$B$10:$B$41,0),MATCH(Y$4,UWS!$G$3:$Z$3,0)),0)</f>
        <v>0</v>
      </c>
      <c r="Z349">
        <f>IFERROR(INDEX(UWS!$G$10:$Z$41,MATCH($C349,UWS!$B$10:$B$41,0),MATCH(Z$4,UWS!$G$3:$Z$3,0)),0)</f>
        <v>0</v>
      </c>
      <c r="AA349">
        <f>IFERROR(INDEX(UWS!$G$10:$Z$41,MATCH($C349,UWS!$B$10:$B$41,0),MATCH(AA$4,UWS!$G$3:$Z$3,0)),0)</f>
        <v>0</v>
      </c>
      <c r="AB349">
        <f>IFERROR(INDEX(UWS!$G$10:$Z$41,MATCH($C349,UWS!$B$10:$B$41,0),MATCH(AB$4,UWS!$G$3:$Z$3,0)),0)</f>
        <v>0</v>
      </c>
      <c r="AC349">
        <f>IFERROR(INDEX(UWS!$G$10:$Z$41,MATCH($C349,UWS!$B$10:$B$41,0),MATCH(AC$4,UWS!$G$3:$Z$3,0)),0)</f>
        <v>0</v>
      </c>
      <c r="AD349">
        <f>IFERROR(INDEX(UWS!$G$10:$Z$41,MATCH($C349,UWS!$B$10:$B$41,0),MATCH(AD$4,UWS!$G$3:$Z$3,0)),0)</f>
        <v>0</v>
      </c>
      <c r="AE349">
        <f>IFERROR(INDEX(UWS!$G$10:$Z$41,MATCH($C349,UWS!$B$10:$B$41,0),MATCH(AE$4,UWS!$G$3:$Z$3,0)),0)</f>
        <v>0</v>
      </c>
      <c r="AF349">
        <f>IFERROR(INDEX(UWS!$G$10:$Z$41,MATCH($C349,UWS!$B$10:$B$41,0),MATCH(AF$4,UWS!$G$3:$Z$3,0)),0)</f>
        <v>0</v>
      </c>
      <c r="AG349">
        <f>IFERROR(INDEX(UWS!$G$10:$Z$41,MATCH($C349,UWS!$B$10:$B$41,0),MATCH(AG$4,UWS!$G$3:$Z$3,0)),0)</f>
        <v>0</v>
      </c>
      <c r="AH349">
        <f>IFERROR(INDEX(UWS!$G$10:$Z$41,MATCH($C349,UWS!$B$10:$B$41,0),MATCH(AH$4,UWS!$G$3:$Z$3,0)),0)</f>
        <v>0</v>
      </c>
      <c r="AI349">
        <f>IFERROR(INDEX(UWS!$G$10:$Z$41,MATCH($C349,UWS!$B$10:$B$41,0),MATCH(AI$4,UWS!$G$3:$Z$3,0)),0)</f>
        <v>0</v>
      </c>
      <c r="AK349" t="e">
        <f>IF(OR($J349=0,COUNTIFS($A$4:$A348,"&gt;="&amp;$A349-1,$A$4:$A348,"&lt;="&amp;$A349,$B$4:$B348,$B349)&gt;0,MIN(AK$1,IF($A349=$A348,AK348,1))-P349&lt;0),-1,MIN(1,IF($A349=$A348,AK348,1)-P349+$D$3))</f>
        <v>#N/A</v>
      </c>
      <c r="AL349" t="e">
        <f>IF(OR($J349=0,COUNTIFS($A$4:$A348,"&gt;="&amp;$A349-1,$A$4:$A348,"&lt;="&amp;$A349,$B$4:$B348,$B349)&gt;0,MIN(AL$1,IF($A349=$A348,AL348,1))-Q349&lt;0),-1,MIN(1,IF($A349=$A348,AL348,1)-Q349+$D$3))</f>
        <v>#N/A</v>
      </c>
      <c r="AM349" t="e">
        <f>IF(OR($J349=0,COUNTIFS($A$4:$A348,"&gt;="&amp;$A349-1,$A$4:$A348,"&lt;="&amp;$A349,$B$4:$B348,$B349)&gt;0,MIN(AM$1,IF($A349=$A348,AM348,1))-R349&lt;0),-1,MIN(1,IF($A349=$A348,AM348,1)-R349+$D$3))</f>
        <v>#N/A</v>
      </c>
      <c r="AN349" t="e">
        <f>IF(OR($J349=0,COUNTIFS($A$4:$A348,"&gt;="&amp;$A349-1,$A$4:$A348,"&lt;="&amp;$A349,$B$4:$B348,$B349)&gt;0,MIN(AN$1,IF($A349=$A348,AN348,1))-S349&lt;0),-1,MIN(1,IF($A349=$A348,AN348,1)-S349+$D$3))</f>
        <v>#N/A</v>
      </c>
      <c r="AO349" t="e">
        <f>IF(OR($J349=0,COUNTIFS($A$4:$A348,"&gt;="&amp;$A349-1,$A$4:$A348,"&lt;="&amp;$A349,$B$4:$B348,$B349)&gt;0,MIN(AO$1,IF($A349=$A348,AO348,1))-T349&lt;0),-1,MIN(1,IF($A349=$A348,AO348,1)-T349+$D$3))</f>
        <v>#N/A</v>
      </c>
      <c r="AP349" t="e">
        <f>IF(OR($J349=0,COUNTIFS($A$4:$A348,"&gt;="&amp;$A349-1,$A$4:$A348,"&lt;="&amp;$A349,$B$4:$B348,$B349)&gt;0,MIN(AP$1,IF($A349=$A348,AP348,1))-U349&lt;0),-1,MIN(1,IF($A349=$A348,AP348,1)-U349+$D$3))</f>
        <v>#N/A</v>
      </c>
      <c r="AQ349" t="e">
        <f>IF(OR($J349=0,COUNTIFS($A$4:$A348,"&gt;="&amp;$A349-1,$A$4:$A348,"&lt;="&amp;$A349,$B$4:$B348,$B349)&gt;0,MIN(AQ$1,IF($A349=$A348,AQ348,1))-V349&lt;0),-1,MIN(1,IF($A349=$A348,AQ348,1)-V349+$D$3))</f>
        <v>#N/A</v>
      </c>
      <c r="AR349" t="e">
        <f>IF(OR($J349=0,COUNTIFS($A$4:$A348,"&gt;="&amp;$A349-1,$A$4:$A348,"&lt;="&amp;$A349,$B$4:$B348,$B349)&gt;0,MIN(AR$1,IF($A349=$A348,AR348,1))-W349&lt;0),-1,MIN(1,IF($A349=$A348,AR348,1)-W349+$D$3))</f>
        <v>#N/A</v>
      </c>
      <c r="AS349" t="e">
        <f>IF(OR($J349=0,COUNTIFS($A$4:$A348,"&gt;="&amp;$A349-1,$A$4:$A348,"&lt;="&amp;$A349,$B$4:$B348,$B349)&gt;0,MIN(AS$1,IF($A349=$A348,AS348,1))-X349&lt;0),-1,MIN(1,IF($A349=$A348,AS348,1)-X349+$D$3))</f>
        <v>#N/A</v>
      </c>
      <c r="AT349" t="e">
        <f>IF(OR($J349=0,COUNTIFS($A$4:$A348,"&gt;="&amp;$A349-1,$A$4:$A348,"&lt;="&amp;$A349,$B$4:$B348,$B349)&gt;0,MIN(AT$1,IF($A349=$A348,AT348,1))-Y349&lt;0),-1,MIN(1,IF($A349=$A348,AT348,1)-Y349+$D$3))</f>
        <v>#N/A</v>
      </c>
      <c r="AU349" t="e">
        <f>IF(OR($J349=0,COUNTIFS($A$4:$A348,"&gt;="&amp;$A349-1,$A$4:$A348,"&lt;="&amp;$A349,$B$4:$B348,$B349)&gt;0,MIN(AU$1,IF($A349=$A348,AU348,1))-Z349&lt;0),-1,MIN(1,IF($A349=$A348,AU348,1)-Z349+$D$3))</f>
        <v>#N/A</v>
      </c>
      <c r="AV349" t="e">
        <f>IF(OR($J349=0,COUNTIFS($A$4:$A348,"&gt;="&amp;$A349-1,$A$4:$A348,"&lt;="&amp;$A349,$B$4:$B348,$B349)&gt;0,MIN(AV$1,IF($A349=$A348,AV348,1))-AA349&lt;0),-1,MIN(1,IF($A349=$A348,AV348,1)-AA349+$D$3))</f>
        <v>#N/A</v>
      </c>
      <c r="AW349" t="e">
        <f>IF(OR($J349=0,COUNTIFS($A$4:$A348,"&gt;="&amp;$A349-1,$A$4:$A348,"&lt;="&amp;$A349,$B$4:$B348,$B349)&gt;0,MIN(AW$1,IF($A349=$A348,AW348,1))-AB349&lt;0),-1,MIN(1,IF($A349=$A348,AW348,1)-AB349+$D$3))</f>
        <v>#N/A</v>
      </c>
      <c r="AX349" t="e">
        <f>IF(OR($J349=0,COUNTIFS($A$4:$A348,"&gt;="&amp;$A349-1,$A$4:$A348,"&lt;="&amp;$A349,$B$4:$B348,$B349)&gt;0,MIN(AX$1,IF($A349=$A348,AX348,1))-AC349&lt;0),-1,MIN(1,IF($A349=$A348,AX348,1)-AC349+$D$3))</f>
        <v>#N/A</v>
      </c>
      <c r="AY349" t="e">
        <f>IF(OR($J349=0,COUNTIFS($A$4:$A348,"&gt;="&amp;$A349-1,$A$4:$A348,"&lt;="&amp;$A349,$B$4:$B348,$B349)&gt;0,MIN(AY$1,IF($A349=$A348,AY348,1))-AD349&lt;0),-1,MIN(1,IF($A349=$A348,AY348,1)-AD349+$D$3))</f>
        <v>#N/A</v>
      </c>
      <c r="AZ349" t="e">
        <f>IF(OR($J349=0,COUNTIFS($A$4:$A348,"&gt;="&amp;$A349-1,$A$4:$A348,"&lt;="&amp;$A349,$B$4:$B348,$B349)&gt;0,MIN(AZ$1,IF($A349=$A348,AZ348,1))-AE349&lt;0),-1,MIN(1,IF($A349=$A348,AZ348,1)-AE349+$D$3))</f>
        <v>#N/A</v>
      </c>
      <c r="BA349" t="e">
        <f>IF(OR($J349=0,COUNTIFS($A$4:$A348,"&gt;="&amp;$A349-1,$A$4:$A348,"&lt;="&amp;$A349,$B$4:$B348,$B349)&gt;0,MIN(BA$1,IF($A349=$A348,BA348,1))-AF349&lt;0),-1,MIN(1,IF($A349=$A348,BA348,1)-AF349+$D$3))</f>
        <v>#N/A</v>
      </c>
      <c r="BB349" t="e">
        <f>IF(OR($J349=0,COUNTIFS($A$4:$A348,"&gt;="&amp;$A349-1,$A$4:$A348,"&lt;="&amp;$A349,$B$4:$B348,$B349)&gt;0,MIN(BB$1,IF($A349=$A348,BB348,1))-AG349&lt;0),-1,MIN(1,IF($A349=$A348,BB348,1)-AG349+$D$3))</f>
        <v>#N/A</v>
      </c>
      <c r="BC349" t="e">
        <f>IF(OR($J349=0,COUNTIFS($A$4:$A348,"&gt;="&amp;$A349-1,$A$4:$A348,"&lt;="&amp;$A349,$B$4:$B348,$B349)&gt;0,MIN(BC$1,IF($A349=$A348,BC348,1))-AH349&lt;0),-1,MIN(1,IF($A349=$A348,BC348,1)-AH349+$D$3))</f>
        <v>#N/A</v>
      </c>
      <c r="BD349" t="e">
        <f>IF(OR($J349=0,COUNTIFS($A$4:$A348,"&gt;="&amp;$A349-1,$A$4:$A348,"&lt;="&amp;$A349,$B$4:$B348,$B349)&gt;0,MIN(BD$1,IF($A349=$A348,BD348,1))-AI349&lt;0),-1,MIN(1,IF($A349=$A348,BD348,1)-AI349+$D$3))</f>
        <v>#N/A</v>
      </c>
      <c r="BF349" s="44">
        <f t="shared" si="355"/>
        <v>4.3747145281548747E-8</v>
      </c>
      <c r="BG349" s="44">
        <f t="shared" si="356"/>
        <v>1.075865748719665E-7</v>
      </c>
      <c r="BH349" s="44">
        <f t="shared" si="357"/>
        <v>1.1026492224442769E-7</v>
      </c>
      <c r="BI349" s="44">
        <f t="shared" si="358"/>
        <v>1.0185417439049457E-7</v>
      </c>
      <c r="BJ349" s="44">
        <f t="shared" si="359"/>
        <v>1.0527595885638115E-7</v>
      </c>
      <c r="BK349" s="44">
        <f t="shared" si="360"/>
        <v>4.5209421940696239E-8</v>
      </c>
      <c r="BL349" s="44">
        <f t="shared" si="361"/>
        <v>2.4422840984815815E-8</v>
      </c>
      <c r="BM349" s="44">
        <f t="shared" si="362"/>
        <v>6.2128855487242207E-8</v>
      </c>
      <c r="BN349" s="44">
        <f t="shared" si="363"/>
        <v>6.4618851742763119E-8</v>
      </c>
      <c r="BO349" s="44">
        <f t="shared" si="364"/>
        <v>3.0282845930649943E-8</v>
      </c>
      <c r="BP349" s="44">
        <f t="shared" si="365"/>
        <v>1.0182539473399431E-7</v>
      </c>
      <c r="BQ349" s="44">
        <f t="shared" si="366"/>
        <v>2.7478458944990087E-8</v>
      </c>
      <c r="BR349" s="44">
        <f t="shared" si="367"/>
        <v>8.1178246301127234E-8</v>
      </c>
      <c r="BS349" s="44">
        <f t="shared" si="368"/>
        <v>4.3780505474767682E-8</v>
      </c>
      <c r="BT349" s="44">
        <f t="shared" si="369"/>
        <v>1.7325288223550543E-7</v>
      </c>
      <c r="BU349" s="44">
        <f t="shared" si="370"/>
        <v>1.6550863631972262E-7</v>
      </c>
      <c r="BV349" s="44">
        <f t="shared" si="371"/>
        <v>1.5894901858838745E-7</v>
      </c>
      <c r="BW349" s="44">
        <f t="shared" si="372"/>
        <v>1.039614051876152E-7</v>
      </c>
      <c r="BX349" s="44">
        <f t="shared" si="373"/>
        <v>7.6804798291223454E-8</v>
      </c>
      <c r="BY349" s="44">
        <f t="shared" si="374"/>
        <v>6.5945747042215284E-8</v>
      </c>
      <c r="CA349" s="44" t="str">
        <f t="shared" si="375"/>
        <v/>
      </c>
      <c r="CB349" s="44" t="str">
        <f t="shared" si="376"/>
        <v/>
      </c>
      <c r="CC349" s="44" t="str">
        <f t="shared" si="377"/>
        <v/>
      </c>
      <c r="CD349" s="44" t="str">
        <f t="shared" si="378"/>
        <v/>
      </c>
      <c r="CE349" s="44" t="str">
        <f t="shared" si="379"/>
        <v/>
      </c>
      <c r="CF349" s="44" t="str">
        <f t="shared" si="380"/>
        <v/>
      </c>
      <c r="CG349" s="44" t="str">
        <f t="shared" si="381"/>
        <v/>
      </c>
      <c r="CH349" s="44" t="str">
        <f t="shared" si="382"/>
        <v/>
      </c>
      <c r="CI349" s="44" t="str">
        <f t="shared" si="383"/>
        <v/>
      </c>
      <c r="CJ349" s="44" t="str">
        <f t="shared" si="384"/>
        <v/>
      </c>
      <c r="CK349" s="44" t="str">
        <f t="shared" si="385"/>
        <v/>
      </c>
      <c r="CL349" s="44" t="str">
        <f t="shared" si="386"/>
        <v/>
      </c>
      <c r="CM349" s="44" t="str">
        <f t="shared" si="387"/>
        <v/>
      </c>
      <c r="CN349" s="44" t="str">
        <f t="shared" si="388"/>
        <v/>
      </c>
      <c r="CO349" s="44" t="str">
        <f t="shared" si="389"/>
        <v/>
      </c>
      <c r="CP349" s="44" t="str">
        <f t="shared" si="390"/>
        <v/>
      </c>
      <c r="CQ349" s="44" t="str">
        <f t="shared" si="391"/>
        <v/>
      </c>
      <c r="CR349" s="44" t="str">
        <f t="shared" si="392"/>
        <v/>
      </c>
      <c r="CS349" s="44" t="str">
        <f t="shared" si="393"/>
        <v/>
      </c>
      <c r="CT349" s="44" t="str">
        <f t="shared" si="394"/>
        <v/>
      </c>
      <c r="CV349" s="44">
        <f t="shared" si="395"/>
        <v>0</v>
      </c>
    </row>
    <row r="350" spans="1:100" x14ac:dyDescent="0.25">
      <c r="A350" s="49"/>
      <c r="B350" s="50"/>
      <c r="C350" s="51" t="str" cm="1">
        <f t="array" ref="C350">IF(B350="","",INDEX(UWS!$B$10:$B$41,B350))</f>
        <v/>
      </c>
      <c r="D350" s="45" t="str">
        <f t="shared" si="352"/>
        <v/>
      </c>
      <c r="E350" s="70" t="str">
        <f t="shared" si="353"/>
        <v/>
      </c>
      <c r="F350" s="52" cm="1">
        <f t="array" ref="F350">0.1+IFERROR(INDEX($F$5:$F349,SUMPRODUCT(MAX(ROW($C$5:$C349)*($C350=$C$5:$C349))-ROW($A$4)))*0.9^($A350-INDEX($A$5:A349,SUMPRODUCT(MAX(ROW($C$5:$C349)*($C350=$C$5:$C349))-ROW($A$4)))),0)</f>
        <v>28.500000000000135</v>
      </c>
      <c r="G350" s="56" t="e">
        <f>INDEX(UWS!$AB$10:$AB$41,MATCH(C350,UWS!$B$10:$B$41,0))</f>
        <v>#N/A</v>
      </c>
      <c r="H350" s="52" t="e">
        <f>INDEX(UWS!$C$10:$C$41,MATCH(C350,UWS!$B$10:$B$41,0))</f>
        <v>#N/A</v>
      </c>
      <c r="I350" s="46">
        <f t="shared" si="354"/>
        <v>5</v>
      </c>
      <c r="J350" s="46" t="e">
        <f>INDEX(UWS!$E$10:$E$41,MATCH(C350,UWS!$B$10:$B$41,0))</f>
        <v>#N/A</v>
      </c>
      <c r="K350" s="46"/>
      <c r="L350" s="109" t="str" cm="1">
        <f t="array" ref="L350">IF(K350="","",INDEX(UWS!$B$10:$B$41,K350))</f>
        <v/>
      </c>
      <c r="M350" s="46"/>
      <c r="N350" s="109" t="str" cm="1">
        <f t="array" ref="N350">IF(M350="","",INDEX(UWS!$B$10:$B$41,M350))</f>
        <v/>
      </c>
      <c r="O350" s="47"/>
      <c r="P350" s="47">
        <f>IFERROR(INDEX(UWS!$G$10:$Z$41,MATCH($C350,UWS!$B$10:$B$41,0),MATCH(P$4,UWS!$G$3:$Z$3,0)),0)</f>
        <v>0</v>
      </c>
      <c r="Q350" s="47">
        <f>IFERROR(INDEX(UWS!$G$10:$Z$41,MATCH($C350,UWS!$B$10:$B$41,0),MATCH(Q$4,UWS!$G$3:$Z$3,0)),0)</f>
        <v>0</v>
      </c>
      <c r="R350" s="47">
        <f>IFERROR(INDEX(UWS!$G$10:$Z$41,MATCH($C350,UWS!$B$10:$B$41,0),MATCH(R$4,UWS!$G$3:$Z$3,0)),0)</f>
        <v>0</v>
      </c>
      <c r="S350" s="47">
        <f>IFERROR(INDEX(UWS!$G$10:$Z$41,MATCH($C350,UWS!$B$10:$B$41,0),MATCH(S$4,UWS!$G$3:$Z$3,0)),0)</f>
        <v>0</v>
      </c>
      <c r="T350" s="47">
        <f>IFERROR(INDEX(UWS!$G$10:$Z$41,MATCH($C350,UWS!$B$10:$B$41,0),MATCH(T$4,UWS!$G$3:$Z$3,0)),0)</f>
        <v>0</v>
      </c>
      <c r="U350" s="47">
        <f>IFERROR(INDEX(UWS!$G$10:$Z$41,MATCH($C350,UWS!$B$10:$B$41,0),MATCH(U$4,UWS!$G$3:$Z$3,0)),0)</f>
        <v>0</v>
      </c>
      <c r="V350" s="47">
        <f>IFERROR(INDEX(UWS!$G$10:$Z$41,MATCH($C350,UWS!$B$10:$B$41,0),MATCH(V$4,UWS!$G$3:$Z$3,0)),0)</f>
        <v>0</v>
      </c>
      <c r="W350" s="47">
        <f>IFERROR(INDEX(UWS!$G$10:$Z$41,MATCH($C350,UWS!$B$10:$B$41,0),MATCH(W$4,UWS!$G$3:$Z$3,0)),0)</f>
        <v>0</v>
      </c>
      <c r="X350" s="47">
        <f>IFERROR(INDEX(UWS!$G$10:$Z$41,MATCH($C350,UWS!$B$10:$B$41,0),MATCH(X$4,UWS!$G$3:$Z$3,0)),0)</f>
        <v>0</v>
      </c>
      <c r="Y350" s="47">
        <f>IFERROR(INDEX(UWS!$G$10:$Z$41,MATCH($C350,UWS!$B$10:$B$41,0),MATCH(Y$4,UWS!$G$3:$Z$3,0)),0)</f>
        <v>0</v>
      </c>
      <c r="Z350" s="47">
        <f>IFERROR(INDEX(UWS!$G$10:$Z$41,MATCH($C350,UWS!$B$10:$B$41,0),MATCH(Z$4,UWS!$G$3:$Z$3,0)),0)</f>
        <v>0</v>
      </c>
      <c r="AA350" s="47">
        <f>IFERROR(INDEX(UWS!$G$10:$Z$41,MATCH($C350,UWS!$B$10:$B$41,0),MATCH(AA$4,UWS!$G$3:$Z$3,0)),0)</f>
        <v>0</v>
      </c>
      <c r="AB350" s="47">
        <f>IFERROR(INDEX(UWS!$G$10:$Z$41,MATCH($C350,UWS!$B$10:$B$41,0),MATCH(AB$4,UWS!$G$3:$Z$3,0)),0)</f>
        <v>0</v>
      </c>
      <c r="AC350" s="47">
        <f>IFERROR(INDEX(UWS!$G$10:$Z$41,MATCH($C350,UWS!$B$10:$B$41,0),MATCH(AC$4,UWS!$G$3:$Z$3,0)),0)</f>
        <v>0</v>
      </c>
      <c r="AD350" s="47">
        <f>IFERROR(INDEX(UWS!$G$10:$Z$41,MATCH($C350,UWS!$B$10:$B$41,0),MATCH(AD$4,UWS!$G$3:$Z$3,0)),0)</f>
        <v>0</v>
      </c>
      <c r="AE350" s="47">
        <f>IFERROR(INDEX(UWS!$G$10:$Z$41,MATCH($C350,UWS!$B$10:$B$41,0),MATCH(AE$4,UWS!$G$3:$Z$3,0)),0)</f>
        <v>0</v>
      </c>
      <c r="AF350" s="47">
        <f>IFERROR(INDEX(UWS!$G$10:$Z$41,MATCH($C350,UWS!$B$10:$B$41,0),MATCH(AF$4,UWS!$G$3:$Z$3,0)),0)</f>
        <v>0</v>
      </c>
      <c r="AG350" s="47">
        <f>IFERROR(INDEX(UWS!$G$10:$Z$41,MATCH($C350,UWS!$B$10:$B$41,0),MATCH(AG$4,UWS!$G$3:$Z$3,0)),0)</f>
        <v>0</v>
      </c>
      <c r="AH350" s="47">
        <f>IFERROR(INDEX(UWS!$G$10:$Z$41,MATCH($C350,UWS!$B$10:$B$41,0),MATCH(AH$4,UWS!$G$3:$Z$3,0)),0)</f>
        <v>0</v>
      </c>
      <c r="AI350" s="47">
        <f>IFERROR(INDEX(UWS!$G$10:$Z$41,MATCH($C350,UWS!$B$10:$B$41,0),MATCH(AI$4,UWS!$G$3:$Z$3,0)),0)</f>
        <v>0</v>
      </c>
      <c r="AJ350" s="47"/>
      <c r="AK350" s="47" t="e">
        <f>IF(OR($J350=0,COUNTIFS($A$4:$A349,"&gt;="&amp;$A350-1,$A$4:$A349,"&lt;="&amp;$A350,$B$4:$B349,$B350)&gt;0,MIN(AK$1,IF($A350=$A349,AK349,1))-P350&lt;0),-1,MIN(1,IF($A350=$A349,AK349,1)-P350+$D$3))</f>
        <v>#N/A</v>
      </c>
      <c r="AL350" s="47" t="e">
        <f>IF(OR($J350=0,COUNTIFS($A$4:$A349,"&gt;="&amp;$A350-1,$A$4:$A349,"&lt;="&amp;$A350,$B$4:$B349,$B350)&gt;0,MIN(AL$1,IF($A350=$A349,AL349,1))-Q350&lt;0),-1,MIN(1,IF($A350=$A349,AL349,1)-Q350+$D$3))</f>
        <v>#N/A</v>
      </c>
      <c r="AM350" s="47" t="e">
        <f>IF(OR($J350=0,COUNTIFS($A$4:$A349,"&gt;="&amp;$A350-1,$A$4:$A349,"&lt;="&amp;$A350,$B$4:$B349,$B350)&gt;0,MIN(AM$1,IF($A350=$A349,AM349,1))-R350&lt;0),-1,MIN(1,IF($A350=$A349,AM349,1)-R350+$D$3))</f>
        <v>#N/A</v>
      </c>
      <c r="AN350" s="47" t="e">
        <f>IF(OR($J350=0,COUNTIFS($A$4:$A349,"&gt;="&amp;$A350-1,$A$4:$A349,"&lt;="&amp;$A350,$B$4:$B349,$B350)&gt;0,MIN(AN$1,IF($A350=$A349,AN349,1))-S350&lt;0),-1,MIN(1,IF($A350=$A349,AN349,1)-S350+$D$3))</f>
        <v>#N/A</v>
      </c>
      <c r="AO350" s="47" t="e">
        <f>IF(OR($J350=0,COUNTIFS($A$4:$A349,"&gt;="&amp;$A350-1,$A$4:$A349,"&lt;="&amp;$A350,$B$4:$B349,$B350)&gt;0,MIN(AO$1,IF($A350=$A349,AO349,1))-T350&lt;0),-1,MIN(1,IF($A350=$A349,AO349,1)-T350+$D$3))</f>
        <v>#N/A</v>
      </c>
      <c r="AP350" s="47" t="e">
        <f>IF(OR($J350=0,COUNTIFS($A$4:$A349,"&gt;="&amp;$A350-1,$A$4:$A349,"&lt;="&amp;$A350,$B$4:$B349,$B350)&gt;0,MIN(AP$1,IF($A350=$A349,AP349,1))-U350&lt;0),-1,MIN(1,IF($A350=$A349,AP349,1)-U350+$D$3))</f>
        <v>#N/A</v>
      </c>
      <c r="AQ350" s="47" t="e">
        <f>IF(OR($J350=0,COUNTIFS($A$4:$A349,"&gt;="&amp;$A350-1,$A$4:$A349,"&lt;="&amp;$A350,$B$4:$B349,$B350)&gt;0,MIN(AQ$1,IF($A350=$A349,AQ349,1))-V350&lt;0),-1,MIN(1,IF($A350=$A349,AQ349,1)-V350+$D$3))</f>
        <v>#N/A</v>
      </c>
      <c r="AR350" s="47" t="e">
        <f>IF(OR($J350=0,COUNTIFS($A$4:$A349,"&gt;="&amp;$A350-1,$A$4:$A349,"&lt;="&amp;$A350,$B$4:$B349,$B350)&gt;0,MIN(AR$1,IF($A350=$A349,AR349,1))-W350&lt;0),-1,MIN(1,IF($A350=$A349,AR349,1)-W350+$D$3))</f>
        <v>#N/A</v>
      </c>
      <c r="AS350" s="47" t="e">
        <f>IF(OR($J350=0,COUNTIFS($A$4:$A349,"&gt;="&amp;$A350-1,$A$4:$A349,"&lt;="&amp;$A350,$B$4:$B349,$B350)&gt;0,MIN(AS$1,IF($A350=$A349,AS349,1))-X350&lt;0),-1,MIN(1,IF($A350=$A349,AS349,1)-X350+$D$3))</f>
        <v>#N/A</v>
      </c>
      <c r="AT350" s="47" t="e">
        <f>IF(OR($J350=0,COUNTIFS($A$4:$A349,"&gt;="&amp;$A350-1,$A$4:$A349,"&lt;="&amp;$A350,$B$4:$B349,$B350)&gt;0,MIN(AT$1,IF($A350=$A349,AT349,1))-Y350&lt;0),-1,MIN(1,IF($A350=$A349,AT349,1)-Y350+$D$3))</f>
        <v>#N/A</v>
      </c>
      <c r="AU350" s="47" t="e">
        <f>IF(OR($J350=0,COUNTIFS($A$4:$A349,"&gt;="&amp;$A350-1,$A$4:$A349,"&lt;="&amp;$A350,$B$4:$B349,$B350)&gt;0,MIN(AU$1,IF($A350=$A349,AU349,1))-Z350&lt;0),-1,MIN(1,IF($A350=$A349,AU349,1)-Z350+$D$3))</f>
        <v>#N/A</v>
      </c>
      <c r="AV350" s="47" t="e">
        <f>IF(OR($J350=0,COUNTIFS($A$4:$A349,"&gt;="&amp;$A350-1,$A$4:$A349,"&lt;="&amp;$A350,$B$4:$B349,$B350)&gt;0,MIN(AV$1,IF($A350=$A349,AV349,1))-AA350&lt;0),-1,MIN(1,IF($A350=$A349,AV349,1)-AA350+$D$3))</f>
        <v>#N/A</v>
      </c>
      <c r="AW350" s="47" t="e">
        <f>IF(OR($J350=0,COUNTIFS($A$4:$A349,"&gt;="&amp;$A350-1,$A$4:$A349,"&lt;="&amp;$A350,$B$4:$B349,$B350)&gt;0,MIN(AW$1,IF($A350=$A349,AW349,1))-AB350&lt;0),-1,MIN(1,IF($A350=$A349,AW349,1)-AB350+$D$3))</f>
        <v>#N/A</v>
      </c>
      <c r="AX350" s="47" t="e">
        <f>IF(OR($J350=0,COUNTIFS($A$4:$A349,"&gt;="&amp;$A350-1,$A$4:$A349,"&lt;="&amp;$A350,$B$4:$B349,$B350)&gt;0,MIN(AX$1,IF($A350=$A349,AX349,1))-AC350&lt;0),-1,MIN(1,IF($A350=$A349,AX349,1)-AC350+$D$3))</f>
        <v>#N/A</v>
      </c>
      <c r="AY350" s="47" t="e">
        <f>IF(OR($J350=0,COUNTIFS($A$4:$A349,"&gt;="&amp;$A350-1,$A$4:$A349,"&lt;="&amp;$A350,$B$4:$B349,$B350)&gt;0,MIN(AY$1,IF($A350=$A349,AY349,1))-AD350&lt;0),-1,MIN(1,IF($A350=$A349,AY349,1)-AD350+$D$3))</f>
        <v>#N/A</v>
      </c>
      <c r="AZ350" s="47" t="e">
        <f>IF(OR($J350=0,COUNTIFS($A$4:$A349,"&gt;="&amp;$A350-1,$A$4:$A349,"&lt;="&amp;$A350,$B$4:$B349,$B350)&gt;0,MIN(AZ$1,IF($A350=$A349,AZ349,1))-AE350&lt;0),-1,MIN(1,IF($A350=$A349,AZ349,1)-AE350+$D$3))</f>
        <v>#N/A</v>
      </c>
      <c r="BA350" s="47" t="e">
        <f>IF(OR($J350=0,COUNTIFS($A$4:$A349,"&gt;="&amp;$A350-1,$A$4:$A349,"&lt;="&amp;$A350,$B$4:$B349,$B350)&gt;0,MIN(BA$1,IF($A350=$A349,BA349,1))-AF350&lt;0),-1,MIN(1,IF($A350=$A349,BA349,1)-AF350+$D$3))</f>
        <v>#N/A</v>
      </c>
      <c r="BB350" s="47" t="e">
        <f>IF(OR($J350=0,COUNTIFS($A$4:$A349,"&gt;="&amp;$A350-1,$A$4:$A349,"&lt;="&amp;$A350,$B$4:$B349,$B350)&gt;0,MIN(BB$1,IF($A350=$A349,BB349,1))-AG350&lt;0),-1,MIN(1,IF($A350=$A349,BB349,1)-AG350+$D$3))</f>
        <v>#N/A</v>
      </c>
      <c r="BC350" s="47" t="e">
        <f>IF(OR($J350=0,COUNTIFS($A$4:$A349,"&gt;="&amp;$A350-1,$A$4:$A349,"&lt;="&amp;$A350,$B$4:$B349,$B350)&gt;0,MIN(BC$1,IF($A350=$A349,BC349,1))-AH350&lt;0),-1,MIN(1,IF($A350=$A349,BC349,1)-AH350+$D$3))</f>
        <v>#N/A</v>
      </c>
      <c r="BD350" s="47" t="e">
        <f>IF(OR($J350=0,COUNTIFS($A$4:$A349,"&gt;="&amp;$A350-1,$A$4:$A349,"&lt;="&amp;$A350,$B$4:$B349,$B350)&gt;0,MIN(BD$1,IF($A350=$A349,BD349,1))-AI350&lt;0),-1,MIN(1,IF($A350=$A349,BD349,1)-AI350+$D$3))</f>
        <v>#N/A</v>
      </c>
      <c r="BE350" s="47"/>
      <c r="BF350" s="53">
        <f t="shared" si="355"/>
        <v>4.1559788017471307E-8</v>
      </c>
      <c r="BG350" s="53">
        <f t="shared" si="356"/>
        <v>1.0220724612836816E-7</v>
      </c>
      <c r="BH350" s="53">
        <f t="shared" si="357"/>
        <v>1.0475167613220629E-7</v>
      </c>
      <c r="BI350" s="53">
        <f t="shared" si="358"/>
        <v>9.6761465670969838E-8</v>
      </c>
      <c r="BJ350" s="53">
        <f t="shared" si="359"/>
        <v>1.0001216091356209E-7</v>
      </c>
      <c r="BK350" s="53">
        <f t="shared" si="360"/>
        <v>4.2948950843661426E-8</v>
      </c>
      <c r="BL350" s="53">
        <f t="shared" si="361"/>
        <v>2.3201698935575023E-8</v>
      </c>
      <c r="BM350" s="53">
        <f t="shared" si="362"/>
        <v>5.902241271288009E-8</v>
      </c>
      <c r="BN350" s="53">
        <f t="shared" si="363"/>
        <v>6.1387909155624961E-8</v>
      </c>
      <c r="BO350" s="53">
        <f t="shared" si="364"/>
        <v>2.8768703634117444E-8</v>
      </c>
      <c r="BP350" s="53">
        <f t="shared" si="365"/>
        <v>9.6734124997294591E-8</v>
      </c>
      <c r="BQ350" s="53">
        <f t="shared" si="366"/>
        <v>2.6104535997740581E-8</v>
      </c>
      <c r="BR350" s="53">
        <f t="shared" si="367"/>
        <v>7.7119333986070872E-8</v>
      </c>
      <c r="BS350" s="53">
        <f t="shared" si="368"/>
        <v>4.1591480201029293E-8</v>
      </c>
      <c r="BT350" s="53">
        <f t="shared" si="369"/>
        <v>1.6459023812373016E-7</v>
      </c>
      <c r="BU350" s="53">
        <f t="shared" si="370"/>
        <v>1.5723320450373649E-7</v>
      </c>
      <c r="BV350" s="53">
        <f t="shared" si="371"/>
        <v>1.5100156765896808E-7</v>
      </c>
      <c r="BW350" s="53">
        <f t="shared" si="372"/>
        <v>9.8763334928234439E-8</v>
      </c>
      <c r="BX350" s="53">
        <f t="shared" si="373"/>
        <v>7.296455837666228E-8</v>
      </c>
      <c r="BY350" s="53">
        <f t="shared" si="374"/>
        <v>6.264845969010452E-8</v>
      </c>
      <c r="BZ350" s="47"/>
      <c r="CA350" s="53" t="str">
        <f t="shared" si="375"/>
        <v/>
      </c>
      <c r="CB350" s="53" t="str">
        <f t="shared" si="376"/>
        <v/>
      </c>
      <c r="CC350" s="53" t="str">
        <f t="shared" si="377"/>
        <v/>
      </c>
      <c r="CD350" s="53" t="str">
        <f t="shared" si="378"/>
        <v/>
      </c>
      <c r="CE350" s="53" t="str">
        <f t="shared" si="379"/>
        <v/>
      </c>
      <c r="CF350" s="53" t="str">
        <f t="shared" si="380"/>
        <v/>
      </c>
      <c r="CG350" s="53" t="str">
        <f t="shared" si="381"/>
        <v/>
      </c>
      <c r="CH350" s="53" t="str">
        <f t="shared" si="382"/>
        <v/>
      </c>
      <c r="CI350" s="53" t="str">
        <f t="shared" si="383"/>
        <v/>
      </c>
      <c r="CJ350" s="53" t="str">
        <f t="shared" si="384"/>
        <v/>
      </c>
      <c r="CK350" s="53" t="str">
        <f t="shared" si="385"/>
        <v/>
      </c>
      <c r="CL350" s="53" t="str">
        <f t="shared" si="386"/>
        <v/>
      </c>
      <c r="CM350" s="53" t="str">
        <f t="shared" si="387"/>
        <v/>
      </c>
      <c r="CN350" s="53" t="str">
        <f t="shared" si="388"/>
        <v/>
      </c>
      <c r="CO350" s="53" t="str">
        <f t="shared" si="389"/>
        <v/>
      </c>
      <c r="CP350" s="53" t="str">
        <f t="shared" si="390"/>
        <v/>
      </c>
      <c r="CQ350" s="53" t="str">
        <f t="shared" si="391"/>
        <v/>
      </c>
      <c r="CR350" s="53" t="str">
        <f t="shared" si="392"/>
        <v/>
      </c>
      <c r="CS350" s="53" t="str">
        <f t="shared" si="393"/>
        <v/>
      </c>
      <c r="CT350" s="53" t="str">
        <f t="shared" si="394"/>
        <v/>
      </c>
      <c r="CU350" s="47"/>
      <c r="CV350" s="53">
        <f t="shared" si="395"/>
        <v>0</v>
      </c>
    </row>
    <row r="351" spans="1:100" x14ac:dyDescent="0.25">
      <c r="A351" s="41"/>
      <c r="B351" s="42"/>
      <c r="C351" s="43" t="str" cm="1">
        <f t="array" ref="C351">IF(B351="","",INDEX(UWS!$B$10:$B$41,B351))</f>
        <v/>
      </c>
      <c r="D351" s="40" t="str">
        <f t="shared" si="352"/>
        <v/>
      </c>
      <c r="E351" s="69" t="str">
        <f t="shared" si="353"/>
        <v/>
      </c>
      <c r="F351" s="48" cm="1">
        <f t="array" ref="F351">0.1+IFERROR(INDEX($F$5:$F350,SUMPRODUCT(MAX(ROW($C$5:$C350)*($C351=$C$5:$C350))-ROW($A$4)))*0.9^($A351-INDEX($A$5:A350,SUMPRODUCT(MAX(ROW($C$5:$C350)*($C351=$C$5:$C350))-ROW($A$4)))),0)</f>
        <v>28.600000000000136</v>
      </c>
      <c r="G351" s="55" t="e">
        <f>INDEX(UWS!$AB$10:$AB$41,MATCH(C351,UWS!$B$10:$B$41,0))</f>
        <v>#N/A</v>
      </c>
      <c r="H351" s="48" t="e">
        <f>INDEX(UWS!$C$10:$C$41,MATCH(C351,UWS!$B$10:$B$41,0))</f>
        <v>#N/A</v>
      </c>
      <c r="I351" s="82">
        <f t="shared" si="354"/>
        <v>5</v>
      </c>
      <c r="J351" s="27" t="e">
        <f>INDEX(UWS!$E$10:$E$41,MATCH(C351,UWS!$B$10:$B$41,0))</f>
        <v>#N/A</v>
      </c>
      <c r="L351" s="108" t="str" cm="1">
        <f t="array" ref="L351">IF(K351="","",INDEX(UWS!$B$10:$B$41,K351))</f>
        <v/>
      </c>
      <c r="N351" s="108" t="str" cm="1">
        <f t="array" ref="N351">IF(M351="","",INDEX(UWS!$B$10:$B$41,M351))</f>
        <v/>
      </c>
      <c r="P351">
        <f>IFERROR(INDEX(UWS!$G$10:$Z$41,MATCH($C351,UWS!$B$10:$B$41,0),MATCH(P$4,UWS!$G$3:$Z$3,0)),0)</f>
        <v>0</v>
      </c>
      <c r="Q351">
        <f>IFERROR(INDEX(UWS!$G$10:$Z$41,MATCH($C351,UWS!$B$10:$B$41,0),MATCH(Q$4,UWS!$G$3:$Z$3,0)),0)</f>
        <v>0</v>
      </c>
      <c r="R351">
        <f>IFERROR(INDEX(UWS!$G$10:$Z$41,MATCH($C351,UWS!$B$10:$B$41,0),MATCH(R$4,UWS!$G$3:$Z$3,0)),0)</f>
        <v>0</v>
      </c>
      <c r="S351">
        <f>IFERROR(INDEX(UWS!$G$10:$Z$41,MATCH($C351,UWS!$B$10:$B$41,0),MATCH(S$4,UWS!$G$3:$Z$3,0)),0)</f>
        <v>0</v>
      </c>
      <c r="T351">
        <f>IFERROR(INDEX(UWS!$G$10:$Z$41,MATCH($C351,UWS!$B$10:$B$41,0),MATCH(T$4,UWS!$G$3:$Z$3,0)),0)</f>
        <v>0</v>
      </c>
      <c r="U351">
        <f>IFERROR(INDEX(UWS!$G$10:$Z$41,MATCH($C351,UWS!$B$10:$B$41,0),MATCH(U$4,UWS!$G$3:$Z$3,0)),0)</f>
        <v>0</v>
      </c>
      <c r="V351">
        <f>IFERROR(INDEX(UWS!$G$10:$Z$41,MATCH($C351,UWS!$B$10:$B$41,0),MATCH(V$4,UWS!$G$3:$Z$3,0)),0)</f>
        <v>0</v>
      </c>
      <c r="W351">
        <f>IFERROR(INDEX(UWS!$G$10:$Z$41,MATCH($C351,UWS!$B$10:$B$41,0),MATCH(W$4,UWS!$G$3:$Z$3,0)),0)</f>
        <v>0</v>
      </c>
      <c r="X351">
        <f>IFERROR(INDEX(UWS!$G$10:$Z$41,MATCH($C351,UWS!$B$10:$B$41,0),MATCH(X$4,UWS!$G$3:$Z$3,0)),0)</f>
        <v>0</v>
      </c>
      <c r="Y351">
        <f>IFERROR(INDEX(UWS!$G$10:$Z$41,MATCH($C351,UWS!$B$10:$B$41,0),MATCH(Y$4,UWS!$G$3:$Z$3,0)),0)</f>
        <v>0</v>
      </c>
      <c r="Z351">
        <f>IFERROR(INDEX(UWS!$G$10:$Z$41,MATCH($C351,UWS!$B$10:$B$41,0),MATCH(Z$4,UWS!$G$3:$Z$3,0)),0)</f>
        <v>0</v>
      </c>
      <c r="AA351">
        <f>IFERROR(INDEX(UWS!$G$10:$Z$41,MATCH($C351,UWS!$B$10:$B$41,0),MATCH(AA$4,UWS!$G$3:$Z$3,0)),0)</f>
        <v>0</v>
      </c>
      <c r="AB351">
        <f>IFERROR(INDEX(UWS!$G$10:$Z$41,MATCH($C351,UWS!$B$10:$B$41,0),MATCH(AB$4,UWS!$G$3:$Z$3,0)),0)</f>
        <v>0</v>
      </c>
      <c r="AC351">
        <f>IFERROR(INDEX(UWS!$G$10:$Z$41,MATCH($C351,UWS!$B$10:$B$41,0),MATCH(AC$4,UWS!$G$3:$Z$3,0)),0)</f>
        <v>0</v>
      </c>
      <c r="AD351">
        <f>IFERROR(INDEX(UWS!$G$10:$Z$41,MATCH($C351,UWS!$B$10:$B$41,0),MATCH(AD$4,UWS!$G$3:$Z$3,0)),0)</f>
        <v>0</v>
      </c>
      <c r="AE351">
        <f>IFERROR(INDEX(UWS!$G$10:$Z$41,MATCH($C351,UWS!$B$10:$B$41,0),MATCH(AE$4,UWS!$G$3:$Z$3,0)),0)</f>
        <v>0</v>
      </c>
      <c r="AF351">
        <f>IFERROR(INDEX(UWS!$G$10:$Z$41,MATCH($C351,UWS!$B$10:$B$41,0),MATCH(AF$4,UWS!$G$3:$Z$3,0)),0)</f>
        <v>0</v>
      </c>
      <c r="AG351">
        <f>IFERROR(INDEX(UWS!$G$10:$Z$41,MATCH($C351,UWS!$B$10:$B$41,0),MATCH(AG$4,UWS!$G$3:$Z$3,0)),0)</f>
        <v>0</v>
      </c>
      <c r="AH351">
        <f>IFERROR(INDEX(UWS!$G$10:$Z$41,MATCH($C351,UWS!$B$10:$B$41,0),MATCH(AH$4,UWS!$G$3:$Z$3,0)),0)</f>
        <v>0</v>
      </c>
      <c r="AI351">
        <f>IFERROR(INDEX(UWS!$G$10:$Z$41,MATCH($C351,UWS!$B$10:$B$41,0),MATCH(AI$4,UWS!$G$3:$Z$3,0)),0)</f>
        <v>0</v>
      </c>
      <c r="AK351" t="e">
        <f>IF(OR($J351=0,COUNTIFS($A$4:$A350,"&gt;="&amp;$A351-1,$A$4:$A350,"&lt;="&amp;$A351,$B$4:$B350,$B351)&gt;0,MIN(AK$1,IF($A351=$A350,AK350,1))-P351&lt;0),-1,MIN(1,IF($A351=$A350,AK350,1)-P351+$D$3))</f>
        <v>#N/A</v>
      </c>
      <c r="AL351" t="e">
        <f>IF(OR($J351=0,COUNTIFS($A$4:$A350,"&gt;="&amp;$A351-1,$A$4:$A350,"&lt;="&amp;$A351,$B$4:$B350,$B351)&gt;0,MIN(AL$1,IF($A351=$A350,AL350,1))-Q351&lt;0),-1,MIN(1,IF($A351=$A350,AL350,1)-Q351+$D$3))</f>
        <v>#N/A</v>
      </c>
      <c r="AM351" t="e">
        <f>IF(OR($J351=0,COUNTIFS($A$4:$A350,"&gt;="&amp;$A351-1,$A$4:$A350,"&lt;="&amp;$A351,$B$4:$B350,$B351)&gt;0,MIN(AM$1,IF($A351=$A350,AM350,1))-R351&lt;0),-1,MIN(1,IF($A351=$A350,AM350,1)-R351+$D$3))</f>
        <v>#N/A</v>
      </c>
      <c r="AN351" t="e">
        <f>IF(OR($J351=0,COUNTIFS($A$4:$A350,"&gt;="&amp;$A351-1,$A$4:$A350,"&lt;="&amp;$A351,$B$4:$B350,$B351)&gt;0,MIN(AN$1,IF($A351=$A350,AN350,1))-S351&lt;0),-1,MIN(1,IF($A351=$A350,AN350,1)-S351+$D$3))</f>
        <v>#N/A</v>
      </c>
      <c r="AO351" t="e">
        <f>IF(OR($J351=0,COUNTIFS($A$4:$A350,"&gt;="&amp;$A351-1,$A$4:$A350,"&lt;="&amp;$A351,$B$4:$B350,$B351)&gt;0,MIN(AO$1,IF($A351=$A350,AO350,1))-T351&lt;0),-1,MIN(1,IF($A351=$A350,AO350,1)-T351+$D$3))</f>
        <v>#N/A</v>
      </c>
      <c r="AP351" t="e">
        <f>IF(OR($J351=0,COUNTIFS($A$4:$A350,"&gt;="&amp;$A351-1,$A$4:$A350,"&lt;="&amp;$A351,$B$4:$B350,$B351)&gt;0,MIN(AP$1,IF($A351=$A350,AP350,1))-U351&lt;0),-1,MIN(1,IF($A351=$A350,AP350,1)-U351+$D$3))</f>
        <v>#N/A</v>
      </c>
      <c r="AQ351" t="e">
        <f>IF(OR($J351=0,COUNTIFS($A$4:$A350,"&gt;="&amp;$A351-1,$A$4:$A350,"&lt;="&amp;$A351,$B$4:$B350,$B351)&gt;0,MIN(AQ$1,IF($A351=$A350,AQ350,1))-V351&lt;0),-1,MIN(1,IF($A351=$A350,AQ350,1)-V351+$D$3))</f>
        <v>#N/A</v>
      </c>
      <c r="AR351" t="e">
        <f>IF(OR($J351=0,COUNTIFS($A$4:$A350,"&gt;="&amp;$A351-1,$A$4:$A350,"&lt;="&amp;$A351,$B$4:$B350,$B351)&gt;0,MIN(AR$1,IF($A351=$A350,AR350,1))-W351&lt;0),-1,MIN(1,IF($A351=$A350,AR350,1)-W351+$D$3))</f>
        <v>#N/A</v>
      </c>
      <c r="AS351" t="e">
        <f>IF(OR($J351=0,COUNTIFS($A$4:$A350,"&gt;="&amp;$A351-1,$A$4:$A350,"&lt;="&amp;$A351,$B$4:$B350,$B351)&gt;0,MIN(AS$1,IF($A351=$A350,AS350,1))-X351&lt;0),-1,MIN(1,IF($A351=$A350,AS350,1)-X351+$D$3))</f>
        <v>#N/A</v>
      </c>
      <c r="AT351" t="e">
        <f>IF(OR($J351=0,COUNTIFS($A$4:$A350,"&gt;="&amp;$A351-1,$A$4:$A350,"&lt;="&amp;$A351,$B$4:$B350,$B351)&gt;0,MIN(AT$1,IF($A351=$A350,AT350,1))-Y351&lt;0),-1,MIN(1,IF($A351=$A350,AT350,1)-Y351+$D$3))</f>
        <v>#N/A</v>
      </c>
      <c r="AU351" t="e">
        <f>IF(OR($J351=0,COUNTIFS($A$4:$A350,"&gt;="&amp;$A351-1,$A$4:$A350,"&lt;="&amp;$A351,$B$4:$B350,$B351)&gt;0,MIN(AU$1,IF($A351=$A350,AU350,1))-Z351&lt;0),-1,MIN(1,IF($A351=$A350,AU350,1)-Z351+$D$3))</f>
        <v>#N/A</v>
      </c>
      <c r="AV351" t="e">
        <f>IF(OR($J351=0,COUNTIFS($A$4:$A350,"&gt;="&amp;$A351-1,$A$4:$A350,"&lt;="&amp;$A351,$B$4:$B350,$B351)&gt;0,MIN(AV$1,IF($A351=$A350,AV350,1))-AA351&lt;0),-1,MIN(1,IF($A351=$A350,AV350,1)-AA351+$D$3))</f>
        <v>#N/A</v>
      </c>
      <c r="AW351" t="e">
        <f>IF(OR($J351=0,COUNTIFS($A$4:$A350,"&gt;="&amp;$A351-1,$A$4:$A350,"&lt;="&amp;$A351,$B$4:$B350,$B351)&gt;0,MIN(AW$1,IF($A351=$A350,AW350,1))-AB351&lt;0),-1,MIN(1,IF($A351=$A350,AW350,1)-AB351+$D$3))</f>
        <v>#N/A</v>
      </c>
      <c r="AX351" t="e">
        <f>IF(OR($J351=0,COUNTIFS($A$4:$A350,"&gt;="&amp;$A351-1,$A$4:$A350,"&lt;="&amp;$A351,$B$4:$B350,$B351)&gt;0,MIN(AX$1,IF($A351=$A350,AX350,1))-AC351&lt;0),-1,MIN(1,IF($A351=$A350,AX350,1)-AC351+$D$3))</f>
        <v>#N/A</v>
      </c>
      <c r="AY351" t="e">
        <f>IF(OR($J351=0,COUNTIFS($A$4:$A350,"&gt;="&amp;$A351-1,$A$4:$A350,"&lt;="&amp;$A351,$B$4:$B350,$B351)&gt;0,MIN(AY$1,IF($A351=$A350,AY350,1))-AD351&lt;0),-1,MIN(1,IF($A351=$A350,AY350,1)-AD351+$D$3))</f>
        <v>#N/A</v>
      </c>
      <c r="AZ351" t="e">
        <f>IF(OR($J351=0,COUNTIFS($A$4:$A350,"&gt;="&amp;$A351-1,$A$4:$A350,"&lt;="&amp;$A351,$B$4:$B350,$B351)&gt;0,MIN(AZ$1,IF($A351=$A350,AZ350,1))-AE351&lt;0),-1,MIN(1,IF($A351=$A350,AZ350,1)-AE351+$D$3))</f>
        <v>#N/A</v>
      </c>
      <c r="BA351" t="e">
        <f>IF(OR($J351=0,COUNTIFS($A$4:$A350,"&gt;="&amp;$A351-1,$A$4:$A350,"&lt;="&amp;$A351,$B$4:$B350,$B351)&gt;0,MIN(BA$1,IF($A351=$A350,BA350,1))-AF351&lt;0),-1,MIN(1,IF($A351=$A350,BA350,1)-AF351+$D$3))</f>
        <v>#N/A</v>
      </c>
      <c r="BB351" t="e">
        <f>IF(OR($J351=0,COUNTIFS($A$4:$A350,"&gt;="&amp;$A351-1,$A$4:$A350,"&lt;="&amp;$A351,$B$4:$B350,$B351)&gt;0,MIN(BB$1,IF($A351=$A350,BB350,1))-AG351&lt;0),-1,MIN(1,IF($A351=$A350,BB350,1)-AG351+$D$3))</f>
        <v>#N/A</v>
      </c>
      <c r="BC351" t="e">
        <f>IF(OR($J351=0,COUNTIFS($A$4:$A350,"&gt;="&amp;$A351-1,$A$4:$A350,"&lt;="&amp;$A351,$B$4:$B350,$B351)&gt;0,MIN(BC$1,IF($A351=$A350,BC350,1))-AH351&lt;0),-1,MIN(1,IF($A351=$A350,BC350,1)-AH351+$D$3))</f>
        <v>#N/A</v>
      </c>
      <c r="BD351" t="e">
        <f>IF(OR($J351=0,COUNTIFS($A$4:$A350,"&gt;="&amp;$A351-1,$A$4:$A350,"&lt;="&amp;$A351,$B$4:$B350,$B351)&gt;0,MIN(BD$1,IF($A351=$A350,BD350,1))-AI351&lt;0),-1,MIN(1,IF($A351=$A350,BD350,1)-AI351+$D$3))</f>
        <v>#N/A</v>
      </c>
      <c r="BF351" s="44">
        <f t="shared" si="355"/>
        <v>3.9481798616597737E-8</v>
      </c>
      <c r="BG351" s="44">
        <f t="shared" si="356"/>
        <v>9.7096883821949746E-8</v>
      </c>
      <c r="BH351" s="44">
        <f t="shared" si="357"/>
        <v>9.9514092325595974E-8</v>
      </c>
      <c r="BI351" s="44">
        <f t="shared" si="358"/>
        <v>9.1923392387421344E-8</v>
      </c>
      <c r="BJ351" s="44">
        <f t="shared" si="359"/>
        <v>9.501155286788398E-8</v>
      </c>
      <c r="BK351" s="44">
        <f t="shared" si="360"/>
        <v>4.080150330147835E-8</v>
      </c>
      <c r="BL351" s="44">
        <f t="shared" si="361"/>
        <v>2.2041613988796271E-8</v>
      </c>
      <c r="BM351" s="44">
        <f t="shared" si="362"/>
        <v>5.6071292077236084E-8</v>
      </c>
      <c r="BN351" s="44">
        <f t="shared" si="363"/>
        <v>5.8318513697843712E-8</v>
      </c>
      <c r="BO351" s="44">
        <f t="shared" si="364"/>
        <v>2.733026845241157E-8</v>
      </c>
      <c r="BP351" s="44">
        <f t="shared" si="365"/>
        <v>9.1897418747429853E-8</v>
      </c>
      <c r="BQ351" s="44">
        <f t="shared" si="366"/>
        <v>2.4799309197853551E-8</v>
      </c>
      <c r="BR351" s="44">
        <f t="shared" si="367"/>
        <v>7.3263367286767326E-8</v>
      </c>
      <c r="BS351" s="44">
        <f t="shared" si="368"/>
        <v>3.9511906190977825E-8</v>
      </c>
      <c r="BT351" s="44">
        <f t="shared" si="369"/>
        <v>1.5636072621754365E-7</v>
      </c>
      <c r="BU351" s="44">
        <f t="shared" si="370"/>
        <v>1.4937154427854965E-7</v>
      </c>
      <c r="BV351" s="44">
        <f t="shared" si="371"/>
        <v>1.4345148927601967E-7</v>
      </c>
      <c r="BW351" s="44">
        <f t="shared" si="372"/>
        <v>9.3825168181822711E-8</v>
      </c>
      <c r="BX351" s="44">
        <f t="shared" si="373"/>
        <v>6.9316330457829159E-8</v>
      </c>
      <c r="BY351" s="44">
        <f t="shared" si="374"/>
        <v>5.951603670559929E-8</v>
      </c>
      <c r="CA351" s="44" t="str">
        <f t="shared" si="375"/>
        <v/>
      </c>
      <c r="CB351" s="44" t="str">
        <f t="shared" si="376"/>
        <v/>
      </c>
      <c r="CC351" s="44" t="str">
        <f t="shared" si="377"/>
        <v/>
      </c>
      <c r="CD351" s="44" t="str">
        <f t="shared" si="378"/>
        <v/>
      </c>
      <c r="CE351" s="44" t="str">
        <f t="shared" si="379"/>
        <v/>
      </c>
      <c r="CF351" s="44" t="str">
        <f t="shared" si="380"/>
        <v/>
      </c>
      <c r="CG351" s="44" t="str">
        <f t="shared" si="381"/>
        <v/>
      </c>
      <c r="CH351" s="44" t="str">
        <f t="shared" si="382"/>
        <v/>
      </c>
      <c r="CI351" s="44" t="str">
        <f t="shared" si="383"/>
        <v/>
      </c>
      <c r="CJ351" s="44" t="str">
        <f t="shared" si="384"/>
        <v/>
      </c>
      <c r="CK351" s="44" t="str">
        <f t="shared" si="385"/>
        <v/>
      </c>
      <c r="CL351" s="44" t="str">
        <f t="shared" si="386"/>
        <v/>
      </c>
      <c r="CM351" s="44" t="str">
        <f t="shared" si="387"/>
        <v/>
      </c>
      <c r="CN351" s="44" t="str">
        <f t="shared" si="388"/>
        <v/>
      </c>
      <c r="CO351" s="44" t="str">
        <f t="shared" si="389"/>
        <v/>
      </c>
      <c r="CP351" s="44" t="str">
        <f t="shared" si="390"/>
        <v/>
      </c>
      <c r="CQ351" s="44" t="str">
        <f t="shared" si="391"/>
        <v/>
      </c>
      <c r="CR351" s="44" t="str">
        <f t="shared" si="392"/>
        <v/>
      </c>
      <c r="CS351" s="44" t="str">
        <f t="shared" si="393"/>
        <v/>
      </c>
      <c r="CT351" s="44" t="str">
        <f t="shared" si="394"/>
        <v/>
      </c>
      <c r="CV351" s="44">
        <f t="shared" si="395"/>
        <v>0</v>
      </c>
    </row>
    <row r="352" spans="1:100" x14ac:dyDescent="0.25">
      <c r="A352" s="41"/>
      <c r="B352" s="42"/>
      <c r="C352" s="43" t="str" cm="1">
        <f t="array" ref="C352">IF(B352="","",INDEX(UWS!$B$10:$B$41,B352))</f>
        <v/>
      </c>
      <c r="D352" s="40" t="str">
        <f t="shared" si="352"/>
        <v/>
      </c>
      <c r="E352" s="69" t="str">
        <f t="shared" si="353"/>
        <v/>
      </c>
      <c r="F352" s="48" cm="1">
        <f t="array" ref="F352">0.1+IFERROR(INDEX($F$5:$F351,SUMPRODUCT(MAX(ROW($C$5:$C351)*($C352=$C$5:$C351))-ROW($A$4)))*0.9^($A352-INDEX($A$5:A351,SUMPRODUCT(MAX(ROW($C$5:$C351)*($C352=$C$5:$C351))-ROW($A$4)))),0)</f>
        <v>28.700000000000138</v>
      </c>
      <c r="G352" s="55" t="e">
        <f>INDEX(UWS!$AB$10:$AB$41,MATCH(C352,UWS!$B$10:$B$41,0))</f>
        <v>#N/A</v>
      </c>
      <c r="H352" s="48" t="e">
        <f>INDEX(UWS!$C$10:$C$41,MATCH(C352,UWS!$B$10:$B$41,0))</f>
        <v>#N/A</v>
      </c>
      <c r="I352" s="27">
        <f t="shared" si="354"/>
        <v>5</v>
      </c>
      <c r="J352" s="27" t="e">
        <f>INDEX(UWS!$E$10:$E$41,MATCH(C352,UWS!$B$10:$B$41,0))</f>
        <v>#N/A</v>
      </c>
      <c r="L352" s="108" t="str" cm="1">
        <f t="array" ref="L352">IF(K352="","",INDEX(UWS!$B$10:$B$41,K352))</f>
        <v/>
      </c>
      <c r="N352" s="108" t="str" cm="1">
        <f t="array" ref="N352">IF(M352="","",INDEX(UWS!$B$10:$B$41,M352))</f>
        <v/>
      </c>
      <c r="P352">
        <f>IFERROR(INDEX(UWS!$G$10:$Z$41,MATCH($C352,UWS!$B$10:$B$41,0),MATCH(P$4,UWS!$G$3:$Z$3,0)),0)</f>
        <v>0</v>
      </c>
      <c r="Q352">
        <f>IFERROR(INDEX(UWS!$G$10:$Z$41,MATCH($C352,UWS!$B$10:$B$41,0),MATCH(Q$4,UWS!$G$3:$Z$3,0)),0)</f>
        <v>0</v>
      </c>
      <c r="R352">
        <f>IFERROR(INDEX(UWS!$G$10:$Z$41,MATCH($C352,UWS!$B$10:$B$41,0),MATCH(R$4,UWS!$G$3:$Z$3,0)),0)</f>
        <v>0</v>
      </c>
      <c r="S352">
        <f>IFERROR(INDEX(UWS!$G$10:$Z$41,MATCH($C352,UWS!$B$10:$B$41,0),MATCH(S$4,UWS!$G$3:$Z$3,0)),0)</f>
        <v>0</v>
      </c>
      <c r="T352">
        <f>IFERROR(INDEX(UWS!$G$10:$Z$41,MATCH($C352,UWS!$B$10:$B$41,0),MATCH(T$4,UWS!$G$3:$Z$3,0)),0)</f>
        <v>0</v>
      </c>
      <c r="U352">
        <f>IFERROR(INDEX(UWS!$G$10:$Z$41,MATCH($C352,UWS!$B$10:$B$41,0),MATCH(U$4,UWS!$G$3:$Z$3,0)),0)</f>
        <v>0</v>
      </c>
      <c r="V352">
        <f>IFERROR(INDEX(UWS!$G$10:$Z$41,MATCH($C352,UWS!$B$10:$B$41,0),MATCH(V$4,UWS!$G$3:$Z$3,0)),0)</f>
        <v>0</v>
      </c>
      <c r="W352">
        <f>IFERROR(INDEX(UWS!$G$10:$Z$41,MATCH($C352,UWS!$B$10:$B$41,0),MATCH(W$4,UWS!$G$3:$Z$3,0)),0)</f>
        <v>0</v>
      </c>
      <c r="X352">
        <f>IFERROR(INDEX(UWS!$G$10:$Z$41,MATCH($C352,UWS!$B$10:$B$41,0),MATCH(X$4,UWS!$G$3:$Z$3,0)),0)</f>
        <v>0</v>
      </c>
      <c r="Y352">
        <f>IFERROR(INDEX(UWS!$G$10:$Z$41,MATCH($C352,UWS!$B$10:$B$41,0),MATCH(Y$4,UWS!$G$3:$Z$3,0)),0)</f>
        <v>0</v>
      </c>
      <c r="Z352">
        <f>IFERROR(INDEX(UWS!$G$10:$Z$41,MATCH($C352,UWS!$B$10:$B$41,0),MATCH(Z$4,UWS!$G$3:$Z$3,0)),0)</f>
        <v>0</v>
      </c>
      <c r="AA352">
        <f>IFERROR(INDEX(UWS!$G$10:$Z$41,MATCH($C352,UWS!$B$10:$B$41,0),MATCH(AA$4,UWS!$G$3:$Z$3,0)),0)</f>
        <v>0</v>
      </c>
      <c r="AB352">
        <f>IFERROR(INDEX(UWS!$G$10:$Z$41,MATCH($C352,UWS!$B$10:$B$41,0),MATCH(AB$4,UWS!$G$3:$Z$3,0)),0)</f>
        <v>0</v>
      </c>
      <c r="AC352">
        <f>IFERROR(INDEX(UWS!$G$10:$Z$41,MATCH($C352,UWS!$B$10:$B$41,0),MATCH(AC$4,UWS!$G$3:$Z$3,0)),0)</f>
        <v>0</v>
      </c>
      <c r="AD352">
        <f>IFERROR(INDEX(UWS!$G$10:$Z$41,MATCH($C352,UWS!$B$10:$B$41,0),MATCH(AD$4,UWS!$G$3:$Z$3,0)),0)</f>
        <v>0</v>
      </c>
      <c r="AE352">
        <f>IFERROR(INDEX(UWS!$G$10:$Z$41,MATCH($C352,UWS!$B$10:$B$41,0),MATCH(AE$4,UWS!$G$3:$Z$3,0)),0)</f>
        <v>0</v>
      </c>
      <c r="AF352">
        <f>IFERROR(INDEX(UWS!$G$10:$Z$41,MATCH($C352,UWS!$B$10:$B$41,0),MATCH(AF$4,UWS!$G$3:$Z$3,0)),0)</f>
        <v>0</v>
      </c>
      <c r="AG352">
        <f>IFERROR(INDEX(UWS!$G$10:$Z$41,MATCH($C352,UWS!$B$10:$B$41,0),MATCH(AG$4,UWS!$G$3:$Z$3,0)),0)</f>
        <v>0</v>
      </c>
      <c r="AH352">
        <f>IFERROR(INDEX(UWS!$G$10:$Z$41,MATCH($C352,UWS!$B$10:$B$41,0),MATCH(AH$4,UWS!$G$3:$Z$3,0)),0)</f>
        <v>0</v>
      </c>
      <c r="AI352">
        <f>IFERROR(INDEX(UWS!$G$10:$Z$41,MATCH($C352,UWS!$B$10:$B$41,0),MATCH(AI$4,UWS!$G$3:$Z$3,0)),0)</f>
        <v>0</v>
      </c>
      <c r="AK352" t="e">
        <f>IF(OR($J352=0,COUNTIFS($A$4:$A351,"&gt;="&amp;$A352-1,$A$4:$A351,"&lt;="&amp;$A352,$B$4:$B351,$B352)&gt;0,MIN(AK$1,IF($A352=$A351,AK351,1))-P352&lt;0),-1,MIN(1,IF($A352=$A351,AK351,1)-P352+$D$3))</f>
        <v>#N/A</v>
      </c>
      <c r="AL352" t="e">
        <f>IF(OR($J352=0,COUNTIFS($A$4:$A351,"&gt;="&amp;$A352-1,$A$4:$A351,"&lt;="&amp;$A352,$B$4:$B351,$B352)&gt;0,MIN(AL$1,IF($A352=$A351,AL351,1))-Q352&lt;0),-1,MIN(1,IF($A352=$A351,AL351,1)-Q352+$D$3))</f>
        <v>#N/A</v>
      </c>
      <c r="AM352" t="e">
        <f>IF(OR($J352=0,COUNTIFS($A$4:$A351,"&gt;="&amp;$A352-1,$A$4:$A351,"&lt;="&amp;$A352,$B$4:$B351,$B352)&gt;0,MIN(AM$1,IF($A352=$A351,AM351,1))-R352&lt;0),-1,MIN(1,IF($A352=$A351,AM351,1)-R352+$D$3))</f>
        <v>#N/A</v>
      </c>
      <c r="AN352" t="e">
        <f>IF(OR($J352=0,COUNTIFS($A$4:$A351,"&gt;="&amp;$A352-1,$A$4:$A351,"&lt;="&amp;$A352,$B$4:$B351,$B352)&gt;0,MIN(AN$1,IF($A352=$A351,AN351,1))-S352&lt;0),-1,MIN(1,IF($A352=$A351,AN351,1)-S352+$D$3))</f>
        <v>#N/A</v>
      </c>
      <c r="AO352" t="e">
        <f>IF(OR($J352=0,COUNTIFS($A$4:$A351,"&gt;="&amp;$A352-1,$A$4:$A351,"&lt;="&amp;$A352,$B$4:$B351,$B352)&gt;0,MIN(AO$1,IF($A352=$A351,AO351,1))-T352&lt;0),-1,MIN(1,IF($A352=$A351,AO351,1)-T352+$D$3))</f>
        <v>#N/A</v>
      </c>
      <c r="AP352" t="e">
        <f>IF(OR($J352=0,COUNTIFS($A$4:$A351,"&gt;="&amp;$A352-1,$A$4:$A351,"&lt;="&amp;$A352,$B$4:$B351,$B352)&gt;0,MIN(AP$1,IF($A352=$A351,AP351,1))-U352&lt;0),-1,MIN(1,IF($A352=$A351,AP351,1)-U352+$D$3))</f>
        <v>#N/A</v>
      </c>
      <c r="AQ352" t="e">
        <f>IF(OR($J352=0,COUNTIFS($A$4:$A351,"&gt;="&amp;$A352-1,$A$4:$A351,"&lt;="&amp;$A352,$B$4:$B351,$B352)&gt;0,MIN(AQ$1,IF($A352=$A351,AQ351,1))-V352&lt;0),-1,MIN(1,IF($A352=$A351,AQ351,1)-V352+$D$3))</f>
        <v>#N/A</v>
      </c>
      <c r="AR352" t="e">
        <f>IF(OR($J352=0,COUNTIFS($A$4:$A351,"&gt;="&amp;$A352-1,$A$4:$A351,"&lt;="&amp;$A352,$B$4:$B351,$B352)&gt;0,MIN(AR$1,IF($A352=$A351,AR351,1))-W352&lt;0),-1,MIN(1,IF($A352=$A351,AR351,1)-W352+$D$3))</f>
        <v>#N/A</v>
      </c>
      <c r="AS352" t="e">
        <f>IF(OR($J352=0,COUNTIFS($A$4:$A351,"&gt;="&amp;$A352-1,$A$4:$A351,"&lt;="&amp;$A352,$B$4:$B351,$B352)&gt;0,MIN(AS$1,IF($A352=$A351,AS351,1))-X352&lt;0),-1,MIN(1,IF($A352=$A351,AS351,1)-X352+$D$3))</f>
        <v>#N/A</v>
      </c>
      <c r="AT352" t="e">
        <f>IF(OR($J352=0,COUNTIFS($A$4:$A351,"&gt;="&amp;$A352-1,$A$4:$A351,"&lt;="&amp;$A352,$B$4:$B351,$B352)&gt;0,MIN(AT$1,IF($A352=$A351,AT351,1))-Y352&lt;0),-1,MIN(1,IF($A352=$A351,AT351,1)-Y352+$D$3))</f>
        <v>#N/A</v>
      </c>
      <c r="AU352" t="e">
        <f>IF(OR($J352=0,COUNTIFS($A$4:$A351,"&gt;="&amp;$A352-1,$A$4:$A351,"&lt;="&amp;$A352,$B$4:$B351,$B352)&gt;0,MIN(AU$1,IF($A352=$A351,AU351,1))-Z352&lt;0),-1,MIN(1,IF($A352=$A351,AU351,1)-Z352+$D$3))</f>
        <v>#N/A</v>
      </c>
      <c r="AV352" t="e">
        <f>IF(OR($J352=0,COUNTIFS($A$4:$A351,"&gt;="&amp;$A352-1,$A$4:$A351,"&lt;="&amp;$A352,$B$4:$B351,$B352)&gt;0,MIN(AV$1,IF($A352=$A351,AV351,1))-AA352&lt;0),-1,MIN(1,IF($A352=$A351,AV351,1)-AA352+$D$3))</f>
        <v>#N/A</v>
      </c>
      <c r="AW352" t="e">
        <f>IF(OR($J352=0,COUNTIFS($A$4:$A351,"&gt;="&amp;$A352-1,$A$4:$A351,"&lt;="&amp;$A352,$B$4:$B351,$B352)&gt;0,MIN(AW$1,IF($A352=$A351,AW351,1))-AB352&lt;0),-1,MIN(1,IF($A352=$A351,AW351,1)-AB352+$D$3))</f>
        <v>#N/A</v>
      </c>
      <c r="AX352" t="e">
        <f>IF(OR($J352=0,COUNTIFS($A$4:$A351,"&gt;="&amp;$A352-1,$A$4:$A351,"&lt;="&amp;$A352,$B$4:$B351,$B352)&gt;0,MIN(AX$1,IF($A352=$A351,AX351,1))-AC352&lt;0),-1,MIN(1,IF($A352=$A351,AX351,1)-AC352+$D$3))</f>
        <v>#N/A</v>
      </c>
      <c r="AY352" t="e">
        <f>IF(OR($J352=0,COUNTIFS($A$4:$A351,"&gt;="&amp;$A352-1,$A$4:$A351,"&lt;="&amp;$A352,$B$4:$B351,$B352)&gt;0,MIN(AY$1,IF($A352=$A351,AY351,1))-AD352&lt;0),-1,MIN(1,IF($A352=$A351,AY351,1)-AD352+$D$3))</f>
        <v>#N/A</v>
      </c>
      <c r="AZ352" t="e">
        <f>IF(OR($J352=0,COUNTIFS($A$4:$A351,"&gt;="&amp;$A352-1,$A$4:$A351,"&lt;="&amp;$A352,$B$4:$B351,$B352)&gt;0,MIN(AZ$1,IF($A352=$A351,AZ351,1))-AE352&lt;0),-1,MIN(1,IF($A352=$A351,AZ351,1)-AE352+$D$3))</f>
        <v>#N/A</v>
      </c>
      <c r="BA352" t="e">
        <f>IF(OR($J352=0,COUNTIFS($A$4:$A351,"&gt;="&amp;$A352-1,$A$4:$A351,"&lt;="&amp;$A352,$B$4:$B351,$B352)&gt;0,MIN(BA$1,IF($A352=$A351,BA351,1))-AF352&lt;0),-1,MIN(1,IF($A352=$A351,BA351,1)-AF352+$D$3))</f>
        <v>#N/A</v>
      </c>
      <c r="BB352" t="e">
        <f>IF(OR($J352=0,COUNTIFS($A$4:$A351,"&gt;="&amp;$A352-1,$A$4:$A351,"&lt;="&amp;$A352,$B$4:$B351,$B352)&gt;0,MIN(BB$1,IF($A352=$A351,BB351,1))-AG352&lt;0),-1,MIN(1,IF($A352=$A351,BB351,1)-AG352+$D$3))</f>
        <v>#N/A</v>
      </c>
      <c r="BC352" t="e">
        <f>IF(OR($J352=0,COUNTIFS($A$4:$A351,"&gt;="&amp;$A352-1,$A$4:$A351,"&lt;="&amp;$A352,$B$4:$B351,$B352)&gt;0,MIN(BC$1,IF($A352=$A351,BC351,1))-AH352&lt;0),-1,MIN(1,IF($A352=$A351,BC351,1)-AH352+$D$3))</f>
        <v>#N/A</v>
      </c>
      <c r="BD352" t="e">
        <f>IF(OR($J352=0,COUNTIFS($A$4:$A351,"&gt;="&amp;$A352-1,$A$4:$A351,"&lt;="&amp;$A352,$B$4:$B351,$B352)&gt;0,MIN(BD$1,IF($A352=$A351,BD351,1))-AI352&lt;0),-1,MIN(1,IF($A352=$A351,BD351,1)-AI352+$D$3))</f>
        <v>#N/A</v>
      </c>
      <c r="BF352" s="44">
        <f t="shared" si="355"/>
        <v>3.7507708685767847E-8</v>
      </c>
      <c r="BG352" s="44">
        <f t="shared" si="356"/>
        <v>9.2242039630852254E-8</v>
      </c>
      <c r="BH352" s="44">
        <f t="shared" si="357"/>
        <v>9.4538387709316173E-8</v>
      </c>
      <c r="BI352" s="44">
        <f t="shared" si="358"/>
        <v>8.7327222768050271E-8</v>
      </c>
      <c r="BJ352" s="44">
        <f t="shared" si="359"/>
        <v>9.0260975224489783E-8</v>
      </c>
      <c r="BK352" s="44">
        <f t="shared" si="360"/>
        <v>3.8761428136404428E-8</v>
      </c>
      <c r="BL352" s="44">
        <f t="shared" si="361"/>
        <v>2.0939533289356458E-8</v>
      </c>
      <c r="BM352" s="44">
        <f t="shared" si="362"/>
        <v>5.3267727473374275E-8</v>
      </c>
      <c r="BN352" s="44">
        <f t="shared" si="363"/>
        <v>5.5402588012951522E-8</v>
      </c>
      <c r="BO352" s="44">
        <f t="shared" si="364"/>
        <v>2.5963755029790991E-8</v>
      </c>
      <c r="BP352" s="44">
        <f t="shared" si="365"/>
        <v>8.7302547810058353E-8</v>
      </c>
      <c r="BQ352" s="44">
        <f t="shared" si="366"/>
        <v>2.3559343737960872E-8</v>
      </c>
      <c r="BR352" s="44">
        <f t="shared" si="367"/>
        <v>6.9600198922428956E-8</v>
      </c>
      <c r="BS352" s="44">
        <f t="shared" si="368"/>
        <v>3.7536310881428929E-8</v>
      </c>
      <c r="BT352" s="44">
        <f t="shared" si="369"/>
        <v>1.4854268990666647E-7</v>
      </c>
      <c r="BU352" s="44">
        <f t="shared" si="370"/>
        <v>1.4190296706462216E-7</v>
      </c>
      <c r="BV352" s="44">
        <f t="shared" si="371"/>
        <v>1.3627891481221868E-7</v>
      </c>
      <c r="BW352" s="44">
        <f t="shared" si="372"/>
        <v>8.9133909772731571E-8</v>
      </c>
      <c r="BX352" s="44">
        <f t="shared" si="373"/>
        <v>6.5850513934937701E-8</v>
      </c>
      <c r="BY352" s="44">
        <f t="shared" si="374"/>
        <v>5.6540234870319323E-8</v>
      </c>
      <c r="CA352" s="44" t="str">
        <f t="shared" si="375"/>
        <v/>
      </c>
      <c r="CB352" s="44" t="str">
        <f t="shared" si="376"/>
        <v/>
      </c>
      <c r="CC352" s="44" t="str">
        <f t="shared" si="377"/>
        <v/>
      </c>
      <c r="CD352" s="44" t="str">
        <f t="shared" si="378"/>
        <v/>
      </c>
      <c r="CE352" s="44" t="str">
        <f t="shared" si="379"/>
        <v/>
      </c>
      <c r="CF352" s="44" t="str">
        <f t="shared" si="380"/>
        <v/>
      </c>
      <c r="CG352" s="44" t="str">
        <f t="shared" si="381"/>
        <v/>
      </c>
      <c r="CH352" s="44" t="str">
        <f t="shared" si="382"/>
        <v/>
      </c>
      <c r="CI352" s="44" t="str">
        <f t="shared" si="383"/>
        <v/>
      </c>
      <c r="CJ352" s="44" t="str">
        <f t="shared" si="384"/>
        <v/>
      </c>
      <c r="CK352" s="44" t="str">
        <f t="shared" si="385"/>
        <v/>
      </c>
      <c r="CL352" s="44" t="str">
        <f t="shared" si="386"/>
        <v/>
      </c>
      <c r="CM352" s="44" t="str">
        <f t="shared" si="387"/>
        <v/>
      </c>
      <c r="CN352" s="44" t="str">
        <f t="shared" si="388"/>
        <v/>
      </c>
      <c r="CO352" s="44" t="str">
        <f t="shared" si="389"/>
        <v/>
      </c>
      <c r="CP352" s="44" t="str">
        <f t="shared" si="390"/>
        <v/>
      </c>
      <c r="CQ352" s="44" t="str">
        <f t="shared" si="391"/>
        <v/>
      </c>
      <c r="CR352" s="44" t="str">
        <f t="shared" si="392"/>
        <v/>
      </c>
      <c r="CS352" s="44" t="str">
        <f t="shared" si="393"/>
        <v/>
      </c>
      <c r="CT352" s="44" t="str">
        <f t="shared" si="394"/>
        <v/>
      </c>
      <c r="CV352" s="44">
        <f t="shared" si="395"/>
        <v>0</v>
      </c>
    </row>
    <row r="353" spans="1:100" x14ac:dyDescent="0.25">
      <c r="A353" s="41"/>
      <c r="B353" s="42"/>
      <c r="C353" s="43" t="str" cm="1">
        <f t="array" ref="C353">IF(B353="","",INDEX(UWS!$B$10:$B$41,B353))</f>
        <v/>
      </c>
      <c r="D353" s="40" t="str">
        <f t="shared" si="352"/>
        <v/>
      </c>
      <c r="E353" s="69" t="str">
        <f t="shared" si="353"/>
        <v/>
      </c>
      <c r="F353" s="48" cm="1">
        <f t="array" ref="F353">0.1+IFERROR(INDEX($F$5:$F352,SUMPRODUCT(MAX(ROW($C$5:$C352)*($C353=$C$5:$C352))-ROW($A$4)))*0.9^($A353-INDEX($A$5:A352,SUMPRODUCT(MAX(ROW($C$5:$C352)*($C353=$C$5:$C352))-ROW($A$4)))),0)</f>
        <v>28.800000000000139</v>
      </c>
      <c r="G353" s="55" t="e">
        <f>INDEX(UWS!$AB$10:$AB$41,MATCH(C353,UWS!$B$10:$B$41,0))</f>
        <v>#N/A</v>
      </c>
      <c r="H353" s="48" t="e">
        <f>INDEX(UWS!$C$10:$C$41,MATCH(C353,UWS!$B$10:$B$41,0))</f>
        <v>#N/A</v>
      </c>
      <c r="I353" s="27">
        <f t="shared" si="354"/>
        <v>5</v>
      </c>
      <c r="J353" s="27" t="e">
        <f>INDEX(UWS!$E$10:$E$41,MATCH(C353,UWS!$B$10:$B$41,0))</f>
        <v>#N/A</v>
      </c>
      <c r="L353" s="108" t="str" cm="1">
        <f t="array" ref="L353">IF(K353="","",INDEX(UWS!$B$10:$B$41,K353))</f>
        <v/>
      </c>
      <c r="N353" s="108" t="str" cm="1">
        <f t="array" ref="N353">IF(M353="","",INDEX(UWS!$B$10:$B$41,M353))</f>
        <v/>
      </c>
      <c r="P353">
        <f>IFERROR(INDEX(UWS!$G$10:$Z$41,MATCH($C353,UWS!$B$10:$B$41,0),MATCH(P$4,UWS!$G$3:$Z$3,0)),0)</f>
        <v>0</v>
      </c>
      <c r="Q353">
        <f>IFERROR(INDEX(UWS!$G$10:$Z$41,MATCH($C353,UWS!$B$10:$B$41,0),MATCH(Q$4,UWS!$G$3:$Z$3,0)),0)</f>
        <v>0</v>
      </c>
      <c r="R353">
        <f>IFERROR(INDEX(UWS!$G$10:$Z$41,MATCH($C353,UWS!$B$10:$B$41,0),MATCH(R$4,UWS!$G$3:$Z$3,0)),0)</f>
        <v>0</v>
      </c>
      <c r="S353">
        <f>IFERROR(INDEX(UWS!$G$10:$Z$41,MATCH($C353,UWS!$B$10:$B$41,0),MATCH(S$4,UWS!$G$3:$Z$3,0)),0)</f>
        <v>0</v>
      </c>
      <c r="T353">
        <f>IFERROR(INDEX(UWS!$G$10:$Z$41,MATCH($C353,UWS!$B$10:$B$41,0),MATCH(T$4,UWS!$G$3:$Z$3,0)),0)</f>
        <v>0</v>
      </c>
      <c r="U353">
        <f>IFERROR(INDEX(UWS!$G$10:$Z$41,MATCH($C353,UWS!$B$10:$B$41,0),MATCH(U$4,UWS!$G$3:$Z$3,0)),0)</f>
        <v>0</v>
      </c>
      <c r="V353">
        <f>IFERROR(INDEX(UWS!$G$10:$Z$41,MATCH($C353,UWS!$B$10:$B$41,0),MATCH(V$4,UWS!$G$3:$Z$3,0)),0)</f>
        <v>0</v>
      </c>
      <c r="W353">
        <f>IFERROR(INDEX(UWS!$G$10:$Z$41,MATCH($C353,UWS!$B$10:$B$41,0),MATCH(W$4,UWS!$G$3:$Z$3,0)),0)</f>
        <v>0</v>
      </c>
      <c r="X353">
        <f>IFERROR(INDEX(UWS!$G$10:$Z$41,MATCH($C353,UWS!$B$10:$B$41,0),MATCH(X$4,UWS!$G$3:$Z$3,0)),0)</f>
        <v>0</v>
      </c>
      <c r="Y353">
        <f>IFERROR(INDEX(UWS!$G$10:$Z$41,MATCH($C353,UWS!$B$10:$B$41,0),MATCH(Y$4,UWS!$G$3:$Z$3,0)),0)</f>
        <v>0</v>
      </c>
      <c r="Z353">
        <f>IFERROR(INDEX(UWS!$G$10:$Z$41,MATCH($C353,UWS!$B$10:$B$41,0),MATCH(Z$4,UWS!$G$3:$Z$3,0)),0)</f>
        <v>0</v>
      </c>
      <c r="AA353">
        <f>IFERROR(INDEX(UWS!$G$10:$Z$41,MATCH($C353,UWS!$B$10:$B$41,0),MATCH(AA$4,UWS!$G$3:$Z$3,0)),0)</f>
        <v>0</v>
      </c>
      <c r="AB353">
        <f>IFERROR(INDEX(UWS!$G$10:$Z$41,MATCH($C353,UWS!$B$10:$B$41,0),MATCH(AB$4,UWS!$G$3:$Z$3,0)),0)</f>
        <v>0</v>
      </c>
      <c r="AC353">
        <f>IFERROR(INDEX(UWS!$G$10:$Z$41,MATCH($C353,UWS!$B$10:$B$41,0),MATCH(AC$4,UWS!$G$3:$Z$3,0)),0)</f>
        <v>0</v>
      </c>
      <c r="AD353">
        <f>IFERROR(INDEX(UWS!$G$10:$Z$41,MATCH($C353,UWS!$B$10:$B$41,0),MATCH(AD$4,UWS!$G$3:$Z$3,0)),0)</f>
        <v>0</v>
      </c>
      <c r="AE353">
        <f>IFERROR(INDEX(UWS!$G$10:$Z$41,MATCH($C353,UWS!$B$10:$B$41,0),MATCH(AE$4,UWS!$G$3:$Z$3,0)),0)</f>
        <v>0</v>
      </c>
      <c r="AF353">
        <f>IFERROR(INDEX(UWS!$G$10:$Z$41,MATCH($C353,UWS!$B$10:$B$41,0),MATCH(AF$4,UWS!$G$3:$Z$3,0)),0)</f>
        <v>0</v>
      </c>
      <c r="AG353">
        <f>IFERROR(INDEX(UWS!$G$10:$Z$41,MATCH($C353,UWS!$B$10:$B$41,0),MATCH(AG$4,UWS!$G$3:$Z$3,0)),0)</f>
        <v>0</v>
      </c>
      <c r="AH353">
        <f>IFERROR(INDEX(UWS!$G$10:$Z$41,MATCH($C353,UWS!$B$10:$B$41,0),MATCH(AH$4,UWS!$G$3:$Z$3,0)),0)</f>
        <v>0</v>
      </c>
      <c r="AI353">
        <f>IFERROR(INDEX(UWS!$G$10:$Z$41,MATCH($C353,UWS!$B$10:$B$41,0),MATCH(AI$4,UWS!$G$3:$Z$3,0)),0)</f>
        <v>0</v>
      </c>
      <c r="AK353" t="e">
        <f>IF(OR($J353=0,COUNTIFS($A$4:$A352,"&gt;="&amp;$A353-1,$A$4:$A352,"&lt;="&amp;$A353,$B$4:$B352,$B353)&gt;0,MIN(AK$1,IF($A353=$A352,AK352,1))-P353&lt;0),-1,MIN(1,IF($A353=$A352,AK352,1)-P353+$D$3))</f>
        <v>#N/A</v>
      </c>
      <c r="AL353" t="e">
        <f>IF(OR($J353=0,COUNTIFS($A$4:$A352,"&gt;="&amp;$A353-1,$A$4:$A352,"&lt;="&amp;$A353,$B$4:$B352,$B353)&gt;0,MIN(AL$1,IF($A353=$A352,AL352,1))-Q353&lt;0),-1,MIN(1,IF($A353=$A352,AL352,1)-Q353+$D$3))</f>
        <v>#N/A</v>
      </c>
      <c r="AM353" t="e">
        <f>IF(OR($J353=0,COUNTIFS($A$4:$A352,"&gt;="&amp;$A353-1,$A$4:$A352,"&lt;="&amp;$A353,$B$4:$B352,$B353)&gt;0,MIN(AM$1,IF($A353=$A352,AM352,1))-R353&lt;0),-1,MIN(1,IF($A353=$A352,AM352,1)-R353+$D$3))</f>
        <v>#N/A</v>
      </c>
      <c r="AN353" t="e">
        <f>IF(OR($J353=0,COUNTIFS($A$4:$A352,"&gt;="&amp;$A353-1,$A$4:$A352,"&lt;="&amp;$A353,$B$4:$B352,$B353)&gt;0,MIN(AN$1,IF($A353=$A352,AN352,1))-S353&lt;0),-1,MIN(1,IF($A353=$A352,AN352,1)-S353+$D$3))</f>
        <v>#N/A</v>
      </c>
      <c r="AO353" t="e">
        <f>IF(OR($J353=0,COUNTIFS($A$4:$A352,"&gt;="&amp;$A353-1,$A$4:$A352,"&lt;="&amp;$A353,$B$4:$B352,$B353)&gt;0,MIN(AO$1,IF($A353=$A352,AO352,1))-T353&lt;0),-1,MIN(1,IF($A353=$A352,AO352,1)-T353+$D$3))</f>
        <v>#N/A</v>
      </c>
      <c r="AP353" t="e">
        <f>IF(OR($J353=0,COUNTIFS($A$4:$A352,"&gt;="&amp;$A353-1,$A$4:$A352,"&lt;="&amp;$A353,$B$4:$B352,$B353)&gt;0,MIN(AP$1,IF($A353=$A352,AP352,1))-U353&lt;0),-1,MIN(1,IF($A353=$A352,AP352,1)-U353+$D$3))</f>
        <v>#N/A</v>
      </c>
      <c r="AQ353" t="e">
        <f>IF(OR($J353=0,COUNTIFS($A$4:$A352,"&gt;="&amp;$A353-1,$A$4:$A352,"&lt;="&amp;$A353,$B$4:$B352,$B353)&gt;0,MIN(AQ$1,IF($A353=$A352,AQ352,1))-V353&lt;0),-1,MIN(1,IF($A353=$A352,AQ352,1)-V353+$D$3))</f>
        <v>#N/A</v>
      </c>
      <c r="AR353" t="e">
        <f>IF(OR($J353=0,COUNTIFS($A$4:$A352,"&gt;="&amp;$A353-1,$A$4:$A352,"&lt;="&amp;$A353,$B$4:$B352,$B353)&gt;0,MIN(AR$1,IF($A353=$A352,AR352,1))-W353&lt;0),-1,MIN(1,IF($A353=$A352,AR352,1)-W353+$D$3))</f>
        <v>#N/A</v>
      </c>
      <c r="AS353" t="e">
        <f>IF(OR($J353=0,COUNTIFS($A$4:$A352,"&gt;="&amp;$A353-1,$A$4:$A352,"&lt;="&amp;$A353,$B$4:$B352,$B353)&gt;0,MIN(AS$1,IF($A353=$A352,AS352,1))-X353&lt;0),-1,MIN(1,IF($A353=$A352,AS352,1)-X353+$D$3))</f>
        <v>#N/A</v>
      </c>
      <c r="AT353" t="e">
        <f>IF(OR($J353=0,COUNTIFS($A$4:$A352,"&gt;="&amp;$A353-1,$A$4:$A352,"&lt;="&amp;$A353,$B$4:$B352,$B353)&gt;0,MIN(AT$1,IF($A353=$A352,AT352,1))-Y353&lt;0),-1,MIN(1,IF($A353=$A352,AT352,1)-Y353+$D$3))</f>
        <v>#N/A</v>
      </c>
      <c r="AU353" t="e">
        <f>IF(OR($J353=0,COUNTIFS($A$4:$A352,"&gt;="&amp;$A353-1,$A$4:$A352,"&lt;="&amp;$A353,$B$4:$B352,$B353)&gt;0,MIN(AU$1,IF($A353=$A352,AU352,1))-Z353&lt;0),-1,MIN(1,IF($A353=$A352,AU352,1)-Z353+$D$3))</f>
        <v>#N/A</v>
      </c>
      <c r="AV353" t="e">
        <f>IF(OR($J353=0,COUNTIFS($A$4:$A352,"&gt;="&amp;$A353-1,$A$4:$A352,"&lt;="&amp;$A353,$B$4:$B352,$B353)&gt;0,MIN(AV$1,IF($A353=$A352,AV352,1))-AA353&lt;0),-1,MIN(1,IF($A353=$A352,AV352,1)-AA353+$D$3))</f>
        <v>#N/A</v>
      </c>
      <c r="AW353" t="e">
        <f>IF(OR($J353=0,COUNTIFS($A$4:$A352,"&gt;="&amp;$A353-1,$A$4:$A352,"&lt;="&amp;$A353,$B$4:$B352,$B353)&gt;0,MIN(AW$1,IF($A353=$A352,AW352,1))-AB353&lt;0),-1,MIN(1,IF($A353=$A352,AW352,1)-AB353+$D$3))</f>
        <v>#N/A</v>
      </c>
      <c r="AX353" t="e">
        <f>IF(OR($J353=0,COUNTIFS($A$4:$A352,"&gt;="&amp;$A353-1,$A$4:$A352,"&lt;="&amp;$A353,$B$4:$B352,$B353)&gt;0,MIN(AX$1,IF($A353=$A352,AX352,1))-AC353&lt;0),-1,MIN(1,IF($A353=$A352,AX352,1)-AC353+$D$3))</f>
        <v>#N/A</v>
      </c>
      <c r="AY353" t="e">
        <f>IF(OR($J353=0,COUNTIFS($A$4:$A352,"&gt;="&amp;$A353-1,$A$4:$A352,"&lt;="&amp;$A353,$B$4:$B352,$B353)&gt;0,MIN(AY$1,IF($A353=$A352,AY352,1))-AD353&lt;0),-1,MIN(1,IF($A353=$A352,AY352,1)-AD353+$D$3))</f>
        <v>#N/A</v>
      </c>
      <c r="AZ353" t="e">
        <f>IF(OR($J353=0,COUNTIFS($A$4:$A352,"&gt;="&amp;$A353-1,$A$4:$A352,"&lt;="&amp;$A353,$B$4:$B352,$B353)&gt;0,MIN(AZ$1,IF($A353=$A352,AZ352,1))-AE353&lt;0),-1,MIN(1,IF($A353=$A352,AZ352,1)-AE353+$D$3))</f>
        <v>#N/A</v>
      </c>
      <c r="BA353" t="e">
        <f>IF(OR($J353=0,COUNTIFS($A$4:$A352,"&gt;="&amp;$A353-1,$A$4:$A352,"&lt;="&amp;$A353,$B$4:$B352,$B353)&gt;0,MIN(BA$1,IF($A353=$A352,BA352,1))-AF353&lt;0),-1,MIN(1,IF($A353=$A352,BA352,1)-AF353+$D$3))</f>
        <v>#N/A</v>
      </c>
      <c r="BB353" t="e">
        <f>IF(OR($J353=0,COUNTIFS($A$4:$A352,"&gt;="&amp;$A353-1,$A$4:$A352,"&lt;="&amp;$A353,$B$4:$B352,$B353)&gt;0,MIN(BB$1,IF($A353=$A352,BB352,1))-AG353&lt;0),-1,MIN(1,IF($A353=$A352,BB352,1)-AG353+$D$3))</f>
        <v>#N/A</v>
      </c>
      <c r="BC353" t="e">
        <f>IF(OR($J353=0,COUNTIFS($A$4:$A352,"&gt;="&amp;$A353-1,$A$4:$A352,"&lt;="&amp;$A353,$B$4:$B352,$B353)&gt;0,MIN(BC$1,IF($A353=$A352,BC352,1))-AH353&lt;0),-1,MIN(1,IF($A353=$A352,BC352,1)-AH353+$D$3))</f>
        <v>#N/A</v>
      </c>
      <c r="BD353" t="e">
        <f>IF(OR($J353=0,COUNTIFS($A$4:$A352,"&gt;="&amp;$A353-1,$A$4:$A352,"&lt;="&amp;$A353,$B$4:$B352,$B353)&gt;0,MIN(BD$1,IF($A353=$A352,BD352,1))-AI353&lt;0),-1,MIN(1,IF($A353=$A352,BD352,1)-AI353+$D$3))</f>
        <v>#N/A</v>
      </c>
      <c r="BF353" s="44">
        <f t="shared" si="355"/>
        <v>3.5632323251479455E-8</v>
      </c>
      <c r="BG353" s="44">
        <f t="shared" si="356"/>
        <v>8.7629937649309644E-8</v>
      </c>
      <c r="BH353" s="44">
        <f t="shared" si="357"/>
        <v>8.9811468323850355E-8</v>
      </c>
      <c r="BI353" s="44">
        <f t="shared" si="358"/>
        <v>8.2960861629647748E-8</v>
      </c>
      <c r="BJ353" s="44">
        <f t="shared" si="359"/>
        <v>8.5747926463265286E-8</v>
      </c>
      <c r="BK353" s="44">
        <f t="shared" si="360"/>
        <v>3.6823356729584205E-8</v>
      </c>
      <c r="BL353" s="44">
        <f t="shared" si="361"/>
        <v>1.9892556624888633E-8</v>
      </c>
      <c r="BM353" s="44">
        <f t="shared" si="362"/>
        <v>5.0604341099705559E-8</v>
      </c>
      <c r="BN353" s="44">
        <f t="shared" si="363"/>
        <v>5.2632458612303943E-8</v>
      </c>
      <c r="BO353" s="44">
        <f t="shared" si="364"/>
        <v>2.4665567278301441E-8</v>
      </c>
      <c r="BP353" s="44">
        <f t="shared" si="365"/>
        <v>8.2937420419555428E-8</v>
      </c>
      <c r="BQ353" s="44">
        <f t="shared" si="366"/>
        <v>2.2381376551062828E-8</v>
      </c>
      <c r="BR353" s="44">
        <f t="shared" si="367"/>
        <v>6.6120188976307506E-8</v>
      </c>
      <c r="BS353" s="44">
        <f t="shared" si="368"/>
        <v>3.5659495337357484E-8</v>
      </c>
      <c r="BT353" s="44">
        <f t="shared" si="369"/>
        <v>1.4111555541133313E-7</v>
      </c>
      <c r="BU353" s="44">
        <f t="shared" si="370"/>
        <v>1.3480781871139105E-7</v>
      </c>
      <c r="BV353" s="44">
        <f t="shared" si="371"/>
        <v>1.2946496907160774E-7</v>
      </c>
      <c r="BW353" s="44">
        <f t="shared" si="372"/>
        <v>8.4677214284094989E-8</v>
      </c>
      <c r="BX353" s="44">
        <f t="shared" si="373"/>
        <v>6.2557988238190819E-8</v>
      </c>
      <c r="BY353" s="44">
        <f t="shared" si="374"/>
        <v>5.3713223126803354E-8</v>
      </c>
      <c r="CA353" s="44" t="str">
        <f t="shared" si="375"/>
        <v/>
      </c>
      <c r="CB353" s="44" t="str">
        <f t="shared" si="376"/>
        <v/>
      </c>
      <c r="CC353" s="44" t="str">
        <f t="shared" si="377"/>
        <v/>
      </c>
      <c r="CD353" s="44" t="str">
        <f t="shared" si="378"/>
        <v/>
      </c>
      <c r="CE353" s="44" t="str">
        <f t="shared" si="379"/>
        <v/>
      </c>
      <c r="CF353" s="44" t="str">
        <f t="shared" si="380"/>
        <v/>
      </c>
      <c r="CG353" s="44" t="str">
        <f t="shared" si="381"/>
        <v/>
      </c>
      <c r="CH353" s="44" t="str">
        <f t="shared" si="382"/>
        <v/>
      </c>
      <c r="CI353" s="44" t="str">
        <f t="shared" si="383"/>
        <v/>
      </c>
      <c r="CJ353" s="44" t="str">
        <f t="shared" si="384"/>
        <v/>
      </c>
      <c r="CK353" s="44" t="str">
        <f t="shared" si="385"/>
        <v/>
      </c>
      <c r="CL353" s="44" t="str">
        <f t="shared" si="386"/>
        <v/>
      </c>
      <c r="CM353" s="44" t="str">
        <f t="shared" si="387"/>
        <v/>
      </c>
      <c r="CN353" s="44" t="str">
        <f t="shared" si="388"/>
        <v/>
      </c>
      <c r="CO353" s="44" t="str">
        <f t="shared" si="389"/>
        <v/>
      </c>
      <c r="CP353" s="44" t="str">
        <f t="shared" si="390"/>
        <v/>
      </c>
      <c r="CQ353" s="44" t="str">
        <f t="shared" si="391"/>
        <v/>
      </c>
      <c r="CR353" s="44" t="str">
        <f t="shared" si="392"/>
        <v/>
      </c>
      <c r="CS353" s="44" t="str">
        <f t="shared" si="393"/>
        <v/>
      </c>
      <c r="CT353" s="44" t="str">
        <f t="shared" si="394"/>
        <v/>
      </c>
      <c r="CV353" s="44">
        <f t="shared" si="395"/>
        <v>0</v>
      </c>
    </row>
    <row r="354" spans="1:100" x14ac:dyDescent="0.25">
      <c r="A354" s="41"/>
      <c r="B354" s="42"/>
      <c r="C354" s="43" t="str" cm="1">
        <f t="array" ref="C354">IF(B354="","",INDEX(UWS!$B$10:$B$41,B354))</f>
        <v/>
      </c>
      <c r="D354" s="40" t="str">
        <f t="shared" si="352"/>
        <v/>
      </c>
      <c r="E354" s="69" t="str">
        <f t="shared" si="353"/>
        <v/>
      </c>
      <c r="F354" s="48" cm="1">
        <f t="array" ref="F354">0.1+IFERROR(INDEX($F$5:$F353,SUMPRODUCT(MAX(ROW($C$5:$C353)*($C354=$C$5:$C353))-ROW($A$4)))*0.9^($A354-INDEX($A$5:A353,SUMPRODUCT(MAX(ROW($C$5:$C353)*($C354=$C$5:$C353))-ROW($A$4)))),0)</f>
        <v>28.900000000000141</v>
      </c>
      <c r="G354" s="55" t="e">
        <f>INDEX(UWS!$AB$10:$AB$41,MATCH(C354,UWS!$B$10:$B$41,0))</f>
        <v>#N/A</v>
      </c>
      <c r="H354" s="48" t="e">
        <f>INDEX(UWS!$C$10:$C$41,MATCH(C354,UWS!$B$10:$B$41,0))</f>
        <v>#N/A</v>
      </c>
      <c r="I354" s="27">
        <f t="shared" si="354"/>
        <v>5</v>
      </c>
      <c r="J354" s="27" t="e">
        <f>INDEX(UWS!$E$10:$E$41,MATCH(C354,UWS!$B$10:$B$41,0))</f>
        <v>#N/A</v>
      </c>
      <c r="L354" s="108" t="str" cm="1">
        <f t="array" ref="L354">IF(K354="","",INDEX(UWS!$B$10:$B$41,K354))</f>
        <v/>
      </c>
      <c r="N354" s="108" t="str" cm="1">
        <f t="array" ref="N354">IF(M354="","",INDEX(UWS!$B$10:$B$41,M354))</f>
        <v/>
      </c>
      <c r="P354">
        <f>IFERROR(INDEX(UWS!$G$10:$Z$41,MATCH($C354,UWS!$B$10:$B$41,0),MATCH(P$4,UWS!$G$3:$Z$3,0)),0)</f>
        <v>0</v>
      </c>
      <c r="Q354">
        <f>IFERROR(INDEX(UWS!$G$10:$Z$41,MATCH($C354,UWS!$B$10:$B$41,0),MATCH(Q$4,UWS!$G$3:$Z$3,0)),0)</f>
        <v>0</v>
      </c>
      <c r="R354">
        <f>IFERROR(INDEX(UWS!$G$10:$Z$41,MATCH($C354,UWS!$B$10:$B$41,0),MATCH(R$4,UWS!$G$3:$Z$3,0)),0)</f>
        <v>0</v>
      </c>
      <c r="S354">
        <f>IFERROR(INDEX(UWS!$G$10:$Z$41,MATCH($C354,UWS!$B$10:$B$41,0),MATCH(S$4,UWS!$G$3:$Z$3,0)),0)</f>
        <v>0</v>
      </c>
      <c r="T354">
        <f>IFERROR(INDEX(UWS!$G$10:$Z$41,MATCH($C354,UWS!$B$10:$B$41,0),MATCH(T$4,UWS!$G$3:$Z$3,0)),0)</f>
        <v>0</v>
      </c>
      <c r="U354">
        <f>IFERROR(INDEX(UWS!$G$10:$Z$41,MATCH($C354,UWS!$B$10:$B$41,0),MATCH(U$4,UWS!$G$3:$Z$3,0)),0)</f>
        <v>0</v>
      </c>
      <c r="V354">
        <f>IFERROR(INDEX(UWS!$G$10:$Z$41,MATCH($C354,UWS!$B$10:$B$41,0),MATCH(V$4,UWS!$G$3:$Z$3,0)),0)</f>
        <v>0</v>
      </c>
      <c r="W354">
        <f>IFERROR(INDEX(UWS!$G$10:$Z$41,MATCH($C354,UWS!$B$10:$B$41,0),MATCH(W$4,UWS!$G$3:$Z$3,0)),0)</f>
        <v>0</v>
      </c>
      <c r="X354">
        <f>IFERROR(INDEX(UWS!$G$10:$Z$41,MATCH($C354,UWS!$B$10:$B$41,0),MATCH(X$4,UWS!$G$3:$Z$3,0)),0)</f>
        <v>0</v>
      </c>
      <c r="Y354">
        <f>IFERROR(INDEX(UWS!$G$10:$Z$41,MATCH($C354,UWS!$B$10:$B$41,0),MATCH(Y$4,UWS!$G$3:$Z$3,0)),0)</f>
        <v>0</v>
      </c>
      <c r="Z354">
        <f>IFERROR(INDEX(UWS!$G$10:$Z$41,MATCH($C354,UWS!$B$10:$B$41,0),MATCH(Z$4,UWS!$G$3:$Z$3,0)),0)</f>
        <v>0</v>
      </c>
      <c r="AA354">
        <f>IFERROR(INDEX(UWS!$G$10:$Z$41,MATCH($C354,UWS!$B$10:$B$41,0),MATCH(AA$4,UWS!$G$3:$Z$3,0)),0)</f>
        <v>0</v>
      </c>
      <c r="AB354">
        <f>IFERROR(INDEX(UWS!$G$10:$Z$41,MATCH($C354,UWS!$B$10:$B$41,0),MATCH(AB$4,UWS!$G$3:$Z$3,0)),0)</f>
        <v>0</v>
      </c>
      <c r="AC354">
        <f>IFERROR(INDEX(UWS!$G$10:$Z$41,MATCH($C354,UWS!$B$10:$B$41,0),MATCH(AC$4,UWS!$G$3:$Z$3,0)),0)</f>
        <v>0</v>
      </c>
      <c r="AD354">
        <f>IFERROR(INDEX(UWS!$G$10:$Z$41,MATCH($C354,UWS!$B$10:$B$41,0),MATCH(AD$4,UWS!$G$3:$Z$3,0)),0)</f>
        <v>0</v>
      </c>
      <c r="AE354">
        <f>IFERROR(INDEX(UWS!$G$10:$Z$41,MATCH($C354,UWS!$B$10:$B$41,0),MATCH(AE$4,UWS!$G$3:$Z$3,0)),0)</f>
        <v>0</v>
      </c>
      <c r="AF354">
        <f>IFERROR(INDEX(UWS!$G$10:$Z$41,MATCH($C354,UWS!$B$10:$B$41,0),MATCH(AF$4,UWS!$G$3:$Z$3,0)),0)</f>
        <v>0</v>
      </c>
      <c r="AG354">
        <f>IFERROR(INDEX(UWS!$G$10:$Z$41,MATCH($C354,UWS!$B$10:$B$41,0),MATCH(AG$4,UWS!$G$3:$Z$3,0)),0)</f>
        <v>0</v>
      </c>
      <c r="AH354">
        <f>IFERROR(INDEX(UWS!$G$10:$Z$41,MATCH($C354,UWS!$B$10:$B$41,0),MATCH(AH$4,UWS!$G$3:$Z$3,0)),0)</f>
        <v>0</v>
      </c>
      <c r="AI354">
        <f>IFERROR(INDEX(UWS!$G$10:$Z$41,MATCH($C354,UWS!$B$10:$B$41,0),MATCH(AI$4,UWS!$G$3:$Z$3,0)),0)</f>
        <v>0</v>
      </c>
      <c r="AK354" t="e">
        <f>IF(OR($J354=0,COUNTIFS($A$4:$A353,"&gt;="&amp;$A354-1,$A$4:$A353,"&lt;="&amp;$A354,$B$4:$B353,$B354)&gt;0,MIN(AK$1,IF($A354=$A353,AK353,1))-P354&lt;0),-1,MIN(1,IF($A354=$A353,AK353,1)-P354+$D$3))</f>
        <v>#N/A</v>
      </c>
      <c r="AL354" t="e">
        <f>IF(OR($J354=0,COUNTIFS($A$4:$A353,"&gt;="&amp;$A354-1,$A$4:$A353,"&lt;="&amp;$A354,$B$4:$B353,$B354)&gt;0,MIN(AL$1,IF($A354=$A353,AL353,1))-Q354&lt;0),-1,MIN(1,IF($A354=$A353,AL353,1)-Q354+$D$3))</f>
        <v>#N/A</v>
      </c>
      <c r="AM354" t="e">
        <f>IF(OR($J354=0,COUNTIFS($A$4:$A353,"&gt;="&amp;$A354-1,$A$4:$A353,"&lt;="&amp;$A354,$B$4:$B353,$B354)&gt;0,MIN(AM$1,IF($A354=$A353,AM353,1))-R354&lt;0),-1,MIN(1,IF($A354=$A353,AM353,1)-R354+$D$3))</f>
        <v>#N/A</v>
      </c>
      <c r="AN354" t="e">
        <f>IF(OR($J354=0,COUNTIFS($A$4:$A353,"&gt;="&amp;$A354-1,$A$4:$A353,"&lt;="&amp;$A354,$B$4:$B353,$B354)&gt;0,MIN(AN$1,IF($A354=$A353,AN353,1))-S354&lt;0),-1,MIN(1,IF($A354=$A353,AN353,1)-S354+$D$3))</f>
        <v>#N/A</v>
      </c>
      <c r="AO354" t="e">
        <f>IF(OR($J354=0,COUNTIFS($A$4:$A353,"&gt;="&amp;$A354-1,$A$4:$A353,"&lt;="&amp;$A354,$B$4:$B353,$B354)&gt;0,MIN(AO$1,IF($A354=$A353,AO353,1))-T354&lt;0),-1,MIN(1,IF($A354=$A353,AO353,1)-T354+$D$3))</f>
        <v>#N/A</v>
      </c>
      <c r="AP354" t="e">
        <f>IF(OR($J354=0,COUNTIFS($A$4:$A353,"&gt;="&amp;$A354-1,$A$4:$A353,"&lt;="&amp;$A354,$B$4:$B353,$B354)&gt;0,MIN(AP$1,IF($A354=$A353,AP353,1))-U354&lt;0),-1,MIN(1,IF($A354=$A353,AP353,1)-U354+$D$3))</f>
        <v>#N/A</v>
      </c>
      <c r="AQ354" t="e">
        <f>IF(OR($J354=0,COUNTIFS($A$4:$A353,"&gt;="&amp;$A354-1,$A$4:$A353,"&lt;="&amp;$A354,$B$4:$B353,$B354)&gt;0,MIN(AQ$1,IF($A354=$A353,AQ353,1))-V354&lt;0),-1,MIN(1,IF($A354=$A353,AQ353,1)-V354+$D$3))</f>
        <v>#N/A</v>
      </c>
      <c r="AR354" t="e">
        <f>IF(OR($J354=0,COUNTIFS($A$4:$A353,"&gt;="&amp;$A354-1,$A$4:$A353,"&lt;="&amp;$A354,$B$4:$B353,$B354)&gt;0,MIN(AR$1,IF($A354=$A353,AR353,1))-W354&lt;0),-1,MIN(1,IF($A354=$A353,AR353,1)-W354+$D$3))</f>
        <v>#N/A</v>
      </c>
      <c r="AS354" t="e">
        <f>IF(OR($J354=0,COUNTIFS($A$4:$A353,"&gt;="&amp;$A354-1,$A$4:$A353,"&lt;="&amp;$A354,$B$4:$B353,$B354)&gt;0,MIN(AS$1,IF($A354=$A353,AS353,1))-X354&lt;0),-1,MIN(1,IF($A354=$A353,AS353,1)-X354+$D$3))</f>
        <v>#N/A</v>
      </c>
      <c r="AT354" t="e">
        <f>IF(OR($J354=0,COUNTIFS($A$4:$A353,"&gt;="&amp;$A354-1,$A$4:$A353,"&lt;="&amp;$A354,$B$4:$B353,$B354)&gt;0,MIN(AT$1,IF($A354=$A353,AT353,1))-Y354&lt;0),-1,MIN(1,IF($A354=$A353,AT353,1)-Y354+$D$3))</f>
        <v>#N/A</v>
      </c>
      <c r="AU354" t="e">
        <f>IF(OR($J354=0,COUNTIFS($A$4:$A353,"&gt;="&amp;$A354-1,$A$4:$A353,"&lt;="&amp;$A354,$B$4:$B353,$B354)&gt;0,MIN(AU$1,IF($A354=$A353,AU353,1))-Z354&lt;0),-1,MIN(1,IF($A354=$A353,AU353,1)-Z354+$D$3))</f>
        <v>#N/A</v>
      </c>
      <c r="AV354" t="e">
        <f>IF(OR($J354=0,COUNTIFS($A$4:$A353,"&gt;="&amp;$A354-1,$A$4:$A353,"&lt;="&amp;$A354,$B$4:$B353,$B354)&gt;0,MIN(AV$1,IF($A354=$A353,AV353,1))-AA354&lt;0),-1,MIN(1,IF($A354=$A353,AV353,1)-AA354+$D$3))</f>
        <v>#N/A</v>
      </c>
      <c r="AW354" t="e">
        <f>IF(OR($J354=0,COUNTIFS($A$4:$A353,"&gt;="&amp;$A354-1,$A$4:$A353,"&lt;="&amp;$A354,$B$4:$B353,$B354)&gt;0,MIN(AW$1,IF($A354=$A353,AW353,1))-AB354&lt;0),-1,MIN(1,IF($A354=$A353,AW353,1)-AB354+$D$3))</f>
        <v>#N/A</v>
      </c>
      <c r="AX354" t="e">
        <f>IF(OR($J354=0,COUNTIFS($A$4:$A353,"&gt;="&amp;$A354-1,$A$4:$A353,"&lt;="&amp;$A354,$B$4:$B353,$B354)&gt;0,MIN(AX$1,IF($A354=$A353,AX353,1))-AC354&lt;0),-1,MIN(1,IF($A354=$A353,AX353,1)-AC354+$D$3))</f>
        <v>#N/A</v>
      </c>
      <c r="AY354" t="e">
        <f>IF(OR($J354=0,COUNTIFS($A$4:$A353,"&gt;="&amp;$A354-1,$A$4:$A353,"&lt;="&amp;$A354,$B$4:$B353,$B354)&gt;0,MIN(AY$1,IF($A354=$A353,AY353,1))-AD354&lt;0),-1,MIN(1,IF($A354=$A353,AY353,1)-AD354+$D$3))</f>
        <v>#N/A</v>
      </c>
      <c r="AZ354" t="e">
        <f>IF(OR($J354=0,COUNTIFS($A$4:$A353,"&gt;="&amp;$A354-1,$A$4:$A353,"&lt;="&amp;$A354,$B$4:$B353,$B354)&gt;0,MIN(AZ$1,IF($A354=$A353,AZ353,1))-AE354&lt;0),-1,MIN(1,IF($A354=$A353,AZ353,1)-AE354+$D$3))</f>
        <v>#N/A</v>
      </c>
      <c r="BA354" t="e">
        <f>IF(OR($J354=0,COUNTIFS($A$4:$A353,"&gt;="&amp;$A354-1,$A$4:$A353,"&lt;="&amp;$A354,$B$4:$B353,$B354)&gt;0,MIN(BA$1,IF($A354=$A353,BA353,1))-AF354&lt;0),-1,MIN(1,IF($A354=$A353,BA353,1)-AF354+$D$3))</f>
        <v>#N/A</v>
      </c>
      <c r="BB354" t="e">
        <f>IF(OR($J354=0,COUNTIFS($A$4:$A353,"&gt;="&amp;$A354-1,$A$4:$A353,"&lt;="&amp;$A354,$B$4:$B353,$B354)&gt;0,MIN(BB$1,IF($A354=$A353,BB353,1))-AG354&lt;0),-1,MIN(1,IF($A354=$A353,BB353,1)-AG354+$D$3))</f>
        <v>#N/A</v>
      </c>
      <c r="BC354" t="e">
        <f>IF(OR($J354=0,COUNTIFS($A$4:$A353,"&gt;="&amp;$A354-1,$A$4:$A353,"&lt;="&amp;$A354,$B$4:$B353,$B354)&gt;0,MIN(BC$1,IF($A354=$A353,BC353,1))-AH354&lt;0),-1,MIN(1,IF($A354=$A353,BC353,1)-AH354+$D$3))</f>
        <v>#N/A</v>
      </c>
      <c r="BD354" t="e">
        <f>IF(OR($J354=0,COUNTIFS($A$4:$A353,"&gt;="&amp;$A354-1,$A$4:$A353,"&lt;="&amp;$A354,$B$4:$B353,$B354)&gt;0,MIN(BD$1,IF($A354=$A353,BD353,1))-AI354&lt;0),-1,MIN(1,IF($A354=$A353,BD353,1)-AI354+$D$3))</f>
        <v>#N/A</v>
      </c>
      <c r="BF354" s="44">
        <f t="shared" si="355"/>
        <v>3.3850707088905477E-8</v>
      </c>
      <c r="BG354" s="44">
        <f t="shared" si="356"/>
        <v>8.3248440766844153E-8</v>
      </c>
      <c r="BH354" s="44">
        <f t="shared" si="357"/>
        <v>8.5320894907657834E-8</v>
      </c>
      <c r="BI354" s="44">
        <f t="shared" si="358"/>
        <v>7.881281854816536E-8</v>
      </c>
      <c r="BJ354" s="44">
        <f t="shared" si="359"/>
        <v>8.1460530140102022E-8</v>
      </c>
      <c r="BK354" s="44">
        <f t="shared" si="360"/>
        <v>3.4982188893104991E-8</v>
      </c>
      <c r="BL354" s="44">
        <f t="shared" si="361"/>
        <v>1.8897928793644201E-8</v>
      </c>
      <c r="BM354" s="44">
        <f t="shared" si="362"/>
        <v>4.807412404472028E-8</v>
      </c>
      <c r="BN354" s="44">
        <f t="shared" si="363"/>
        <v>5.0000835681688744E-8</v>
      </c>
      <c r="BO354" s="44">
        <f t="shared" si="364"/>
        <v>2.3432288914386367E-8</v>
      </c>
      <c r="BP354" s="44">
        <f t="shared" si="365"/>
        <v>7.8790549398577652E-8</v>
      </c>
      <c r="BQ354" s="44">
        <f t="shared" si="366"/>
        <v>2.1262307723509687E-8</v>
      </c>
      <c r="BR354" s="44">
        <f t="shared" si="367"/>
        <v>6.2814179527492134E-8</v>
      </c>
      <c r="BS354" s="44">
        <f t="shared" si="368"/>
        <v>3.3876520570489606E-8</v>
      </c>
      <c r="BT354" s="44">
        <f t="shared" si="369"/>
        <v>1.3405977764076646E-7</v>
      </c>
      <c r="BU354" s="44">
        <f t="shared" si="370"/>
        <v>1.280674277758215E-7</v>
      </c>
      <c r="BV354" s="44">
        <f t="shared" si="371"/>
        <v>1.2299172061802736E-7</v>
      </c>
      <c r="BW354" s="44">
        <f t="shared" si="372"/>
        <v>8.0443353569890237E-8</v>
      </c>
      <c r="BX354" s="44">
        <f t="shared" si="373"/>
        <v>5.9430088826281274E-8</v>
      </c>
      <c r="BY354" s="44">
        <f t="shared" si="374"/>
        <v>5.1027561970463185E-8</v>
      </c>
      <c r="CA354" s="44" t="str">
        <f t="shared" si="375"/>
        <v/>
      </c>
      <c r="CB354" s="44" t="str">
        <f t="shared" si="376"/>
        <v/>
      </c>
      <c r="CC354" s="44" t="str">
        <f t="shared" si="377"/>
        <v/>
      </c>
      <c r="CD354" s="44" t="str">
        <f t="shared" si="378"/>
        <v/>
      </c>
      <c r="CE354" s="44" t="str">
        <f t="shared" si="379"/>
        <v/>
      </c>
      <c r="CF354" s="44" t="str">
        <f t="shared" si="380"/>
        <v/>
      </c>
      <c r="CG354" s="44" t="str">
        <f t="shared" si="381"/>
        <v/>
      </c>
      <c r="CH354" s="44" t="str">
        <f t="shared" si="382"/>
        <v/>
      </c>
      <c r="CI354" s="44" t="str">
        <f t="shared" si="383"/>
        <v/>
      </c>
      <c r="CJ354" s="44" t="str">
        <f t="shared" si="384"/>
        <v/>
      </c>
      <c r="CK354" s="44" t="str">
        <f t="shared" si="385"/>
        <v/>
      </c>
      <c r="CL354" s="44" t="str">
        <f t="shared" si="386"/>
        <v/>
      </c>
      <c r="CM354" s="44" t="str">
        <f t="shared" si="387"/>
        <v/>
      </c>
      <c r="CN354" s="44" t="str">
        <f t="shared" si="388"/>
        <v/>
      </c>
      <c r="CO354" s="44" t="str">
        <f t="shared" si="389"/>
        <v/>
      </c>
      <c r="CP354" s="44" t="str">
        <f t="shared" si="390"/>
        <v/>
      </c>
      <c r="CQ354" s="44" t="str">
        <f t="shared" si="391"/>
        <v/>
      </c>
      <c r="CR354" s="44" t="str">
        <f t="shared" si="392"/>
        <v/>
      </c>
      <c r="CS354" s="44" t="str">
        <f t="shared" si="393"/>
        <v/>
      </c>
      <c r="CT354" s="44" t="str">
        <f t="shared" si="394"/>
        <v/>
      </c>
      <c r="CV354" s="44">
        <f t="shared" si="395"/>
        <v>0</v>
      </c>
    </row>
    <row r="355" spans="1:100" x14ac:dyDescent="0.25">
      <c r="A355" s="49"/>
      <c r="B355" s="50"/>
      <c r="C355" s="51" t="str" cm="1">
        <f t="array" ref="C355">IF(B355="","",INDEX(UWS!$B$10:$B$41,B355))</f>
        <v/>
      </c>
      <c r="D355" s="45" t="str">
        <f t="shared" si="352"/>
        <v/>
      </c>
      <c r="E355" s="70" t="str">
        <f t="shared" si="353"/>
        <v/>
      </c>
      <c r="F355" s="52" cm="1">
        <f t="array" ref="F355">0.1+IFERROR(INDEX($F$5:$F354,SUMPRODUCT(MAX(ROW($C$5:$C354)*($C355=$C$5:$C354))-ROW($A$4)))*0.9^($A355-INDEX($A$5:A354,SUMPRODUCT(MAX(ROW($C$5:$C354)*($C355=$C$5:$C354))-ROW($A$4)))),0)</f>
        <v>29.000000000000142</v>
      </c>
      <c r="G355" s="56" t="e">
        <f>INDEX(UWS!$AB$10:$AB$41,MATCH(C355,UWS!$B$10:$B$41,0))</f>
        <v>#N/A</v>
      </c>
      <c r="H355" s="52" t="e">
        <f>INDEX(UWS!$C$10:$C$41,MATCH(C355,UWS!$B$10:$B$41,0))</f>
        <v>#N/A</v>
      </c>
      <c r="I355" s="46">
        <f t="shared" si="354"/>
        <v>5</v>
      </c>
      <c r="J355" s="46" t="e">
        <f>INDEX(UWS!$E$10:$E$41,MATCH(C355,UWS!$B$10:$B$41,0))</f>
        <v>#N/A</v>
      </c>
      <c r="K355" s="46"/>
      <c r="L355" s="109" t="str" cm="1">
        <f t="array" ref="L355">IF(K355="","",INDEX(UWS!$B$10:$B$41,K355))</f>
        <v/>
      </c>
      <c r="M355" s="46"/>
      <c r="N355" s="109" t="str" cm="1">
        <f t="array" ref="N355">IF(M355="","",INDEX(UWS!$B$10:$B$41,M355))</f>
        <v/>
      </c>
      <c r="O355" s="47"/>
      <c r="P355" s="47">
        <f>IFERROR(INDEX(UWS!$G$10:$Z$41,MATCH($C355,UWS!$B$10:$B$41,0),MATCH(P$4,UWS!$G$3:$Z$3,0)),0)</f>
        <v>0</v>
      </c>
      <c r="Q355" s="47">
        <f>IFERROR(INDEX(UWS!$G$10:$Z$41,MATCH($C355,UWS!$B$10:$B$41,0),MATCH(Q$4,UWS!$G$3:$Z$3,0)),0)</f>
        <v>0</v>
      </c>
      <c r="R355" s="47">
        <f>IFERROR(INDEX(UWS!$G$10:$Z$41,MATCH($C355,UWS!$B$10:$B$41,0),MATCH(R$4,UWS!$G$3:$Z$3,0)),0)</f>
        <v>0</v>
      </c>
      <c r="S355" s="47">
        <f>IFERROR(INDEX(UWS!$G$10:$Z$41,MATCH($C355,UWS!$B$10:$B$41,0),MATCH(S$4,UWS!$G$3:$Z$3,0)),0)</f>
        <v>0</v>
      </c>
      <c r="T355" s="47">
        <f>IFERROR(INDEX(UWS!$G$10:$Z$41,MATCH($C355,UWS!$B$10:$B$41,0),MATCH(T$4,UWS!$G$3:$Z$3,0)),0)</f>
        <v>0</v>
      </c>
      <c r="U355" s="47">
        <f>IFERROR(INDEX(UWS!$G$10:$Z$41,MATCH($C355,UWS!$B$10:$B$41,0),MATCH(U$4,UWS!$G$3:$Z$3,0)),0)</f>
        <v>0</v>
      </c>
      <c r="V355" s="47">
        <f>IFERROR(INDEX(UWS!$G$10:$Z$41,MATCH($C355,UWS!$B$10:$B$41,0),MATCH(V$4,UWS!$G$3:$Z$3,0)),0)</f>
        <v>0</v>
      </c>
      <c r="W355" s="47">
        <f>IFERROR(INDEX(UWS!$G$10:$Z$41,MATCH($C355,UWS!$B$10:$B$41,0),MATCH(W$4,UWS!$G$3:$Z$3,0)),0)</f>
        <v>0</v>
      </c>
      <c r="X355" s="47">
        <f>IFERROR(INDEX(UWS!$G$10:$Z$41,MATCH($C355,UWS!$B$10:$B$41,0),MATCH(X$4,UWS!$G$3:$Z$3,0)),0)</f>
        <v>0</v>
      </c>
      <c r="Y355" s="47">
        <f>IFERROR(INDEX(UWS!$G$10:$Z$41,MATCH($C355,UWS!$B$10:$B$41,0),MATCH(Y$4,UWS!$G$3:$Z$3,0)),0)</f>
        <v>0</v>
      </c>
      <c r="Z355" s="47">
        <f>IFERROR(INDEX(UWS!$G$10:$Z$41,MATCH($C355,UWS!$B$10:$B$41,0),MATCH(Z$4,UWS!$G$3:$Z$3,0)),0)</f>
        <v>0</v>
      </c>
      <c r="AA355" s="47">
        <f>IFERROR(INDEX(UWS!$G$10:$Z$41,MATCH($C355,UWS!$B$10:$B$41,0),MATCH(AA$4,UWS!$G$3:$Z$3,0)),0)</f>
        <v>0</v>
      </c>
      <c r="AB355" s="47">
        <f>IFERROR(INDEX(UWS!$G$10:$Z$41,MATCH($C355,UWS!$B$10:$B$41,0),MATCH(AB$4,UWS!$G$3:$Z$3,0)),0)</f>
        <v>0</v>
      </c>
      <c r="AC355" s="47">
        <f>IFERROR(INDEX(UWS!$G$10:$Z$41,MATCH($C355,UWS!$B$10:$B$41,0),MATCH(AC$4,UWS!$G$3:$Z$3,0)),0)</f>
        <v>0</v>
      </c>
      <c r="AD355" s="47">
        <f>IFERROR(INDEX(UWS!$G$10:$Z$41,MATCH($C355,UWS!$B$10:$B$41,0),MATCH(AD$4,UWS!$G$3:$Z$3,0)),0)</f>
        <v>0</v>
      </c>
      <c r="AE355" s="47">
        <f>IFERROR(INDEX(UWS!$G$10:$Z$41,MATCH($C355,UWS!$B$10:$B$41,0),MATCH(AE$4,UWS!$G$3:$Z$3,0)),0)</f>
        <v>0</v>
      </c>
      <c r="AF355" s="47">
        <f>IFERROR(INDEX(UWS!$G$10:$Z$41,MATCH($C355,UWS!$B$10:$B$41,0),MATCH(AF$4,UWS!$G$3:$Z$3,0)),0)</f>
        <v>0</v>
      </c>
      <c r="AG355" s="47">
        <f>IFERROR(INDEX(UWS!$G$10:$Z$41,MATCH($C355,UWS!$B$10:$B$41,0),MATCH(AG$4,UWS!$G$3:$Z$3,0)),0)</f>
        <v>0</v>
      </c>
      <c r="AH355" s="47">
        <f>IFERROR(INDEX(UWS!$G$10:$Z$41,MATCH($C355,UWS!$B$10:$B$41,0),MATCH(AH$4,UWS!$G$3:$Z$3,0)),0)</f>
        <v>0</v>
      </c>
      <c r="AI355" s="47">
        <f>IFERROR(INDEX(UWS!$G$10:$Z$41,MATCH($C355,UWS!$B$10:$B$41,0),MATCH(AI$4,UWS!$G$3:$Z$3,0)),0)</f>
        <v>0</v>
      </c>
      <c r="AJ355" s="47"/>
      <c r="AK355" s="47" t="e">
        <f>IF(OR($J355=0,COUNTIFS($A$4:$A354,"&gt;="&amp;$A355-1,$A$4:$A354,"&lt;="&amp;$A355,$B$4:$B354,$B355)&gt;0,MIN(AK$1,IF($A355=$A354,AK354,1))-P355&lt;0),-1,MIN(1,IF($A355=$A354,AK354,1)-P355+$D$3))</f>
        <v>#N/A</v>
      </c>
      <c r="AL355" s="47" t="e">
        <f>IF(OR($J355=0,COUNTIFS($A$4:$A354,"&gt;="&amp;$A355-1,$A$4:$A354,"&lt;="&amp;$A355,$B$4:$B354,$B355)&gt;0,MIN(AL$1,IF($A355=$A354,AL354,1))-Q355&lt;0),-1,MIN(1,IF($A355=$A354,AL354,1)-Q355+$D$3))</f>
        <v>#N/A</v>
      </c>
      <c r="AM355" s="47" t="e">
        <f>IF(OR($J355=0,COUNTIFS($A$4:$A354,"&gt;="&amp;$A355-1,$A$4:$A354,"&lt;="&amp;$A355,$B$4:$B354,$B355)&gt;0,MIN(AM$1,IF($A355=$A354,AM354,1))-R355&lt;0),-1,MIN(1,IF($A355=$A354,AM354,1)-R355+$D$3))</f>
        <v>#N/A</v>
      </c>
      <c r="AN355" s="47" t="e">
        <f>IF(OR($J355=0,COUNTIFS($A$4:$A354,"&gt;="&amp;$A355-1,$A$4:$A354,"&lt;="&amp;$A355,$B$4:$B354,$B355)&gt;0,MIN(AN$1,IF($A355=$A354,AN354,1))-S355&lt;0),-1,MIN(1,IF($A355=$A354,AN354,1)-S355+$D$3))</f>
        <v>#N/A</v>
      </c>
      <c r="AO355" s="47" t="e">
        <f>IF(OR($J355=0,COUNTIFS($A$4:$A354,"&gt;="&amp;$A355-1,$A$4:$A354,"&lt;="&amp;$A355,$B$4:$B354,$B355)&gt;0,MIN(AO$1,IF($A355=$A354,AO354,1))-T355&lt;0),-1,MIN(1,IF($A355=$A354,AO354,1)-T355+$D$3))</f>
        <v>#N/A</v>
      </c>
      <c r="AP355" s="47" t="e">
        <f>IF(OR($J355=0,COUNTIFS($A$4:$A354,"&gt;="&amp;$A355-1,$A$4:$A354,"&lt;="&amp;$A355,$B$4:$B354,$B355)&gt;0,MIN(AP$1,IF($A355=$A354,AP354,1))-U355&lt;0),-1,MIN(1,IF($A355=$A354,AP354,1)-U355+$D$3))</f>
        <v>#N/A</v>
      </c>
      <c r="AQ355" s="47" t="e">
        <f>IF(OR($J355=0,COUNTIFS($A$4:$A354,"&gt;="&amp;$A355-1,$A$4:$A354,"&lt;="&amp;$A355,$B$4:$B354,$B355)&gt;0,MIN(AQ$1,IF($A355=$A354,AQ354,1))-V355&lt;0),-1,MIN(1,IF($A355=$A354,AQ354,1)-V355+$D$3))</f>
        <v>#N/A</v>
      </c>
      <c r="AR355" s="47" t="e">
        <f>IF(OR($J355=0,COUNTIFS($A$4:$A354,"&gt;="&amp;$A355-1,$A$4:$A354,"&lt;="&amp;$A355,$B$4:$B354,$B355)&gt;0,MIN(AR$1,IF($A355=$A354,AR354,1))-W355&lt;0),-1,MIN(1,IF($A355=$A354,AR354,1)-W355+$D$3))</f>
        <v>#N/A</v>
      </c>
      <c r="AS355" s="47" t="e">
        <f>IF(OR($J355=0,COUNTIFS($A$4:$A354,"&gt;="&amp;$A355-1,$A$4:$A354,"&lt;="&amp;$A355,$B$4:$B354,$B355)&gt;0,MIN(AS$1,IF($A355=$A354,AS354,1))-X355&lt;0),-1,MIN(1,IF($A355=$A354,AS354,1)-X355+$D$3))</f>
        <v>#N/A</v>
      </c>
      <c r="AT355" s="47" t="e">
        <f>IF(OR($J355=0,COUNTIFS($A$4:$A354,"&gt;="&amp;$A355-1,$A$4:$A354,"&lt;="&amp;$A355,$B$4:$B354,$B355)&gt;0,MIN(AT$1,IF($A355=$A354,AT354,1))-Y355&lt;0),-1,MIN(1,IF($A355=$A354,AT354,1)-Y355+$D$3))</f>
        <v>#N/A</v>
      </c>
      <c r="AU355" s="47" t="e">
        <f>IF(OR($J355=0,COUNTIFS($A$4:$A354,"&gt;="&amp;$A355-1,$A$4:$A354,"&lt;="&amp;$A355,$B$4:$B354,$B355)&gt;0,MIN(AU$1,IF($A355=$A354,AU354,1))-Z355&lt;0),-1,MIN(1,IF($A355=$A354,AU354,1)-Z355+$D$3))</f>
        <v>#N/A</v>
      </c>
      <c r="AV355" s="47" t="e">
        <f>IF(OR($J355=0,COUNTIFS($A$4:$A354,"&gt;="&amp;$A355-1,$A$4:$A354,"&lt;="&amp;$A355,$B$4:$B354,$B355)&gt;0,MIN(AV$1,IF($A355=$A354,AV354,1))-AA355&lt;0),-1,MIN(1,IF($A355=$A354,AV354,1)-AA355+$D$3))</f>
        <v>#N/A</v>
      </c>
      <c r="AW355" s="47" t="e">
        <f>IF(OR($J355=0,COUNTIFS($A$4:$A354,"&gt;="&amp;$A355-1,$A$4:$A354,"&lt;="&amp;$A355,$B$4:$B354,$B355)&gt;0,MIN(AW$1,IF($A355=$A354,AW354,1))-AB355&lt;0),-1,MIN(1,IF($A355=$A354,AW354,1)-AB355+$D$3))</f>
        <v>#N/A</v>
      </c>
      <c r="AX355" s="47" t="e">
        <f>IF(OR($J355=0,COUNTIFS($A$4:$A354,"&gt;="&amp;$A355-1,$A$4:$A354,"&lt;="&amp;$A355,$B$4:$B354,$B355)&gt;0,MIN(AX$1,IF($A355=$A354,AX354,1))-AC355&lt;0),-1,MIN(1,IF($A355=$A354,AX354,1)-AC355+$D$3))</f>
        <v>#N/A</v>
      </c>
      <c r="AY355" s="47" t="e">
        <f>IF(OR($J355=0,COUNTIFS($A$4:$A354,"&gt;="&amp;$A355-1,$A$4:$A354,"&lt;="&amp;$A355,$B$4:$B354,$B355)&gt;0,MIN(AY$1,IF($A355=$A354,AY354,1))-AD355&lt;0),-1,MIN(1,IF($A355=$A354,AY354,1)-AD355+$D$3))</f>
        <v>#N/A</v>
      </c>
      <c r="AZ355" s="47" t="e">
        <f>IF(OR($J355=0,COUNTIFS($A$4:$A354,"&gt;="&amp;$A355-1,$A$4:$A354,"&lt;="&amp;$A355,$B$4:$B354,$B355)&gt;0,MIN(AZ$1,IF($A355=$A354,AZ354,1))-AE355&lt;0),-1,MIN(1,IF($A355=$A354,AZ354,1)-AE355+$D$3))</f>
        <v>#N/A</v>
      </c>
      <c r="BA355" s="47" t="e">
        <f>IF(OR($J355=0,COUNTIFS($A$4:$A354,"&gt;="&amp;$A355-1,$A$4:$A354,"&lt;="&amp;$A355,$B$4:$B354,$B355)&gt;0,MIN(BA$1,IF($A355=$A354,BA354,1))-AF355&lt;0),-1,MIN(1,IF($A355=$A354,BA354,1)-AF355+$D$3))</f>
        <v>#N/A</v>
      </c>
      <c r="BB355" s="47" t="e">
        <f>IF(OR($J355=0,COUNTIFS($A$4:$A354,"&gt;="&amp;$A355-1,$A$4:$A354,"&lt;="&amp;$A355,$B$4:$B354,$B355)&gt;0,MIN(BB$1,IF($A355=$A354,BB354,1))-AG355&lt;0),-1,MIN(1,IF($A355=$A354,BB354,1)-AG355+$D$3))</f>
        <v>#N/A</v>
      </c>
      <c r="BC355" s="47" t="e">
        <f>IF(OR($J355=0,COUNTIFS($A$4:$A354,"&gt;="&amp;$A355-1,$A$4:$A354,"&lt;="&amp;$A355,$B$4:$B354,$B355)&gt;0,MIN(BC$1,IF($A355=$A354,BC354,1))-AH355&lt;0),-1,MIN(1,IF($A355=$A354,BC354,1)-AH355+$D$3))</f>
        <v>#N/A</v>
      </c>
      <c r="BD355" s="47" t="e">
        <f>IF(OR($J355=0,COUNTIFS($A$4:$A354,"&gt;="&amp;$A355-1,$A$4:$A354,"&lt;="&amp;$A355,$B$4:$B354,$B355)&gt;0,MIN(BD$1,IF($A355=$A354,BD354,1))-AI355&lt;0),-1,MIN(1,IF($A355=$A354,BD354,1)-AI355+$D$3))</f>
        <v>#N/A</v>
      </c>
      <c r="BE355" s="47"/>
      <c r="BF355" s="53">
        <f t="shared" si="355"/>
        <v>3.2158171734460205E-8</v>
      </c>
      <c r="BG355" s="53">
        <f t="shared" si="356"/>
        <v>7.9086018728501946E-8</v>
      </c>
      <c r="BH355" s="53">
        <f t="shared" si="357"/>
        <v>8.1054850162274935E-8</v>
      </c>
      <c r="BI355" s="53">
        <f t="shared" si="358"/>
        <v>7.4872177620757086E-8</v>
      </c>
      <c r="BJ355" s="53">
        <f t="shared" si="359"/>
        <v>7.7387503633096911E-8</v>
      </c>
      <c r="BK355" s="53">
        <f t="shared" si="360"/>
        <v>3.3233079448449741E-8</v>
      </c>
      <c r="BL355" s="53">
        <f t="shared" si="361"/>
        <v>1.7953032353961992E-8</v>
      </c>
      <c r="BM355" s="53">
        <f t="shared" si="362"/>
        <v>4.5670417842484263E-8</v>
      </c>
      <c r="BN355" s="53">
        <f t="shared" si="363"/>
        <v>4.7500793897604301E-8</v>
      </c>
      <c r="BO355" s="53">
        <f t="shared" si="364"/>
        <v>2.2260674468667047E-8</v>
      </c>
      <c r="BP355" s="53">
        <f t="shared" si="365"/>
        <v>7.4851021928648764E-8</v>
      </c>
      <c r="BQ355" s="53">
        <f t="shared" si="366"/>
        <v>2.0199192337334203E-8</v>
      </c>
      <c r="BR355" s="53">
        <f t="shared" si="367"/>
        <v>5.9673470551117519E-8</v>
      </c>
      <c r="BS355" s="53">
        <f t="shared" si="368"/>
        <v>3.2182694541965124E-8</v>
      </c>
      <c r="BT355" s="53">
        <f t="shared" si="369"/>
        <v>1.2735678875872814E-7</v>
      </c>
      <c r="BU355" s="53">
        <f t="shared" si="370"/>
        <v>1.2166405638703041E-7</v>
      </c>
      <c r="BV355" s="53">
        <f t="shared" si="371"/>
        <v>1.1684213458712599E-7</v>
      </c>
      <c r="BW355" s="53">
        <f t="shared" si="372"/>
        <v>7.6421185891395718E-8</v>
      </c>
      <c r="BX355" s="53">
        <f t="shared" si="373"/>
        <v>5.6458584384967206E-8</v>
      </c>
      <c r="BY355" s="53">
        <f t="shared" si="374"/>
        <v>4.8476183871940023E-8</v>
      </c>
      <c r="BZ355" s="47"/>
      <c r="CA355" s="53" t="str">
        <f t="shared" si="375"/>
        <v/>
      </c>
      <c r="CB355" s="53" t="str">
        <f t="shared" si="376"/>
        <v/>
      </c>
      <c r="CC355" s="53" t="str">
        <f t="shared" si="377"/>
        <v/>
      </c>
      <c r="CD355" s="53" t="str">
        <f t="shared" si="378"/>
        <v/>
      </c>
      <c r="CE355" s="53" t="str">
        <f t="shared" si="379"/>
        <v/>
      </c>
      <c r="CF355" s="53" t="str">
        <f t="shared" si="380"/>
        <v/>
      </c>
      <c r="CG355" s="53" t="str">
        <f t="shared" si="381"/>
        <v/>
      </c>
      <c r="CH355" s="53" t="str">
        <f t="shared" si="382"/>
        <v/>
      </c>
      <c r="CI355" s="53" t="str">
        <f t="shared" si="383"/>
        <v/>
      </c>
      <c r="CJ355" s="53" t="str">
        <f t="shared" si="384"/>
        <v/>
      </c>
      <c r="CK355" s="53" t="str">
        <f t="shared" si="385"/>
        <v/>
      </c>
      <c r="CL355" s="53" t="str">
        <f t="shared" si="386"/>
        <v/>
      </c>
      <c r="CM355" s="53" t="str">
        <f t="shared" si="387"/>
        <v/>
      </c>
      <c r="CN355" s="53" t="str">
        <f t="shared" si="388"/>
        <v/>
      </c>
      <c r="CO355" s="53" t="str">
        <f t="shared" si="389"/>
        <v/>
      </c>
      <c r="CP355" s="53" t="str">
        <f t="shared" si="390"/>
        <v/>
      </c>
      <c r="CQ355" s="53" t="str">
        <f t="shared" si="391"/>
        <v/>
      </c>
      <c r="CR355" s="53" t="str">
        <f t="shared" si="392"/>
        <v/>
      </c>
      <c r="CS355" s="53" t="str">
        <f t="shared" si="393"/>
        <v/>
      </c>
      <c r="CT355" s="53" t="str">
        <f t="shared" si="394"/>
        <v/>
      </c>
      <c r="CU355" s="47"/>
      <c r="CV355" s="53">
        <f t="shared" si="395"/>
        <v>0</v>
      </c>
    </row>
    <row r="356" spans="1:100" x14ac:dyDescent="0.25">
      <c r="A356" s="41"/>
      <c r="B356" s="42"/>
      <c r="C356" s="43" t="str" cm="1">
        <f t="array" ref="C356">IF(B356="","",INDEX(UWS!$B$10:$B$41,B356))</f>
        <v/>
      </c>
      <c r="D356" s="40" t="str">
        <f t="shared" si="352"/>
        <v/>
      </c>
      <c r="E356" s="69" t="str">
        <f t="shared" si="353"/>
        <v/>
      </c>
      <c r="F356" s="48" cm="1">
        <f t="array" ref="F356">0.1+IFERROR(INDEX($F$5:$F355,SUMPRODUCT(MAX(ROW($C$5:$C355)*($C356=$C$5:$C355))-ROW($A$4)))*0.9^($A356-INDEX($A$5:A355,SUMPRODUCT(MAX(ROW($C$5:$C355)*($C356=$C$5:$C355))-ROW($A$4)))),0)</f>
        <v>29.100000000000144</v>
      </c>
      <c r="G356" s="55" t="e">
        <f>INDEX(UWS!$AB$10:$AB$41,MATCH(C356,UWS!$B$10:$B$41,0))</f>
        <v>#N/A</v>
      </c>
      <c r="H356" s="48" t="e">
        <f>INDEX(UWS!$C$10:$C$41,MATCH(C356,UWS!$B$10:$B$41,0))</f>
        <v>#N/A</v>
      </c>
      <c r="I356" s="82">
        <f t="shared" si="354"/>
        <v>5</v>
      </c>
      <c r="J356" s="27" t="e">
        <f>INDEX(UWS!$E$10:$E$41,MATCH(C356,UWS!$B$10:$B$41,0))</f>
        <v>#N/A</v>
      </c>
      <c r="L356" s="108" t="str" cm="1">
        <f t="array" ref="L356">IF(K356="","",INDEX(UWS!$B$10:$B$41,K356))</f>
        <v/>
      </c>
      <c r="N356" s="108" t="str" cm="1">
        <f t="array" ref="N356">IF(M356="","",INDEX(UWS!$B$10:$B$41,M356))</f>
        <v/>
      </c>
      <c r="P356">
        <f>IFERROR(INDEX(UWS!$G$10:$Z$41,MATCH($C356,UWS!$B$10:$B$41,0),MATCH(P$4,UWS!$G$3:$Z$3,0)),0)</f>
        <v>0</v>
      </c>
      <c r="Q356">
        <f>IFERROR(INDEX(UWS!$G$10:$Z$41,MATCH($C356,UWS!$B$10:$B$41,0),MATCH(Q$4,UWS!$G$3:$Z$3,0)),0)</f>
        <v>0</v>
      </c>
      <c r="R356">
        <f>IFERROR(INDEX(UWS!$G$10:$Z$41,MATCH($C356,UWS!$B$10:$B$41,0),MATCH(R$4,UWS!$G$3:$Z$3,0)),0)</f>
        <v>0</v>
      </c>
      <c r="S356">
        <f>IFERROR(INDEX(UWS!$G$10:$Z$41,MATCH($C356,UWS!$B$10:$B$41,0),MATCH(S$4,UWS!$G$3:$Z$3,0)),0)</f>
        <v>0</v>
      </c>
      <c r="T356">
        <f>IFERROR(INDEX(UWS!$G$10:$Z$41,MATCH($C356,UWS!$B$10:$B$41,0),MATCH(T$4,UWS!$G$3:$Z$3,0)),0)</f>
        <v>0</v>
      </c>
      <c r="U356">
        <f>IFERROR(INDEX(UWS!$G$10:$Z$41,MATCH($C356,UWS!$B$10:$B$41,0),MATCH(U$4,UWS!$G$3:$Z$3,0)),0)</f>
        <v>0</v>
      </c>
      <c r="V356">
        <f>IFERROR(INDEX(UWS!$G$10:$Z$41,MATCH($C356,UWS!$B$10:$B$41,0),MATCH(V$4,UWS!$G$3:$Z$3,0)),0)</f>
        <v>0</v>
      </c>
      <c r="W356">
        <f>IFERROR(INDEX(UWS!$G$10:$Z$41,MATCH($C356,UWS!$B$10:$B$41,0),MATCH(W$4,UWS!$G$3:$Z$3,0)),0)</f>
        <v>0</v>
      </c>
      <c r="X356">
        <f>IFERROR(INDEX(UWS!$G$10:$Z$41,MATCH($C356,UWS!$B$10:$B$41,0),MATCH(X$4,UWS!$G$3:$Z$3,0)),0)</f>
        <v>0</v>
      </c>
      <c r="Y356">
        <f>IFERROR(INDEX(UWS!$G$10:$Z$41,MATCH($C356,UWS!$B$10:$B$41,0),MATCH(Y$4,UWS!$G$3:$Z$3,0)),0)</f>
        <v>0</v>
      </c>
      <c r="Z356">
        <f>IFERROR(INDEX(UWS!$G$10:$Z$41,MATCH($C356,UWS!$B$10:$B$41,0),MATCH(Z$4,UWS!$G$3:$Z$3,0)),0)</f>
        <v>0</v>
      </c>
      <c r="AA356">
        <f>IFERROR(INDEX(UWS!$G$10:$Z$41,MATCH($C356,UWS!$B$10:$B$41,0),MATCH(AA$4,UWS!$G$3:$Z$3,0)),0)</f>
        <v>0</v>
      </c>
      <c r="AB356">
        <f>IFERROR(INDEX(UWS!$G$10:$Z$41,MATCH($C356,UWS!$B$10:$B$41,0),MATCH(AB$4,UWS!$G$3:$Z$3,0)),0)</f>
        <v>0</v>
      </c>
      <c r="AC356">
        <f>IFERROR(INDEX(UWS!$G$10:$Z$41,MATCH($C356,UWS!$B$10:$B$41,0),MATCH(AC$4,UWS!$G$3:$Z$3,0)),0)</f>
        <v>0</v>
      </c>
      <c r="AD356">
        <f>IFERROR(INDEX(UWS!$G$10:$Z$41,MATCH($C356,UWS!$B$10:$B$41,0),MATCH(AD$4,UWS!$G$3:$Z$3,0)),0)</f>
        <v>0</v>
      </c>
      <c r="AE356">
        <f>IFERROR(INDEX(UWS!$G$10:$Z$41,MATCH($C356,UWS!$B$10:$B$41,0),MATCH(AE$4,UWS!$G$3:$Z$3,0)),0)</f>
        <v>0</v>
      </c>
      <c r="AF356">
        <f>IFERROR(INDEX(UWS!$G$10:$Z$41,MATCH($C356,UWS!$B$10:$B$41,0),MATCH(AF$4,UWS!$G$3:$Z$3,0)),0)</f>
        <v>0</v>
      </c>
      <c r="AG356">
        <f>IFERROR(INDEX(UWS!$G$10:$Z$41,MATCH($C356,UWS!$B$10:$B$41,0),MATCH(AG$4,UWS!$G$3:$Z$3,0)),0)</f>
        <v>0</v>
      </c>
      <c r="AH356">
        <f>IFERROR(INDEX(UWS!$G$10:$Z$41,MATCH($C356,UWS!$B$10:$B$41,0),MATCH(AH$4,UWS!$G$3:$Z$3,0)),0)</f>
        <v>0</v>
      </c>
      <c r="AI356">
        <f>IFERROR(INDEX(UWS!$G$10:$Z$41,MATCH($C356,UWS!$B$10:$B$41,0),MATCH(AI$4,UWS!$G$3:$Z$3,0)),0)</f>
        <v>0</v>
      </c>
      <c r="AK356" t="e">
        <f>IF(OR($J356=0,COUNTIFS($A$4:$A355,"&gt;="&amp;$A356-1,$A$4:$A355,"&lt;="&amp;$A356,$B$4:$B355,$B356)&gt;0,MIN(AK$1,IF($A356=$A355,AK355,1))-P356&lt;0),-1,MIN(1,IF($A356=$A355,AK355,1)-P356+$D$3))</f>
        <v>#N/A</v>
      </c>
      <c r="AL356" t="e">
        <f>IF(OR($J356=0,COUNTIFS($A$4:$A355,"&gt;="&amp;$A356-1,$A$4:$A355,"&lt;="&amp;$A356,$B$4:$B355,$B356)&gt;0,MIN(AL$1,IF($A356=$A355,AL355,1))-Q356&lt;0),-1,MIN(1,IF($A356=$A355,AL355,1)-Q356+$D$3))</f>
        <v>#N/A</v>
      </c>
      <c r="AM356" t="e">
        <f>IF(OR($J356=0,COUNTIFS($A$4:$A355,"&gt;="&amp;$A356-1,$A$4:$A355,"&lt;="&amp;$A356,$B$4:$B355,$B356)&gt;0,MIN(AM$1,IF($A356=$A355,AM355,1))-R356&lt;0),-1,MIN(1,IF($A356=$A355,AM355,1)-R356+$D$3))</f>
        <v>#N/A</v>
      </c>
      <c r="AN356" t="e">
        <f>IF(OR($J356=0,COUNTIFS($A$4:$A355,"&gt;="&amp;$A356-1,$A$4:$A355,"&lt;="&amp;$A356,$B$4:$B355,$B356)&gt;0,MIN(AN$1,IF($A356=$A355,AN355,1))-S356&lt;0),-1,MIN(1,IF($A356=$A355,AN355,1)-S356+$D$3))</f>
        <v>#N/A</v>
      </c>
      <c r="AO356" t="e">
        <f>IF(OR($J356=0,COUNTIFS($A$4:$A355,"&gt;="&amp;$A356-1,$A$4:$A355,"&lt;="&amp;$A356,$B$4:$B355,$B356)&gt;0,MIN(AO$1,IF($A356=$A355,AO355,1))-T356&lt;0),-1,MIN(1,IF($A356=$A355,AO355,1)-T356+$D$3))</f>
        <v>#N/A</v>
      </c>
      <c r="AP356" t="e">
        <f>IF(OR($J356=0,COUNTIFS($A$4:$A355,"&gt;="&amp;$A356-1,$A$4:$A355,"&lt;="&amp;$A356,$B$4:$B355,$B356)&gt;0,MIN(AP$1,IF($A356=$A355,AP355,1))-U356&lt;0),-1,MIN(1,IF($A356=$A355,AP355,1)-U356+$D$3))</f>
        <v>#N/A</v>
      </c>
      <c r="AQ356" t="e">
        <f>IF(OR($J356=0,COUNTIFS($A$4:$A355,"&gt;="&amp;$A356-1,$A$4:$A355,"&lt;="&amp;$A356,$B$4:$B355,$B356)&gt;0,MIN(AQ$1,IF($A356=$A355,AQ355,1))-V356&lt;0),-1,MIN(1,IF($A356=$A355,AQ355,1)-V356+$D$3))</f>
        <v>#N/A</v>
      </c>
      <c r="AR356" t="e">
        <f>IF(OR($J356=0,COUNTIFS($A$4:$A355,"&gt;="&amp;$A356-1,$A$4:$A355,"&lt;="&amp;$A356,$B$4:$B355,$B356)&gt;0,MIN(AR$1,IF($A356=$A355,AR355,1))-W356&lt;0),-1,MIN(1,IF($A356=$A355,AR355,1)-W356+$D$3))</f>
        <v>#N/A</v>
      </c>
      <c r="AS356" t="e">
        <f>IF(OR($J356=0,COUNTIFS($A$4:$A355,"&gt;="&amp;$A356-1,$A$4:$A355,"&lt;="&amp;$A356,$B$4:$B355,$B356)&gt;0,MIN(AS$1,IF($A356=$A355,AS355,1))-X356&lt;0),-1,MIN(1,IF($A356=$A355,AS355,1)-X356+$D$3))</f>
        <v>#N/A</v>
      </c>
      <c r="AT356" t="e">
        <f>IF(OR($J356=0,COUNTIFS($A$4:$A355,"&gt;="&amp;$A356-1,$A$4:$A355,"&lt;="&amp;$A356,$B$4:$B355,$B356)&gt;0,MIN(AT$1,IF($A356=$A355,AT355,1))-Y356&lt;0),-1,MIN(1,IF($A356=$A355,AT355,1)-Y356+$D$3))</f>
        <v>#N/A</v>
      </c>
      <c r="AU356" t="e">
        <f>IF(OR($J356=0,COUNTIFS($A$4:$A355,"&gt;="&amp;$A356-1,$A$4:$A355,"&lt;="&amp;$A356,$B$4:$B355,$B356)&gt;0,MIN(AU$1,IF($A356=$A355,AU355,1))-Z356&lt;0),-1,MIN(1,IF($A356=$A355,AU355,1)-Z356+$D$3))</f>
        <v>#N/A</v>
      </c>
      <c r="AV356" t="e">
        <f>IF(OR($J356=0,COUNTIFS($A$4:$A355,"&gt;="&amp;$A356-1,$A$4:$A355,"&lt;="&amp;$A356,$B$4:$B355,$B356)&gt;0,MIN(AV$1,IF($A356=$A355,AV355,1))-AA356&lt;0),-1,MIN(1,IF($A356=$A355,AV355,1)-AA356+$D$3))</f>
        <v>#N/A</v>
      </c>
      <c r="AW356" t="e">
        <f>IF(OR($J356=0,COUNTIFS($A$4:$A355,"&gt;="&amp;$A356-1,$A$4:$A355,"&lt;="&amp;$A356,$B$4:$B355,$B356)&gt;0,MIN(AW$1,IF($A356=$A355,AW355,1))-AB356&lt;0),-1,MIN(1,IF($A356=$A355,AW355,1)-AB356+$D$3))</f>
        <v>#N/A</v>
      </c>
      <c r="AX356" t="e">
        <f>IF(OR($J356=0,COUNTIFS($A$4:$A355,"&gt;="&amp;$A356-1,$A$4:$A355,"&lt;="&amp;$A356,$B$4:$B355,$B356)&gt;0,MIN(AX$1,IF($A356=$A355,AX355,1))-AC356&lt;0),-1,MIN(1,IF($A356=$A355,AX355,1)-AC356+$D$3))</f>
        <v>#N/A</v>
      </c>
      <c r="AY356" t="e">
        <f>IF(OR($J356=0,COUNTIFS($A$4:$A355,"&gt;="&amp;$A356-1,$A$4:$A355,"&lt;="&amp;$A356,$B$4:$B355,$B356)&gt;0,MIN(AY$1,IF($A356=$A355,AY355,1))-AD356&lt;0),-1,MIN(1,IF($A356=$A355,AY355,1)-AD356+$D$3))</f>
        <v>#N/A</v>
      </c>
      <c r="AZ356" t="e">
        <f>IF(OR($J356=0,COUNTIFS($A$4:$A355,"&gt;="&amp;$A356-1,$A$4:$A355,"&lt;="&amp;$A356,$B$4:$B355,$B356)&gt;0,MIN(AZ$1,IF($A356=$A355,AZ355,1))-AE356&lt;0),-1,MIN(1,IF($A356=$A355,AZ355,1)-AE356+$D$3))</f>
        <v>#N/A</v>
      </c>
      <c r="BA356" t="e">
        <f>IF(OR($J356=0,COUNTIFS($A$4:$A355,"&gt;="&amp;$A356-1,$A$4:$A355,"&lt;="&amp;$A356,$B$4:$B355,$B356)&gt;0,MIN(BA$1,IF($A356=$A355,BA355,1))-AF356&lt;0),-1,MIN(1,IF($A356=$A355,BA355,1)-AF356+$D$3))</f>
        <v>#N/A</v>
      </c>
      <c r="BB356" t="e">
        <f>IF(OR($J356=0,COUNTIFS($A$4:$A355,"&gt;="&amp;$A356-1,$A$4:$A355,"&lt;="&amp;$A356,$B$4:$B355,$B356)&gt;0,MIN(BB$1,IF($A356=$A355,BB355,1))-AG356&lt;0),-1,MIN(1,IF($A356=$A355,BB355,1)-AG356+$D$3))</f>
        <v>#N/A</v>
      </c>
      <c r="BC356" t="e">
        <f>IF(OR($J356=0,COUNTIFS($A$4:$A355,"&gt;="&amp;$A356-1,$A$4:$A355,"&lt;="&amp;$A356,$B$4:$B355,$B356)&gt;0,MIN(BC$1,IF($A356=$A355,BC355,1))-AH356&lt;0),-1,MIN(1,IF($A356=$A355,BC355,1)-AH356+$D$3))</f>
        <v>#N/A</v>
      </c>
      <c r="BD356" t="e">
        <f>IF(OR($J356=0,COUNTIFS($A$4:$A355,"&gt;="&amp;$A356-1,$A$4:$A355,"&lt;="&amp;$A356,$B$4:$B355,$B356)&gt;0,MIN(BD$1,IF($A356=$A355,BD355,1))-AI356&lt;0),-1,MIN(1,IF($A356=$A355,BD355,1)-AI356+$D$3))</f>
        <v>#N/A</v>
      </c>
      <c r="BF356" s="44">
        <f t="shared" si="355"/>
        <v>3.055026314773719E-8</v>
      </c>
      <c r="BG356" s="44">
        <f t="shared" si="356"/>
        <v>7.5131717792076847E-8</v>
      </c>
      <c r="BH356" s="44">
        <f t="shared" si="357"/>
        <v>7.7002107654161184E-8</v>
      </c>
      <c r="BI356" s="44">
        <f t="shared" si="358"/>
        <v>7.1128568739719229E-8</v>
      </c>
      <c r="BJ356" s="44">
        <f t="shared" si="359"/>
        <v>7.3518128451442063E-8</v>
      </c>
      <c r="BK356" s="44">
        <f t="shared" si="360"/>
        <v>3.1571425476027254E-8</v>
      </c>
      <c r="BL356" s="44">
        <f t="shared" si="361"/>
        <v>1.7055380736263893E-8</v>
      </c>
      <c r="BM356" s="44">
        <f t="shared" si="362"/>
        <v>4.3386896950360045E-8</v>
      </c>
      <c r="BN356" s="44">
        <f t="shared" si="363"/>
        <v>4.5125754202724085E-8</v>
      </c>
      <c r="BO356" s="44">
        <f t="shared" si="364"/>
        <v>2.1147640745233695E-8</v>
      </c>
      <c r="BP356" s="44">
        <f t="shared" si="365"/>
        <v>7.1108470832216318E-8</v>
      </c>
      <c r="BQ356" s="44">
        <f t="shared" si="366"/>
        <v>1.9189232720467493E-8</v>
      </c>
      <c r="BR356" s="44">
        <f t="shared" si="367"/>
        <v>5.6689797023561642E-8</v>
      </c>
      <c r="BS356" s="44">
        <f t="shared" si="368"/>
        <v>3.0573559814866866E-8</v>
      </c>
      <c r="BT356" s="44">
        <f t="shared" si="369"/>
        <v>1.2098894932079173E-7</v>
      </c>
      <c r="BU356" s="44">
        <f t="shared" si="370"/>
        <v>1.1558085356767889E-7</v>
      </c>
      <c r="BV356" s="44">
        <f t="shared" si="371"/>
        <v>1.1100002785776968E-7</v>
      </c>
      <c r="BW356" s="44">
        <f t="shared" si="372"/>
        <v>7.2600126596825935E-8</v>
      </c>
      <c r="BX356" s="44">
        <f t="shared" si="373"/>
        <v>5.3635655165718843E-8</v>
      </c>
      <c r="BY356" s="44">
        <f t="shared" si="374"/>
        <v>4.6052374678343022E-8</v>
      </c>
      <c r="CA356" s="44" t="str">
        <f t="shared" si="375"/>
        <v/>
      </c>
      <c r="CB356" s="44" t="str">
        <f t="shared" si="376"/>
        <v/>
      </c>
      <c r="CC356" s="44" t="str">
        <f t="shared" si="377"/>
        <v/>
      </c>
      <c r="CD356" s="44" t="str">
        <f t="shared" si="378"/>
        <v/>
      </c>
      <c r="CE356" s="44" t="str">
        <f t="shared" si="379"/>
        <v/>
      </c>
      <c r="CF356" s="44" t="str">
        <f t="shared" si="380"/>
        <v/>
      </c>
      <c r="CG356" s="44" t="str">
        <f t="shared" si="381"/>
        <v/>
      </c>
      <c r="CH356" s="44" t="str">
        <f t="shared" si="382"/>
        <v/>
      </c>
      <c r="CI356" s="44" t="str">
        <f t="shared" si="383"/>
        <v/>
      </c>
      <c r="CJ356" s="44" t="str">
        <f t="shared" si="384"/>
        <v/>
      </c>
      <c r="CK356" s="44" t="str">
        <f t="shared" si="385"/>
        <v/>
      </c>
      <c r="CL356" s="44" t="str">
        <f t="shared" si="386"/>
        <v/>
      </c>
      <c r="CM356" s="44" t="str">
        <f t="shared" si="387"/>
        <v/>
      </c>
      <c r="CN356" s="44" t="str">
        <f t="shared" si="388"/>
        <v/>
      </c>
      <c r="CO356" s="44" t="str">
        <f t="shared" si="389"/>
        <v/>
      </c>
      <c r="CP356" s="44" t="str">
        <f t="shared" si="390"/>
        <v/>
      </c>
      <c r="CQ356" s="44" t="str">
        <f t="shared" si="391"/>
        <v/>
      </c>
      <c r="CR356" s="44" t="str">
        <f t="shared" si="392"/>
        <v/>
      </c>
      <c r="CS356" s="44" t="str">
        <f t="shared" si="393"/>
        <v/>
      </c>
      <c r="CT356" s="44" t="str">
        <f t="shared" si="394"/>
        <v/>
      </c>
      <c r="CV356" s="44">
        <f t="shared" si="395"/>
        <v>0</v>
      </c>
    </row>
    <row r="357" spans="1:100" x14ac:dyDescent="0.25">
      <c r="A357" s="41"/>
      <c r="B357" s="42"/>
      <c r="C357" s="43" t="str" cm="1">
        <f t="array" ref="C357">IF(B357="","",INDEX(UWS!$B$10:$B$41,B357))</f>
        <v/>
      </c>
      <c r="D357" s="40" t="str">
        <f t="shared" si="352"/>
        <v/>
      </c>
      <c r="E357" s="69" t="str">
        <f t="shared" si="353"/>
        <v/>
      </c>
      <c r="F357" s="48" cm="1">
        <f t="array" ref="F357">0.1+IFERROR(INDEX($F$5:$F356,SUMPRODUCT(MAX(ROW($C$5:$C356)*($C357=$C$5:$C356))-ROW($A$4)))*0.9^($A357-INDEX($A$5:A356,SUMPRODUCT(MAX(ROW($C$5:$C356)*($C357=$C$5:$C356))-ROW($A$4)))),0)</f>
        <v>29.200000000000145</v>
      </c>
      <c r="G357" s="55" t="e">
        <f>INDEX(UWS!$AB$10:$AB$41,MATCH(C357,UWS!$B$10:$B$41,0))</f>
        <v>#N/A</v>
      </c>
      <c r="H357" s="48" t="e">
        <f>INDEX(UWS!$C$10:$C$41,MATCH(C357,UWS!$B$10:$B$41,0))</f>
        <v>#N/A</v>
      </c>
      <c r="I357" s="27">
        <f t="shared" si="354"/>
        <v>5</v>
      </c>
      <c r="J357" s="27" t="e">
        <f>INDEX(UWS!$E$10:$E$41,MATCH(C357,UWS!$B$10:$B$41,0))</f>
        <v>#N/A</v>
      </c>
      <c r="L357" s="108" t="str" cm="1">
        <f t="array" ref="L357">IF(K357="","",INDEX(UWS!$B$10:$B$41,K357))</f>
        <v/>
      </c>
      <c r="N357" s="108" t="str" cm="1">
        <f t="array" ref="N357">IF(M357="","",INDEX(UWS!$B$10:$B$41,M357))</f>
        <v/>
      </c>
      <c r="P357">
        <f>IFERROR(INDEX(UWS!$G$10:$Z$41,MATCH($C357,UWS!$B$10:$B$41,0),MATCH(P$4,UWS!$G$3:$Z$3,0)),0)</f>
        <v>0</v>
      </c>
      <c r="Q357">
        <f>IFERROR(INDEX(UWS!$G$10:$Z$41,MATCH($C357,UWS!$B$10:$B$41,0),MATCH(Q$4,UWS!$G$3:$Z$3,0)),0)</f>
        <v>0</v>
      </c>
      <c r="R357">
        <f>IFERROR(INDEX(UWS!$G$10:$Z$41,MATCH($C357,UWS!$B$10:$B$41,0),MATCH(R$4,UWS!$G$3:$Z$3,0)),0)</f>
        <v>0</v>
      </c>
      <c r="S357">
        <f>IFERROR(INDEX(UWS!$G$10:$Z$41,MATCH($C357,UWS!$B$10:$B$41,0),MATCH(S$4,UWS!$G$3:$Z$3,0)),0)</f>
        <v>0</v>
      </c>
      <c r="T357">
        <f>IFERROR(INDEX(UWS!$G$10:$Z$41,MATCH($C357,UWS!$B$10:$B$41,0),MATCH(T$4,UWS!$G$3:$Z$3,0)),0)</f>
        <v>0</v>
      </c>
      <c r="U357">
        <f>IFERROR(INDEX(UWS!$G$10:$Z$41,MATCH($C357,UWS!$B$10:$B$41,0),MATCH(U$4,UWS!$G$3:$Z$3,0)),0)</f>
        <v>0</v>
      </c>
      <c r="V357">
        <f>IFERROR(INDEX(UWS!$G$10:$Z$41,MATCH($C357,UWS!$B$10:$B$41,0),MATCH(V$4,UWS!$G$3:$Z$3,0)),0)</f>
        <v>0</v>
      </c>
      <c r="W357">
        <f>IFERROR(INDEX(UWS!$G$10:$Z$41,MATCH($C357,UWS!$B$10:$B$41,0),MATCH(W$4,UWS!$G$3:$Z$3,0)),0)</f>
        <v>0</v>
      </c>
      <c r="X357">
        <f>IFERROR(INDEX(UWS!$G$10:$Z$41,MATCH($C357,UWS!$B$10:$B$41,0),MATCH(X$4,UWS!$G$3:$Z$3,0)),0)</f>
        <v>0</v>
      </c>
      <c r="Y357">
        <f>IFERROR(INDEX(UWS!$G$10:$Z$41,MATCH($C357,UWS!$B$10:$B$41,0),MATCH(Y$4,UWS!$G$3:$Z$3,0)),0)</f>
        <v>0</v>
      </c>
      <c r="Z357">
        <f>IFERROR(INDEX(UWS!$G$10:$Z$41,MATCH($C357,UWS!$B$10:$B$41,0),MATCH(Z$4,UWS!$G$3:$Z$3,0)),0)</f>
        <v>0</v>
      </c>
      <c r="AA357">
        <f>IFERROR(INDEX(UWS!$G$10:$Z$41,MATCH($C357,UWS!$B$10:$B$41,0),MATCH(AA$4,UWS!$G$3:$Z$3,0)),0)</f>
        <v>0</v>
      </c>
      <c r="AB357">
        <f>IFERROR(INDEX(UWS!$G$10:$Z$41,MATCH($C357,UWS!$B$10:$B$41,0),MATCH(AB$4,UWS!$G$3:$Z$3,0)),0)</f>
        <v>0</v>
      </c>
      <c r="AC357">
        <f>IFERROR(INDEX(UWS!$G$10:$Z$41,MATCH($C357,UWS!$B$10:$B$41,0),MATCH(AC$4,UWS!$G$3:$Z$3,0)),0)</f>
        <v>0</v>
      </c>
      <c r="AD357">
        <f>IFERROR(INDEX(UWS!$G$10:$Z$41,MATCH($C357,UWS!$B$10:$B$41,0),MATCH(AD$4,UWS!$G$3:$Z$3,0)),0)</f>
        <v>0</v>
      </c>
      <c r="AE357">
        <f>IFERROR(INDEX(UWS!$G$10:$Z$41,MATCH($C357,UWS!$B$10:$B$41,0),MATCH(AE$4,UWS!$G$3:$Z$3,0)),0)</f>
        <v>0</v>
      </c>
      <c r="AF357">
        <f>IFERROR(INDEX(UWS!$G$10:$Z$41,MATCH($C357,UWS!$B$10:$B$41,0),MATCH(AF$4,UWS!$G$3:$Z$3,0)),0)</f>
        <v>0</v>
      </c>
      <c r="AG357">
        <f>IFERROR(INDEX(UWS!$G$10:$Z$41,MATCH($C357,UWS!$B$10:$B$41,0),MATCH(AG$4,UWS!$G$3:$Z$3,0)),0)</f>
        <v>0</v>
      </c>
      <c r="AH357">
        <f>IFERROR(INDEX(UWS!$G$10:$Z$41,MATCH($C357,UWS!$B$10:$B$41,0),MATCH(AH$4,UWS!$G$3:$Z$3,0)),0)</f>
        <v>0</v>
      </c>
      <c r="AI357">
        <f>IFERROR(INDEX(UWS!$G$10:$Z$41,MATCH($C357,UWS!$B$10:$B$41,0),MATCH(AI$4,UWS!$G$3:$Z$3,0)),0)</f>
        <v>0</v>
      </c>
      <c r="AK357" t="e">
        <f>IF(OR($J357=0,COUNTIFS($A$4:$A356,"&gt;="&amp;$A357-1,$A$4:$A356,"&lt;="&amp;$A357,$B$4:$B356,$B357)&gt;0,MIN(AK$1,IF($A357=$A356,AK356,1))-P357&lt;0),-1,MIN(1,IF($A357=$A356,AK356,1)-P357+$D$3))</f>
        <v>#N/A</v>
      </c>
      <c r="AL357" t="e">
        <f>IF(OR($J357=0,COUNTIFS($A$4:$A356,"&gt;="&amp;$A357-1,$A$4:$A356,"&lt;="&amp;$A357,$B$4:$B356,$B357)&gt;0,MIN(AL$1,IF($A357=$A356,AL356,1))-Q357&lt;0),-1,MIN(1,IF($A357=$A356,AL356,1)-Q357+$D$3))</f>
        <v>#N/A</v>
      </c>
      <c r="AM357" t="e">
        <f>IF(OR($J357=0,COUNTIFS($A$4:$A356,"&gt;="&amp;$A357-1,$A$4:$A356,"&lt;="&amp;$A357,$B$4:$B356,$B357)&gt;0,MIN(AM$1,IF($A357=$A356,AM356,1))-R357&lt;0),-1,MIN(1,IF($A357=$A356,AM356,1)-R357+$D$3))</f>
        <v>#N/A</v>
      </c>
      <c r="AN357" t="e">
        <f>IF(OR($J357=0,COUNTIFS($A$4:$A356,"&gt;="&amp;$A357-1,$A$4:$A356,"&lt;="&amp;$A357,$B$4:$B356,$B357)&gt;0,MIN(AN$1,IF($A357=$A356,AN356,1))-S357&lt;0),-1,MIN(1,IF($A357=$A356,AN356,1)-S357+$D$3))</f>
        <v>#N/A</v>
      </c>
      <c r="AO357" t="e">
        <f>IF(OR($J357=0,COUNTIFS($A$4:$A356,"&gt;="&amp;$A357-1,$A$4:$A356,"&lt;="&amp;$A357,$B$4:$B356,$B357)&gt;0,MIN(AO$1,IF($A357=$A356,AO356,1))-T357&lt;0),-1,MIN(1,IF($A357=$A356,AO356,1)-T357+$D$3))</f>
        <v>#N/A</v>
      </c>
      <c r="AP357" t="e">
        <f>IF(OR($J357=0,COUNTIFS($A$4:$A356,"&gt;="&amp;$A357-1,$A$4:$A356,"&lt;="&amp;$A357,$B$4:$B356,$B357)&gt;0,MIN(AP$1,IF($A357=$A356,AP356,1))-U357&lt;0),-1,MIN(1,IF($A357=$A356,AP356,1)-U357+$D$3))</f>
        <v>#N/A</v>
      </c>
      <c r="AQ357" t="e">
        <f>IF(OR($J357=0,COUNTIFS($A$4:$A356,"&gt;="&amp;$A357-1,$A$4:$A356,"&lt;="&amp;$A357,$B$4:$B356,$B357)&gt;0,MIN(AQ$1,IF($A357=$A356,AQ356,1))-V357&lt;0),-1,MIN(1,IF($A357=$A356,AQ356,1)-V357+$D$3))</f>
        <v>#N/A</v>
      </c>
      <c r="AR357" t="e">
        <f>IF(OR($J357=0,COUNTIFS($A$4:$A356,"&gt;="&amp;$A357-1,$A$4:$A356,"&lt;="&amp;$A357,$B$4:$B356,$B357)&gt;0,MIN(AR$1,IF($A357=$A356,AR356,1))-W357&lt;0),-1,MIN(1,IF($A357=$A356,AR356,1)-W357+$D$3))</f>
        <v>#N/A</v>
      </c>
      <c r="AS357" t="e">
        <f>IF(OR($J357=0,COUNTIFS($A$4:$A356,"&gt;="&amp;$A357-1,$A$4:$A356,"&lt;="&amp;$A357,$B$4:$B356,$B357)&gt;0,MIN(AS$1,IF($A357=$A356,AS356,1))-X357&lt;0),-1,MIN(1,IF($A357=$A356,AS356,1)-X357+$D$3))</f>
        <v>#N/A</v>
      </c>
      <c r="AT357" t="e">
        <f>IF(OR($J357=0,COUNTIFS($A$4:$A356,"&gt;="&amp;$A357-1,$A$4:$A356,"&lt;="&amp;$A357,$B$4:$B356,$B357)&gt;0,MIN(AT$1,IF($A357=$A356,AT356,1))-Y357&lt;0),-1,MIN(1,IF($A357=$A356,AT356,1)-Y357+$D$3))</f>
        <v>#N/A</v>
      </c>
      <c r="AU357" t="e">
        <f>IF(OR($J357=0,COUNTIFS($A$4:$A356,"&gt;="&amp;$A357-1,$A$4:$A356,"&lt;="&amp;$A357,$B$4:$B356,$B357)&gt;0,MIN(AU$1,IF($A357=$A356,AU356,1))-Z357&lt;0),-1,MIN(1,IF($A357=$A356,AU356,1)-Z357+$D$3))</f>
        <v>#N/A</v>
      </c>
      <c r="AV357" t="e">
        <f>IF(OR($J357=0,COUNTIFS($A$4:$A356,"&gt;="&amp;$A357-1,$A$4:$A356,"&lt;="&amp;$A357,$B$4:$B356,$B357)&gt;0,MIN(AV$1,IF($A357=$A356,AV356,1))-AA357&lt;0),-1,MIN(1,IF($A357=$A356,AV356,1)-AA357+$D$3))</f>
        <v>#N/A</v>
      </c>
      <c r="AW357" t="e">
        <f>IF(OR($J357=0,COUNTIFS($A$4:$A356,"&gt;="&amp;$A357-1,$A$4:$A356,"&lt;="&amp;$A357,$B$4:$B356,$B357)&gt;0,MIN(AW$1,IF($A357=$A356,AW356,1))-AB357&lt;0),-1,MIN(1,IF($A357=$A356,AW356,1)-AB357+$D$3))</f>
        <v>#N/A</v>
      </c>
      <c r="AX357" t="e">
        <f>IF(OR($J357=0,COUNTIFS($A$4:$A356,"&gt;="&amp;$A357-1,$A$4:$A356,"&lt;="&amp;$A357,$B$4:$B356,$B357)&gt;0,MIN(AX$1,IF($A357=$A356,AX356,1))-AC357&lt;0),-1,MIN(1,IF($A357=$A356,AX356,1)-AC357+$D$3))</f>
        <v>#N/A</v>
      </c>
      <c r="AY357" t="e">
        <f>IF(OR($J357=0,COUNTIFS($A$4:$A356,"&gt;="&amp;$A357-1,$A$4:$A356,"&lt;="&amp;$A357,$B$4:$B356,$B357)&gt;0,MIN(AY$1,IF($A357=$A356,AY356,1))-AD357&lt;0),-1,MIN(1,IF($A357=$A356,AY356,1)-AD357+$D$3))</f>
        <v>#N/A</v>
      </c>
      <c r="AZ357" t="e">
        <f>IF(OR($J357=0,COUNTIFS($A$4:$A356,"&gt;="&amp;$A357-1,$A$4:$A356,"&lt;="&amp;$A357,$B$4:$B356,$B357)&gt;0,MIN(AZ$1,IF($A357=$A356,AZ356,1))-AE357&lt;0),-1,MIN(1,IF($A357=$A356,AZ356,1)-AE357+$D$3))</f>
        <v>#N/A</v>
      </c>
      <c r="BA357" t="e">
        <f>IF(OR($J357=0,COUNTIFS($A$4:$A356,"&gt;="&amp;$A357-1,$A$4:$A356,"&lt;="&amp;$A357,$B$4:$B356,$B357)&gt;0,MIN(BA$1,IF($A357=$A356,BA356,1))-AF357&lt;0),-1,MIN(1,IF($A357=$A356,BA356,1)-AF357+$D$3))</f>
        <v>#N/A</v>
      </c>
      <c r="BB357" t="e">
        <f>IF(OR($J357=0,COUNTIFS($A$4:$A356,"&gt;="&amp;$A357-1,$A$4:$A356,"&lt;="&amp;$A357,$B$4:$B356,$B357)&gt;0,MIN(BB$1,IF($A357=$A356,BB356,1))-AG357&lt;0),-1,MIN(1,IF($A357=$A356,BB356,1)-AG357+$D$3))</f>
        <v>#N/A</v>
      </c>
      <c r="BC357" t="e">
        <f>IF(OR($J357=0,COUNTIFS($A$4:$A356,"&gt;="&amp;$A357-1,$A$4:$A356,"&lt;="&amp;$A357,$B$4:$B356,$B357)&gt;0,MIN(BC$1,IF($A357=$A356,BC356,1))-AH357&lt;0),-1,MIN(1,IF($A357=$A356,BC356,1)-AH357+$D$3))</f>
        <v>#N/A</v>
      </c>
      <c r="BD357" t="e">
        <f>IF(OR($J357=0,COUNTIFS($A$4:$A356,"&gt;="&amp;$A357-1,$A$4:$A356,"&lt;="&amp;$A357,$B$4:$B356,$B357)&gt;0,MIN(BD$1,IF($A357=$A356,BD356,1))-AI357&lt;0),-1,MIN(1,IF($A357=$A356,BD356,1)-AI357+$D$3))</f>
        <v>#N/A</v>
      </c>
      <c r="BF357" s="44">
        <f t="shared" si="355"/>
        <v>2.902274999035033E-8</v>
      </c>
      <c r="BG357" s="44">
        <f t="shared" si="356"/>
        <v>7.1375131902473002E-8</v>
      </c>
      <c r="BH357" s="44">
        <f t="shared" si="357"/>
        <v>7.3152002271453121E-8</v>
      </c>
      <c r="BI357" s="44">
        <f t="shared" si="358"/>
        <v>6.7572140302733264E-8</v>
      </c>
      <c r="BJ357" s="44">
        <f t="shared" si="359"/>
        <v>6.9842222028869962E-8</v>
      </c>
      <c r="BK357" s="44">
        <f t="shared" si="360"/>
        <v>2.9992854202225889E-8</v>
      </c>
      <c r="BL357" s="44">
        <f t="shared" si="361"/>
        <v>1.6202611699450696E-8</v>
      </c>
      <c r="BM357" s="44">
        <f t="shared" si="362"/>
        <v>4.1217552102842044E-8</v>
      </c>
      <c r="BN357" s="44">
        <f t="shared" si="363"/>
        <v>4.2869466492587876E-8</v>
      </c>
      <c r="BO357" s="44">
        <f t="shared" si="364"/>
        <v>2.0090258707972011E-8</v>
      </c>
      <c r="BP357" s="44">
        <f t="shared" si="365"/>
        <v>6.7553047290605498E-8</v>
      </c>
      <c r="BQ357" s="44">
        <f t="shared" si="366"/>
        <v>1.8229771084444117E-8</v>
      </c>
      <c r="BR357" s="44">
        <f t="shared" si="367"/>
        <v>5.3855307172383556E-8</v>
      </c>
      <c r="BS357" s="44">
        <f t="shared" si="368"/>
        <v>2.904488182412352E-8</v>
      </c>
      <c r="BT357" s="44">
        <f t="shared" si="369"/>
        <v>1.1493950185475214E-7</v>
      </c>
      <c r="BU357" s="44">
        <f t="shared" si="370"/>
        <v>1.0980181088929495E-7</v>
      </c>
      <c r="BV357" s="44">
        <f t="shared" si="371"/>
        <v>1.0545002646488119E-7</v>
      </c>
      <c r="BW357" s="44">
        <f t="shared" si="372"/>
        <v>6.8970120266984639E-8</v>
      </c>
      <c r="BX357" s="44">
        <f t="shared" si="373"/>
        <v>5.0953872407432899E-8</v>
      </c>
      <c r="BY357" s="44">
        <f t="shared" si="374"/>
        <v>4.374975594442587E-8</v>
      </c>
      <c r="CA357" s="44" t="str">
        <f t="shared" si="375"/>
        <v/>
      </c>
      <c r="CB357" s="44" t="str">
        <f t="shared" si="376"/>
        <v/>
      </c>
      <c r="CC357" s="44" t="str">
        <f t="shared" si="377"/>
        <v/>
      </c>
      <c r="CD357" s="44" t="str">
        <f t="shared" si="378"/>
        <v/>
      </c>
      <c r="CE357" s="44" t="str">
        <f t="shared" si="379"/>
        <v/>
      </c>
      <c r="CF357" s="44" t="str">
        <f t="shared" si="380"/>
        <v/>
      </c>
      <c r="CG357" s="44" t="str">
        <f t="shared" si="381"/>
        <v/>
      </c>
      <c r="CH357" s="44" t="str">
        <f t="shared" si="382"/>
        <v/>
      </c>
      <c r="CI357" s="44" t="str">
        <f t="shared" si="383"/>
        <v/>
      </c>
      <c r="CJ357" s="44" t="str">
        <f t="shared" si="384"/>
        <v/>
      </c>
      <c r="CK357" s="44" t="str">
        <f t="shared" si="385"/>
        <v/>
      </c>
      <c r="CL357" s="44" t="str">
        <f t="shared" si="386"/>
        <v/>
      </c>
      <c r="CM357" s="44" t="str">
        <f t="shared" si="387"/>
        <v/>
      </c>
      <c r="CN357" s="44" t="str">
        <f t="shared" si="388"/>
        <v/>
      </c>
      <c r="CO357" s="44" t="str">
        <f t="shared" si="389"/>
        <v/>
      </c>
      <c r="CP357" s="44" t="str">
        <f t="shared" si="390"/>
        <v/>
      </c>
      <c r="CQ357" s="44" t="str">
        <f t="shared" si="391"/>
        <v/>
      </c>
      <c r="CR357" s="44" t="str">
        <f t="shared" si="392"/>
        <v/>
      </c>
      <c r="CS357" s="44" t="str">
        <f t="shared" si="393"/>
        <v/>
      </c>
      <c r="CT357" s="44" t="str">
        <f t="shared" si="394"/>
        <v/>
      </c>
      <c r="CV357" s="44">
        <f t="shared" si="395"/>
        <v>0</v>
      </c>
    </row>
    <row r="358" spans="1:100" x14ac:dyDescent="0.25">
      <c r="A358" s="41"/>
      <c r="B358" s="42"/>
      <c r="C358" s="43" t="str" cm="1">
        <f t="array" ref="C358">IF(B358="","",INDEX(UWS!$B$10:$B$41,B358))</f>
        <v/>
      </c>
      <c r="D358" s="40" t="str">
        <f t="shared" si="352"/>
        <v/>
      </c>
      <c r="E358" s="69" t="str">
        <f t="shared" si="353"/>
        <v/>
      </c>
      <c r="F358" s="48" cm="1">
        <f t="array" ref="F358">0.1+IFERROR(INDEX($F$5:$F357,SUMPRODUCT(MAX(ROW($C$5:$C357)*($C358=$C$5:$C357))-ROW($A$4)))*0.9^($A358-INDEX($A$5:A357,SUMPRODUCT(MAX(ROW($C$5:$C357)*($C358=$C$5:$C357))-ROW($A$4)))),0)</f>
        <v>29.300000000000146</v>
      </c>
      <c r="G358" s="55" t="e">
        <f>INDEX(UWS!$AB$10:$AB$41,MATCH(C358,UWS!$B$10:$B$41,0))</f>
        <v>#N/A</v>
      </c>
      <c r="H358" s="48" t="e">
        <f>INDEX(UWS!$C$10:$C$41,MATCH(C358,UWS!$B$10:$B$41,0))</f>
        <v>#N/A</v>
      </c>
      <c r="I358" s="27">
        <f t="shared" si="354"/>
        <v>5</v>
      </c>
      <c r="J358" s="27" t="e">
        <f>INDEX(UWS!$E$10:$E$41,MATCH(C358,UWS!$B$10:$B$41,0))</f>
        <v>#N/A</v>
      </c>
      <c r="L358" s="108" t="str" cm="1">
        <f t="array" ref="L358">IF(K358="","",INDEX(UWS!$B$10:$B$41,K358))</f>
        <v/>
      </c>
      <c r="N358" s="108" t="str" cm="1">
        <f t="array" ref="N358">IF(M358="","",INDEX(UWS!$B$10:$B$41,M358))</f>
        <v/>
      </c>
      <c r="P358">
        <f>IFERROR(INDEX(UWS!$G$10:$Z$41,MATCH($C358,UWS!$B$10:$B$41,0),MATCH(P$4,UWS!$G$3:$Z$3,0)),0)</f>
        <v>0</v>
      </c>
      <c r="Q358">
        <f>IFERROR(INDEX(UWS!$G$10:$Z$41,MATCH($C358,UWS!$B$10:$B$41,0),MATCH(Q$4,UWS!$G$3:$Z$3,0)),0)</f>
        <v>0</v>
      </c>
      <c r="R358">
        <f>IFERROR(INDEX(UWS!$G$10:$Z$41,MATCH($C358,UWS!$B$10:$B$41,0),MATCH(R$4,UWS!$G$3:$Z$3,0)),0)</f>
        <v>0</v>
      </c>
      <c r="S358">
        <f>IFERROR(INDEX(UWS!$G$10:$Z$41,MATCH($C358,UWS!$B$10:$B$41,0),MATCH(S$4,UWS!$G$3:$Z$3,0)),0)</f>
        <v>0</v>
      </c>
      <c r="T358">
        <f>IFERROR(INDEX(UWS!$G$10:$Z$41,MATCH($C358,UWS!$B$10:$B$41,0),MATCH(T$4,UWS!$G$3:$Z$3,0)),0)</f>
        <v>0</v>
      </c>
      <c r="U358">
        <f>IFERROR(INDEX(UWS!$G$10:$Z$41,MATCH($C358,UWS!$B$10:$B$41,0),MATCH(U$4,UWS!$G$3:$Z$3,0)),0)</f>
        <v>0</v>
      </c>
      <c r="V358">
        <f>IFERROR(INDEX(UWS!$G$10:$Z$41,MATCH($C358,UWS!$B$10:$B$41,0),MATCH(V$4,UWS!$G$3:$Z$3,0)),0)</f>
        <v>0</v>
      </c>
      <c r="W358">
        <f>IFERROR(INDEX(UWS!$G$10:$Z$41,MATCH($C358,UWS!$B$10:$B$41,0),MATCH(W$4,UWS!$G$3:$Z$3,0)),0)</f>
        <v>0</v>
      </c>
      <c r="X358">
        <f>IFERROR(INDEX(UWS!$G$10:$Z$41,MATCH($C358,UWS!$B$10:$B$41,0),MATCH(X$4,UWS!$G$3:$Z$3,0)),0)</f>
        <v>0</v>
      </c>
      <c r="Y358">
        <f>IFERROR(INDEX(UWS!$G$10:$Z$41,MATCH($C358,UWS!$B$10:$B$41,0),MATCH(Y$4,UWS!$G$3:$Z$3,0)),0)</f>
        <v>0</v>
      </c>
      <c r="Z358">
        <f>IFERROR(INDEX(UWS!$G$10:$Z$41,MATCH($C358,UWS!$B$10:$B$41,0),MATCH(Z$4,UWS!$G$3:$Z$3,0)),0)</f>
        <v>0</v>
      </c>
      <c r="AA358">
        <f>IFERROR(INDEX(UWS!$G$10:$Z$41,MATCH($C358,UWS!$B$10:$B$41,0),MATCH(AA$4,UWS!$G$3:$Z$3,0)),0)</f>
        <v>0</v>
      </c>
      <c r="AB358">
        <f>IFERROR(INDEX(UWS!$G$10:$Z$41,MATCH($C358,UWS!$B$10:$B$41,0),MATCH(AB$4,UWS!$G$3:$Z$3,0)),0)</f>
        <v>0</v>
      </c>
      <c r="AC358">
        <f>IFERROR(INDEX(UWS!$G$10:$Z$41,MATCH($C358,UWS!$B$10:$B$41,0),MATCH(AC$4,UWS!$G$3:$Z$3,0)),0)</f>
        <v>0</v>
      </c>
      <c r="AD358">
        <f>IFERROR(INDEX(UWS!$G$10:$Z$41,MATCH($C358,UWS!$B$10:$B$41,0),MATCH(AD$4,UWS!$G$3:$Z$3,0)),0)</f>
        <v>0</v>
      </c>
      <c r="AE358">
        <f>IFERROR(INDEX(UWS!$G$10:$Z$41,MATCH($C358,UWS!$B$10:$B$41,0),MATCH(AE$4,UWS!$G$3:$Z$3,0)),0)</f>
        <v>0</v>
      </c>
      <c r="AF358">
        <f>IFERROR(INDEX(UWS!$G$10:$Z$41,MATCH($C358,UWS!$B$10:$B$41,0),MATCH(AF$4,UWS!$G$3:$Z$3,0)),0)</f>
        <v>0</v>
      </c>
      <c r="AG358">
        <f>IFERROR(INDEX(UWS!$G$10:$Z$41,MATCH($C358,UWS!$B$10:$B$41,0),MATCH(AG$4,UWS!$G$3:$Z$3,0)),0)</f>
        <v>0</v>
      </c>
      <c r="AH358">
        <f>IFERROR(INDEX(UWS!$G$10:$Z$41,MATCH($C358,UWS!$B$10:$B$41,0),MATCH(AH$4,UWS!$G$3:$Z$3,0)),0)</f>
        <v>0</v>
      </c>
      <c r="AI358">
        <f>IFERROR(INDEX(UWS!$G$10:$Z$41,MATCH($C358,UWS!$B$10:$B$41,0),MATCH(AI$4,UWS!$G$3:$Z$3,0)),0)</f>
        <v>0</v>
      </c>
      <c r="AK358" t="e">
        <f>IF(OR($J358=0,COUNTIFS($A$4:$A357,"&gt;="&amp;$A358-1,$A$4:$A357,"&lt;="&amp;$A358,$B$4:$B357,$B358)&gt;0,MIN(AK$1,IF($A358=$A357,AK357,1))-P358&lt;0),-1,MIN(1,IF($A358=$A357,AK357,1)-P358+$D$3))</f>
        <v>#N/A</v>
      </c>
      <c r="AL358" t="e">
        <f>IF(OR($J358=0,COUNTIFS($A$4:$A357,"&gt;="&amp;$A358-1,$A$4:$A357,"&lt;="&amp;$A358,$B$4:$B357,$B358)&gt;0,MIN(AL$1,IF($A358=$A357,AL357,1))-Q358&lt;0),-1,MIN(1,IF($A358=$A357,AL357,1)-Q358+$D$3))</f>
        <v>#N/A</v>
      </c>
      <c r="AM358" t="e">
        <f>IF(OR($J358=0,COUNTIFS($A$4:$A357,"&gt;="&amp;$A358-1,$A$4:$A357,"&lt;="&amp;$A358,$B$4:$B357,$B358)&gt;0,MIN(AM$1,IF($A358=$A357,AM357,1))-R358&lt;0),-1,MIN(1,IF($A358=$A357,AM357,1)-R358+$D$3))</f>
        <v>#N/A</v>
      </c>
      <c r="AN358" t="e">
        <f>IF(OR($J358=0,COUNTIFS($A$4:$A357,"&gt;="&amp;$A358-1,$A$4:$A357,"&lt;="&amp;$A358,$B$4:$B357,$B358)&gt;0,MIN(AN$1,IF($A358=$A357,AN357,1))-S358&lt;0),-1,MIN(1,IF($A358=$A357,AN357,1)-S358+$D$3))</f>
        <v>#N/A</v>
      </c>
      <c r="AO358" t="e">
        <f>IF(OR($J358=0,COUNTIFS($A$4:$A357,"&gt;="&amp;$A358-1,$A$4:$A357,"&lt;="&amp;$A358,$B$4:$B357,$B358)&gt;0,MIN(AO$1,IF($A358=$A357,AO357,1))-T358&lt;0),-1,MIN(1,IF($A358=$A357,AO357,1)-T358+$D$3))</f>
        <v>#N/A</v>
      </c>
      <c r="AP358" t="e">
        <f>IF(OR($J358=0,COUNTIFS($A$4:$A357,"&gt;="&amp;$A358-1,$A$4:$A357,"&lt;="&amp;$A358,$B$4:$B357,$B358)&gt;0,MIN(AP$1,IF($A358=$A357,AP357,1))-U358&lt;0),-1,MIN(1,IF($A358=$A357,AP357,1)-U358+$D$3))</f>
        <v>#N/A</v>
      </c>
      <c r="AQ358" t="e">
        <f>IF(OR($J358=0,COUNTIFS($A$4:$A357,"&gt;="&amp;$A358-1,$A$4:$A357,"&lt;="&amp;$A358,$B$4:$B357,$B358)&gt;0,MIN(AQ$1,IF($A358=$A357,AQ357,1))-V358&lt;0),-1,MIN(1,IF($A358=$A357,AQ357,1)-V358+$D$3))</f>
        <v>#N/A</v>
      </c>
      <c r="AR358" t="e">
        <f>IF(OR($J358=0,COUNTIFS($A$4:$A357,"&gt;="&amp;$A358-1,$A$4:$A357,"&lt;="&amp;$A358,$B$4:$B357,$B358)&gt;0,MIN(AR$1,IF($A358=$A357,AR357,1))-W358&lt;0),-1,MIN(1,IF($A358=$A357,AR357,1)-W358+$D$3))</f>
        <v>#N/A</v>
      </c>
      <c r="AS358" t="e">
        <f>IF(OR($J358=0,COUNTIFS($A$4:$A357,"&gt;="&amp;$A358-1,$A$4:$A357,"&lt;="&amp;$A358,$B$4:$B357,$B358)&gt;0,MIN(AS$1,IF($A358=$A357,AS357,1))-X358&lt;0),-1,MIN(1,IF($A358=$A357,AS357,1)-X358+$D$3))</f>
        <v>#N/A</v>
      </c>
      <c r="AT358" t="e">
        <f>IF(OR($J358=0,COUNTIFS($A$4:$A357,"&gt;="&amp;$A358-1,$A$4:$A357,"&lt;="&amp;$A358,$B$4:$B357,$B358)&gt;0,MIN(AT$1,IF($A358=$A357,AT357,1))-Y358&lt;0),-1,MIN(1,IF($A358=$A357,AT357,1)-Y358+$D$3))</f>
        <v>#N/A</v>
      </c>
      <c r="AU358" t="e">
        <f>IF(OR($J358=0,COUNTIFS($A$4:$A357,"&gt;="&amp;$A358-1,$A$4:$A357,"&lt;="&amp;$A358,$B$4:$B357,$B358)&gt;0,MIN(AU$1,IF($A358=$A357,AU357,1))-Z358&lt;0),-1,MIN(1,IF($A358=$A357,AU357,1)-Z358+$D$3))</f>
        <v>#N/A</v>
      </c>
      <c r="AV358" t="e">
        <f>IF(OR($J358=0,COUNTIFS($A$4:$A357,"&gt;="&amp;$A358-1,$A$4:$A357,"&lt;="&amp;$A358,$B$4:$B357,$B358)&gt;0,MIN(AV$1,IF($A358=$A357,AV357,1))-AA358&lt;0),-1,MIN(1,IF($A358=$A357,AV357,1)-AA358+$D$3))</f>
        <v>#N/A</v>
      </c>
      <c r="AW358" t="e">
        <f>IF(OR($J358=0,COUNTIFS($A$4:$A357,"&gt;="&amp;$A358-1,$A$4:$A357,"&lt;="&amp;$A358,$B$4:$B357,$B358)&gt;0,MIN(AW$1,IF($A358=$A357,AW357,1))-AB358&lt;0),-1,MIN(1,IF($A358=$A357,AW357,1)-AB358+$D$3))</f>
        <v>#N/A</v>
      </c>
      <c r="AX358" t="e">
        <f>IF(OR($J358=0,COUNTIFS($A$4:$A357,"&gt;="&amp;$A358-1,$A$4:$A357,"&lt;="&amp;$A358,$B$4:$B357,$B358)&gt;0,MIN(AX$1,IF($A358=$A357,AX357,1))-AC358&lt;0),-1,MIN(1,IF($A358=$A357,AX357,1)-AC358+$D$3))</f>
        <v>#N/A</v>
      </c>
      <c r="AY358" t="e">
        <f>IF(OR($J358=0,COUNTIFS($A$4:$A357,"&gt;="&amp;$A358-1,$A$4:$A357,"&lt;="&amp;$A358,$B$4:$B357,$B358)&gt;0,MIN(AY$1,IF($A358=$A357,AY357,1))-AD358&lt;0),-1,MIN(1,IF($A358=$A357,AY357,1)-AD358+$D$3))</f>
        <v>#N/A</v>
      </c>
      <c r="AZ358" t="e">
        <f>IF(OR($J358=0,COUNTIFS($A$4:$A357,"&gt;="&amp;$A358-1,$A$4:$A357,"&lt;="&amp;$A358,$B$4:$B357,$B358)&gt;0,MIN(AZ$1,IF($A358=$A357,AZ357,1))-AE358&lt;0),-1,MIN(1,IF($A358=$A357,AZ357,1)-AE358+$D$3))</f>
        <v>#N/A</v>
      </c>
      <c r="BA358" t="e">
        <f>IF(OR($J358=0,COUNTIFS($A$4:$A357,"&gt;="&amp;$A358-1,$A$4:$A357,"&lt;="&amp;$A358,$B$4:$B357,$B358)&gt;0,MIN(BA$1,IF($A358=$A357,BA357,1))-AF358&lt;0),-1,MIN(1,IF($A358=$A357,BA357,1)-AF358+$D$3))</f>
        <v>#N/A</v>
      </c>
      <c r="BB358" t="e">
        <f>IF(OR($J358=0,COUNTIFS($A$4:$A357,"&gt;="&amp;$A358-1,$A$4:$A357,"&lt;="&amp;$A358,$B$4:$B357,$B358)&gt;0,MIN(BB$1,IF($A358=$A357,BB357,1))-AG358&lt;0),-1,MIN(1,IF($A358=$A357,BB357,1)-AG358+$D$3))</f>
        <v>#N/A</v>
      </c>
      <c r="BC358" t="e">
        <f>IF(OR($J358=0,COUNTIFS($A$4:$A357,"&gt;="&amp;$A358-1,$A$4:$A357,"&lt;="&amp;$A358,$B$4:$B357,$B358)&gt;0,MIN(BC$1,IF($A358=$A357,BC357,1))-AH358&lt;0),-1,MIN(1,IF($A358=$A357,BC357,1)-AH358+$D$3))</f>
        <v>#N/A</v>
      </c>
      <c r="BD358" t="e">
        <f>IF(OR($J358=0,COUNTIFS($A$4:$A357,"&gt;="&amp;$A358-1,$A$4:$A357,"&lt;="&amp;$A358,$B$4:$B357,$B358)&gt;0,MIN(BD$1,IF($A358=$A357,BD357,1))-AI358&lt;0),-1,MIN(1,IF($A358=$A357,BD357,1)-AI358+$D$3))</f>
        <v>#N/A</v>
      </c>
      <c r="BF358" s="44">
        <f t="shared" si="355"/>
        <v>2.7571612490832811E-8</v>
      </c>
      <c r="BG358" s="44">
        <f t="shared" si="356"/>
        <v>6.7806375307349348E-8</v>
      </c>
      <c r="BH358" s="44">
        <f t="shared" si="357"/>
        <v>6.9494402157880459E-8</v>
      </c>
      <c r="BI358" s="44">
        <f t="shared" si="358"/>
        <v>6.4193533287596603E-8</v>
      </c>
      <c r="BJ358" s="44">
        <f t="shared" si="359"/>
        <v>6.6350110927426456E-8</v>
      </c>
      <c r="BK358" s="44">
        <f t="shared" si="360"/>
        <v>2.8493211492114592E-8</v>
      </c>
      <c r="BL358" s="44">
        <f t="shared" si="361"/>
        <v>1.5392481114478161E-8</v>
      </c>
      <c r="BM358" s="44">
        <f t="shared" si="362"/>
        <v>3.9156674497699937E-8</v>
      </c>
      <c r="BN358" s="44">
        <f t="shared" si="363"/>
        <v>4.0725993167958479E-8</v>
      </c>
      <c r="BO358" s="44">
        <f t="shared" si="364"/>
        <v>1.9085745772573409E-8</v>
      </c>
      <c r="BP358" s="44">
        <f t="shared" si="365"/>
        <v>6.417539492607522E-8</v>
      </c>
      <c r="BQ358" s="44">
        <f t="shared" si="366"/>
        <v>1.731828253022191E-8</v>
      </c>
      <c r="BR358" s="44">
        <f t="shared" si="367"/>
        <v>5.1162541813764374E-8</v>
      </c>
      <c r="BS358" s="44">
        <f t="shared" si="368"/>
        <v>2.7592637732917341E-8</v>
      </c>
      <c r="BT358" s="44">
        <f t="shared" si="369"/>
        <v>1.0919252676201453E-7</v>
      </c>
      <c r="BU358" s="44">
        <f t="shared" si="370"/>
        <v>1.0431172034483019E-7</v>
      </c>
      <c r="BV358" s="44">
        <f t="shared" si="371"/>
        <v>1.0017752514163713E-7</v>
      </c>
      <c r="BW358" s="44">
        <f t="shared" si="372"/>
        <v>6.5521614253635399E-8</v>
      </c>
      <c r="BX358" s="44">
        <f t="shared" si="373"/>
        <v>4.8406178787061255E-8</v>
      </c>
      <c r="BY358" s="44">
        <f t="shared" si="374"/>
        <v>4.1562268147204577E-8</v>
      </c>
      <c r="CA358" s="44" t="str">
        <f t="shared" si="375"/>
        <v/>
      </c>
      <c r="CB358" s="44" t="str">
        <f t="shared" si="376"/>
        <v/>
      </c>
      <c r="CC358" s="44" t="str">
        <f t="shared" si="377"/>
        <v/>
      </c>
      <c r="CD358" s="44" t="str">
        <f t="shared" si="378"/>
        <v/>
      </c>
      <c r="CE358" s="44" t="str">
        <f t="shared" si="379"/>
        <v/>
      </c>
      <c r="CF358" s="44" t="str">
        <f t="shared" si="380"/>
        <v/>
      </c>
      <c r="CG358" s="44" t="str">
        <f t="shared" si="381"/>
        <v/>
      </c>
      <c r="CH358" s="44" t="str">
        <f t="shared" si="382"/>
        <v/>
      </c>
      <c r="CI358" s="44" t="str">
        <f t="shared" si="383"/>
        <v/>
      </c>
      <c r="CJ358" s="44" t="str">
        <f t="shared" si="384"/>
        <v/>
      </c>
      <c r="CK358" s="44" t="str">
        <f t="shared" si="385"/>
        <v/>
      </c>
      <c r="CL358" s="44" t="str">
        <f t="shared" si="386"/>
        <v/>
      </c>
      <c r="CM358" s="44" t="str">
        <f t="shared" si="387"/>
        <v/>
      </c>
      <c r="CN358" s="44" t="str">
        <f t="shared" si="388"/>
        <v/>
      </c>
      <c r="CO358" s="44" t="str">
        <f t="shared" si="389"/>
        <v/>
      </c>
      <c r="CP358" s="44" t="str">
        <f t="shared" si="390"/>
        <v/>
      </c>
      <c r="CQ358" s="44" t="str">
        <f t="shared" si="391"/>
        <v/>
      </c>
      <c r="CR358" s="44" t="str">
        <f t="shared" si="392"/>
        <v/>
      </c>
      <c r="CS358" s="44" t="str">
        <f t="shared" si="393"/>
        <v/>
      </c>
      <c r="CT358" s="44" t="str">
        <f t="shared" si="394"/>
        <v/>
      </c>
      <c r="CV358" s="44">
        <f t="shared" si="395"/>
        <v>0</v>
      </c>
    </row>
    <row r="359" spans="1:100" x14ac:dyDescent="0.25">
      <c r="A359" s="41"/>
      <c r="B359" s="42"/>
      <c r="C359" s="43" t="str" cm="1">
        <f t="array" ref="C359">IF(B359="","",INDEX(UWS!$B$10:$B$41,B359))</f>
        <v/>
      </c>
      <c r="D359" s="40" t="str">
        <f t="shared" si="352"/>
        <v/>
      </c>
      <c r="E359" s="69" t="str">
        <f t="shared" si="353"/>
        <v/>
      </c>
      <c r="F359" s="48" cm="1">
        <f t="array" ref="F359">0.1+IFERROR(INDEX($F$5:$F358,SUMPRODUCT(MAX(ROW($C$5:$C358)*($C359=$C$5:$C358))-ROW($A$4)))*0.9^($A359-INDEX($A$5:A358,SUMPRODUCT(MAX(ROW($C$5:$C358)*($C359=$C$5:$C358))-ROW($A$4)))),0)</f>
        <v>29.400000000000148</v>
      </c>
      <c r="G359" s="55" t="e">
        <f>INDEX(UWS!$AB$10:$AB$41,MATCH(C359,UWS!$B$10:$B$41,0))</f>
        <v>#N/A</v>
      </c>
      <c r="H359" s="48" t="e">
        <f>INDEX(UWS!$C$10:$C$41,MATCH(C359,UWS!$B$10:$B$41,0))</f>
        <v>#N/A</v>
      </c>
      <c r="I359" s="27">
        <f t="shared" si="354"/>
        <v>5</v>
      </c>
      <c r="J359" s="27" t="e">
        <f>INDEX(UWS!$E$10:$E$41,MATCH(C359,UWS!$B$10:$B$41,0))</f>
        <v>#N/A</v>
      </c>
      <c r="L359" s="108" t="str" cm="1">
        <f t="array" ref="L359">IF(K359="","",INDEX(UWS!$B$10:$B$41,K359))</f>
        <v/>
      </c>
      <c r="N359" s="108" t="str" cm="1">
        <f t="array" ref="N359">IF(M359="","",INDEX(UWS!$B$10:$B$41,M359))</f>
        <v/>
      </c>
      <c r="P359">
        <f>IFERROR(INDEX(UWS!$G$10:$Z$41,MATCH($C359,UWS!$B$10:$B$41,0),MATCH(P$4,UWS!$G$3:$Z$3,0)),0)</f>
        <v>0</v>
      </c>
      <c r="Q359">
        <f>IFERROR(INDEX(UWS!$G$10:$Z$41,MATCH($C359,UWS!$B$10:$B$41,0),MATCH(Q$4,UWS!$G$3:$Z$3,0)),0)</f>
        <v>0</v>
      </c>
      <c r="R359">
        <f>IFERROR(INDEX(UWS!$G$10:$Z$41,MATCH($C359,UWS!$B$10:$B$41,0),MATCH(R$4,UWS!$G$3:$Z$3,0)),0)</f>
        <v>0</v>
      </c>
      <c r="S359">
        <f>IFERROR(INDEX(UWS!$G$10:$Z$41,MATCH($C359,UWS!$B$10:$B$41,0),MATCH(S$4,UWS!$G$3:$Z$3,0)),0)</f>
        <v>0</v>
      </c>
      <c r="T359">
        <f>IFERROR(INDEX(UWS!$G$10:$Z$41,MATCH($C359,UWS!$B$10:$B$41,0),MATCH(T$4,UWS!$G$3:$Z$3,0)),0)</f>
        <v>0</v>
      </c>
      <c r="U359">
        <f>IFERROR(INDEX(UWS!$G$10:$Z$41,MATCH($C359,UWS!$B$10:$B$41,0),MATCH(U$4,UWS!$G$3:$Z$3,0)),0)</f>
        <v>0</v>
      </c>
      <c r="V359">
        <f>IFERROR(INDEX(UWS!$G$10:$Z$41,MATCH($C359,UWS!$B$10:$B$41,0),MATCH(V$4,UWS!$G$3:$Z$3,0)),0)</f>
        <v>0</v>
      </c>
      <c r="W359">
        <f>IFERROR(INDEX(UWS!$G$10:$Z$41,MATCH($C359,UWS!$B$10:$B$41,0),MATCH(W$4,UWS!$G$3:$Z$3,0)),0)</f>
        <v>0</v>
      </c>
      <c r="X359">
        <f>IFERROR(INDEX(UWS!$G$10:$Z$41,MATCH($C359,UWS!$B$10:$B$41,0),MATCH(X$4,UWS!$G$3:$Z$3,0)),0)</f>
        <v>0</v>
      </c>
      <c r="Y359">
        <f>IFERROR(INDEX(UWS!$G$10:$Z$41,MATCH($C359,UWS!$B$10:$B$41,0),MATCH(Y$4,UWS!$G$3:$Z$3,0)),0)</f>
        <v>0</v>
      </c>
      <c r="Z359">
        <f>IFERROR(INDEX(UWS!$G$10:$Z$41,MATCH($C359,UWS!$B$10:$B$41,0),MATCH(Z$4,UWS!$G$3:$Z$3,0)),0)</f>
        <v>0</v>
      </c>
      <c r="AA359">
        <f>IFERROR(INDEX(UWS!$G$10:$Z$41,MATCH($C359,UWS!$B$10:$B$41,0),MATCH(AA$4,UWS!$G$3:$Z$3,0)),0)</f>
        <v>0</v>
      </c>
      <c r="AB359">
        <f>IFERROR(INDEX(UWS!$G$10:$Z$41,MATCH($C359,UWS!$B$10:$B$41,0),MATCH(AB$4,UWS!$G$3:$Z$3,0)),0)</f>
        <v>0</v>
      </c>
      <c r="AC359">
        <f>IFERROR(INDEX(UWS!$G$10:$Z$41,MATCH($C359,UWS!$B$10:$B$41,0),MATCH(AC$4,UWS!$G$3:$Z$3,0)),0)</f>
        <v>0</v>
      </c>
      <c r="AD359">
        <f>IFERROR(INDEX(UWS!$G$10:$Z$41,MATCH($C359,UWS!$B$10:$B$41,0),MATCH(AD$4,UWS!$G$3:$Z$3,0)),0)</f>
        <v>0</v>
      </c>
      <c r="AE359">
        <f>IFERROR(INDEX(UWS!$G$10:$Z$41,MATCH($C359,UWS!$B$10:$B$41,0),MATCH(AE$4,UWS!$G$3:$Z$3,0)),0)</f>
        <v>0</v>
      </c>
      <c r="AF359">
        <f>IFERROR(INDEX(UWS!$G$10:$Z$41,MATCH($C359,UWS!$B$10:$B$41,0),MATCH(AF$4,UWS!$G$3:$Z$3,0)),0)</f>
        <v>0</v>
      </c>
      <c r="AG359">
        <f>IFERROR(INDEX(UWS!$G$10:$Z$41,MATCH($C359,UWS!$B$10:$B$41,0),MATCH(AG$4,UWS!$G$3:$Z$3,0)),0)</f>
        <v>0</v>
      </c>
      <c r="AH359">
        <f>IFERROR(INDEX(UWS!$G$10:$Z$41,MATCH($C359,UWS!$B$10:$B$41,0),MATCH(AH$4,UWS!$G$3:$Z$3,0)),0)</f>
        <v>0</v>
      </c>
      <c r="AI359">
        <f>IFERROR(INDEX(UWS!$G$10:$Z$41,MATCH($C359,UWS!$B$10:$B$41,0),MATCH(AI$4,UWS!$G$3:$Z$3,0)),0)</f>
        <v>0</v>
      </c>
      <c r="AK359" t="e">
        <f>IF(OR($J359=0,COUNTIFS($A$4:$A358,"&gt;="&amp;$A359-1,$A$4:$A358,"&lt;="&amp;$A359,$B$4:$B358,$B359)&gt;0,MIN(AK$1,IF($A359=$A358,AK358,1))-P359&lt;0),-1,MIN(1,IF($A359=$A358,AK358,1)-P359+$D$3))</f>
        <v>#N/A</v>
      </c>
      <c r="AL359" t="e">
        <f>IF(OR($J359=0,COUNTIFS($A$4:$A358,"&gt;="&amp;$A359-1,$A$4:$A358,"&lt;="&amp;$A359,$B$4:$B358,$B359)&gt;0,MIN(AL$1,IF($A359=$A358,AL358,1))-Q359&lt;0),-1,MIN(1,IF($A359=$A358,AL358,1)-Q359+$D$3))</f>
        <v>#N/A</v>
      </c>
      <c r="AM359" t="e">
        <f>IF(OR($J359=0,COUNTIFS($A$4:$A358,"&gt;="&amp;$A359-1,$A$4:$A358,"&lt;="&amp;$A359,$B$4:$B358,$B359)&gt;0,MIN(AM$1,IF($A359=$A358,AM358,1))-R359&lt;0),-1,MIN(1,IF($A359=$A358,AM358,1)-R359+$D$3))</f>
        <v>#N/A</v>
      </c>
      <c r="AN359" t="e">
        <f>IF(OR($J359=0,COUNTIFS($A$4:$A358,"&gt;="&amp;$A359-1,$A$4:$A358,"&lt;="&amp;$A359,$B$4:$B358,$B359)&gt;0,MIN(AN$1,IF($A359=$A358,AN358,1))-S359&lt;0),-1,MIN(1,IF($A359=$A358,AN358,1)-S359+$D$3))</f>
        <v>#N/A</v>
      </c>
      <c r="AO359" t="e">
        <f>IF(OR($J359=0,COUNTIFS($A$4:$A358,"&gt;="&amp;$A359-1,$A$4:$A358,"&lt;="&amp;$A359,$B$4:$B358,$B359)&gt;0,MIN(AO$1,IF($A359=$A358,AO358,1))-T359&lt;0),-1,MIN(1,IF($A359=$A358,AO358,1)-T359+$D$3))</f>
        <v>#N/A</v>
      </c>
      <c r="AP359" t="e">
        <f>IF(OR($J359=0,COUNTIFS($A$4:$A358,"&gt;="&amp;$A359-1,$A$4:$A358,"&lt;="&amp;$A359,$B$4:$B358,$B359)&gt;0,MIN(AP$1,IF($A359=$A358,AP358,1))-U359&lt;0),-1,MIN(1,IF($A359=$A358,AP358,1)-U359+$D$3))</f>
        <v>#N/A</v>
      </c>
      <c r="AQ359" t="e">
        <f>IF(OR($J359=0,COUNTIFS($A$4:$A358,"&gt;="&amp;$A359-1,$A$4:$A358,"&lt;="&amp;$A359,$B$4:$B358,$B359)&gt;0,MIN(AQ$1,IF($A359=$A358,AQ358,1))-V359&lt;0),-1,MIN(1,IF($A359=$A358,AQ358,1)-V359+$D$3))</f>
        <v>#N/A</v>
      </c>
      <c r="AR359" t="e">
        <f>IF(OR($J359=0,COUNTIFS($A$4:$A358,"&gt;="&amp;$A359-1,$A$4:$A358,"&lt;="&amp;$A359,$B$4:$B358,$B359)&gt;0,MIN(AR$1,IF($A359=$A358,AR358,1))-W359&lt;0),-1,MIN(1,IF($A359=$A358,AR358,1)-W359+$D$3))</f>
        <v>#N/A</v>
      </c>
      <c r="AS359" t="e">
        <f>IF(OR($J359=0,COUNTIFS($A$4:$A358,"&gt;="&amp;$A359-1,$A$4:$A358,"&lt;="&amp;$A359,$B$4:$B358,$B359)&gt;0,MIN(AS$1,IF($A359=$A358,AS358,1))-X359&lt;0),-1,MIN(1,IF($A359=$A358,AS358,1)-X359+$D$3))</f>
        <v>#N/A</v>
      </c>
      <c r="AT359" t="e">
        <f>IF(OR($J359=0,COUNTIFS($A$4:$A358,"&gt;="&amp;$A359-1,$A$4:$A358,"&lt;="&amp;$A359,$B$4:$B358,$B359)&gt;0,MIN(AT$1,IF($A359=$A358,AT358,1))-Y359&lt;0),-1,MIN(1,IF($A359=$A358,AT358,1)-Y359+$D$3))</f>
        <v>#N/A</v>
      </c>
      <c r="AU359" t="e">
        <f>IF(OR($J359=0,COUNTIFS($A$4:$A358,"&gt;="&amp;$A359-1,$A$4:$A358,"&lt;="&amp;$A359,$B$4:$B358,$B359)&gt;0,MIN(AU$1,IF($A359=$A358,AU358,1))-Z359&lt;0),-1,MIN(1,IF($A359=$A358,AU358,1)-Z359+$D$3))</f>
        <v>#N/A</v>
      </c>
      <c r="AV359" t="e">
        <f>IF(OR($J359=0,COUNTIFS($A$4:$A358,"&gt;="&amp;$A359-1,$A$4:$A358,"&lt;="&amp;$A359,$B$4:$B358,$B359)&gt;0,MIN(AV$1,IF($A359=$A358,AV358,1))-AA359&lt;0),-1,MIN(1,IF($A359=$A358,AV358,1)-AA359+$D$3))</f>
        <v>#N/A</v>
      </c>
      <c r="AW359" t="e">
        <f>IF(OR($J359=0,COUNTIFS($A$4:$A358,"&gt;="&amp;$A359-1,$A$4:$A358,"&lt;="&amp;$A359,$B$4:$B358,$B359)&gt;0,MIN(AW$1,IF($A359=$A358,AW358,1))-AB359&lt;0),-1,MIN(1,IF($A359=$A358,AW358,1)-AB359+$D$3))</f>
        <v>#N/A</v>
      </c>
      <c r="AX359" t="e">
        <f>IF(OR($J359=0,COUNTIFS($A$4:$A358,"&gt;="&amp;$A359-1,$A$4:$A358,"&lt;="&amp;$A359,$B$4:$B358,$B359)&gt;0,MIN(AX$1,IF($A359=$A358,AX358,1))-AC359&lt;0),-1,MIN(1,IF($A359=$A358,AX358,1)-AC359+$D$3))</f>
        <v>#N/A</v>
      </c>
      <c r="AY359" t="e">
        <f>IF(OR($J359=0,COUNTIFS($A$4:$A358,"&gt;="&amp;$A359-1,$A$4:$A358,"&lt;="&amp;$A359,$B$4:$B358,$B359)&gt;0,MIN(AY$1,IF($A359=$A358,AY358,1))-AD359&lt;0),-1,MIN(1,IF($A359=$A358,AY358,1)-AD359+$D$3))</f>
        <v>#N/A</v>
      </c>
      <c r="AZ359" t="e">
        <f>IF(OR($J359=0,COUNTIFS($A$4:$A358,"&gt;="&amp;$A359-1,$A$4:$A358,"&lt;="&amp;$A359,$B$4:$B358,$B359)&gt;0,MIN(AZ$1,IF($A359=$A358,AZ358,1))-AE359&lt;0),-1,MIN(1,IF($A359=$A358,AZ358,1)-AE359+$D$3))</f>
        <v>#N/A</v>
      </c>
      <c r="BA359" t="e">
        <f>IF(OR($J359=0,COUNTIFS($A$4:$A358,"&gt;="&amp;$A359-1,$A$4:$A358,"&lt;="&amp;$A359,$B$4:$B358,$B359)&gt;0,MIN(BA$1,IF($A359=$A358,BA358,1))-AF359&lt;0),-1,MIN(1,IF($A359=$A358,BA358,1)-AF359+$D$3))</f>
        <v>#N/A</v>
      </c>
      <c r="BB359" t="e">
        <f>IF(OR($J359=0,COUNTIFS($A$4:$A358,"&gt;="&amp;$A359-1,$A$4:$A358,"&lt;="&amp;$A359,$B$4:$B358,$B359)&gt;0,MIN(BB$1,IF($A359=$A358,BB358,1))-AG359&lt;0),-1,MIN(1,IF($A359=$A358,BB358,1)-AG359+$D$3))</f>
        <v>#N/A</v>
      </c>
      <c r="BC359" t="e">
        <f>IF(OR($J359=0,COUNTIFS($A$4:$A358,"&gt;="&amp;$A359-1,$A$4:$A358,"&lt;="&amp;$A359,$B$4:$B358,$B359)&gt;0,MIN(BC$1,IF($A359=$A358,BC358,1))-AH359&lt;0),-1,MIN(1,IF($A359=$A358,BC358,1)-AH359+$D$3))</f>
        <v>#N/A</v>
      </c>
      <c r="BD359" t="e">
        <f>IF(OR($J359=0,COUNTIFS($A$4:$A358,"&gt;="&amp;$A359-1,$A$4:$A358,"&lt;="&amp;$A359,$B$4:$B358,$B359)&gt;0,MIN(BD$1,IF($A359=$A358,BD358,1))-AI359&lt;0),-1,MIN(1,IF($A359=$A358,BD358,1)-AI359+$D$3))</f>
        <v>#N/A</v>
      </c>
      <c r="BF359" s="44">
        <f t="shared" si="355"/>
        <v>2.6193031866291169E-8</v>
      </c>
      <c r="BG359" s="44">
        <f t="shared" si="356"/>
        <v>6.4416056541981883E-8</v>
      </c>
      <c r="BH359" s="44">
        <f t="shared" si="357"/>
        <v>6.6019682049986435E-8</v>
      </c>
      <c r="BI359" s="44">
        <f t="shared" si="358"/>
        <v>6.0983856623216765E-8</v>
      </c>
      <c r="BJ359" s="44">
        <f t="shared" si="359"/>
        <v>6.3032605381055125E-8</v>
      </c>
      <c r="BK359" s="44">
        <f t="shared" si="360"/>
        <v>2.7068550917508862E-8</v>
      </c>
      <c r="BL359" s="44">
        <f t="shared" si="361"/>
        <v>1.4622857058754252E-8</v>
      </c>
      <c r="BM359" s="44">
        <f t="shared" si="362"/>
        <v>3.7198840772814937E-8</v>
      </c>
      <c r="BN359" s="44">
        <f t="shared" si="363"/>
        <v>3.8689693509560551E-8</v>
      </c>
      <c r="BO359" s="44">
        <f t="shared" si="364"/>
        <v>1.8131458483944736E-8</v>
      </c>
      <c r="BP359" s="44">
        <f t="shared" si="365"/>
        <v>6.0966625179771462E-8</v>
      </c>
      <c r="BQ359" s="44">
        <f t="shared" si="366"/>
        <v>1.6452368403710814E-8</v>
      </c>
      <c r="BR359" s="44">
        <f t="shared" si="367"/>
        <v>4.860441472307615E-8</v>
      </c>
      <c r="BS359" s="44">
        <f t="shared" si="368"/>
        <v>2.6213005846271474E-8</v>
      </c>
      <c r="BT359" s="44">
        <f t="shared" si="369"/>
        <v>1.037329004239138E-7</v>
      </c>
      <c r="BU359" s="44">
        <f t="shared" si="370"/>
        <v>9.9096134327588668E-8</v>
      </c>
      <c r="BV359" s="44">
        <f t="shared" si="371"/>
        <v>9.5168648884555266E-8</v>
      </c>
      <c r="BW359" s="44">
        <f t="shared" si="372"/>
        <v>6.2245533540953622E-8</v>
      </c>
      <c r="BX359" s="44">
        <f t="shared" si="373"/>
        <v>4.5985869847708192E-8</v>
      </c>
      <c r="BY359" s="44">
        <f t="shared" si="374"/>
        <v>3.9484154739844343E-8</v>
      </c>
      <c r="CA359" s="44" t="str">
        <f t="shared" si="375"/>
        <v/>
      </c>
      <c r="CB359" s="44" t="str">
        <f t="shared" si="376"/>
        <v/>
      </c>
      <c r="CC359" s="44" t="str">
        <f t="shared" si="377"/>
        <v/>
      </c>
      <c r="CD359" s="44" t="str">
        <f t="shared" si="378"/>
        <v/>
      </c>
      <c r="CE359" s="44" t="str">
        <f t="shared" si="379"/>
        <v/>
      </c>
      <c r="CF359" s="44" t="str">
        <f t="shared" si="380"/>
        <v/>
      </c>
      <c r="CG359" s="44" t="str">
        <f t="shared" si="381"/>
        <v/>
      </c>
      <c r="CH359" s="44" t="str">
        <f t="shared" si="382"/>
        <v/>
      </c>
      <c r="CI359" s="44" t="str">
        <f t="shared" si="383"/>
        <v/>
      </c>
      <c r="CJ359" s="44" t="str">
        <f t="shared" si="384"/>
        <v/>
      </c>
      <c r="CK359" s="44" t="str">
        <f t="shared" si="385"/>
        <v/>
      </c>
      <c r="CL359" s="44" t="str">
        <f t="shared" si="386"/>
        <v/>
      </c>
      <c r="CM359" s="44" t="str">
        <f t="shared" si="387"/>
        <v/>
      </c>
      <c r="CN359" s="44" t="str">
        <f t="shared" si="388"/>
        <v/>
      </c>
      <c r="CO359" s="44" t="str">
        <f t="shared" si="389"/>
        <v/>
      </c>
      <c r="CP359" s="44" t="str">
        <f t="shared" si="390"/>
        <v/>
      </c>
      <c r="CQ359" s="44" t="str">
        <f t="shared" si="391"/>
        <v/>
      </c>
      <c r="CR359" s="44" t="str">
        <f t="shared" si="392"/>
        <v/>
      </c>
      <c r="CS359" s="44" t="str">
        <f t="shared" si="393"/>
        <v/>
      </c>
      <c r="CT359" s="44" t="str">
        <f t="shared" si="394"/>
        <v/>
      </c>
      <c r="CV359" s="44">
        <f t="shared" si="395"/>
        <v>0</v>
      </c>
    </row>
    <row r="360" spans="1:100" x14ac:dyDescent="0.25">
      <c r="A360" s="49"/>
      <c r="B360" s="50"/>
      <c r="C360" s="51" t="str" cm="1">
        <f t="array" ref="C360">IF(B360="","",INDEX(UWS!$B$10:$B$41,B360))</f>
        <v/>
      </c>
      <c r="D360" s="45" t="str">
        <f t="shared" si="352"/>
        <v/>
      </c>
      <c r="E360" s="70" t="str">
        <f t="shared" si="353"/>
        <v/>
      </c>
      <c r="F360" s="52" cm="1">
        <f t="array" ref="F360">0.1+IFERROR(INDEX($F$5:$F359,SUMPRODUCT(MAX(ROW($C$5:$C359)*($C360=$C$5:$C359))-ROW($A$4)))*0.9^($A360-INDEX($A$5:A359,SUMPRODUCT(MAX(ROW($C$5:$C359)*($C360=$C$5:$C359))-ROW($A$4)))),0)</f>
        <v>29.500000000000149</v>
      </c>
      <c r="G360" s="56" t="e">
        <f>INDEX(UWS!$AB$10:$AB$41,MATCH(C360,UWS!$B$10:$B$41,0))</f>
        <v>#N/A</v>
      </c>
      <c r="H360" s="52" t="e">
        <f>INDEX(UWS!$C$10:$C$41,MATCH(C360,UWS!$B$10:$B$41,0))</f>
        <v>#N/A</v>
      </c>
      <c r="I360" s="46">
        <f t="shared" si="354"/>
        <v>5</v>
      </c>
      <c r="J360" s="46" t="e">
        <f>INDEX(UWS!$E$10:$E$41,MATCH(C360,UWS!$B$10:$B$41,0))</f>
        <v>#N/A</v>
      </c>
      <c r="K360" s="46"/>
      <c r="L360" s="109" t="str" cm="1">
        <f t="array" ref="L360">IF(K360="","",INDEX(UWS!$B$10:$B$41,K360))</f>
        <v/>
      </c>
      <c r="M360" s="46"/>
      <c r="N360" s="109" t="str" cm="1">
        <f t="array" ref="N360">IF(M360="","",INDEX(UWS!$B$10:$B$41,M360))</f>
        <v/>
      </c>
      <c r="O360" s="47"/>
      <c r="P360" s="47">
        <f>IFERROR(INDEX(UWS!$G$10:$Z$41,MATCH($C360,UWS!$B$10:$B$41,0),MATCH(P$4,UWS!$G$3:$Z$3,0)),0)</f>
        <v>0</v>
      </c>
      <c r="Q360" s="47">
        <f>IFERROR(INDEX(UWS!$G$10:$Z$41,MATCH($C360,UWS!$B$10:$B$41,0),MATCH(Q$4,UWS!$G$3:$Z$3,0)),0)</f>
        <v>0</v>
      </c>
      <c r="R360" s="47">
        <f>IFERROR(INDEX(UWS!$G$10:$Z$41,MATCH($C360,UWS!$B$10:$B$41,0),MATCH(R$4,UWS!$G$3:$Z$3,0)),0)</f>
        <v>0</v>
      </c>
      <c r="S360" s="47">
        <f>IFERROR(INDEX(UWS!$G$10:$Z$41,MATCH($C360,UWS!$B$10:$B$41,0),MATCH(S$4,UWS!$G$3:$Z$3,0)),0)</f>
        <v>0</v>
      </c>
      <c r="T360" s="47">
        <f>IFERROR(INDEX(UWS!$G$10:$Z$41,MATCH($C360,UWS!$B$10:$B$41,0),MATCH(T$4,UWS!$G$3:$Z$3,0)),0)</f>
        <v>0</v>
      </c>
      <c r="U360" s="47">
        <f>IFERROR(INDEX(UWS!$G$10:$Z$41,MATCH($C360,UWS!$B$10:$B$41,0),MATCH(U$4,UWS!$G$3:$Z$3,0)),0)</f>
        <v>0</v>
      </c>
      <c r="V360" s="47">
        <f>IFERROR(INDEX(UWS!$G$10:$Z$41,MATCH($C360,UWS!$B$10:$B$41,0),MATCH(V$4,UWS!$G$3:$Z$3,0)),0)</f>
        <v>0</v>
      </c>
      <c r="W360" s="47">
        <f>IFERROR(INDEX(UWS!$G$10:$Z$41,MATCH($C360,UWS!$B$10:$B$41,0),MATCH(W$4,UWS!$G$3:$Z$3,0)),0)</f>
        <v>0</v>
      </c>
      <c r="X360" s="47">
        <f>IFERROR(INDEX(UWS!$G$10:$Z$41,MATCH($C360,UWS!$B$10:$B$41,0),MATCH(X$4,UWS!$G$3:$Z$3,0)),0)</f>
        <v>0</v>
      </c>
      <c r="Y360" s="47">
        <f>IFERROR(INDEX(UWS!$G$10:$Z$41,MATCH($C360,UWS!$B$10:$B$41,0),MATCH(Y$4,UWS!$G$3:$Z$3,0)),0)</f>
        <v>0</v>
      </c>
      <c r="Z360" s="47">
        <f>IFERROR(INDEX(UWS!$G$10:$Z$41,MATCH($C360,UWS!$B$10:$B$41,0),MATCH(Z$4,UWS!$G$3:$Z$3,0)),0)</f>
        <v>0</v>
      </c>
      <c r="AA360" s="47">
        <f>IFERROR(INDEX(UWS!$G$10:$Z$41,MATCH($C360,UWS!$B$10:$B$41,0),MATCH(AA$4,UWS!$G$3:$Z$3,0)),0)</f>
        <v>0</v>
      </c>
      <c r="AB360" s="47">
        <f>IFERROR(INDEX(UWS!$G$10:$Z$41,MATCH($C360,UWS!$B$10:$B$41,0),MATCH(AB$4,UWS!$G$3:$Z$3,0)),0)</f>
        <v>0</v>
      </c>
      <c r="AC360" s="47">
        <f>IFERROR(INDEX(UWS!$G$10:$Z$41,MATCH($C360,UWS!$B$10:$B$41,0),MATCH(AC$4,UWS!$G$3:$Z$3,0)),0)</f>
        <v>0</v>
      </c>
      <c r="AD360" s="47">
        <f>IFERROR(INDEX(UWS!$G$10:$Z$41,MATCH($C360,UWS!$B$10:$B$41,0),MATCH(AD$4,UWS!$G$3:$Z$3,0)),0)</f>
        <v>0</v>
      </c>
      <c r="AE360" s="47">
        <f>IFERROR(INDEX(UWS!$G$10:$Z$41,MATCH($C360,UWS!$B$10:$B$41,0),MATCH(AE$4,UWS!$G$3:$Z$3,0)),0)</f>
        <v>0</v>
      </c>
      <c r="AF360" s="47">
        <f>IFERROR(INDEX(UWS!$G$10:$Z$41,MATCH($C360,UWS!$B$10:$B$41,0),MATCH(AF$4,UWS!$G$3:$Z$3,0)),0)</f>
        <v>0</v>
      </c>
      <c r="AG360" s="47">
        <f>IFERROR(INDEX(UWS!$G$10:$Z$41,MATCH($C360,UWS!$B$10:$B$41,0),MATCH(AG$4,UWS!$G$3:$Z$3,0)),0)</f>
        <v>0</v>
      </c>
      <c r="AH360" s="47">
        <f>IFERROR(INDEX(UWS!$G$10:$Z$41,MATCH($C360,UWS!$B$10:$B$41,0),MATCH(AH$4,UWS!$G$3:$Z$3,0)),0)</f>
        <v>0</v>
      </c>
      <c r="AI360" s="47">
        <f>IFERROR(INDEX(UWS!$G$10:$Z$41,MATCH($C360,UWS!$B$10:$B$41,0),MATCH(AI$4,UWS!$G$3:$Z$3,0)),0)</f>
        <v>0</v>
      </c>
      <c r="AJ360" s="47"/>
      <c r="AK360" s="47" t="e">
        <f>IF(OR($J360=0,COUNTIFS($A$4:$A359,"&gt;="&amp;$A360-1,$A$4:$A359,"&lt;="&amp;$A360,$B$4:$B359,$B360)&gt;0,MIN(AK$1,IF($A360=$A359,AK359,1))-P360&lt;0),-1,MIN(1,IF($A360=$A359,AK359,1)-P360+$D$3))</f>
        <v>#N/A</v>
      </c>
      <c r="AL360" s="47" t="e">
        <f>IF(OR($J360=0,COUNTIFS($A$4:$A359,"&gt;="&amp;$A360-1,$A$4:$A359,"&lt;="&amp;$A360,$B$4:$B359,$B360)&gt;0,MIN(AL$1,IF($A360=$A359,AL359,1))-Q360&lt;0),-1,MIN(1,IF($A360=$A359,AL359,1)-Q360+$D$3))</f>
        <v>#N/A</v>
      </c>
      <c r="AM360" s="47" t="e">
        <f>IF(OR($J360=0,COUNTIFS($A$4:$A359,"&gt;="&amp;$A360-1,$A$4:$A359,"&lt;="&amp;$A360,$B$4:$B359,$B360)&gt;0,MIN(AM$1,IF($A360=$A359,AM359,1))-R360&lt;0),-1,MIN(1,IF($A360=$A359,AM359,1)-R360+$D$3))</f>
        <v>#N/A</v>
      </c>
      <c r="AN360" s="47" t="e">
        <f>IF(OR($J360=0,COUNTIFS($A$4:$A359,"&gt;="&amp;$A360-1,$A$4:$A359,"&lt;="&amp;$A360,$B$4:$B359,$B360)&gt;0,MIN(AN$1,IF($A360=$A359,AN359,1))-S360&lt;0),-1,MIN(1,IF($A360=$A359,AN359,1)-S360+$D$3))</f>
        <v>#N/A</v>
      </c>
      <c r="AO360" s="47" t="e">
        <f>IF(OR($J360=0,COUNTIFS($A$4:$A359,"&gt;="&amp;$A360-1,$A$4:$A359,"&lt;="&amp;$A360,$B$4:$B359,$B360)&gt;0,MIN(AO$1,IF($A360=$A359,AO359,1))-T360&lt;0),-1,MIN(1,IF($A360=$A359,AO359,1)-T360+$D$3))</f>
        <v>#N/A</v>
      </c>
      <c r="AP360" s="47" t="e">
        <f>IF(OR($J360=0,COUNTIFS($A$4:$A359,"&gt;="&amp;$A360-1,$A$4:$A359,"&lt;="&amp;$A360,$B$4:$B359,$B360)&gt;0,MIN(AP$1,IF($A360=$A359,AP359,1))-U360&lt;0),-1,MIN(1,IF($A360=$A359,AP359,1)-U360+$D$3))</f>
        <v>#N/A</v>
      </c>
      <c r="AQ360" s="47" t="e">
        <f>IF(OR($J360=0,COUNTIFS($A$4:$A359,"&gt;="&amp;$A360-1,$A$4:$A359,"&lt;="&amp;$A360,$B$4:$B359,$B360)&gt;0,MIN(AQ$1,IF($A360=$A359,AQ359,1))-V360&lt;0),-1,MIN(1,IF($A360=$A359,AQ359,1)-V360+$D$3))</f>
        <v>#N/A</v>
      </c>
      <c r="AR360" s="47" t="e">
        <f>IF(OR($J360=0,COUNTIFS($A$4:$A359,"&gt;="&amp;$A360-1,$A$4:$A359,"&lt;="&amp;$A360,$B$4:$B359,$B360)&gt;0,MIN(AR$1,IF($A360=$A359,AR359,1))-W360&lt;0),-1,MIN(1,IF($A360=$A359,AR359,1)-W360+$D$3))</f>
        <v>#N/A</v>
      </c>
      <c r="AS360" s="47" t="e">
        <f>IF(OR($J360=0,COUNTIFS($A$4:$A359,"&gt;="&amp;$A360-1,$A$4:$A359,"&lt;="&amp;$A360,$B$4:$B359,$B360)&gt;0,MIN(AS$1,IF($A360=$A359,AS359,1))-X360&lt;0),-1,MIN(1,IF($A360=$A359,AS359,1)-X360+$D$3))</f>
        <v>#N/A</v>
      </c>
      <c r="AT360" s="47" t="e">
        <f>IF(OR($J360=0,COUNTIFS($A$4:$A359,"&gt;="&amp;$A360-1,$A$4:$A359,"&lt;="&amp;$A360,$B$4:$B359,$B360)&gt;0,MIN(AT$1,IF($A360=$A359,AT359,1))-Y360&lt;0),-1,MIN(1,IF($A360=$A359,AT359,1)-Y360+$D$3))</f>
        <v>#N/A</v>
      </c>
      <c r="AU360" s="47" t="e">
        <f>IF(OR($J360=0,COUNTIFS($A$4:$A359,"&gt;="&amp;$A360-1,$A$4:$A359,"&lt;="&amp;$A360,$B$4:$B359,$B360)&gt;0,MIN(AU$1,IF($A360=$A359,AU359,1))-Z360&lt;0),-1,MIN(1,IF($A360=$A359,AU359,1)-Z360+$D$3))</f>
        <v>#N/A</v>
      </c>
      <c r="AV360" s="47" t="e">
        <f>IF(OR($J360=0,COUNTIFS($A$4:$A359,"&gt;="&amp;$A360-1,$A$4:$A359,"&lt;="&amp;$A360,$B$4:$B359,$B360)&gt;0,MIN(AV$1,IF($A360=$A359,AV359,1))-AA360&lt;0),-1,MIN(1,IF($A360=$A359,AV359,1)-AA360+$D$3))</f>
        <v>#N/A</v>
      </c>
      <c r="AW360" s="47" t="e">
        <f>IF(OR($J360=0,COUNTIFS($A$4:$A359,"&gt;="&amp;$A360-1,$A$4:$A359,"&lt;="&amp;$A360,$B$4:$B359,$B360)&gt;0,MIN(AW$1,IF($A360=$A359,AW359,1))-AB360&lt;0),-1,MIN(1,IF($A360=$A359,AW359,1)-AB360+$D$3))</f>
        <v>#N/A</v>
      </c>
      <c r="AX360" s="47" t="e">
        <f>IF(OR($J360=0,COUNTIFS($A$4:$A359,"&gt;="&amp;$A360-1,$A$4:$A359,"&lt;="&amp;$A360,$B$4:$B359,$B360)&gt;0,MIN(AX$1,IF($A360=$A359,AX359,1))-AC360&lt;0),-1,MIN(1,IF($A360=$A359,AX359,1)-AC360+$D$3))</f>
        <v>#N/A</v>
      </c>
      <c r="AY360" s="47" t="e">
        <f>IF(OR($J360=0,COUNTIFS($A$4:$A359,"&gt;="&amp;$A360-1,$A$4:$A359,"&lt;="&amp;$A360,$B$4:$B359,$B360)&gt;0,MIN(AY$1,IF($A360=$A359,AY359,1))-AD360&lt;0),-1,MIN(1,IF($A360=$A359,AY359,1)-AD360+$D$3))</f>
        <v>#N/A</v>
      </c>
      <c r="AZ360" s="47" t="e">
        <f>IF(OR($J360=0,COUNTIFS($A$4:$A359,"&gt;="&amp;$A360-1,$A$4:$A359,"&lt;="&amp;$A360,$B$4:$B359,$B360)&gt;0,MIN(AZ$1,IF($A360=$A359,AZ359,1))-AE360&lt;0),-1,MIN(1,IF($A360=$A359,AZ359,1)-AE360+$D$3))</f>
        <v>#N/A</v>
      </c>
      <c r="BA360" s="47" t="e">
        <f>IF(OR($J360=0,COUNTIFS($A$4:$A359,"&gt;="&amp;$A360-1,$A$4:$A359,"&lt;="&amp;$A360,$B$4:$B359,$B360)&gt;0,MIN(BA$1,IF($A360=$A359,BA359,1))-AF360&lt;0),-1,MIN(1,IF($A360=$A359,BA359,1)-AF360+$D$3))</f>
        <v>#N/A</v>
      </c>
      <c r="BB360" s="47" t="e">
        <f>IF(OR($J360=0,COUNTIFS($A$4:$A359,"&gt;="&amp;$A360-1,$A$4:$A359,"&lt;="&amp;$A360,$B$4:$B359,$B360)&gt;0,MIN(BB$1,IF($A360=$A359,BB359,1))-AG360&lt;0),-1,MIN(1,IF($A360=$A359,BB359,1)-AG360+$D$3))</f>
        <v>#N/A</v>
      </c>
      <c r="BC360" s="47" t="e">
        <f>IF(OR($J360=0,COUNTIFS($A$4:$A359,"&gt;="&amp;$A360-1,$A$4:$A359,"&lt;="&amp;$A360,$B$4:$B359,$B360)&gt;0,MIN(BC$1,IF($A360=$A359,BC359,1))-AH360&lt;0),-1,MIN(1,IF($A360=$A359,BC359,1)-AH360+$D$3))</f>
        <v>#N/A</v>
      </c>
      <c r="BD360" s="47" t="e">
        <f>IF(OR($J360=0,COUNTIFS($A$4:$A359,"&gt;="&amp;$A360-1,$A$4:$A359,"&lt;="&amp;$A360,$B$4:$B359,$B360)&gt;0,MIN(BD$1,IF($A360=$A359,BD359,1))-AI360&lt;0),-1,MIN(1,IF($A360=$A359,BD359,1)-AI360+$D$3))</f>
        <v>#N/A</v>
      </c>
      <c r="BE360" s="47"/>
      <c r="BF360" s="53">
        <f t="shared" si="355"/>
        <v>2.4883380272976611E-8</v>
      </c>
      <c r="BG360" s="53">
        <f t="shared" si="356"/>
        <v>6.1195253714882789E-8</v>
      </c>
      <c r="BH360" s="53">
        <f t="shared" si="357"/>
        <v>6.2718697947487104E-8</v>
      </c>
      <c r="BI360" s="53">
        <f t="shared" si="358"/>
        <v>5.7934663792055927E-8</v>
      </c>
      <c r="BJ360" s="53">
        <f t="shared" si="359"/>
        <v>5.9880975112002367E-8</v>
      </c>
      <c r="BK360" s="53">
        <f t="shared" si="360"/>
        <v>2.5715123371633418E-8</v>
      </c>
      <c r="BL360" s="53">
        <f t="shared" si="361"/>
        <v>1.3891714205816538E-8</v>
      </c>
      <c r="BM360" s="53">
        <f t="shared" si="362"/>
        <v>3.5338898734174188E-8</v>
      </c>
      <c r="BN360" s="53">
        <f t="shared" si="363"/>
        <v>3.6755208834082522E-8</v>
      </c>
      <c r="BO360" s="53">
        <f t="shared" si="364"/>
        <v>1.7224885559747499E-8</v>
      </c>
      <c r="BP360" s="53">
        <f t="shared" si="365"/>
        <v>5.7918293920782889E-8</v>
      </c>
      <c r="BQ360" s="53">
        <f t="shared" si="366"/>
        <v>1.5629749983525273E-8</v>
      </c>
      <c r="BR360" s="53">
        <f t="shared" si="367"/>
        <v>4.6174193986922343E-8</v>
      </c>
      <c r="BS360" s="53">
        <f t="shared" si="368"/>
        <v>2.4902355553957901E-8</v>
      </c>
      <c r="BT360" s="53">
        <f t="shared" si="369"/>
        <v>9.8546255402718109E-8</v>
      </c>
      <c r="BU360" s="53">
        <f t="shared" si="370"/>
        <v>9.4141327611209225E-8</v>
      </c>
      <c r="BV360" s="53">
        <f t="shared" si="371"/>
        <v>9.04102164403275E-8</v>
      </c>
      <c r="BW360" s="53">
        <f t="shared" si="372"/>
        <v>5.9133256863905936E-8</v>
      </c>
      <c r="BX360" s="53">
        <f t="shared" si="373"/>
        <v>4.3686576355322781E-8</v>
      </c>
      <c r="BY360" s="53">
        <f t="shared" si="374"/>
        <v>3.7509947002852121E-8</v>
      </c>
      <c r="BZ360" s="47"/>
      <c r="CA360" s="53" t="str">
        <f t="shared" si="375"/>
        <v/>
      </c>
      <c r="CB360" s="53" t="str">
        <f t="shared" si="376"/>
        <v/>
      </c>
      <c r="CC360" s="53" t="str">
        <f t="shared" si="377"/>
        <v/>
      </c>
      <c r="CD360" s="53" t="str">
        <f t="shared" si="378"/>
        <v/>
      </c>
      <c r="CE360" s="53" t="str">
        <f t="shared" si="379"/>
        <v/>
      </c>
      <c r="CF360" s="53" t="str">
        <f t="shared" si="380"/>
        <v/>
      </c>
      <c r="CG360" s="53" t="str">
        <f t="shared" si="381"/>
        <v/>
      </c>
      <c r="CH360" s="53" t="str">
        <f t="shared" si="382"/>
        <v/>
      </c>
      <c r="CI360" s="53" t="str">
        <f t="shared" si="383"/>
        <v/>
      </c>
      <c r="CJ360" s="53" t="str">
        <f t="shared" si="384"/>
        <v/>
      </c>
      <c r="CK360" s="53" t="str">
        <f t="shared" si="385"/>
        <v/>
      </c>
      <c r="CL360" s="53" t="str">
        <f t="shared" si="386"/>
        <v/>
      </c>
      <c r="CM360" s="53" t="str">
        <f t="shared" si="387"/>
        <v/>
      </c>
      <c r="CN360" s="53" t="str">
        <f t="shared" si="388"/>
        <v/>
      </c>
      <c r="CO360" s="53" t="str">
        <f t="shared" si="389"/>
        <v/>
      </c>
      <c r="CP360" s="53" t="str">
        <f t="shared" si="390"/>
        <v/>
      </c>
      <c r="CQ360" s="53" t="str">
        <f t="shared" si="391"/>
        <v/>
      </c>
      <c r="CR360" s="53" t="str">
        <f t="shared" si="392"/>
        <v/>
      </c>
      <c r="CS360" s="53" t="str">
        <f t="shared" si="393"/>
        <v/>
      </c>
      <c r="CT360" s="53" t="str">
        <f t="shared" si="394"/>
        <v/>
      </c>
      <c r="CU360" s="47"/>
      <c r="CV360" s="53">
        <f t="shared" si="395"/>
        <v>0</v>
      </c>
    </row>
    <row r="361" spans="1:100" x14ac:dyDescent="0.25">
      <c r="A361" s="41"/>
      <c r="B361" s="42"/>
      <c r="C361" s="43" t="str" cm="1">
        <f t="array" ref="C361">IF(B361="","",INDEX(UWS!$B$10:$B$41,B361))</f>
        <v/>
      </c>
      <c r="D361" s="40" t="str">
        <f t="shared" si="352"/>
        <v/>
      </c>
      <c r="E361" s="69" t="str">
        <f t="shared" si="353"/>
        <v/>
      </c>
      <c r="F361" s="48" cm="1">
        <f t="array" ref="F361">0.1+IFERROR(INDEX($F$5:$F360,SUMPRODUCT(MAX(ROW($C$5:$C360)*($C361=$C$5:$C360))-ROW($A$4)))*0.9^($A361-INDEX($A$5:A360,SUMPRODUCT(MAX(ROW($C$5:$C360)*($C361=$C$5:$C360))-ROW($A$4)))),0)</f>
        <v>29.600000000000151</v>
      </c>
      <c r="G361" s="55" t="e">
        <f>INDEX(UWS!$AB$10:$AB$41,MATCH(C361,UWS!$B$10:$B$41,0))</f>
        <v>#N/A</v>
      </c>
      <c r="H361" s="48" t="e">
        <f>INDEX(UWS!$C$10:$C$41,MATCH(C361,UWS!$B$10:$B$41,0))</f>
        <v>#N/A</v>
      </c>
      <c r="I361" s="82">
        <f t="shared" si="354"/>
        <v>5</v>
      </c>
      <c r="J361" s="27" t="e">
        <f>INDEX(UWS!$E$10:$E$41,MATCH(C361,UWS!$B$10:$B$41,0))</f>
        <v>#N/A</v>
      </c>
      <c r="L361" s="108" t="str" cm="1">
        <f t="array" ref="L361">IF(K361="","",INDEX(UWS!$B$10:$B$41,K361))</f>
        <v/>
      </c>
      <c r="N361" s="108" t="str" cm="1">
        <f t="array" ref="N361">IF(M361="","",INDEX(UWS!$B$10:$B$41,M361))</f>
        <v/>
      </c>
      <c r="P361">
        <f>IFERROR(INDEX(UWS!$G$10:$Z$41,MATCH($C361,UWS!$B$10:$B$41,0),MATCH(P$4,UWS!$G$3:$Z$3,0)),0)</f>
        <v>0</v>
      </c>
      <c r="Q361">
        <f>IFERROR(INDEX(UWS!$G$10:$Z$41,MATCH($C361,UWS!$B$10:$B$41,0),MATCH(Q$4,UWS!$G$3:$Z$3,0)),0)</f>
        <v>0</v>
      </c>
      <c r="R361">
        <f>IFERROR(INDEX(UWS!$G$10:$Z$41,MATCH($C361,UWS!$B$10:$B$41,0),MATCH(R$4,UWS!$G$3:$Z$3,0)),0)</f>
        <v>0</v>
      </c>
      <c r="S361">
        <f>IFERROR(INDEX(UWS!$G$10:$Z$41,MATCH($C361,UWS!$B$10:$B$41,0),MATCH(S$4,UWS!$G$3:$Z$3,0)),0)</f>
        <v>0</v>
      </c>
      <c r="T361">
        <f>IFERROR(INDEX(UWS!$G$10:$Z$41,MATCH($C361,UWS!$B$10:$B$41,0),MATCH(T$4,UWS!$G$3:$Z$3,0)),0)</f>
        <v>0</v>
      </c>
      <c r="U361">
        <f>IFERROR(INDEX(UWS!$G$10:$Z$41,MATCH($C361,UWS!$B$10:$B$41,0),MATCH(U$4,UWS!$G$3:$Z$3,0)),0)</f>
        <v>0</v>
      </c>
      <c r="V361">
        <f>IFERROR(INDEX(UWS!$G$10:$Z$41,MATCH($C361,UWS!$B$10:$B$41,0),MATCH(V$4,UWS!$G$3:$Z$3,0)),0)</f>
        <v>0</v>
      </c>
      <c r="W361">
        <f>IFERROR(INDEX(UWS!$G$10:$Z$41,MATCH($C361,UWS!$B$10:$B$41,0),MATCH(W$4,UWS!$G$3:$Z$3,0)),0)</f>
        <v>0</v>
      </c>
      <c r="X361">
        <f>IFERROR(INDEX(UWS!$G$10:$Z$41,MATCH($C361,UWS!$B$10:$B$41,0),MATCH(X$4,UWS!$G$3:$Z$3,0)),0)</f>
        <v>0</v>
      </c>
      <c r="Y361">
        <f>IFERROR(INDEX(UWS!$G$10:$Z$41,MATCH($C361,UWS!$B$10:$B$41,0),MATCH(Y$4,UWS!$G$3:$Z$3,0)),0)</f>
        <v>0</v>
      </c>
      <c r="Z361">
        <f>IFERROR(INDEX(UWS!$G$10:$Z$41,MATCH($C361,UWS!$B$10:$B$41,0),MATCH(Z$4,UWS!$G$3:$Z$3,0)),0)</f>
        <v>0</v>
      </c>
      <c r="AA361">
        <f>IFERROR(INDEX(UWS!$G$10:$Z$41,MATCH($C361,UWS!$B$10:$B$41,0),MATCH(AA$4,UWS!$G$3:$Z$3,0)),0)</f>
        <v>0</v>
      </c>
      <c r="AB361">
        <f>IFERROR(INDEX(UWS!$G$10:$Z$41,MATCH($C361,UWS!$B$10:$B$41,0),MATCH(AB$4,UWS!$G$3:$Z$3,0)),0)</f>
        <v>0</v>
      </c>
      <c r="AC361">
        <f>IFERROR(INDEX(UWS!$G$10:$Z$41,MATCH($C361,UWS!$B$10:$B$41,0),MATCH(AC$4,UWS!$G$3:$Z$3,0)),0)</f>
        <v>0</v>
      </c>
      <c r="AD361">
        <f>IFERROR(INDEX(UWS!$G$10:$Z$41,MATCH($C361,UWS!$B$10:$B$41,0),MATCH(AD$4,UWS!$G$3:$Z$3,0)),0)</f>
        <v>0</v>
      </c>
      <c r="AE361">
        <f>IFERROR(INDEX(UWS!$G$10:$Z$41,MATCH($C361,UWS!$B$10:$B$41,0),MATCH(AE$4,UWS!$G$3:$Z$3,0)),0)</f>
        <v>0</v>
      </c>
      <c r="AF361">
        <f>IFERROR(INDEX(UWS!$G$10:$Z$41,MATCH($C361,UWS!$B$10:$B$41,0),MATCH(AF$4,UWS!$G$3:$Z$3,0)),0)</f>
        <v>0</v>
      </c>
      <c r="AG361">
        <f>IFERROR(INDEX(UWS!$G$10:$Z$41,MATCH($C361,UWS!$B$10:$B$41,0),MATCH(AG$4,UWS!$G$3:$Z$3,0)),0)</f>
        <v>0</v>
      </c>
      <c r="AH361">
        <f>IFERROR(INDEX(UWS!$G$10:$Z$41,MATCH($C361,UWS!$B$10:$B$41,0),MATCH(AH$4,UWS!$G$3:$Z$3,0)),0)</f>
        <v>0</v>
      </c>
      <c r="AI361">
        <f>IFERROR(INDEX(UWS!$G$10:$Z$41,MATCH($C361,UWS!$B$10:$B$41,0),MATCH(AI$4,UWS!$G$3:$Z$3,0)),0)</f>
        <v>0</v>
      </c>
      <c r="AK361" t="e">
        <f>IF(OR($J361=0,COUNTIFS($A$4:$A360,"&gt;="&amp;$A361-1,$A$4:$A360,"&lt;="&amp;$A361,$B$4:$B360,$B361)&gt;0,MIN(AK$1,IF($A361=$A360,AK360,1))-P361&lt;0),-1,MIN(1,IF($A361=$A360,AK360,1)-P361+$D$3))</f>
        <v>#N/A</v>
      </c>
      <c r="AL361" t="e">
        <f>IF(OR($J361=0,COUNTIFS($A$4:$A360,"&gt;="&amp;$A361-1,$A$4:$A360,"&lt;="&amp;$A361,$B$4:$B360,$B361)&gt;0,MIN(AL$1,IF($A361=$A360,AL360,1))-Q361&lt;0),-1,MIN(1,IF($A361=$A360,AL360,1)-Q361+$D$3))</f>
        <v>#N/A</v>
      </c>
      <c r="AM361" t="e">
        <f>IF(OR($J361=0,COUNTIFS($A$4:$A360,"&gt;="&amp;$A361-1,$A$4:$A360,"&lt;="&amp;$A361,$B$4:$B360,$B361)&gt;0,MIN(AM$1,IF($A361=$A360,AM360,1))-R361&lt;0),-1,MIN(1,IF($A361=$A360,AM360,1)-R361+$D$3))</f>
        <v>#N/A</v>
      </c>
      <c r="AN361" t="e">
        <f>IF(OR($J361=0,COUNTIFS($A$4:$A360,"&gt;="&amp;$A361-1,$A$4:$A360,"&lt;="&amp;$A361,$B$4:$B360,$B361)&gt;0,MIN(AN$1,IF($A361=$A360,AN360,1))-S361&lt;0),-1,MIN(1,IF($A361=$A360,AN360,1)-S361+$D$3))</f>
        <v>#N/A</v>
      </c>
      <c r="AO361" t="e">
        <f>IF(OR($J361=0,COUNTIFS($A$4:$A360,"&gt;="&amp;$A361-1,$A$4:$A360,"&lt;="&amp;$A361,$B$4:$B360,$B361)&gt;0,MIN(AO$1,IF($A361=$A360,AO360,1))-T361&lt;0),-1,MIN(1,IF($A361=$A360,AO360,1)-T361+$D$3))</f>
        <v>#N/A</v>
      </c>
      <c r="AP361" t="e">
        <f>IF(OR($J361=0,COUNTIFS($A$4:$A360,"&gt;="&amp;$A361-1,$A$4:$A360,"&lt;="&amp;$A361,$B$4:$B360,$B361)&gt;0,MIN(AP$1,IF($A361=$A360,AP360,1))-U361&lt;0),-1,MIN(1,IF($A361=$A360,AP360,1)-U361+$D$3))</f>
        <v>#N/A</v>
      </c>
      <c r="AQ361" t="e">
        <f>IF(OR($J361=0,COUNTIFS($A$4:$A360,"&gt;="&amp;$A361-1,$A$4:$A360,"&lt;="&amp;$A361,$B$4:$B360,$B361)&gt;0,MIN(AQ$1,IF($A361=$A360,AQ360,1))-V361&lt;0),-1,MIN(1,IF($A361=$A360,AQ360,1)-V361+$D$3))</f>
        <v>#N/A</v>
      </c>
      <c r="AR361" t="e">
        <f>IF(OR($J361=0,COUNTIFS($A$4:$A360,"&gt;="&amp;$A361-1,$A$4:$A360,"&lt;="&amp;$A361,$B$4:$B360,$B361)&gt;0,MIN(AR$1,IF($A361=$A360,AR360,1))-W361&lt;0),-1,MIN(1,IF($A361=$A360,AR360,1)-W361+$D$3))</f>
        <v>#N/A</v>
      </c>
      <c r="AS361" t="e">
        <f>IF(OR($J361=0,COUNTIFS($A$4:$A360,"&gt;="&amp;$A361-1,$A$4:$A360,"&lt;="&amp;$A361,$B$4:$B360,$B361)&gt;0,MIN(AS$1,IF($A361=$A360,AS360,1))-X361&lt;0),-1,MIN(1,IF($A361=$A360,AS360,1)-X361+$D$3))</f>
        <v>#N/A</v>
      </c>
      <c r="AT361" t="e">
        <f>IF(OR($J361=0,COUNTIFS($A$4:$A360,"&gt;="&amp;$A361-1,$A$4:$A360,"&lt;="&amp;$A361,$B$4:$B360,$B361)&gt;0,MIN(AT$1,IF($A361=$A360,AT360,1))-Y361&lt;0),-1,MIN(1,IF($A361=$A360,AT360,1)-Y361+$D$3))</f>
        <v>#N/A</v>
      </c>
      <c r="AU361" t="e">
        <f>IF(OR($J361=0,COUNTIFS($A$4:$A360,"&gt;="&amp;$A361-1,$A$4:$A360,"&lt;="&amp;$A361,$B$4:$B360,$B361)&gt;0,MIN(AU$1,IF($A361=$A360,AU360,1))-Z361&lt;0),-1,MIN(1,IF($A361=$A360,AU360,1)-Z361+$D$3))</f>
        <v>#N/A</v>
      </c>
      <c r="AV361" t="e">
        <f>IF(OR($J361=0,COUNTIFS($A$4:$A360,"&gt;="&amp;$A361-1,$A$4:$A360,"&lt;="&amp;$A361,$B$4:$B360,$B361)&gt;0,MIN(AV$1,IF($A361=$A360,AV360,1))-AA361&lt;0),-1,MIN(1,IF($A361=$A360,AV360,1)-AA361+$D$3))</f>
        <v>#N/A</v>
      </c>
      <c r="AW361" t="e">
        <f>IF(OR($J361=0,COUNTIFS($A$4:$A360,"&gt;="&amp;$A361-1,$A$4:$A360,"&lt;="&amp;$A361,$B$4:$B360,$B361)&gt;0,MIN(AW$1,IF($A361=$A360,AW360,1))-AB361&lt;0),-1,MIN(1,IF($A361=$A360,AW360,1)-AB361+$D$3))</f>
        <v>#N/A</v>
      </c>
      <c r="AX361" t="e">
        <f>IF(OR($J361=0,COUNTIFS($A$4:$A360,"&gt;="&amp;$A361-1,$A$4:$A360,"&lt;="&amp;$A361,$B$4:$B360,$B361)&gt;0,MIN(AX$1,IF($A361=$A360,AX360,1))-AC361&lt;0),-1,MIN(1,IF($A361=$A360,AX360,1)-AC361+$D$3))</f>
        <v>#N/A</v>
      </c>
      <c r="AY361" t="e">
        <f>IF(OR($J361=0,COUNTIFS($A$4:$A360,"&gt;="&amp;$A361-1,$A$4:$A360,"&lt;="&amp;$A361,$B$4:$B360,$B361)&gt;0,MIN(AY$1,IF($A361=$A360,AY360,1))-AD361&lt;0),-1,MIN(1,IF($A361=$A360,AY360,1)-AD361+$D$3))</f>
        <v>#N/A</v>
      </c>
      <c r="AZ361" t="e">
        <f>IF(OR($J361=0,COUNTIFS($A$4:$A360,"&gt;="&amp;$A361-1,$A$4:$A360,"&lt;="&amp;$A361,$B$4:$B360,$B361)&gt;0,MIN(AZ$1,IF($A361=$A360,AZ360,1))-AE361&lt;0),-1,MIN(1,IF($A361=$A360,AZ360,1)-AE361+$D$3))</f>
        <v>#N/A</v>
      </c>
      <c r="BA361" t="e">
        <f>IF(OR($J361=0,COUNTIFS($A$4:$A360,"&gt;="&amp;$A361-1,$A$4:$A360,"&lt;="&amp;$A361,$B$4:$B360,$B361)&gt;0,MIN(BA$1,IF($A361=$A360,BA360,1))-AF361&lt;0),-1,MIN(1,IF($A361=$A360,BA360,1)-AF361+$D$3))</f>
        <v>#N/A</v>
      </c>
      <c r="BB361" t="e">
        <f>IF(OR($J361=0,COUNTIFS($A$4:$A360,"&gt;="&amp;$A361-1,$A$4:$A360,"&lt;="&amp;$A361,$B$4:$B360,$B361)&gt;0,MIN(BB$1,IF($A361=$A360,BB360,1))-AG361&lt;0),-1,MIN(1,IF($A361=$A360,BB360,1)-AG361+$D$3))</f>
        <v>#N/A</v>
      </c>
      <c r="BC361" t="e">
        <f>IF(OR($J361=0,COUNTIFS($A$4:$A360,"&gt;="&amp;$A361-1,$A$4:$A360,"&lt;="&amp;$A361,$B$4:$B360,$B361)&gt;0,MIN(BC$1,IF($A361=$A360,BC360,1))-AH361&lt;0),-1,MIN(1,IF($A361=$A360,BC360,1)-AH361+$D$3))</f>
        <v>#N/A</v>
      </c>
      <c r="BD361" t="e">
        <f>IF(OR($J361=0,COUNTIFS($A$4:$A360,"&gt;="&amp;$A361-1,$A$4:$A360,"&lt;="&amp;$A361,$B$4:$B360,$B361)&gt;0,MIN(BD$1,IF($A361=$A360,BD360,1))-AI361&lt;0),-1,MIN(1,IF($A361=$A360,BD360,1)-AI361+$D$3))</f>
        <v>#N/A</v>
      </c>
      <c r="BF361" s="44">
        <f t="shared" si="355"/>
        <v>2.3639211259327778E-8</v>
      </c>
      <c r="BG361" s="44">
        <f t="shared" si="356"/>
        <v>5.8135491029138647E-8</v>
      </c>
      <c r="BH361" s="44">
        <f t="shared" si="357"/>
        <v>5.9582763050112744E-8</v>
      </c>
      <c r="BI361" s="44">
        <f t="shared" si="358"/>
        <v>5.5037930602453127E-8</v>
      </c>
      <c r="BJ361" s="44">
        <f t="shared" si="359"/>
        <v>5.6886926356402243E-8</v>
      </c>
      <c r="BK361" s="44">
        <f t="shared" si="360"/>
        <v>2.4429367203051745E-8</v>
      </c>
      <c r="BL361" s="44">
        <f t="shared" si="361"/>
        <v>1.3197128495525711E-8</v>
      </c>
      <c r="BM361" s="44">
        <f t="shared" si="362"/>
        <v>3.3571953797465479E-8</v>
      </c>
      <c r="BN361" s="44">
        <f t="shared" si="363"/>
        <v>3.4917448392378396E-8</v>
      </c>
      <c r="BO361" s="44">
        <f t="shared" si="364"/>
        <v>1.6363641281760125E-8</v>
      </c>
      <c r="BP361" s="44">
        <f t="shared" si="365"/>
        <v>5.5022379224743741E-8</v>
      </c>
      <c r="BQ361" s="44">
        <f t="shared" si="366"/>
        <v>1.4848262484349009E-8</v>
      </c>
      <c r="BR361" s="44">
        <f t="shared" si="367"/>
        <v>4.3865484287576227E-8</v>
      </c>
      <c r="BS361" s="44">
        <f t="shared" si="368"/>
        <v>2.3657237776260003E-8</v>
      </c>
      <c r="BT361" s="44">
        <f t="shared" si="369"/>
        <v>9.3618942632582205E-8</v>
      </c>
      <c r="BU361" s="44">
        <f t="shared" si="370"/>
        <v>8.9434261230648765E-8</v>
      </c>
      <c r="BV361" s="44">
        <f t="shared" si="371"/>
        <v>8.5889705618311114E-8</v>
      </c>
      <c r="BW361" s="44">
        <f t="shared" si="372"/>
        <v>5.6176594020710634E-8</v>
      </c>
      <c r="BX361" s="44">
        <f t="shared" si="373"/>
        <v>4.1502247537556641E-8</v>
      </c>
      <c r="BY361" s="44">
        <f t="shared" si="374"/>
        <v>3.5634449652709515E-8</v>
      </c>
      <c r="CA361" s="44" t="str">
        <f t="shared" si="375"/>
        <v/>
      </c>
      <c r="CB361" s="44" t="str">
        <f t="shared" si="376"/>
        <v/>
      </c>
      <c r="CC361" s="44" t="str">
        <f t="shared" si="377"/>
        <v/>
      </c>
      <c r="CD361" s="44" t="str">
        <f t="shared" si="378"/>
        <v/>
      </c>
      <c r="CE361" s="44" t="str">
        <f t="shared" si="379"/>
        <v/>
      </c>
      <c r="CF361" s="44" t="str">
        <f t="shared" si="380"/>
        <v/>
      </c>
      <c r="CG361" s="44" t="str">
        <f t="shared" si="381"/>
        <v/>
      </c>
      <c r="CH361" s="44" t="str">
        <f t="shared" si="382"/>
        <v/>
      </c>
      <c r="CI361" s="44" t="str">
        <f t="shared" si="383"/>
        <v/>
      </c>
      <c r="CJ361" s="44" t="str">
        <f t="shared" si="384"/>
        <v/>
      </c>
      <c r="CK361" s="44" t="str">
        <f t="shared" si="385"/>
        <v/>
      </c>
      <c r="CL361" s="44" t="str">
        <f t="shared" si="386"/>
        <v/>
      </c>
      <c r="CM361" s="44" t="str">
        <f t="shared" si="387"/>
        <v/>
      </c>
      <c r="CN361" s="44" t="str">
        <f t="shared" si="388"/>
        <v/>
      </c>
      <c r="CO361" s="44" t="str">
        <f t="shared" si="389"/>
        <v/>
      </c>
      <c r="CP361" s="44" t="str">
        <f t="shared" si="390"/>
        <v/>
      </c>
      <c r="CQ361" s="44" t="str">
        <f t="shared" si="391"/>
        <v/>
      </c>
      <c r="CR361" s="44" t="str">
        <f t="shared" si="392"/>
        <v/>
      </c>
      <c r="CS361" s="44" t="str">
        <f t="shared" si="393"/>
        <v/>
      </c>
      <c r="CT361" s="44" t="str">
        <f t="shared" si="394"/>
        <v/>
      </c>
      <c r="CV361" s="44">
        <f t="shared" si="395"/>
        <v>0</v>
      </c>
    </row>
    <row r="362" spans="1:100" x14ac:dyDescent="0.25">
      <c r="A362" s="41"/>
      <c r="B362" s="42"/>
      <c r="C362" s="43" t="str" cm="1">
        <f t="array" ref="C362">IF(B362="","",INDEX(UWS!$B$10:$B$41,B362))</f>
        <v/>
      </c>
      <c r="D362" s="40" t="str">
        <f t="shared" si="352"/>
        <v/>
      </c>
      <c r="E362" s="69" t="str">
        <f t="shared" si="353"/>
        <v/>
      </c>
      <c r="F362" s="48" cm="1">
        <f t="array" ref="F362">0.1+IFERROR(INDEX($F$5:$F361,SUMPRODUCT(MAX(ROW($C$5:$C361)*($C362=$C$5:$C361))-ROW($A$4)))*0.9^($A362-INDEX($A$5:A361,SUMPRODUCT(MAX(ROW($C$5:$C361)*($C362=$C$5:$C361))-ROW($A$4)))),0)</f>
        <v>29.700000000000152</v>
      </c>
      <c r="G362" s="55" t="e">
        <f>INDEX(UWS!$AB$10:$AB$41,MATCH(C362,UWS!$B$10:$B$41,0))</f>
        <v>#N/A</v>
      </c>
      <c r="H362" s="48" t="e">
        <f>INDEX(UWS!$C$10:$C$41,MATCH(C362,UWS!$B$10:$B$41,0))</f>
        <v>#N/A</v>
      </c>
      <c r="I362" s="27">
        <f t="shared" si="354"/>
        <v>5</v>
      </c>
      <c r="J362" s="27" t="e">
        <f>INDEX(UWS!$E$10:$E$41,MATCH(C362,UWS!$B$10:$B$41,0))</f>
        <v>#N/A</v>
      </c>
      <c r="L362" s="108" t="str" cm="1">
        <f t="array" ref="L362">IF(K362="","",INDEX(UWS!$B$10:$B$41,K362))</f>
        <v/>
      </c>
      <c r="N362" s="108" t="str" cm="1">
        <f t="array" ref="N362">IF(M362="","",INDEX(UWS!$B$10:$B$41,M362))</f>
        <v/>
      </c>
      <c r="P362">
        <f>IFERROR(INDEX(UWS!$G$10:$Z$41,MATCH($C362,UWS!$B$10:$B$41,0),MATCH(P$4,UWS!$G$3:$Z$3,0)),0)</f>
        <v>0</v>
      </c>
      <c r="Q362">
        <f>IFERROR(INDEX(UWS!$G$10:$Z$41,MATCH($C362,UWS!$B$10:$B$41,0),MATCH(Q$4,UWS!$G$3:$Z$3,0)),0)</f>
        <v>0</v>
      </c>
      <c r="R362">
        <f>IFERROR(INDEX(UWS!$G$10:$Z$41,MATCH($C362,UWS!$B$10:$B$41,0),MATCH(R$4,UWS!$G$3:$Z$3,0)),0)</f>
        <v>0</v>
      </c>
      <c r="S362">
        <f>IFERROR(INDEX(UWS!$G$10:$Z$41,MATCH($C362,UWS!$B$10:$B$41,0),MATCH(S$4,UWS!$G$3:$Z$3,0)),0)</f>
        <v>0</v>
      </c>
      <c r="T362">
        <f>IFERROR(INDEX(UWS!$G$10:$Z$41,MATCH($C362,UWS!$B$10:$B$41,0),MATCH(T$4,UWS!$G$3:$Z$3,0)),0)</f>
        <v>0</v>
      </c>
      <c r="U362">
        <f>IFERROR(INDEX(UWS!$G$10:$Z$41,MATCH($C362,UWS!$B$10:$B$41,0),MATCH(U$4,UWS!$G$3:$Z$3,0)),0)</f>
        <v>0</v>
      </c>
      <c r="V362">
        <f>IFERROR(INDEX(UWS!$G$10:$Z$41,MATCH($C362,UWS!$B$10:$B$41,0),MATCH(V$4,UWS!$G$3:$Z$3,0)),0)</f>
        <v>0</v>
      </c>
      <c r="W362">
        <f>IFERROR(INDEX(UWS!$G$10:$Z$41,MATCH($C362,UWS!$B$10:$B$41,0),MATCH(W$4,UWS!$G$3:$Z$3,0)),0)</f>
        <v>0</v>
      </c>
      <c r="X362">
        <f>IFERROR(INDEX(UWS!$G$10:$Z$41,MATCH($C362,UWS!$B$10:$B$41,0),MATCH(X$4,UWS!$G$3:$Z$3,0)),0)</f>
        <v>0</v>
      </c>
      <c r="Y362">
        <f>IFERROR(INDEX(UWS!$G$10:$Z$41,MATCH($C362,UWS!$B$10:$B$41,0),MATCH(Y$4,UWS!$G$3:$Z$3,0)),0)</f>
        <v>0</v>
      </c>
      <c r="Z362">
        <f>IFERROR(INDEX(UWS!$G$10:$Z$41,MATCH($C362,UWS!$B$10:$B$41,0),MATCH(Z$4,UWS!$G$3:$Z$3,0)),0)</f>
        <v>0</v>
      </c>
      <c r="AA362">
        <f>IFERROR(INDEX(UWS!$G$10:$Z$41,MATCH($C362,UWS!$B$10:$B$41,0),MATCH(AA$4,UWS!$G$3:$Z$3,0)),0)</f>
        <v>0</v>
      </c>
      <c r="AB362">
        <f>IFERROR(INDEX(UWS!$G$10:$Z$41,MATCH($C362,UWS!$B$10:$B$41,0),MATCH(AB$4,UWS!$G$3:$Z$3,0)),0)</f>
        <v>0</v>
      </c>
      <c r="AC362">
        <f>IFERROR(INDEX(UWS!$G$10:$Z$41,MATCH($C362,UWS!$B$10:$B$41,0),MATCH(AC$4,UWS!$G$3:$Z$3,0)),0)</f>
        <v>0</v>
      </c>
      <c r="AD362">
        <f>IFERROR(INDEX(UWS!$G$10:$Z$41,MATCH($C362,UWS!$B$10:$B$41,0),MATCH(AD$4,UWS!$G$3:$Z$3,0)),0)</f>
        <v>0</v>
      </c>
      <c r="AE362">
        <f>IFERROR(INDEX(UWS!$G$10:$Z$41,MATCH($C362,UWS!$B$10:$B$41,0),MATCH(AE$4,UWS!$G$3:$Z$3,0)),0)</f>
        <v>0</v>
      </c>
      <c r="AF362">
        <f>IFERROR(INDEX(UWS!$G$10:$Z$41,MATCH($C362,UWS!$B$10:$B$41,0),MATCH(AF$4,UWS!$G$3:$Z$3,0)),0)</f>
        <v>0</v>
      </c>
      <c r="AG362">
        <f>IFERROR(INDEX(UWS!$G$10:$Z$41,MATCH($C362,UWS!$B$10:$B$41,0),MATCH(AG$4,UWS!$G$3:$Z$3,0)),0)</f>
        <v>0</v>
      </c>
      <c r="AH362">
        <f>IFERROR(INDEX(UWS!$G$10:$Z$41,MATCH($C362,UWS!$B$10:$B$41,0),MATCH(AH$4,UWS!$G$3:$Z$3,0)),0)</f>
        <v>0</v>
      </c>
      <c r="AI362">
        <f>IFERROR(INDEX(UWS!$G$10:$Z$41,MATCH($C362,UWS!$B$10:$B$41,0),MATCH(AI$4,UWS!$G$3:$Z$3,0)),0)</f>
        <v>0</v>
      </c>
      <c r="AK362" t="e">
        <f>IF(OR($J362=0,COUNTIFS($A$4:$A361,"&gt;="&amp;$A362-1,$A$4:$A361,"&lt;="&amp;$A362,$B$4:$B361,$B362)&gt;0,MIN(AK$1,IF($A362=$A361,AK361,1))-P362&lt;0),-1,MIN(1,IF($A362=$A361,AK361,1)-P362+$D$3))</f>
        <v>#N/A</v>
      </c>
      <c r="AL362" t="e">
        <f>IF(OR($J362=0,COUNTIFS($A$4:$A361,"&gt;="&amp;$A362-1,$A$4:$A361,"&lt;="&amp;$A362,$B$4:$B361,$B362)&gt;0,MIN(AL$1,IF($A362=$A361,AL361,1))-Q362&lt;0),-1,MIN(1,IF($A362=$A361,AL361,1)-Q362+$D$3))</f>
        <v>#N/A</v>
      </c>
      <c r="AM362" t="e">
        <f>IF(OR($J362=0,COUNTIFS($A$4:$A361,"&gt;="&amp;$A362-1,$A$4:$A361,"&lt;="&amp;$A362,$B$4:$B361,$B362)&gt;0,MIN(AM$1,IF($A362=$A361,AM361,1))-R362&lt;0),-1,MIN(1,IF($A362=$A361,AM361,1)-R362+$D$3))</f>
        <v>#N/A</v>
      </c>
      <c r="AN362" t="e">
        <f>IF(OR($J362=0,COUNTIFS($A$4:$A361,"&gt;="&amp;$A362-1,$A$4:$A361,"&lt;="&amp;$A362,$B$4:$B361,$B362)&gt;0,MIN(AN$1,IF($A362=$A361,AN361,1))-S362&lt;0),-1,MIN(1,IF($A362=$A361,AN361,1)-S362+$D$3))</f>
        <v>#N/A</v>
      </c>
      <c r="AO362" t="e">
        <f>IF(OR($J362=0,COUNTIFS($A$4:$A361,"&gt;="&amp;$A362-1,$A$4:$A361,"&lt;="&amp;$A362,$B$4:$B361,$B362)&gt;0,MIN(AO$1,IF($A362=$A361,AO361,1))-T362&lt;0),-1,MIN(1,IF($A362=$A361,AO361,1)-T362+$D$3))</f>
        <v>#N/A</v>
      </c>
      <c r="AP362" t="e">
        <f>IF(OR($J362=0,COUNTIFS($A$4:$A361,"&gt;="&amp;$A362-1,$A$4:$A361,"&lt;="&amp;$A362,$B$4:$B361,$B362)&gt;0,MIN(AP$1,IF($A362=$A361,AP361,1))-U362&lt;0),-1,MIN(1,IF($A362=$A361,AP361,1)-U362+$D$3))</f>
        <v>#N/A</v>
      </c>
      <c r="AQ362" t="e">
        <f>IF(OR($J362=0,COUNTIFS($A$4:$A361,"&gt;="&amp;$A362-1,$A$4:$A361,"&lt;="&amp;$A362,$B$4:$B361,$B362)&gt;0,MIN(AQ$1,IF($A362=$A361,AQ361,1))-V362&lt;0),-1,MIN(1,IF($A362=$A361,AQ361,1)-V362+$D$3))</f>
        <v>#N/A</v>
      </c>
      <c r="AR362" t="e">
        <f>IF(OR($J362=0,COUNTIFS($A$4:$A361,"&gt;="&amp;$A362-1,$A$4:$A361,"&lt;="&amp;$A362,$B$4:$B361,$B362)&gt;0,MIN(AR$1,IF($A362=$A361,AR361,1))-W362&lt;0),-1,MIN(1,IF($A362=$A361,AR361,1)-W362+$D$3))</f>
        <v>#N/A</v>
      </c>
      <c r="AS362" t="e">
        <f>IF(OR($J362=0,COUNTIFS($A$4:$A361,"&gt;="&amp;$A362-1,$A$4:$A361,"&lt;="&amp;$A362,$B$4:$B361,$B362)&gt;0,MIN(AS$1,IF($A362=$A361,AS361,1))-X362&lt;0),-1,MIN(1,IF($A362=$A361,AS361,1)-X362+$D$3))</f>
        <v>#N/A</v>
      </c>
      <c r="AT362" t="e">
        <f>IF(OR($J362=0,COUNTIFS($A$4:$A361,"&gt;="&amp;$A362-1,$A$4:$A361,"&lt;="&amp;$A362,$B$4:$B361,$B362)&gt;0,MIN(AT$1,IF($A362=$A361,AT361,1))-Y362&lt;0),-1,MIN(1,IF($A362=$A361,AT361,1)-Y362+$D$3))</f>
        <v>#N/A</v>
      </c>
      <c r="AU362" t="e">
        <f>IF(OR($J362=0,COUNTIFS($A$4:$A361,"&gt;="&amp;$A362-1,$A$4:$A361,"&lt;="&amp;$A362,$B$4:$B361,$B362)&gt;0,MIN(AU$1,IF($A362=$A361,AU361,1))-Z362&lt;0),-1,MIN(1,IF($A362=$A361,AU361,1)-Z362+$D$3))</f>
        <v>#N/A</v>
      </c>
      <c r="AV362" t="e">
        <f>IF(OR($J362=0,COUNTIFS($A$4:$A361,"&gt;="&amp;$A362-1,$A$4:$A361,"&lt;="&amp;$A362,$B$4:$B361,$B362)&gt;0,MIN(AV$1,IF($A362=$A361,AV361,1))-AA362&lt;0),-1,MIN(1,IF($A362=$A361,AV361,1)-AA362+$D$3))</f>
        <v>#N/A</v>
      </c>
      <c r="AW362" t="e">
        <f>IF(OR($J362=0,COUNTIFS($A$4:$A361,"&gt;="&amp;$A362-1,$A$4:$A361,"&lt;="&amp;$A362,$B$4:$B361,$B362)&gt;0,MIN(AW$1,IF($A362=$A361,AW361,1))-AB362&lt;0),-1,MIN(1,IF($A362=$A361,AW361,1)-AB362+$D$3))</f>
        <v>#N/A</v>
      </c>
      <c r="AX362" t="e">
        <f>IF(OR($J362=0,COUNTIFS($A$4:$A361,"&gt;="&amp;$A362-1,$A$4:$A361,"&lt;="&amp;$A362,$B$4:$B361,$B362)&gt;0,MIN(AX$1,IF($A362=$A361,AX361,1))-AC362&lt;0),-1,MIN(1,IF($A362=$A361,AX361,1)-AC362+$D$3))</f>
        <v>#N/A</v>
      </c>
      <c r="AY362" t="e">
        <f>IF(OR($J362=0,COUNTIFS($A$4:$A361,"&gt;="&amp;$A362-1,$A$4:$A361,"&lt;="&amp;$A362,$B$4:$B361,$B362)&gt;0,MIN(AY$1,IF($A362=$A361,AY361,1))-AD362&lt;0),-1,MIN(1,IF($A362=$A361,AY361,1)-AD362+$D$3))</f>
        <v>#N/A</v>
      </c>
      <c r="AZ362" t="e">
        <f>IF(OR($J362=0,COUNTIFS($A$4:$A361,"&gt;="&amp;$A362-1,$A$4:$A361,"&lt;="&amp;$A362,$B$4:$B361,$B362)&gt;0,MIN(AZ$1,IF($A362=$A361,AZ361,1))-AE362&lt;0),-1,MIN(1,IF($A362=$A361,AZ361,1)-AE362+$D$3))</f>
        <v>#N/A</v>
      </c>
      <c r="BA362" t="e">
        <f>IF(OR($J362=0,COUNTIFS($A$4:$A361,"&gt;="&amp;$A362-1,$A$4:$A361,"&lt;="&amp;$A362,$B$4:$B361,$B362)&gt;0,MIN(BA$1,IF($A362=$A361,BA361,1))-AF362&lt;0),-1,MIN(1,IF($A362=$A361,BA361,1)-AF362+$D$3))</f>
        <v>#N/A</v>
      </c>
      <c r="BB362" t="e">
        <f>IF(OR($J362=0,COUNTIFS($A$4:$A361,"&gt;="&amp;$A362-1,$A$4:$A361,"&lt;="&amp;$A362,$B$4:$B361,$B362)&gt;0,MIN(BB$1,IF($A362=$A361,BB361,1))-AG362&lt;0),-1,MIN(1,IF($A362=$A361,BB361,1)-AG362+$D$3))</f>
        <v>#N/A</v>
      </c>
      <c r="BC362" t="e">
        <f>IF(OR($J362=0,COUNTIFS($A$4:$A361,"&gt;="&amp;$A362-1,$A$4:$A361,"&lt;="&amp;$A362,$B$4:$B361,$B362)&gt;0,MIN(BC$1,IF($A362=$A361,BC361,1))-AH362&lt;0),-1,MIN(1,IF($A362=$A361,BC361,1)-AH362+$D$3))</f>
        <v>#N/A</v>
      </c>
      <c r="BD362" t="e">
        <f>IF(OR($J362=0,COUNTIFS($A$4:$A361,"&gt;="&amp;$A362-1,$A$4:$A361,"&lt;="&amp;$A362,$B$4:$B361,$B362)&gt;0,MIN(BD$1,IF($A362=$A361,BD361,1))-AI362&lt;0),-1,MIN(1,IF($A362=$A361,BD361,1)-AI362+$D$3))</f>
        <v>#N/A</v>
      </c>
      <c r="BF362" s="44">
        <f t="shared" si="355"/>
        <v>2.2457250696361387E-8</v>
      </c>
      <c r="BG362" s="44">
        <f t="shared" si="356"/>
        <v>5.5228716477681709E-8</v>
      </c>
      <c r="BH362" s="44">
        <f t="shared" si="357"/>
        <v>5.6603624897607102E-8</v>
      </c>
      <c r="BI362" s="44">
        <f t="shared" si="358"/>
        <v>5.2286034072330466E-8</v>
      </c>
      <c r="BJ362" s="44">
        <f t="shared" si="359"/>
        <v>5.4042580038582127E-8</v>
      </c>
      <c r="BK362" s="44">
        <f t="shared" si="360"/>
        <v>2.3207898842899157E-8</v>
      </c>
      <c r="BL362" s="44">
        <f t="shared" si="361"/>
        <v>1.2537272070749425E-8</v>
      </c>
      <c r="BM362" s="44">
        <f t="shared" si="362"/>
        <v>3.1893356107592204E-8</v>
      </c>
      <c r="BN362" s="44">
        <f t="shared" si="363"/>
        <v>3.3171575972759471E-8</v>
      </c>
      <c r="BO362" s="44">
        <f t="shared" si="364"/>
        <v>1.5545459217672117E-8</v>
      </c>
      <c r="BP362" s="44">
        <f t="shared" si="365"/>
        <v>5.2271260263506552E-8</v>
      </c>
      <c r="BQ362" s="44">
        <f t="shared" si="366"/>
        <v>1.4105849360131558E-8</v>
      </c>
      <c r="BR362" s="44">
        <f t="shared" si="367"/>
        <v>4.1672210073197416E-8</v>
      </c>
      <c r="BS362" s="44">
        <f t="shared" si="368"/>
        <v>2.2474375887447004E-8</v>
      </c>
      <c r="BT362" s="44">
        <f t="shared" si="369"/>
        <v>8.8937995500953093E-8</v>
      </c>
      <c r="BU362" s="44">
        <f t="shared" si="370"/>
        <v>8.4962548169116328E-8</v>
      </c>
      <c r="BV362" s="44">
        <f t="shared" si="371"/>
        <v>8.1595220337395551E-8</v>
      </c>
      <c r="BW362" s="44">
        <f t="shared" si="372"/>
        <v>5.3367764319675101E-8</v>
      </c>
      <c r="BX362" s="44">
        <f t="shared" si="373"/>
        <v>3.9427135160678808E-8</v>
      </c>
      <c r="BY362" s="44">
        <f t="shared" si="374"/>
        <v>3.3852727170074039E-8</v>
      </c>
      <c r="CA362" s="44" t="str">
        <f t="shared" si="375"/>
        <v/>
      </c>
      <c r="CB362" s="44" t="str">
        <f t="shared" si="376"/>
        <v/>
      </c>
      <c r="CC362" s="44" t="str">
        <f t="shared" si="377"/>
        <v/>
      </c>
      <c r="CD362" s="44" t="str">
        <f t="shared" si="378"/>
        <v/>
      </c>
      <c r="CE362" s="44" t="str">
        <f t="shared" si="379"/>
        <v/>
      </c>
      <c r="CF362" s="44" t="str">
        <f t="shared" si="380"/>
        <v/>
      </c>
      <c r="CG362" s="44" t="str">
        <f t="shared" si="381"/>
        <v/>
      </c>
      <c r="CH362" s="44" t="str">
        <f t="shared" si="382"/>
        <v/>
      </c>
      <c r="CI362" s="44" t="str">
        <f t="shared" si="383"/>
        <v/>
      </c>
      <c r="CJ362" s="44" t="str">
        <f t="shared" si="384"/>
        <v/>
      </c>
      <c r="CK362" s="44" t="str">
        <f t="shared" si="385"/>
        <v/>
      </c>
      <c r="CL362" s="44" t="str">
        <f t="shared" si="386"/>
        <v/>
      </c>
      <c r="CM362" s="44" t="str">
        <f t="shared" si="387"/>
        <v/>
      </c>
      <c r="CN362" s="44" t="str">
        <f t="shared" si="388"/>
        <v/>
      </c>
      <c r="CO362" s="44" t="str">
        <f t="shared" si="389"/>
        <v/>
      </c>
      <c r="CP362" s="44" t="str">
        <f t="shared" si="390"/>
        <v/>
      </c>
      <c r="CQ362" s="44" t="str">
        <f t="shared" si="391"/>
        <v/>
      </c>
      <c r="CR362" s="44" t="str">
        <f t="shared" si="392"/>
        <v/>
      </c>
      <c r="CS362" s="44" t="str">
        <f t="shared" si="393"/>
        <v/>
      </c>
      <c r="CT362" s="44" t="str">
        <f t="shared" si="394"/>
        <v/>
      </c>
      <c r="CV362" s="44">
        <f t="shared" si="395"/>
        <v>0</v>
      </c>
    </row>
    <row r="363" spans="1:100" x14ac:dyDescent="0.25">
      <c r="A363" s="41"/>
      <c r="B363" s="42"/>
      <c r="C363" s="43" t="str" cm="1">
        <f t="array" ref="C363">IF(B363="","",INDEX(UWS!$B$10:$B$41,B363))</f>
        <v/>
      </c>
      <c r="D363" s="40" t="str">
        <f t="shared" si="352"/>
        <v/>
      </c>
      <c r="E363" s="69" t="str">
        <f t="shared" si="353"/>
        <v/>
      </c>
      <c r="F363" s="48" cm="1">
        <f t="array" ref="F363">0.1+IFERROR(INDEX($F$5:$F362,SUMPRODUCT(MAX(ROW($C$5:$C362)*($C363=$C$5:$C362))-ROW($A$4)))*0.9^($A363-INDEX($A$5:A362,SUMPRODUCT(MAX(ROW($C$5:$C362)*($C363=$C$5:$C362))-ROW($A$4)))),0)</f>
        <v>29.800000000000153</v>
      </c>
      <c r="G363" s="55" t="e">
        <f>INDEX(UWS!$AB$10:$AB$41,MATCH(C363,UWS!$B$10:$B$41,0))</f>
        <v>#N/A</v>
      </c>
      <c r="H363" s="48" t="e">
        <f>INDEX(UWS!$C$10:$C$41,MATCH(C363,UWS!$B$10:$B$41,0))</f>
        <v>#N/A</v>
      </c>
      <c r="I363" s="27">
        <f t="shared" si="354"/>
        <v>5</v>
      </c>
      <c r="J363" s="27" t="e">
        <f>INDEX(UWS!$E$10:$E$41,MATCH(C363,UWS!$B$10:$B$41,0))</f>
        <v>#N/A</v>
      </c>
      <c r="L363" s="108" t="str" cm="1">
        <f t="array" ref="L363">IF(K363="","",INDEX(UWS!$B$10:$B$41,K363))</f>
        <v/>
      </c>
      <c r="N363" s="108" t="str" cm="1">
        <f t="array" ref="N363">IF(M363="","",INDEX(UWS!$B$10:$B$41,M363))</f>
        <v/>
      </c>
      <c r="P363">
        <f>IFERROR(INDEX(UWS!$G$10:$Z$41,MATCH($C363,UWS!$B$10:$B$41,0),MATCH(P$4,UWS!$G$3:$Z$3,0)),0)</f>
        <v>0</v>
      </c>
      <c r="Q363">
        <f>IFERROR(INDEX(UWS!$G$10:$Z$41,MATCH($C363,UWS!$B$10:$B$41,0),MATCH(Q$4,UWS!$G$3:$Z$3,0)),0)</f>
        <v>0</v>
      </c>
      <c r="R363">
        <f>IFERROR(INDEX(UWS!$G$10:$Z$41,MATCH($C363,UWS!$B$10:$B$41,0),MATCH(R$4,UWS!$G$3:$Z$3,0)),0)</f>
        <v>0</v>
      </c>
      <c r="S363">
        <f>IFERROR(INDEX(UWS!$G$10:$Z$41,MATCH($C363,UWS!$B$10:$B$41,0),MATCH(S$4,UWS!$G$3:$Z$3,0)),0)</f>
        <v>0</v>
      </c>
      <c r="T363">
        <f>IFERROR(INDEX(UWS!$G$10:$Z$41,MATCH($C363,UWS!$B$10:$B$41,0),MATCH(T$4,UWS!$G$3:$Z$3,0)),0)</f>
        <v>0</v>
      </c>
      <c r="U363">
        <f>IFERROR(INDEX(UWS!$G$10:$Z$41,MATCH($C363,UWS!$B$10:$B$41,0),MATCH(U$4,UWS!$G$3:$Z$3,0)),0)</f>
        <v>0</v>
      </c>
      <c r="V363">
        <f>IFERROR(INDEX(UWS!$G$10:$Z$41,MATCH($C363,UWS!$B$10:$B$41,0),MATCH(V$4,UWS!$G$3:$Z$3,0)),0)</f>
        <v>0</v>
      </c>
      <c r="W363">
        <f>IFERROR(INDEX(UWS!$G$10:$Z$41,MATCH($C363,UWS!$B$10:$B$41,0),MATCH(W$4,UWS!$G$3:$Z$3,0)),0)</f>
        <v>0</v>
      </c>
      <c r="X363">
        <f>IFERROR(INDEX(UWS!$G$10:$Z$41,MATCH($C363,UWS!$B$10:$B$41,0),MATCH(X$4,UWS!$G$3:$Z$3,0)),0)</f>
        <v>0</v>
      </c>
      <c r="Y363">
        <f>IFERROR(INDEX(UWS!$G$10:$Z$41,MATCH($C363,UWS!$B$10:$B$41,0),MATCH(Y$4,UWS!$G$3:$Z$3,0)),0)</f>
        <v>0</v>
      </c>
      <c r="Z363">
        <f>IFERROR(INDEX(UWS!$G$10:$Z$41,MATCH($C363,UWS!$B$10:$B$41,0),MATCH(Z$4,UWS!$G$3:$Z$3,0)),0)</f>
        <v>0</v>
      </c>
      <c r="AA363">
        <f>IFERROR(INDEX(UWS!$G$10:$Z$41,MATCH($C363,UWS!$B$10:$B$41,0),MATCH(AA$4,UWS!$G$3:$Z$3,0)),0)</f>
        <v>0</v>
      </c>
      <c r="AB363">
        <f>IFERROR(INDEX(UWS!$G$10:$Z$41,MATCH($C363,UWS!$B$10:$B$41,0),MATCH(AB$4,UWS!$G$3:$Z$3,0)),0)</f>
        <v>0</v>
      </c>
      <c r="AC363">
        <f>IFERROR(INDEX(UWS!$G$10:$Z$41,MATCH($C363,UWS!$B$10:$B$41,0),MATCH(AC$4,UWS!$G$3:$Z$3,0)),0)</f>
        <v>0</v>
      </c>
      <c r="AD363">
        <f>IFERROR(INDEX(UWS!$G$10:$Z$41,MATCH($C363,UWS!$B$10:$B$41,0),MATCH(AD$4,UWS!$G$3:$Z$3,0)),0)</f>
        <v>0</v>
      </c>
      <c r="AE363">
        <f>IFERROR(INDEX(UWS!$G$10:$Z$41,MATCH($C363,UWS!$B$10:$B$41,0),MATCH(AE$4,UWS!$G$3:$Z$3,0)),0)</f>
        <v>0</v>
      </c>
      <c r="AF363">
        <f>IFERROR(INDEX(UWS!$G$10:$Z$41,MATCH($C363,UWS!$B$10:$B$41,0),MATCH(AF$4,UWS!$G$3:$Z$3,0)),0)</f>
        <v>0</v>
      </c>
      <c r="AG363">
        <f>IFERROR(INDEX(UWS!$G$10:$Z$41,MATCH($C363,UWS!$B$10:$B$41,0),MATCH(AG$4,UWS!$G$3:$Z$3,0)),0)</f>
        <v>0</v>
      </c>
      <c r="AH363">
        <f>IFERROR(INDEX(UWS!$G$10:$Z$41,MATCH($C363,UWS!$B$10:$B$41,0),MATCH(AH$4,UWS!$G$3:$Z$3,0)),0)</f>
        <v>0</v>
      </c>
      <c r="AI363">
        <f>IFERROR(INDEX(UWS!$G$10:$Z$41,MATCH($C363,UWS!$B$10:$B$41,0),MATCH(AI$4,UWS!$G$3:$Z$3,0)),0)</f>
        <v>0</v>
      </c>
      <c r="AK363" t="e">
        <f>IF(OR($J363=0,COUNTIFS($A$4:$A362,"&gt;="&amp;$A363-1,$A$4:$A362,"&lt;="&amp;$A363,$B$4:$B362,$B363)&gt;0,MIN(AK$1,IF($A363=$A362,AK362,1))-P363&lt;0),-1,MIN(1,IF($A363=$A362,AK362,1)-P363+$D$3))</f>
        <v>#N/A</v>
      </c>
      <c r="AL363" t="e">
        <f>IF(OR($J363=0,COUNTIFS($A$4:$A362,"&gt;="&amp;$A363-1,$A$4:$A362,"&lt;="&amp;$A363,$B$4:$B362,$B363)&gt;0,MIN(AL$1,IF($A363=$A362,AL362,1))-Q363&lt;0),-1,MIN(1,IF($A363=$A362,AL362,1)-Q363+$D$3))</f>
        <v>#N/A</v>
      </c>
      <c r="AM363" t="e">
        <f>IF(OR($J363=0,COUNTIFS($A$4:$A362,"&gt;="&amp;$A363-1,$A$4:$A362,"&lt;="&amp;$A363,$B$4:$B362,$B363)&gt;0,MIN(AM$1,IF($A363=$A362,AM362,1))-R363&lt;0),-1,MIN(1,IF($A363=$A362,AM362,1)-R363+$D$3))</f>
        <v>#N/A</v>
      </c>
      <c r="AN363" t="e">
        <f>IF(OR($J363=0,COUNTIFS($A$4:$A362,"&gt;="&amp;$A363-1,$A$4:$A362,"&lt;="&amp;$A363,$B$4:$B362,$B363)&gt;0,MIN(AN$1,IF($A363=$A362,AN362,1))-S363&lt;0),-1,MIN(1,IF($A363=$A362,AN362,1)-S363+$D$3))</f>
        <v>#N/A</v>
      </c>
      <c r="AO363" t="e">
        <f>IF(OR($J363=0,COUNTIFS($A$4:$A362,"&gt;="&amp;$A363-1,$A$4:$A362,"&lt;="&amp;$A363,$B$4:$B362,$B363)&gt;0,MIN(AO$1,IF($A363=$A362,AO362,1))-T363&lt;0),-1,MIN(1,IF($A363=$A362,AO362,1)-T363+$D$3))</f>
        <v>#N/A</v>
      </c>
      <c r="AP363" t="e">
        <f>IF(OR($J363=0,COUNTIFS($A$4:$A362,"&gt;="&amp;$A363-1,$A$4:$A362,"&lt;="&amp;$A363,$B$4:$B362,$B363)&gt;0,MIN(AP$1,IF($A363=$A362,AP362,1))-U363&lt;0),-1,MIN(1,IF($A363=$A362,AP362,1)-U363+$D$3))</f>
        <v>#N/A</v>
      </c>
      <c r="AQ363" t="e">
        <f>IF(OR($J363=0,COUNTIFS($A$4:$A362,"&gt;="&amp;$A363-1,$A$4:$A362,"&lt;="&amp;$A363,$B$4:$B362,$B363)&gt;0,MIN(AQ$1,IF($A363=$A362,AQ362,1))-V363&lt;0),-1,MIN(1,IF($A363=$A362,AQ362,1)-V363+$D$3))</f>
        <v>#N/A</v>
      </c>
      <c r="AR363" t="e">
        <f>IF(OR($J363=0,COUNTIFS($A$4:$A362,"&gt;="&amp;$A363-1,$A$4:$A362,"&lt;="&amp;$A363,$B$4:$B362,$B363)&gt;0,MIN(AR$1,IF($A363=$A362,AR362,1))-W363&lt;0),-1,MIN(1,IF($A363=$A362,AR362,1)-W363+$D$3))</f>
        <v>#N/A</v>
      </c>
      <c r="AS363" t="e">
        <f>IF(OR($J363=0,COUNTIFS($A$4:$A362,"&gt;="&amp;$A363-1,$A$4:$A362,"&lt;="&amp;$A363,$B$4:$B362,$B363)&gt;0,MIN(AS$1,IF($A363=$A362,AS362,1))-X363&lt;0),-1,MIN(1,IF($A363=$A362,AS362,1)-X363+$D$3))</f>
        <v>#N/A</v>
      </c>
      <c r="AT363" t="e">
        <f>IF(OR($J363=0,COUNTIFS($A$4:$A362,"&gt;="&amp;$A363-1,$A$4:$A362,"&lt;="&amp;$A363,$B$4:$B362,$B363)&gt;0,MIN(AT$1,IF($A363=$A362,AT362,1))-Y363&lt;0),-1,MIN(1,IF($A363=$A362,AT362,1)-Y363+$D$3))</f>
        <v>#N/A</v>
      </c>
      <c r="AU363" t="e">
        <f>IF(OR($J363=0,COUNTIFS($A$4:$A362,"&gt;="&amp;$A363-1,$A$4:$A362,"&lt;="&amp;$A363,$B$4:$B362,$B363)&gt;0,MIN(AU$1,IF($A363=$A362,AU362,1))-Z363&lt;0),-1,MIN(1,IF($A363=$A362,AU362,1)-Z363+$D$3))</f>
        <v>#N/A</v>
      </c>
      <c r="AV363" t="e">
        <f>IF(OR($J363=0,COUNTIFS($A$4:$A362,"&gt;="&amp;$A363-1,$A$4:$A362,"&lt;="&amp;$A363,$B$4:$B362,$B363)&gt;0,MIN(AV$1,IF($A363=$A362,AV362,1))-AA363&lt;0),-1,MIN(1,IF($A363=$A362,AV362,1)-AA363+$D$3))</f>
        <v>#N/A</v>
      </c>
      <c r="AW363" t="e">
        <f>IF(OR($J363=0,COUNTIFS($A$4:$A362,"&gt;="&amp;$A363-1,$A$4:$A362,"&lt;="&amp;$A363,$B$4:$B362,$B363)&gt;0,MIN(AW$1,IF($A363=$A362,AW362,1))-AB363&lt;0),-1,MIN(1,IF($A363=$A362,AW362,1)-AB363+$D$3))</f>
        <v>#N/A</v>
      </c>
      <c r="AX363" t="e">
        <f>IF(OR($J363=0,COUNTIFS($A$4:$A362,"&gt;="&amp;$A363-1,$A$4:$A362,"&lt;="&amp;$A363,$B$4:$B362,$B363)&gt;0,MIN(AX$1,IF($A363=$A362,AX362,1))-AC363&lt;0),-1,MIN(1,IF($A363=$A362,AX362,1)-AC363+$D$3))</f>
        <v>#N/A</v>
      </c>
      <c r="AY363" t="e">
        <f>IF(OR($J363=0,COUNTIFS($A$4:$A362,"&gt;="&amp;$A363-1,$A$4:$A362,"&lt;="&amp;$A363,$B$4:$B362,$B363)&gt;0,MIN(AY$1,IF($A363=$A362,AY362,1))-AD363&lt;0),-1,MIN(1,IF($A363=$A362,AY362,1)-AD363+$D$3))</f>
        <v>#N/A</v>
      </c>
      <c r="AZ363" t="e">
        <f>IF(OR($J363=0,COUNTIFS($A$4:$A362,"&gt;="&amp;$A363-1,$A$4:$A362,"&lt;="&amp;$A363,$B$4:$B362,$B363)&gt;0,MIN(AZ$1,IF($A363=$A362,AZ362,1))-AE363&lt;0),-1,MIN(1,IF($A363=$A362,AZ362,1)-AE363+$D$3))</f>
        <v>#N/A</v>
      </c>
      <c r="BA363" t="e">
        <f>IF(OR($J363=0,COUNTIFS($A$4:$A362,"&gt;="&amp;$A363-1,$A$4:$A362,"&lt;="&amp;$A363,$B$4:$B362,$B363)&gt;0,MIN(BA$1,IF($A363=$A362,BA362,1))-AF363&lt;0),-1,MIN(1,IF($A363=$A362,BA362,1)-AF363+$D$3))</f>
        <v>#N/A</v>
      </c>
      <c r="BB363" t="e">
        <f>IF(OR($J363=0,COUNTIFS($A$4:$A362,"&gt;="&amp;$A363-1,$A$4:$A362,"&lt;="&amp;$A363,$B$4:$B362,$B363)&gt;0,MIN(BB$1,IF($A363=$A362,BB362,1))-AG363&lt;0),-1,MIN(1,IF($A363=$A362,BB362,1)-AG363+$D$3))</f>
        <v>#N/A</v>
      </c>
      <c r="BC363" t="e">
        <f>IF(OR($J363=0,COUNTIFS($A$4:$A362,"&gt;="&amp;$A363-1,$A$4:$A362,"&lt;="&amp;$A363,$B$4:$B362,$B363)&gt;0,MIN(BC$1,IF($A363=$A362,BC362,1))-AH363&lt;0),-1,MIN(1,IF($A363=$A362,BC362,1)-AH363+$D$3))</f>
        <v>#N/A</v>
      </c>
      <c r="BD363" t="e">
        <f>IF(OR($J363=0,COUNTIFS($A$4:$A362,"&gt;="&amp;$A363-1,$A$4:$A362,"&lt;="&amp;$A363,$B$4:$B362,$B363)&gt;0,MIN(BD$1,IF($A363=$A362,BD362,1))-AI363&lt;0),-1,MIN(1,IF($A363=$A362,BD362,1)-AI363+$D$3))</f>
        <v>#N/A</v>
      </c>
      <c r="BF363" s="44">
        <f t="shared" si="355"/>
        <v>2.1334388161543317E-8</v>
      </c>
      <c r="BG363" s="44">
        <f t="shared" si="356"/>
        <v>5.2467280653797619E-8</v>
      </c>
      <c r="BH363" s="44">
        <f t="shared" si="357"/>
        <v>5.3773443652726746E-8</v>
      </c>
      <c r="BI363" s="44">
        <f t="shared" si="358"/>
        <v>4.9671732368713942E-8</v>
      </c>
      <c r="BJ363" s="44">
        <f t="shared" si="359"/>
        <v>5.1340451036653018E-8</v>
      </c>
      <c r="BK363" s="44">
        <f t="shared" si="360"/>
        <v>2.2047503900754199E-8</v>
      </c>
      <c r="BL363" s="44">
        <f t="shared" si="361"/>
        <v>1.1910408467211953E-8</v>
      </c>
      <c r="BM363" s="44">
        <f t="shared" si="362"/>
        <v>3.0298688302212593E-8</v>
      </c>
      <c r="BN363" s="44">
        <f t="shared" si="363"/>
        <v>3.1512997174121494E-8</v>
      </c>
      <c r="BO363" s="44">
        <f t="shared" si="364"/>
        <v>1.476818625678851E-8</v>
      </c>
      <c r="BP363" s="44">
        <f t="shared" si="365"/>
        <v>4.9657697250331224E-8</v>
      </c>
      <c r="BQ363" s="44">
        <f t="shared" si="366"/>
        <v>1.3400556892124979E-8</v>
      </c>
      <c r="BR363" s="44">
        <f t="shared" si="367"/>
        <v>3.9588599569537541E-8</v>
      </c>
      <c r="BS363" s="44">
        <f t="shared" si="368"/>
        <v>2.1350657093074654E-8</v>
      </c>
      <c r="BT363" s="44">
        <f t="shared" si="369"/>
        <v>8.4491095725905435E-8</v>
      </c>
      <c r="BU363" s="44">
        <f t="shared" si="370"/>
        <v>8.0714420760660513E-8</v>
      </c>
      <c r="BV363" s="44">
        <f t="shared" si="371"/>
        <v>7.7515459320525764E-8</v>
      </c>
      <c r="BW363" s="44">
        <f t="shared" si="372"/>
        <v>5.0699376103691342E-8</v>
      </c>
      <c r="BX363" s="44">
        <f t="shared" si="373"/>
        <v>3.7455778402644864E-8</v>
      </c>
      <c r="BY363" s="44">
        <f t="shared" si="374"/>
        <v>3.2160090811570338E-8</v>
      </c>
      <c r="CA363" s="44" t="str">
        <f t="shared" si="375"/>
        <v/>
      </c>
      <c r="CB363" s="44" t="str">
        <f t="shared" si="376"/>
        <v/>
      </c>
      <c r="CC363" s="44" t="str">
        <f t="shared" si="377"/>
        <v/>
      </c>
      <c r="CD363" s="44" t="str">
        <f t="shared" si="378"/>
        <v/>
      </c>
      <c r="CE363" s="44" t="str">
        <f t="shared" si="379"/>
        <v/>
      </c>
      <c r="CF363" s="44" t="str">
        <f t="shared" si="380"/>
        <v/>
      </c>
      <c r="CG363" s="44" t="str">
        <f t="shared" si="381"/>
        <v/>
      </c>
      <c r="CH363" s="44" t="str">
        <f t="shared" si="382"/>
        <v/>
      </c>
      <c r="CI363" s="44" t="str">
        <f t="shared" si="383"/>
        <v/>
      </c>
      <c r="CJ363" s="44" t="str">
        <f t="shared" si="384"/>
        <v/>
      </c>
      <c r="CK363" s="44" t="str">
        <f t="shared" si="385"/>
        <v/>
      </c>
      <c r="CL363" s="44" t="str">
        <f t="shared" si="386"/>
        <v/>
      </c>
      <c r="CM363" s="44" t="str">
        <f t="shared" si="387"/>
        <v/>
      </c>
      <c r="CN363" s="44" t="str">
        <f t="shared" si="388"/>
        <v/>
      </c>
      <c r="CO363" s="44" t="str">
        <f t="shared" si="389"/>
        <v/>
      </c>
      <c r="CP363" s="44" t="str">
        <f t="shared" si="390"/>
        <v/>
      </c>
      <c r="CQ363" s="44" t="str">
        <f t="shared" si="391"/>
        <v/>
      </c>
      <c r="CR363" s="44" t="str">
        <f t="shared" si="392"/>
        <v/>
      </c>
      <c r="CS363" s="44" t="str">
        <f t="shared" si="393"/>
        <v/>
      </c>
      <c r="CT363" s="44" t="str">
        <f t="shared" si="394"/>
        <v/>
      </c>
      <c r="CV363" s="44">
        <f t="shared" si="395"/>
        <v>0</v>
      </c>
    </row>
    <row r="364" spans="1:100" x14ac:dyDescent="0.25">
      <c r="A364" s="41"/>
      <c r="B364" s="42"/>
      <c r="C364" s="43" t="str" cm="1">
        <f t="array" ref="C364">IF(B364="","",INDEX(UWS!$B$10:$B$41,B364))</f>
        <v/>
      </c>
      <c r="D364" s="40" t="str">
        <f t="shared" si="352"/>
        <v/>
      </c>
      <c r="E364" s="69" t="str">
        <f t="shared" si="353"/>
        <v/>
      </c>
      <c r="F364" s="48" cm="1">
        <f t="array" ref="F364">0.1+IFERROR(INDEX($F$5:$F363,SUMPRODUCT(MAX(ROW($C$5:$C363)*($C364=$C$5:$C363))-ROW($A$4)))*0.9^($A364-INDEX($A$5:A363,SUMPRODUCT(MAX(ROW($C$5:$C363)*($C364=$C$5:$C363))-ROW($A$4)))),0)</f>
        <v>29.900000000000155</v>
      </c>
      <c r="G364" s="55" t="e">
        <f>INDEX(UWS!$AB$10:$AB$41,MATCH(C364,UWS!$B$10:$B$41,0))</f>
        <v>#N/A</v>
      </c>
      <c r="H364" s="48" t="e">
        <f>INDEX(UWS!$C$10:$C$41,MATCH(C364,UWS!$B$10:$B$41,0))</f>
        <v>#N/A</v>
      </c>
      <c r="I364" s="27">
        <f t="shared" si="354"/>
        <v>5</v>
      </c>
      <c r="J364" s="27" t="e">
        <f>INDEX(UWS!$E$10:$E$41,MATCH(C364,UWS!$B$10:$B$41,0))</f>
        <v>#N/A</v>
      </c>
      <c r="L364" s="108" t="str" cm="1">
        <f t="array" ref="L364">IF(K364="","",INDEX(UWS!$B$10:$B$41,K364))</f>
        <v/>
      </c>
      <c r="N364" s="108" t="str" cm="1">
        <f t="array" ref="N364">IF(M364="","",INDEX(UWS!$B$10:$B$41,M364))</f>
        <v/>
      </c>
      <c r="P364">
        <f>IFERROR(INDEX(UWS!$G$10:$Z$41,MATCH($C364,UWS!$B$10:$B$41,0),MATCH(P$4,UWS!$G$3:$Z$3,0)),0)</f>
        <v>0</v>
      </c>
      <c r="Q364">
        <f>IFERROR(INDEX(UWS!$G$10:$Z$41,MATCH($C364,UWS!$B$10:$B$41,0),MATCH(Q$4,UWS!$G$3:$Z$3,0)),0)</f>
        <v>0</v>
      </c>
      <c r="R364">
        <f>IFERROR(INDEX(UWS!$G$10:$Z$41,MATCH($C364,UWS!$B$10:$B$41,0),MATCH(R$4,UWS!$G$3:$Z$3,0)),0)</f>
        <v>0</v>
      </c>
      <c r="S364">
        <f>IFERROR(INDEX(UWS!$G$10:$Z$41,MATCH($C364,UWS!$B$10:$B$41,0),MATCH(S$4,UWS!$G$3:$Z$3,0)),0)</f>
        <v>0</v>
      </c>
      <c r="T364">
        <f>IFERROR(INDEX(UWS!$G$10:$Z$41,MATCH($C364,UWS!$B$10:$B$41,0),MATCH(T$4,UWS!$G$3:$Z$3,0)),0)</f>
        <v>0</v>
      </c>
      <c r="U364">
        <f>IFERROR(INDEX(UWS!$G$10:$Z$41,MATCH($C364,UWS!$B$10:$B$41,0),MATCH(U$4,UWS!$G$3:$Z$3,0)),0)</f>
        <v>0</v>
      </c>
      <c r="V364">
        <f>IFERROR(INDEX(UWS!$G$10:$Z$41,MATCH($C364,UWS!$B$10:$B$41,0),MATCH(V$4,UWS!$G$3:$Z$3,0)),0)</f>
        <v>0</v>
      </c>
      <c r="W364">
        <f>IFERROR(INDEX(UWS!$G$10:$Z$41,MATCH($C364,UWS!$B$10:$B$41,0),MATCH(W$4,UWS!$G$3:$Z$3,0)),0)</f>
        <v>0</v>
      </c>
      <c r="X364">
        <f>IFERROR(INDEX(UWS!$G$10:$Z$41,MATCH($C364,UWS!$B$10:$B$41,0),MATCH(X$4,UWS!$G$3:$Z$3,0)),0)</f>
        <v>0</v>
      </c>
      <c r="Y364">
        <f>IFERROR(INDEX(UWS!$G$10:$Z$41,MATCH($C364,UWS!$B$10:$B$41,0),MATCH(Y$4,UWS!$G$3:$Z$3,0)),0)</f>
        <v>0</v>
      </c>
      <c r="Z364">
        <f>IFERROR(INDEX(UWS!$G$10:$Z$41,MATCH($C364,UWS!$B$10:$B$41,0),MATCH(Z$4,UWS!$G$3:$Z$3,0)),0)</f>
        <v>0</v>
      </c>
      <c r="AA364">
        <f>IFERROR(INDEX(UWS!$G$10:$Z$41,MATCH($C364,UWS!$B$10:$B$41,0),MATCH(AA$4,UWS!$G$3:$Z$3,0)),0)</f>
        <v>0</v>
      </c>
      <c r="AB364">
        <f>IFERROR(INDEX(UWS!$G$10:$Z$41,MATCH($C364,UWS!$B$10:$B$41,0),MATCH(AB$4,UWS!$G$3:$Z$3,0)),0)</f>
        <v>0</v>
      </c>
      <c r="AC364">
        <f>IFERROR(INDEX(UWS!$G$10:$Z$41,MATCH($C364,UWS!$B$10:$B$41,0),MATCH(AC$4,UWS!$G$3:$Z$3,0)),0)</f>
        <v>0</v>
      </c>
      <c r="AD364">
        <f>IFERROR(INDEX(UWS!$G$10:$Z$41,MATCH($C364,UWS!$B$10:$B$41,0),MATCH(AD$4,UWS!$G$3:$Z$3,0)),0)</f>
        <v>0</v>
      </c>
      <c r="AE364">
        <f>IFERROR(INDEX(UWS!$G$10:$Z$41,MATCH($C364,UWS!$B$10:$B$41,0),MATCH(AE$4,UWS!$G$3:$Z$3,0)),0)</f>
        <v>0</v>
      </c>
      <c r="AF364">
        <f>IFERROR(INDEX(UWS!$G$10:$Z$41,MATCH($C364,UWS!$B$10:$B$41,0),MATCH(AF$4,UWS!$G$3:$Z$3,0)),0)</f>
        <v>0</v>
      </c>
      <c r="AG364">
        <f>IFERROR(INDEX(UWS!$G$10:$Z$41,MATCH($C364,UWS!$B$10:$B$41,0),MATCH(AG$4,UWS!$G$3:$Z$3,0)),0)</f>
        <v>0</v>
      </c>
      <c r="AH364">
        <f>IFERROR(INDEX(UWS!$G$10:$Z$41,MATCH($C364,UWS!$B$10:$B$41,0),MATCH(AH$4,UWS!$G$3:$Z$3,0)),0)</f>
        <v>0</v>
      </c>
      <c r="AI364">
        <f>IFERROR(INDEX(UWS!$G$10:$Z$41,MATCH($C364,UWS!$B$10:$B$41,0),MATCH(AI$4,UWS!$G$3:$Z$3,0)),0)</f>
        <v>0</v>
      </c>
      <c r="AK364" t="e">
        <f>IF(OR($J364=0,COUNTIFS($A$4:$A363,"&gt;="&amp;$A364-1,$A$4:$A363,"&lt;="&amp;$A364,$B$4:$B363,$B364)&gt;0,MIN(AK$1,IF($A364=$A363,AK363,1))-P364&lt;0),-1,MIN(1,IF($A364=$A363,AK363,1)-P364+$D$3))</f>
        <v>#N/A</v>
      </c>
      <c r="AL364" t="e">
        <f>IF(OR($J364=0,COUNTIFS($A$4:$A363,"&gt;="&amp;$A364-1,$A$4:$A363,"&lt;="&amp;$A364,$B$4:$B363,$B364)&gt;0,MIN(AL$1,IF($A364=$A363,AL363,1))-Q364&lt;0),-1,MIN(1,IF($A364=$A363,AL363,1)-Q364+$D$3))</f>
        <v>#N/A</v>
      </c>
      <c r="AM364" t="e">
        <f>IF(OR($J364=0,COUNTIFS($A$4:$A363,"&gt;="&amp;$A364-1,$A$4:$A363,"&lt;="&amp;$A364,$B$4:$B363,$B364)&gt;0,MIN(AM$1,IF($A364=$A363,AM363,1))-R364&lt;0),-1,MIN(1,IF($A364=$A363,AM363,1)-R364+$D$3))</f>
        <v>#N/A</v>
      </c>
      <c r="AN364" t="e">
        <f>IF(OR($J364=0,COUNTIFS($A$4:$A363,"&gt;="&amp;$A364-1,$A$4:$A363,"&lt;="&amp;$A364,$B$4:$B363,$B364)&gt;0,MIN(AN$1,IF($A364=$A363,AN363,1))-S364&lt;0),-1,MIN(1,IF($A364=$A363,AN363,1)-S364+$D$3))</f>
        <v>#N/A</v>
      </c>
      <c r="AO364" t="e">
        <f>IF(OR($J364=0,COUNTIFS($A$4:$A363,"&gt;="&amp;$A364-1,$A$4:$A363,"&lt;="&amp;$A364,$B$4:$B363,$B364)&gt;0,MIN(AO$1,IF($A364=$A363,AO363,1))-T364&lt;0),-1,MIN(1,IF($A364=$A363,AO363,1)-T364+$D$3))</f>
        <v>#N/A</v>
      </c>
      <c r="AP364" t="e">
        <f>IF(OR($J364=0,COUNTIFS($A$4:$A363,"&gt;="&amp;$A364-1,$A$4:$A363,"&lt;="&amp;$A364,$B$4:$B363,$B364)&gt;0,MIN(AP$1,IF($A364=$A363,AP363,1))-U364&lt;0),-1,MIN(1,IF($A364=$A363,AP363,1)-U364+$D$3))</f>
        <v>#N/A</v>
      </c>
      <c r="AQ364" t="e">
        <f>IF(OR($J364=0,COUNTIFS($A$4:$A363,"&gt;="&amp;$A364-1,$A$4:$A363,"&lt;="&amp;$A364,$B$4:$B363,$B364)&gt;0,MIN(AQ$1,IF($A364=$A363,AQ363,1))-V364&lt;0),-1,MIN(1,IF($A364=$A363,AQ363,1)-V364+$D$3))</f>
        <v>#N/A</v>
      </c>
      <c r="AR364" t="e">
        <f>IF(OR($J364=0,COUNTIFS($A$4:$A363,"&gt;="&amp;$A364-1,$A$4:$A363,"&lt;="&amp;$A364,$B$4:$B363,$B364)&gt;0,MIN(AR$1,IF($A364=$A363,AR363,1))-W364&lt;0),-1,MIN(1,IF($A364=$A363,AR363,1)-W364+$D$3))</f>
        <v>#N/A</v>
      </c>
      <c r="AS364" t="e">
        <f>IF(OR($J364=0,COUNTIFS($A$4:$A363,"&gt;="&amp;$A364-1,$A$4:$A363,"&lt;="&amp;$A364,$B$4:$B363,$B364)&gt;0,MIN(AS$1,IF($A364=$A363,AS363,1))-X364&lt;0),-1,MIN(1,IF($A364=$A363,AS363,1)-X364+$D$3))</f>
        <v>#N/A</v>
      </c>
      <c r="AT364" t="e">
        <f>IF(OR($J364=0,COUNTIFS($A$4:$A363,"&gt;="&amp;$A364-1,$A$4:$A363,"&lt;="&amp;$A364,$B$4:$B363,$B364)&gt;0,MIN(AT$1,IF($A364=$A363,AT363,1))-Y364&lt;0),-1,MIN(1,IF($A364=$A363,AT363,1)-Y364+$D$3))</f>
        <v>#N/A</v>
      </c>
      <c r="AU364" t="e">
        <f>IF(OR($J364=0,COUNTIFS($A$4:$A363,"&gt;="&amp;$A364-1,$A$4:$A363,"&lt;="&amp;$A364,$B$4:$B363,$B364)&gt;0,MIN(AU$1,IF($A364=$A363,AU363,1))-Z364&lt;0),-1,MIN(1,IF($A364=$A363,AU363,1)-Z364+$D$3))</f>
        <v>#N/A</v>
      </c>
      <c r="AV364" t="e">
        <f>IF(OR($J364=0,COUNTIFS($A$4:$A363,"&gt;="&amp;$A364-1,$A$4:$A363,"&lt;="&amp;$A364,$B$4:$B363,$B364)&gt;0,MIN(AV$1,IF($A364=$A363,AV363,1))-AA364&lt;0),-1,MIN(1,IF($A364=$A363,AV363,1)-AA364+$D$3))</f>
        <v>#N/A</v>
      </c>
      <c r="AW364" t="e">
        <f>IF(OR($J364=0,COUNTIFS($A$4:$A363,"&gt;="&amp;$A364-1,$A$4:$A363,"&lt;="&amp;$A364,$B$4:$B363,$B364)&gt;0,MIN(AW$1,IF($A364=$A363,AW363,1))-AB364&lt;0),-1,MIN(1,IF($A364=$A363,AW363,1)-AB364+$D$3))</f>
        <v>#N/A</v>
      </c>
      <c r="AX364" t="e">
        <f>IF(OR($J364=0,COUNTIFS($A$4:$A363,"&gt;="&amp;$A364-1,$A$4:$A363,"&lt;="&amp;$A364,$B$4:$B363,$B364)&gt;0,MIN(AX$1,IF($A364=$A363,AX363,1))-AC364&lt;0),-1,MIN(1,IF($A364=$A363,AX363,1)-AC364+$D$3))</f>
        <v>#N/A</v>
      </c>
      <c r="AY364" t="e">
        <f>IF(OR($J364=0,COUNTIFS($A$4:$A363,"&gt;="&amp;$A364-1,$A$4:$A363,"&lt;="&amp;$A364,$B$4:$B363,$B364)&gt;0,MIN(AY$1,IF($A364=$A363,AY363,1))-AD364&lt;0),-1,MIN(1,IF($A364=$A363,AY363,1)-AD364+$D$3))</f>
        <v>#N/A</v>
      </c>
      <c r="AZ364" t="e">
        <f>IF(OR($J364=0,COUNTIFS($A$4:$A363,"&gt;="&amp;$A364-1,$A$4:$A363,"&lt;="&amp;$A364,$B$4:$B363,$B364)&gt;0,MIN(AZ$1,IF($A364=$A363,AZ363,1))-AE364&lt;0),-1,MIN(1,IF($A364=$A363,AZ363,1)-AE364+$D$3))</f>
        <v>#N/A</v>
      </c>
      <c r="BA364" t="e">
        <f>IF(OR($J364=0,COUNTIFS($A$4:$A363,"&gt;="&amp;$A364-1,$A$4:$A363,"&lt;="&amp;$A364,$B$4:$B363,$B364)&gt;0,MIN(BA$1,IF($A364=$A363,BA363,1))-AF364&lt;0),-1,MIN(1,IF($A364=$A363,BA363,1)-AF364+$D$3))</f>
        <v>#N/A</v>
      </c>
      <c r="BB364" t="e">
        <f>IF(OR($J364=0,COUNTIFS($A$4:$A363,"&gt;="&amp;$A364-1,$A$4:$A363,"&lt;="&amp;$A364,$B$4:$B363,$B364)&gt;0,MIN(BB$1,IF($A364=$A363,BB363,1))-AG364&lt;0),-1,MIN(1,IF($A364=$A363,BB363,1)-AG364+$D$3))</f>
        <v>#N/A</v>
      </c>
      <c r="BC364" t="e">
        <f>IF(OR($J364=0,COUNTIFS($A$4:$A363,"&gt;="&amp;$A364-1,$A$4:$A363,"&lt;="&amp;$A364,$B$4:$B363,$B364)&gt;0,MIN(BC$1,IF($A364=$A363,BC363,1))-AH364&lt;0),-1,MIN(1,IF($A364=$A363,BC363,1)-AH364+$D$3))</f>
        <v>#N/A</v>
      </c>
      <c r="BD364" t="e">
        <f>IF(OR($J364=0,COUNTIFS($A$4:$A363,"&gt;="&amp;$A364-1,$A$4:$A363,"&lt;="&amp;$A364,$B$4:$B363,$B364)&gt;0,MIN(BD$1,IF($A364=$A363,BD363,1))-AI364&lt;0),-1,MIN(1,IF($A364=$A363,BD363,1)-AI364+$D$3))</f>
        <v>#N/A</v>
      </c>
      <c r="BF364" s="44">
        <f t="shared" si="355"/>
        <v>2.0267668753466151E-8</v>
      </c>
      <c r="BG364" s="44">
        <f t="shared" si="356"/>
        <v>4.9843916621107733E-8</v>
      </c>
      <c r="BH364" s="44">
        <f t="shared" si="357"/>
        <v>5.1084771470090408E-8</v>
      </c>
      <c r="BI364" s="44">
        <f t="shared" si="358"/>
        <v>4.7188145750278242E-8</v>
      </c>
      <c r="BJ364" s="44">
        <f t="shared" si="359"/>
        <v>4.8773428484820364E-8</v>
      </c>
      <c r="BK364" s="44">
        <f t="shared" si="360"/>
        <v>2.0945128705716489E-8</v>
      </c>
      <c r="BL364" s="44">
        <f t="shared" si="361"/>
        <v>1.1314888043851355E-8</v>
      </c>
      <c r="BM364" s="44">
        <f t="shared" si="362"/>
        <v>2.8783753887101962E-8</v>
      </c>
      <c r="BN364" s="44">
        <f t="shared" si="363"/>
        <v>2.9937347315415416E-8</v>
      </c>
      <c r="BO364" s="44">
        <f t="shared" si="364"/>
        <v>1.4029776943949084E-8</v>
      </c>
      <c r="BP364" s="44">
        <f t="shared" si="365"/>
        <v>4.717481238781466E-8</v>
      </c>
      <c r="BQ364" s="44">
        <f t="shared" si="366"/>
        <v>1.2730529047518729E-8</v>
      </c>
      <c r="BR364" s="44">
        <f t="shared" si="367"/>
        <v>3.7609169591060663E-8</v>
      </c>
      <c r="BS364" s="44">
        <f t="shared" si="368"/>
        <v>2.0283124238420922E-8</v>
      </c>
      <c r="BT364" s="44">
        <f t="shared" si="369"/>
        <v>8.0266540939610153E-8</v>
      </c>
      <c r="BU364" s="44">
        <f t="shared" si="370"/>
        <v>7.6678699722627486E-8</v>
      </c>
      <c r="BV364" s="44">
        <f t="shared" si="371"/>
        <v>7.3639686354499477E-8</v>
      </c>
      <c r="BW364" s="44">
        <f t="shared" si="372"/>
        <v>4.8164407298506773E-8</v>
      </c>
      <c r="BX364" s="44">
        <f t="shared" si="373"/>
        <v>3.5582989482512618E-8</v>
      </c>
      <c r="BY364" s="44">
        <f t="shared" si="374"/>
        <v>3.0552086270991822E-8</v>
      </c>
      <c r="CA364" s="44" t="str">
        <f t="shared" si="375"/>
        <v/>
      </c>
      <c r="CB364" s="44" t="str">
        <f t="shared" si="376"/>
        <v/>
      </c>
      <c r="CC364" s="44" t="str">
        <f t="shared" si="377"/>
        <v/>
      </c>
      <c r="CD364" s="44" t="str">
        <f t="shared" si="378"/>
        <v/>
      </c>
      <c r="CE364" s="44" t="str">
        <f t="shared" si="379"/>
        <v/>
      </c>
      <c r="CF364" s="44" t="str">
        <f t="shared" si="380"/>
        <v/>
      </c>
      <c r="CG364" s="44" t="str">
        <f t="shared" si="381"/>
        <v/>
      </c>
      <c r="CH364" s="44" t="str">
        <f t="shared" si="382"/>
        <v/>
      </c>
      <c r="CI364" s="44" t="str">
        <f t="shared" si="383"/>
        <v/>
      </c>
      <c r="CJ364" s="44" t="str">
        <f t="shared" si="384"/>
        <v/>
      </c>
      <c r="CK364" s="44" t="str">
        <f t="shared" si="385"/>
        <v/>
      </c>
      <c r="CL364" s="44" t="str">
        <f t="shared" si="386"/>
        <v/>
      </c>
      <c r="CM364" s="44" t="str">
        <f t="shared" si="387"/>
        <v/>
      </c>
      <c r="CN364" s="44" t="str">
        <f t="shared" si="388"/>
        <v/>
      </c>
      <c r="CO364" s="44" t="str">
        <f t="shared" si="389"/>
        <v/>
      </c>
      <c r="CP364" s="44" t="str">
        <f t="shared" si="390"/>
        <v/>
      </c>
      <c r="CQ364" s="44" t="str">
        <f t="shared" si="391"/>
        <v/>
      </c>
      <c r="CR364" s="44" t="str">
        <f t="shared" si="392"/>
        <v/>
      </c>
      <c r="CS364" s="44" t="str">
        <f t="shared" si="393"/>
        <v/>
      </c>
      <c r="CT364" s="44" t="str">
        <f t="shared" si="394"/>
        <v/>
      </c>
      <c r="CV364" s="44">
        <f t="shared" si="395"/>
        <v>0</v>
      </c>
    </row>
    <row r="365" spans="1:100" x14ac:dyDescent="0.25">
      <c r="A365" s="49"/>
      <c r="B365" s="50"/>
      <c r="C365" s="51" t="str" cm="1">
        <f t="array" ref="C365">IF(B365="","",INDEX(UWS!$B$10:$B$41,B365))</f>
        <v/>
      </c>
      <c r="D365" s="45" t="str">
        <f t="shared" si="352"/>
        <v/>
      </c>
      <c r="E365" s="70" t="str">
        <f t="shared" si="353"/>
        <v/>
      </c>
      <c r="F365" s="52" cm="1">
        <f t="array" ref="F365">0.1+IFERROR(INDEX($F$5:$F364,SUMPRODUCT(MAX(ROW($C$5:$C364)*($C365=$C$5:$C364))-ROW($A$4)))*0.9^($A365-INDEX($A$5:A364,SUMPRODUCT(MAX(ROW($C$5:$C364)*($C365=$C$5:$C364))-ROW($A$4)))),0)</f>
        <v>30.000000000000156</v>
      </c>
      <c r="G365" s="56" t="e">
        <f>INDEX(UWS!$AB$10:$AB$41,MATCH(C365,UWS!$B$10:$B$41,0))</f>
        <v>#N/A</v>
      </c>
      <c r="H365" s="52" t="e">
        <f>INDEX(UWS!$C$10:$C$41,MATCH(C365,UWS!$B$10:$B$41,0))</f>
        <v>#N/A</v>
      </c>
      <c r="I365" s="46">
        <f t="shared" si="354"/>
        <v>5</v>
      </c>
      <c r="J365" s="46" t="e">
        <f>INDEX(UWS!$E$10:$E$41,MATCH(C365,UWS!$B$10:$B$41,0))</f>
        <v>#N/A</v>
      </c>
      <c r="K365" s="46"/>
      <c r="L365" s="109" t="str" cm="1">
        <f t="array" ref="L365">IF(K365="","",INDEX(UWS!$B$10:$B$41,K365))</f>
        <v/>
      </c>
      <c r="M365" s="46"/>
      <c r="N365" s="109" t="str" cm="1">
        <f t="array" ref="N365">IF(M365="","",INDEX(UWS!$B$10:$B$41,M365))</f>
        <v/>
      </c>
      <c r="O365" s="47"/>
      <c r="P365" s="47">
        <f>IFERROR(INDEX(UWS!$G$10:$Z$41,MATCH($C365,UWS!$B$10:$B$41,0),MATCH(P$4,UWS!$G$3:$Z$3,0)),0)</f>
        <v>0</v>
      </c>
      <c r="Q365" s="47">
        <f>IFERROR(INDEX(UWS!$G$10:$Z$41,MATCH($C365,UWS!$B$10:$B$41,0),MATCH(Q$4,UWS!$G$3:$Z$3,0)),0)</f>
        <v>0</v>
      </c>
      <c r="R365" s="47">
        <f>IFERROR(INDEX(UWS!$G$10:$Z$41,MATCH($C365,UWS!$B$10:$B$41,0),MATCH(R$4,UWS!$G$3:$Z$3,0)),0)</f>
        <v>0</v>
      </c>
      <c r="S365" s="47">
        <f>IFERROR(INDEX(UWS!$G$10:$Z$41,MATCH($C365,UWS!$B$10:$B$41,0),MATCH(S$4,UWS!$G$3:$Z$3,0)),0)</f>
        <v>0</v>
      </c>
      <c r="T365" s="47">
        <f>IFERROR(INDEX(UWS!$G$10:$Z$41,MATCH($C365,UWS!$B$10:$B$41,0),MATCH(T$4,UWS!$G$3:$Z$3,0)),0)</f>
        <v>0</v>
      </c>
      <c r="U365" s="47">
        <f>IFERROR(INDEX(UWS!$G$10:$Z$41,MATCH($C365,UWS!$B$10:$B$41,0),MATCH(U$4,UWS!$G$3:$Z$3,0)),0)</f>
        <v>0</v>
      </c>
      <c r="V365" s="47">
        <f>IFERROR(INDEX(UWS!$G$10:$Z$41,MATCH($C365,UWS!$B$10:$B$41,0),MATCH(V$4,UWS!$G$3:$Z$3,0)),0)</f>
        <v>0</v>
      </c>
      <c r="W365" s="47">
        <f>IFERROR(INDEX(UWS!$G$10:$Z$41,MATCH($C365,UWS!$B$10:$B$41,0),MATCH(W$4,UWS!$G$3:$Z$3,0)),0)</f>
        <v>0</v>
      </c>
      <c r="X365" s="47">
        <f>IFERROR(INDEX(UWS!$G$10:$Z$41,MATCH($C365,UWS!$B$10:$B$41,0),MATCH(X$4,UWS!$G$3:$Z$3,0)),0)</f>
        <v>0</v>
      </c>
      <c r="Y365" s="47">
        <f>IFERROR(INDEX(UWS!$G$10:$Z$41,MATCH($C365,UWS!$B$10:$B$41,0),MATCH(Y$4,UWS!$G$3:$Z$3,0)),0)</f>
        <v>0</v>
      </c>
      <c r="Z365" s="47">
        <f>IFERROR(INDEX(UWS!$G$10:$Z$41,MATCH($C365,UWS!$B$10:$B$41,0),MATCH(Z$4,UWS!$G$3:$Z$3,0)),0)</f>
        <v>0</v>
      </c>
      <c r="AA365" s="47">
        <f>IFERROR(INDEX(UWS!$G$10:$Z$41,MATCH($C365,UWS!$B$10:$B$41,0),MATCH(AA$4,UWS!$G$3:$Z$3,0)),0)</f>
        <v>0</v>
      </c>
      <c r="AB365" s="47">
        <f>IFERROR(INDEX(UWS!$G$10:$Z$41,MATCH($C365,UWS!$B$10:$B$41,0),MATCH(AB$4,UWS!$G$3:$Z$3,0)),0)</f>
        <v>0</v>
      </c>
      <c r="AC365" s="47">
        <f>IFERROR(INDEX(UWS!$G$10:$Z$41,MATCH($C365,UWS!$B$10:$B$41,0),MATCH(AC$4,UWS!$G$3:$Z$3,0)),0)</f>
        <v>0</v>
      </c>
      <c r="AD365" s="47">
        <f>IFERROR(INDEX(UWS!$G$10:$Z$41,MATCH($C365,UWS!$B$10:$B$41,0),MATCH(AD$4,UWS!$G$3:$Z$3,0)),0)</f>
        <v>0</v>
      </c>
      <c r="AE365" s="47">
        <f>IFERROR(INDEX(UWS!$G$10:$Z$41,MATCH($C365,UWS!$B$10:$B$41,0),MATCH(AE$4,UWS!$G$3:$Z$3,0)),0)</f>
        <v>0</v>
      </c>
      <c r="AF365" s="47">
        <f>IFERROR(INDEX(UWS!$G$10:$Z$41,MATCH($C365,UWS!$B$10:$B$41,0),MATCH(AF$4,UWS!$G$3:$Z$3,0)),0)</f>
        <v>0</v>
      </c>
      <c r="AG365" s="47">
        <f>IFERROR(INDEX(UWS!$G$10:$Z$41,MATCH($C365,UWS!$B$10:$B$41,0),MATCH(AG$4,UWS!$G$3:$Z$3,0)),0)</f>
        <v>0</v>
      </c>
      <c r="AH365" s="47">
        <f>IFERROR(INDEX(UWS!$G$10:$Z$41,MATCH($C365,UWS!$B$10:$B$41,0),MATCH(AH$4,UWS!$G$3:$Z$3,0)),0)</f>
        <v>0</v>
      </c>
      <c r="AI365" s="47">
        <f>IFERROR(INDEX(UWS!$G$10:$Z$41,MATCH($C365,UWS!$B$10:$B$41,0),MATCH(AI$4,UWS!$G$3:$Z$3,0)),0)</f>
        <v>0</v>
      </c>
      <c r="AJ365" s="47"/>
      <c r="AK365" s="47" t="e">
        <f>IF(OR($J365=0,COUNTIFS($A$4:$A364,"&gt;="&amp;$A365-1,$A$4:$A364,"&lt;="&amp;$A365,$B$4:$B364,$B365)&gt;0,MIN(AK$1,IF($A365=$A364,AK364,1))-P365&lt;0),-1,MIN(1,IF($A365=$A364,AK364,1)-P365+$D$3))</f>
        <v>#N/A</v>
      </c>
      <c r="AL365" s="47" t="e">
        <f>IF(OR($J365=0,COUNTIFS($A$4:$A364,"&gt;="&amp;$A365-1,$A$4:$A364,"&lt;="&amp;$A365,$B$4:$B364,$B365)&gt;0,MIN(AL$1,IF($A365=$A364,AL364,1))-Q365&lt;0),-1,MIN(1,IF($A365=$A364,AL364,1)-Q365+$D$3))</f>
        <v>#N/A</v>
      </c>
      <c r="AM365" s="47" t="e">
        <f>IF(OR($J365=0,COUNTIFS($A$4:$A364,"&gt;="&amp;$A365-1,$A$4:$A364,"&lt;="&amp;$A365,$B$4:$B364,$B365)&gt;0,MIN(AM$1,IF($A365=$A364,AM364,1))-R365&lt;0),-1,MIN(1,IF($A365=$A364,AM364,1)-R365+$D$3))</f>
        <v>#N/A</v>
      </c>
      <c r="AN365" s="47" t="e">
        <f>IF(OR($J365=0,COUNTIFS($A$4:$A364,"&gt;="&amp;$A365-1,$A$4:$A364,"&lt;="&amp;$A365,$B$4:$B364,$B365)&gt;0,MIN(AN$1,IF($A365=$A364,AN364,1))-S365&lt;0),-1,MIN(1,IF($A365=$A364,AN364,1)-S365+$D$3))</f>
        <v>#N/A</v>
      </c>
      <c r="AO365" s="47" t="e">
        <f>IF(OR($J365=0,COUNTIFS($A$4:$A364,"&gt;="&amp;$A365-1,$A$4:$A364,"&lt;="&amp;$A365,$B$4:$B364,$B365)&gt;0,MIN(AO$1,IF($A365=$A364,AO364,1))-T365&lt;0),-1,MIN(1,IF($A365=$A364,AO364,1)-T365+$D$3))</f>
        <v>#N/A</v>
      </c>
      <c r="AP365" s="47" t="e">
        <f>IF(OR($J365=0,COUNTIFS($A$4:$A364,"&gt;="&amp;$A365-1,$A$4:$A364,"&lt;="&amp;$A365,$B$4:$B364,$B365)&gt;0,MIN(AP$1,IF($A365=$A364,AP364,1))-U365&lt;0),-1,MIN(1,IF($A365=$A364,AP364,1)-U365+$D$3))</f>
        <v>#N/A</v>
      </c>
      <c r="AQ365" s="47" t="e">
        <f>IF(OR($J365=0,COUNTIFS($A$4:$A364,"&gt;="&amp;$A365-1,$A$4:$A364,"&lt;="&amp;$A365,$B$4:$B364,$B365)&gt;0,MIN(AQ$1,IF($A365=$A364,AQ364,1))-V365&lt;0),-1,MIN(1,IF($A365=$A364,AQ364,1)-V365+$D$3))</f>
        <v>#N/A</v>
      </c>
      <c r="AR365" s="47" t="e">
        <f>IF(OR($J365=0,COUNTIFS($A$4:$A364,"&gt;="&amp;$A365-1,$A$4:$A364,"&lt;="&amp;$A365,$B$4:$B364,$B365)&gt;0,MIN(AR$1,IF($A365=$A364,AR364,1))-W365&lt;0),-1,MIN(1,IF($A365=$A364,AR364,1)-W365+$D$3))</f>
        <v>#N/A</v>
      </c>
      <c r="AS365" s="47" t="e">
        <f>IF(OR($J365=0,COUNTIFS($A$4:$A364,"&gt;="&amp;$A365-1,$A$4:$A364,"&lt;="&amp;$A365,$B$4:$B364,$B365)&gt;0,MIN(AS$1,IF($A365=$A364,AS364,1))-X365&lt;0),-1,MIN(1,IF($A365=$A364,AS364,1)-X365+$D$3))</f>
        <v>#N/A</v>
      </c>
      <c r="AT365" s="47" t="e">
        <f>IF(OR($J365=0,COUNTIFS($A$4:$A364,"&gt;="&amp;$A365-1,$A$4:$A364,"&lt;="&amp;$A365,$B$4:$B364,$B365)&gt;0,MIN(AT$1,IF($A365=$A364,AT364,1))-Y365&lt;0),-1,MIN(1,IF($A365=$A364,AT364,1)-Y365+$D$3))</f>
        <v>#N/A</v>
      </c>
      <c r="AU365" s="47" t="e">
        <f>IF(OR($J365=0,COUNTIFS($A$4:$A364,"&gt;="&amp;$A365-1,$A$4:$A364,"&lt;="&amp;$A365,$B$4:$B364,$B365)&gt;0,MIN(AU$1,IF($A365=$A364,AU364,1))-Z365&lt;0),-1,MIN(1,IF($A365=$A364,AU364,1)-Z365+$D$3))</f>
        <v>#N/A</v>
      </c>
      <c r="AV365" s="47" t="e">
        <f>IF(OR($J365=0,COUNTIFS($A$4:$A364,"&gt;="&amp;$A365-1,$A$4:$A364,"&lt;="&amp;$A365,$B$4:$B364,$B365)&gt;0,MIN(AV$1,IF($A365=$A364,AV364,1))-AA365&lt;0),-1,MIN(1,IF($A365=$A364,AV364,1)-AA365+$D$3))</f>
        <v>#N/A</v>
      </c>
      <c r="AW365" s="47" t="e">
        <f>IF(OR($J365=0,COUNTIFS($A$4:$A364,"&gt;="&amp;$A365-1,$A$4:$A364,"&lt;="&amp;$A365,$B$4:$B364,$B365)&gt;0,MIN(AW$1,IF($A365=$A364,AW364,1))-AB365&lt;0),-1,MIN(1,IF($A365=$A364,AW364,1)-AB365+$D$3))</f>
        <v>#N/A</v>
      </c>
      <c r="AX365" s="47" t="e">
        <f>IF(OR($J365=0,COUNTIFS($A$4:$A364,"&gt;="&amp;$A365-1,$A$4:$A364,"&lt;="&amp;$A365,$B$4:$B364,$B365)&gt;0,MIN(AX$1,IF($A365=$A364,AX364,1))-AC365&lt;0),-1,MIN(1,IF($A365=$A364,AX364,1)-AC365+$D$3))</f>
        <v>#N/A</v>
      </c>
      <c r="AY365" s="47" t="e">
        <f>IF(OR($J365=0,COUNTIFS($A$4:$A364,"&gt;="&amp;$A365-1,$A$4:$A364,"&lt;="&amp;$A365,$B$4:$B364,$B365)&gt;0,MIN(AY$1,IF($A365=$A364,AY364,1))-AD365&lt;0),-1,MIN(1,IF($A365=$A364,AY364,1)-AD365+$D$3))</f>
        <v>#N/A</v>
      </c>
      <c r="AZ365" s="47" t="e">
        <f>IF(OR($J365=0,COUNTIFS($A$4:$A364,"&gt;="&amp;$A365-1,$A$4:$A364,"&lt;="&amp;$A365,$B$4:$B364,$B365)&gt;0,MIN(AZ$1,IF($A365=$A364,AZ364,1))-AE365&lt;0),-1,MIN(1,IF($A365=$A364,AZ364,1)-AE365+$D$3))</f>
        <v>#N/A</v>
      </c>
      <c r="BA365" s="47" t="e">
        <f>IF(OR($J365=0,COUNTIFS($A$4:$A364,"&gt;="&amp;$A365-1,$A$4:$A364,"&lt;="&amp;$A365,$B$4:$B364,$B365)&gt;0,MIN(BA$1,IF($A365=$A364,BA364,1))-AF365&lt;0),-1,MIN(1,IF($A365=$A364,BA364,1)-AF365+$D$3))</f>
        <v>#N/A</v>
      </c>
      <c r="BB365" s="47" t="e">
        <f>IF(OR($J365=0,COUNTIFS($A$4:$A364,"&gt;="&amp;$A365-1,$A$4:$A364,"&lt;="&amp;$A365,$B$4:$B364,$B365)&gt;0,MIN(BB$1,IF($A365=$A364,BB364,1))-AG365&lt;0),-1,MIN(1,IF($A365=$A364,BB364,1)-AG365+$D$3))</f>
        <v>#N/A</v>
      </c>
      <c r="BC365" s="47" t="e">
        <f>IF(OR($J365=0,COUNTIFS($A$4:$A364,"&gt;="&amp;$A365-1,$A$4:$A364,"&lt;="&amp;$A365,$B$4:$B364,$B365)&gt;0,MIN(BC$1,IF($A365=$A364,BC364,1))-AH365&lt;0),-1,MIN(1,IF($A365=$A364,BC364,1)-AH365+$D$3))</f>
        <v>#N/A</v>
      </c>
      <c r="BD365" s="47" t="e">
        <f>IF(OR($J365=0,COUNTIFS($A$4:$A364,"&gt;="&amp;$A365-1,$A$4:$A364,"&lt;="&amp;$A365,$B$4:$B364,$B365)&gt;0,MIN(BD$1,IF($A365=$A364,BD364,1))-AI365&lt;0),-1,MIN(1,IF($A365=$A364,BD364,1)-AI365+$D$3))</f>
        <v>#N/A</v>
      </c>
      <c r="BE365" s="47"/>
      <c r="BF365" s="53">
        <f t="shared" si="355"/>
        <v>1.9254285315792841E-8</v>
      </c>
      <c r="BG365" s="53">
        <f t="shared" si="356"/>
        <v>4.7351720790052342E-8</v>
      </c>
      <c r="BH365" s="53">
        <f t="shared" si="357"/>
        <v>4.8530532896585886E-8</v>
      </c>
      <c r="BI365" s="53">
        <f t="shared" si="358"/>
        <v>4.4828738462764327E-8</v>
      </c>
      <c r="BJ365" s="53">
        <f t="shared" si="359"/>
        <v>4.6334757060579343E-8</v>
      </c>
      <c r="BK365" s="53">
        <f t="shared" si="360"/>
        <v>1.9897872270430663E-8</v>
      </c>
      <c r="BL365" s="53">
        <f t="shared" si="361"/>
        <v>1.0749143641658786E-8</v>
      </c>
      <c r="BM365" s="53">
        <f t="shared" si="362"/>
        <v>2.7344566192746862E-8</v>
      </c>
      <c r="BN365" s="53">
        <f t="shared" si="363"/>
        <v>2.8440479949644645E-8</v>
      </c>
      <c r="BO365" s="53">
        <f t="shared" si="364"/>
        <v>1.332828809675163E-8</v>
      </c>
      <c r="BP365" s="53">
        <f t="shared" si="365"/>
        <v>4.4816071768423924E-8</v>
      </c>
      <c r="BQ365" s="53">
        <f t="shared" si="366"/>
        <v>1.2094002595142792E-8</v>
      </c>
      <c r="BR365" s="53">
        <f t="shared" si="367"/>
        <v>3.5728711111507625E-8</v>
      </c>
      <c r="BS365" s="53">
        <f t="shared" si="368"/>
        <v>1.9268968026499874E-8</v>
      </c>
      <c r="BT365" s="53">
        <f t="shared" si="369"/>
        <v>7.6253213892629637E-8</v>
      </c>
      <c r="BU365" s="53">
        <f t="shared" si="370"/>
        <v>7.2844764736496106E-8</v>
      </c>
      <c r="BV365" s="53">
        <f t="shared" si="371"/>
        <v>6.9957702036774506E-8</v>
      </c>
      <c r="BW365" s="53">
        <f t="shared" si="372"/>
        <v>4.5756186933581433E-8</v>
      </c>
      <c r="BX365" s="53">
        <f t="shared" si="373"/>
        <v>3.3803840008386987E-8</v>
      </c>
      <c r="BY365" s="53">
        <f t="shared" si="374"/>
        <v>2.902448195744223E-8</v>
      </c>
      <c r="BZ365" s="47"/>
      <c r="CA365" s="53" t="str">
        <f t="shared" si="375"/>
        <v/>
      </c>
      <c r="CB365" s="53" t="str">
        <f t="shared" si="376"/>
        <v/>
      </c>
      <c r="CC365" s="53" t="str">
        <f t="shared" si="377"/>
        <v/>
      </c>
      <c r="CD365" s="53" t="str">
        <f t="shared" si="378"/>
        <v/>
      </c>
      <c r="CE365" s="53" t="str">
        <f t="shared" si="379"/>
        <v/>
      </c>
      <c r="CF365" s="53" t="str">
        <f t="shared" si="380"/>
        <v/>
      </c>
      <c r="CG365" s="53" t="str">
        <f t="shared" si="381"/>
        <v/>
      </c>
      <c r="CH365" s="53" t="str">
        <f t="shared" si="382"/>
        <v/>
      </c>
      <c r="CI365" s="53" t="str">
        <f t="shared" si="383"/>
        <v/>
      </c>
      <c r="CJ365" s="53" t="str">
        <f t="shared" si="384"/>
        <v/>
      </c>
      <c r="CK365" s="53" t="str">
        <f t="shared" si="385"/>
        <v/>
      </c>
      <c r="CL365" s="53" t="str">
        <f t="shared" si="386"/>
        <v/>
      </c>
      <c r="CM365" s="53" t="str">
        <f t="shared" si="387"/>
        <v/>
      </c>
      <c r="CN365" s="53" t="str">
        <f t="shared" si="388"/>
        <v/>
      </c>
      <c r="CO365" s="53" t="str">
        <f t="shared" si="389"/>
        <v/>
      </c>
      <c r="CP365" s="53" t="str">
        <f t="shared" si="390"/>
        <v/>
      </c>
      <c r="CQ365" s="53" t="str">
        <f t="shared" si="391"/>
        <v/>
      </c>
      <c r="CR365" s="53" t="str">
        <f t="shared" si="392"/>
        <v/>
      </c>
      <c r="CS365" s="53" t="str">
        <f t="shared" si="393"/>
        <v/>
      </c>
      <c r="CT365" s="53" t="str">
        <f t="shared" si="394"/>
        <v/>
      </c>
      <c r="CU365" s="47"/>
      <c r="CV365" s="53">
        <f t="shared" si="395"/>
        <v>0</v>
      </c>
    </row>
    <row r="366" spans="1:100" x14ac:dyDescent="0.25">
      <c r="A366" s="41"/>
      <c r="B366" s="42"/>
      <c r="C366" s="43" t="str" cm="1">
        <f t="array" ref="C366">IF(B366="","",INDEX(UWS!$B$10:$B$41,B366))</f>
        <v/>
      </c>
      <c r="D366" s="40" t="str">
        <f t="shared" si="352"/>
        <v/>
      </c>
      <c r="E366" s="69" t="str">
        <f t="shared" si="353"/>
        <v/>
      </c>
      <c r="F366" s="48" cm="1">
        <f t="array" ref="F366">0.1+IFERROR(INDEX($F$5:$F365,SUMPRODUCT(MAX(ROW($C$5:$C365)*($C366=$C$5:$C365))-ROW($A$4)))*0.9^($A366-INDEX($A$5:A365,SUMPRODUCT(MAX(ROW($C$5:$C365)*($C366=$C$5:$C365))-ROW($A$4)))),0)</f>
        <v>30.100000000000158</v>
      </c>
      <c r="G366" s="55" t="e">
        <f>INDEX(UWS!$AB$10:$AB$41,MATCH(C366,UWS!$B$10:$B$41,0))</f>
        <v>#N/A</v>
      </c>
      <c r="H366" s="48" t="e">
        <f>INDEX(UWS!$C$10:$C$41,MATCH(C366,UWS!$B$10:$B$41,0))</f>
        <v>#N/A</v>
      </c>
      <c r="I366" s="82">
        <f t="shared" si="354"/>
        <v>5</v>
      </c>
      <c r="J366" s="27" t="e">
        <f>INDEX(UWS!$E$10:$E$41,MATCH(C366,UWS!$B$10:$B$41,0))</f>
        <v>#N/A</v>
      </c>
      <c r="L366" s="108" t="str" cm="1">
        <f t="array" ref="L366">IF(K366="","",INDEX(UWS!$B$10:$B$41,K366))</f>
        <v/>
      </c>
      <c r="N366" s="108" t="str" cm="1">
        <f t="array" ref="N366">IF(M366="","",INDEX(UWS!$B$10:$B$41,M366))</f>
        <v/>
      </c>
      <c r="P366">
        <f>IFERROR(INDEX(UWS!$G$10:$Z$41,MATCH($C366,UWS!$B$10:$B$41,0),MATCH(P$4,UWS!$G$3:$Z$3,0)),0)</f>
        <v>0</v>
      </c>
      <c r="Q366">
        <f>IFERROR(INDEX(UWS!$G$10:$Z$41,MATCH($C366,UWS!$B$10:$B$41,0),MATCH(Q$4,UWS!$G$3:$Z$3,0)),0)</f>
        <v>0</v>
      </c>
      <c r="R366">
        <f>IFERROR(INDEX(UWS!$G$10:$Z$41,MATCH($C366,UWS!$B$10:$B$41,0),MATCH(R$4,UWS!$G$3:$Z$3,0)),0)</f>
        <v>0</v>
      </c>
      <c r="S366">
        <f>IFERROR(INDEX(UWS!$G$10:$Z$41,MATCH($C366,UWS!$B$10:$B$41,0),MATCH(S$4,UWS!$G$3:$Z$3,0)),0)</f>
        <v>0</v>
      </c>
      <c r="T366">
        <f>IFERROR(INDEX(UWS!$G$10:$Z$41,MATCH($C366,UWS!$B$10:$B$41,0),MATCH(T$4,UWS!$G$3:$Z$3,0)),0)</f>
        <v>0</v>
      </c>
      <c r="U366">
        <f>IFERROR(INDEX(UWS!$G$10:$Z$41,MATCH($C366,UWS!$B$10:$B$41,0),MATCH(U$4,UWS!$G$3:$Z$3,0)),0)</f>
        <v>0</v>
      </c>
      <c r="V366">
        <f>IFERROR(INDEX(UWS!$G$10:$Z$41,MATCH($C366,UWS!$B$10:$B$41,0),MATCH(V$4,UWS!$G$3:$Z$3,0)),0)</f>
        <v>0</v>
      </c>
      <c r="W366">
        <f>IFERROR(INDEX(UWS!$G$10:$Z$41,MATCH($C366,UWS!$B$10:$B$41,0),MATCH(W$4,UWS!$G$3:$Z$3,0)),0)</f>
        <v>0</v>
      </c>
      <c r="X366">
        <f>IFERROR(INDEX(UWS!$G$10:$Z$41,MATCH($C366,UWS!$B$10:$B$41,0),MATCH(X$4,UWS!$G$3:$Z$3,0)),0)</f>
        <v>0</v>
      </c>
      <c r="Y366">
        <f>IFERROR(INDEX(UWS!$G$10:$Z$41,MATCH($C366,UWS!$B$10:$B$41,0),MATCH(Y$4,UWS!$G$3:$Z$3,0)),0)</f>
        <v>0</v>
      </c>
      <c r="Z366">
        <f>IFERROR(INDEX(UWS!$G$10:$Z$41,MATCH($C366,UWS!$B$10:$B$41,0),MATCH(Z$4,UWS!$G$3:$Z$3,0)),0)</f>
        <v>0</v>
      </c>
      <c r="AA366">
        <f>IFERROR(INDEX(UWS!$G$10:$Z$41,MATCH($C366,UWS!$B$10:$B$41,0),MATCH(AA$4,UWS!$G$3:$Z$3,0)),0)</f>
        <v>0</v>
      </c>
      <c r="AB366">
        <f>IFERROR(INDEX(UWS!$G$10:$Z$41,MATCH($C366,UWS!$B$10:$B$41,0),MATCH(AB$4,UWS!$G$3:$Z$3,0)),0)</f>
        <v>0</v>
      </c>
      <c r="AC366">
        <f>IFERROR(INDEX(UWS!$G$10:$Z$41,MATCH($C366,UWS!$B$10:$B$41,0),MATCH(AC$4,UWS!$G$3:$Z$3,0)),0)</f>
        <v>0</v>
      </c>
      <c r="AD366">
        <f>IFERROR(INDEX(UWS!$G$10:$Z$41,MATCH($C366,UWS!$B$10:$B$41,0),MATCH(AD$4,UWS!$G$3:$Z$3,0)),0)</f>
        <v>0</v>
      </c>
      <c r="AE366">
        <f>IFERROR(INDEX(UWS!$G$10:$Z$41,MATCH($C366,UWS!$B$10:$B$41,0),MATCH(AE$4,UWS!$G$3:$Z$3,0)),0)</f>
        <v>0</v>
      </c>
      <c r="AF366">
        <f>IFERROR(INDEX(UWS!$G$10:$Z$41,MATCH($C366,UWS!$B$10:$B$41,0),MATCH(AF$4,UWS!$G$3:$Z$3,0)),0)</f>
        <v>0</v>
      </c>
      <c r="AG366">
        <f>IFERROR(INDEX(UWS!$G$10:$Z$41,MATCH($C366,UWS!$B$10:$B$41,0),MATCH(AG$4,UWS!$G$3:$Z$3,0)),0)</f>
        <v>0</v>
      </c>
      <c r="AH366">
        <f>IFERROR(INDEX(UWS!$G$10:$Z$41,MATCH($C366,UWS!$B$10:$B$41,0),MATCH(AH$4,UWS!$G$3:$Z$3,0)),0)</f>
        <v>0</v>
      </c>
      <c r="AI366">
        <f>IFERROR(INDEX(UWS!$G$10:$Z$41,MATCH($C366,UWS!$B$10:$B$41,0),MATCH(AI$4,UWS!$G$3:$Z$3,0)),0)</f>
        <v>0</v>
      </c>
      <c r="AK366" t="e">
        <f>IF(OR($J366=0,COUNTIFS($A$4:$A365,"&gt;="&amp;$A366-1,$A$4:$A365,"&lt;="&amp;$A366,$B$4:$B365,$B366)&gt;0,MIN(AK$1,IF($A366=$A365,AK365,1))-P366&lt;0),-1,MIN(1,IF($A366=$A365,AK365,1)-P366+$D$3))</f>
        <v>#N/A</v>
      </c>
      <c r="AL366" t="e">
        <f>IF(OR($J366=0,COUNTIFS($A$4:$A365,"&gt;="&amp;$A366-1,$A$4:$A365,"&lt;="&amp;$A366,$B$4:$B365,$B366)&gt;0,MIN(AL$1,IF($A366=$A365,AL365,1))-Q366&lt;0),-1,MIN(1,IF($A366=$A365,AL365,1)-Q366+$D$3))</f>
        <v>#N/A</v>
      </c>
      <c r="AM366" t="e">
        <f>IF(OR($J366=0,COUNTIFS($A$4:$A365,"&gt;="&amp;$A366-1,$A$4:$A365,"&lt;="&amp;$A366,$B$4:$B365,$B366)&gt;0,MIN(AM$1,IF($A366=$A365,AM365,1))-R366&lt;0),-1,MIN(1,IF($A366=$A365,AM365,1)-R366+$D$3))</f>
        <v>#N/A</v>
      </c>
      <c r="AN366" t="e">
        <f>IF(OR($J366=0,COUNTIFS($A$4:$A365,"&gt;="&amp;$A366-1,$A$4:$A365,"&lt;="&amp;$A366,$B$4:$B365,$B366)&gt;0,MIN(AN$1,IF($A366=$A365,AN365,1))-S366&lt;0),-1,MIN(1,IF($A366=$A365,AN365,1)-S366+$D$3))</f>
        <v>#N/A</v>
      </c>
      <c r="AO366" t="e">
        <f>IF(OR($J366=0,COUNTIFS($A$4:$A365,"&gt;="&amp;$A366-1,$A$4:$A365,"&lt;="&amp;$A366,$B$4:$B365,$B366)&gt;0,MIN(AO$1,IF($A366=$A365,AO365,1))-T366&lt;0),-1,MIN(1,IF($A366=$A365,AO365,1)-T366+$D$3))</f>
        <v>#N/A</v>
      </c>
      <c r="AP366" t="e">
        <f>IF(OR($J366=0,COUNTIFS($A$4:$A365,"&gt;="&amp;$A366-1,$A$4:$A365,"&lt;="&amp;$A366,$B$4:$B365,$B366)&gt;0,MIN(AP$1,IF($A366=$A365,AP365,1))-U366&lt;0),-1,MIN(1,IF($A366=$A365,AP365,1)-U366+$D$3))</f>
        <v>#N/A</v>
      </c>
      <c r="AQ366" t="e">
        <f>IF(OR($J366=0,COUNTIFS($A$4:$A365,"&gt;="&amp;$A366-1,$A$4:$A365,"&lt;="&amp;$A366,$B$4:$B365,$B366)&gt;0,MIN(AQ$1,IF($A366=$A365,AQ365,1))-V366&lt;0),-1,MIN(1,IF($A366=$A365,AQ365,1)-V366+$D$3))</f>
        <v>#N/A</v>
      </c>
      <c r="AR366" t="e">
        <f>IF(OR($J366=0,COUNTIFS($A$4:$A365,"&gt;="&amp;$A366-1,$A$4:$A365,"&lt;="&amp;$A366,$B$4:$B365,$B366)&gt;0,MIN(AR$1,IF($A366=$A365,AR365,1))-W366&lt;0),-1,MIN(1,IF($A366=$A365,AR365,1)-W366+$D$3))</f>
        <v>#N/A</v>
      </c>
      <c r="AS366" t="e">
        <f>IF(OR($J366=0,COUNTIFS($A$4:$A365,"&gt;="&amp;$A366-1,$A$4:$A365,"&lt;="&amp;$A366,$B$4:$B365,$B366)&gt;0,MIN(AS$1,IF($A366=$A365,AS365,1))-X366&lt;0),-1,MIN(1,IF($A366=$A365,AS365,1)-X366+$D$3))</f>
        <v>#N/A</v>
      </c>
      <c r="AT366" t="e">
        <f>IF(OR($J366=0,COUNTIFS($A$4:$A365,"&gt;="&amp;$A366-1,$A$4:$A365,"&lt;="&amp;$A366,$B$4:$B365,$B366)&gt;0,MIN(AT$1,IF($A366=$A365,AT365,1))-Y366&lt;0),-1,MIN(1,IF($A366=$A365,AT365,1)-Y366+$D$3))</f>
        <v>#N/A</v>
      </c>
      <c r="AU366" t="e">
        <f>IF(OR($J366=0,COUNTIFS($A$4:$A365,"&gt;="&amp;$A366-1,$A$4:$A365,"&lt;="&amp;$A366,$B$4:$B365,$B366)&gt;0,MIN(AU$1,IF($A366=$A365,AU365,1))-Z366&lt;0),-1,MIN(1,IF($A366=$A365,AU365,1)-Z366+$D$3))</f>
        <v>#N/A</v>
      </c>
      <c r="AV366" t="e">
        <f>IF(OR($J366=0,COUNTIFS($A$4:$A365,"&gt;="&amp;$A366-1,$A$4:$A365,"&lt;="&amp;$A366,$B$4:$B365,$B366)&gt;0,MIN(AV$1,IF($A366=$A365,AV365,1))-AA366&lt;0),-1,MIN(1,IF($A366=$A365,AV365,1)-AA366+$D$3))</f>
        <v>#N/A</v>
      </c>
      <c r="AW366" t="e">
        <f>IF(OR($J366=0,COUNTIFS($A$4:$A365,"&gt;="&amp;$A366-1,$A$4:$A365,"&lt;="&amp;$A366,$B$4:$B365,$B366)&gt;0,MIN(AW$1,IF($A366=$A365,AW365,1))-AB366&lt;0),-1,MIN(1,IF($A366=$A365,AW365,1)-AB366+$D$3))</f>
        <v>#N/A</v>
      </c>
      <c r="AX366" t="e">
        <f>IF(OR($J366=0,COUNTIFS($A$4:$A365,"&gt;="&amp;$A366-1,$A$4:$A365,"&lt;="&amp;$A366,$B$4:$B365,$B366)&gt;0,MIN(AX$1,IF($A366=$A365,AX365,1))-AC366&lt;0),-1,MIN(1,IF($A366=$A365,AX365,1)-AC366+$D$3))</f>
        <v>#N/A</v>
      </c>
      <c r="AY366" t="e">
        <f>IF(OR($J366=0,COUNTIFS($A$4:$A365,"&gt;="&amp;$A366-1,$A$4:$A365,"&lt;="&amp;$A366,$B$4:$B365,$B366)&gt;0,MIN(AY$1,IF($A366=$A365,AY365,1))-AD366&lt;0),-1,MIN(1,IF($A366=$A365,AY365,1)-AD366+$D$3))</f>
        <v>#N/A</v>
      </c>
      <c r="AZ366" t="e">
        <f>IF(OR($J366=0,COUNTIFS($A$4:$A365,"&gt;="&amp;$A366-1,$A$4:$A365,"&lt;="&amp;$A366,$B$4:$B365,$B366)&gt;0,MIN(AZ$1,IF($A366=$A365,AZ365,1))-AE366&lt;0),-1,MIN(1,IF($A366=$A365,AZ365,1)-AE366+$D$3))</f>
        <v>#N/A</v>
      </c>
      <c r="BA366" t="e">
        <f>IF(OR($J366=0,COUNTIFS($A$4:$A365,"&gt;="&amp;$A366-1,$A$4:$A365,"&lt;="&amp;$A366,$B$4:$B365,$B366)&gt;0,MIN(BA$1,IF($A366=$A365,BA365,1))-AF366&lt;0),-1,MIN(1,IF($A366=$A365,BA365,1)-AF366+$D$3))</f>
        <v>#N/A</v>
      </c>
      <c r="BB366" t="e">
        <f>IF(OR($J366=0,COUNTIFS($A$4:$A365,"&gt;="&amp;$A366-1,$A$4:$A365,"&lt;="&amp;$A366,$B$4:$B365,$B366)&gt;0,MIN(BB$1,IF($A366=$A365,BB365,1))-AG366&lt;0),-1,MIN(1,IF($A366=$A365,BB365,1)-AG366+$D$3))</f>
        <v>#N/A</v>
      </c>
      <c r="BC366" t="e">
        <f>IF(OR($J366=0,COUNTIFS($A$4:$A365,"&gt;="&amp;$A366-1,$A$4:$A365,"&lt;="&amp;$A366,$B$4:$B365,$B366)&gt;0,MIN(BC$1,IF($A366=$A365,BC365,1))-AH366&lt;0),-1,MIN(1,IF($A366=$A365,BC365,1)-AH366+$D$3))</f>
        <v>#N/A</v>
      </c>
      <c r="BD366" t="e">
        <f>IF(OR($J366=0,COUNTIFS($A$4:$A365,"&gt;="&amp;$A366-1,$A$4:$A365,"&lt;="&amp;$A366,$B$4:$B365,$B366)&gt;0,MIN(BD$1,IF($A366=$A365,BD365,1))-AI366&lt;0),-1,MIN(1,IF($A366=$A365,BD365,1)-AI366+$D$3))</f>
        <v>#N/A</v>
      </c>
      <c r="BF366" s="44">
        <f t="shared" si="355"/>
        <v>1.8291571050003199E-8</v>
      </c>
      <c r="BG366" s="44">
        <f t="shared" si="356"/>
        <v>4.4984134750549724E-8</v>
      </c>
      <c r="BH366" s="44">
        <f t="shared" si="357"/>
        <v>4.6104006251756591E-8</v>
      </c>
      <c r="BI366" s="44">
        <f t="shared" si="358"/>
        <v>4.2587301539626112E-8</v>
      </c>
      <c r="BJ366" s="44">
        <f t="shared" si="359"/>
        <v>4.4018019207550376E-8</v>
      </c>
      <c r="BK366" s="44">
        <f t="shared" si="360"/>
        <v>1.890297865690913E-8</v>
      </c>
      <c r="BL366" s="44">
        <f t="shared" si="361"/>
        <v>1.0211686459575847E-8</v>
      </c>
      <c r="BM366" s="44">
        <f t="shared" si="362"/>
        <v>2.5977337883109516E-8</v>
      </c>
      <c r="BN366" s="44">
        <f t="shared" si="363"/>
        <v>2.7018455952162412E-8</v>
      </c>
      <c r="BO366" s="44">
        <f t="shared" si="364"/>
        <v>1.2661873691914047E-8</v>
      </c>
      <c r="BP366" s="44">
        <f t="shared" si="365"/>
        <v>4.2575268180002729E-8</v>
      </c>
      <c r="BQ366" s="44">
        <f t="shared" si="366"/>
        <v>1.1489302465385651E-8</v>
      </c>
      <c r="BR366" s="44">
        <f t="shared" si="367"/>
        <v>3.394227555593224E-8</v>
      </c>
      <c r="BS366" s="44">
        <f t="shared" si="368"/>
        <v>1.8305519625174879E-8</v>
      </c>
      <c r="BT366" s="44">
        <f t="shared" si="369"/>
        <v>7.2440553197998147E-8</v>
      </c>
      <c r="BU366" s="44">
        <f t="shared" si="370"/>
        <v>6.9202526499671302E-8</v>
      </c>
      <c r="BV366" s="44">
        <f t="shared" si="371"/>
        <v>6.6459816934935772E-8</v>
      </c>
      <c r="BW366" s="44">
        <f t="shared" si="372"/>
        <v>4.346837758690236E-8</v>
      </c>
      <c r="BX366" s="44">
        <f t="shared" si="373"/>
        <v>3.2113648007967634E-8</v>
      </c>
      <c r="BY366" s="44">
        <f t="shared" si="374"/>
        <v>2.7573257859570117E-8</v>
      </c>
      <c r="CA366" s="44" t="str">
        <f t="shared" si="375"/>
        <v/>
      </c>
      <c r="CB366" s="44" t="str">
        <f t="shared" si="376"/>
        <v/>
      </c>
      <c r="CC366" s="44" t="str">
        <f t="shared" si="377"/>
        <v/>
      </c>
      <c r="CD366" s="44" t="str">
        <f t="shared" si="378"/>
        <v/>
      </c>
      <c r="CE366" s="44" t="str">
        <f t="shared" si="379"/>
        <v/>
      </c>
      <c r="CF366" s="44" t="str">
        <f t="shared" si="380"/>
        <v/>
      </c>
      <c r="CG366" s="44" t="str">
        <f t="shared" si="381"/>
        <v/>
      </c>
      <c r="CH366" s="44" t="str">
        <f t="shared" si="382"/>
        <v/>
      </c>
      <c r="CI366" s="44" t="str">
        <f t="shared" si="383"/>
        <v/>
      </c>
      <c r="CJ366" s="44" t="str">
        <f t="shared" si="384"/>
        <v/>
      </c>
      <c r="CK366" s="44" t="str">
        <f t="shared" si="385"/>
        <v/>
      </c>
      <c r="CL366" s="44" t="str">
        <f t="shared" si="386"/>
        <v/>
      </c>
      <c r="CM366" s="44" t="str">
        <f t="shared" si="387"/>
        <v/>
      </c>
      <c r="CN366" s="44" t="str">
        <f t="shared" si="388"/>
        <v/>
      </c>
      <c r="CO366" s="44" t="str">
        <f t="shared" si="389"/>
        <v/>
      </c>
      <c r="CP366" s="44" t="str">
        <f t="shared" si="390"/>
        <v/>
      </c>
      <c r="CQ366" s="44" t="str">
        <f t="shared" si="391"/>
        <v/>
      </c>
      <c r="CR366" s="44" t="str">
        <f t="shared" si="392"/>
        <v/>
      </c>
      <c r="CS366" s="44" t="str">
        <f t="shared" si="393"/>
        <v/>
      </c>
      <c r="CT366" s="44" t="str">
        <f t="shared" si="394"/>
        <v/>
      </c>
      <c r="CV366" s="44">
        <f t="shared" si="395"/>
        <v>0</v>
      </c>
    </row>
    <row r="367" spans="1:100" x14ac:dyDescent="0.25">
      <c r="A367" s="41"/>
      <c r="B367" s="42"/>
      <c r="C367" s="43" t="str" cm="1">
        <f t="array" ref="C367">IF(B367="","",INDEX(UWS!$B$10:$B$41,B367))</f>
        <v/>
      </c>
      <c r="D367" s="40" t="str">
        <f t="shared" si="352"/>
        <v/>
      </c>
      <c r="E367" s="69" t="str">
        <f t="shared" si="353"/>
        <v/>
      </c>
      <c r="F367" s="48" cm="1">
        <f t="array" ref="F367">0.1+IFERROR(INDEX($F$5:$F366,SUMPRODUCT(MAX(ROW($C$5:$C366)*($C367=$C$5:$C366))-ROW($A$4)))*0.9^($A367-INDEX($A$5:A366,SUMPRODUCT(MAX(ROW($C$5:$C366)*($C367=$C$5:$C366))-ROW($A$4)))),0)</f>
        <v>30.200000000000159</v>
      </c>
      <c r="G367" s="55" t="e">
        <f>INDEX(UWS!$AB$10:$AB$41,MATCH(C367,UWS!$B$10:$B$41,0))</f>
        <v>#N/A</v>
      </c>
      <c r="H367" s="48" t="e">
        <f>INDEX(UWS!$C$10:$C$41,MATCH(C367,UWS!$B$10:$B$41,0))</f>
        <v>#N/A</v>
      </c>
      <c r="I367" s="27">
        <f t="shared" si="354"/>
        <v>5</v>
      </c>
      <c r="J367" s="27" t="e">
        <f>INDEX(UWS!$E$10:$E$41,MATCH(C367,UWS!$B$10:$B$41,0))</f>
        <v>#N/A</v>
      </c>
      <c r="L367" s="108" t="str" cm="1">
        <f t="array" ref="L367">IF(K367="","",INDEX(UWS!$B$10:$B$41,K367))</f>
        <v/>
      </c>
      <c r="N367" s="108" t="str" cm="1">
        <f t="array" ref="N367">IF(M367="","",INDEX(UWS!$B$10:$B$41,M367))</f>
        <v/>
      </c>
      <c r="P367">
        <f>IFERROR(INDEX(UWS!$G$10:$Z$41,MATCH($C367,UWS!$B$10:$B$41,0),MATCH(P$4,UWS!$G$3:$Z$3,0)),0)</f>
        <v>0</v>
      </c>
      <c r="Q367">
        <f>IFERROR(INDEX(UWS!$G$10:$Z$41,MATCH($C367,UWS!$B$10:$B$41,0),MATCH(Q$4,UWS!$G$3:$Z$3,0)),0)</f>
        <v>0</v>
      </c>
      <c r="R367">
        <f>IFERROR(INDEX(UWS!$G$10:$Z$41,MATCH($C367,UWS!$B$10:$B$41,0),MATCH(R$4,UWS!$G$3:$Z$3,0)),0)</f>
        <v>0</v>
      </c>
      <c r="S367">
        <f>IFERROR(INDEX(UWS!$G$10:$Z$41,MATCH($C367,UWS!$B$10:$B$41,0),MATCH(S$4,UWS!$G$3:$Z$3,0)),0)</f>
        <v>0</v>
      </c>
      <c r="T367">
        <f>IFERROR(INDEX(UWS!$G$10:$Z$41,MATCH($C367,UWS!$B$10:$B$41,0),MATCH(T$4,UWS!$G$3:$Z$3,0)),0)</f>
        <v>0</v>
      </c>
      <c r="U367">
        <f>IFERROR(INDEX(UWS!$G$10:$Z$41,MATCH($C367,UWS!$B$10:$B$41,0),MATCH(U$4,UWS!$G$3:$Z$3,0)),0)</f>
        <v>0</v>
      </c>
      <c r="V367">
        <f>IFERROR(INDEX(UWS!$G$10:$Z$41,MATCH($C367,UWS!$B$10:$B$41,0),MATCH(V$4,UWS!$G$3:$Z$3,0)),0)</f>
        <v>0</v>
      </c>
      <c r="W367">
        <f>IFERROR(INDEX(UWS!$G$10:$Z$41,MATCH($C367,UWS!$B$10:$B$41,0),MATCH(W$4,UWS!$G$3:$Z$3,0)),0)</f>
        <v>0</v>
      </c>
      <c r="X367">
        <f>IFERROR(INDEX(UWS!$G$10:$Z$41,MATCH($C367,UWS!$B$10:$B$41,0),MATCH(X$4,UWS!$G$3:$Z$3,0)),0)</f>
        <v>0</v>
      </c>
      <c r="Y367">
        <f>IFERROR(INDEX(UWS!$G$10:$Z$41,MATCH($C367,UWS!$B$10:$B$41,0),MATCH(Y$4,UWS!$G$3:$Z$3,0)),0)</f>
        <v>0</v>
      </c>
      <c r="Z367">
        <f>IFERROR(INDEX(UWS!$G$10:$Z$41,MATCH($C367,UWS!$B$10:$B$41,0),MATCH(Z$4,UWS!$G$3:$Z$3,0)),0)</f>
        <v>0</v>
      </c>
      <c r="AA367">
        <f>IFERROR(INDEX(UWS!$G$10:$Z$41,MATCH($C367,UWS!$B$10:$B$41,0),MATCH(AA$4,UWS!$G$3:$Z$3,0)),0)</f>
        <v>0</v>
      </c>
      <c r="AB367">
        <f>IFERROR(INDEX(UWS!$G$10:$Z$41,MATCH($C367,UWS!$B$10:$B$41,0),MATCH(AB$4,UWS!$G$3:$Z$3,0)),0)</f>
        <v>0</v>
      </c>
      <c r="AC367">
        <f>IFERROR(INDEX(UWS!$G$10:$Z$41,MATCH($C367,UWS!$B$10:$B$41,0),MATCH(AC$4,UWS!$G$3:$Z$3,0)),0)</f>
        <v>0</v>
      </c>
      <c r="AD367">
        <f>IFERROR(INDEX(UWS!$G$10:$Z$41,MATCH($C367,UWS!$B$10:$B$41,0),MATCH(AD$4,UWS!$G$3:$Z$3,0)),0)</f>
        <v>0</v>
      </c>
      <c r="AE367">
        <f>IFERROR(INDEX(UWS!$G$10:$Z$41,MATCH($C367,UWS!$B$10:$B$41,0),MATCH(AE$4,UWS!$G$3:$Z$3,0)),0)</f>
        <v>0</v>
      </c>
      <c r="AF367">
        <f>IFERROR(INDEX(UWS!$G$10:$Z$41,MATCH($C367,UWS!$B$10:$B$41,0),MATCH(AF$4,UWS!$G$3:$Z$3,0)),0)</f>
        <v>0</v>
      </c>
      <c r="AG367">
        <f>IFERROR(INDEX(UWS!$G$10:$Z$41,MATCH($C367,UWS!$B$10:$B$41,0),MATCH(AG$4,UWS!$G$3:$Z$3,0)),0)</f>
        <v>0</v>
      </c>
      <c r="AH367">
        <f>IFERROR(INDEX(UWS!$G$10:$Z$41,MATCH($C367,UWS!$B$10:$B$41,0),MATCH(AH$4,UWS!$G$3:$Z$3,0)),0)</f>
        <v>0</v>
      </c>
      <c r="AI367">
        <f>IFERROR(INDEX(UWS!$G$10:$Z$41,MATCH($C367,UWS!$B$10:$B$41,0),MATCH(AI$4,UWS!$G$3:$Z$3,0)),0)</f>
        <v>0</v>
      </c>
      <c r="AK367" t="e">
        <f>IF(OR($J367=0,COUNTIFS($A$4:$A366,"&gt;="&amp;$A367-1,$A$4:$A366,"&lt;="&amp;$A367,$B$4:$B366,$B367)&gt;0,MIN(AK$1,IF($A367=$A366,AK366,1))-P367&lt;0),-1,MIN(1,IF($A367=$A366,AK366,1)-P367+$D$3))</f>
        <v>#N/A</v>
      </c>
      <c r="AL367" t="e">
        <f>IF(OR($J367=0,COUNTIFS($A$4:$A366,"&gt;="&amp;$A367-1,$A$4:$A366,"&lt;="&amp;$A367,$B$4:$B366,$B367)&gt;0,MIN(AL$1,IF($A367=$A366,AL366,1))-Q367&lt;0),-1,MIN(1,IF($A367=$A366,AL366,1)-Q367+$D$3))</f>
        <v>#N/A</v>
      </c>
      <c r="AM367" t="e">
        <f>IF(OR($J367=0,COUNTIFS($A$4:$A366,"&gt;="&amp;$A367-1,$A$4:$A366,"&lt;="&amp;$A367,$B$4:$B366,$B367)&gt;0,MIN(AM$1,IF($A367=$A366,AM366,1))-R367&lt;0),-1,MIN(1,IF($A367=$A366,AM366,1)-R367+$D$3))</f>
        <v>#N/A</v>
      </c>
      <c r="AN367" t="e">
        <f>IF(OR($J367=0,COUNTIFS($A$4:$A366,"&gt;="&amp;$A367-1,$A$4:$A366,"&lt;="&amp;$A367,$B$4:$B366,$B367)&gt;0,MIN(AN$1,IF($A367=$A366,AN366,1))-S367&lt;0),-1,MIN(1,IF($A367=$A366,AN366,1)-S367+$D$3))</f>
        <v>#N/A</v>
      </c>
      <c r="AO367" t="e">
        <f>IF(OR($J367=0,COUNTIFS($A$4:$A366,"&gt;="&amp;$A367-1,$A$4:$A366,"&lt;="&amp;$A367,$B$4:$B366,$B367)&gt;0,MIN(AO$1,IF($A367=$A366,AO366,1))-T367&lt;0),-1,MIN(1,IF($A367=$A366,AO366,1)-T367+$D$3))</f>
        <v>#N/A</v>
      </c>
      <c r="AP367" t="e">
        <f>IF(OR($J367=0,COUNTIFS($A$4:$A366,"&gt;="&amp;$A367-1,$A$4:$A366,"&lt;="&amp;$A367,$B$4:$B366,$B367)&gt;0,MIN(AP$1,IF($A367=$A366,AP366,1))-U367&lt;0),-1,MIN(1,IF($A367=$A366,AP366,1)-U367+$D$3))</f>
        <v>#N/A</v>
      </c>
      <c r="AQ367" t="e">
        <f>IF(OR($J367=0,COUNTIFS($A$4:$A366,"&gt;="&amp;$A367-1,$A$4:$A366,"&lt;="&amp;$A367,$B$4:$B366,$B367)&gt;0,MIN(AQ$1,IF($A367=$A366,AQ366,1))-V367&lt;0),-1,MIN(1,IF($A367=$A366,AQ366,1)-V367+$D$3))</f>
        <v>#N/A</v>
      </c>
      <c r="AR367" t="e">
        <f>IF(OR($J367=0,COUNTIFS($A$4:$A366,"&gt;="&amp;$A367-1,$A$4:$A366,"&lt;="&amp;$A367,$B$4:$B366,$B367)&gt;0,MIN(AR$1,IF($A367=$A366,AR366,1))-W367&lt;0),-1,MIN(1,IF($A367=$A366,AR366,1)-W367+$D$3))</f>
        <v>#N/A</v>
      </c>
      <c r="AS367" t="e">
        <f>IF(OR($J367=0,COUNTIFS($A$4:$A366,"&gt;="&amp;$A367-1,$A$4:$A366,"&lt;="&amp;$A367,$B$4:$B366,$B367)&gt;0,MIN(AS$1,IF($A367=$A366,AS366,1))-X367&lt;0),-1,MIN(1,IF($A367=$A366,AS366,1)-X367+$D$3))</f>
        <v>#N/A</v>
      </c>
      <c r="AT367" t="e">
        <f>IF(OR($J367=0,COUNTIFS($A$4:$A366,"&gt;="&amp;$A367-1,$A$4:$A366,"&lt;="&amp;$A367,$B$4:$B366,$B367)&gt;0,MIN(AT$1,IF($A367=$A366,AT366,1))-Y367&lt;0),-1,MIN(1,IF($A367=$A366,AT366,1)-Y367+$D$3))</f>
        <v>#N/A</v>
      </c>
      <c r="AU367" t="e">
        <f>IF(OR($J367=0,COUNTIFS($A$4:$A366,"&gt;="&amp;$A367-1,$A$4:$A366,"&lt;="&amp;$A367,$B$4:$B366,$B367)&gt;0,MIN(AU$1,IF($A367=$A366,AU366,1))-Z367&lt;0),-1,MIN(1,IF($A367=$A366,AU366,1)-Z367+$D$3))</f>
        <v>#N/A</v>
      </c>
      <c r="AV367" t="e">
        <f>IF(OR($J367=0,COUNTIFS($A$4:$A366,"&gt;="&amp;$A367-1,$A$4:$A366,"&lt;="&amp;$A367,$B$4:$B366,$B367)&gt;0,MIN(AV$1,IF($A367=$A366,AV366,1))-AA367&lt;0),-1,MIN(1,IF($A367=$A366,AV366,1)-AA367+$D$3))</f>
        <v>#N/A</v>
      </c>
      <c r="AW367" t="e">
        <f>IF(OR($J367=0,COUNTIFS($A$4:$A366,"&gt;="&amp;$A367-1,$A$4:$A366,"&lt;="&amp;$A367,$B$4:$B366,$B367)&gt;0,MIN(AW$1,IF($A367=$A366,AW366,1))-AB367&lt;0),-1,MIN(1,IF($A367=$A366,AW366,1)-AB367+$D$3))</f>
        <v>#N/A</v>
      </c>
      <c r="AX367" t="e">
        <f>IF(OR($J367=0,COUNTIFS($A$4:$A366,"&gt;="&amp;$A367-1,$A$4:$A366,"&lt;="&amp;$A367,$B$4:$B366,$B367)&gt;0,MIN(AX$1,IF($A367=$A366,AX366,1))-AC367&lt;0),-1,MIN(1,IF($A367=$A366,AX366,1)-AC367+$D$3))</f>
        <v>#N/A</v>
      </c>
      <c r="AY367" t="e">
        <f>IF(OR($J367=0,COUNTIFS($A$4:$A366,"&gt;="&amp;$A367-1,$A$4:$A366,"&lt;="&amp;$A367,$B$4:$B366,$B367)&gt;0,MIN(AY$1,IF($A367=$A366,AY366,1))-AD367&lt;0),-1,MIN(1,IF($A367=$A366,AY366,1)-AD367+$D$3))</f>
        <v>#N/A</v>
      </c>
      <c r="AZ367" t="e">
        <f>IF(OR($J367=0,COUNTIFS($A$4:$A366,"&gt;="&amp;$A367-1,$A$4:$A366,"&lt;="&amp;$A367,$B$4:$B366,$B367)&gt;0,MIN(AZ$1,IF($A367=$A366,AZ366,1))-AE367&lt;0),-1,MIN(1,IF($A367=$A366,AZ366,1)-AE367+$D$3))</f>
        <v>#N/A</v>
      </c>
      <c r="BA367" t="e">
        <f>IF(OR($J367=0,COUNTIFS($A$4:$A366,"&gt;="&amp;$A367-1,$A$4:$A366,"&lt;="&amp;$A367,$B$4:$B366,$B367)&gt;0,MIN(BA$1,IF($A367=$A366,BA366,1))-AF367&lt;0),-1,MIN(1,IF($A367=$A366,BA366,1)-AF367+$D$3))</f>
        <v>#N/A</v>
      </c>
      <c r="BB367" t="e">
        <f>IF(OR($J367=0,COUNTIFS($A$4:$A366,"&gt;="&amp;$A367-1,$A$4:$A366,"&lt;="&amp;$A367,$B$4:$B366,$B367)&gt;0,MIN(BB$1,IF($A367=$A366,BB366,1))-AG367&lt;0),-1,MIN(1,IF($A367=$A366,BB366,1)-AG367+$D$3))</f>
        <v>#N/A</v>
      </c>
      <c r="BC367" t="e">
        <f>IF(OR($J367=0,COUNTIFS($A$4:$A366,"&gt;="&amp;$A367-1,$A$4:$A366,"&lt;="&amp;$A367,$B$4:$B366,$B367)&gt;0,MIN(BC$1,IF($A367=$A366,BC366,1))-AH367&lt;0),-1,MIN(1,IF($A367=$A366,BC366,1)-AH367+$D$3))</f>
        <v>#N/A</v>
      </c>
      <c r="BD367" t="e">
        <f>IF(OR($J367=0,COUNTIFS($A$4:$A366,"&gt;="&amp;$A367-1,$A$4:$A366,"&lt;="&amp;$A367,$B$4:$B366,$B367)&gt;0,MIN(BD$1,IF($A367=$A366,BD366,1))-AI367&lt;0),-1,MIN(1,IF($A367=$A366,BD366,1)-AI367+$D$3))</f>
        <v>#N/A</v>
      </c>
      <c r="BF367" s="44">
        <f t="shared" si="355"/>
        <v>1.7376992497503039E-8</v>
      </c>
      <c r="BG367" s="44">
        <f t="shared" si="356"/>
        <v>4.2734928013022234E-8</v>
      </c>
      <c r="BH367" s="44">
        <f t="shared" si="357"/>
        <v>4.3798805939168759E-8</v>
      </c>
      <c r="BI367" s="44">
        <f t="shared" si="358"/>
        <v>4.0457936462644807E-8</v>
      </c>
      <c r="BJ367" s="44">
        <f t="shared" si="359"/>
        <v>4.1817118247172857E-8</v>
      </c>
      <c r="BK367" s="44">
        <f t="shared" si="360"/>
        <v>1.7957829724063671E-8</v>
      </c>
      <c r="BL367" s="44">
        <f t="shared" si="361"/>
        <v>9.7011021365970542E-9</v>
      </c>
      <c r="BM367" s="44">
        <f t="shared" si="362"/>
        <v>2.4678470988954041E-8</v>
      </c>
      <c r="BN367" s="44">
        <f t="shared" si="363"/>
        <v>2.5667533154554289E-8</v>
      </c>
      <c r="BO367" s="44">
        <f t="shared" si="364"/>
        <v>1.2028780007318344E-8</v>
      </c>
      <c r="BP367" s="44">
        <f t="shared" si="365"/>
        <v>4.0446504771002587E-8</v>
      </c>
      <c r="BQ367" s="44">
        <f t="shared" si="366"/>
        <v>1.0914837342116367E-8</v>
      </c>
      <c r="BR367" s="44">
        <f t="shared" si="367"/>
        <v>3.2245161778135628E-8</v>
      </c>
      <c r="BS367" s="44">
        <f t="shared" si="368"/>
        <v>1.7390243643916134E-8</v>
      </c>
      <c r="BT367" s="44">
        <f t="shared" si="369"/>
        <v>6.8818525538098233E-8</v>
      </c>
      <c r="BU367" s="44">
        <f t="shared" si="370"/>
        <v>6.5742400174687736E-8</v>
      </c>
      <c r="BV367" s="44">
        <f t="shared" si="371"/>
        <v>6.3136826088188977E-8</v>
      </c>
      <c r="BW367" s="44">
        <f t="shared" si="372"/>
        <v>4.129495870755724E-8</v>
      </c>
      <c r="BX367" s="44">
        <f t="shared" si="373"/>
        <v>3.0507965607569252E-8</v>
      </c>
      <c r="BY367" s="44">
        <f t="shared" si="374"/>
        <v>2.6194594966591612E-8</v>
      </c>
      <c r="CA367" s="44" t="str">
        <f t="shared" si="375"/>
        <v/>
      </c>
      <c r="CB367" s="44" t="str">
        <f t="shared" si="376"/>
        <v/>
      </c>
      <c r="CC367" s="44" t="str">
        <f t="shared" si="377"/>
        <v/>
      </c>
      <c r="CD367" s="44" t="str">
        <f t="shared" si="378"/>
        <v/>
      </c>
      <c r="CE367" s="44" t="str">
        <f t="shared" si="379"/>
        <v/>
      </c>
      <c r="CF367" s="44" t="str">
        <f t="shared" si="380"/>
        <v/>
      </c>
      <c r="CG367" s="44" t="str">
        <f t="shared" si="381"/>
        <v/>
      </c>
      <c r="CH367" s="44" t="str">
        <f t="shared" si="382"/>
        <v/>
      </c>
      <c r="CI367" s="44" t="str">
        <f t="shared" si="383"/>
        <v/>
      </c>
      <c r="CJ367" s="44" t="str">
        <f t="shared" si="384"/>
        <v/>
      </c>
      <c r="CK367" s="44" t="str">
        <f t="shared" si="385"/>
        <v/>
      </c>
      <c r="CL367" s="44" t="str">
        <f t="shared" si="386"/>
        <v/>
      </c>
      <c r="CM367" s="44" t="str">
        <f t="shared" si="387"/>
        <v/>
      </c>
      <c r="CN367" s="44" t="str">
        <f t="shared" si="388"/>
        <v/>
      </c>
      <c r="CO367" s="44" t="str">
        <f t="shared" si="389"/>
        <v/>
      </c>
      <c r="CP367" s="44" t="str">
        <f t="shared" si="390"/>
        <v/>
      </c>
      <c r="CQ367" s="44" t="str">
        <f t="shared" si="391"/>
        <v/>
      </c>
      <c r="CR367" s="44" t="str">
        <f t="shared" si="392"/>
        <v/>
      </c>
      <c r="CS367" s="44" t="str">
        <f t="shared" si="393"/>
        <v/>
      </c>
      <c r="CT367" s="44" t="str">
        <f t="shared" si="394"/>
        <v/>
      </c>
      <c r="CV367" s="44">
        <f t="shared" si="395"/>
        <v>0</v>
      </c>
    </row>
    <row r="368" spans="1:100" x14ac:dyDescent="0.25">
      <c r="A368" s="41"/>
      <c r="B368" s="42"/>
      <c r="C368" s="43" t="str" cm="1">
        <f t="array" ref="C368">IF(B368="","",INDEX(UWS!$B$10:$B$41,B368))</f>
        <v/>
      </c>
      <c r="D368" s="40" t="str">
        <f t="shared" si="352"/>
        <v/>
      </c>
      <c r="E368" s="69" t="str">
        <f t="shared" si="353"/>
        <v/>
      </c>
      <c r="F368" s="48" cm="1">
        <f t="array" ref="F368">0.1+IFERROR(INDEX($F$5:$F367,SUMPRODUCT(MAX(ROW($C$5:$C367)*($C368=$C$5:$C367))-ROW($A$4)))*0.9^($A368-INDEX($A$5:A367,SUMPRODUCT(MAX(ROW($C$5:$C367)*($C368=$C$5:$C367))-ROW($A$4)))),0)</f>
        <v>30.300000000000161</v>
      </c>
      <c r="G368" s="55" t="e">
        <f>INDEX(UWS!$AB$10:$AB$41,MATCH(C368,UWS!$B$10:$B$41,0))</f>
        <v>#N/A</v>
      </c>
      <c r="H368" s="48" t="e">
        <f>INDEX(UWS!$C$10:$C$41,MATCH(C368,UWS!$B$10:$B$41,0))</f>
        <v>#N/A</v>
      </c>
      <c r="I368" s="27">
        <f t="shared" si="354"/>
        <v>5</v>
      </c>
      <c r="J368" s="27" t="e">
        <f>INDEX(UWS!$E$10:$E$41,MATCH(C368,UWS!$B$10:$B$41,0))</f>
        <v>#N/A</v>
      </c>
      <c r="L368" s="108" t="str" cm="1">
        <f t="array" ref="L368">IF(K368="","",INDEX(UWS!$B$10:$B$41,K368))</f>
        <v/>
      </c>
      <c r="N368" s="108" t="str" cm="1">
        <f t="array" ref="N368">IF(M368="","",INDEX(UWS!$B$10:$B$41,M368))</f>
        <v/>
      </c>
      <c r="P368">
        <f>IFERROR(INDEX(UWS!$G$10:$Z$41,MATCH($C368,UWS!$B$10:$B$41,0),MATCH(P$4,UWS!$G$3:$Z$3,0)),0)</f>
        <v>0</v>
      </c>
      <c r="Q368">
        <f>IFERROR(INDEX(UWS!$G$10:$Z$41,MATCH($C368,UWS!$B$10:$B$41,0),MATCH(Q$4,UWS!$G$3:$Z$3,0)),0)</f>
        <v>0</v>
      </c>
      <c r="R368">
        <f>IFERROR(INDEX(UWS!$G$10:$Z$41,MATCH($C368,UWS!$B$10:$B$41,0),MATCH(R$4,UWS!$G$3:$Z$3,0)),0)</f>
        <v>0</v>
      </c>
      <c r="S368">
        <f>IFERROR(INDEX(UWS!$G$10:$Z$41,MATCH($C368,UWS!$B$10:$B$41,0),MATCH(S$4,UWS!$G$3:$Z$3,0)),0)</f>
        <v>0</v>
      </c>
      <c r="T368">
        <f>IFERROR(INDEX(UWS!$G$10:$Z$41,MATCH($C368,UWS!$B$10:$B$41,0),MATCH(T$4,UWS!$G$3:$Z$3,0)),0)</f>
        <v>0</v>
      </c>
      <c r="U368">
        <f>IFERROR(INDEX(UWS!$G$10:$Z$41,MATCH($C368,UWS!$B$10:$B$41,0),MATCH(U$4,UWS!$G$3:$Z$3,0)),0)</f>
        <v>0</v>
      </c>
      <c r="V368">
        <f>IFERROR(INDEX(UWS!$G$10:$Z$41,MATCH($C368,UWS!$B$10:$B$41,0),MATCH(V$4,UWS!$G$3:$Z$3,0)),0)</f>
        <v>0</v>
      </c>
      <c r="W368">
        <f>IFERROR(INDEX(UWS!$G$10:$Z$41,MATCH($C368,UWS!$B$10:$B$41,0),MATCH(W$4,UWS!$G$3:$Z$3,0)),0)</f>
        <v>0</v>
      </c>
      <c r="X368">
        <f>IFERROR(INDEX(UWS!$G$10:$Z$41,MATCH($C368,UWS!$B$10:$B$41,0),MATCH(X$4,UWS!$G$3:$Z$3,0)),0)</f>
        <v>0</v>
      </c>
      <c r="Y368">
        <f>IFERROR(INDEX(UWS!$G$10:$Z$41,MATCH($C368,UWS!$B$10:$B$41,0),MATCH(Y$4,UWS!$G$3:$Z$3,0)),0)</f>
        <v>0</v>
      </c>
      <c r="Z368">
        <f>IFERROR(INDEX(UWS!$G$10:$Z$41,MATCH($C368,UWS!$B$10:$B$41,0),MATCH(Z$4,UWS!$G$3:$Z$3,0)),0)</f>
        <v>0</v>
      </c>
      <c r="AA368">
        <f>IFERROR(INDEX(UWS!$G$10:$Z$41,MATCH($C368,UWS!$B$10:$B$41,0),MATCH(AA$4,UWS!$G$3:$Z$3,0)),0)</f>
        <v>0</v>
      </c>
      <c r="AB368">
        <f>IFERROR(INDEX(UWS!$G$10:$Z$41,MATCH($C368,UWS!$B$10:$B$41,0),MATCH(AB$4,UWS!$G$3:$Z$3,0)),0)</f>
        <v>0</v>
      </c>
      <c r="AC368">
        <f>IFERROR(INDEX(UWS!$G$10:$Z$41,MATCH($C368,UWS!$B$10:$B$41,0),MATCH(AC$4,UWS!$G$3:$Z$3,0)),0)</f>
        <v>0</v>
      </c>
      <c r="AD368">
        <f>IFERROR(INDEX(UWS!$G$10:$Z$41,MATCH($C368,UWS!$B$10:$B$41,0),MATCH(AD$4,UWS!$G$3:$Z$3,0)),0)</f>
        <v>0</v>
      </c>
      <c r="AE368">
        <f>IFERROR(INDEX(UWS!$G$10:$Z$41,MATCH($C368,UWS!$B$10:$B$41,0),MATCH(AE$4,UWS!$G$3:$Z$3,0)),0)</f>
        <v>0</v>
      </c>
      <c r="AF368">
        <f>IFERROR(INDEX(UWS!$G$10:$Z$41,MATCH($C368,UWS!$B$10:$B$41,0),MATCH(AF$4,UWS!$G$3:$Z$3,0)),0)</f>
        <v>0</v>
      </c>
      <c r="AG368">
        <f>IFERROR(INDEX(UWS!$G$10:$Z$41,MATCH($C368,UWS!$B$10:$B$41,0),MATCH(AG$4,UWS!$G$3:$Z$3,0)),0)</f>
        <v>0</v>
      </c>
      <c r="AH368">
        <f>IFERROR(INDEX(UWS!$G$10:$Z$41,MATCH($C368,UWS!$B$10:$B$41,0),MATCH(AH$4,UWS!$G$3:$Z$3,0)),0)</f>
        <v>0</v>
      </c>
      <c r="AI368">
        <f>IFERROR(INDEX(UWS!$G$10:$Z$41,MATCH($C368,UWS!$B$10:$B$41,0),MATCH(AI$4,UWS!$G$3:$Z$3,0)),0)</f>
        <v>0</v>
      </c>
      <c r="AK368" t="e">
        <f>IF(OR($J368=0,COUNTIFS($A$4:$A367,"&gt;="&amp;$A368-1,$A$4:$A367,"&lt;="&amp;$A368,$B$4:$B367,$B368)&gt;0,MIN(AK$1,IF($A368=$A367,AK367,1))-P368&lt;0),-1,MIN(1,IF($A368=$A367,AK367,1)-P368+$D$3))</f>
        <v>#N/A</v>
      </c>
      <c r="AL368" t="e">
        <f>IF(OR($J368=0,COUNTIFS($A$4:$A367,"&gt;="&amp;$A368-1,$A$4:$A367,"&lt;="&amp;$A368,$B$4:$B367,$B368)&gt;0,MIN(AL$1,IF($A368=$A367,AL367,1))-Q368&lt;0),-1,MIN(1,IF($A368=$A367,AL367,1)-Q368+$D$3))</f>
        <v>#N/A</v>
      </c>
      <c r="AM368" t="e">
        <f>IF(OR($J368=0,COUNTIFS($A$4:$A367,"&gt;="&amp;$A368-1,$A$4:$A367,"&lt;="&amp;$A368,$B$4:$B367,$B368)&gt;0,MIN(AM$1,IF($A368=$A367,AM367,1))-R368&lt;0),-1,MIN(1,IF($A368=$A367,AM367,1)-R368+$D$3))</f>
        <v>#N/A</v>
      </c>
      <c r="AN368" t="e">
        <f>IF(OR($J368=0,COUNTIFS($A$4:$A367,"&gt;="&amp;$A368-1,$A$4:$A367,"&lt;="&amp;$A368,$B$4:$B367,$B368)&gt;0,MIN(AN$1,IF($A368=$A367,AN367,1))-S368&lt;0),-1,MIN(1,IF($A368=$A367,AN367,1)-S368+$D$3))</f>
        <v>#N/A</v>
      </c>
      <c r="AO368" t="e">
        <f>IF(OR($J368=0,COUNTIFS($A$4:$A367,"&gt;="&amp;$A368-1,$A$4:$A367,"&lt;="&amp;$A368,$B$4:$B367,$B368)&gt;0,MIN(AO$1,IF($A368=$A367,AO367,1))-T368&lt;0),-1,MIN(1,IF($A368=$A367,AO367,1)-T368+$D$3))</f>
        <v>#N/A</v>
      </c>
      <c r="AP368" t="e">
        <f>IF(OR($J368=0,COUNTIFS($A$4:$A367,"&gt;="&amp;$A368-1,$A$4:$A367,"&lt;="&amp;$A368,$B$4:$B367,$B368)&gt;0,MIN(AP$1,IF($A368=$A367,AP367,1))-U368&lt;0),-1,MIN(1,IF($A368=$A367,AP367,1)-U368+$D$3))</f>
        <v>#N/A</v>
      </c>
      <c r="AQ368" t="e">
        <f>IF(OR($J368=0,COUNTIFS($A$4:$A367,"&gt;="&amp;$A368-1,$A$4:$A367,"&lt;="&amp;$A368,$B$4:$B367,$B368)&gt;0,MIN(AQ$1,IF($A368=$A367,AQ367,1))-V368&lt;0),-1,MIN(1,IF($A368=$A367,AQ367,1)-V368+$D$3))</f>
        <v>#N/A</v>
      </c>
      <c r="AR368" t="e">
        <f>IF(OR($J368=0,COUNTIFS($A$4:$A367,"&gt;="&amp;$A368-1,$A$4:$A367,"&lt;="&amp;$A368,$B$4:$B367,$B368)&gt;0,MIN(AR$1,IF($A368=$A367,AR367,1))-W368&lt;0),-1,MIN(1,IF($A368=$A367,AR367,1)-W368+$D$3))</f>
        <v>#N/A</v>
      </c>
      <c r="AS368" t="e">
        <f>IF(OR($J368=0,COUNTIFS($A$4:$A367,"&gt;="&amp;$A368-1,$A$4:$A367,"&lt;="&amp;$A368,$B$4:$B367,$B368)&gt;0,MIN(AS$1,IF($A368=$A367,AS367,1))-X368&lt;0),-1,MIN(1,IF($A368=$A367,AS367,1)-X368+$D$3))</f>
        <v>#N/A</v>
      </c>
      <c r="AT368" t="e">
        <f>IF(OR($J368=0,COUNTIFS($A$4:$A367,"&gt;="&amp;$A368-1,$A$4:$A367,"&lt;="&amp;$A368,$B$4:$B367,$B368)&gt;0,MIN(AT$1,IF($A368=$A367,AT367,1))-Y368&lt;0),-1,MIN(1,IF($A368=$A367,AT367,1)-Y368+$D$3))</f>
        <v>#N/A</v>
      </c>
      <c r="AU368" t="e">
        <f>IF(OR($J368=0,COUNTIFS($A$4:$A367,"&gt;="&amp;$A368-1,$A$4:$A367,"&lt;="&amp;$A368,$B$4:$B367,$B368)&gt;0,MIN(AU$1,IF($A368=$A367,AU367,1))-Z368&lt;0),-1,MIN(1,IF($A368=$A367,AU367,1)-Z368+$D$3))</f>
        <v>#N/A</v>
      </c>
      <c r="AV368" t="e">
        <f>IF(OR($J368=0,COUNTIFS($A$4:$A367,"&gt;="&amp;$A368-1,$A$4:$A367,"&lt;="&amp;$A368,$B$4:$B367,$B368)&gt;0,MIN(AV$1,IF($A368=$A367,AV367,1))-AA368&lt;0),-1,MIN(1,IF($A368=$A367,AV367,1)-AA368+$D$3))</f>
        <v>#N/A</v>
      </c>
      <c r="AW368" t="e">
        <f>IF(OR($J368=0,COUNTIFS($A$4:$A367,"&gt;="&amp;$A368-1,$A$4:$A367,"&lt;="&amp;$A368,$B$4:$B367,$B368)&gt;0,MIN(AW$1,IF($A368=$A367,AW367,1))-AB368&lt;0),-1,MIN(1,IF($A368=$A367,AW367,1)-AB368+$D$3))</f>
        <v>#N/A</v>
      </c>
      <c r="AX368" t="e">
        <f>IF(OR($J368=0,COUNTIFS($A$4:$A367,"&gt;="&amp;$A368-1,$A$4:$A367,"&lt;="&amp;$A368,$B$4:$B367,$B368)&gt;0,MIN(AX$1,IF($A368=$A367,AX367,1))-AC368&lt;0),-1,MIN(1,IF($A368=$A367,AX367,1)-AC368+$D$3))</f>
        <v>#N/A</v>
      </c>
      <c r="AY368" t="e">
        <f>IF(OR($J368=0,COUNTIFS($A$4:$A367,"&gt;="&amp;$A368-1,$A$4:$A367,"&lt;="&amp;$A368,$B$4:$B367,$B368)&gt;0,MIN(AY$1,IF($A368=$A367,AY367,1))-AD368&lt;0),-1,MIN(1,IF($A368=$A367,AY367,1)-AD368+$D$3))</f>
        <v>#N/A</v>
      </c>
      <c r="AZ368" t="e">
        <f>IF(OR($J368=0,COUNTIFS($A$4:$A367,"&gt;="&amp;$A368-1,$A$4:$A367,"&lt;="&amp;$A368,$B$4:$B367,$B368)&gt;0,MIN(AZ$1,IF($A368=$A367,AZ367,1))-AE368&lt;0),-1,MIN(1,IF($A368=$A367,AZ367,1)-AE368+$D$3))</f>
        <v>#N/A</v>
      </c>
      <c r="BA368" t="e">
        <f>IF(OR($J368=0,COUNTIFS($A$4:$A367,"&gt;="&amp;$A368-1,$A$4:$A367,"&lt;="&amp;$A368,$B$4:$B367,$B368)&gt;0,MIN(BA$1,IF($A368=$A367,BA367,1))-AF368&lt;0),-1,MIN(1,IF($A368=$A367,BA367,1)-AF368+$D$3))</f>
        <v>#N/A</v>
      </c>
      <c r="BB368" t="e">
        <f>IF(OR($J368=0,COUNTIFS($A$4:$A367,"&gt;="&amp;$A368-1,$A$4:$A367,"&lt;="&amp;$A368,$B$4:$B367,$B368)&gt;0,MIN(BB$1,IF($A368=$A367,BB367,1))-AG368&lt;0),-1,MIN(1,IF($A368=$A367,BB367,1)-AG368+$D$3))</f>
        <v>#N/A</v>
      </c>
      <c r="BC368" t="e">
        <f>IF(OR($J368=0,COUNTIFS($A$4:$A367,"&gt;="&amp;$A368-1,$A$4:$A367,"&lt;="&amp;$A368,$B$4:$B367,$B368)&gt;0,MIN(BC$1,IF($A368=$A367,BC367,1))-AH368&lt;0),-1,MIN(1,IF($A368=$A367,BC367,1)-AH368+$D$3))</f>
        <v>#N/A</v>
      </c>
      <c r="BD368" t="e">
        <f>IF(OR($J368=0,COUNTIFS($A$4:$A367,"&gt;="&amp;$A368-1,$A$4:$A367,"&lt;="&amp;$A368,$B$4:$B367,$B368)&gt;0,MIN(BD$1,IF($A368=$A367,BD367,1))-AI368&lt;0),-1,MIN(1,IF($A368=$A367,BD367,1)-AI368+$D$3))</f>
        <v>#N/A</v>
      </c>
      <c r="BF368" s="44">
        <f t="shared" si="355"/>
        <v>1.6508142872627888E-8</v>
      </c>
      <c r="BG368" s="44">
        <f t="shared" si="356"/>
        <v>4.0598181612371117E-8</v>
      </c>
      <c r="BH368" s="44">
        <f t="shared" si="357"/>
        <v>4.1608865642210321E-8</v>
      </c>
      <c r="BI368" s="44">
        <f t="shared" si="358"/>
        <v>3.8435039639512564E-8</v>
      </c>
      <c r="BJ368" s="44">
        <f t="shared" si="359"/>
        <v>3.9726262334814216E-8</v>
      </c>
      <c r="BK368" s="44">
        <f t="shared" si="360"/>
        <v>1.7059938237860485E-8</v>
      </c>
      <c r="BL368" s="44">
        <f t="shared" si="361"/>
        <v>9.2160470297672008E-9</v>
      </c>
      <c r="BM368" s="44">
        <f t="shared" si="362"/>
        <v>2.3444547439506338E-8</v>
      </c>
      <c r="BN368" s="44">
        <f t="shared" si="363"/>
        <v>2.4384156496826575E-8</v>
      </c>
      <c r="BO368" s="44">
        <f t="shared" si="364"/>
        <v>1.1427341006952426E-8</v>
      </c>
      <c r="BP368" s="44">
        <f t="shared" si="365"/>
        <v>3.8424179532452456E-8</v>
      </c>
      <c r="BQ368" s="44">
        <f t="shared" si="366"/>
        <v>1.0369095475010549E-8</v>
      </c>
      <c r="BR368" s="44">
        <f t="shared" si="367"/>
        <v>3.0632903689228842E-8</v>
      </c>
      <c r="BS368" s="44">
        <f t="shared" si="368"/>
        <v>1.6520731461720326E-8</v>
      </c>
      <c r="BT368" s="44">
        <f t="shared" si="369"/>
        <v>6.5377599261193322E-8</v>
      </c>
      <c r="BU368" s="44">
        <f t="shared" si="370"/>
        <v>6.2455280165953351E-8</v>
      </c>
      <c r="BV368" s="44">
        <f t="shared" si="371"/>
        <v>5.9979984783779524E-8</v>
      </c>
      <c r="BW368" s="44">
        <f t="shared" si="372"/>
        <v>3.9230210772179377E-8</v>
      </c>
      <c r="BX368" s="44">
        <f t="shared" si="373"/>
        <v>2.8982567327190788E-8</v>
      </c>
      <c r="BY368" s="44">
        <f t="shared" si="374"/>
        <v>2.4884865218262031E-8</v>
      </c>
      <c r="CA368" s="44" t="str">
        <f t="shared" si="375"/>
        <v/>
      </c>
      <c r="CB368" s="44" t="str">
        <f t="shared" si="376"/>
        <v/>
      </c>
      <c r="CC368" s="44" t="str">
        <f t="shared" si="377"/>
        <v/>
      </c>
      <c r="CD368" s="44" t="str">
        <f t="shared" si="378"/>
        <v/>
      </c>
      <c r="CE368" s="44" t="str">
        <f t="shared" si="379"/>
        <v/>
      </c>
      <c r="CF368" s="44" t="str">
        <f t="shared" si="380"/>
        <v/>
      </c>
      <c r="CG368" s="44" t="str">
        <f t="shared" si="381"/>
        <v/>
      </c>
      <c r="CH368" s="44" t="str">
        <f t="shared" si="382"/>
        <v/>
      </c>
      <c r="CI368" s="44" t="str">
        <f t="shared" si="383"/>
        <v/>
      </c>
      <c r="CJ368" s="44" t="str">
        <f t="shared" si="384"/>
        <v/>
      </c>
      <c r="CK368" s="44" t="str">
        <f t="shared" si="385"/>
        <v/>
      </c>
      <c r="CL368" s="44" t="str">
        <f t="shared" si="386"/>
        <v/>
      </c>
      <c r="CM368" s="44" t="str">
        <f t="shared" si="387"/>
        <v/>
      </c>
      <c r="CN368" s="44" t="str">
        <f t="shared" si="388"/>
        <v/>
      </c>
      <c r="CO368" s="44" t="str">
        <f t="shared" si="389"/>
        <v/>
      </c>
      <c r="CP368" s="44" t="str">
        <f t="shared" si="390"/>
        <v/>
      </c>
      <c r="CQ368" s="44" t="str">
        <f t="shared" si="391"/>
        <v/>
      </c>
      <c r="CR368" s="44" t="str">
        <f t="shared" si="392"/>
        <v/>
      </c>
      <c r="CS368" s="44" t="str">
        <f t="shared" si="393"/>
        <v/>
      </c>
      <c r="CT368" s="44" t="str">
        <f t="shared" si="394"/>
        <v/>
      </c>
      <c r="CV368" s="44">
        <f t="shared" si="395"/>
        <v>0</v>
      </c>
    </row>
    <row r="369" spans="1:100" x14ac:dyDescent="0.25">
      <c r="A369" s="41"/>
      <c r="B369" s="42"/>
      <c r="C369" s="43" t="str" cm="1">
        <f t="array" ref="C369">IF(B369="","",INDEX(UWS!$B$10:$B$41,B369))</f>
        <v/>
      </c>
      <c r="D369" s="40" t="str">
        <f t="shared" si="352"/>
        <v/>
      </c>
      <c r="E369" s="69" t="str">
        <f t="shared" si="353"/>
        <v/>
      </c>
      <c r="F369" s="48" cm="1">
        <f t="array" ref="F369">0.1+IFERROR(INDEX($F$5:$F368,SUMPRODUCT(MAX(ROW($C$5:$C368)*($C369=$C$5:$C368))-ROW($A$4)))*0.9^($A369-INDEX($A$5:A368,SUMPRODUCT(MAX(ROW($C$5:$C368)*($C369=$C$5:$C368))-ROW($A$4)))),0)</f>
        <v>30.400000000000162</v>
      </c>
      <c r="G369" s="55" t="e">
        <f>INDEX(UWS!$AB$10:$AB$41,MATCH(C369,UWS!$B$10:$B$41,0))</f>
        <v>#N/A</v>
      </c>
      <c r="H369" s="48" t="e">
        <f>INDEX(UWS!$C$10:$C$41,MATCH(C369,UWS!$B$10:$B$41,0))</f>
        <v>#N/A</v>
      </c>
      <c r="I369" s="27">
        <f t="shared" si="354"/>
        <v>5</v>
      </c>
      <c r="J369" s="27" t="e">
        <f>INDEX(UWS!$E$10:$E$41,MATCH(C369,UWS!$B$10:$B$41,0))</f>
        <v>#N/A</v>
      </c>
      <c r="L369" s="108" t="str" cm="1">
        <f t="array" ref="L369">IF(K369="","",INDEX(UWS!$B$10:$B$41,K369))</f>
        <v/>
      </c>
      <c r="N369" s="108" t="str" cm="1">
        <f t="array" ref="N369">IF(M369="","",INDEX(UWS!$B$10:$B$41,M369))</f>
        <v/>
      </c>
      <c r="P369">
        <f>IFERROR(INDEX(UWS!$G$10:$Z$41,MATCH($C369,UWS!$B$10:$B$41,0),MATCH(P$4,UWS!$G$3:$Z$3,0)),0)</f>
        <v>0</v>
      </c>
      <c r="Q369">
        <f>IFERROR(INDEX(UWS!$G$10:$Z$41,MATCH($C369,UWS!$B$10:$B$41,0),MATCH(Q$4,UWS!$G$3:$Z$3,0)),0)</f>
        <v>0</v>
      </c>
      <c r="R369">
        <f>IFERROR(INDEX(UWS!$G$10:$Z$41,MATCH($C369,UWS!$B$10:$B$41,0),MATCH(R$4,UWS!$G$3:$Z$3,0)),0)</f>
        <v>0</v>
      </c>
      <c r="S369">
        <f>IFERROR(INDEX(UWS!$G$10:$Z$41,MATCH($C369,UWS!$B$10:$B$41,0),MATCH(S$4,UWS!$G$3:$Z$3,0)),0)</f>
        <v>0</v>
      </c>
      <c r="T369">
        <f>IFERROR(INDEX(UWS!$G$10:$Z$41,MATCH($C369,UWS!$B$10:$B$41,0),MATCH(T$4,UWS!$G$3:$Z$3,0)),0)</f>
        <v>0</v>
      </c>
      <c r="U369">
        <f>IFERROR(INDEX(UWS!$G$10:$Z$41,MATCH($C369,UWS!$B$10:$B$41,0),MATCH(U$4,UWS!$G$3:$Z$3,0)),0)</f>
        <v>0</v>
      </c>
      <c r="V369">
        <f>IFERROR(INDEX(UWS!$G$10:$Z$41,MATCH($C369,UWS!$B$10:$B$41,0),MATCH(V$4,UWS!$G$3:$Z$3,0)),0)</f>
        <v>0</v>
      </c>
      <c r="W369">
        <f>IFERROR(INDEX(UWS!$G$10:$Z$41,MATCH($C369,UWS!$B$10:$B$41,0),MATCH(W$4,UWS!$G$3:$Z$3,0)),0)</f>
        <v>0</v>
      </c>
      <c r="X369">
        <f>IFERROR(INDEX(UWS!$G$10:$Z$41,MATCH($C369,UWS!$B$10:$B$41,0),MATCH(X$4,UWS!$G$3:$Z$3,0)),0)</f>
        <v>0</v>
      </c>
      <c r="Y369">
        <f>IFERROR(INDEX(UWS!$G$10:$Z$41,MATCH($C369,UWS!$B$10:$B$41,0),MATCH(Y$4,UWS!$G$3:$Z$3,0)),0)</f>
        <v>0</v>
      </c>
      <c r="Z369">
        <f>IFERROR(INDEX(UWS!$G$10:$Z$41,MATCH($C369,UWS!$B$10:$B$41,0),MATCH(Z$4,UWS!$G$3:$Z$3,0)),0)</f>
        <v>0</v>
      </c>
      <c r="AA369">
        <f>IFERROR(INDEX(UWS!$G$10:$Z$41,MATCH($C369,UWS!$B$10:$B$41,0),MATCH(AA$4,UWS!$G$3:$Z$3,0)),0)</f>
        <v>0</v>
      </c>
      <c r="AB369">
        <f>IFERROR(INDEX(UWS!$G$10:$Z$41,MATCH($C369,UWS!$B$10:$B$41,0),MATCH(AB$4,UWS!$G$3:$Z$3,0)),0)</f>
        <v>0</v>
      </c>
      <c r="AC369">
        <f>IFERROR(INDEX(UWS!$G$10:$Z$41,MATCH($C369,UWS!$B$10:$B$41,0),MATCH(AC$4,UWS!$G$3:$Z$3,0)),0)</f>
        <v>0</v>
      </c>
      <c r="AD369">
        <f>IFERROR(INDEX(UWS!$G$10:$Z$41,MATCH($C369,UWS!$B$10:$B$41,0),MATCH(AD$4,UWS!$G$3:$Z$3,0)),0)</f>
        <v>0</v>
      </c>
      <c r="AE369">
        <f>IFERROR(INDEX(UWS!$G$10:$Z$41,MATCH($C369,UWS!$B$10:$B$41,0),MATCH(AE$4,UWS!$G$3:$Z$3,0)),0)</f>
        <v>0</v>
      </c>
      <c r="AF369">
        <f>IFERROR(INDEX(UWS!$G$10:$Z$41,MATCH($C369,UWS!$B$10:$B$41,0),MATCH(AF$4,UWS!$G$3:$Z$3,0)),0)</f>
        <v>0</v>
      </c>
      <c r="AG369">
        <f>IFERROR(INDEX(UWS!$G$10:$Z$41,MATCH($C369,UWS!$B$10:$B$41,0),MATCH(AG$4,UWS!$G$3:$Z$3,0)),0)</f>
        <v>0</v>
      </c>
      <c r="AH369">
        <f>IFERROR(INDEX(UWS!$G$10:$Z$41,MATCH($C369,UWS!$B$10:$B$41,0),MATCH(AH$4,UWS!$G$3:$Z$3,0)),0)</f>
        <v>0</v>
      </c>
      <c r="AI369">
        <f>IFERROR(INDEX(UWS!$G$10:$Z$41,MATCH($C369,UWS!$B$10:$B$41,0),MATCH(AI$4,UWS!$G$3:$Z$3,0)),0)</f>
        <v>0</v>
      </c>
      <c r="AK369" t="e">
        <f>IF(OR($J369=0,COUNTIFS($A$4:$A368,"&gt;="&amp;$A369-1,$A$4:$A368,"&lt;="&amp;$A369,$B$4:$B368,$B369)&gt;0,MIN(AK$1,IF($A369=$A368,AK368,1))-P369&lt;0),-1,MIN(1,IF($A369=$A368,AK368,1)-P369+$D$3))</f>
        <v>#N/A</v>
      </c>
      <c r="AL369" t="e">
        <f>IF(OR($J369=0,COUNTIFS($A$4:$A368,"&gt;="&amp;$A369-1,$A$4:$A368,"&lt;="&amp;$A369,$B$4:$B368,$B369)&gt;0,MIN(AL$1,IF($A369=$A368,AL368,1))-Q369&lt;0),-1,MIN(1,IF($A369=$A368,AL368,1)-Q369+$D$3))</f>
        <v>#N/A</v>
      </c>
      <c r="AM369" t="e">
        <f>IF(OR($J369=0,COUNTIFS($A$4:$A368,"&gt;="&amp;$A369-1,$A$4:$A368,"&lt;="&amp;$A369,$B$4:$B368,$B369)&gt;0,MIN(AM$1,IF($A369=$A368,AM368,1))-R369&lt;0),-1,MIN(1,IF($A369=$A368,AM368,1)-R369+$D$3))</f>
        <v>#N/A</v>
      </c>
      <c r="AN369" t="e">
        <f>IF(OR($J369=0,COUNTIFS($A$4:$A368,"&gt;="&amp;$A369-1,$A$4:$A368,"&lt;="&amp;$A369,$B$4:$B368,$B369)&gt;0,MIN(AN$1,IF($A369=$A368,AN368,1))-S369&lt;0),-1,MIN(1,IF($A369=$A368,AN368,1)-S369+$D$3))</f>
        <v>#N/A</v>
      </c>
      <c r="AO369" t="e">
        <f>IF(OR($J369=0,COUNTIFS($A$4:$A368,"&gt;="&amp;$A369-1,$A$4:$A368,"&lt;="&amp;$A369,$B$4:$B368,$B369)&gt;0,MIN(AO$1,IF($A369=$A368,AO368,1))-T369&lt;0),-1,MIN(1,IF($A369=$A368,AO368,1)-T369+$D$3))</f>
        <v>#N/A</v>
      </c>
      <c r="AP369" t="e">
        <f>IF(OR($J369=0,COUNTIFS($A$4:$A368,"&gt;="&amp;$A369-1,$A$4:$A368,"&lt;="&amp;$A369,$B$4:$B368,$B369)&gt;0,MIN(AP$1,IF($A369=$A368,AP368,1))-U369&lt;0),-1,MIN(1,IF($A369=$A368,AP368,1)-U369+$D$3))</f>
        <v>#N/A</v>
      </c>
      <c r="AQ369" t="e">
        <f>IF(OR($J369=0,COUNTIFS($A$4:$A368,"&gt;="&amp;$A369-1,$A$4:$A368,"&lt;="&amp;$A369,$B$4:$B368,$B369)&gt;0,MIN(AQ$1,IF($A369=$A368,AQ368,1))-V369&lt;0),-1,MIN(1,IF($A369=$A368,AQ368,1)-V369+$D$3))</f>
        <v>#N/A</v>
      </c>
      <c r="AR369" t="e">
        <f>IF(OR($J369=0,COUNTIFS($A$4:$A368,"&gt;="&amp;$A369-1,$A$4:$A368,"&lt;="&amp;$A369,$B$4:$B368,$B369)&gt;0,MIN(AR$1,IF($A369=$A368,AR368,1))-W369&lt;0),-1,MIN(1,IF($A369=$A368,AR368,1)-W369+$D$3))</f>
        <v>#N/A</v>
      </c>
      <c r="AS369" t="e">
        <f>IF(OR($J369=0,COUNTIFS($A$4:$A368,"&gt;="&amp;$A369-1,$A$4:$A368,"&lt;="&amp;$A369,$B$4:$B368,$B369)&gt;0,MIN(AS$1,IF($A369=$A368,AS368,1))-X369&lt;0),-1,MIN(1,IF($A369=$A368,AS368,1)-X369+$D$3))</f>
        <v>#N/A</v>
      </c>
      <c r="AT369" t="e">
        <f>IF(OR($J369=0,COUNTIFS($A$4:$A368,"&gt;="&amp;$A369-1,$A$4:$A368,"&lt;="&amp;$A369,$B$4:$B368,$B369)&gt;0,MIN(AT$1,IF($A369=$A368,AT368,1))-Y369&lt;0),-1,MIN(1,IF($A369=$A368,AT368,1)-Y369+$D$3))</f>
        <v>#N/A</v>
      </c>
      <c r="AU369" t="e">
        <f>IF(OR($J369=0,COUNTIFS($A$4:$A368,"&gt;="&amp;$A369-1,$A$4:$A368,"&lt;="&amp;$A369,$B$4:$B368,$B369)&gt;0,MIN(AU$1,IF($A369=$A368,AU368,1))-Z369&lt;0),-1,MIN(1,IF($A369=$A368,AU368,1)-Z369+$D$3))</f>
        <v>#N/A</v>
      </c>
      <c r="AV369" t="e">
        <f>IF(OR($J369=0,COUNTIFS($A$4:$A368,"&gt;="&amp;$A369-1,$A$4:$A368,"&lt;="&amp;$A369,$B$4:$B368,$B369)&gt;0,MIN(AV$1,IF($A369=$A368,AV368,1))-AA369&lt;0),-1,MIN(1,IF($A369=$A368,AV368,1)-AA369+$D$3))</f>
        <v>#N/A</v>
      </c>
      <c r="AW369" t="e">
        <f>IF(OR($J369=0,COUNTIFS($A$4:$A368,"&gt;="&amp;$A369-1,$A$4:$A368,"&lt;="&amp;$A369,$B$4:$B368,$B369)&gt;0,MIN(AW$1,IF($A369=$A368,AW368,1))-AB369&lt;0),-1,MIN(1,IF($A369=$A368,AW368,1)-AB369+$D$3))</f>
        <v>#N/A</v>
      </c>
      <c r="AX369" t="e">
        <f>IF(OR($J369=0,COUNTIFS($A$4:$A368,"&gt;="&amp;$A369-1,$A$4:$A368,"&lt;="&amp;$A369,$B$4:$B368,$B369)&gt;0,MIN(AX$1,IF($A369=$A368,AX368,1))-AC369&lt;0),-1,MIN(1,IF($A369=$A368,AX368,1)-AC369+$D$3))</f>
        <v>#N/A</v>
      </c>
      <c r="AY369" t="e">
        <f>IF(OR($J369=0,COUNTIFS($A$4:$A368,"&gt;="&amp;$A369-1,$A$4:$A368,"&lt;="&amp;$A369,$B$4:$B368,$B369)&gt;0,MIN(AY$1,IF($A369=$A368,AY368,1))-AD369&lt;0),-1,MIN(1,IF($A369=$A368,AY368,1)-AD369+$D$3))</f>
        <v>#N/A</v>
      </c>
      <c r="AZ369" t="e">
        <f>IF(OR($J369=0,COUNTIFS($A$4:$A368,"&gt;="&amp;$A369-1,$A$4:$A368,"&lt;="&amp;$A369,$B$4:$B368,$B369)&gt;0,MIN(AZ$1,IF($A369=$A368,AZ368,1))-AE369&lt;0),-1,MIN(1,IF($A369=$A368,AZ368,1)-AE369+$D$3))</f>
        <v>#N/A</v>
      </c>
      <c r="BA369" t="e">
        <f>IF(OR($J369=0,COUNTIFS($A$4:$A368,"&gt;="&amp;$A369-1,$A$4:$A368,"&lt;="&amp;$A369,$B$4:$B368,$B369)&gt;0,MIN(BA$1,IF($A369=$A368,BA368,1))-AF369&lt;0),-1,MIN(1,IF($A369=$A368,BA368,1)-AF369+$D$3))</f>
        <v>#N/A</v>
      </c>
      <c r="BB369" t="e">
        <f>IF(OR($J369=0,COUNTIFS($A$4:$A368,"&gt;="&amp;$A369-1,$A$4:$A368,"&lt;="&amp;$A369,$B$4:$B368,$B369)&gt;0,MIN(BB$1,IF($A369=$A368,BB368,1))-AG369&lt;0),-1,MIN(1,IF($A369=$A368,BB368,1)-AG369+$D$3))</f>
        <v>#N/A</v>
      </c>
      <c r="BC369" t="e">
        <f>IF(OR($J369=0,COUNTIFS($A$4:$A368,"&gt;="&amp;$A369-1,$A$4:$A368,"&lt;="&amp;$A369,$B$4:$B368,$B369)&gt;0,MIN(BC$1,IF($A369=$A368,BC368,1))-AH369&lt;0),-1,MIN(1,IF($A369=$A368,BC368,1)-AH369+$D$3))</f>
        <v>#N/A</v>
      </c>
      <c r="BD369" t="e">
        <f>IF(OR($J369=0,COUNTIFS($A$4:$A368,"&gt;="&amp;$A369-1,$A$4:$A368,"&lt;="&amp;$A369,$B$4:$B368,$B369)&gt;0,MIN(BD$1,IF($A369=$A368,BD368,1))-AI369&lt;0),-1,MIN(1,IF($A369=$A368,BD368,1)-AI369+$D$3))</f>
        <v>#N/A</v>
      </c>
      <c r="BF369" s="44">
        <f t="shared" si="355"/>
        <v>1.5682735728996491E-8</v>
      </c>
      <c r="BG369" s="44">
        <f t="shared" si="356"/>
        <v>3.8568272531752559E-8</v>
      </c>
      <c r="BH369" s="44">
        <f t="shared" si="357"/>
        <v>3.9528422360099802E-8</v>
      </c>
      <c r="BI369" s="44">
        <f t="shared" si="358"/>
        <v>3.6513287657536933E-8</v>
      </c>
      <c r="BJ369" s="44">
        <f t="shared" si="359"/>
        <v>3.7739949218073502E-8</v>
      </c>
      <c r="BK369" s="44">
        <f t="shared" si="360"/>
        <v>1.620694132596746E-8</v>
      </c>
      <c r="BL369" s="44">
        <f t="shared" si="361"/>
        <v>8.7552446782788409E-9</v>
      </c>
      <c r="BM369" s="44">
        <f t="shared" si="362"/>
        <v>2.2272320067531021E-8</v>
      </c>
      <c r="BN369" s="44">
        <f t="shared" si="363"/>
        <v>2.3164948671985247E-8</v>
      </c>
      <c r="BO369" s="44">
        <f t="shared" si="364"/>
        <v>1.0855973956604804E-8</v>
      </c>
      <c r="BP369" s="44">
        <f t="shared" si="365"/>
        <v>3.6502970555829832E-8</v>
      </c>
      <c r="BQ369" s="44">
        <f t="shared" si="366"/>
        <v>9.8506407012600207E-9</v>
      </c>
      <c r="BR369" s="44">
        <f t="shared" si="367"/>
        <v>2.9101258504767398E-8</v>
      </c>
      <c r="BS369" s="44">
        <f t="shared" si="368"/>
        <v>1.569469488863431E-8</v>
      </c>
      <c r="BT369" s="44">
        <f t="shared" si="369"/>
        <v>6.2108719298133658E-8</v>
      </c>
      <c r="BU369" s="44">
        <f t="shared" si="370"/>
        <v>5.9332516157655679E-8</v>
      </c>
      <c r="BV369" s="44">
        <f t="shared" si="371"/>
        <v>5.6980985544590547E-8</v>
      </c>
      <c r="BW369" s="44">
        <f t="shared" si="372"/>
        <v>3.7268700233570405E-8</v>
      </c>
      <c r="BX369" s="44">
        <f t="shared" si="373"/>
        <v>2.7533438960831248E-8</v>
      </c>
      <c r="BY369" s="44">
        <f t="shared" si="374"/>
        <v>2.3640621957348928E-8</v>
      </c>
      <c r="CA369" s="44" t="str">
        <f t="shared" si="375"/>
        <v/>
      </c>
      <c r="CB369" s="44" t="str">
        <f t="shared" si="376"/>
        <v/>
      </c>
      <c r="CC369" s="44" t="str">
        <f t="shared" si="377"/>
        <v/>
      </c>
      <c r="CD369" s="44" t="str">
        <f t="shared" si="378"/>
        <v/>
      </c>
      <c r="CE369" s="44" t="str">
        <f t="shared" si="379"/>
        <v/>
      </c>
      <c r="CF369" s="44" t="str">
        <f t="shared" si="380"/>
        <v/>
      </c>
      <c r="CG369" s="44" t="str">
        <f t="shared" si="381"/>
        <v/>
      </c>
      <c r="CH369" s="44" t="str">
        <f t="shared" si="382"/>
        <v/>
      </c>
      <c r="CI369" s="44" t="str">
        <f t="shared" si="383"/>
        <v/>
      </c>
      <c r="CJ369" s="44" t="str">
        <f t="shared" si="384"/>
        <v/>
      </c>
      <c r="CK369" s="44" t="str">
        <f t="shared" si="385"/>
        <v/>
      </c>
      <c r="CL369" s="44" t="str">
        <f t="shared" si="386"/>
        <v/>
      </c>
      <c r="CM369" s="44" t="str">
        <f t="shared" si="387"/>
        <v/>
      </c>
      <c r="CN369" s="44" t="str">
        <f t="shared" si="388"/>
        <v/>
      </c>
      <c r="CO369" s="44" t="str">
        <f t="shared" si="389"/>
        <v/>
      </c>
      <c r="CP369" s="44" t="str">
        <f t="shared" si="390"/>
        <v/>
      </c>
      <c r="CQ369" s="44" t="str">
        <f t="shared" si="391"/>
        <v/>
      </c>
      <c r="CR369" s="44" t="str">
        <f t="shared" si="392"/>
        <v/>
      </c>
      <c r="CS369" s="44" t="str">
        <f t="shared" si="393"/>
        <v/>
      </c>
      <c r="CT369" s="44" t="str">
        <f t="shared" si="394"/>
        <v/>
      </c>
      <c r="CV369" s="44">
        <f t="shared" si="395"/>
        <v>0</v>
      </c>
    </row>
    <row r="370" spans="1:100" x14ac:dyDescent="0.25">
      <c r="A370" s="49"/>
      <c r="B370" s="50"/>
      <c r="C370" s="51" t="str" cm="1">
        <f t="array" ref="C370">IF(B370="","",INDEX(UWS!$B$10:$B$41,B370))</f>
        <v/>
      </c>
      <c r="D370" s="45" t="str">
        <f t="shared" si="352"/>
        <v/>
      </c>
      <c r="E370" s="70" t="str">
        <f t="shared" si="353"/>
        <v/>
      </c>
      <c r="F370" s="52" cm="1">
        <f t="array" ref="F370">0.1+IFERROR(INDEX($F$5:$F369,SUMPRODUCT(MAX(ROW($C$5:$C369)*($C370=$C$5:$C369))-ROW($A$4)))*0.9^($A370-INDEX($A$5:A369,SUMPRODUCT(MAX(ROW($C$5:$C369)*($C370=$C$5:$C369))-ROW($A$4)))),0)</f>
        <v>30.500000000000163</v>
      </c>
      <c r="G370" s="56" t="e">
        <f>INDEX(UWS!$AB$10:$AB$41,MATCH(C370,UWS!$B$10:$B$41,0))</f>
        <v>#N/A</v>
      </c>
      <c r="H370" s="52" t="e">
        <f>INDEX(UWS!$C$10:$C$41,MATCH(C370,UWS!$B$10:$B$41,0))</f>
        <v>#N/A</v>
      </c>
      <c r="I370" s="46">
        <f t="shared" si="354"/>
        <v>5</v>
      </c>
      <c r="J370" s="46" t="e">
        <f>INDEX(UWS!$E$10:$E$41,MATCH(C370,UWS!$B$10:$B$41,0))</f>
        <v>#N/A</v>
      </c>
      <c r="K370" s="46"/>
      <c r="L370" s="109" t="str" cm="1">
        <f t="array" ref="L370">IF(K370="","",INDEX(UWS!$B$10:$B$41,K370))</f>
        <v/>
      </c>
      <c r="M370" s="46"/>
      <c r="N370" s="109" t="str" cm="1">
        <f t="array" ref="N370">IF(M370="","",INDEX(UWS!$B$10:$B$41,M370))</f>
        <v/>
      </c>
      <c r="O370" s="47"/>
      <c r="P370" s="47">
        <f>IFERROR(INDEX(UWS!$G$10:$Z$41,MATCH($C370,UWS!$B$10:$B$41,0),MATCH(P$4,UWS!$G$3:$Z$3,0)),0)</f>
        <v>0</v>
      </c>
      <c r="Q370" s="47">
        <f>IFERROR(INDEX(UWS!$G$10:$Z$41,MATCH($C370,UWS!$B$10:$B$41,0),MATCH(Q$4,UWS!$G$3:$Z$3,0)),0)</f>
        <v>0</v>
      </c>
      <c r="R370" s="47">
        <f>IFERROR(INDEX(UWS!$G$10:$Z$41,MATCH($C370,UWS!$B$10:$B$41,0),MATCH(R$4,UWS!$G$3:$Z$3,0)),0)</f>
        <v>0</v>
      </c>
      <c r="S370" s="47">
        <f>IFERROR(INDEX(UWS!$G$10:$Z$41,MATCH($C370,UWS!$B$10:$B$41,0),MATCH(S$4,UWS!$G$3:$Z$3,0)),0)</f>
        <v>0</v>
      </c>
      <c r="T370" s="47">
        <f>IFERROR(INDEX(UWS!$G$10:$Z$41,MATCH($C370,UWS!$B$10:$B$41,0),MATCH(T$4,UWS!$G$3:$Z$3,0)),0)</f>
        <v>0</v>
      </c>
      <c r="U370" s="47">
        <f>IFERROR(INDEX(UWS!$G$10:$Z$41,MATCH($C370,UWS!$B$10:$B$41,0),MATCH(U$4,UWS!$G$3:$Z$3,0)),0)</f>
        <v>0</v>
      </c>
      <c r="V370" s="47">
        <f>IFERROR(INDEX(UWS!$G$10:$Z$41,MATCH($C370,UWS!$B$10:$B$41,0),MATCH(V$4,UWS!$G$3:$Z$3,0)),0)</f>
        <v>0</v>
      </c>
      <c r="W370" s="47">
        <f>IFERROR(INDEX(UWS!$G$10:$Z$41,MATCH($C370,UWS!$B$10:$B$41,0),MATCH(W$4,UWS!$G$3:$Z$3,0)),0)</f>
        <v>0</v>
      </c>
      <c r="X370" s="47">
        <f>IFERROR(INDEX(UWS!$G$10:$Z$41,MATCH($C370,UWS!$B$10:$B$41,0),MATCH(X$4,UWS!$G$3:$Z$3,0)),0)</f>
        <v>0</v>
      </c>
      <c r="Y370" s="47">
        <f>IFERROR(INDEX(UWS!$G$10:$Z$41,MATCH($C370,UWS!$B$10:$B$41,0),MATCH(Y$4,UWS!$G$3:$Z$3,0)),0)</f>
        <v>0</v>
      </c>
      <c r="Z370" s="47">
        <f>IFERROR(INDEX(UWS!$G$10:$Z$41,MATCH($C370,UWS!$B$10:$B$41,0),MATCH(Z$4,UWS!$G$3:$Z$3,0)),0)</f>
        <v>0</v>
      </c>
      <c r="AA370" s="47">
        <f>IFERROR(INDEX(UWS!$G$10:$Z$41,MATCH($C370,UWS!$B$10:$B$41,0),MATCH(AA$4,UWS!$G$3:$Z$3,0)),0)</f>
        <v>0</v>
      </c>
      <c r="AB370" s="47">
        <f>IFERROR(INDEX(UWS!$G$10:$Z$41,MATCH($C370,UWS!$B$10:$B$41,0),MATCH(AB$4,UWS!$G$3:$Z$3,0)),0)</f>
        <v>0</v>
      </c>
      <c r="AC370" s="47">
        <f>IFERROR(INDEX(UWS!$G$10:$Z$41,MATCH($C370,UWS!$B$10:$B$41,0),MATCH(AC$4,UWS!$G$3:$Z$3,0)),0)</f>
        <v>0</v>
      </c>
      <c r="AD370" s="47">
        <f>IFERROR(INDEX(UWS!$G$10:$Z$41,MATCH($C370,UWS!$B$10:$B$41,0),MATCH(AD$4,UWS!$G$3:$Z$3,0)),0)</f>
        <v>0</v>
      </c>
      <c r="AE370" s="47">
        <f>IFERROR(INDEX(UWS!$G$10:$Z$41,MATCH($C370,UWS!$B$10:$B$41,0),MATCH(AE$4,UWS!$G$3:$Z$3,0)),0)</f>
        <v>0</v>
      </c>
      <c r="AF370" s="47">
        <f>IFERROR(INDEX(UWS!$G$10:$Z$41,MATCH($C370,UWS!$B$10:$B$41,0),MATCH(AF$4,UWS!$G$3:$Z$3,0)),0)</f>
        <v>0</v>
      </c>
      <c r="AG370" s="47">
        <f>IFERROR(INDEX(UWS!$G$10:$Z$41,MATCH($C370,UWS!$B$10:$B$41,0),MATCH(AG$4,UWS!$G$3:$Z$3,0)),0)</f>
        <v>0</v>
      </c>
      <c r="AH370" s="47">
        <f>IFERROR(INDEX(UWS!$G$10:$Z$41,MATCH($C370,UWS!$B$10:$B$41,0),MATCH(AH$4,UWS!$G$3:$Z$3,0)),0)</f>
        <v>0</v>
      </c>
      <c r="AI370" s="47">
        <f>IFERROR(INDEX(UWS!$G$10:$Z$41,MATCH($C370,UWS!$B$10:$B$41,0),MATCH(AI$4,UWS!$G$3:$Z$3,0)),0)</f>
        <v>0</v>
      </c>
      <c r="AJ370" s="47"/>
      <c r="AK370" s="47" t="e">
        <f>IF(OR($J370=0,COUNTIFS($A$4:$A369,"&gt;="&amp;$A370-1,$A$4:$A369,"&lt;="&amp;$A370,$B$4:$B369,$B370)&gt;0,MIN(AK$1,IF($A370=$A369,AK369,1))-P370&lt;0),-1,MIN(1,IF($A370=$A369,AK369,1)-P370+$D$3))</f>
        <v>#N/A</v>
      </c>
      <c r="AL370" s="47" t="e">
        <f>IF(OR($J370=0,COUNTIFS($A$4:$A369,"&gt;="&amp;$A370-1,$A$4:$A369,"&lt;="&amp;$A370,$B$4:$B369,$B370)&gt;0,MIN(AL$1,IF($A370=$A369,AL369,1))-Q370&lt;0),-1,MIN(1,IF($A370=$A369,AL369,1)-Q370+$D$3))</f>
        <v>#N/A</v>
      </c>
      <c r="AM370" s="47" t="e">
        <f>IF(OR($J370=0,COUNTIFS($A$4:$A369,"&gt;="&amp;$A370-1,$A$4:$A369,"&lt;="&amp;$A370,$B$4:$B369,$B370)&gt;0,MIN(AM$1,IF($A370=$A369,AM369,1))-R370&lt;0),-1,MIN(1,IF($A370=$A369,AM369,1)-R370+$D$3))</f>
        <v>#N/A</v>
      </c>
      <c r="AN370" s="47" t="e">
        <f>IF(OR($J370=0,COUNTIFS($A$4:$A369,"&gt;="&amp;$A370-1,$A$4:$A369,"&lt;="&amp;$A370,$B$4:$B369,$B370)&gt;0,MIN(AN$1,IF($A370=$A369,AN369,1))-S370&lt;0),-1,MIN(1,IF($A370=$A369,AN369,1)-S370+$D$3))</f>
        <v>#N/A</v>
      </c>
      <c r="AO370" s="47" t="e">
        <f>IF(OR($J370=0,COUNTIFS($A$4:$A369,"&gt;="&amp;$A370-1,$A$4:$A369,"&lt;="&amp;$A370,$B$4:$B369,$B370)&gt;0,MIN(AO$1,IF($A370=$A369,AO369,1))-T370&lt;0),-1,MIN(1,IF($A370=$A369,AO369,1)-T370+$D$3))</f>
        <v>#N/A</v>
      </c>
      <c r="AP370" s="47" t="e">
        <f>IF(OR($J370=0,COUNTIFS($A$4:$A369,"&gt;="&amp;$A370-1,$A$4:$A369,"&lt;="&amp;$A370,$B$4:$B369,$B370)&gt;0,MIN(AP$1,IF($A370=$A369,AP369,1))-U370&lt;0),-1,MIN(1,IF($A370=$A369,AP369,1)-U370+$D$3))</f>
        <v>#N/A</v>
      </c>
      <c r="AQ370" s="47" t="e">
        <f>IF(OR($J370=0,COUNTIFS($A$4:$A369,"&gt;="&amp;$A370-1,$A$4:$A369,"&lt;="&amp;$A370,$B$4:$B369,$B370)&gt;0,MIN(AQ$1,IF($A370=$A369,AQ369,1))-V370&lt;0),-1,MIN(1,IF($A370=$A369,AQ369,1)-V370+$D$3))</f>
        <v>#N/A</v>
      </c>
      <c r="AR370" s="47" t="e">
        <f>IF(OR($J370=0,COUNTIFS($A$4:$A369,"&gt;="&amp;$A370-1,$A$4:$A369,"&lt;="&amp;$A370,$B$4:$B369,$B370)&gt;0,MIN(AR$1,IF($A370=$A369,AR369,1))-W370&lt;0),-1,MIN(1,IF($A370=$A369,AR369,1)-W370+$D$3))</f>
        <v>#N/A</v>
      </c>
      <c r="AS370" s="47" t="e">
        <f>IF(OR($J370=0,COUNTIFS($A$4:$A369,"&gt;="&amp;$A370-1,$A$4:$A369,"&lt;="&amp;$A370,$B$4:$B369,$B370)&gt;0,MIN(AS$1,IF($A370=$A369,AS369,1))-X370&lt;0),-1,MIN(1,IF($A370=$A369,AS369,1)-X370+$D$3))</f>
        <v>#N/A</v>
      </c>
      <c r="AT370" s="47" t="e">
        <f>IF(OR($J370=0,COUNTIFS($A$4:$A369,"&gt;="&amp;$A370-1,$A$4:$A369,"&lt;="&amp;$A370,$B$4:$B369,$B370)&gt;0,MIN(AT$1,IF($A370=$A369,AT369,1))-Y370&lt;0),-1,MIN(1,IF($A370=$A369,AT369,1)-Y370+$D$3))</f>
        <v>#N/A</v>
      </c>
      <c r="AU370" s="47" t="e">
        <f>IF(OR($J370=0,COUNTIFS($A$4:$A369,"&gt;="&amp;$A370-1,$A$4:$A369,"&lt;="&amp;$A370,$B$4:$B369,$B370)&gt;0,MIN(AU$1,IF($A370=$A369,AU369,1))-Z370&lt;0),-1,MIN(1,IF($A370=$A369,AU369,1)-Z370+$D$3))</f>
        <v>#N/A</v>
      </c>
      <c r="AV370" s="47" t="e">
        <f>IF(OR($J370=0,COUNTIFS($A$4:$A369,"&gt;="&amp;$A370-1,$A$4:$A369,"&lt;="&amp;$A370,$B$4:$B369,$B370)&gt;0,MIN(AV$1,IF($A370=$A369,AV369,1))-AA370&lt;0),-1,MIN(1,IF($A370=$A369,AV369,1)-AA370+$D$3))</f>
        <v>#N/A</v>
      </c>
      <c r="AW370" s="47" t="e">
        <f>IF(OR($J370=0,COUNTIFS($A$4:$A369,"&gt;="&amp;$A370-1,$A$4:$A369,"&lt;="&amp;$A370,$B$4:$B369,$B370)&gt;0,MIN(AW$1,IF($A370=$A369,AW369,1))-AB370&lt;0),-1,MIN(1,IF($A370=$A369,AW369,1)-AB370+$D$3))</f>
        <v>#N/A</v>
      </c>
      <c r="AX370" s="47" t="e">
        <f>IF(OR($J370=0,COUNTIFS($A$4:$A369,"&gt;="&amp;$A370-1,$A$4:$A369,"&lt;="&amp;$A370,$B$4:$B369,$B370)&gt;0,MIN(AX$1,IF($A370=$A369,AX369,1))-AC370&lt;0),-1,MIN(1,IF($A370=$A369,AX369,1)-AC370+$D$3))</f>
        <v>#N/A</v>
      </c>
      <c r="AY370" s="47" t="e">
        <f>IF(OR($J370=0,COUNTIFS($A$4:$A369,"&gt;="&amp;$A370-1,$A$4:$A369,"&lt;="&amp;$A370,$B$4:$B369,$B370)&gt;0,MIN(AY$1,IF($A370=$A369,AY369,1))-AD370&lt;0),-1,MIN(1,IF($A370=$A369,AY369,1)-AD370+$D$3))</f>
        <v>#N/A</v>
      </c>
      <c r="AZ370" s="47" t="e">
        <f>IF(OR($J370=0,COUNTIFS($A$4:$A369,"&gt;="&amp;$A370-1,$A$4:$A369,"&lt;="&amp;$A370,$B$4:$B369,$B370)&gt;0,MIN(AZ$1,IF($A370=$A369,AZ369,1))-AE370&lt;0),-1,MIN(1,IF($A370=$A369,AZ369,1)-AE370+$D$3))</f>
        <v>#N/A</v>
      </c>
      <c r="BA370" s="47" t="e">
        <f>IF(OR($J370=0,COUNTIFS($A$4:$A369,"&gt;="&amp;$A370-1,$A$4:$A369,"&lt;="&amp;$A370,$B$4:$B369,$B370)&gt;0,MIN(BA$1,IF($A370=$A369,BA369,1))-AF370&lt;0),-1,MIN(1,IF($A370=$A369,BA369,1)-AF370+$D$3))</f>
        <v>#N/A</v>
      </c>
      <c r="BB370" s="47" t="e">
        <f>IF(OR($J370=0,COUNTIFS($A$4:$A369,"&gt;="&amp;$A370-1,$A$4:$A369,"&lt;="&amp;$A370,$B$4:$B369,$B370)&gt;0,MIN(BB$1,IF($A370=$A369,BB369,1))-AG370&lt;0),-1,MIN(1,IF($A370=$A369,BB369,1)-AG370+$D$3))</f>
        <v>#N/A</v>
      </c>
      <c r="BC370" s="47" t="e">
        <f>IF(OR($J370=0,COUNTIFS($A$4:$A369,"&gt;="&amp;$A370-1,$A$4:$A369,"&lt;="&amp;$A370,$B$4:$B369,$B370)&gt;0,MIN(BC$1,IF($A370=$A369,BC369,1))-AH370&lt;0),-1,MIN(1,IF($A370=$A369,BC369,1)-AH370+$D$3))</f>
        <v>#N/A</v>
      </c>
      <c r="BD370" s="47" t="e">
        <f>IF(OR($J370=0,COUNTIFS($A$4:$A369,"&gt;="&amp;$A370-1,$A$4:$A369,"&lt;="&amp;$A370,$B$4:$B369,$B370)&gt;0,MIN(BD$1,IF($A370=$A369,BD369,1))-AI370&lt;0),-1,MIN(1,IF($A370=$A369,BD369,1)-AI370+$D$3))</f>
        <v>#N/A</v>
      </c>
      <c r="BE370" s="47"/>
      <c r="BF370" s="53">
        <f t="shared" si="355"/>
        <v>1.4898598942546666E-8</v>
      </c>
      <c r="BG370" s="53">
        <f t="shared" si="356"/>
        <v>3.6639858905164928E-8</v>
      </c>
      <c r="BH370" s="53">
        <f t="shared" si="357"/>
        <v>3.7552001242094809E-8</v>
      </c>
      <c r="BI370" s="53">
        <f t="shared" si="358"/>
        <v>3.4687623274660083E-8</v>
      </c>
      <c r="BJ370" s="53">
        <f t="shared" si="359"/>
        <v>3.5852951757169823E-8</v>
      </c>
      <c r="BK370" s="53">
        <f t="shared" si="360"/>
        <v>1.5396594259669086E-8</v>
      </c>
      <c r="BL370" s="53">
        <f t="shared" si="361"/>
        <v>8.3174824443648983E-9</v>
      </c>
      <c r="BM370" s="53">
        <f t="shared" si="362"/>
        <v>2.115870406415447E-8</v>
      </c>
      <c r="BN370" s="53">
        <f t="shared" si="363"/>
        <v>2.2006701238385982E-8</v>
      </c>
      <c r="BO370" s="53">
        <f t="shared" si="364"/>
        <v>1.0313175258774563E-8</v>
      </c>
      <c r="BP370" s="53">
        <f t="shared" si="365"/>
        <v>3.4677822028038336E-8</v>
      </c>
      <c r="BQ370" s="53">
        <f t="shared" si="366"/>
        <v>9.3581086661970195E-9</v>
      </c>
      <c r="BR370" s="53">
        <f t="shared" si="367"/>
        <v>2.7646195579529028E-8</v>
      </c>
      <c r="BS370" s="53">
        <f t="shared" si="368"/>
        <v>1.4909960144202594E-8</v>
      </c>
      <c r="BT370" s="53">
        <f t="shared" si="369"/>
        <v>5.9003283333226973E-8</v>
      </c>
      <c r="BU370" s="53">
        <f t="shared" si="370"/>
        <v>5.6365890349772893E-8</v>
      </c>
      <c r="BV370" s="53">
        <f t="shared" si="371"/>
        <v>5.4131936267361017E-8</v>
      </c>
      <c r="BW370" s="53">
        <f t="shared" si="372"/>
        <v>3.5405265221891881E-8</v>
      </c>
      <c r="BX370" s="53">
        <f t="shared" si="373"/>
        <v>2.6156767012789684E-8</v>
      </c>
      <c r="BY370" s="53">
        <f t="shared" si="374"/>
        <v>2.2458590859481481E-8</v>
      </c>
      <c r="BZ370" s="47"/>
      <c r="CA370" s="53" t="str">
        <f t="shared" si="375"/>
        <v/>
      </c>
      <c r="CB370" s="53" t="str">
        <f t="shared" si="376"/>
        <v/>
      </c>
      <c r="CC370" s="53" t="str">
        <f t="shared" si="377"/>
        <v/>
      </c>
      <c r="CD370" s="53" t="str">
        <f t="shared" si="378"/>
        <v/>
      </c>
      <c r="CE370" s="53" t="str">
        <f t="shared" si="379"/>
        <v/>
      </c>
      <c r="CF370" s="53" t="str">
        <f t="shared" si="380"/>
        <v/>
      </c>
      <c r="CG370" s="53" t="str">
        <f t="shared" si="381"/>
        <v/>
      </c>
      <c r="CH370" s="53" t="str">
        <f t="shared" si="382"/>
        <v/>
      </c>
      <c r="CI370" s="53" t="str">
        <f t="shared" si="383"/>
        <v/>
      </c>
      <c r="CJ370" s="53" t="str">
        <f t="shared" si="384"/>
        <v/>
      </c>
      <c r="CK370" s="53" t="str">
        <f t="shared" si="385"/>
        <v/>
      </c>
      <c r="CL370" s="53" t="str">
        <f t="shared" si="386"/>
        <v/>
      </c>
      <c r="CM370" s="53" t="str">
        <f t="shared" si="387"/>
        <v/>
      </c>
      <c r="CN370" s="53" t="str">
        <f t="shared" si="388"/>
        <v/>
      </c>
      <c r="CO370" s="53" t="str">
        <f t="shared" si="389"/>
        <v/>
      </c>
      <c r="CP370" s="53" t="str">
        <f t="shared" si="390"/>
        <v/>
      </c>
      <c r="CQ370" s="53" t="str">
        <f t="shared" si="391"/>
        <v/>
      </c>
      <c r="CR370" s="53" t="str">
        <f t="shared" si="392"/>
        <v/>
      </c>
      <c r="CS370" s="53" t="str">
        <f t="shared" si="393"/>
        <v/>
      </c>
      <c r="CT370" s="53" t="str">
        <f t="shared" si="394"/>
        <v/>
      </c>
      <c r="CU370" s="47"/>
      <c r="CV370" s="53">
        <f t="shared" si="395"/>
        <v>0</v>
      </c>
    </row>
    <row r="371" spans="1:100" x14ac:dyDescent="0.25">
      <c r="A371" s="41"/>
      <c r="B371" s="42"/>
      <c r="C371" s="43" t="str" cm="1">
        <f t="array" ref="C371">IF(B371="","",INDEX(UWS!$B$10:$B$41,B371))</f>
        <v/>
      </c>
      <c r="D371" s="40" t="str">
        <f t="shared" ref="D371:D434" si="396">IF(C371="","",MIN(AK371:BD371))</f>
        <v/>
      </c>
      <c r="E371" s="69" t="str">
        <f t="shared" ref="E371:E434" si="397">IF(C371="","",IFERROR((H371/$H$2)^$H$1*(CV371/$CV370)^$CV$1*(F371/$F$2)^$F$1*(G371/$G$2)^IF(B371&lt;=5,0,($G$1-$G$3*(I371-1))),0))</f>
        <v/>
      </c>
      <c r="F371" s="48" cm="1">
        <f t="array" ref="F371">0.1+IFERROR(INDEX($F$5:$F370,SUMPRODUCT(MAX(ROW($C$5:$C370)*($C371=$C$5:$C370))-ROW($A$4)))*0.9^($A371-INDEX($A$5:A370,SUMPRODUCT(MAX(ROW($C$5:$C370)*($C371=$C$5:$C370))-ROW($A$4)))),0)</f>
        <v>30.600000000000165</v>
      </c>
      <c r="G371" s="55" t="e">
        <f>INDEX(UWS!$AB$10:$AB$41,MATCH(C371,UWS!$B$10:$B$41,0))</f>
        <v>#N/A</v>
      </c>
      <c r="H371" s="48" t="e">
        <f>INDEX(UWS!$C$10:$C$41,MATCH(C371,UWS!$B$10:$B$41,0))</f>
        <v>#N/A</v>
      </c>
      <c r="I371" s="82">
        <f t="shared" ref="I371:I434" si="398">IF(A371&gt;A370,1,IF(A371&gt;A369,2,IF(A371&gt;A368,3,IF(A371&gt;A367,4,5))))</f>
        <v>5</v>
      </c>
      <c r="J371" s="27" t="e">
        <f>INDEX(UWS!$E$10:$E$41,MATCH(C371,UWS!$B$10:$B$41,0))</f>
        <v>#N/A</v>
      </c>
      <c r="L371" s="108" t="str" cm="1">
        <f t="array" ref="L371">IF(K371="","",INDEX(UWS!$B$10:$B$41,K371))</f>
        <v/>
      </c>
      <c r="N371" s="108" t="str" cm="1">
        <f t="array" ref="N371">IF(M371="","",INDEX(UWS!$B$10:$B$41,M371))</f>
        <v/>
      </c>
      <c r="P371">
        <f>IFERROR(INDEX(UWS!$G$10:$Z$41,MATCH($C371,UWS!$B$10:$B$41,0),MATCH(P$4,UWS!$G$3:$Z$3,0)),0)</f>
        <v>0</v>
      </c>
      <c r="Q371">
        <f>IFERROR(INDEX(UWS!$G$10:$Z$41,MATCH($C371,UWS!$B$10:$B$41,0),MATCH(Q$4,UWS!$G$3:$Z$3,0)),0)</f>
        <v>0</v>
      </c>
      <c r="R371">
        <f>IFERROR(INDEX(UWS!$G$10:$Z$41,MATCH($C371,UWS!$B$10:$B$41,0),MATCH(R$4,UWS!$G$3:$Z$3,0)),0)</f>
        <v>0</v>
      </c>
      <c r="S371">
        <f>IFERROR(INDEX(UWS!$G$10:$Z$41,MATCH($C371,UWS!$B$10:$B$41,0),MATCH(S$4,UWS!$G$3:$Z$3,0)),0)</f>
        <v>0</v>
      </c>
      <c r="T371">
        <f>IFERROR(INDEX(UWS!$G$10:$Z$41,MATCH($C371,UWS!$B$10:$B$41,0),MATCH(T$4,UWS!$G$3:$Z$3,0)),0)</f>
        <v>0</v>
      </c>
      <c r="U371">
        <f>IFERROR(INDEX(UWS!$G$10:$Z$41,MATCH($C371,UWS!$B$10:$B$41,0),MATCH(U$4,UWS!$G$3:$Z$3,0)),0)</f>
        <v>0</v>
      </c>
      <c r="V371">
        <f>IFERROR(INDEX(UWS!$G$10:$Z$41,MATCH($C371,UWS!$B$10:$B$41,0),MATCH(V$4,UWS!$G$3:$Z$3,0)),0)</f>
        <v>0</v>
      </c>
      <c r="W371">
        <f>IFERROR(INDEX(UWS!$G$10:$Z$41,MATCH($C371,UWS!$B$10:$B$41,0),MATCH(W$4,UWS!$G$3:$Z$3,0)),0)</f>
        <v>0</v>
      </c>
      <c r="X371">
        <f>IFERROR(INDEX(UWS!$G$10:$Z$41,MATCH($C371,UWS!$B$10:$B$41,0),MATCH(X$4,UWS!$G$3:$Z$3,0)),0)</f>
        <v>0</v>
      </c>
      <c r="Y371">
        <f>IFERROR(INDEX(UWS!$G$10:$Z$41,MATCH($C371,UWS!$B$10:$B$41,0),MATCH(Y$4,UWS!$G$3:$Z$3,0)),0)</f>
        <v>0</v>
      </c>
      <c r="Z371">
        <f>IFERROR(INDEX(UWS!$G$10:$Z$41,MATCH($C371,UWS!$B$10:$B$41,0),MATCH(Z$4,UWS!$G$3:$Z$3,0)),0)</f>
        <v>0</v>
      </c>
      <c r="AA371">
        <f>IFERROR(INDEX(UWS!$G$10:$Z$41,MATCH($C371,UWS!$B$10:$B$41,0),MATCH(AA$4,UWS!$G$3:$Z$3,0)),0)</f>
        <v>0</v>
      </c>
      <c r="AB371">
        <f>IFERROR(INDEX(UWS!$G$10:$Z$41,MATCH($C371,UWS!$B$10:$B$41,0),MATCH(AB$4,UWS!$G$3:$Z$3,0)),0)</f>
        <v>0</v>
      </c>
      <c r="AC371">
        <f>IFERROR(INDEX(UWS!$G$10:$Z$41,MATCH($C371,UWS!$B$10:$B$41,0),MATCH(AC$4,UWS!$G$3:$Z$3,0)),0)</f>
        <v>0</v>
      </c>
      <c r="AD371">
        <f>IFERROR(INDEX(UWS!$G$10:$Z$41,MATCH($C371,UWS!$B$10:$B$41,0),MATCH(AD$4,UWS!$G$3:$Z$3,0)),0)</f>
        <v>0</v>
      </c>
      <c r="AE371">
        <f>IFERROR(INDEX(UWS!$G$10:$Z$41,MATCH($C371,UWS!$B$10:$B$41,0),MATCH(AE$4,UWS!$G$3:$Z$3,0)),0)</f>
        <v>0</v>
      </c>
      <c r="AF371">
        <f>IFERROR(INDEX(UWS!$G$10:$Z$41,MATCH($C371,UWS!$B$10:$B$41,0),MATCH(AF$4,UWS!$G$3:$Z$3,0)),0)</f>
        <v>0</v>
      </c>
      <c r="AG371">
        <f>IFERROR(INDEX(UWS!$G$10:$Z$41,MATCH($C371,UWS!$B$10:$B$41,0),MATCH(AG$4,UWS!$G$3:$Z$3,0)),0)</f>
        <v>0</v>
      </c>
      <c r="AH371">
        <f>IFERROR(INDEX(UWS!$G$10:$Z$41,MATCH($C371,UWS!$B$10:$B$41,0),MATCH(AH$4,UWS!$G$3:$Z$3,0)),0)</f>
        <v>0</v>
      </c>
      <c r="AI371">
        <f>IFERROR(INDEX(UWS!$G$10:$Z$41,MATCH($C371,UWS!$B$10:$B$41,0),MATCH(AI$4,UWS!$G$3:$Z$3,0)),0)</f>
        <v>0</v>
      </c>
      <c r="AK371" t="e">
        <f>IF(OR($J371=0,COUNTIFS($A$4:$A370,"&gt;="&amp;$A371-1,$A$4:$A370,"&lt;="&amp;$A371,$B$4:$B370,$B371)&gt;0,MIN(AK$1,IF($A371=$A370,AK370,1))-P371&lt;0),-1,MIN(1,IF($A371=$A370,AK370,1)-P371+$D$3))</f>
        <v>#N/A</v>
      </c>
      <c r="AL371" t="e">
        <f>IF(OR($J371=0,COUNTIFS($A$4:$A370,"&gt;="&amp;$A371-1,$A$4:$A370,"&lt;="&amp;$A371,$B$4:$B370,$B371)&gt;0,MIN(AL$1,IF($A371=$A370,AL370,1))-Q371&lt;0),-1,MIN(1,IF($A371=$A370,AL370,1)-Q371+$D$3))</f>
        <v>#N/A</v>
      </c>
      <c r="AM371" t="e">
        <f>IF(OR($J371=0,COUNTIFS($A$4:$A370,"&gt;="&amp;$A371-1,$A$4:$A370,"&lt;="&amp;$A371,$B$4:$B370,$B371)&gt;0,MIN(AM$1,IF($A371=$A370,AM370,1))-R371&lt;0),-1,MIN(1,IF($A371=$A370,AM370,1)-R371+$D$3))</f>
        <v>#N/A</v>
      </c>
      <c r="AN371" t="e">
        <f>IF(OR($J371=0,COUNTIFS($A$4:$A370,"&gt;="&amp;$A371-1,$A$4:$A370,"&lt;="&amp;$A371,$B$4:$B370,$B371)&gt;0,MIN(AN$1,IF($A371=$A370,AN370,1))-S371&lt;0),-1,MIN(1,IF($A371=$A370,AN370,1)-S371+$D$3))</f>
        <v>#N/A</v>
      </c>
      <c r="AO371" t="e">
        <f>IF(OR($J371=0,COUNTIFS($A$4:$A370,"&gt;="&amp;$A371-1,$A$4:$A370,"&lt;="&amp;$A371,$B$4:$B370,$B371)&gt;0,MIN(AO$1,IF($A371=$A370,AO370,1))-T371&lt;0),-1,MIN(1,IF($A371=$A370,AO370,1)-T371+$D$3))</f>
        <v>#N/A</v>
      </c>
      <c r="AP371" t="e">
        <f>IF(OR($J371=0,COUNTIFS($A$4:$A370,"&gt;="&amp;$A371-1,$A$4:$A370,"&lt;="&amp;$A371,$B$4:$B370,$B371)&gt;0,MIN(AP$1,IF($A371=$A370,AP370,1))-U371&lt;0),-1,MIN(1,IF($A371=$A370,AP370,1)-U371+$D$3))</f>
        <v>#N/A</v>
      </c>
      <c r="AQ371" t="e">
        <f>IF(OR($J371=0,COUNTIFS($A$4:$A370,"&gt;="&amp;$A371-1,$A$4:$A370,"&lt;="&amp;$A371,$B$4:$B370,$B371)&gt;0,MIN(AQ$1,IF($A371=$A370,AQ370,1))-V371&lt;0),-1,MIN(1,IF($A371=$A370,AQ370,1)-V371+$D$3))</f>
        <v>#N/A</v>
      </c>
      <c r="AR371" t="e">
        <f>IF(OR($J371=0,COUNTIFS($A$4:$A370,"&gt;="&amp;$A371-1,$A$4:$A370,"&lt;="&amp;$A371,$B$4:$B370,$B371)&gt;0,MIN(AR$1,IF($A371=$A370,AR370,1))-W371&lt;0),-1,MIN(1,IF($A371=$A370,AR370,1)-W371+$D$3))</f>
        <v>#N/A</v>
      </c>
      <c r="AS371" t="e">
        <f>IF(OR($J371=0,COUNTIFS($A$4:$A370,"&gt;="&amp;$A371-1,$A$4:$A370,"&lt;="&amp;$A371,$B$4:$B370,$B371)&gt;0,MIN(AS$1,IF($A371=$A370,AS370,1))-X371&lt;0),-1,MIN(1,IF($A371=$A370,AS370,1)-X371+$D$3))</f>
        <v>#N/A</v>
      </c>
      <c r="AT371" t="e">
        <f>IF(OR($J371=0,COUNTIFS($A$4:$A370,"&gt;="&amp;$A371-1,$A$4:$A370,"&lt;="&amp;$A371,$B$4:$B370,$B371)&gt;0,MIN(AT$1,IF($A371=$A370,AT370,1))-Y371&lt;0),-1,MIN(1,IF($A371=$A370,AT370,1)-Y371+$D$3))</f>
        <v>#N/A</v>
      </c>
      <c r="AU371" t="e">
        <f>IF(OR($J371=0,COUNTIFS($A$4:$A370,"&gt;="&amp;$A371-1,$A$4:$A370,"&lt;="&amp;$A371,$B$4:$B370,$B371)&gt;0,MIN(AU$1,IF($A371=$A370,AU370,1))-Z371&lt;0),-1,MIN(1,IF($A371=$A370,AU370,1)-Z371+$D$3))</f>
        <v>#N/A</v>
      </c>
      <c r="AV371" t="e">
        <f>IF(OR($J371=0,COUNTIFS($A$4:$A370,"&gt;="&amp;$A371-1,$A$4:$A370,"&lt;="&amp;$A371,$B$4:$B370,$B371)&gt;0,MIN(AV$1,IF($A371=$A370,AV370,1))-AA371&lt;0),-1,MIN(1,IF($A371=$A370,AV370,1)-AA371+$D$3))</f>
        <v>#N/A</v>
      </c>
      <c r="AW371" t="e">
        <f>IF(OR($J371=0,COUNTIFS($A$4:$A370,"&gt;="&amp;$A371-1,$A$4:$A370,"&lt;="&amp;$A371,$B$4:$B370,$B371)&gt;0,MIN(AW$1,IF($A371=$A370,AW370,1))-AB371&lt;0),-1,MIN(1,IF($A371=$A370,AW370,1)-AB371+$D$3))</f>
        <v>#N/A</v>
      </c>
      <c r="AX371" t="e">
        <f>IF(OR($J371=0,COUNTIFS($A$4:$A370,"&gt;="&amp;$A371-1,$A$4:$A370,"&lt;="&amp;$A371,$B$4:$B370,$B371)&gt;0,MIN(AX$1,IF($A371=$A370,AX370,1))-AC371&lt;0),-1,MIN(1,IF($A371=$A370,AX370,1)-AC371+$D$3))</f>
        <v>#N/A</v>
      </c>
      <c r="AY371" t="e">
        <f>IF(OR($J371=0,COUNTIFS($A$4:$A370,"&gt;="&amp;$A371-1,$A$4:$A370,"&lt;="&amp;$A371,$B$4:$B370,$B371)&gt;0,MIN(AY$1,IF($A371=$A370,AY370,1))-AD371&lt;0),-1,MIN(1,IF($A371=$A370,AY370,1)-AD371+$D$3))</f>
        <v>#N/A</v>
      </c>
      <c r="AZ371" t="e">
        <f>IF(OR($J371=0,COUNTIFS($A$4:$A370,"&gt;="&amp;$A371-1,$A$4:$A370,"&lt;="&amp;$A371,$B$4:$B370,$B371)&gt;0,MIN(AZ$1,IF($A371=$A370,AZ370,1))-AE371&lt;0),-1,MIN(1,IF($A371=$A370,AZ370,1)-AE371+$D$3))</f>
        <v>#N/A</v>
      </c>
      <c r="BA371" t="e">
        <f>IF(OR($J371=0,COUNTIFS($A$4:$A370,"&gt;="&amp;$A371-1,$A$4:$A370,"&lt;="&amp;$A371,$B$4:$B370,$B371)&gt;0,MIN(BA$1,IF($A371=$A370,BA370,1))-AF371&lt;0),-1,MIN(1,IF($A371=$A370,BA370,1)-AF371+$D$3))</f>
        <v>#N/A</v>
      </c>
      <c r="BB371" t="e">
        <f>IF(OR($J371=0,COUNTIFS($A$4:$A370,"&gt;="&amp;$A371-1,$A$4:$A370,"&lt;="&amp;$A371,$B$4:$B370,$B371)&gt;0,MIN(BB$1,IF($A371=$A370,BB370,1))-AG371&lt;0),-1,MIN(1,IF($A371=$A370,BB370,1)-AG371+$D$3))</f>
        <v>#N/A</v>
      </c>
      <c r="BC371" t="e">
        <f>IF(OR($J371=0,COUNTIFS($A$4:$A370,"&gt;="&amp;$A371-1,$A$4:$A370,"&lt;="&amp;$A371,$B$4:$B370,$B371)&gt;0,MIN(BC$1,IF($A371=$A370,BC370,1))-AH371&lt;0),-1,MIN(1,IF($A371=$A370,BC370,1)-AH371+$D$3))</f>
        <v>#N/A</v>
      </c>
      <c r="BD371" t="e">
        <f>IF(OR($J371=0,COUNTIFS($A$4:$A370,"&gt;="&amp;$A371-1,$A$4:$A370,"&lt;="&amp;$A371,$B$4:$B370,$B371)&gt;0,MIN(BD$1,IF($A371=$A370,BD370,1))-AI371&lt;0),-1,MIN(1,IF($A371=$A370,BD370,1)-AI371+$D$3))</f>
        <v>#N/A</v>
      </c>
      <c r="BF371" s="44">
        <f t="shared" ref="BF371:BF434" si="399">$AN$2*P371+(1-$AN$2)*BF370</f>
        <v>1.4153668995419333E-8</v>
      </c>
      <c r="BG371" s="44">
        <f t="shared" ref="BG371:BG434" si="400">$AN$2*Q371+(1-$AN$2)*BG370</f>
        <v>3.4807865959906681E-8</v>
      </c>
      <c r="BH371" s="44">
        <f t="shared" ref="BH371:BH434" si="401">$AN$2*R371+(1-$AN$2)*BH370</f>
        <v>3.5674401179990065E-8</v>
      </c>
      <c r="BI371" s="44">
        <f t="shared" ref="BI371:BI434" si="402">$AN$2*S371+(1-$AN$2)*BI370</f>
        <v>3.2953242110927079E-8</v>
      </c>
      <c r="BJ371" s="44">
        <f t="shared" ref="BJ371:BJ434" si="403">$AN$2*T371+(1-$AN$2)*BJ370</f>
        <v>3.4060304169311331E-8</v>
      </c>
      <c r="BK371" s="44">
        <f t="shared" ref="BK371:BK434" si="404">$AN$2*U371+(1-$AN$2)*BK370</f>
        <v>1.4626764546685631E-8</v>
      </c>
      <c r="BL371" s="44">
        <f t="shared" ref="BL371:BL434" si="405">$AN$2*V371+(1-$AN$2)*BL370</f>
        <v>7.9016083221466536E-9</v>
      </c>
      <c r="BM371" s="44">
        <f t="shared" ref="BM371:BM434" si="406">$AN$2*W371+(1-$AN$2)*BM370</f>
        <v>2.0100768860946745E-8</v>
      </c>
      <c r="BN371" s="44">
        <f t="shared" ref="BN371:BN434" si="407">$AN$2*X371+(1-$AN$2)*BN370</f>
        <v>2.0906366176466681E-8</v>
      </c>
      <c r="BO371" s="44">
        <f t="shared" ref="BO371:BO434" si="408">$AN$2*Y371+(1-$AN$2)*BO370</f>
        <v>9.7975164958358347E-9</v>
      </c>
      <c r="BP371" s="44">
        <f t="shared" ref="BP371:BP434" si="409">$AN$2*Z371+(1-$AN$2)*BP370</f>
        <v>3.294393092663642E-8</v>
      </c>
      <c r="BQ371" s="44">
        <f t="shared" ref="BQ371:BQ434" si="410">$AN$2*AA371+(1-$AN$2)*BQ370</f>
        <v>8.8902032328871683E-9</v>
      </c>
      <c r="BR371" s="44">
        <f t="shared" ref="BR371:BR434" si="411">$AN$2*AB371+(1-$AN$2)*BR370</f>
        <v>2.6263885800552576E-8</v>
      </c>
      <c r="BS371" s="44">
        <f t="shared" ref="BS371:BS434" si="412">$AN$2*AC371+(1-$AN$2)*BS370</f>
        <v>1.4164462136992464E-8</v>
      </c>
      <c r="BT371" s="44">
        <f t="shared" ref="BT371:BT434" si="413">$AN$2*AD371+(1-$AN$2)*BT370</f>
        <v>5.6053119166565622E-8</v>
      </c>
      <c r="BU371" s="44">
        <f t="shared" ref="BU371:BU434" si="414">$AN$2*AE371+(1-$AN$2)*BU370</f>
        <v>5.3547595832284248E-8</v>
      </c>
      <c r="BV371" s="44">
        <f t="shared" ref="BV371:BV434" si="415">$AN$2*AF371+(1-$AN$2)*BV370</f>
        <v>5.1425339453992962E-8</v>
      </c>
      <c r="BW371" s="44">
        <f t="shared" ref="BW371:BW434" si="416">$AN$2*AG371+(1-$AN$2)*BW370</f>
        <v>3.3635001960797287E-8</v>
      </c>
      <c r="BX371" s="44">
        <f t="shared" ref="BX371:BX434" si="417">$AN$2*AH371+(1-$AN$2)*BX370</f>
        <v>2.4848928662150199E-8</v>
      </c>
      <c r="BY371" s="44">
        <f t="shared" ref="BY371:BY434" si="418">$AN$2*AI371+(1-$AN$2)*BY370</f>
        <v>2.1335661316507404E-8</v>
      </c>
      <c r="CA371" s="44" t="str">
        <f t="shared" ref="CA371:CA434" si="419">IF($A371="","",BF371/SUM($BF371:$BY371)/CA$2-1)</f>
        <v/>
      </c>
      <c r="CB371" s="44" t="str">
        <f t="shared" ref="CB371:CB434" si="420">IF($A371="","",BG371/SUM($BF371:$BY371)/CB$2-1)</f>
        <v/>
      </c>
      <c r="CC371" s="44" t="str">
        <f t="shared" ref="CC371:CC434" si="421">IF($A371="","",BH371/SUM($BF371:$BY371)/CC$2-1)</f>
        <v/>
      </c>
      <c r="CD371" s="44" t="str">
        <f t="shared" ref="CD371:CD434" si="422">IF($A371="","",BI371/SUM($BF371:$BY371)/CD$2-1)</f>
        <v/>
      </c>
      <c r="CE371" s="44" t="str">
        <f t="shared" ref="CE371:CE434" si="423">IF($A371="","",BJ371/SUM($BF371:$BY371)/CE$2-1)</f>
        <v/>
      </c>
      <c r="CF371" s="44" t="str">
        <f t="shared" ref="CF371:CF434" si="424">IF($A371="","",BK371/SUM($BF371:$BY371)/CF$2-1)</f>
        <v/>
      </c>
      <c r="CG371" s="44" t="str">
        <f t="shared" ref="CG371:CG434" si="425">IF($A371="","",BL371/SUM($BF371:$BY371)/CG$2-1)</f>
        <v/>
      </c>
      <c r="CH371" s="44" t="str">
        <f t="shared" ref="CH371:CH434" si="426">IF($A371="","",BM371/SUM($BF371:$BY371)/CH$2-1)</f>
        <v/>
      </c>
      <c r="CI371" s="44" t="str">
        <f t="shared" ref="CI371:CI434" si="427">IF($A371="","",BN371/SUM($BF371:$BY371)/CI$2-1)</f>
        <v/>
      </c>
      <c r="CJ371" s="44" t="str">
        <f t="shared" ref="CJ371:CJ434" si="428">IF($A371="","",BO371/SUM($BF371:$BY371)/CJ$2-1)</f>
        <v/>
      </c>
      <c r="CK371" s="44" t="str">
        <f t="shared" ref="CK371:CK434" si="429">IF($A371="","",BP371/SUM($BF371:$BY371)/CK$2-1)</f>
        <v/>
      </c>
      <c r="CL371" s="44" t="str">
        <f t="shared" ref="CL371:CL434" si="430">IF($A371="","",BQ371/SUM($BF371:$BY371)/CL$2-1)</f>
        <v/>
      </c>
      <c r="CM371" s="44" t="str">
        <f t="shared" ref="CM371:CM434" si="431">IF($A371="","",BR371/SUM($BF371:$BY371)/CM$2-1)</f>
        <v/>
      </c>
      <c r="CN371" s="44" t="str">
        <f t="shared" ref="CN371:CN434" si="432">IF($A371="","",BS371/SUM($BF371:$BY371)/CN$2-1)</f>
        <v/>
      </c>
      <c r="CO371" s="44" t="str">
        <f t="shared" ref="CO371:CO434" si="433">IF($A371="","",BT371/SUM($BF371:$BY371)/CO$2-1)</f>
        <v/>
      </c>
      <c r="CP371" s="44" t="str">
        <f t="shared" ref="CP371:CP434" si="434">IF($A371="","",BU371/SUM($BF371:$BY371)/CP$2-1)</f>
        <v/>
      </c>
      <c r="CQ371" s="44" t="str">
        <f t="shared" ref="CQ371:CQ434" si="435">IF($A371="","",BV371/SUM($BF371:$BY371)/CQ$2-1)</f>
        <v/>
      </c>
      <c r="CR371" s="44" t="str">
        <f t="shared" ref="CR371:CR434" si="436">IF($A371="","",BW371/SUM($BF371:$BY371)/CR$2-1)</f>
        <v/>
      </c>
      <c r="CS371" s="44" t="str">
        <f t="shared" ref="CS371:CS434" si="437">IF($A371="","",BX371/SUM($BF371:$BY371)/CS$2-1)</f>
        <v/>
      </c>
      <c r="CT371" s="44" t="str">
        <f t="shared" ref="CT371:CT434" si="438">IF($A371="","",BY371/SUM($BF371:$BY371)/CT$2-1)</f>
        <v/>
      </c>
      <c r="CV371" s="44">
        <f t="shared" ref="CV371:CV434" si="439">SQRT(SUMPRODUCT(CA371:CT371,CA371:CT371)/20)</f>
        <v>0</v>
      </c>
    </row>
    <row r="372" spans="1:100" x14ac:dyDescent="0.25">
      <c r="A372" s="41"/>
      <c r="B372" s="42"/>
      <c r="C372" s="43" t="str" cm="1">
        <f t="array" ref="C372">IF(B372="","",INDEX(UWS!$B$10:$B$41,B372))</f>
        <v/>
      </c>
      <c r="D372" s="40" t="str">
        <f t="shared" si="396"/>
        <v/>
      </c>
      <c r="E372" s="69" t="str">
        <f t="shared" si="397"/>
        <v/>
      </c>
      <c r="F372" s="48" cm="1">
        <f t="array" ref="F372">0.1+IFERROR(INDEX($F$5:$F371,SUMPRODUCT(MAX(ROW($C$5:$C371)*($C372=$C$5:$C371))-ROW($A$4)))*0.9^($A372-INDEX($A$5:A371,SUMPRODUCT(MAX(ROW($C$5:$C371)*($C372=$C$5:$C371))-ROW($A$4)))),0)</f>
        <v>30.700000000000166</v>
      </c>
      <c r="G372" s="55" t="e">
        <f>INDEX(UWS!$AB$10:$AB$41,MATCH(C372,UWS!$B$10:$B$41,0))</f>
        <v>#N/A</v>
      </c>
      <c r="H372" s="48" t="e">
        <f>INDEX(UWS!$C$10:$C$41,MATCH(C372,UWS!$B$10:$B$41,0))</f>
        <v>#N/A</v>
      </c>
      <c r="I372" s="27">
        <f t="shared" si="398"/>
        <v>5</v>
      </c>
      <c r="J372" s="27" t="e">
        <f>INDEX(UWS!$E$10:$E$41,MATCH(C372,UWS!$B$10:$B$41,0))</f>
        <v>#N/A</v>
      </c>
      <c r="L372" s="108" t="str" cm="1">
        <f t="array" ref="L372">IF(K372="","",INDEX(UWS!$B$10:$B$41,K372))</f>
        <v/>
      </c>
      <c r="N372" s="108" t="str" cm="1">
        <f t="array" ref="N372">IF(M372="","",INDEX(UWS!$B$10:$B$41,M372))</f>
        <v/>
      </c>
      <c r="P372">
        <f>IFERROR(INDEX(UWS!$G$10:$Z$41,MATCH($C372,UWS!$B$10:$B$41,0),MATCH(P$4,UWS!$G$3:$Z$3,0)),0)</f>
        <v>0</v>
      </c>
      <c r="Q372">
        <f>IFERROR(INDEX(UWS!$G$10:$Z$41,MATCH($C372,UWS!$B$10:$B$41,0),MATCH(Q$4,UWS!$G$3:$Z$3,0)),0)</f>
        <v>0</v>
      </c>
      <c r="R372">
        <f>IFERROR(INDEX(UWS!$G$10:$Z$41,MATCH($C372,UWS!$B$10:$B$41,0),MATCH(R$4,UWS!$G$3:$Z$3,0)),0)</f>
        <v>0</v>
      </c>
      <c r="S372">
        <f>IFERROR(INDEX(UWS!$G$10:$Z$41,MATCH($C372,UWS!$B$10:$B$41,0),MATCH(S$4,UWS!$G$3:$Z$3,0)),0)</f>
        <v>0</v>
      </c>
      <c r="T372">
        <f>IFERROR(INDEX(UWS!$G$10:$Z$41,MATCH($C372,UWS!$B$10:$B$41,0),MATCH(T$4,UWS!$G$3:$Z$3,0)),0)</f>
        <v>0</v>
      </c>
      <c r="U372">
        <f>IFERROR(INDEX(UWS!$G$10:$Z$41,MATCH($C372,UWS!$B$10:$B$41,0),MATCH(U$4,UWS!$G$3:$Z$3,0)),0)</f>
        <v>0</v>
      </c>
      <c r="V372">
        <f>IFERROR(INDEX(UWS!$G$10:$Z$41,MATCH($C372,UWS!$B$10:$B$41,0),MATCH(V$4,UWS!$G$3:$Z$3,0)),0)</f>
        <v>0</v>
      </c>
      <c r="W372">
        <f>IFERROR(INDEX(UWS!$G$10:$Z$41,MATCH($C372,UWS!$B$10:$B$41,0),MATCH(W$4,UWS!$G$3:$Z$3,0)),0)</f>
        <v>0</v>
      </c>
      <c r="X372">
        <f>IFERROR(INDEX(UWS!$G$10:$Z$41,MATCH($C372,UWS!$B$10:$B$41,0),MATCH(X$4,UWS!$G$3:$Z$3,0)),0)</f>
        <v>0</v>
      </c>
      <c r="Y372">
        <f>IFERROR(INDEX(UWS!$G$10:$Z$41,MATCH($C372,UWS!$B$10:$B$41,0),MATCH(Y$4,UWS!$G$3:$Z$3,0)),0)</f>
        <v>0</v>
      </c>
      <c r="Z372">
        <f>IFERROR(INDEX(UWS!$G$10:$Z$41,MATCH($C372,UWS!$B$10:$B$41,0),MATCH(Z$4,UWS!$G$3:$Z$3,0)),0)</f>
        <v>0</v>
      </c>
      <c r="AA372">
        <f>IFERROR(INDEX(UWS!$G$10:$Z$41,MATCH($C372,UWS!$B$10:$B$41,0),MATCH(AA$4,UWS!$G$3:$Z$3,0)),0)</f>
        <v>0</v>
      </c>
      <c r="AB372">
        <f>IFERROR(INDEX(UWS!$G$10:$Z$41,MATCH($C372,UWS!$B$10:$B$41,0),MATCH(AB$4,UWS!$G$3:$Z$3,0)),0)</f>
        <v>0</v>
      </c>
      <c r="AC372">
        <f>IFERROR(INDEX(UWS!$G$10:$Z$41,MATCH($C372,UWS!$B$10:$B$41,0),MATCH(AC$4,UWS!$G$3:$Z$3,0)),0)</f>
        <v>0</v>
      </c>
      <c r="AD372">
        <f>IFERROR(INDEX(UWS!$G$10:$Z$41,MATCH($C372,UWS!$B$10:$B$41,0),MATCH(AD$4,UWS!$G$3:$Z$3,0)),0)</f>
        <v>0</v>
      </c>
      <c r="AE372">
        <f>IFERROR(INDEX(UWS!$G$10:$Z$41,MATCH($C372,UWS!$B$10:$B$41,0),MATCH(AE$4,UWS!$G$3:$Z$3,0)),0)</f>
        <v>0</v>
      </c>
      <c r="AF372">
        <f>IFERROR(INDEX(UWS!$G$10:$Z$41,MATCH($C372,UWS!$B$10:$B$41,0),MATCH(AF$4,UWS!$G$3:$Z$3,0)),0)</f>
        <v>0</v>
      </c>
      <c r="AG372">
        <f>IFERROR(INDEX(UWS!$G$10:$Z$41,MATCH($C372,UWS!$B$10:$B$41,0),MATCH(AG$4,UWS!$G$3:$Z$3,0)),0)</f>
        <v>0</v>
      </c>
      <c r="AH372">
        <f>IFERROR(INDEX(UWS!$G$10:$Z$41,MATCH($C372,UWS!$B$10:$B$41,0),MATCH(AH$4,UWS!$G$3:$Z$3,0)),0)</f>
        <v>0</v>
      </c>
      <c r="AI372">
        <f>IFERROR(INDEX(UWS!$G$10:$Z$41,MATCH($C372,UWS!$B$10:$B$41,0),MATCH(AI$4,UWS!$G$3:$Z$3,0)),0)</f>
        <v>0</v>
      </c>
      <c r="AK372" t="e">
        <f>IF(OR($J372=0,COUNTIFS($A$4:$A371,"&gt;="&amp;$A372-1,$A$4:$A371,"&lt;="&amp;$A372,$B$4:$B371,$B372)&gt;0,MIN(AK$1,IF($A372=$A371,AK371,1))-P372&lt;0),-1,MIN(1,IF($A372=$A371,AK371,1)-P372+$D$3))</f>
        <v>#N/A</v>
      </c>
      <c r="AL372" t="e">
        <f>IF(OR($J372=0,COUNTIFS($A$4:$A371,"&gt;="&amp;$A372-1,$A$4:$A371,"&lt;="&amp;$A372,$B$4:$B371,$B372)&gt;0,MIN(AL$1,IF($A372=$A371,AL371,1))-Q372&lt;0),-1,MIN(1,IF($A372=$A371,AL371,1)-Q372+$D$3))</f>
        <v>#N/A</v>
      </c>
      <c r="AM372" t="e">
        <f>IF(OR($J372=0,COUNTIFS($A$4:$A371,"&gt;="&amp;$A372-1,$A$4:$A371,"&lt;="&amp;$A372,$B$4:$B371,$B372)&gt;0,MIN(AM$1,IF($A372=$A371,AM371,1))-R372&lt;0),-1,MIN(1,IF($A372=$A371,AM371,1)-R372+$D$3))</f>
        <v>#N/A</v>
      </c>
      <c r="AN372" t="e">
        <f>IF(OR($J372=0,COUNTIFS($A$4:$A371,"&gt;="&amp;$A372-1,$A$4:$A371,"&lt;="&amp;$A372,$B$4:$B371,$B372)&gt;0,MIN(AN$1,IF($A372=$A371,AN371,1))-S372&lt;0),-1,MIN(1,IF($A372=$A371,AN371,1)-S372+$D$3))</f>
        <v>#N/A</v>
      </c>
      <c r="AO372" t="e">
        <f>IF(OR($J372=0,COUNTIFS($A$4:$A371,"&gt;="&amp;$A372-1,$A$4:$A371,"&lt;="&amp;$A372,$B$4:$B371,$B372)&gt;0,MIN(AO$1,IF($A372=$A371,AO371,1))-T372&lt;0),-1,MIN(1,IF($A372=$A371,AO371,1)-T372+$D$3))</f>
        <v>#N/A</v>
      </c>
      <c r="AP372" t="e">
        <f>IF(OR($J372=0,COUNTIFS($A$4:$A371,"&gt;="&amp;$A372-1,$A$4:$A371,"&lt;="&amp;$A372,$B$4:$B371,$B372)&gt;0,MIN(AP$1,IF($A372=$A371,AP371,1))-U372&lt;0),-1,MIN(1,IF($A372=$A371,AP371,1)-U372+$D$3))</f>
        <v>#N/A</v>
      </c>
      <c r="AQ372" t="e">
        <f>IF(OR($J372=0,COUNTIFS($A$4:$A371,"&gt;="&amp;$A372-1,$A$4:$A371,"&lt;="&amp;$A372,$B$4:$B371,$B372)&gt;0,MIN(AQ$1,IF($A372=$A371,AQ371,1))-V372&lt;0),-1,MIN(1,IF($A372=$A371,AQ371,1)-V372+$D$3))</f>
        <v>#N/A</v>
      </c>
      <c r="AR372" t="e">
        <f>IF(OR($J372=0,COUNTIFS($A$4:$A371,"&gt;="&amp;$A372-1,$A$4:$A371,"&lt;="&amp;$A372,$B$4:$B371,$B372)&gt;0,MIN(AR$1,IF($A372=$A371,AR371,1))-W372&lt;0),-1,MIN(1,IF($A372=$A371,AR371,1)-W372+$D$3))</f>
        <v>#N/A</v>
      </c>
      <c r="AS372" t="e">
        <f>IF(OR($J372=0,COUNTIFS($A$4:$A371,"&gt;="&amp;$A372-1,$A$4:$A371,"&lt;="&amp;$A372,$B$4:$B371,$B372)&gt;0,MIN(AS$1,IF($A372=$A371,AS371,1))-X372&lt;0),-1,MIN(1,IF($A372=$A371,AS371,1)-X372+$D$3))</f>
        <v>#N/A</v>
      </c>
      <c r="AT372" t="e">
        <f>IF(OR($J372=0,COUNTIFS($A$4:$A371,"&gt;="&amp;$A372-1,$A$4:$A371,"&lt;="&amp;$A372,$B$4:$B371,$B372)&gt;0,MIN(AT$1,IF($A372=$A371,AT371,1))-Y372&lt;0),-1,MIN(1,IF($A372=$A371,AT371,1)-Y372+$D$3))</f>
        <v>#N/A</v>
      </c>
      <c r="AU372" t="e">
        <f>IF(OR($J372=0,COUNTIFS($A$4:$A371,"&gt;="&amp;$A372-1,$A$4:$A371,"&lt;="&amp;$A372,$B$4:$B371,$B372)&gt;0,MIN(AU$1,IF($A372=$A371,AU371,1))-Z372&lt;0),-1,MIN(1,IF($A372=$A371,AU371,1)-Z372+$D$3))</f>
        <v>#N/A</v>
      </c>
      <c r="AV372" t="e">
        <f>IF(OR($J372=0,COUNTIFS($A$4:$A371,"&gt;="&amp;$A372-1,$A$4:$A371,"&lt;="&amp;$A372,$B$4:$B371,$B372)&gt;0,MIN(AV$1,IF($A372=$A371,AV371,1))-AA372&lt;0),-1,MIN(1,IF($A372=$A371,AV371,1)-AA372+$D$3))</f>
        <v>#N/A</v>
      </c>
      <c r="AW372" t="e">
        <f>IF(OR($J372=0,COUNTIFS($A$4:$A371,"&gt;="&amp;$A372-1,$A$4:$A371,"&lt;="&amp;$A372,$B$4:$B371,$B372)&gt;0,MIN(AW$1,IF($A372=$A371,AW371,1))-AB372&lt;0),-1,MIN(1,IF($A372=$A371,AW371,1)-AB372+$D$3))</f>
        <v>#N/A</v>
      </c>
      <c r="AX372" t="e">
        <f>IF(OR($J372=0,COUNTIFS($A$4:$A371,"&gt;="&amp;$A372-1,$A$4:$A371,"&lt;="&amp;$A372,$B$4:$B371,$B372)&gt;0,MIN(AX$1,IF($A372=$A371,AX371,1))-AC372&lt;0),-1,MIN(1,IF($A372=$A371,AX371,1)-AC372+$D$3))</f>
        <v>#N/A</v>
      </c>
      <c r="AY372" t="e">
        <f>IF(OR($J372=0,COUNTIFS($A$4:$A371,"&gt;="&amp;$A372-1,$A$4:$A371,"&lt;="&amp;$A372,$B$4:$B371,$B372)&gt;0,MIN(AY$1,IF($A372=$A371,AY371,1))-AD372&lt;0),-1,MIN(1,IF($A372=$A371,AY371,1)-AD372+$D$3))</f>
        <v>#N/A</v>
      </c>
      <c r="AZ372" t="e">
        <f>IF(OR($J372=0,COUNTIFS($A$4:$A371,"&gt;="&amp;$A372-1,$A$4:$A371,"&lt;="&amp;$A372,$B$4:$B371,$B372)&gt;0,MIN(AZ$1,IF($A372=$A371,AZ371,1))-AE372&lt;0),-1,MIN(1,IF($A372=$A371,AZ371,1)-AE372+$D$3))</f>
        <v>#N/A</v>
      </c>
      <c r="BA372" t="e">
        <f>IF(OR($J372=0,COUNTIFS($A$4:$A371,"&gt;="&amp;$A372-1,$A$4:$A371,"&lt;="&amp;$A372,$B$4:$B371,$B372)&gt;0,MIN(BA$1,IF($A372=$A371,BA371,1))-AF372&lt;0),-1,MIN(1,IF($A372=$A371,BA371,1)-AF372+$D$3))</f>
        <v>#N/A</v>
      </c>
      <c r="BB372" t="e">
        <f>IF(OR($J372=0,COUNTIFS($A$4:$A371,"&gt;="&amp;$A372-1,$A$4:$A371,"&lt;="&amp;$A372,$B$4:$B371,$B372)&gt;0,MIN(BB$1,IF($A372=$A371,BB371,1))-AG372&lt;0),-1,MIN(1,IF($A372=$A371,BB371,1)-AG372+$D$3))</f>
        <v>#N/A</v>
      </c>
      <c r="BC372" t="e">
        <f>IF(OR($J372=0,COUNTIFS($A$4:$A371,"&gt;="&amp;$A372-1,$A$4:$A371,"&lt;="&amp;$A372,$B$4:$B371,$B372)&gt;0,MIN(BC$1,IF($A372=$A371,BC371,1))-AH372&lt;0),-1,MIN(1,IF($A372=$A371,BC371,1)-AH372+$D$3))</f>
        <v>#N/A</v>
      </c>
      <c r="BD372" t="e">
        <f>IF(OR($J372=0,COUNTIFS($A$4:$A371,"&gt;="&amp;$A372-1,$A$4:$A371,"&lt;="&amp;$A372,$B$4:$B371,$B372)&gt;0,MIN(BD$1,IF($A372=$A371,BD371,1))-AI372&lt;0),-1,MIN(1,IF($A372=$A371,BD371,1)-AI372+$D$3))</f>
        <v>#N/A</v>
      </c>
      <c r="BF372" s="44">
        <f t="shared" si="399"/>
        <v>1.3445985545648366E-8</v>
      </c>
      <c r="BG372" s="44">
        <f t="shared" si="400"/>
        <v>3.3067472661911348E-8</v>
      </c>
      <c r="BH372" s="44">
        <f t="shared" si="401"/>
        <v>3.389068112099056E-8</v>
      </c>
      <c r="BI372" s="44">
        <f t="shared" si="402"/>
        <v>3.1305580005380725E-8</v>
      </c>
      <c r="BJ372" s="44">
        <f t="shared" si="403"/>
        <v>3.2357288960845762E-8</v>
      </c>
      <c r="BK372" s="44">
        <f t="shared" si="404"/>
        <v>1.3895426319351348E-8</v>
      </c>
      <c r="BL372" s="44">
        <f t="shared" si="405"/>
        <v>7.5065279060393208E-9</v>
      </c>
      <c r="BM372" s="44">
        <f t="shared" si="406"/>
        <v>1.9095730417899405E-8</v>
      </c>
      <c r="BN372" s="44">
        <f t="shared" si="407"/>
        <v>1.9861047867643347E-8</v>
      </c>
      <c r="BO372" s="44">
        <f t="shared" si="408"/>
        <v>9.3076406710440424E-9</v>
      </c>
      <c r="BP372" s="44">
        <f t="shared" si="409"/>
        <v>3.1296734380304598E-8</v>
      </c>
      <c r="BQ372" s="44">
        <f t="shared" si="410"/>
        <v>8.4456930712428093E-9</v>
      </c>
      <c r="BR372" s="44">
        <f t="shared" si="411"/>
        <v>2.4950691510524946E-8</v>
      </c>
      <c r="BS372" s="44">
        <f t="shared" si="412"/>
        <v>1.345623903014284E-8</v>
      </c>
      <c r="BT372" s="44">
        <f t="shared" si="413"/>
        <v>5.3250463208237335E-8</v>
      </c>
      <c r="BU372" s="44">
        <f t="shared" si="414"/>
        <v>5.0870216040670036E-8</v>
      </c>
      <c r="BV372" s="44">
        <f t="shared" si="415"/>
        <v>4.8854072481293311E-8</v>
      </c>
      <c r="BW372" s="44">
        <f t="shared" si="416"/>
        <v>3.1953251862757425E-8</v>
      </c>
      <c r="BX372" s="44">
        <f t="shared" si="417"/>
        <v>2.3606482229042686E-8</v>
      </c>
      <c r="BY372" s="44">
        <f t="shared" si="418"/>
        <v>2.0268878250682033E-8</v>
      </c>
      <c r="CA372" s="44" t="str">
        <f t="shared" si="419"/>
        <v/>
      </c>
      <c r="CB372" s="44" t="str">
        <f t="shared" si="420"/>
        <v/>
      </c>
      <c r="CC372" s="44" t="str">
        <f t="shared" si="421"/>
        <v/>
      </c>
      <c r="CD372" s="44" t="str">
        <f t="shared" si="422"/>
        <v/>
      </c>
      <c r="CE372" s="44" t="str">
        <f t="shared" si="423"/>
        <v/>
      </c>
      <c r="CF372" s="44" t="str">
        <f t="shared" si="424"/>
        <v/>
      </c>
      <c r="CG372" s="44" t="str">
        <f t="shared" si="425"/>
        <v/>
      </c>
      <c r="CH372" s="44" t="str">
        <f t="shared" si="426"/>
        <v/>
      </c>
      <c r="CI372" s="44" t="str">
        <f t="shared" si="427"/>
        <v/>
      </c>
      <c r="CJ372" s="44" t="str">
        <f t="shared" si="428"/>
        <v/>
      </c>
      <c r="CK372" s="44" t="str">
        <f t="shared" si="429"/>
        <v/>
      </c>
      <c r="CL372" s="44" t="str">
        <f t="shared" si="430"/>
        <v/>
      </c>
      <c r="CM372" s="44" t="str">
        <f t="shared" si="431"/>
        <v/>
      </c>
      <c r="CN372" s="44" t="str">
        <f t="shared" si="432"/>
        <v/>
      </c>
      <c r="CO372" s="44" t="str">
        <f t="shared" si="433"/>
        <v/>
      </c>
      <c r="CP372" s="44" t="str">
        <f t="shared" si="434"/>
        <v/>
      </c>
      <c r="CQ372" s="44" t="str">
        <f t="shared" si="435"/>
        <v/>
      </c>
      <c r="CR372" s="44" t="str">
        <f t="shared" si="436"/>
        <v/>
      </c>
      <c r="CS372" s="44" t="str">
        <f t="shared" si="437"/>
        <v/>
      </c>
      <c r="CT372" s="44" t="str">
        <f t="shared" si="438"/>
        <v/>
      </c>
      <c r="CV372" s="44">
        <f t="shared" si="439"/>
        <v>0</v>
      </c>
    </row>
    <row r="373" spans="1:100" x14ac:dyDescent="0.25">
      <c r="A373" s="41"/>
      <c r="B373" s="42"/>
      <c r="C373" s="43" t="str" cm="1">
        <f t="array" ref="C373">IF(B373="","",INDEX(UWS!$B$10:$B$41,B373))</f>
        <v/>
      </c>
      <c r="D373" s="40" t="str">
        <f t="shared" si="396"/>
        <v/>
      </c>
      <c r="E373" s="69" t="str">
        <f t="shared" si="397"/>
        <v/>
      </c>
      <c r="F373" s="48" cm="1">
        <f t="array" ref="F373">0.1+IFERROR(INDEX($F$5:$F372,SUMPRODUCT(MAX(ROW($C$5:$C372)*($C373=$C$5:$C372))-ROW($A$4)))*0.9^($A373-INDEX($A$5:A372,SUMPRODUCT(MAX(ROW($C$5:$C372)*($C373=$C$5:$C372))-ROW($A$4)))),0)</f>
        <v>30.800000000000168</v>
      </c>
      <c r="G373" s="55" t="e">
        <f>INDEX(UWS!$AB$10:$AB$41,MATCH(C373,UWS!$B$10:$B$41,0))</f>
        <v>#N/A</v>
      </c>
      <c r="H373" s="48" t="e">
        <f>INDEX(UWS!$C$10:$C$41,MATCH(C373,UWS!$B$10:$B$41,0))</f>
        <v>#N/A</v>
      </c>
      <c r="I373" s="27">
        <f t="shared" si="398"/>
        <v>5</v>
      </c>
      <c r="J373" s="27" t="e">
        <f>INDEX(UWS!$E$10:$E$41,MATCH(C373,UWS!$B$10:$B$41,0))</f>
        <v>#N/A</v>
      </c>
      <c r="L373" s="108" t="str" cm="1">
        <f t="array" ref="L373">IF(K373="","",INDEX(UWS!$B$10:$B$41,K373))</f>
        <v/>
      </c>
      <c r="N373" s="108" t="str" cm="1">
        <f t="array" ref="N373">IF(M373="","",INDEX(UWS!$B$10:$B$41,M373))</f>
        <v/>
      </c>
      <c r="P373">
        <f>IFERROR(INDEX(UWS!$G$10:$Z$41,MATCH($C373,UWS!$B$10:$B$41,0),MATCH(P$4,UWS!$G$3:$Z$3,0)),0)</f>
        <v>0</v>
      </c>
      <c r="Q373">
        <f>IFERROR(INDEX(UWS!$G$10:$Z$41,MATCH($C373,UWS!$B$10:$B$41,0),MATCH(Q$4,UWS!$G$3:$Z$3,0)),0)</f>
        <v>0</v>
      </c>
      <c r="R373">
        <f>IFERROR(INDEX(UWS!$G$10:$Z$41,MATCH($C373,UWS!$B$10:$B$41,0),MATCH(R$4,UWS!$G$3:$Z$3,0)),0)</f>
        <v>0</v>
      </c>
      <c r="S373">
        <f>IFERROR(INDEX(UWS!$G$10:$Z$41,MATCH($C373,UWS!$B$10:$B$41,0),MATCH(S$4,UWS!$G$3:$Z$3,0)),0)</f>
        <v>0</v>
      </c>
      <c r="T373">
        <f>IFERROR(INDEX(UWS!$G$10:$Z$41,MATCH($C373,UWS!$B$10:$B$41,0),MATCH(T$4,UWS!$G$3:$Z$3,0)),0)</f>
        <v>0</v>
      </c>
      <c r="U373">
        <f>IFERROR(INDEX(UWS!$G$10:$Z$41,MATCH($C373,UWS!$B$10:$B$41,0),MATCH(U$4,UWS!$G$3:$Z$3,0)),0)</f>
        <v>0</v>
      </c>
      <c r="V373">
        <f>IFERROR(INDEX(UWS!$G$10:$Z$41,MATCH($C373,UWS!$B$10:$B$41,0),MATCH(V$4,UWS!$G$3:$Z$3,0)),0)</f>
        <v>0</v>
      </c>
      <c r="W373">
        <f>IFERROR(INDEX(UWS!$G$10:$Z$41,MATCH($C373,UWS!$B$10:$B$41,0),MATCH(W$4,UWS!$G$3:$Z$3,0)),0)</f>
        <v>0</v>
      </c>
      <c r="X373">
        <f>IFERROR(INDEX(UWS!$G$10:$Z$41,MATCH($C373,UWS!$B$10:$B$41,0),MATCH(X$4,UWS!$G$3:$Z$3,0)),0)</f>
        <v>0</v>
      </c>
      <c r="Y373">
        <f>IFERROR(INDEX(UWS!$G$10:$Z$41,MATCH($C373,UWS!$B$10:$B$41,0),MATCH(Y$4,UWS!$G$3:$Z$3,0)),0)</f>
        <v>0</v>
      </c>
      <c r="Z373">
        <f>IFERROR(INDEX(UWS!$G$10:$Z$41,MATCH($C373,UWS!$B$10:$B$41,0),MATCH(Z$4,UWS!$G$3:$Z$3,0)),0)</f>
        <v>0</v>
      </c>
      <c r="AA373">
        <f>IFERROR(INDEX(UWS!$G$10:$Z$41,MATCH($C373,UWS!$B$10:$B$41,0),MATCH(AA$4,UWS!$G$3:$Z$3,0)),0)</f>
        <v>0</v>
      </c>
      <c r="AB373">
        <f>IFERROR(INDEX(UWS!$G$10:$Z$41,MATCH($C373,UWS!$B$10:$B$41,0),MATCH(AB$4,UWS!$G$3:$Z$3,0)),0)</f>
        <v>0</v>
      </c>
      <c r="AC373">
        <f>IFERROR(INDEX(UWS!$G$10:$Z$41,MATCH($C373,UWS!$B$10:$B$41,0),MATCH(AC$4,UWS!$G$3:$Z$3,0)),0)</f>
        <v>0</v>
      </c>
      <c r="AD373">
        <f>IFERROR(INDEX(UWS!$G$10:$Z$41,MATCH($C373,UWS!$B$10:$B$41,0),MATCH(AD$4,UWS!$G$3:$Z$3,0)),0)</f>
        <v>0</v>
      </c>
      <c r="AE373">
        <f>IFERROR(INDEX(UWS!$G$10:$Z$41,MATCH($C373,UWS!$B$10:$B$41,0),MATCH(AE$4,UWS!$G$3:$Z$3,0)),0)</f>
        <v>0</v>
      </c>
      <c r="AF373">
        <f>IFERROR(INDEX(UWS!$G$10:$Z$41,MATCH($C373,UWS!$B$10:$B$41,0),MATCH(AF$4,UWS!$G$3:$Z$3,0)),0)</f>
        <v>0</v>
      </c>
      <c r="AG373">
        <f>IFERROR(INDEX(UWS!$G$10:$Z$41,MATCH($C373,UWS!$B$10:$B$41,0),MATCH(AG$4,UWS!$G$3:$Z$3,0)),0)</f>
        <v>0</v>
      </c>
      <c r="AH373">
        <f>IFERROR(INDEX(UWS!$G$10:$Z$41,MATCH($C373,UWS!$B$10:$B$41,0),MATCH(AH$4,UWS!$G$3:$Z$3,0)),0)</f>
        <v>0</v>
      </c>
      <c r="AI373">
        <f>IFERROR(INDEX(UWS!$G$10:$Z$41,MATCH($C373,UWS!$B$10:$B$41,0),MATCH(AI$4,UWS!$G$3:$Z$3,0)),0)</f>
        <v>0</v>
      </c>
      <c r="AK373" t="e">
        <f>IF(OR($J373=0,COUNTIFS($A$4:$A372,"&gt;="&amp;$A373-1,$A$4:$A372,"&lt;="&amp;$A373,$B$4:$B372,$B373)&gt;0,MIN(AK$1,IF($A373=$A372,AK372,1))-P373&lt;0),-1,MIN(1,IF($A373=$A372,AK372,1)-P373+$D$3))</f>
        <v>#N/A</v>
      </c>
      <c r="AL373" t="e">
        <f>IF(OR($J373=0,COUNTIFS($A$4:$A372,"&gt;="&amp;$A373-1,$A$4:$A372,"&lt;="&amp;$A373,$B$4:$B372,$B373)&gt;0,MIN(AL$1,IF($A373=$A372,AL372,1))-Q373&lt;0),-1,MIN(1,IF($A373=$A372,AL372,1)-Q373+$D$3))</f>
        <v>#N/A</v>
      </c>
      <c r="AM373" t="e">
        <f>IF(OR($J373=0,COUNTIFS($A$4:$A372,"&gt;="&amp;$A373-1,$A$4:$A372,"&lt;="&amp;$A373,$B$4:$B372,$B373)&gt;0,MIN(AM$1,IF($A373=$A372,AM372,1))-R373&lt;0),-1,MIN(1,IF($A373=$A372,AM372,1)-R373+$D$3))</f>
        <v>#N/A</v>
      </c>
      <c r="AN373" t="e">
        <f>IF(OR($J373=0,COUNTIFS($A$4:$A372,"&gt;="&amp;$A373-1,$A$4:$A372,"&lt;="&amp;$A373,$B$4:$B372,$B373)&gt;0,MIN(AN$1,IF($A373=$A372,AN372,1))-S373&lt;0),-1,MIN(1,IF($A373=$A372,AN372,1)-S373+$D$3))</f>
        <v>#N/A</v>
      </c>
      <c r="AO373" t="e">
        <f>IF(OR($J373=0,COUNTIFS($A$4:$A372,"&gt;="&amp;$A373-1,$A$4:$A372,"&lt;="&amp;$A373,$B$4:$B372,$B373)&gt;0,MIN(AO$1,IF($A373=$A372,AO372,1))-T373&lt;0),-1,MIN(1,IF($A373=$A372,AO372,1)-T373+$D$3))</f>
        <v>#N/A</v>
      </c>
      <c r="AP373" t="e">
        <f>IF(OR($J373=0,COUNTIFS($A$4:$A372,"&gt;="&amp;$A373-1,$A$4:$A372,"&lt;="&amp;$A373,$B$4:$B372,$B373)&gt;0,MIN(AP$1,IF($A373=$A372,AP372,1))-U373&lt;0),-1,MIN(1,IF($A373=$A372,AP372,1)-U373+$D$3))</f>
        <v>#N/A</v>
      </c>
      <c r="AQ373" t="e">
        <f>IF(OR($J373=0,COUNTIFS($A$4:$A372,"&gt;="&amp;$A373-1,$A$4:$A372,"&lt;="&amp;$A373,$B$4:$B372,$B373)&gt;0,MIN(AQ$1,IF($A373=$A372,AQ372,1))-V373&lt;0),-1,MIN(1,IF($A373=$A372,AQ372,1)-V373+$D$3))</f>
        <v>#N/A</v>
      </c>
      <c r="AR373" t="e">
        <f>IF(OR($J373=0,COUNTIFS($A$4:$A372,"&gt;="&amp;$A373-1,$A$4:$A372,"&lt;="&amp;$A373,$B$4:$B372,$B373)&gt;0,MIN(AR$1,IF($A373=$A372,AR372,1))-W373&lt;0),-1,MIN(1,IF($A373=$A372,AR372,1)-W373+$D$3))</f>
        <v>#N/A</v>
      </c>
      <c r="AS373" t="e">
        <f>IF(OR($J373=0,COUNTIFS($A$4:$A372,"&gt;="&amp;$A373-1,$A$4:$A372,"&lt;="&amp;$A373,$B$4:$B372,$B373)&gt;0,MIN(AS$1,IF($A373=$A372,AS372,1))-X373&lt;0),-1,MIN(1,IF($A373=$A372,AS372,1)-X373+$D$3))</f>
        <v>#N/A</v>
      </c>
      <c r="AT373" t="e">
        <f>IF(OR($J373=0,COUNTIFS($A$4:$A372,"&gt;="&amp;$A373-1,$A$4:$A372,"&lt;="&amp;$A373,$B$4:$B372,$B373)&gt;0,MIN(AT$1,IF($A373=$A372,AT372,1))-Y373&lt;0),-1,MIN(1,IF($A373=$A372,AT372,1)-Y373+$D$3))</f>
        <v>#N/A</v>
      </c>
      <c r="AU373" t="e">
        <f>IF(OR($J373=0,COUNTIFS($A$4:$A372,"&gt;="&amp;$A373-1,$A$4:$A372,"&lt;="&amp;$A373,$B$4:$B372,$B373)&gt;0,MIN(AU$1,IF($A373=$A372,AU372,1))-Z373&lt;0),-1,MIN(1,IF($A373=$A372,AU372,1)-Z373+$D$3))</f>
        <v>#N/A</v>
      </c>
      <c r="AV373" t="e">
        <f>IF(OR($J373=0,COUNTIFS($A$4:$A372,"&gt;="&amp;$A373-1,$A$4:$A372,"&lt;="&amp;$A373,$B$4:$B372,$B373)&gt;0,MIN(AV$1,IF($A373=$A372,AV372,1))-AA373&lt;0),-1,MIN(1,IF($A373=$A372,AV372,1)-AA373+$D$3))</f>
        <v>#N/A</v>
      </c>
      <c r="AW373" t="e">
        <f>IF(OR($J373=0,COUNTIFS($A$4:$A372,"&gt;="&amp;$A373-1,$A$4:$A372,"&lt;="&amp;$A373,$B$4:$B372,$B373)&gt;0,MIN(AW$1,IF($A373=$A372,AW372,1))-AB373&lt;0),-1,MIN(1,IF($A373=$A372,AW372,1)-AB373+$D$3))</f>
        <v>#N/A</v>
      </c>
      <c r="AX373" t="e">
        <f>IF(OR($J373=0,COUNTIFS($A$4:$A372,"&gt;="&amp;$A373-1,$A$4:$A372,"&lt;="&amp;$A373,$B$4:$B372,$B373)&gt;0,MIN(AX$1,IF($A373=$A372,AX372,1))-AC373&lt;0),-1,MIN(1,IF($A373=$A372,AX372,1)-AC373+$D$3))</f>
        <v>#N/A</v>
      </c>
      <c r="AY373" t="e">
        <f>IF(OR($J373=0,COUNTIFS($A$4:$A372,"&gt;="&amp;$A373-1,$A$4:$A372,"&lt;="&amp;$A373,$B$4:$B372,$B373)&gt;0,MIN(AY$1,IF($A373=$A372,AY372,1))-AD373&lt;0),-1,MIN(1,IF($A373=$A372,AY372,1)-AD373+$D$3))</f>
        <v>#N/A</v>
      </c>
      <c r="AZ373" t="e">
        <f>IF(OR($J373=0,COUNTIFS($A$4:$A372,"&gt;="&amp;$A373-1,$A$4:$A372,"&lt;="&amp;$A373,$B$4:$B372,$B373)&gt;0,MIN(AZ$1,IF($A373=$A372,AZ372,1))-AE373&lt;0),-1,MIN(1,IF($A373=$A372,AZ372,1)-AE373+$D$3))</f>
        <v>#N/A</v>
      </c>
      <c r="BA373" t="e">
        <f>IF(OR($J373=0,COUNTIFS($A$4:$A372,"&gt;="&amp;$A373-1,$A$4:$A372,"&lt;="&amp;$A373,$B$4:$B372,$B373)&gt;0,MIN(BA$1,IF($A373=$A372,BA372,1))-AF373&lt;0),-1,MIN(1,IF($A373=$A372,BA372,1)-AF373+$D$3))</f>
        <v>#N/A</v>
      </c>
      <c r="BB373" t="e">
        <f>IF(OR($J373=0,COUNTIFS($A$4:$A372,"&gt;="&amp;$A373-1,$A$4:$A372,"&lt;="&amp;$A373,$B$4:$B372,$B373)&gt;0,MIN(BB$1,IF($A373=$A372,BB372,1))-AG373&lt;0),-1,MIN(1,IF($A373=$A372,BB372,1)-AG373+$D$3))</f>
        <v>#N/A</v>
      </c>
      <c r="BC373" t="e">
        <f>IF(OR($J373=0,COUNTIFS($A$4:$A372,"&gt;="&amp;$A373-1,$A$4:$A372,"&lt;="&amp;$A373,$B$4:$B372,$B373)&gt;0,MIN(BC$1,IF($A373=$A372,BC372,1))-AH373&lt;0),-1,MIN(1,IF($A373=$A372,BC372,1)-AH373+$D$3))</f>
        <v>#N/A</v>
      </c>
      <c r="BD373" t="e">
        <f>IF(OR($J373=0,COUNTIFS($A$4:$A372,"&gt;="&amp;$A373-1,$A$4:$A372,"&lt;="&amp;$A373,$B$4:$B372,$B373)&gt;0,MIN(BD$1,IF($A373=$A372,BD372,1))-AI373&lt;0),-1,MIN(1,IF($A373=$A372,BD372,1)-AI373+$D$3))</f>
        <v>#N/A</v>
      </c>
      <c r="BF373" s="44">
        <f t="shared" si="399"/>
        <v>1.2773686268365947E-8</v>
      </c>
      <c r="BG373" s="44">
        <f t="shared" si="400"/>
        <v>3.1414099028815777E-8</v>
      </c>
      <c r="BH373" s="44">
        <f t="shared" si="401"/>
        <v>3.2196147064941033E-8</v>
      </c>
      <c r="BI373" s="44">
        <f t="shared" si="402"/>
        <v>2.9740301005111689E-8</v>
      </c>
      <c r="BJ373" s="44">
        <f t="shared" si="403"/>
        <v>3.0739424512803472E-8</v>
      </c>
      <c r="BK373" s="44">
        <f t="shared" si="404"/>
        <v>1.320065500338378E-8</v>
      </c>
      <c r="BL373" s="44">
        <f t="shared" si="405"/>
        <v>7.1312015107373544E-9</v>
      </c>
      <c r="BM373" s="44">
        <f t="shared" si="406"/>
        <v>1.8140943897004435E-8</v>
      </c>
      <c r="BN373" s="44">
        <f t="shared" si="407"/>
        <v>1.8867995474261178E-8</v>
      </c>
      <c r="BO373" s="44">
        <f t="shared" si="408"/>
        <v>8.8422586374918392E-9</v>
      </c>
      <c r="BP373" s="44">
        <f t="shared" si="409"/>
        <v>2.9731897661289367E-8</v>
      </c>
      <c r="BQ373" s="44">
        <f t="shared" si="410"/>
        <v>8.0234084176806692E-9</v>
      </c>
      <c r="BR373" s="44">
        <f t="shared" si="411"/>
        <v>2.3703156934998696E-8</v>
      </c>
      <c r="BS373" s="44">
        <f t="shared" si="412"/>
        <v>1.2783427078635698E-8</v>
      </c>
      <c r="BT373" s="44">
        <f t="shared" si="413"/>
        <v>5.0587940047825469E-8</v>
      </c>
      <c r="BU373" s="44">
        <f t="shared" si="414"/>
        <v>4.8326705238636533E-8</v>
      </c>
      <c r="BV373" s="44">
        <f t="shared" si="415"/>
        <v>4.6411368857228646E-8</v>
      </c>
      <c r="BW373" s="44">
        <f t="shared" si="416"/>
        <v>3.0355589269619549E-8</v>
      </c>
      <c r="BX373" s="44">
        <f t="shared" si="417"/>
        <v>2.2426158117590552E-8</v>
      </c>
      <c r="BY373" s="44">
        <f t="shared" si="418"/>
        <v>1.9255434338147929E-8</v>
      </c>
      <c r="CA373" s="44" t="str">
        <f t="shared" si="419"/>
        <v/>
      </c>
      <c r="CB373" s="44" t="str">
        <f t="shared" si="420"/>
        <v/>
      </c>
      <c r="CC373" s="44" t="str">
        <f t="shared" si="421"/>
        <v/>
      </c>
      <c r="CD373" s="44" t="str">
        <f t="shared" si="422"/>
        <v/>
      </c>
      <c r="CE373" s="44" t="str">
        <f t="shared" si="423"/>
        <v/>
      </c>
      <c r="CF373" s="44" t="str">
        <f t="shared" si="424"/>
        <v/>
      </c>
      <c r="CG373" s="44" t="str">
        <f t="shared" si="425"/>
        <v/>
      </c>
      <c r="CH373" s="44" t="str">
        <f t="shared" si="426"/>
        <v/>
      </c>
      <c r="CI373" s="44" t="str">
        <f t="shared" si="427"/>
        <v/>
      </c>
      <c r="CJ373" s="44" t="str">
        <f t="shared" si="428"/>
        <v/>
      </c>
      <c r="CK373" s="44" t="str">
        <f t="shared" si="429"/>
        <v/>
      </c>
      <c r="CL373" s="44" t="str">
        <f t="shared" si="430"/>
        <v/>
      </c>
      <c r="CM373" s="44" t="str">
        <f t="shared" si="431"/>
        <v/>
      </c>
      <c r="CN373" s="44" t="str">
        <f t="shared" si="432"/>
        <v/>
      </c>
      <c r="CO373" s="44" t="str">
        <f t="shared" si="433"/>
        <v/>
      </c>
      <c r="CP373" s="44" t="str">
        <f t="shared" si="434"/>
        <v/>
      </c>
      <c r="CQ373" s="44" t="str">
        <f t="shared" si="435"/>
        <v/>
      </c>
      <c r="CR373" s="44" t="str">
        <f t="shared" si="436"/>
        <v/>
      </c>
      <c r="CS373" s="44" t="str">
        <f t="shared" si="437"/>
        <v/>
      </c>
      <c r="CT373" s="44" t="str">
        <f t="shared" si="438"/>
        <v/>
      </c>
      <c r="CV373" s="44">
        <f t="shared" si="439"/>
        <v>0</v>
      </c>
    </row>
    <row r="374" spans="1:100" x14ac:dyDescent="0.25">
      <c r="A374" s="41"/>
      <c r="B374" s="42"/>
      <c r="C374" s="43" t="str" cm="1">
        <f t="array" ref="C374">IF(B374="","",INDEX(UWS!$B$10:$B$41,B374))</f>
        <v/>
      </c>
      <c r="D374" s="40" t="str">
        <f t="shared" si="396"/>
        <v/>
      </c>
      <c r="E374" s="69" t="str">
        <f t="shared" si="397"/>
        <v/>
      </c>
      <c r="F374" s="48" cm="1">
        <f t="array" ref="F374">0.1+IFERROR(INDEX($F$5:$F373,SUMPRODUCT(MAX(ROW($C$5:$C373)*($C374=$C$5:$C373))-ROW($A$4)))*0.9^($A374-INDEX($A$5:A373,SUMPRODUCT(MAX(ROW($C$5:$C373)*($C374=$C$5:$C373))-ROW($A$4)))),0)</f>
        <v>30.900000000000169</v>
      </c>
      <c r="G374" s="55" t="e">
        <f>INDEX(UWS!$AB$10:$AB$41,MATCH(C374,UWS!$B$10:$B$41,0))</f>
        <v>#N/A</v>
      </c>
      <c r="H374" s="48" t="e">
        <f>INDEX(UWS!$C$10:$C$41,MATCH(C374,UWS!$B$10:$B$41,0))</f>
        <v>#N/A</v>
      </c>
      <c r="I374" s="27">
        <f t="shared" si="398"/>
        <v>5</v>
      </c>
      <c r="J374" s="27" t="e">
        <f>INDEX(UWS!$E$10:$E$41,MATCH(C374,UWS!$B$10:$B$41,0))</f>
        <v>#N/A</v>
      </c>
      <c r="L374" s="108" t="str" cm="1">
        <f t="array" ref="L374">IF(K374="","",INDEX(UWS!$B$10:$B$41,K374))</f>
        <v/>
      </c>
      <c r="N374" s="108" t="str" cm="1">
        <f t="array" ref="N374">IF(M374="","",INDEX(UWS!$B$10:$B$41,M374))</f>
        <v/>
      </c>
      <c r="P374">
        <f>IFERROR(INDEX(UWS!$G$10:$Z$41,MATCH($C374,UWS!$B$10:$B$41,0),MATCH(P$4,UWS!$G$3:$Z$3,0)),0)</f>
        <v>0</v>
      </c>
      <c r="Q374">
        <f>IFERROR(INDEX(UWS!$G$10:$Z$41,MATCH($C374,UWS!$B$10:$B$41,0),MATCH(Q$4,UWS!$G$3:$Z$3,0)),0)</f>
        <v>0</v>
      </c>
      <c r="R374">
        <f>IFERROR(INDEX(UWS!$G$10:$Z$41,MATCH($C374,UWS!$B$10:$B$41,0),MATCH(R$4,UWS!$G$3:$Z$3,0)),0)</f>
        <v>0</v>
      </c>
      <c r="S374">
        <f>IFERROR(INDEX(UWS!$G$10:$Z$41,MATCH($C374,UWS!$B$10:$B$41,0),MATCH(S$4,UWS!$G$3:$Z$3,0)),0)</f>
        <v>0</v>
      </c>
      <c r="T374">
        <f>IFERROR(INDEX(UWS!$G$10:$Z$41,MATCH($C374,UWS!$B$10:$B$41,0),MATCH(T$4,UWS!$G$3:$Z$3,0)),0)</f>
        <v>0</v>
      </c>
      <c r="U374">
        <f>IFERROR(INDEX(UWS!$G$10:$Z$41,MATCH($C374,UWS!$B$10:$B$41,0),MATCH(U$4,UWS!$G$3:$Z$3,0)),0)</f>
        <v>0</v>
      </c>
      <c r="V374">
        <f>IFERROR(INDEX(UWS!$G$10:$Z$41,MATCH($C374,UWS!$B$10:$B$41,0),MATCH(V$4,UWS!$G$3:$Z$3,0)),0)</f>
        <v>0</v>
      </c>
      <c r="W374">
        <f>IFERROR(INDEX(UWS!$G$10:$Z$41,MATCH($C374,UWS!$B$10:$B$41,0),MATCH(W$4,UWS!$G$3:$Z$3,0)),0)</f>
        <v>0</v>
      </c>
      <c r="X374">
        <f>IFERROR(INDEX(UWS!$G$10:$Z$41,MATCH($C374,UWS!$B$10:$B$41,0),MATCH(X$4,UWS!$G$3:$Z$3,0)),0)</f>
        <v>0</v>
      </c>
      <c r="Y374">
        <f>IFERROR(INDEX(UWS!$G$10:$Z$41,MATCH($C374,UWS!$B$10:$B$41,0),MATCH(Y$4,UWS!$G$3:$Z$3,0)),0)</f>
        <v>0</v>
      </c>
      <c r="Z374">
        <f>IFERROR(INDEX(UWS!$G$10:$Z$41,MATCH($C374,UWS!$B$10:$B$41,0),MATCH(Z$4,UWS!$G$3:$Z$3,0)),0)</f>
        <v>0</v>
      </c>
      <c r="AA374">
        <f>IFERROR(INDEX(UWS!$G$10:$Z$41,MATCH($C374,UWS!$B$10:$B$41,0),MATCH(AA$4,UWS!$G$3:$Z$3,0)),0)</f>
        <v>0</v>
      </c>
      <c r="AB374">
        <f>IFERROR(INDEX(UWS!$G$10:$Z$41,MATCH($C374,UWS!$B$10:$B$41,0),MATCH(AB$4,UWS!$G$3:$Z$3,0)),0)</f>
        <v>0</v>
      </c>
      <c r="AC374">
        <f>IFERROR(INDEX(UWS!$G$10:$Z$41,MATCH($C374,UWS!$B$10:$B$41,0),MATCH(AC$4,UWS!$G$3:$Z$3,0)),0)</f>
        <v>0</v>
      </c>
      <c r="AD374">
        <f>IFERROR(INDEX(UWS!$G$10:$Z$41,MATCH($C374,UWS!$B$10:$B$41,0),MATCH(AD$4,UWS!$G$3:$Z$3,0)),0)</f>
        <v>0</v>
      </c>
      <c r="AE374">
        <f>IFERROR(INDEX(UWS!$G$10:$Z$41,MATCH($C374,UWS!$B$10:$B$41,0),MATCH(AE$4,UWS!$G$3:$Z$3,0)),0)</f>
        <v>0</v>
      </c>
      <c r="AF374">
        <f>IFERROR(INDEX(UWS!$G$10:$Z$41,MATCH($C374,UWS!$B$10:$B$41,0),MATCH(AF$4,UWS!$G$3:$Z$3,0)),0)</f>
        <v>0</v>
      </c>
      <c r="AG374">
        <f>IFERROR(INDEX(UWS!$G$10:$Z$41,MATCH($C374,UWS!$B$10:$B$41,0),MATCH(AG$4,UWS!$G$3:$Z$3,0)),0)</f>
        <v>0</v>
      </c>
      <c r="AH374">
        <f>IFERROR(INDEX(UWS!$G$10:$Z$41,MATCH($C374,UWS!$B$10:$B$41,0),MATCH(AH$4,UWS!$G$3:$Z$3,0)),0)</f>
        <v>0</v>
      </c>
      <c r="AI374">
        <f>IFERROR(INDEX(UWS!$G$10:$Z$41,MATCH($C374,UWS!$B$10:$B$41,0),MATCH(AI$4,UWS!$G$3:$Z$3,0)),0)</f>
        <v>0</v>
      </c>
      <c r="AK374" t="e">
        <f>IF(OR($J374=0,COUNTIFS($A$4:$A373,"&gt;="&amp;$A374-1,$A$4:$A373,"&lt;="&amp;$A374,$B$4:$B373,$B374)&gt;0,MIN(AK$1,IF($A374=$A373,AK373,1))-P374&lt;0),-1,MIN(1,IF($A374=$A373,AK373,1)-P374+$D$3))</f>
        <v>#N/A</v>
      </c>
      <c r="AL374" t="e">
        <f>IF(OR($J374=0,COUNTIFS($A$4:$A373,"&gt;="&amp;$A374-1,$A$4:$A373,"&lt;="&amp;$A374,$B$4:$B373,$B374)&gt;0,MIN(AL$1,IF($A374=$A373,AL373,1))-Q374&lt;0),-1,MIN(1,IF($A374=$A373,AL373,1)-Q374+$D$3))</f>
        <v>#N/A</v>
      </c>
      <c r="AM374" t="e">
        <f>IF(OR($J374=0,COUNTIFS($A$4:$A373,"&gt;="&amp;$A374-1,$A$4:$A373,"&lt;="&amp;$A374,$B$4:$B373,$B374)&gt;0,MIN(AM$1,IF($A374=$A373,AM373,1))-R374&lt;0),-1,MIN(1,IF($A374=$A373,AM373,1)-R374+$D$3))</f>
        <v>#N/A</v>
      </c>
      <c r="AN374" t="e">
        <f>IF(OR($J374=0,COUNTIFS($A$4:$A373,"&gt;="&amp;$A374-1,$A$4:$A373,"&lt;="&amp;$A374,$B$4:$B373,$B374)&gt;0,MIN(AN$1,IF($A374=$A373,AN373,1))-S374&lt;0),-1,MIN(1,IF($A374=$A373,AN373,1)-S374+$D$3))</f>
        <v>#N/A</v>
      </c>
      <c r="AO374" t="e">
        <f>IF(OR($J374=0,COUNTIFS($A$4:$A373,"&gt;="&amp;$A374-1,$A$4:$A373,"&lt;="&amp;$A374,$B$4:$B373,$B374)&gt;0,MIN(AO$1,IF($A374=$A373,AO373,1))-T374&lt;0),-1,MIN(1,IF($A374=$A373,AO373,1)-T374+$D$3))</f>
        <v>#N/A</v>
      </c>
      <c r="AP374" t="e">
        <f>IF(OR($J374=0,COUNTIFS($A$4:$A373,"&gt;="&amp;$A374-1,$A$4:$A373,"&lt;="&amp;$A374,$B$4:$B373,$B374)&gt;0,MIN(AP$1,IF($A374=$A373,AP373,1))-U374&lt;0),-1,MIN(1,IF($A374=$A373,AP373,1)-U374+$D$3))</f>
        <v>#N/A</v>
      </c>
      <c r="AQ374" t="e">
        <f>IF(OR($J374=0,COUNTIFS($A$4:$A373,"&gt;="&amp;$A374-1,$A$4:$A373,"&lt;="&amp;$A374,$B$4:$B373,$B374)&gt;0,MIN(AQ$1,IF($A374=$A373,AQ373,1))-V374&lt;0),-1,MIN(1,IF($A374=$A373,AQ373,1)-V374+$D$3))</f>
        <v>#N/A</v>
      </c>
      <c r="AR374" t="e">
        <f>IF(OR($J374=0,COUNTIFS($A$4:$A373,"&gt;="&amp;$A374-1,$A$4:$A373,"&lt;="&amp;$A374,$B$4:$B373,$B374)&gt;0,MIN(AR$1,IF($A374=$A373,AR373,1))-W374&lt;0),-1,MIN(1,IF($A374=$A373,AR373,1)-W374+$D$3))</f>
        <v>#N/A</v>
      </c>
      <c r="AS374" t="e">
        <f>IF(OR($J374=0,COUNTIFS($A$4:$A373,"&gt;="&amp;$A374-1,$A$4:$A373,"&lt;="&amp;$A374,$B$4:$B373,$B374)&gt;0,MIN(AS$1,IF($A374=$A373,AS373,1))-X374&lt;0),-1,MIN(1,IF($A374=$A373,AS373,1)-X374+$D$3))</f>
        <v>#N/A</v>
      </c>
      <c r="AT374" t="e">
        <f>IF(OR($J374=0,COUNTIFS($A$4:$A373,"&gt;="&amp;$A374-1,$A$4:$A373,"&lt;="&amp;$A374,$B$4:$B373,$B374)&gt;0,MIN(AT$1,IF($A374=$A373,AT373,1))-Y374&lt;0),-1,MIN(1,IF($A374=$A373,AT373,1)-Y374+$D$3))</f>
        <v>#N/A</v>
      </c>
      <c r="AU374" t="e">
        <f>IF(OR($J374=0,COUNTIFS($A$4:$A373,"&gt;="&amp;$A374-1,$A$4:$A373,"&lt;="&amp;$A374,$B$4:$B373,$B374)&gt;0,MIN(AU$1,IF($A374=$A373,AU373,1))-Z374&lt;0),-1,MIN(1,IF($A374=$A373,AU373,1)-Z374+$D$3))</f>
        <v>#N/A</v>
      </c>
      <c r="AV374" t="e">
        <f>IF(OR($J374=0,COUNTIFS($A$4:$A373,"&gt;="&amp;$A374-1,$A$4:$A373,"&lt;="&amp;$A374,$B$4:$B373,$B374)&gt;0,MIN(AV$1,IF($A374=$A373,AV373,1))-AA374&lt;0),-1,MIN(1,IF($A374=$A373,AV373,1)-AA374+$D$3))</f>
        <v>#N/A</v>
      </c>
      <c r="AW374" t="e">
        <f>IF(OR($J374=0,COUNTIFS($A$4:$A373,"&gt;="&amp;$A374-1,$A$4:$A373,"&lt;="&amp;$A374,$B$4:$B373,$B374)&gt;0,MIN(AW$1,IF($A374=$A373,AW373,1))-AB374&lt;0),-1,MIN(1,IF($A374=$A373,AW373,1)-AB374+$D$3))</f>
        <v>#N/A</v>
      </c>
      <c r="AX374" t="e">
        <f>IF(OR($J374=0,COUNTIFS($A$4:$A373,"&gt;="&amp;$A374-1,$A$4:$A373,"&lt;="&amp;$A374,$B$4:$B373,$B374)&gt;0,MIN(AX$1,IF($A374=$A373,AX373,1))-AC374&lt;0),-1,MIN(1,IF($A374=$A373,AX373,1)-AC374+$D$3))</f>
        <v>#N/A</v>
      </c>
      <c r="AY374" t="e">
        <f>IF(OR($J374=0,COUNTIFS($A$4:$A373,"&gt;="&amp;$A374-1,$A$4:$A373,"&lt;="&amp;$A374,$B$4:$B373,$B374)&gt;0,MIN(AY$1,IF($A374=$A373,AY373,1))-AD374&lt;0),-1,MIN(1,IF($A374=$A373,AY373,1)-AD374+$D$3))</f>
        <v>#N/A</v>
      </c>
      <c r="AZ374" t="e">
        <f>IF(OR($J374=0,COUNTIFS($A$4:$A373,"&gt;="&amp;$A374-1,$A$4:$A373,"&lt;="&amp;$A374,$B$4:$B373,$B374)&gt;0,MIN(AZ$1,IF($A374=$A373,AZ373,1))-AE374&lt;0),-1,MIN(1,IF($A374=$A373,AZ373,1)-AE374+$D$3))</f>
        <v>#N/A</v>
      </c>
      <c r="BA374" t="e">
        <f>IF(OR($J374=0,COUNTIFS($A$4:$A373,"&gt;="&amp;$A374-1,$A$4:$A373,"&lt;="&amp;$A374,$B$4:$B373,$B374)&gt;0,MIN(BA$1,IF($A374=$A373,BA373,1))-AF374&lt;0),-1,MIN(1,IF($A374=$A373,BA373,1)-AF374+$D$3))</f>
        <v>#N/A</v>
      </c>
      <c r="BB374" t="e">
        <f>IF(OR($J374=0,COUNTIFS($A$4:$A373,"&gt;="&amp;$A374-1,$A$4:$A373,"&lt;="&amp;$A374,$B$4:$B373,$B374)&gt;0,MIN(BB$1,IF($A374=$A373,BB373,1))-AG374&lt;0),-1,MIN(1,IF($A374=$A373,BB373,1)-AG374+$D$3))</f>
        <v>#N/A</v>
      </c>
      <c r="BC374" t="e">
        <f>IF(OR($J374=0,COUNTIFS($A$4:$A373,"&gt;="&amp;$A374-1,$A$4:$A373,"&lt;="&amp;$A374,$B$4:$B373,$B374)&gt;0,MIN(BC$1,IF($A374=$A373,BC373,1))-AH374&lt;0),-1,MIN(1,IF($A374=$A373,BC373,1)-AH374+$D$3))</f>
        <v>#N/A</v>
      </c>
      <c r="BD374" t="e">
        <f>IF(OR($J374=0,COUNTIFS($A$4:$A373,"&gt;="&amp;$A374-1,$A$4:$A373,"&lt;="&amp;$A374,$B$4:$B373,$B374)&gt;0,MIN(BD$1,IF($A374=$A373,BD373,1))-AI374&lt;0),-1,MIN(1,IF($A374=$A373,BD373,1)-AI374+$D$3))</f>
        <v>#N/A</v>
      </c>
      <c r="BF374" s="44">
        <f t="shared" si="399"/>
        <v>1.2135001954947649E-8</v>
      </c>
      <c r="BG374" s="44">
        <f t="shared" si="400"/>
        <v>2.9843394077374988E-8</v>
      </c>
      <c r="BH374" s="44">
        <f t="shared" si="401"/>
        <v>3.0586339711693982E-8</v>
      </c>
      <c r="BI374" s="44">
        <f t="shared" si="402"/>
        <v>2.8253285954856102E-8</v>
      </c>
      <c r="BJ374" s="44">
        <f t="shared" si="403"/>
        <v>2.9202453287163298E-8</v>
      </c>
      <c r="BK374" s="44">
        <f t="shared" si="404"/>
        <v>1.254062225321459E-8</v>
      </c>
      <c r="BL374" s="44">
        <f t="shared" si="405"/>
        <v>6.7746414352004866E-9</v>
      </c>
      <c r="BM374" s="44">
        <f t="shared" si="406"/>
        <v>1.7233896702154212E-8</v>
      </c>
      <c r="BN374" s="44">
        <f t="shared" si="407"/>
        <v>1.7924595700548118E-8</v>
      </c>
      <c r="BO374" s="44">
        <f t="shared" si="408"/>
        <v>8.4001457056172471E-9</v>
      </c>
      <c r="BP374" s="44">
        <f t="shared" si="409"/>
        <v>2.8245302778224897E-8</v>
      </c>
      <c r="BQ374" s="44">
        <f t="shared" si="410"/>
        <v>7.6222379967966357E-9</v>
      </c>
      <c r="BR374" s="44">
        <f t="shared" si="411"/>
        <v>2.2517999088248759E-8</v>
      </c>
      <c r="BS374" s="44">
        <f t="shared" si="412"/>
        <v>1.2144255724703913E-8</v>
      </c>
      <c r="BT374" s="44">
        <f t="shared" si="413"/>
        <v>4.8058543045434196E-8</v>
      </c>
      <c r="BU374" s="44">
        <f t="shared" si="414"/>
        <v>4.5910369976704706E-8</v>
      </c>
      <c r="BV374" s="44">
        <f t="shared" si="415"/>
        <v>4.4090800414367211E-8</v>
      </c>
      <c r="BW374" s="44">
        <f t="shared" si="416"/>
        <v>2.8837809806138569E-8</v>
      </c>
      <c r="BX374" s="44">
        <f t="shared" si="417"/>
        <v>2.1304850211711024E-8</v>
      </c>
      <c r="BY374" s="44">
        <f t="shared" si="418"/>
        <v>1.8292662621240531E-8</v>
      </c>
      <c r="CA374" s="44" t="str">
        <f t="shared" si="419"/>
        <v/>
      </c>
      <c r="CB374" s="44" t="str">
        <f t="shared" si="420"/>
        <v/>
      </c>
      <c r="CC374" s="44" t="str">
        <f t="shared" si="421"/>
        <v/>
      </c>
      <c r="CD374" s="44" t="str">
        <f t="shared" si="422"/>
        <v/>
      </c>
      <c r="CE374" s="44" t="str">
        <f t="shared" si="423"/>
        <v/>
      </c>
      <c r="CF374" s="44" t="str">
        <f t="shared" si="424"/>
        <v/>
      </c>
      <c r="CG374" s="44" t="str">
        <f t="shared" si="425"/>
        <v/>
      </c>
      <c r="CH374" s="44" t="str">
        <f t="shared" si="426"/>
        <v/>
      </c>
      <c r="CI374" s="44" t="str">
        <f t="shared" si="427"/>
        <v/>
      </c>
      <c r="CJ374" s="44" t="str">
        <f t="shared" si="428"/>
        <v/>
      </c>
      <c r="CK374" s="44" t="str">
        <f t="shared" si="429"/>
        <v/>
      </c>
      <c r="CL374" s="44" t="str">
        <f t="shared" si="430"/>
        <v/>
      </c>
      <c r="CM374" s="44" t="str">
        <f t="shared" si="431"/>
        <v/>
      </c>
      <c r="CN374" s="44" t="str">
        <f t="shared" si="432"/>
        <v/>
      </c>
      <c r="CO374" s="44" t="str">
        <f t="shared" si="433"/>
        <v/>
      </c>
      <c r="CP374" s="44" t="str">
        <f t="shared" si="434"/>
        <v/>
      </c>
      <c r="CQ374" s="44" t="str">
        <f t="shared" si="435"/>
        <v/>
      </c>
      <c r="CR374" s="44" t="str">
        <f t="shared" si="436"/>
        <v/>
      </c>
      <c r="CS374" s="44" t="str">
        <f t="shared" si="437"/>
        <v/>
      </c>
      <c r="CT374" s="44" t="str">
        <f t="shared" si="438"/>
        <v/>
      </c>
      <c r="CV374" s="44">
        <f t="shared" si="439"/>
        <v>0</v>
      </c>
    </row>
    <row r="375" spans="1:100" x14ac:dyDescent="0.25">
      <c r="A375" s="49"/>
      <c r="B375" s="50"/>
      <c r="C375" s="51" t="str" cm="1">
        <f t="array" ref="C375">IF(B375="","",INDEX(UWS!$B$10:$B$41,B375))</f>
        <v/>
      </c>
      <c r="D375" s="45" t="str">
        <f t="shared" si="396"/>
        <v/>
      </c>
      <c r="E375" s="70" t="str">
        <f t="shared" si="397"/>
        <v/>
      </c>
      <c r="F375" s="52" cm="1">
        <f t="array" ref="F375">0.1+IFERROR(INDEX($F$5:$F374,SUMPRODUCT(MAX(ROW($C$5:$C374)*($C375=$C$5:$C374))-ROW($A$4)))*0.9^($A375-INDEX($A$5:A374,SUMPRODUCT(MAX(ROW($C$5:$C374)*($C375=$C$5:$C374))-ROW($A$4)))),0)</f>
        <v>31.000000000000171</v>
      </c>
      <c r="G375" s="56" t="e">
        <f>INDEX(UWS!$AB$10:$AB$41,MATCH(C375,UWS!$B$10:$B$41,0))</f>
        <v>#N/A</v>
      </c>
      <c r="H375" s="52" t="e">
        <f>INDEX(UWS!$C$10:$C$41,MATCH(C375,UWS!$B$10:$B$41,0))</f>
        <v>#N/A</v>
      </c>
      <c r="I375" s="46">
        <f t="shared" si="398"/>
        <v>5</v>
      </c>
      <c r="J375" s="46" t="e">
        <f>INDEX(UWS!$E$10:$E$41,MATCH(C375,UWS!$B$10:$B$41,0))</f>
        <v>#N/A</v>
      </c>
      <c r="K375" s="46"/>
      <c r="L375" s="109" t="str" cm="1">
        <f t="array" ref="L375">IF(K375="","",INDEX(UWS!$B$10:$B$41,K375))</f>
        <v/>
      </c>
      <c r="M375" s="46"/>
      <c r="N375" s="109" t="str" cm="1">
        <f t="array" ref="N375">IF(M375="","",INDEX(UWS!$B$10:$B$41,M375))</f>
        <v/>
      </c>
      <c r="O375" s="47"/>
      <c r="P375" s="47">
        <f>IFERROR(INDEX(UWS!$G$10:$Z$41,MATCH($C375,UWS!$B$10:$B$41,0),MATCH(P$4,UWS!$G$3:$Z$3,0)),0)</f>
        <v>0</v>
      </c>
      <c r="Q375" s="47">
        <f>IFERROR(INDEX(UWS!$G$10:$Z$41,MATCH($C375,UWS!$B$10:$B$41,0),MATCH(Q$4,UWS!$G$3:$Z$3,0)),0)</f>
        <v>0</v>
      </c>
      <c r="R375" s="47">
        <f>IFERROR(INDEX(UWS!$G$10:$Z$41,MATCH($C375,UWS!$B$10:$B$41,0),MATCH(R$4,UWS!$G$3:$Z$3,0)),0)</f>
        <v>0</v>
      </c>
      <c r="S375" s="47">
        <f>IFERROR(INDEX(UWS!$G$10:$Z$41,MATCH($C375,UWS!$B$10:$B$41,0),MATCH(S$4,UWS!$G$3:$Z$3,0)),0)</f>
        <v>0</v>
      </c>
      <c r="T375" s="47">
        <f>IFERROR(INDEX(UWS!$G$10:$Z$41,MATCH($C375,UWS!$B$10:$B$41,0),MATCH(T$4,UWS!$G$3:$Z$3,0)),0)</f>
        <v>0</v>
      </c>
      <c r="U375" s="47">
        <f>IFERROR(INDEX(UWS!$G$10:$Z$41,MATCH($C375,UWS!$B$10:$B$41,0),MATCH(U$4,UWS!$G$3:$Z$3,0)),0)</f>
        <v>0</v>
      </c>
      <c r="V375" s="47">
        <f>IFERROR(INDEX(UWS!$G$10:$Z$41,MATCH($C375,UWS!$B$10:$B$41,0),MATCH(V$4,UWS!$G$3:$Z$3,0)),0)</f>
        <v>0</v>
      </c>
      <c r="W375" s="47">
        <f>IFERROR(INDEX(UWS!$G$10:$Z$41,MATCH($C375,UWS!$B$10:$B$41,0),MATCH(W$4,UWS!$G$3:$Z$3,0)),0)</f>
        <v>0</v>
      </c>
      <c r="X375" s="47">
        <f>IFERROR(INDEX(UWS!$G$10:$Z$41,MATCH($C375,UWS!$B$10:$B$41,0),MATCH(X$4,UWS!$G$3:$Z$3,0)),0)</f>
        <v>0</v>
      </c>
      <c r="Y375" s="47">
        <f>IFERROR(INDEX(UWS!$G$10:$Z$41,MATCH($C375,UWS!$B$10:$B$41,0),MATCH(Y$4,UWS!$G$3:$Z$3,0)),0)</f>
        <v>0</v>
      </c>
      <c r="Z375" s="47">
        <f>IFERROR(INDEX(UWS!$G$10:$Z$41,MATCH($C375,UWS!$B$10:$B$41,0),MATCH(Z$4,UWS!$G$3:$Z$3,0)),0)</f>
        <v>0</v>
      </c>
      <c r="AA375" s="47">
        <f>IFERROR(INDEX(UWS!$G$10:$Z$41,MATCH($C375,UWS!$B$10:$B$41,0),MATCH(AA$4,UWS!$G$3:$Z$3,0)),0)</f>
        <v>0</v>
      </c>
      <c r="AB375" s="47">
        <f>IFERROR(INDEX(UWS!$G$10:$Z$41,MATCH($C375,UWS!$B$10:$B$41,0),MATCH(AB$4,UWS!$G$3:$Z$3,0)),0)</f>
        <v>0</v>
      </c>
      <c r="AC375" s="47">
        <f>IFERROR(INDEX(UWS!$G$10:$Z$41,MATCH($C375,UWS!$B$10:$B$41,0),MATCH(AC$4,UWS!$G$3:$Z$3,0)),0)</f>
        <v>0</v>
      </c>
      <c r="AD375" s="47">
        <f>IFERROR(INDEX(UWS!$G$10:$Z$41,MATCH($C375,UWS!$B$10:$B$41,0),MATCH(AD$4,UWS!$G$3:$Z$3,0)),0)</f>
        <v>0</v>
      </c>
      <c r="AE375" s="47">
        <f>IFERROR(INDEX(UWS!$G$10:$Z$41,MATCH($C375,UWS!$B$10:$B$41,0),MATCH(AE$4,UWS!$G$3:$Z$3,0)),0)</f>
        <v>0</v>
      </c>
      <c r="AF375" s="47">
        <f>IFERROR(INDEX(UWS!$G$10:$Z$41,MATCH($C375,UWS!$B$10:$B$41,0),MATCH(AF$4,UWS!$G$3:$Z$3,0)),0)</f>
        <v>0</v>
      </c>
      <c r="AG375" s="47">
        <f>IFERROR(INDEX(UWS!$G$10:$Z$41,MATCH($C375,UWS!$B$10:$B$41,0),MATCH(AG$4,UWS!$G$3:$Z$3,0)),0)</f>
        <v>0</v>
      </c>
      <c r="AH375" s="47">
        <f>IFERROR(INDEX(UWS!$G$10:$Z$41,MATCH($C375,UWS!$B$10:$B$41,0),MATCH(AH$4,UWS!$G$3:$Z$3,0)),0)</f>
        <v>0</v>
      </c>
      <c r="AI375" s="47">
        <f>IFERROR(INDEX(UWS!$G$10:$Z$41,MATCH($C375,UWS!$B$10:$B$41,0),MATCH(AI$4,UWS!$G$3:$Z$3,0)),0)</f>
        <v>0</v>
      </c>
      <c r="AJ375" s="47"/>
      <c r="AK375" s="47" t="e">
        <f>IF(OR($J375=0,COUNTIFS($A$4:$A374,"&gt;="&amp;$A375-1,$A$4:$A374,"&lt;="&amp;$A375,$B$4:$B374,$B375)&gt;0,MIN(AK$1,IF($A375=$A374,AK374,1))-P375&lt;0),-1,MIN(1,IF($A375=$A374,AK374,1)-P375+$D$3))</f>
        <v>#N/A</v>
      </c>
      <c r="AL375" s="47" t="e">
        <f>IF(OR($J375=0,COUNTIFS($A$4:$A374,"&gt;="&amp;$A375-1,$A$4:$A374,"&lt;="&amp;$A375,$B$4:$B374,$B375)&gt;0,MIN(AL$1,IF($A375=$A374,AL374,1))-Q375&lt;0),-1,MIN(1,IF($A375=$A374,AL374,1)-Q375+$D$3))</f>
        <v>#N/A</v>
      </c>
      <c r="AM375" s="47" t="e">
        <f>IF(OR($J375=0,COUNTIFS($A$4:$A374,"&gt;="&amp;$A375-1,$A$4:$A374,"&lt;="&amp;$A375,$B$4:$B374,$B375)&gt;0,MIN(AM$1,IF($A375=$A374,AM374,1))-R375&lt;0),-1,MIN(1,IF($A375=$A374,AM374,1)-R375+$D$3))</f>
        <v>#N/A</v>
      </c>
      <c r="AN375" s="47" t="e">
        <f>IF(OR($J375=0,COUNTIFS($A$4:$A374,"&gt;="&amp;$A375-1,$A$4:$A374,"&lt;="&amp;$A375,$B$4:$B374,$B375)&gt;0,MIN(AN$1,IF($A375=$A374,AN374,1))-S375&lt;0),-1,MIN(1,IF($A375=$A374,AN374,1)-S375+$D$3))</f>
        <v>#N/A</v>
      </c>
      <c r="AO375" s="47" t="e">
        <f>IF(OR($J375=0,COUNTIFS($A$4:$A374,"&gt;="&amp;$A375-1,$A$4:$A374,"&lt;="&amp;$A375,$B$4:$B374,$B375)&gt;0,MIN(AO$1,IF($A375=$A374,AO374,1))-T375&lt;0),-1,MIN(1,IF($A375=$A374,AO374,1)-T375+$D$3))</f>
        <v>#N/A</v>
      </c>
      <c r="AP375" s="47" t="e">
        <f>IF(OR($J375=0,COUNTIFS($A$4:$A374,"&gt;="&amp;$A375-1,$A$4:$A374,"&lt;="&amp;$A375,$B$4:$B374,$B375)&gt;0,MIN(AP$1,IF($A375=$A374,AP374,1))-U375&lt;0),-1,MIN(1,IF($A375=$A374,AP374,1)-U375+$D$3))</f>
        <v>#N/A</v>
      </c>
      <c r="AQ375" s="47" t="e">
        <f>IF(OR($J375=0,COUNTIFS($A$4:$A374,"&gt;="&amp;$A375-1,$A$4:$A374,"&lt;="&amp;$A375,$B$4:$B374,$B375)&gt;0,MIN(AQ$1,IF($A375=$A374,AQ374,1))-V375&lt;0),-1,MIN(1,IF($A375=$A374,AQ374,1)-V375+$D$3))</f>
        <v>#N/A</v>
      </c>
      <c r="AR375" s="47" t="e">
        <f>IF(OR($J375=0,COUNTIFS($A$4:$A374,"&gt;="&amp;$A375-1,$A$4:$A374,"&lt;="&amp;$A375,$B$4:$B374,$B375)&gt;0,MIN(AR$1,IF($A375=$A374,AR374,1))-W375&lt;0),-1,MIN(1,IF($A375=$A374,AR374,1)-W375+$D$3))</f>
        <v>#N/A</v>
      </c>
      <c r="AS375" s="47" t="e">
        <f>IF(OR($J375=0,COUNTIFS($A$4:$A374,"&gt;="&amp;$A375-1,$A$4:$A374,"&lt;="&amp;$A375,$B$4:$B374,$B375)&gt;0,MIN(AS$1,IF($A375=$A374,AS374,1))-X375&lt;0),-1,MIN(1,IF($A375=$A374,AS374,1)-X375+$D$3))</f>
        <v>#N/A</v>
      </c>
      <c r="AT375" s="47" t="e">
        <f>IF(OR($J375=0,COUNTIFS($A$4:$A374,"&gt;="&amp;$A375-1,$A$4:$A374,"&lt;="&amp;$A375,$B$4:$B374,$B375)&gt;0,MIN(AT$1,IF($A375=$A374,AT374,1))-Y375&lt;0),-1,MIN(1,IF($A375=$A374,AT374,1)-Y375+$D$3))</f>
        <v>#N/A</v>
      </c>
      <c r="AU375" s="47" t="e">
        <f>IF(OR($J375=0,COUNTIFS($A$4:$A374,"&gt;="&amp;$A375-1,$A$4:$A374,"&lt;="&amp;$A375,$B$4:$B374,$B375)&gt;0,MIN(AU$1,IF($A375=$A374,AU374,1))-Z375&lt;0),-1,MIN(1,IF($A375=$A374,AU374,1)-Z375+$D$3))</f>
        <v>#N/A</v>
      </c>
      <c r="AV375" s="47" t="e">
        <f>IF(OR($J375=0,COUNTIFS($A$4:$A374,"&gt;="&amp;$A375-1,$A$4:$A374,"&lt;="&amp;$A375,$B$4:$B374,$B375)&gt;0,MIN(AV$1,IF($A375=$A374,AV374,1))-AA375&lt;0),-1,MIN(1,IF($A375=$A374,AV374,1)-AA375+$D$3))</f>
        <v>#N/A</v>
      </c>
      <c r="AW375" s="47" t="e">
        <f>IF(OR($J375=0,COUNTIFS($A$4:$A374,"&gt;="&amp;$A375-1,$A$4:$A374,"&lt;="&amp;$A375,$B$4:$B374,$B375)&gt;0,MIN(AW$1,IF($A375=$A374,AW374,1))-AB375&lt;0),-1,MIN(1,IF($A375=$A374,AW374,1)-AB375+$D$3))</f>
        <v>#N/A</v>
      </c>
      <c r="AX375" s="47" t="e">
        <f>IF(OR($J375=0,COUNTIFS($A$4:$A374,"&gt;="&amp;$A375-1,$A$4:$A374,"&lt;="&amp;$A375,$B$4:$B374,$B375)&gt;0,MIN(AX$1,IF($A375=$A374,AX374,1))-AC375&lt;0),-1,MIN(1,IF($A375=$A374,AX374,1)-AC375+$D$3))</f>
        <v>#N/A</v>
      </c>
      <c r="AY375" s="47" t="e">
        <f>IF(OR($J375=0,COUNTIFS($A$4:$A374,"&gt;="&amp;$A375-1,$A$4:$A374,"&lt;="&amp;$A375,$B$4:$B374,$B375)&gt;0,MIN(AY$1,IF($A375=$A374,AY374,1))-AD375&lt;0),-1,MIN(1,IF($A375=$A374,AY374,1)-AD375+$D$3))</f>
        <v>#N/A</v>
      </c>
      <c r="AZ375" s="47" t="e">
        <f>IF(OR($J375=0,COUNTIFS($A$4:$A374,"&gt;="&amp;$A375-1,$A$4:$A374,"&lt;="&amp;$A375,$B$4:$B374,$B375)&gt;0,MIN(AZ$1,IF($A375=$A374,AZ374,1))-AE375&lt;0),-1,MIN(1,IF($A375=$A374,AZ374,1)-AE375+$D$3))</f>
        <v>#N/A</v>
      </c>
      <c r="BA375" s="47" t="e">
        <f>IF(OR($J375=0,COUNTIFS($A$4:$A374,"&gt;="&amp;$A375-1,$A$4:$A374,"&lt;="&amp;$A375,$B$4:$B374,$B375)&gt;0,MIN(BA$1,IF($A375=$A374,BA374,1))-AF375&lt;0),-1,MIN(1,IF($A375=$A374,BA374,1)-AF375+$D$3))</f>
        <v>#N/A</v>
      </c>
      <c r="BB375" s="47" t="e">
        <f>IF(OR($J375=0,COUNTIFS($A$4:$A374,"&gt;="&amp;$A375-1,$A$4:$A374,"&lt;="&amp;$A375,$B$4:$B374,$B375)&gt;0,MIN(BB$1,IF($A375=$A374,BB374,1))-AG375&lt;0),-1,MIN(1,IF($A375=$A374,BB374,1)-AG375+$D$3))</f>
        <v>#N/A</v>
      </c>
      <c r="BC375" s="47" t="e">
        <f>IF(OR($J375=0,COUNTIFS($A$4:$A374,"&gt;="&amp;$A375-1,$A$4:$A374,"&lt;="&amp;$A375,$B$4:$B374,$B375)&gt;0,MIN(BC$1,IF($A375=$A374,BC374,1))-AH375&lt;0),-1,MIN(1,IF($A375=$A374,BC374,1)-AH375+$D$3))</f>
        <v>#N/A</v>
      </c>
      <c r="BD375" s="47" t="e">
        <f>IF(OR($J375=0,COUNTIFS($A$4:$A374,"&gt;="&amp;$A375-1,$A$4:$A374,"&lt;="&amp;$A375,$B$4:$B374,$B375)&gt;0,MIN(BD$1,IF($A375=$A374,BD374,1))-AI375&lt;0),-1,MIN(1,IF($A375=$A374,BD374,1)-AI375+$D$3))</f>
        <v>#N/A</v>
      </c>
      <c r="BE375" s="47"/>
      <c r="BF375" s="53">
        <f t="shared" si="399"/>
        <v>1.1528251857200266E-8</v>
      </c>
      <c r="BG375" s="53">
        <f t="shared" si="400"/>
        <v>2.8351224373506238E-8</v>
      </c>
      <c r="BH375" s="53">
        <f t="shared" si="401"/>
        <v>2.905702272610928E-8</v>
      </c>
      <c r="BI375" s="53">
        <f t="shared" si="402"/>
        <v>2.6840621657113295E-8</v>
      </c>
      <c r="BJ375" s="53">
        <f t="shared" si="403"/>
        <v>2.7742330622805132E-8</v>
      </c>
      <c r="BK375" s="53">
        <f t="shared" si="404"/>
        <v>1.191359114055386E-8</v>
      </c>
      <c r="BL375" s="53">
        <f t="shared" si="405"/>
        <v>6.4359093634404621E-9</v>
      </c>
      <c r="BM375" s="53">
        <f t="shared" si="406"/>
        <v>1.63722018670465E-8</v>
      </c>
      <c r="BN375" s="53">
        <f t="shared" si="407"/>
        <v>1.7028365915520712E-8</v>
      </c>
      <c r="BO375" s="53">
        <f t="shared" si="408"/>
        <v>7.9801384203363847E-9</v>
      </c>
      <c r="BP375" s="53">
        <f t="shared" si="409"/>
        <v>2.6833037639313649E-8</v>
      </c>
      <c r="BQ375" s="53">
        <f t="shared" si="410"/>
        <v>7.2411260969568031E-9</v>
      </c>
      <c r="BR375" s="53">
        <f t="shared" si="411"/>
        <v>2.139209913383632E-8</v>
      </c>
      <c r="BS375" s="53">
        <f t="shared" si="412"/>
        <v>1.1537042938468716E-8</v>
      </c>
      <c r="BT375" s="53">
        <f t="shared" si="413"/>
        <v>4.5655615893162482E-8</v>
      </c>
      <c r="BU375" s="53">
        <f t="shared" si="414"/>
        <v>4.3614851477869465E-8</v>
      </c>
      <c r="BV375" s="53">
        <f t="shared" si="415"/>
        <v>4.1886260393648847E-8</v>
      </c>
      <c r="BW375" s="53">
        <f t="shared" si="416"/>
        <v>2.739591931583164E-8</v>
      </c>
      <c r="BX375" s="53">
        <f t="shared" si="417"/>
        <v>2.0239607701125472E-8</v>
      </c>
      <c r="BY375" s="53">
        <f t="shared" si="418"/>
        <v>1.7378029490178504E-8</v>
      </c>
      <c r="BZ375" s="47"/>
      <c r="CA375" s="53" t="str">
        <f t="shared" si="419"/>
        <v/>
      </c>
      <c r="CB375" s="53" t="str">
        <f t="shared" si="420"/>
        <v/>
      </c>
      <c r="CC375" s="53" t="str">
        <f t="shared" si="421"/>
        <v/>
      </c>
      <c r="CD375" s="53" t="str">
        <f t="shared" si="422"/>
        <v/>
      </c>
      <c r="CE375" s="53" t="str">
        <f t="shared" si="423"/>
        <v/>
      </c>
      <c r="CF375" s="53" t="str">
        <f t="shared" si="424"/>
        <v/>
      </c>
      <c r="CG375" s="53" t="str">
        <f t="shared" si="425"/>
        <v/>
      </c>
      <c r="CH375" s="53" t="str">
        <f t="shared" si="426"/>
        <v/>
      </c>
      <c r="CI375" s="53" t="str">
        <f t="shared" si="427"/>
        <v/>
      </c>
      <c r="CJ375" s="53" t="str">
        <f t="shared" si="428"/>
        <v/>
      </c>
      <c r="CK375" s="53" t="str">
        <f t="shared" si="429"/>
        <v/>
      </c>
      <c r="CL375" s="53" t="str">
        <f t="shared" si="430"/>
        <v/>
      </c>
      <c r="CM375" s="53" t="str">
        <f t="shared" si="431"/>
        <v/>
      </c>
      <c r="CN375" s="53" t="str">
        <f t="shared" si="432"/>
        <v/>
      </c>
      <c r="CO375" s="53" t="str">
        <f t="shared" si="433"/>
        <v/>
      </c>
      <c r="CP375" s="53" t="str">
        <f t="shared" si="434"/>
        <v/>
      </c>
      <c r="CQ375" s="53" t="str">
        <f t="shared" si="435"/>
        <v/>
      </c>
      <c r="CR375" s="53" t="str">
        <f t="shared" si="436"/>
        <v/>
      </c>
      <c r="CS375" s="53" t="str">
        <f t="shared" si="437"/>
        <v/>
      </c>
      <c r="CT375" s="53" t="str">
        <f t="shared" si="438"/>
        <v/>
      </c>
      <c r="CU375" s="47"/>
      <c r="CV375" s="53">
        <f t="shared" si="439"/>
        <v>0</v>
      </c>
    </row>
    <row r="376" spans="1:100" x14ac:dyDescent="0.25">
      <c r="A376" s="41"/>
      <c r="B376" s="42"/>
      <c r="C376" s="43" t="str" cm="1">
        <f t="array" ref="C376">IF(B376="","",INDEX(UWS!$B$10:$B$41,B376))</f>
        <v/>
      </c>
      <c r="D376" s="40" t="str">
        <f t="shared" si="396"/>
        <v/>
      </c>
      <c r="E376" s="69" t="str">
        <f t="shared" si="397"/>
        <v/>
      </c>
      <c r="F376" s="48" cm="1">
        <f t="array" ref="F376">0.1+IFERROR(INDEX($F$5:$F375,SUMPRODUCT(MAX(ROW($C$5:$C375)*($C376=$C$5:$C375))-ROW($A$4)))*0.9^($A376-INDEX($A$5:A375,SUMPRODUCT(MAX(ROW($C$5:$C375)*($C376=$C$5:$C375))-ROW($A$4)))),0)</f>
        <v>31.100000000000172</v>
      </c>
      <c r="G376" s="55" t="e">
        <f>INDEX(UWS!$AB$10:$AB$41,MATCH(C376,UWS!$B$10:$B$41,0))</f>
        <v>#N/A</v>
      </c>
      <c r="H376" s="48" t="e">
        <f>INDEX(UWS!$C$10:$C$41,MATCH(C376,UWS!$B$10:$B$41,0))</f>
        <v>#N/A</v>
      </c>
      <c r="I376" s="82">
        <f t="shared" si="398"/>
        <v>5</v>
      </c>
      <c r="J376" s="27" t="e">
        <f>INDEX(UWS!$E$10:$E$41,MATCH(C376,UWS!$B$10:$B$41,0))</f>
        <v>#N/A</v>
      </c>
      <c r="L376" s="108" t="str" cm="1">
        <f t="array" ref="L376">IF(K376="","",INDEX(UWS!$B$10:$B$41,K376))</f>
        <v/>
      </c>
      <c r="N376" s="108" t="str" cm="1">
        <f t="array" ref="N376">IF(M376="","",INDEX(UWS!$B$10:$B$41,M376))</f>
        <v/>
      </c>
      <c r="P376">
        <f>IFERROR(INDEX(UWS!$G$10:$Z$41,MATCH($C376,UWS!$B$10:$B$41,0),MATCH(P$4,UWS!$G$3:$Z$3,0)),0)</f>
        <v>0</v>
      </c>
      <c r="Q376">
        <f>IFERROR(INDEX(UWS!$G$10:$Z$41,MATCH($C376,UWS!$B$10:$B$41,0),MATCH(Q$4,UWS!$G$3:$Z$3,0)),0)</f>
        <v>0</v>
      </c>
      <c r="R376">
        <f>IFERROR(INDEX(UWS!$G$10:$Z$41,MATCH($C376,UWS!$B$10:$B$41,0),MATCH(R$4,UWS!$G$3:$Z$3,0)),0)</f>
        <v>0</v>
      </c>
      <c r="S376">
        <f>IFERROR(INDEX(UWS!$G$10:$Z$41,MATCH($C376,UWS!$B$10:$B$41,0),MATCH(S$4,UWS!$G$3:$Z$3,0)),0)</f>
        <v>0</v>
      </c>
      <c r="T376">
        <f>IFERROR(INDEX(UWS!$G$10:$Z$41,MATCH($C376,UWS!$B$10:$B$41,0),MATCH(T$4,UWS!$G$3:$Z$3,0)),0)</f>
        <v>0</v>
      </c>
      <c r="U376">
        <f>IFERROR(INDEX(UWS!$G$10:$Z$41,MATCH($C376,UWS!$B$10:$B$41,0),MATCH(U$4,UWS!$G$3:$Z$3,0)),0)</f>
        <v>0</v>
      </c>
      <c r="V376">
        <f>IFERROR(INDEX(UWS!$G$10:$Z$41,MATCH($C376,UWS!$B$10:$B$41,0),MATCH(V$4,UWS!$G$3:$Z$3,0)),0)</f>
        <v>0</v>
      </c>
      <c r="W376">
        <f>IFERROR(INDEX(UWS!$G$10:$Z$41,MATCH($C376,UWS!$B$10:$B$41,0),MATCH(W$4,UWS!$G$3:$Z$3,0)),0)</f>
        <v>0</v>
      </c>
      <c r="X376">
        <f>IFERROR(INDEX(UWS!$G$10:$Z$41,MATCH($C376,UWS!$B$10:$B$41,0),MATCH(X$4,UWS!$G$3:$Z$3,0)),0)</f>
        <v>0</v>
      </c>
      <c r="Y376">
        <f>IFERROR(INDEX(UWS!$G$10:$Z$41,MATCH($C376,UWS!$B$10:$B$41,0),MATCH(Y$4,UWS!$G$3:$Z$3,0)),0)</f>
        <v>0</v>
      </c>
      <c r="Z376">
        <f>IFERROR(INDEX(UWS!$G$10:$Z$41,MATCH($C376,UWS!$B$10:$B$41,0),MATCH(Z$4,UWS!$G$3:$Z$3,0)),0)</f>
        <v>0</v>
      </c>
      <c r="AA376">
        <f>IFERROR(INDEX(UWS!$G$10:$Z$41,MATCH($C376,UWS!$B$10:$B$41,0),MATCH(AA$4,UWS!$G$3:$Z$3,0)),0)</f>
        <v>0</v>
      </c>
      <c r="AB376">
        <f>IFERROR(INDEX(UWS!$G$10:$Z$41,MATCH($C376,UWS!$B$10:$B$41,0),MATCH(AB$4,UWS!$G$3:$Z$3,0)),0)</f>
        <v>0</v>
      </c>
      <c r="AC376">
        <f>IFERROR(INDEX(UWS!$G$10:$Z$41,MATCH($C376,UWS!$B$10:$B$41,0),MATCH(AC$4,UWS!$G$3:$Z$3,0)),0)</f>
        <v>0</v>
      </c>
      <c r="AD376">
        <f>IFERROR(INDEX(UWS!$G$10:$Z$41,MATCH($C376,UWS!$B$10:$B$41,0),MATCH(AD$4,UWS!$G$3:$Z$3,0)),0)</f>
        <v>0</v>
      </c>
      <c r="AE376">
        <f>IFERROR(INDEX(UWS!$G$10:$Z$41,MATCH($C376,UWS!$B$10:$B$41,0),MATCH(AE$4,UWS!$G$3:$Z$3,0)),0)</f>
        <v>0</v>
      </c>
      <c r="AF376">
        <f>IFERROR(INDEX(UWS!$G$10:$Z$41,MATCH($C376,UWS!$B$10:$B$41,0),MATCH(AF$4,UWS!$G$3:$Z$3,0)),0)</f>
        <v>0</v>
      </c>
      <c r="AG376">
        <f>IFERROR(INDEX(UWS!$G$10:$Z$41,MATCH($C376,UWS!$B$10:$B$41,0),MATCH(AG$4,UWS!$G$3:$Z$3,0)),0)</f>
        <v>0</v>
      </c>
      <c r="AH376">
        <f>IFERROR(INDEX(UWS!$G$10:$Z$41,MATCH($C376,UWS!$B$10:$B$41,0),MATCH(AH$4,UWS!$G$3:$Z$3,0)),0)</f>
        <v>0</v>
      </c>
      <c r="AI376">
        <f>IFERROR(INDEX(UWS!$G$10:$Z$41,MATCH($C376,UWS!$B$10:$B$41,0),MATCH(AI$4,UWS!$G$3:$Z$3,0)),0)</f>
        <v>0</v>
      </c>
      <c r="AK376" t="e">
        <f>IF(OR($J376=0,COUNTIFS($A$4:$A375,"&gt;="&amp;$A376-1,$A$4:$A375,"&lt;="&amp;$A376,$B$4:$B375,$B376)&gt;0,MIN(AK$1,IF($A376=$A375,AK375,1))-P376&lt;0),-1,MIN(1,IF($A376=$A375,AK375,1)-P376+$D$3))</f>
        <v>#N/A</v>
      </c>
      <c r="AL376" t="e">
        <f>IF(OR($J376=0,COUNTIFS($A$4:$A375,"&gt;="&amp;$A376-1,$A$4:$A375,"&lt;="&amp;$A376,$B$4:$B375,$B376)&gt;0,MIN(AL$1,IF($A376=$A375,AL375,1))-Q376&lt;0),-1,MIN(1,IF($A376=$A375,AL375,1)-Q376+$D$3))</f>
        <v>#N/A</v>
      </c>
      <c r="AM376" t="e">
        <f>IF(OR($J376=0,COUNTIFS($A$4:$A375,"&gt;="&amp;$A376-1,$A$4:$A375,"&lt;="&amp;$A376,$B$4:$B375,$B376)&gt;0,MIN(AM$1,IF($A376=$A375,AM375,1))-R376&lt;0),-1,MIN(1,IF($A376=$A375,AM375,1)-R376+$D$3))</f>
        <v>#N/A</v>
      </c>
      <c r="AN376" t="e">
        <f>IF(OR($J376=0,COUNTIFS($A$4:$A375,"&gt;="&amp;$A376-1,$A$4:$A375,"&lt;="&amp;$A376,$B$4:$B375,$B376)&gt;0,MIN(AN$1,IF($A376=$A375,AN375,1))-S376&lt;0),-1,MIN(1,IF($A376=$A375,AN375,1)-S376+$D$3))</f>
        <v>#N/A</v>
      </c>
      <c r="AO376" t="e">
        <f>IF(OR($J376=0,COUNTIFS($A$4:$A375,"&gt;="&amp;$A376-1,$A$4:$A375,"&lt;="&amp;$A376,$B$4:$B375,$B376)&gt;0,MIN(AO$1,IF($A376=$A375,AO375,1))-T376&lt;0),-1,MIN(1,IF($A376=$A375,AO375,1)-T376+$D$3))</f>
        <v>#N/A</v>
      </c>
      <c r="AP376" t="e">
        <f>IF(OR($J376=0,COUNTIFS($A$4:$A375,"&gt;="&amp;$A376-1,$A$4:$A375,"&lt;="&amp;$A376,$B$4:$B375,$B376)&gt;0,MIN(AP$1,IF($A376=$A375,AP375,1))-U376&lt;0),-1,MIN(1,IF($A376=$A375,AP375,1)-U376+$D$3))</f>
        <v>#N/A</v>
      </c>
      <c r="AQ376" t="e">
        <f>IF(OR($J376=0,COUNTIFS($A$4:$A375,"&gt;="&amp;$A376-1,$A$4:$A375,"&lt;="&amp;$A376,$B$4:$B375,$B376)&gt;0,MIN(AQ$1,IF($A376=$A375,AQ375,1))-V376&lt;0),-1,MIN(1,IF($A376=$A375,AQ375,1)-V376+$D$3))</f>
        <v>#N/A</v>
      </c>
      <c r="AR376" t="e">
        <f>IF(OR($J376=0,COUNTIFS($A$4:$A375,"&gt;="&amp;$A376-1,$A$4:$A375,"&lt;="&amp;$A376,$B$4:$B375,$B376)&gt;0,MIN(AR$1,IF($A376=$A375,AR375,1))-W376&lt;0),-1,MIN(1,IF($A376=$A375,AR375,1)-W376+$D$3))</f>
        <v>#N/A</v>
      </c>
      <c r="AS376" t="e">
        <f>IF(OR($J376=0,COUNTIFS($A$4:$A375,"&gt;="&amp;$A376-1,$A$4:$A375,"&lt;="&amp;$A376,$B$4:$B375,$B376)&gt;0,MIN(AS$1,IF($A376=$A375,AS375,1))-X376&lt;0),-1,MIN(1,IF($A376=$A375,AS375,1)-X376+$D$3))</f>
        <v>#N/A</v>
      </c>
      <c r="AT376" t="e">
        <f>IF(OR($J376=0,COUNTIFS($A$4:$A375,"&gt;="&amp;$A376-1,$A$4:$A375,"&lt;="&amp;$A376,$B$4:$B375,$B376)&gt;0,MIN(AT$1,IF($A376=$A375,AT375,1))-Y376&lt;0),-1,MIN(1,IF($A376=$A375,AT375,1)-Y376+$D$3))</f>
        <v>#N/A</v>
      </c>
      <c r="AU376" t="e">
        <f>IF(OR($J376=0,COUNTIFS($A$4:$A375,"&gt;="&amp;$A376-1,$A$4:$A375,"&lt;="&amp;$A376,$B$4:$B375,$B376)&gt;0,MIN(AU$1,IF($A376=$A375,AU375,1))-Z376&lt;0),-1,MIN(1,IF($A376=$A375,AU375,1)-Z376+$D$3))</f>
        <v>#N/A</v>
      </c>
      <c r="AV376" t="e">
        <f>IF(OR($J376=0,COUNTIFS($A$4:$A375,"&gt;="&amp;$A376-1,$A$4:$A375,"&lt;="&amp;$A376,$B$4:$B375,$B376)&gt;0,MIN(AV$1,IF($A376=$A375,AV375,1))-AA376&lt;0),-1,MIN(1,IF($A376=$A375,AV375,1)-AA376+$D$3))</f>
        <v>#N/A</v>
      </c>
      <c r="AW376" t="e">
        <f>IF(OR($J376=0,COUNTIFS($A$4:$A375,"&gt;="&amp;$A376-1,$A$4:$A375,"&lt;="&amp;$A376,$B$4:$B375,$B376)&gt;0,MIN(AW$1,IF($A376=$A375,AW375,1))-AB376&lt;0),-1,MIN(1,IF($A376=$A375,AW375,1)-AB376+$D$3))</f>
        <v>#N/A</v>
      </c>
      <c r="AX376" t="e">
        <f>IF(OR($J376=0,COUNTIFS($A$4:$A375,"&gt;="&amp;$A376-1,$A$4:$A375,"&lt;="&amp;$A376,$B$4:$B375,$B376)&gt;0,MIN(AX$1,IF($A376=$A375,AX375,1))-AC376&lt;0),-1,MIN(1,IF($A376=$A375,AX375,1)-AC376+$D$3))</f>
        <v>#N/A</v>
      </c>
      <c r="AY376" t="e">
        <f>IF(OR($J376=0,COUNTIFS($A$4:$A375,"&gt;="&amp;$A376-1,$A$4:$A375,"&lt;="&amp;$A376,$B$4:$B375,$B376)&gt;0,MIN(AY$1,IF($A376=$A375,AY375,1))-AD376&lt;0),-1,MIN(1,IF($A376=$A375,AY375,1)-AD376+$D$3))</f>
        <v>#N/A</v>
      </c>
      <c r="AZ376" t="e">
        <f>IF(OR($J376=0,COUNTIFS($A$4:$A375,"&gt;="&amp;$A376-1,$A$4:$A375,"&lt;="&amp;$A376,$B$4:$B375,$B376)&gt;0,MIN(AZ$1,IF($A376=$A375,AZ375,1))-AE376&lt;0),-1,MIN(1,IF($A376=$A375,AZ375,1)-AE376+$D$3))</f>
        <v>#N/A</v>
      </c>
      <c r="BA376" t="e">
        <f>IF(OR($J376=0,COUNTIFS($A$4:$A375,"&gt;="&amp;$A376-1,$A$4:$A375,"&lt;="&amp;$A376,$B$4:$B375,$B376)&gt;0,MIN(BA$1,IF($A376=$A375,BA375,1))-AF376&lt;0),-1,MIN(1,IF($A376=$A375,BA375,1)-AF376+$D$3))</f>
        <v>#N/A</v>
      </c>
      <c r="BB376" t="e">
        <f>IF(OR($J376=0,COUNTIFS($A$4:$A375,"&gt;="&amp;$A376-1,$A$4:$A375,"&lt;="&amp;$A376,$B$4:$B375,$B376)&gt;0,MIN(BB$1,IF($A376=$A375,BB375,1))-AG376&lt;0),-1,MIN(1,IF($A376=$A375,BB375,1)-AG376+$D$3))</f>
        <v>#N/A</v>
      </c>
      <c r="BC376" t="e">
        <f>IF(OR($J376=0,COUNTIFS($A$4:$A375,"&gt;="&amp;$A376-1,$A$4:$A375,"&lt;="&amp;$A376,$B$4:$B375,$B376)&gt;0,MIN(BC$1,IF($A376=$A375,BC375,1))-AH376&lt;0),-1,MIN(1,IF($A376=$A375,BC375,1)-AH376+$D$3))</f>
        <v>#N/A</v>
      </c>
      <c r="BD376" t="e">
        <f>IF(OR($J376=0,COUNTIFS($A$4:$A375,"&gt;="&amp;$A376-1,$A$4:$A375,"&lt;="&amp;$A376,$B$4:$B375,$B376)&gt;0,MIN(BD$1,IF($A376=$A375,BD375,1))-AI376&lt;0),-1,MIN(1,IF($A376=$A375,BD375,1)-AI376+$D$3))</f>
        <v>#N/A</v>
      </c>
      <c r="BF376" s="44">
        <f t="shared" si="399"/>
        <v>1.0951839264340252E-8</v>
      </c>
      <c r="BG376" s="44">
        <f t="shared" si="400"/>
        <v>2.6933663154830926E-8</v>
      </c>
      <c r="BH376" s="44">
        <f t="shared" si="401"/>
        <v>2.7604171589803816E-8</v>
      </c>
      <c r="BI376" s="44">
        <f t="shared" si="402"/>
        <v>2.5498590574257627E-8</v>
      </c>
      <c r="BJ376" s="44">
        <f t="shared" si="403"/>
        <v>2.6355214091664875E-8</v>
      </c>
      <c r="BK376" s="44">
        <f t="shared" si="404"/>
        <v>1.1317911583526166E-8</v>
      </c>
      <c r="BL376" s="44">
        <f t="shared" si="405"/>
        <v>6.1141138952684385E-9</v>
      </c>
      <c r="BM376" s="44">
        <f t="shared" si="406"/>
        <v>1.5553591773694175E-8</v>
      </c>
      <c r="BN376" s="44">
        <f t="shared" si="407"/>
        <v>1.6176947619744675E-8</v>
      </c>
      <c r="BO376" s="44">
        <f t="shared" si="408"/>
        <v>7.5811314993195653E-9</v>
      </c>
      <c r="BP376" s="44">
        <f t="shared" si="409"/>
        <v>2.5491385757347967E-8</v>
      </c>
      <c r="BQ376" s="44">
        <f t="shared" si="410"/>
        <v>6.8790697921089623E-9</v>
      </c>
      <c r="BR376" s="44">
        <f t="shared" si="411"/>
        <v>2.0322494177144504E-8</v>
      </c>
      <c r="BS376" s="44">
        <f t="shared" si="412"/>
        <v>1.0960190791545279E-8</v>
      </c>
      <c r="BT376" s="44">
        <f t="shared" si="413"/>
        <v>4.3372835098504358E-8</v>
      </c>
      <c r="BU376" s="44">
        <f t="shared" si="414"/>
        <v>4.1434108903975988E-8</v>
      </c>
      <c r="BV376" s="44">
        <f t="shared" si="415"/>
        <v>3.9791947373966406E-8</v>
      </c>
      <c r="BW376" s="44">
        <f t="shared" si="416"/>
        <v>2.6026123350040055E-8</v>
      </c>
      <c r="BX376" s="44">
        <f t="shared" si="417"/>
        <v>1.9227627316069198E-8</v>
      </c>
      <c r="BY376" s="44">
        <f t="shared" si="418"/>
        <v>1.6509128015669577E-8</v>
      </c>
      <c r="CA376" s="44" t="str">
        <f t="shared" si="419"/>
        <v/>
      </c>
      <c r="CB376" s="44" t="str">
        <f t="shared" si="420"/>
        <v/>
      </c>
      <c r="CC376" s="44" t="str">
        <f t="shared" si="421"/>
        <v/>
      </c>
      <c r="CD376" s="44" t="str">
        <f t="shared" si="422"/>
        <v/>
      </c>
      <c r="CE376" s="44" t="str">
        <f t="shared" si="423"/>
        <v/>
      </c>
      <c r="CF376" s="44" t="str">
        <f t="shared" si="424"/>
        <v/>
      </c>
      <c r="CG376" s="44" t="str">
        <f t="shared" si="425"/>
        <v/>
      </c>
      <c r="CH376" s="44" t="str">
        <f t="shared" si="426"/>
        <v/>
      </c>
      <c r="CI376" s="44" t="str">
        <f t="shared" si="427"/>
        <v/>
      </c>
      <c r="CJ376" s="44" t="str">
        <f t="shared" si="428"/>
        <v/>
      </c>
      <c r="CK376" s="44" t="str">
        <f t="shared" si="429"/>
        <v/>
      </c>
      <c r="CL376" s="44" t="str">
        <f t="shared" si="430"/>
        <v/>
      </c>
      <c r="CM376" s="44" t="str">
        <f t="shared" si="431"/>
        <v/>
      </c>
      <c r="CN376" s="44" t="str">
        <f t="shared" si="432"/>
        <v/>
      </c>
      <c r="CO376" s="44" t="str">
        <f t="shared" si="433"/>
        <v/>
      </c>
      <c r="CP376" s="44" t="str">
        <f t="shared" si="434"/>
        <v/>
      </c>
      <c r="CQ376" s="44" t="str">
        <f t="shared" si="435"/>
        <v/>
      </c>
      <c r="CR376" s="44" t="str">
        <f t="shared" si="436"/>
        <v/>
      </c>
      <c r="CS376" s="44" t="str">
        <f t="shared" si="437"/>
        <v/>
      </c>
      <c r="CT376" s="44" t="str">
        <f t="shared" si="438"/>
        <v/>
      </c>
      <c r="CV376" s="44">
        <f t="shared" si="439"/>
        <v>0</v>
      </c>
    </row>
    <row r="377" spans="1:100" x14ac:dyDescent="0.25">
      <c r="A377" s="41"/>
      <c r="B377" s="42"/>
      <c r="C377" s="43" t="str" cm="1">
        <f t="array" ref="C377">IF(B377="","",INDEX(UWS!$B$10:$B$41,B377))</f>
        <v/>
      </c>
      <c r="D377" s="40" t="str">
        <f t="shared" si="396"/>
        <v/>
      </c>
      <c r="E377" s="69" t="str">
        <f t="shared" si="397"/>
        <v/>
      </c>
      <c r="F377" s="48" cm="1">
        <f t="array" ref="F377">0.1+IFERROR(INDEX($F$5:$F376,SUMPRODUCT(MAX(ROW($C$5:$C376)*($C377=$C$5:$C376))-ROW($A$4)))*0.9^($A377-INDEX($A$5:A376,SUMPRODUCT(MAX(ROW($C$5:$C376)*($C377=$C$5:$C376))-ROW($A$4)))),0)</f>
        <v>31.200000000000173</v>
      </c>
      <c r="G377" s="55" t="e">
        <f>INDEX(UWS!$AB$10:$AB$41,MATCH(C377,UWS!$B$10:$B$41,0))</f>
        <v>#N/A</v>
      </c>
      <c r="H377" s="48" t="e">
        <f>INDEX(UWS!$C$10:$C$41,MATCH(C377,UWS!$B$10:$B$41,0))</f>
        <v>#N/A</v>
      </c>
      <c r="I377" s="27">
        <f t="shared" si="398"/>
        <v>5</v>
      </c>
      <c r="J377" s="27" t="e">
        <f>INDEX(UWS!$E$10:$E$41,MATCH(C377,UWS!$B$10:$B$41,0))</f>
        <v>#N/A</v>
      </c>
      <c r="L377" s="108" t="str" cm="1">
        <f t="array" ref="L377">IF(K377="","",INDEX(UWS!$B$10:$B$41,K377))</f>
        <v/>
      </c>
      <c r="N377" s="108" t="str" cm="1">
        <f t="array" ref="N377">IF(M377="","",INDEX(UWS!$B$10:$B$41,M377))</f>
        <v/>
      </c>
      <c r="P377">
        <f>IFERROR(INDEX(UWS!$G$10:$Z$41,MATCH($C377,UWS!$B$10:$B$41,0),MATCH(P$4,UWS!$G$3:$Z$3,0)),0)</f>
        <v>0</v>
      </c>
      <c r="Q377">
        <f>IFERROR(INDEX(UWS!$G$10:$Z$41,MATCH($C377,UWS!$B$10:$B$41,0),MATCH(Q$4,UWS!$G$3:$Z$3,0)),0)</f>
        <v>0</v>
      </c>
      <c r="R377">
        <f>IFERROR(INDEX(UWS!$G$10:$Z$41,MATCH($C377,UWS!$B$10:$B$41,0),MATCH(R$4,UWS!$G$3:$Z$3,0)),0)</f>
        <v>0</v>
      </c>
      <c r="S377">
        <f>IFERROR(INDEX(UWS!$G$10:$Z$41,MATCH($C377,UWS!$B$10:$B$41,0),MATCH(S$4,UWS!$G$3:$Z$3,0)),0)</f>
        <v>0</v>
      </c>
      <c r="T377">
        <f>IFERROR(INDEX(UWS!$G$10:$Z$41,MATCH($C377,UWS!$B$10:$B$41,0),MATCH(T$4,UWS!$G$3:$Z$3,0)),0)</f>
        <v>0</v>
      </c>
      <c r="U377">
        <f>IFERROR(INDEX(UWS!$G$10:$Z$41,MATCH($C377,UWS!$B$10:$B$41,0),MATCH(U$4,UWS!$G$3:$Z$3,0)),0)</f>
        <v>0</v>
      </c>
      <c r="V377">
        <f>IFERROR(INDEX(UWS!$G$10:$Z$41,MATCH($C377,UWS!$B$10:$B$41,0),MATCH(V$4,UWS!$G$3:$Z$3,0)),0)</f>
        <v>0</v>
      </c>
      <c r="W377">
        <f>IFERROR(INDEX(UWS!$G$10:$Z$41,MATCH($C377,UWS!$B$10:$B$41,0),MATCH(W$4,UWS!$G$3:$Z$3,0)),0)</f>
        <v>0</v>
      </c>
      <c r="X377">
        <f>IFERROR(INDEX(UWS!$G$10:$Z$41,MATCH($C377,UWS!$B$10:$B$41,0),MATCH(X$4,UWS!$G$3:$Z$3,0)),0)</f>
        <v>0</v>
      </c>
      <c r="Y377">
        <f>IFERROR(INDEX(UWS!$G$10:$Z$41,MATCH($C377,UWS!$B$10:$B$41,0),MATCH(Y$4,UWS!$G$3:$Z$3,0)),0)</f>
        <v>0</v>
      </c>
      <c r="Z377">
        <f>IFERROR(INDEX(UWS!$G$10:$Z$41,MATCH($C377,UWS!$B$10:$B$41,0),MATCH(Z$4,UWS!$G$3:$Z$3,0)),0)</f>
        <v>0</v>
      </c>
      <c r="AA377">
        <f>IFERROR(INDEX(UWS!$G$10:$Z$41,MATCH($C377,UWS!$B$10:$B$41,0),MATCH(AA$4,UWS!$G$3:$Z$3,0)),0)</f>
        <v>0</v>
      </c>
      <c r="AB377">
        <f>IFERROR(INDEX(UWS!$G$10:$Z$41,MATCH($C377,UWS!$B$10:$B$41,0),MATCH(AB$4,UWS!$G$3:$Z$3,0)),0)</f>
        <v>0</v>
      </c>
      <c r="AC377">
        <f>IFERROR(INDEX(UWS!$G$10:$Z$41,MATCH($C377,UWS!$B$10:$B$41,0),MATCH(AC$4,UWS!$G$3:$Z$3,0)),0)</f>
        <v>0</v>
      </c>
      <c r="AD377">
        <f>IFERROR(INDEX(UWS!$G$10:$Z$41,MATCH($C377,UWS!$B$10:$B$41,0),MATCH(AD$4,UWS!$G$3:$Z$3,0)),0)</f>
        <v>0</v>
      </c>
      <c r="AE377">
        <f>IFERROR(INDEX(UWS!$G$10:$Z$41,MATCH($C377,UWS!$B$10:$B$41,0),MATCH(AE$4,UWS!$G$3:$Z$3,0)),0)</f>
        <v>0</v>
      </c>
      <c r="AF377">
        <f>IFERROR(INDEX(UWS!$G$10:$Z$41,MATCH($C377,UWS!$B$10:$B$41,0),MATCH(AF$4,UWS!$G$3:$Z$3,0)),0)</f>
        <v>0</v>
      </c>
      <c r="AG377">
        <f>IFERROR(INDEX(UWS!$G$10:$Z$41,MATCH($C377,UWS!$B$10:$B$41,0),MATCH(AG$4,UWS!$G$3:$Z$3,0)),0)</f>
        <v>0</v>
      </c>
      <c r="AH377">
        <f>IFERROR(INDEX(UWS!$G$10:$Z$41,MATCH($C377,UWS!$B$10:$B$41,0),MATCH(AH$4,UWS!$G$3:$Z$3,0)),0)</f>
        <v>0</v>
      </c>
      <c r="AI377">
        <f>IFERROR(INDEX(UWS!$G$10:$Z$41,MATCH($C377,UWS!$B$10:$B$41,0),MATCH(AI$4,UWS!$G$3:$Z$3,0)),0)</f>
        <v>0</v>
      </c>
      <c r="AK377" t="e">
        <f>IF(OR($J377=0,COUNTIFS($A$4:$A376,"&gt;="&amp;$A377-1,$A$4:$A376,"&lt;="&amp;$A377,$B$4:$B376,$B377)&gt;0,MIN(AK$1,IF($A377=$A376,AK376,1))-P377&lt;0),-1,MIN(1,IF($A377=$A376,AK376,1)-P377+$D$3))</f>
        <v>#N/A</v>
      </c>
      <c r="AL377" t="e">
        <f>IF(OR($J377=0,COUNTIFS($A$4:$A376,"&gt;="&amp;$A377-1,$A$4:$A376,"&lt;="&amp;$A377,$B$4:$B376,$B377)&gt;0,MIN(AL$1,IF($A377=$A376,AL376,1))-Q377&lt;0),-1,MIN(1,IF($A377=$A376,AL376,1)-Q377+$D$3))</f>
        <v>#N/A</v>
      </c>
      <c r="AM377" t="e">
        <f>IF(OR($J377=0,COUNTIFS($A$4:$A376,"&gt;="&amp;$A377-1,$A$4:$A376,"&lt;="&amp;$A377,$B$4:$B376,$B377)&gt;0,MIN(AM$1,IF($A377=$A376,AM376,1))-R377&lt;0),-1,MIN(1,IF($A377=$A376,AM376,1)-R377+$D$3))</f>
        <v>#N/A</v>
      </c>
      <c r="AN377" t="e">
        <f>IF(OR($J377=0,COUNTIFS($A$4:$A376,"&gt;="&amp;$A377-1,$A$4:$A376,"&lt;="&amp;$A377,$B$4:$B376,$B377)&gt;0,MIN(AN$1,IF($A377=$A376,AN376,1))-S377&lt;0),-1,MIN(1,IF($A377=$A376,AN376,1)-S377+$D$3))</f>
        <v>#N/A</v>
      </c>
      <c r="AO377" t="e">
        <f>IF(OR($J377=0,COUNTIFS($A$4:$A376,"&gt;="&amp;$A377-1,$A$4:$A376,"&lt;="&amp;$A377,$B$4:$B376,$B377)&gt;0,MIN(AO$1,IF($A377=$A376,AO376,1))-T377&lt;0),-1,MIN(1,IF($A377=$A376,AO376,1)-T377+$D$3))</f>
        <v>#N/A</v>
      </c>
      <c r="AP377" t="e">
        <f>IF(OR($J377=0,COUNTIFS($A$4:$A376,"&gt;="&amp;$A377-1,$A$4:$A376,"&lt;="&amp;$A377,$B$4:$B376,$B377)&gt;0,MIN(AP$1,IF($A377=$A376,AP376,1))-U377&lt;0),-1,MIN(1,IF($A377=$A376,AP376,1)-U377+$D$3))</f>
        <v>#N/A</v>
      </c>
      <c r="AQ377" t="e">
        <f>IF(OR($J377=0,COUNTIFS($A$4:$A376,"&gt;="&amp;$A377-1,$A$4:$A376,"&lt;="&amp;$A377,$B$4:$B376,$B377)&gt;0,MIN(AQ$1,IF($A377=$A376,AQ376,1))-V377&lt;0),-1,MIN(1,IF($A377=$A376,AQ376,1)-V377+$D$3))</f>
        <v>#N/A</v>
      </c>
      <c r="AR377" t="e">
        <f>IF(OR($J377=0,COUNTIFS($A$4:$A376,"&gt;="&amp;$A377-1,$A$4:$A376,"&lt;="&amp;$A377,$B$4:$B376,$B377)&gt;0,MIN(AR$1,IF($A377=$A376,AR376,1))-W377&lt;0),-1,MIN(1,IF($A377=$A376,AR376,1)-W377+$D$3))</f>
        <v>#N/A</v>
      </c>
      <c r="AS377" t="e">
        <f>IF(OR($J377=0,COUNTIFS($A$4:$A376,"&gt;="&amp;$A377-1,$A$4:$A376,"&lt;="&amp;$A377,$B$4:$B376,$B377)&gt;0,MIN(AS$1,IF($A377=$A376,AS376,1))-X377&lt;0),-1,MIN(1,IF($A377=$A376,AS376,1)-X377+$D$3))</f>
        <v>#N/A</v>
      </c>
      <c r="AT377" t="e">
        <f>IF(OR($J377=0,COUNTIFS($A$4:$A376,"&gt;="&amp;$A377-1,$A$4:$A376,"&lt;="&amp;$A377,$B$4:$B376,$B377)&gt;0,MIN(AT$1,IF($A377=$A376,AT376,1))-Y377&lt;0),-1,MIN(1,IF($A377=$A376,AT376,1)-Y377+$D$3))</f>
        <v>#N/A</v>
      </c>
      <c r="AU377" t="e">
        <f>IF(OR($J377=0,COUNTIFS($A$4:$A376,"&gt;="&amp;$A377-1,$A$4:$A376,"&lt;="&amp;$A377,$B$4:$B376,$B377)&gt;0,MIN(AU$1,IF($A377=$A376,AU376,1))-Z377&lt;0),-1,MIN(1,IF($A377=$A376,AU376,1)-Z377+$D$3))</f>
        <v>#N/A</v>
      </c>
      <c r="AV377" t="e">
        <f>IF(OR($J377=0,COUNTIFS($A$4:$A376,"&gt;="&amp;$A377-1,$A$4:$A376,"&lt;="&amp;$A377,$B$4:$B376,$B377)&gt;0,MIN(AV$1,IF($A377=$A376,AV376,1))-AA377&lt;0),-1,MIN(1,IF($A377=$A376,AV376,1)-AA377+$D$3))</f>
        <v>#N/A</v>
      </c>
      <c r="AW377" t="e">
        <f>IF(OR($J377=0,COUNTIFS($A$4:$A376,"&gt;="&amp;$A377-1,$A$4:$A376,"&lt;="&amp;$A377,$B$4:$B376,$B377)&gt;0,MIN(AW$1,IF($A377=$A376,AW376,1))-AB377&lt;0),-1,MIN(1,IF($A377=$A376,AW376,1)-AB377+$D$3))</f>
        <v>#N/A</v>
      </c>
      <c r="AX377" t="e">
        <f>IF(OR($J377=0,COUNTIFS($A$4:$A376,"&gt;="&amp;$A377-1,$A$4:$A376,"&lt;="&amp;$A377,$B$4:$B376,$B377)&gt;0,MIN(AX$1,IF($A377=$A376,AX376,1))-AC377&lt;0),-1,MIN(1,IF($A377=$A376,AX376,1)-AC377+$D$3))</f>
        <v>#N/A</v>
      </c>
      <c r="AY377" t="e">
        <f>IF(OR($J377=0,COUNTIFS($A$4:$A376,"&gt;="&amp;$A377-1,$A$4:$A376,"&lt;="&amp;$A377,$B$4:$B376,$B377)&gt;0,MIN(AY$1,IF($A377=$A376,AY376,1))-AD377&lt;0),-1,MIN(1,IF($A377=$A376,AY376,1)-AD377+$D$3))</f>
        <v>#N/A</v>
      </c>
      <c r="AZ377" t="e">
        <f>IF(OR($J377=0,COUNTIFS($A$4:$A376,"&gt;="&amp;$A377-1,$A$4:$A376,"&lt;="&amp;$A377,$B$4:$B376,$B377)&gt;0,MIN(AZ$1,IF($A377=$A376,AZ376,1))-AE377&lt;0),-1,MIN(1,IF($A377=$A376,AZ376,1)-AE377+$D$3))</f>
        <v>#N/A</v>
      </c>
      <c r="BA377" t="e">
        <f>IF(OR($J377=0,COUNTIFS($A$4:$A376,"&gt;="&amp;$A377-1,$A$4:$A376,"&lt;="&amp;$A377,$B$4:$B376,$B377)&gt;0,MIN(BA$1,IF($A377=$A376,BA376,1))-AF377&lt;0),-1,MIN(1,IF($A377=$A376,BA376,1)-AF377+$D$3))</f>
        <v>#N/A</v>
      </c>
      <c r="BB377" t="e">
        <f>IF(OR($J377=0,COUNTIFS($A$4:$A376,"&gt;="&amp;$A377-1,$A$4:$A376,"&lt;="&amp;$A377,$B$4:$B376,$B377)&gt;0,MIN(BB$1,IF($A377=$A376,BB376,1))-AG377&lt;0),-1,MIN(1,IF($A377=$A376,BB376,1)-AG377+$D$3))</f>
        <v>#N/A</v>
      </c>
      <c r="BC377" t="e">
        <f>IF(OR($J377=0,COUNTIFS($A$4:$A376,"&gt;="&amp;$A377-1,$A$4:$A376,"&lt;="&amp;$A377,$B$4:$B376,$B377)&gt;0,MIN(BC$1,IF($A377=$A376,BC376,1))-AH377&lt;0),-1,MIN(1,IF($A377=$A376,BC376,1)-AH377+$D$3))</f>
        <v>#N/A</v>
      </c>
      <c r="BD377" t="e">
        <f>IF(OR($J377=0,COUNTIFS($A$4:$A376,"&gt;="&amp;$A377-1,$A$4:$A376,"&lt;="&amp;$A377,$B$4:$B376,$B377)&gt;0,MIN(BD$1,IF($A377=$A376,BD376,1))-AI377&lt;0),-1,MIN(1,IF($A377=$A376,BD376,1)-AI377+$D$3))</f>
        <v>#N/A</v>
      </c>
      <c r="BF377" s="44">
        <f t="shared" si="399"/>
        <v>1.0404247301123238E-8</v>
      </c>
      <c r="BG377" s="44">
        <f t="shared" si="400"/>
        <v>2.5586979997089379E-8</v>
      </c>
      <c r="BH377" s="44">
        <f t="shared" si="401"/>
        <v>2.6223963010313624E-8</v>
      </c>
      <c r="BI377" s="44">
        <f t="shared" si="402"/>
        <v>2.4223661045544743E-8</v>
      </c>
      <c r="BJ377" s="44">
        <f t="shared" si="403"/>
        <v>2.5037453387081629E-8</v>
      </c>
      <c r="BK377" s="44">
        <f t="shared" si="404"/>
        <v>1.0752016004349858E-8</v>
      </c>
      <c r="BL377" s="44">
        <f t="shared" si="405"/>
        <v>5.8084082005050161E-9</v>
      </c>
      <c r="BM377" s="44">
        <f t="shared" si="406"/>
        <v>1.4775912185009465E-8</v>
      </c>
      <c r="BN377" s="44">
        <f t="shared" si="407"/>
        <v>1.536810023875744E-8</v>
      </c>
      <c r="BO377" s="44">
        <f t="shared" si="408"/>
        <v>7.2020749243535865E-9</v>
      </c>
      <c r="BP377" s="44">
        <f t="shared" si="409"/>
        <v>2.4216816469480566E-8</v>
      </c>
      <c r="BQ377" s="44">
        <f t="shared" si="410"/>
        <v>6.5351163025035135E-9</v>
      </c>
      <c r="BR377" s="44">
        <f t="shared" si="411"/>
        <v>1.9306369468287276E-8</v>
      </c>
      <c r="BS377" s="44">
        <f t="shared" si="412"/>
        <v>1.0412181251968015E-8</v>
      </c>
      <c r="BT377" s="44">
        <f t="shared" si="413"/>
        <v>4.1204193343579137E-8</v>
      </c>
      <c r="BU377" s="44">
        <f t="shared" si="414"/>
        <v>3.9362403458777189E-8</v>
      </c>
      <c r="BV377" s="44">
        <f t="shared" si="415"/>
        <v>3.7802350005268084E-8</v>
      </c>
      <c r="BW377" s="44">
        <f t="shared" si="416"/>
        <v>2.4724817182538051E-8</v>
      </c>
      <c r="BX377" s="44">
        <f t="shared" si="417"/>
        <v>1.8266245950265738E-8</v>
      </c>
      <c r="BY377" s="44">
        <f t="shared" si="418"/>
        <v>1.5683671614886099E-8</v>
      </c>
      <c r="CA377" s="44" t="str">
        <f t="shared" si="419"/>
        <v/>
      </c>
      <c r="CB377" s="44" t="str">
        <f t="shared" si="420"/>
        <v/>
      </c>
      <c r="CC377" s="44" t="str">
        <f t="shared" si="421"/>
        <v/>
      </c>
      <c r="CD377" s="44" t="str">
        <f t="shared" si="422"/>
        <v/>
      </c>
      <c r="CE377" s="44" t="str">
        <f t="shared" si="423"/>
        <v/>
      </c>
      <c r="CF377" s="44" t="str">
        <f t="shared" si="424"/>
        <v/>
      </c>
      <c r="CG377" s="44" t="str">
        <f t="shared" si="425"/>
        <v/>
      </c>
      <c r="CH377" s="44" t="str">
        <f t="shared" si="426"/>
        <v/>
      </c>
      <c r="CI377" s="44" t="str">
        <f t="shared" si="427"/>
        <v/>
      </c>
      <c r="CJ377" s="44" t="str">
        <f t="shared" si="428"/>
        <v/>
      </c>
      <c r="CK377" s="44" t="str">
        <f t="shared" si="429"/>
        <v/>
      </c>
      <c r="CL377" s="44" t="str">
        <f t="shared" si="430"/>
        <v/>
      </c>
      <c r="CM377" s="44" t="str">
        <f t="shared" si="431"/>
        <v/>
      </c>
      <c r="CN377" s="44" t="str">
        <f t="shared" si="432"/>
        <v/>
      </c>
      <c r="CO377" s="44" t="str">
        <f t="shared" si="433"/>
        <v/>
      </c>
      <c r="CP377" s="44" t="str">
        <f t="shared" si="434"/>
        <v/>
      </c>
      <c r="CQ377" s="44" t="str">
        <f t="shared" si="435"/>
        <v/>
      </c>
      <c r="CR377" s="44" t="str">
        <f t="shared" si="436"/>
        <v/>
      </c>
      <c r="CS377" s="44" t="str">
        <f t="shared" si="437"/>
        <v/>
      </c>
      <c r="CT377" s="44" t="str">
        <f t="shared" si="438"/>
        <v/>
      </c>
      <c r="CV377" s="44">
        <f t="shared" si="439"/>
        <v>0</v>
      </c>
    </row>
    <row r="378" spans="1:100" x14ac:dyDescent="0.25">
      <c r="A378" s="41"/>
      <c r="B378" s="42"/>
      <c r="C378" s="43" t="str" cm="1">
        <f t="array" ref="C378">IF(B378="","",INDEX(UWS!$B$10:$B$41,B378))</f>
        <v/>
      </c>
      <c r="D378" s="40" t="str">
        <f t="shared" si="396"/>
        <v/>
      </c>
      <c r="E378" s="69" t="str">
        <f t="shared" si="397"/>
        <v/>
      </c>
      <c r="F378" s="48" cm="1">
        <f t="array" ref="F378">0.1+IFERROR(INDEX($F$5:$F377,SUMPRODUCT(MAX(ROW($C$5:$C377)*($C378=$C$5:$C377))-ROW($A$4)))*0.9^($A378-INDEX($A$5:A377,SUMPRODUCT(MAX(ROW($C$5:$C377)*($C378=$C$5:$C377))-ROW($A$4)))),0)</f>
        <v>31.300000000000175</v>
      </c>
      <c r="G378" s="55" t="e">
        <f>INDEX(UWS!$AB$10:$AB$41,MATCH(C378,UWS!$B$10:$B$41,0))</f>
        <v>#N/A</v>
      </c>
      <c r="H378" s="48" t="e">
        <f>INDEX(UWS!$C$10:$C$41,MATCH(C378,UWS!$B$10:$B$41,0))</f>
        <v>#N/A</v>
      </c>
      <c r="I378" s="27">
        <f t="shared" si="398"/>
        <v>5</v>
      </c>
      <c r="J378" s="27" t="e">
        <f>INDEX(UWS!$E$10:$E$41,MATCH(C378,UWS!$B$10:$B$41,0))</f>
        <v>#N/A</v>
      </c>
      <c r="L378" s="108" t="str" cm="1">
        <f t="array" ref="L378">IF(K378="","",INDEX(UWS!$B$10:$B$41,K378))</f>
        <v/>
      </c>
      <c r="N378" s="108" t="str" cm="1">
        <f t="array" ref="N378">IF(M378="","",INDEX(UWS!$B$10:$B$41,M378))</f>
        <v/>
      </c>
      <c r="P378">
        <f>IFERROR(INDEX(UWS!$G$10:$Z$41,MATCH($C378,UWS!$B$10:$B$41,0),MATCH(P$4,UWS!$G$3:$Z$3,0)),0)</f>
        <v>0</v>
      </c>
      <c r="Q378">
        <f>IFERROR(INDEX(UWS!$G$10:$Z$41,MATCH($C378,UWS!$B$10:$B$41,0),MATCH(Q$4,UWS!$G$3:$Z$3,0)),0)</f>
        <v>0</v>
      </c>
      <c r="R378">
        <f>IFERROR(INDEX(UWS!$G$10:$Z$41,MATCH($C378,UWS!$B$10:$B$41,0),MATCH(R$4,UWS!$G$3:$Z$3,0)),0)</f>
        <v>0</v>
      </c>
      <c r="S378">
        <f>IFERROR(INDEX(UWS!$G$10:$Z$41,MATCH($C378,UWS!$B$10:$B$41,0),MATCH(S$4,UWS!$G$3:$Z$3,0)),0)</f>
        <v>0</v>
      </c>
      <c r="T378">
        <f>IFERROR(INDEX(UWS!$G$10:$Z$41,MATCH($C378,UWS!$B$10:$B$41,0),MATCH(T$4,UWS!$G$3:$Z$3,0)),0)</f>
        <v>0</v>
      </c>
      <c r="U378">
        <f>IFERROR(INDEX(UWS!$G$10:$Z$41,MATCH($C378,UWS!$B$10:$B$41,0),MATCH(U$4,UWS!$G$3:$Z$3,0)),0)</f>
        <v>0</v>
      </c>
      <c r="V378">
        <f>IFERROR(INDEX(UWS!$G$10:$Z$41,MATCH($C378,UWS!$B$10:$B$41,0),MATCH(V$4,UWS!$G$3:$Z$3,0)),0)</f>
        <v>0</v>
      </c>
      <c r="W378">
        <f>IFERROR(INDEX(UWS!$G$10:$Z$41,MATCH($C378,UWS!$B$10:$B$41,0),MATCH(W$4,UWS!$G$3:$Z$3,0)),0)</f>
        <v>0</v>
      </c>
      <c r="X378">
        <f>IFERROR(INDEX(UWS!$G$10:$Z$41,MATCH($C378,UWS!$B$10:$B$41,0),MATCH(X$4,UWS!$G$3:$Z$3,0)),0)</f>
        <v>0</v>
      </c>
      <c r="Y378">
        <f>IFERROR(INDEX(UWS!$G$10:$Z$41,MATCH($C378,UWS!$B$10:$B$41,0),MATCH(Y$4,UWS!$G$3:$Z$3,0)),0)</f>
        <v>0</v>
      </c>
      <c r="Z378">
        <f>IFERROR(INDEX(UWS!$G$10:$Z$41,MATCH($C378,UWS!$B$10:$B$41,0),MATCH(Z$4,UWS!$G$3:$Z$3,0)),0)</f>
        <v>0</v>
      </c>
      <c r="AA378">
        <f>IFERROR(INDEX(UWS!$G$10:$Z$41,MATCH($C378,UWS!$B$10:$B$41,0),MATCH(AA$4,UWS!$G$3:$Z$3,0)),0)</f>
        <v>0</v>
      </c>
      <c r="AB378">
        <f>IFERROR(INDEX(UWS!$G$10:$Z$41,MATCH($C378,UWS!$B$10:$B$41,0),MATCH(AB$4,UWS!$G$3:$Z$3,0)),0)</f>
        <v>0</v>
      </c>
      <c r="AC378">
        <f>IFERROR(INDEX(UWS!$G$10:$Z$41,MATCH($C378,UWS!$B$10:$B$41,0),MATCH(AC$4,UWS!$G$3:$Z$3,0)),0)</f>
        <v>0</v>
      </c>
      <c r="AD378">
        <f>IFERROR(INDEX(UWS!$G$10:$Z$41,MATCH($C378,UWS!$B$10:$B$41,0),MATCH(AD$4,UWS!$G$3:$Z$3,0)),0)</f>
        <v>0</v>
      </c>
      <c r="AE378">
        <f>IFERROR(INDEX(UWS!$G$10:$Z$41,MATCH($C378,UWS!$B$10:$B$41,0),MATCH(AE$4,UWS!$G$3:$Z$3,0)),0)</f>
        <v>0</v>
      </c>
      <c r="AF378">
        <f>IFERROR(INDEX(UWS!$G$10:$Z$41,MATCH($C378,UWS!$B$10:$B$41,0),MATCH(AF$4,UWS!$G$3:$Z$3,0)),0)</f>
        <v>0</v>
      </c>
      <c r="AG378">
        <f>IFERROR(INDEX(UWS!$G$10:$Z$41,MATCH($C378,UWS!$B$10:$B$41,0),MATCH(AG$4,UWS!$G$3:$Z$3,0)),0)</f>
        <v>0</v>
      </c>
      <c r="AH378">
        <f>IFERROR(INDEX(UWS!$G$10:$Z$41,MATCH($C378,UWS!$B$10:$B$41,0),MATCH(AH$4,UWS!$G$3:$Z$3,0)),0)</f>
        <v>0</v>
      </c>
      <c r="AI378">
        <f>IFERROR(INDEX(UWS!$G$10:$Z$41,MATCH($C378,UWS!$B$10:$B$41,0),MATCH(AI$4,UWS!$G$3:$Z$3,0)),0)</f>
        <v>0</v>
      </c>
      <c r="AK378" t="e">
        <f>IF(OR($J378=0,COUNTIFS($A$4:$A377,"&gt;="&amp;$A378-1,$A$4:$A377,"&lt;="&amp;$A378,$B$4:$B377,$B378)&gt;0,MIN(AK$1,IF($A378=$A377,AK377,1))-P378&lt;0),-1,MIN(1,IF($A378=$A377,AK377,1)-P378+$D$3))</f>
        <v>#N/A</v>
      </c>
      <c r="AL378" t="e">
        <f>IF(OR($J378=0,COUNTIFS($A$4:$A377,"&gt;="&amp;$A378-1,$A$4:$A377,"&lt;="&amp;$A378,$B$4:$B377,$B378)&gt;0,MIN(AL$1,IF($A378=$A377,AL377,1))-Q378&lt;0),-1,MIN(1,IF($A378=$A377,AL377,1)-Q378+$D$3))</f>
        <v>#N/A</v>
      </c>
      <c r="AM378" t="e">
        <f>IF(OR($J378=0,COUNTIFS($A$4:$A377,"&gt;="&amp;$A378-1,$A$4:$A377,"&lt;="&amp;$A378,$B$4:$B377,$B378)&gt;0,MIN(AM$1,IF($A378=$A377,AM377,1))-R378&lt;0),-1,MIN(1,IF($A378=$A377,AM377,1)-R378+$D$3))</f>
        <v>#N/A</v>
      </c>
      <c r="AN378" t="e">
        <f>IF(OR($J378=0,COUNTIFS($A$4:$A377,"&gt;="&amp;$A378-1,$A$4:$A377,"&lt;="&amp;$A378,$B$4:$B377,$B378)&gt;0,MIN(AN$1,IF($A378=$A377,AN377,1))-S378&lt;0),-1,MIN(1,IF($A378=$A377,AN377,1)-S378+$D$3))</f>
        <v>#N/A</v>
      </c>
      <c r="AO378" t="e">
        <f>IF(OR($J378=0,COUNTIFS($A$4:$A377,"&gt;="&amp;$A378-1,$A$4:$A377,"&lt;="&amp;$A378,$B$4:$B377,$B378)&gt;0,MIN(AO$1,IF($A378=$A377,AO377,1))-T378&lt;0),-1,MIN(1,IF($A378=$A377,AO377,1)-T378+$D$3))</f>
        <v>#N/A</v>
      </c>
      <c r="AP378" t="e">
        <f>IF(OR($J378=0,COUNTIFS($A$4:$A377,"&gt;="&amp;$A378-1,$A$4:$A377,"&lt;="&amp;$A378,$B$4:$B377,$B378)&gt;0,MIN(AP$1,IF($A378=$A377,AP377,1))-U378&lt;0),-1,MIN(1,IF($A378=$A377,AP377,1)-U378+$D$3))</f>
        <v>#N/A</v>
      </c>
      <c r="AQ378" t="e">
        <f>IF(OR($J378=0,COUNTIFS($A$4:$A377,"&gt;="&amp;$A378-1,$A$4:$A377,"&lt;="&amp;$A378,$B$4:$B377,$B378)&gt;0,MIN(AQ$1,IF($A378=$A377,AQ377,1))-V378&lt;0),-1,MIN(1,IF($A378=$A377,AQ377,1)-V378+$D$3))</f>
        <v>#N/A</v>
      </c>
      <c r="AR378" t="e">
        <f>IF(OR($J378=0,COUNTIFS($A$4:$A377,"&gt;="&amp;$A378-1,$A$4:$A377,"&lt;="&amp;$A378,$B$4:$B377,$B378)&gt;0,MIN(AR$1,IF($A378=$A377,AR377,1))-W378&lt;0),-1,MIN(1,IF($A378=$A377,AR377,1)-W378+$D$3))</f>
        <v>#N/A</v>
      </c>
      <c r="AS378" t="e">
        <f>IF(OR($J378=0,COUNTIFS($A$4:$A377,"&gt;="&amp;$A378-1,$A$4:$A377,"&lt;="&amp;$A378,$B$4:$B377,$B378)&gt;0,MIN(AS$1,IF($A378=$A377,AS377,1))-X378&lt;0),-1,MIN(1,IF($A378=$A377,AS377,1)-X378+$D$3))</f>
        <v>#N/A</v>
      </c>
      <c r="AT378" t="e">
        <f>IF(OR($J378=0,COUNTIFS($A$4:$A377,"&gt;="&amp;$A378-1,$A$4:$A377,"&lt;="&amp;$A378,$B$4:$B377,$B378)&gt;0,MIN(AT$1,IF($A378=$A377,AT377,1))-Y378&lt;0),-1,MIN(1,IF($A378=$A377,AT377,1)-Y378+$D$3))</f>
        <v>#N/A</v>
      </c>
      <c r="AU378" t="e">
        <f>IF(OR($J378=0,COUNTIFS($A$4:$A377,"&gt;="&amp;$A378-1,$A$4:$A377,"&lt;="&amp;$A378,$B$4:$B377,$B378)&gt;0,MIN(AU$1,IF($A378=$A377,AU377,1))-Z378&lt;0),-1,MIN(1,IF($A378=$A377,AU377,1)-Z378+$D$3))</f>
        <v>#N/A</v>
      </c>
      <c r="AV378" t="e">
        <f>IF(OR($J378=0,COUNTIFS($A$4:$A377,"&gt;="&amp;$A378-1,$A$4:$A377,"&lt;="&amp;$A378,$B$4:$B377,$B378)&gt;0,MIN(AV$1,IF($A378=$A377,AV377,1))-AA378&lt;0),-1,MIN(1,IF($A378=$A377,AV377,1)-AA378+$D$3))</f>
        <v>#N/A</v>
      </c>
      <c r="AW378" t="e">
        <f>IF(OR($J378=0,COUNTIFS($A$4:$A377,"&gt;="&amp;$A378-1,$A$4:$A377,"&lt;="&amp;$A378,$B$4:$B377,$B378)&gt;0,MIN(AW$1,IF($A378=$A377,AW377,1))-AB378&lt;0),-1,MIN(1,IF($A378=$A377,AW377,1)-AB378+$D$3))</f>
        <v>#N/A</v>
      </c>
      <c r="AX378" t="e">
        <f>IF(OR($J378=0,COUNTIFS($A$4:$A377,"&gt;="&amp;$A378-1,$A$4:$A377,"&lt;="&amp;$A378,$B$4:$B377,$B378)&gt;0,MIN(AX$1,IF($A378=$A377,AX377,1))-AC378&lt;0),-1,MIN(1,IF($A378=$A377,AX377,1)-AC378+$D$3))</f>
        <v>#N/A</v>
      </c>
      <c r="AY378" t="e">
        <f>IF(OR($J378=0,COUNTIFS($A$4:$A377,"&gt;="&amp;$A378-1,$A$4:$A377,"&lt;="&amp;$A378,$B$4:$B377,$B378)&gt;0,MIN(AY$1,IF($A378=$A377,AY377,1))-AD378&lt;0),-1,MIN(1,IF($A378=$A377,AY377,1)-AD378+$D$3))</f>
        <v>#N/A</v>
      </c>
      <c r="AZ378" t="e">
        <f>IF(OR($J378=0,COUNTIFS($A$4:$A377,"&gt;="&amp;$A378-1,$A$4:$A377,"&lt;="&amp;$A378,$B$4:$B377,$B378)&gt;0,MIN(AZ$1,IF($A378=$A377,AZ377,1))-AE378&lt;0),-1,MIN(1,IF($A378=$A377,AZ377,1)-AE378+$D$3))</f>
        <v>#N/A</v>
      </c>
      <c r="BA378" t="e">
        <f>IF(OR($J378=0,COUNTIFS($A$4:$A377,"&gt;="&amp;$A378-1,$A$4:$A377,"&lt;="&amp;$A378,$B$4:$B377,$B378)&gt;0,MIN(BA$1,IF($A378=$A377,BA377,1))-AF378&lt;0),-1,MIN(1,IF($A378=$A377,BA377,1)-AF378+$D$3))</f>
        <v>#N/A</v>
      </c>
      <c r="BB378" t="e">
        <f>IF(OR($J378=0,COUNTIFS($A$4:$A377,"&gt;="&amp;$A378-1,$A$4:$A377,"&lt;="&amp;$A378,$B$4:$B377,$B378)&gt;0,MIN(BB$1,IF($A378=$A377,BB377,1))-AG378&lt;0),-1,MIN(1,IF($A378=$A377,BB377,1)-AG378+$D$3))</f>
        <v>#N/A</v>
      </c>
      <c r="BC378" t="e">
        <f>IF(OR($J378=0,COUNTIFS($A$4:$A377,"&gt;="&amp;$A378-1,$A$4:$A377,"&lt;="&amp;$A378,$B$4:$B377,$B378)&gt;0,MIN(BC$1,IF($A378=$A377,BC377,1))-AH378&lt;0),-1,MIN(1,IF($A378=$A377,BC377,1)-AH378+$D$3))</f>
        <v>#N/A</v>
      </c>
      <c r="BD378" t="e">
        <f>IF(OR($J378=0,COUNTIFS($A$4:$A377,"&gt;="&amp;$A378-1,$A$4:$A377,"&lt;="&amp;$A378,$B$4:$B377,$B378)&gt;0,MIN(BD$1,IF($A378=$A377,BD377,1))-AI378&lt;0),-1,MIN(1,IF($A378=$A377,BD377,1)-AI378+$D$3))</f>
        <v>#N/A</v>
      </c>
      <c r="BF378" s="44">
        <f t="shared" si="399"/>
        <v>9.8840349360670754E-9</v>
      </c>
      <c r="BG378" s="44">
        <f t="shared" si="400"/>
        <v>2.430763099723491E-8</v>
      </c>
      <c r="BH378" s="44">
        <f t="shared" si="401"/>
        <v>2.4912764859797943E-8</v>
      </c>
      <c r="BI378" s="44">
        <f t="shared" si="402"/>
        <v>2.3012477993267506E-8</v>
      </c>
      <c r="BJ378" s="44">
        <f t="shared" si="403"/>
        <v>2.3785580717727548E-8</v>
      </c>
      <c r="BK378" s="44">
        <f t="shared" si="404"/>
        <v>1.0214415204132364E-8</v>
      </c>
      <c r="BL378" s="44">
        <f t="shared" si="405"/>
        <v>5.5179877904797653E-9</v>
      </c>
      <c r="BM378" s="44">
        <f t="shared" si="406"/>
        <v>1.4037116575758992E-8</v>
      </c>
      <c r="BN378" s="44">
        <f t="shared" si="407"/>
        <v>1.4599695226819567E-8</v>
      </c>
      <c r="BO378" s="44">
        <f t="shared" si="408"/>
        <v>6.8419711781359067E-9</v>
      </c>
      <c r="BP378" s="44">
        <f t="shared" si="409"/>
        <v>2.3005975646006538E-8</v>
      </c>
      <c r="BQ378" s="44">
        <f t="shared" si="410"/>
        <v>6.2083604873783372E-9</v>
      </c>
      <c r="BR378" s="44">
        <f t="shared" si="411"/>
        <v>1.8341050994872911E-8</v>
      </c>
      <c r="BS378" s="44">
        <f t="shared" si="412"/>
        <v>9.8915721893696135E-9</v>
      </c>
      <c r="BT378" s="44">
        <f t="shared" si="413"/>
        <v>3.9143983676400179E-8</v>
      </c>
      <c r="BU378" s="44">
        <f t="shared" si="414"/>
        <v>3.7394283285838327E-8</v>
      </c>
      <c r="BV378" s="44">
        <f t="shared" si="415"/>
        <v>3.5912232505004675E-8</v>
      </c>
      <c r="BW378" s="44">
        <f t="shared" si="416"/>
        <v>2.3488576323411149E-8</v>
      </c>
      <c r="BX378" s="44">
        <f t="shared" si="417"/>
        <v>1.735293365275245E-8</v>
      </c>
      <c r="BY378" s="44">
        <f t="shared" si="418"/>
        <v>1.4899488034141794E-8</v>
      </c>
      <c r="CA378" s="44" t="str">
        <f t="shared" si="419"/>
        <v/>
      </c>
      <c r="CB378" s="44" t="str">
        <f t="shared" si="420"/>
        <v/>
      </c>
      <c r="CC378" s="44" t="str">
        <f t="shared" si="421"/>
        <v/>
      </c>
      <c r="CD378" s="44" t="str">
        <f t="shared" si="422"/>
        <v/>
      </c>
      <c r="CE378" s="44" t="str">
        <f t="shared" si="423"/>
        <v/>
      </c>
      <c r="CF378" s="44" t="str">
        <f t="shared" si="424"/>
        <v/>
      </c>
      <c r="CG378" s="44" t="str">
        <f t="shared" si="425"/>
        <v/>
      </c>
      <c r="CH378" s="44" t="str">
        <f t="shared" si="426"/>
        <v/>
      </c>
      <c r="CI378" s="44" t="str">
        <f t="shared" si="427"/>
        <v/>
      </c>
      <c r="CJ378" s="44" t="str">
        <f t="shared" si="428"/>
        <v/>
      </c>
      <c r="CK378" s="44" t="str">
        <f t="shared" si="429"/>
        <v/>
      </c>
      <c r="CL378" s="44" t="str">
        <f t="shared" si="430"/>
        <v/>
      </c>
      <c r="CM378" s="44" t="str">
        <f t="shared" si="431"/>
        <v/>
      </c>
      <c r="CN378" s="44" t="str">
        <f t="shared" si="432"/>
        <v/>
      </c>
      <c r="CO378" s="44" t="str">
        <f t="shared" si="433"/>
        <v/>
      </c>
      <c r="CP378" s="44" t="str">
        <f t="shared" si="434"/>
        <v/>
      </c>
      <c r="CQ378" s="44" t="str">
        <f t="shared" si="435"/>
        <v/>
      </c>
      <c r="CR378" s="44" t="str">
        <f t="shared" si="436"/>
        <v/>
      </c>
      <c r="CS378" s="44" t="str">
        <f t="shared" si="437"/>
        <v/>
      </c>
      <c r="CT378" s="44" t="str">
        <f t="shared" si="438"/>
        <v/>
      </c>
      <c r="CV378" s="44">
        <f t="shared" si="439"/>
        <v>0</v>
      </c>
    </row>
    <row r="379" spans="1:100" x14ac:dyDescent="0.25">
      <c r="A379" s="41"/>
      <c r="B379" s="42"/>
      <c r="C379" s="43" t="str" cm="1">
        <f t="array" ref="C379">IF(B379="","",INDEX(UWS!$B$10:$B$41,B379))</f>
        <v/>
      </c>
      <c r="D379" s="40" t="str">
        <f t="shared" si="396"/>
        <v/>
      </c>
      <c r="E379" s="69" t="str">
        <f t="shared" si="397"/>
        <v/>
      </c>
      <c r="F379" s="48" cm="1">
        <f t="array" ref="F379">0.1+IFERROR(INDEX($F$5:$F378,SUMPRODUCT(MAX(ROW($C$5:$C378)*($C379=$C$5:$C378))-ROW($A$4)))*0.9^($A379-INDEX($A$5:A378,SUMPRODUCT(MAX(ROW($C$5:$C378)*($C379=$C$5:$C378))-ROW($A$4)))),0)</f>
        <v>31.400000000000176</v>
      </c>
      <c r="G379" s="55" t="e">
        <f>INDEX(UWS!$AB$10:$AB$41,MATCH(C379,UWS!$B$10:$B$41,0))</f>
        <v>#N/A</v>
      </c>
      <c r="H379" s="48" t="e">
        <f>INDEX(UWS!$C$10:$C$41,MATCH(C379,UWS!$B$10:$B$41,0))</f>
        <v>#N/A</v>
      </c>
      <c r="I379" s="27">
        <f t="shared" si="398"/>
        <v>5</v>
      </c>
      <c r="J379" s="27" t="e">
        <f>INDEX(UWS!$E$10:$E$41,MATCH(C379,UWS!$B$10:$B$41,0))</f>
        <v>#N/A</v>
      </c>
      <c r="L379" s="108" t="str" cm="1">
        <f t="array" ref="L379">IF(K379="","",INDEX(UWS!$B$10:$B$41,K379))</f>
        <v/>
      </c>
      <c r="N379" s="108" t="str" cm="1">
        <f t="array" ref="N379">IF(M379="","",INDEX(UWS!$B$10:$B$41,M379))</f>
        <v/>
      </c>
      <c r="P379">
        <f>IFERROR(INDEX(UWS!$G$10:$Z$41,MATCH($C379,UWS!$B$10:$B$41,0),MATCH(P$4,UWS!$G$3:$Z$3,0)),0)</f>
        <v>0</v>
      </c>
      <c r="Q379">
        <f>IFERROR(INDEX(UWS!$G$10:$Z$41,MATCH($C379,UWS!$B$10:$B$41,0),MATCH(Q$4,UWS!$G$3:$Z$3,0)),0)</f>
        <v>0</v>
      </c>
      <c r="R379">
        <f>IFERROR(INDEX(UWS!$G$10:$Z$41,MATCH($C379,UWS!$B$10:$B$41,0),MATCH(R$4,UWS!$G$3:$Z$3,0)),0)</f>
        <v>0</v>
      </c>
      <c r="S379">
        <f>IFERROR(INDEX(UWS!$G$10:$Z$41,MATCH($C379,UWS!$B$10:$B$41,0),MATCH(S$4,UWS!$G$3:$Z$3,0)),0)</f>
        <v>0</v>
      </c>
      <c r="T379">
        <f>IFERROR(INDEX(UWS!$G$10:$Z$41,MATCH($C379,UWS!$B$10:$B$41,0),MATCH(T$4,UWS!$G$3:$Z$3,0)),0)</f>
        <v>0</v>
      </c>
      <c r="U379">
        <f>IFERROR(INDEX(UWS!$G$10:$Z$41,MATCH($C379,UWS!$B$10:$B$41,0),MATCH(U$4,UWS!$G$3:$Z$3,0)),0)</f>
        <v>0</v>
      </c>
      <c r="V379">
        <f>IFERROR(INDEX(UWS!$G$10:$Z$41,MATCH($C379,UWS!$B$10:$B$41,0),MATCH(V$4,UWS!$G$3:$Z$3,0)),0)</f>
        <v>0</v>
      </c>
      <c r="W379">
        <f>IFERROR(INDEX(UWS!$G$10:$Z$41,MATCH($C379,UWS!$B$10:$B$41,0),MATCH(W$4,UWS!$G$3:$Z$3,0)),0)</f>
        <v>0</v>
      </c>
      <c r="X379">
        <f>IFERROR(INDEX(UWS!$G$10:$Z$41,MATCH($C379,UWS!$B$10:$B$41,0),MATCH(X$4,UWS!$G$3:$Z$3,0)),0)</f>
        <v>0</v>
      </c>
      <c r="Y379">
        <f>IFERROR(INDEX(UWS!$G$10:$Z$41,MATCH($C379,UWS!$B$10:$B$41,0),MATCH(Y$4,UWS!$G$3:$Z$3,0)),0)</f>
        <v>0</v>
      </c>
      <c r="Z379">
        <f>IFERROR(INDEX(UWS!$G$10:$Z$41,MATCH($C379,UWS!$B$10:$B$41,0),MATCH(Z$4,UWS!$G$3:$Z$3,0)),0)</f>
        <v>0</v>
      </c>
      <c r="AA379">
        <f>IFERROR(INDEX(UWS!$G$10:$Z$41,MATCH($C379,UWS!$B$10:$B$41,0),MATCH(AA$4,UWS!$G$3:$Z$3,0)),0)</f>
        <v>0</v>
      </c>
      <c r="AB379">
        <f>IFERROR(INDEX(UWS!$G$10:$Z$41,MATCH($C379,UWS!$B$10:$B$41,0),MATCH(AB$4,UWS!$G$3:$Z$3,0)),0)</f>
        <v>0</v>
      </c>
      <c r="AC379">
        <f>IFERROR(INDEX(UWS!$G$10:$Z$41,MATCH($C379,UWS!$B$10:$B$41,0),MATCH(AC$4,UWS!$G$3:$Z$3,0)),0)</f>
        <v>0</v>
      </c>
      <c r="AD379">
        <f>IFERROR(INDEX(UWS!$G$10:$Z$41,MATCH($C379,UWS!$B$10:$B$41,0),MATCH(AD$4,UWS!$G$3:$Z$3,0)),0)</f>
        <v>0</v>
      </c>
      <c r="AE379">
        <f>IFERROR(INDEX(UWS!$G$10:$Z$41,MATCH($C379,UWS!$B$10:$B$41,0),MATCH(AE$4,UWS!$G$3:$Z$3,0)),0)</f>
        <v>0</v>
      </c>
      <c r="AF379">
        <f>IFERROR(INDEX(UWS!$G$10:$Z$41,MATCH($C379,UWS!$B$10:$B$41,0),MATCH(AF$4,UWS!$G$3:$Z$3,0)),0)</f>
        <v>0</v>
      </c>
      <c r="AG379">
        <f>IFERROR(INDEX(UWS!$G$10:$Z$41,MATCH($C379,UWS!$B$10:$B$41,0),MATCH(AG$4,UWS!$G$3:$Z$3,0)),0)</f>
        <v>0</v>
      </c>
      <c r="AH379">
        <f>IFERROR(INDEX(UWS!$G$10:$Z$41,MATCH($C379,UWS!$B$10:$B$41,0),MATCH(AH$4,UWS!$G$3:$Z$3,0)),0)</f>
        <v>0</v>
      </c>
      <c r="AI379">
        <f>IFERROR(INDEX(UWS!$G$10:$Z$41,MATCH($C379,UWS!$B$10:$B$41,0),MATCH(AI$4,UWS!$G$3:$Z$3,0)),0)</f>
        <v>0</v>
      </c>
      <c r="AK379" t="e">
        <f>IF(OR($J379=0,COUNTIFS($A$4:$A378,"&gt;="&amp;$A379-1,$A$4:$A378,"&lt;="&amp;$A379,$B$4:$B378,$B379)&gt;0,MIN(AK$1,IF($A379=$A378,AK378,1))-P379&lt;0),-1,MIN(1,IF($A379=$A378,AK378,1)-P379+$D$3))</f>
        <v>#N/A</v>
      </c>
      <c r="AL379" t="e">
        <f>IF(OR($J379=0,COUNTIFS($A$4:$A378,"&gt;="&amp;$A379-1,$A$4:$A378,"&lt;="&amp;$A379,$B$4:$B378,$B379)&gt;0,MIN(AL$1,IF($A379=$A378,AL378,1))-Q379&lt;0),-1,MIN(1,IF($A379=$A378,AL378,1)-Q379+$D$3))</f>
        <v>#N/A</v>
      </c>
      <c r="AM379" t="e">
        <f>IF(OR($J379=0,COUNTIFS($A$4:$A378,"&gt;="&amp;$A379-1,$A$4:$A378,"&lt;="&amp;$A379,$B$4:$B378,$B379)&gt;0,MIN(AM$1,IF($A379=$A378,AM378,1))-R379&lt;0),-1,MIN(1,IF($A379=$A378,AM378,1)-R379+$D$3))</f>
        <v>#N/A</v>
      </c>
      <c r="AN379" t="e">
        <f>IF(OR($J379=0,COUNTIFS($A$4:$A378,"&gt;="&amp;$A379-1,$A$4:$A378,"&lt;="&amp;$A379,$B$4:$B378,$B379)&gt;0,MIN(AN$1,IF($A379=$A378,AN378,1))-S379&lt;0),-1,MIN(1,IF($A379=$A378,AN378,1)-S379+$D$3))</f>
        <v>#N/A</v>
      </c>
      <c r="AO379" t="e">
        <f>IF(OR($J379=0,COUNTIFS($A$4:$A378,"&gt;="&amp;$A379-1,$A$4:$A378,"&lt;="&amp;$A379,$B$4:$B378,$B379)&gt;0,MIN(AO$1,IF($A379=$A378,AO378,1))-T379&lt;0),-1,MIN(1,IF($A379=$A378,AO378,1)-T379+$D$3))</f>
        <v>#N/A</v>
      </c>
      <c r="AP379" t="e">
        <f>IF(OR($J379=0,COUNTIFS($A$4:$A378,"&gt;="&amp;$A379-1,$A$4:$A378,"&lt;="&amp;$A379,$B$4:$B378,$B379)&gt;0,MIN(AP$1,IF($A379=$A378,AP378,1))-U379&lt;0),-1,MIN(1,IF($A379=$A378,AP378,1)-U379+$D$3))</f>
        <v>#N/A</v>
      </c>
      <c r="AQ379" t="e">
        <f>IF(OR($J379=0,COUNTIFS($A$4:$A378,"&gt;="&amp;$A379-1,$A$4:$A378,"&lt;="&amp;$A379,$B$4:$B378,$B379)&gt;0,MIN(AQ$1,IF($A379=$A378,AQ378,1))-V379&lt;0),-1,MIN(1,IF($A379=$A378,AQ378,1)-V379+$D$3))</f>
        <v>#N/A</v>
      </c>
      <c r="AR379" t="e">
        <f>IF(OR($J379=0,COUNTIFS($A$4:$A378,"&gt;="&amp;$A379-1,$A$4:$A378,"&lt;="&amp;$A379,$B$4:$B378,$B379)&gt;0,MIN(AR$1,IF($A379=$A378,AR378,1))-W379&lt;0),-1,MIN(1,IF($A379=$A378,AR378,1)-W379+$D$3))</f>
        <v>#N/A</v>
      </c>
      <c r="AS379" t="e">
        <f>IF(OR($J379=0,COUNTIFS($A$4:$A378,"&gt;="&amp;$A379-1,$A$4:$A378,"&lt;="&amp;$A379,$B$4:$B378,$B379)&gt;0,MIN(AS$1,IF($A379=$A378,AS378,1))-X379&lt;0),-1,MIN(1,IF($A379=$A378,AS378,1)-X379+$D$3))</f>
        <v>#N/A</v>
      </c>
      <c r="AT379" t="e">
        <f>IF(OR($J379=0,COUNTIFS($A$4:$A378,"&gt;="&amp;$A379-1,$A$4:$A378,"&lt;="&amp;$A379,$B$4:$B378,$B379)&gt;0,MIN(AT$1,IF($A379=$A378,AT378,1))-Y379&lt;0),-1,MIN(1,IF($A379=$A378,AT378,1)-Y379+$D$3))</f>
        <v>#N/A</v>
      </c>
      <c r="AU379" t="e">
        <f>IF(OR($J379=0,COUNTIFS($A$4:$A378,"&gt;="&amp;$A379-1,$A$4:$A378,"&lt;="&amp;$A379,$B$4:$B378,$B379)&gt;0,MIN(AU$1,IF($A379=$A378,AU378,1))-Z379&lt;0),-1,MIN(1,IF($A379=$A378,AU378,1)-Z379+$D$3))</f>
        <v>#N/A</v>
      </c>
      <c r="AV379" t="e">
        <f>IF(OR($J379=0,COUNTIFS($A$4:$A378,"&gt;="&amp;$A379-1,$A$4:$A378,"&lt;="&amp;$A379,$B$4:$B378,$B379)&gt;0,MIN(AV$1,IF($A379=$A378,AV378,1))-AA379&lt;0),-1,MIN(1,IF($A379=$A378,AV378,1)-AA379+$D$3))</f>
        <v>#N/A</v>
      </c>
      <c r="AW379" t="e">
        <f>IF(OR($J379=0,COUNTIFS($A$4:$A378,"&gt;="&amp;$A379-1,$A$4:$A378,"&lt;="&amp;$A379,$B$4:$B378,$B379)&gt;0,MIN(AW$1,IF($A379=$A378,AW378,1))-AB379&lt;0),-1,MIN(1,IF($A379=$A378,AW378,1)-AB379+$D$3))</f>
        <v>#N/A</v>
      </c>
      <c r="AX379" t="e">
        <f>IF(OR($J379=0,COUNTIFS($A$4:$A378,"&gt;="&amp;$A379-1,$A$4:$A378,"&lt;="&amp;$A379,$B$4:$B378,$B379)&gt;0,MIN(AX$1,IF($A379=$A378,AX378,1))-AC379&lt;0),-1,MIN(1,IF($A379=$A378,AX378,1)-AC379+$D$3))</f>
        <v>#N/A</v>
      </c>
      <c r="AY379" t="e">
        <f>IF(OR($J379=0,COUNTIFS($A$4:$A378,"&gt;="&amp;$A379-1,$A$4:$A378,"&lt;="&amp;$A379,$B$4:$B378,$B379)&gt;0,MIN(AY$1,IF($A379=$A378,AY378,1))-AD379&lt;0),-1,MIN(1,IF($A379=$A378,AY378,1)-AD379+$D$3))</f>
        <v>#N/A</v>
      </c>
      <c r="AZ379" t="e">
        <f>IF(OR($J379=0,COUNTIFS($A$4:$A378,"&gt;="&amp;$A379-1,$A$4:$A378,"&lt;="&amp;$A379,$B$4:$B378,$B379)&gt;0,MIN(AZ$1,IF($A379=$A378,AZ378,1))-AE379&lt;0),-1,MIN(1,IF($A379=$A378,AZ378,1)-AE379+$D$3))</f>
        <v>#N/A</v>
      </c>
      <c r="BA379" t="e">
        <f>IF(OR($J379=0,COUNTIFS($A$4:$A378,"&gt;="&amp;$A379-1,$A$4:$A378,"&lt;="&amp;$A379,$B$4:$B378,$B379)&gt;0,MIN(BA$1,IF($A379=$A378,BA378,1))-AF379&lt;0),-1,MIN(1,IF($A379=$A378,BA378,1)-AF379+$D$3))</f>
        <v>#N/A</v>
      </c>
      <c r="BB379" t="e">
        <f>IF(OR($J379=0,COUNTIFS($A$4:$A378,"&gt;="&amp;$A379-1,$A$4:$A378,"&lt;="&amp;$A379,$B$4:$B378,$B379)&gt;0,MIN(BB$1,IF($A379=$A378,BB378,1))-AG379&lt;0),-1,MIN(1,IF($A379=$A378,BB378,1)-AG379+$D$3))</f>
        <v>#N/A</v>
      </c>
      <c r="BC379" t="e">
        <f>IF(OR($J379=0,COUNTIFS($A$4:$A378,"&gt;="&amp;$A379-1,$A$4:$A378,"&lt;="&amp;$A379,$B$4:$B378,$B379)&gt;0,MIN(BC$1,IF($A379=$A378,BC378,1))-AH379&lt;0),-1,MIN(1,IF($A379=$A378,BC378,1)-AH379+$D$3))</f>
        <v>#N/A</v>
      </c>
      <c r="BD379" t="e">
        <f>IF(OR($J379=0,COUNTIFS($A$4:$A378,"&gt;="&amp;$A379-1,$A$4:$A378,"&lt;="&amp;$A379,$B$4:$B378,$B379)&gt;0,MIN(BD$1,IF($A379=$A378,BD378,1))-AI379&lt;0),-1,MIN(1,IF($A379=$A378,BD378,1)-AI379+$D$3))</f>
        <v>#N/A</v>
      </c>
      <c r="BF379" s="44">
        <f t="shared" si="399"/>
        <v>9.3898331892637215E-9</v>
      </c>
      <c r="BG379" s="44">
        <f t="shared" si="400"/>
        <v>2.3092249447373162E-8</v>
      </c>
      <c r="BH379" s="44">
        <f t="shared" si="401"/>
        <v>2.3667126616808045E-8</v>
      </c>
      <c r="BI379" s="44">
        <f t="shared" si="402"/>
        <v>2.1861854093604129E-8</v>
      </c>
      <c r="BJ379" s="44">
        <f t="shared" si="403"/>
        <v>2.259630168184117E-8</v>
      </c>
      <c r="BK379" s="44">
        <f t="shared" si="404"/>
        <v>9.7036944439257462E-9</v>
      </c>
      <c r="BL379" s="44">
        <f t="shared" si="405"/>
        <v>5.2420884009557765E-9</v>
      </c>
      <c r="BM379" s="44">
        <f t="shared" si="406"/>
        <v>1.3335260746971041E-8</v>
      </c>
      <c r="BN379" s="44">
        <f t="shared" si="407"/>
        <v>1.3869710465478588E-8</v>
      </c>
      <c r="BO379" s="44">
        <f t="shared" si="408"/>
        <v>6.4998726192291114E-9</v>
      </c>
      <c r="BP379" s="44">
        <f t="shared" si="409"/>
        <v>2.1855676863706212E-8</v>
      </c>
      <c r="BQ379" s="44">
        <f t="shared" si="410"/>
        <v>5.8979424630094202E-9</v>
      </c>
      <c r="BR379" s="44">
        <f t="shared" si="411"/>
        <v>1.7423998445129264E-8</v>
      </c>
      <c r="BS379" s="44">
        <f t="shared" si="412"/>
        <v>9.3969935799011317E-9</v>
      </c>
      <c r="BT379" s="44">
        <f t="shared" si="413"/>
        <v>3.718678449258017E-8</v>
      </c>
      <c r="BU379" s="44">
        <f t="shared" si="414"/>
        <v>3.5524569121546409E-8</v>
      </c>
      <c r="BV379" s="44">
        <f t="shared" si="415"/>
        <v>3.4116620879754437E-8</v>
      </c>
      <c r="BW379" s="44">
        <f t="shared" si="416"/>
        <v>2.2314147507240589E-8</v>
      </c>
      <c r="BX379" s="44">
        <f t="shared" si="417"/>
        <v>1.6485286970114825E-8</v>
      </c>
      <c r="BY379" s="44">
        <f t="shared" si="418"/>
        <v>1.4154513632434704E-8</v>
      </c>
      <c r="CA379" s="44" t="str">
        <f t="shared" si="419"/>
        <v/>
      </c>
      <c r="CB379" s="44" t="str">
        <f t="shared" si="420"/>
        <v/>
      </c>
      <c r="CC379" s="44" t="str">
        <f t="shared" si="421"/>
        <v/>
      </c>
      <c r="CD379" s="44" t="str">
        <f t="shared" si="422"/>
        <v/>
      </c>
      <c r="CE379" s="44" t="str">
        <f t="shared" si="423"/>
        <v/>
      </c>
      <c r="CF379" s="44" t="str">
        <f t="shared" si="424"/>
        <v/>
      </c>
      <c r="CG379" s="44" t="str">
        <f t="shared" si="425"/>
        <v/>
      </c>
      <c r="CH379" s="44" t="str">
        <f t="shared" si="426"/>
        <v/>
      </c>
      <c r="CI379" s="44" t="str">
        <f t="shared" si="427"/>
        <v/>
      </c>
      <c r="CJ379" s="44" t="str">
        <f t="shared" si="428"/>
        <v/>
      </c>
      <c r="CK379" s="44" t="str">
        <f t="shared" si="429"/>
        <v/>
      </c>
      <c r="CL379" s="44" t="str">
        <f t="shared" si="430"/>
        <v/>
      </c>
      <c r="CM379" s="44" t="str">
        <f t="shared" si="431"/>
        <v/>
      </c>
      <c r="CN379" s="44" t="str">
        <f t="shared" si="432"/>
        <v/>
      </c>
      <c r="CO379" s="44" t="str">
        <f t="shared" si="433"/>
        <v/>
      </c>
      <c r="CP379" s="44" t="str">
        <f t="shared" si="434"/>
        <v/>
      </c>
      <c r="CQ379" s="44" t="str">
        <f t="shared" si="435"/>
        <v/>
      </c>
      <c r="CR379" s="44" t="str">
        <f t="shared" si="436"/>
        <v/>
      </c>
      <c r="CS379" s="44" t="str">
        <f t="shared" si="437"/>
        <v/>
      </c>
      <c r="CT379" s="44" t="str">
        <f t="shared" si="438"/>
        <v/>
      </c>
      <c r="CV379" s="44">
        <f t="shared" si="439"/>
        <v>0</v>
      </c>
    </row>
    <row r="380" spans="1:100" x14ac:dyDescent="0.25">
      <c r="A380" s="49"/>
      <c r="B380" s="50"/>
      <c r="C380" s="51" t="str" cm="1">
        <f t="array" ref="C380">IF(B380="","",INDEX(UWS!$B$10:$B$41,B380))</f>
        <v/>
      </c>
      <c r="D380" s="45" t="str">
        <f t="shared" si="396"/>
        <v/>
      </c>
      <c r="E380" s="70" t="str">
        <f t="shared" si="397"/>
        <v/>
      </c>
      <c r="F380" s="52" cm="1">
        <f t="array" ref="F380">0.1+IFERROR(INDEX($F$5:$F379,SUMPRODUCT(MAX(ROW($C$5:$C379)*($C380=$C$5:$C379))-ROW($A$4)))*0.9^($A380-INDEX($A$5:A379,SUMPRODUCT(MAX(ROW($C$5:$C379)*($C380=$C$5:$C379))-ROW($A$4)))),0)</f>
        <v>31.500000000000178</v>
      </c>
      <c r="G380" s="56" t="e">
        <f>INDEX(UWS!$AB$10:$AB$41,MATCH(C380,UWS!$B$10:$B$41,0))</f>
        <v>#N/A</v>
      </c>
      <c r="H380" s="52" t="e">
        <f>INDEX(UWS!$C$10:$C$41,MATCH(C380,UWS!$B$10:$B$41,0))</f>
        <v>#N/A</v>
      </c>
      <c r="I380" s="46">
        <f t="shared" si="398"/>
        <v>5</v>
      </c>
      <c r="J380" s="46" t="e">
        <f>INDEX(UWS!$E$10:$E$41,MATCH(C380,UWS!$B$10:$B$41,0))</f>
        <v>#N/A</v>
      </c>
      <c r="K380" s="46"/>
      <c r="L380" s="109" t="str" cm="1">
        <f t="array" ref="L380">IF(K380="","",INDEX(UWS!$B$10:$B$41,K380))</f>
        <v/>
      </c>
      <c r="M380" s="46"/>
      <c r="N380" s="109" t="str" cm="1">
        <f t="array" ref="N380">IF(M380="","",INDEX(UWS!$B$10:$B$41,M380))</f>
        <v/>
      </c>
      <c r="O380" s="47"/>
      <c r="P380" s="47">
        <f>IFERROR(INDEX(UWS!$G$10:$Z$41,MATCH($C380,UWS!$B$10:$B$41,0),MATCH(P$4,UWS!$G$3:$Z$3,0)),0)</f>
        <v>0</v>
      </c>
      <c r="Q380" s="47">
        <f>IFERROR(INDEX(UWS!$G$10:$Z$41,MATCH($C380,UWS!$B$10:$B$41,0),MATCH(Q$4,UWS!$G$3:$Z$3,0)),0)</f>
        <v>0</v>
      </c>
      <c r="R380" s="47">
        <f>IFERROR(INDEX(UWS!$G$10:$Z$41,MATCH($C380,UWS!$B$10:$B$41,0),MATCH(R$4,UWS!$G$3:$Z$3,0)),0)</f>
        <v>0</v>
      </c>
      <c r="S380" s="47">
        <f>IFERROR(INDEX(UWS!$G$10:$Z$41,MATCH($C380,UWS!$B$10:$B$41,0),MATCH(S$4,UWS!$G$3:$Z$3,0)),0)</f>
        <v>0</v>
      </c>
      <c r="T380" s="47">
        <f>IFERROR(INDEX(UWS!$G$10:$Z$41,MATCH($C380,UWS!$B$10:$B$41,0),MATCH(T$4,UWS!$G$3:$Z$3,0)),0)</f>
        <v>0</v>
      </c>
      <c r="U380" s="47">
        <f>IFERROR(INDEX(UWS!$G$10:$Z$41,MATCH($C380,UWS!$B$10:$B$41,0),MATCH(U$4,UWS!$G$3:$Z$3,0)),0)</f>
        <v>0</v>
      </c>
      <c r="V380" s="47">
        <f>IFERROR(INDEX(UWS!$G$10:$Z$41,MATCH($C380,UWS!$B$10:$B$41,0),MATCH(V$4,UWS!$G$3:$Z$3,0)),0)</f>
        <v>0</v>
      </c>
      <c r="W380" s="47">
        <f>IFERROR(INDEX(UWS!$G$10:$Z$41,MATCH($C380,UWS!$B$10:$B$41,0),MATCH(W$4,UWS!$G$3:$Z$3,0)),0)</f>
        <v>0</v>
      </c>
      <c r="X380" s="47">
        <f>IFERROR(INDEX(UWS!$G$10:$Z$41,MATCH($C380,UWS!$B$10:$B$41,0),MATCH(X$4,UWS!$G$3:$Z$3,0)),0)</f>
        <v>0</v>
      </c>
      <c r="Y380" s="47">
        <f>IFERROR(INDEX(UWS!$G$10:$Z$41,MATCH($C380,UWS!$B$10:$B$41,0),MATCH(Y$4,UWS!$G$3:$Z$3,0)),0)</f>
        <v>0</v>
      </c>
      <c r="Z380" s="47">
        <f>IFERROR(INDEX(UWS!$G$10:$Z$41,MATCH($C380,UWS!$B$10:$B$41,0),MATCH(Z$4,UWS!$G$3:$Z$3,0)),0)</f>
        <v>0</v>
      </c>
      <c r="AA380" s="47">
        <f>IFERROR(INDEX(UWS!$G$10:$Z$41,MATCH($C380,UWS!$B$10:$B$41,0),MATCH(AA$4,UWS!$G$3:$Z$3,0)),0)</f>
        <v>0</v>
      </c>
      <c r="AB380" s="47">
        <f>IFERROR(INDEX(UWS!$G$10:$Z$41,MATCH($C380,UWS!$B$10:$B$41,0),MATCH(AB$4,UWS!$G$3:$Z$3,0)),0)</f>
        <v>0</v>
      </c>
      <c r="AC380" s="47">
        <f>IFERROR(INDEX(UWS!$G$10:$Z$41,MATCH($C380,UWS!$B$10:$B$41,0),MATCH(AC$4,UWS!$G$3:$Z$3,0)),0)</f>
        <v>0</v>
      </c>
      <c r="AD380" s="47">
        <f>IFERROR(INDEX(UWS!$G$10:$Z$41,MATCH($C380,UWS!$B$10:$B$41,0),MATCH(AD$4,UWS!$G$3:$Z$3,0)),0)</f>
        <v>0</v>
      </c>
      <c r="AE380" s="47">
        <f>IFERROR(INDEX(UWS!$G$10:$Z$41,MATCH($C380,UWS!$B$10:$B$41,0),MATCH(AE$4,UWS!$G$3:$Z$3,0)),0)</f>
        <v>0</v>
      </c>
      <c r="AF380" s="47">
        <f>IFERROR(INDEX(UWS!$G$10:$Z$41,MATCH($C380,UWS!$B$10:$B$41,0),MATCH(AF$4,UWS!$G$3:$Z$3,0)),0)</f>
        <v>0</v>
      </c>
      <c r="AG380" s="47">
        <f>IFERROR(INDEX(UWS!$G$10:$Z$41,MATCH($C380,UWS!$B$10:$B$41,0),MATCH(AG$4,UWS!$G$3:$Z$3,0)),0)</f>
        <v>0</v>
      </c>
      <c r="AH380" s="47">
        <f>IFERROR(INDEX(UWS!$G$10:$Z$41,MATCH($C380,UWS!$B$10:$B$41,0),MATCH(AH$4,UWS!$G$3:$Z$3,0)),0)</f>
        <v>0</v>
      </c>
      <c r="AI380" s="47">
        <f>IFERROR(INDEX(UWS!$G$10:$Z$41,MATCH($C380,UWS!$B$10:$B$41,0),MATCH(AI$4,UWS!$G$3:$Z$3,0)),0)</f>
        <v>0</v>
      </c>
      <c r="AJ380" s="47"/>
      <c r="AK380" s="47" t="e">
        <f>IF(OR($J380=0,COUNTIFS($A$4:$A379,"&gt;="&amp;$A380-1,$A$4:$A379,"&lt;="&amp;$A380,$B$4:$B379,$B380)&gt;0,MIN(AK$1,IF($A380=$A379,AK379,1))-P380&lt;0),-1,MIN(1,IF($A380=$A379,AK379,1)-P380+$D$3))</f>
        <v>#N/A</v>
      </c>
      <c r="AL380" s="47" t="e">
        <f>IF(OR($J380=0,COUNTIFS($A$4:$A379,"&gt;="&amp;$A380-1,$A$4:$A379,"&lt;="&amp;$A380,$B$4:$B379,$B380)&gt;0,MIN(AL$1,IF($A380=$A379,AL379,1))-Q380&lt;0),-1,MIN(1,IF($A380=$A379,AL379,1)-Q380+$D$3))</f>
        <v>#N/A</v>
      </c>
      <c r="AM380" s="47" t="e">
        <f>IF(OR($J380=0,COUNTIFS($A$4:$A379,"&gt;="&amp;$A380-1,$A$4:$A379,"&lt;="&amp;$A380,$B$4:$B379,$B380)&gt;0,MIN(AM$1,IF($A380=$A379,AM379,1))-R380&lt;0),-1,MIN(1,IF($A380=$A379,AM379,1)-R380+$D$3))</f>
        <v>#N/A</v>
      </c>
      <c r="AN380" s="47" t="e">
        <f>IF(OR($J380=0,COUNTIFS($A$4:$A379,"&gt;="&amp;$A380-1,$A$4:$A379,"&lt;="&amp;$A380,$B$4:$B379,$B380)&gt;0,MIN(AN$1,IF($A380=$A379,AN379,1))-S380&lt;0),-1,MIN(1,IF($A380=$A379,AN379,1)-S380+$D$3))</f>
        <v>#N/A</v>
      </c>
      <c r="AO380" s="47" t="e">
        <f>IF(OR($J380=0,COUNTIFS($A$4:$A379,"&gt;="&amp;$A380-1,$A$4:$A379,"&lt;="&amp;$A380,$B$4:$B379,$B380)&gt;0,MIN(AO$1,IF($A380=$A379,AO379,1))-T380&lt;0),-1,MIN(1,IF($A380=$A379,AO379,1)-T380+$D$3))</f>
        <v>#N/A</v>
      </c>
      <c r="AP380" s="47" t="e">
        <f>IF(OR($J380=0,COUNTIFS($A$4:$A379,"&gt;="&amp;$A380-1,$A$4:$A379,"&lt;="&amp;$A380,$B$4:$B379,$B380)&gt;0,MIN(AP$1,IF($A380=$A379,AP379,1))-U380&lt;0),-1,MIN(1,IF($A380=$A379,AP379,1)-U380+$D$3))</f>
        <v>#N/A</v>
      </c>
      <c r="AQ380" s="47" t="e">
        <f>IF(OR($J380=0,COUNTIFS($A$4:$A379,"&gt;="&amp;$A380-1,$A$4:$A379,"&lt;="&amp;$A380,$B$4:$B379,$B380)&gt;0,MIN(AQ$1,IF($A380=$A379,AQ379,1))-V380&lt;0),-1,MIN(1,IF($A380=$A379,AQ379,1)-V380+$D$3))</f>
        <v>#N/A</v>
      </c>
      <c r="AR380" s="47" t="e">
        <f>IF(OR($J380=0,COUNTIFS($A$4:$A379,"&gt;="&amp;$A380-1,$A$4:$A379,"&lt;="&amp;$A380,$B$4:$B379,$B380)&gt;0,MIN(AR$1,IF($A380=$A379,AR379,1))-W380&lt;0),-1,MIN(1,IF($A380=$A379,AR379,1)-W380+$D$3))</f>
        <v>#N/A</v>
      </c>
      <c r="AS380" s="47" t="e">
        <f>IF(OR($J380=0,COUNTIFS($A$4:$A379,"&gt;="&amp;$A380-1,$A$4:$A379,"&lt;="&amp;$A380,$B$4:$B379,$B380)&gt;0,MIN(AS$1,IF($A380=$A379,AS379,1))-X380&lt;0),-1,MIN(1,IF($A380=$A379,AS379,1)-X380+$D$3))</f>
        <v>#N/A</v>
      </c>
      <c r="AT380" s="47" t="e">
        <f>IF(OR($J380=0,COUNTIFS($A$4:$A379,"&gt;="&amp;$A380-1,$A$4:$A379,"&lt;="&amp;$A380,$B$4:$B379,$B380)&gt;0,MIN(AT$1,IF($A380=$A379,AT379,1))-Y380&lt;0),-1,MIN(1,IF($A380=$A379,AT379,1)-Y380+$D$3))</f>
        <v>#N/A</v>
      </c>
      <c r="AU380" s="47" t="e">
        <f>IF(OR($J380=0,COUNTIFS($A$4:$A379,"&gt;="&amp;$A380-1,$A$4:$A379,"&lt;="&amp;$A380,$B$4:$B379,$B380)&gt;0,MIN(AU$1,IF($A380=$A379,AU379,1))-Z380&lt;0),-1,MIN(1,IF($A380=$A379,AU379,1)-Z380+$D$3))</f>
        <v>#N/A</v>
      </c>
      <c r="AV380" s="47" t="e">
        <f>IF(OR($J380=0,COUNTIFS($A$4:$A379,"&gt;="&amp;$A380-1,$A$4:$A379,"&lt;="&amp;$A380,$B$4:$B379,$B380)&gt;0,MIN(AV$1,IF($A380=$A379,AV379,1))-AA380&lt;0),-1,MIN(1,IF($A380=$A379,AV379,1)-AA380+$D$3))</f>
        <v>#N/A</v>
      </c>
      <c r="AW380" s="47" t="e">
        <f>IF(OR($J380=0,COUNTIFS($A$4:$A379,"&gt;="&amp;$A380-1,$A$4:$A379,"&lt;="&amp;$A380,$B$4:$B379,$B380)&gt;0,MIN(AW$1,IF($A380=$A379,AW379,1))-AB380&lt;0),-1,MIN(1,IF($A380=$A379,AW379,1)-AB380+$D$3))</f>
        <v>#N/A</v>
      </c>
      <c r="AX380" s="47" t="e">
        <f>IF(OR($J380=0,COUNTIFS($A$4:$A379,"&gt;="&amp;$A380-1,$A$4:$A379,"&lt;="&amp;$A380,$B$4:$B379,$B380)&gt;0,MIN(AX$1,IF($A380=$A379,AX379,1))-AC380&lt;0),-1,MIN(1,IF($A380=$A379,AX379,1)-AC380+$D$3))</f>
        <v>#N/A</v>
      </c>
      <c r="AY380" s="47" t="e">
        <f>IF(OR($J380=0,COUNTIFS($A$4:$A379,"&gt;="&amp;$A380-1,$A$4:$A379,"&lt;="&amp;$A380,$B$4:$B379,$B380)&gt;0,MIN(AY$1,IF($A380=$A379,AY379,1))-AD380&lt;0),-1,MIN(1,IF($A380=$A379,AY379,1)-AD380+$D$3))</f>
        <v>#N/A</v>
      </c>
      <c r="AZ380" s="47" t="e">
        <f>IF(OR($J380=0,COUNTIFS($A$4:$A379,"&gt;="&amp;$A380-1,$A$4:$A379,"&lt;="&amp;$A380,$B$4:$B379,$B380)&gt;0,MIN(AZ$1,IF($A380=$A379,AZ379,1))-AE380&lt;0),-1,MIN(1,IF($A380=$A379,AZ379,1)-AE380+$D$3))</f>
        <v>#N/A</v>
      </c>
      <c r="BA380" s="47" t="e">
        <f>IF(OR($J380=0,COUNTIFS($A$4:$A379,"&gt;="&amp;$A380-1,$A$4:$A379,"&lt;="&amp;$A380,$B$4:$B379,$B380)&gt;0,MIN(BA$1,IF($A380=$A379,BA379,1))-AF380&lt;0),-1,MIN(1,IF($A380=$A379,BA379,1)-AF380+$D$3))</f>
        <v>#N/A</v>
      </c>
      <c r="BB380" s="47" t="e">
        <f>IF(OR($J380=0,COUNTIFS($A$4:$A379,"&gt;="&amp;$A380-1,$A$4:$A379,"&lt;="&amp;$A380,$B$4:$B379,$B380)&gt;0,MIN(BB$1,IF($A380=$A379,BB379,1))-AG380&lt;0),-1,MIN(1,IF($A380=$A379,BB379,1)-AG380+$D$3))</f>
        <v>#N/A</v>
      </c>
      <c r="BC380" s="47" t="e">
        <f>IF(OR($J380=0,COUNTIFS($A$4:$A379,"&gt;="&amp;$A380-1,$A$4:$A379,"&lt;="&amp;$A380,$B$4:$B379,$B380)&gt;0,MIN(BC$1,IF($A380=$A379,BC379,1))-AH380&lt;0),-1,MIN(1,IF($A380=$A379,BC379,1)-AH380+$D$3))</f>
        <v>#N/A</v>
      </c>
      <c r="BD380" s="47" t="e">
        <f>IF(OR($J380=0,COUNTIFS($A$4:$A379,"&gt;="&amp;$A380-1,$A$4:$A379,"&lt;="&amp;$A380,$B$4:$B379,$B380)&gt;0,MIN(BD$1,IF($A380=$A379,BD379,1))-AI380&lt;0),-1,MIN(1,IF($A380=$A379,BD379,1)-AI380+$D$3))</f>
        <v>#N/A</v>
      </c>
      <c r="BE380" s="47"/>
      <c r="BF380" s="53">
        <f t="shared" si="399"/>
        <v>8.9203415298005343E-9</v>
      </c>
      <c r="BG380" s="53">
        <f t="shared" si="400"/>
        <v>2.1937636975004502E-8</v>
      </c>
      <c r="BH380" s="53">
        <f t="shared" si="401"/>
        <v>2.2483770285967641E-8</v>
      </c>
      <c r="BI380" s="53">
        <f t="shared" si="402"/>
        <v>2.0768761388923921E-8</v>
      </c>
      <c r="BJ380" s="53">
        <f t="shared" si="403"/>
        <v>2.1466486597749111E-8</v>
      </c>
      <c r="BK380" s="53">
        <f t="shared" si="404"/>
        <v>9.2185097217294579E-9</v>
      </c>
      <c r="BL380" s="53">
        <f t="shared" si="405"/>
        <v>4.9799839809079878E-9</v>
      </c>
      <c r="BM380" s="53">
        <f t="shared" si="406"/>
        <v>1.2668497709622489E-8</v>
      </c>
      <c r="BN380" s="53">
        <f t="shared" si="407"/>
        <v>1.3176224942204658E-8</v>
      </c>
      <c r="BO380" s="53">
        <f t="shared" si="408"/>
        <v>6.1748789882676558E-9</v>
      </c>
      <c r="BP380" s="53">
        <f t="shared" si="409"/>
        <v>2.0762893020520899E-8</v>
      </c>
      <c r="BQ380" s="53">
        <f t="shared" si="410"/>
        <v>5.6030453398589487E-9</v>
      </c>
      <c r="BR380" s="53">
        <f t="shared" si="411"/>
        <v>1.6552798522872801E-8</v>
      </c>
      <c r="BS380" s="53">
        <f t="shared" si="412"/>
        <v>8.9271439009060745E-9</v>
      </c>
      <c r="BT380" s="53">
        <f t="shared" si="413"/>
        <v>3.5327445267951159E-8</v>
      </c>
      <c r="BU380" s="53">
        <f t="shared" si="414"/>
        <v>3.3748340665469087E-8</v>
      </c>
      <c r="BV380" s="53">
        <f t="shared" si="415"/>
        <v>3.2410789835766715E-8</v>
      </c>
      <c r="BW380" s="53">
        <f t="shared" si="416"/>
        <v>2.119844013187856E-8</v>
      </c>
      <c r="BX380" s="53">
        <f t="shared" si="417"/>
        <v>1.5661022621609082E-8</v>
      </c>
      <c r="BY380" s="53">
        <f t="shared" si="418"/>
        <v>1.3446787950812967E-8</v>
      </c>
      <c r="BZ380" s="47"/>
      <c r="CA380" s="53" t="str">
        <f t="shared" si="419"/>
        <v/>
      </c>
      <c r="CB380" s="53" t="str">
        <f t="shared" si="420"/>
        <v/>
      </c>
      <c r="CC380" s="53" t="str">
        <f t="shared" si="421"/>
        <v/>
      </c>
      <c r="CD380" s="53" t="str">
        <f t="shared" si="422"/>
        <v/>
      </c>
      <c r="CE380" s="53" t="str">
        <f t="shared" si="423"/>
        <v/>
      </c>
      <c r="CF380" s="53" t="str">
        <f t="shared" si="424"/>
        <v/>
      </c>
      <c r="CG380" s="53" t="str">
        <f t="shared" si="425"/>
        <v/>
      </c>
      <c r="CH380" s="53" t="str">
        <f t="shared" si="426"/>
        <v/>
      </c>
      <c r="CI380" s="53" t="str">
        <f t="shared" si="427"/>
        <v/>
      </c>
      <c r="CJ380" s="53" t="str">
        <f t="shared" si="428"/>
        <v/>
      </c>
      <c r="CK380" s="53" t="str">
        <f t="shared" si="429"/>
        <v/>
      </c>
      <c r="CL380" s="53" t="str">
        <f t="shared" si="430"/>
        <v/>
      </c>
      <c r="CM380" s="53" t="str">
        <f t="shared" si="431"/>
        <v/>
      </c>
      <c r="CN380" s="53" t="str">
        <f t="shared" si="432"/>
        <v/>
      </c>
      <c r="CO380" s="53" t="str">
        <f t="shared" si="433"/>
        <v/>
      </c>
      <c r="CP380" s="53" t="str">
        <f t="shared" si="434"/>
        <v/>
      </c>
      <c r="CQ380" s="53" t="str">
        <f t="shared" si="435"/>
        <v/>
      </c>
      <c r="CR380" s="53" t="str">
        <f t="shared" si="436"/>
        <v/>
      </c>
      <c r="CS380" s="53" t="str">
        <f t="shared" si="437"/>
        <v/>
      </c>
      <c r="CT380" s="53" t="str">
        <f t="shared" si="438"/>
        <v/>
      </c>
      <c r="CU380" s="47"/>
      <c r="CV380" s="53">
        <f t="shared" si="439"/>
        <v>0</v>
      </c>
    </row>
    <row r="381" spans="1:100" x14ac:dyDescent="0.25">
      <c r="A381" s="41"/>
      <c r="B381" s="42"/>
      <c r="C381" s="43" t="str" cm="1">
        <f t="array" ref="C381">IF(B381="","",INDEX(UWS!$B$10:$B$41,B381))</f>
        <v/>
      </c>
      <c r="D381" s="40" t="str">
        <f t="shared" si="396"/>
        <v/>
      </c>
      <c r="E381" s="69" t="str">
        <f t="shared" si="397"/>
        <v/>
      </c>
      <c r="F381" s="48" cm="1">
        <f t="array" ref="F381">0.1+IFERROR(INDEX($F$5:$F380,SUMPRODUCT(MAX(ROW($C$5:$C380)*($C381=$C$5:$C380))-ROW($A$4)))*0.9^($A381-INDEX($A$5:A380,SUMPRODUCT(MAX(ROW($C$5:$C380)*($C381=$C$5:$C380))-ROW($A$4)))),0)</f>
        <v>31.600000000000179</v>
      </c>
      <c r="G381" s="55" t="e">
        <f>INDEX(UWS!$AB$10:$AB$41,MATCH(C381,UWS!$B$10:$B$41,0))</f>
        <v>#N/A</v>
      </c>
      <c r="H381" s="48" t="e">
        <f>INDEX(UWS!$C$10:$C$41,MATCH(C381,UWS!$B$10:$B$41,0))</f>
        <v>#N/A</v>
      </c>
      <c r="I381" s="82">
        <f t="shared" si="398"/>
        <v>5</v>
      </c>
      <c r="J381" s="27" t="e">
        <f>INDEX(UWS!$E$10:$E$41,MATCH(C381,UWS!$B$10:$B$41,0))</f>
        <v>#N/A</v>
      </c>
      <c r="L381" s="108" t="str" cm="1">
        <f t="array" ref="L381">IF(K381="","",INDEX(UWS!$B$10:$B$41,K381))</f>
        <v/>
      </c>
      <c r="N381" s="108" t="str" cm="1">
        <f t="array" ref="N381">IF(M381="","",INDEX(UWS!$B$10:$B$41,M381))</f>
        <v/>
      </c>
      <c r="P381">
        <f>IFERROR(INDEX(UWS!$G$10:$Z$41,MATCH($C381,UWS!$B$10:$B$41,0),MATCH(P$4,UWS!$G$3:$Z$3,0)),0)</f>
        <v>0</v>
      </c>
      <c r="Q381">
        <f>IFERROR(INDEX(UWS!$G$10:$Z$41,MATCH($C381,UWS!$B$10:$B$41,0),MATCH(Q$4,UWS!$G$3:$Z$3,0)),0)</f>
        <v>0</v>
      </c>
      <c r="R381">
        <f>IFERROR(INDEX(UWS!$G$10:$Z$41,MATCH($C381,UWS!$B$10:$B$41,0),MATCH(R$4,UWS!$G$3:$Z$3,0)),0)</f>
        <v>0</v>
      </c>
      <c r="S381">
        <f>IFERROR(INDEX(UWS!$G$10:$Z$41,MATCH($C381,UWS!$B$10:$B$41,0),MATCH(S$4,UWS!$G$3:$Z$3,0)),0)</f>
        <v>0</v>
      </c>
      <c r="T381">
        <f>IFERROR(INDEX(UWS!$G$10:$Z$41,MATCH($C381,UWS!$B$10:$B$41,0),MATCH(T$4,UWS!$G$3:$Z$3,0)),0)</f>
        <v>0</v>
      </c>
      <c r="U381">
        <f>IFERROR(INDEX(UWS!$G$10:$Z$41,MATCH($C381,UWS!$B$10:$B$41,0),MATCH(U$4,UWS!$G$3:$Z$3,0)),0)</f>
        <v>0</v>
      </c>
      <c r="V381">
        <f>IFERROR(INDEX(UWS!$G$10:$Z$41,MATCH($C381,UWS!$B$10:$B$41,0),MATCH(V$4,UWS!$G$3:$Z$3,0)),0)</f>
        <v>0</v>
      </c>
      <c r="W381">
        <f>IFERROR(INDEX(UWS!$G$10:$Z$41,MATCH($C381,UWS!$B$10:$B$41,0),MATCH(W$4,UWS!$G$3:$Z$3,0)),0)</f>
        <v>0</v>
      </c>
      <c r="X381">
        <f>IFERROR(INDEX(UWS!$G$10:$Z$41,MATCH($C381,UWS!$B$10:$B$41,0),MATCH(X$4,UWS!$G$3:$Z$3,0)),0)</f>
        <v>0</v>
      </c>
      <c r="Y381">
        <f>IFERROR(INDEX(UWS!$G$10:$Z$41,MATCH($C381,UWS!$B$10:$B$41,0),MATCH(Y$4,UWS!$G$3:$Z$3,0)),0)</f>
        <v>0</v>
      </c>
      <c r="Z381">
        <f>IFERROR(INDEX(UWS!$G$10:$Z$41,MATCH($C381,UWS!$B$10:$B$41,0),MATCH(Z$4,UWS!$G$3:$Z$3,0)),0)</f>
        <v>0</v>
      </c>
      <c r="AA381">
        <f>IFERROR(INDEX(UWS!$G$10:$Z$41,MATCH($C381,UWS!$B$10:$B$41,0),MATCH(AA$4,UWS!$G$3:$Z$3,0)),0)</f>
        <v>0</v>
      </c>
      <c r="AB381">
        <f>IFERROR(INDEX(UWS!$G$10:$Z$41,MATCH($C381,UWS!$B$10:$B$41,0),MATCH(AB$4,UWS!$G$3:$Z$3,0)),0)</f>
        <v>0</v>
      </c>
      <c r="AC381">
        <f>IFERROR(INDEX(UWS!$G$10:$Z$41,MATCH($C381,UWS!$B$10:$B$41,0),MATCH(AC$4,UWS!$G$3:$Z$3,0)),0)</f>
        <v>0</v>
      </c>
      <c r="AD381">
        <f>IFERROR(INDEX(UWS!$G$10:$Z$41,MATCH($C381,UWS!$B$10:$B$41,0),MATCH(AD$4,UWS!$G$3:$Z$3,0)),0)</f>
        <v>0</v>
      </c>
      <c r="AE381">
        <f>IFERROR(INDEX(UWS!$G$10:$Z$41,MATCH($C381,UWS!$B$10:$B$41,0),MATCH(AE$4,UWS!$G$3:$Z$3,0)),0)</f>
        <v>0</v>
      </c>
      <c r="AF381">
        <f>IFERROR(INDEX(UWS!$G$10:$Z$41,MATCH($C381,UWS!$B$10:$B$41,0),MATCH(AF$4,UWS!$G$3:$Z$3,0)),0)</f>
        <v>0</v>
      </c>
      <c r="AG381">
        <f>IFERROR(INDEX(UWS!$G$10:$Z$41,MATCH($C381,UWS!$B$10:$B$41,0),MATCH(AG$4,UWS!$G$3:$Z$3,0)),0)</f>
        <v>0</v>
      </c>
      <c r="AH381">
        <f>IFERROR(INDEX(UWS!$G$10:$Z$41,MATCH($C381,UWS!$B$10:$B$41,0),MATCH(AH$4,UWS!$G$3:$Z$3,0)),0)</f>
        <v>0</v>
      </c>
      <c r="AI381">
        <f>IFERROR(INDEX(UWS!$G$10:$Z$41,MATCH($C381,UWS!$B$10:$B$41,0),MATCH(AI$4,UWS!$G$3:$Z$3,0)),0)</f>
        <v>0</v>
      </c>
      <c r="AK381" t="e">
        <f>IF(OR($J381=0,COUNTIFS($A$4:$A380,"&gt;="&amp;$A381-1,$A$4:$A380,"&lt;="&amp;$A381,$B$4:$B380,$B381)&gt;0,MIN(AK$1,IF($A381=$A380,AK380,1))-P381&lt;0),-1,MIN(1,IF($A381=$A380,AK380,1)-P381+$D$3))</f>
        <v>#N/A</v>
      </c>
      <c r="AL381" t="e">
        <f>IF(OR($J381=0,COUNTIFS($A$4:$A380,"&gt;="&amp;$A381-1,$A$4:$A380,"&lt;="&amp;$A381,$B$4:$B380,$B381)&gt;0,MIN(AL$1,IF($A381=$A380,AL380,1))-Q381&lt;0),-1,MIN(1,IF($A381=$A380,AL380,1)-Q381+$D$3))</f>
        <v>#N/A</v>
      </c>
      <c r="AM381" t="e">
        <f>IF(OR($J381=0,COUNTIFS($A$4:$A380,"&gt;="&amp;$A381-1,$A$4:$A380,"&lt;="&amp;$A381,$B$4:$B380,$B381)&gt;0,MIN(AM$1,IF($A381=$A380,AM380,1))-R381&lt;0),-1,MIN(1,IF($A381=$A380,AM380,1)-R381+$D$3))</f>
        <v>#N/A</v>
      </c>
      <c r="AN381" t="e">
        <f>IF(OR($J381=0,COUNTIFS($A$4:$A380,"&gt;="&amp;$A381-1,$A$4:$A380,"&lt;="&amp;$A381,$B$4:$B380,$B381)&gt;0,MIN(AN$1,IF($A381=$A380,AN380,1))-S381&lt;0),-1,MIN(1,IF($A381=$A380,AN380,1)-S381+$D$3))</f>
        <v>#N/A</v>
      </c>
      <c r="AO381" t="e">
        <f>IF(OR($J381=0,COUNTIFS($A$4:$A380,"&gt;="&amp;$A381-1,$A$4:$A380,"&lt;="&amp;$A381,$B$4:$B380,$B381)&gt;0,MIN(AO$1,IF($A381=$A380,AO380,1))-T381&lt;0),-1,MIN(1,IF($A381=$A380,AO380,1)-T381+$D$3))</f>
        <v>#N/A</v>
      </c>
      <c r="AP381" t="e">
        <f>IF(OR($J381=0,COUNTIFS($A$4:$A380,"&gt;="&amp;$A381-1,$A$4:$A380,"&lt;="&amp;$A381,$B$4:$B380,$B381)&gt;0,MIN(AP$1,IF($A381=$A380,AP380,1))-U381&lt;0),-1,MIN(1,IF($A381=$A380,AP380,1)-U381+$D$3))</f>
        <v>#N/A</v>
      </c>
      <c r="AQ381" t="e">
        <f>IF(OR($J381=0,COUNTIFS($A$4:$A380,"&gt;="&amp;$A381-1,$A$4:$A380,"&lt;="&amp;$A381,$B$4:$B380,$B381)&gt;0,MIN(AQ$1,IF($A381=$A380,AQ380,1))-V381&lt;0),-1,MIN(1,IF($A381=$A380,AQ380,1)-V381+$D$3))</f>
        <v>#N/A</v>
      </c>
      <c r="AR381" t="e">
        <f>IF(OR($J381=0,COUNTIFS($A$4:$A380,"&gt;="&amp;$A381-1,$A$4:$A380,"&lt;="&amp;$A381,$B$4:$B380,$B381)&gt;0,MIN(AR$1,IF($A381=$A380,AR380,1))-W381&lt;0),-1,MIN(1,IF($A381=$A380,AR380,1)-W381+$D$3))</f>
        <v>#N/A</v>
      </c>
      <c r="AS381" t="e">
        <f>IF(OR($J381=0,COUNTIFS($A$4:$A380,"&gt;="&amp;$A381-1,$A$4:$A380,"&lt;="&amp;$A381,$B$4:$B380,$B381)&gt;0,MIN(AS$1,IF($A381=$A380,AS380,1))-X381&lt;0),-1,MIN(1,IF($A381=$A380,AS380,1)-X381+$D$3))</f>
        <v>#N/A</v>
      </c>
      <c r="AT381" t="e">
        <f>IF(OR($J381=0,COUNTIFS($A$4:$A380,"&gt;="&amp;$A381-1,$A$4:$A380,"&lt;="&amp;$A381,$B$4:$B380,$B381)&gt;0,MIN(AT$1,IF($A381=$A380,AT380,1))-Y381&lt;0),-1,MIN(1,IF($A381=$A380,AT380,1)-Y381+$D$3))</f>
        <v>#N/A</v>
      </c>
      <c r="AU381" t="e">
        <f>IF(OR($J381=0,COUNTIFS($A$4:$A380,"&gt;="&amp;$A381-1,$A$4:$A380,"&lt;="&amp;$A381,$B$4:$B380,$B381)&gt;0,MIN(AU$1,IF($A381=$A380,AU380,1))-Z381&lt;0),-1,MIN(1,IF($A381=$A380,AU380,1)-Z381+$D$3))</f>
        <v>#N/A</v>
      </c>
      <c r="AV381" t="e">
        <f>IF(OR($J381=0,COUNTIFS($A$4:$A380,"&gt;="&amp;$A381-1,$A$4:$A380,"&lt;="&amp;$A381,$B$4:$B380,$B381)&gt;0,MIN(AV$1,IF($A381=$A380,AV380,1))-AA381&lt;0),-1,MIN(1,IF($A381=$A380,AV380,1)-AA381+$D$3))</f>
        <v>#N/A</v>
      </c>
      <c r="AW381" t="e">
        <f>IF(OR($J381=0,COUNTIFS($A$4:$A380,"&gt;="&amp;$A381-1,$A$4:$A380,"&lt;="&amp;$A381,$B$4:$B380,$B381)&gt;0,MIN(AW$1,IF($A381=$A380,AW380,1))-AB381&lt;0),-1,MIN(1,IF($A381=$A380,AW380,1)-AB381+$D$3))</f>
        <v>#N/A</v>
      </c>
      <c r="AX381" t="e">
        <f>IF(OR($J381=0,COUNTIFS($A$4:$A380,"&gt;="&amp;$A381-1,$A$4:$A380,"&lt;="&amp;$A381,$B$4:$B380,$B381)&gt;0,MIN(AX$1,IF($A381=$A380,AX380,1))-AC381&lt;0),-1,MIN(1,IF($A381=$A380,AX380,1)-AC381+$D$3))</f>
        <v>#N/A</v>
      </c>
      <c r="AY381" t="e">
        <f>IF(OR($J381=0,COUNTIFS($A$4:$A380,"&gt;="&amp;$A381-1,$A$4:$A380,"&lt;="&amp;$A381,$B$4:$B380,$B381)&gt;0,MIN(AY$1,IF($A381=$A380,AY380,1))-AD381&lt;0),-1,MIN(1,IF($A381=$A380,AY380,1)-AD381+$D$3))</f>
        <v>#N/A</v>
      </c>
      <c r="AZ381" t="e">
        <f>IF(OR($J381=0,COUNTIFS($A$4:$A380,"&gt;="&amp;$A381-1,$A$4:$A380,"&lt;="&amp;$A381,$B$4:$B380,$B381)&gt;0,MIN(AZ$1,IF($A381=$A380,AZ380,1))-AE381&lt;0),-1,MIN(1,IF($A381=$A380,AZ380,1)-AE381+$D$3))</f>
        <v>#N/A</v>
      </c>
      <c r="BA381" t="e">
        <f>IF(OR($J381=0,COUNTIFS($A$4:$A380,"&gt;="&amp;$A381-1,$A$4:$A380,"&lt;="&amp;$A381,$B$4:$B380,$B381)&gt;0,MIN(BA$1,IF($A381=$A380,BA380,1))-AF381&lt;0),-1,MIN(1,IF($A381=$A380,BA380,1)-AF381+$D$3))</f>
        <v>#N/A</v>
      </c>
      <c r="BB381" t="e">
        <f>IF(OR($J381=0,COUNTIFS($A$4:$A380,"&gt;="&amp;$A381-1,$A$4:$A380,"&lt;="&amp;$A381,$B$4:$B380,$B381)&gt;0,MIN(BB$1,IF($A381=$A380,BB380,1))-AG381&lt;0),-1,MIN(1,IF($A381=$A380,BB380,1)-AG381+$D$3))</f>
        <v>#N/A</v>
      </c>
      <c r="BC381" t="e">
        <f>IF(OR($J381=0,COUNTIFS($A$4:$A380,"&gt;="&amp;$A381-1,$A$4:$A380,"&lt;="&amp;$A381,$B$4:$B380,$B381)&gt;0,MIN(BC$1,IF($A381=$A380,BC380,1))-AH381&lt;0),-1,MIN(1,IF($A381=$A380,BC380,1)-AH381+$D$3))</f>
        <v>#N/A</v>
      </c>
      <c r="BD381" t="e">
        <f>IF(OR($J381=0,COUNTIFS($A$4:$A380,"&gt;="&amp;$A381-1,$A$4:$A380,"&lt;="&amp;$A381,$B$4:$B380,$B381)&gt;0,MIN(BD$1,IF($A381=$A380,BD380,1))-AI381&lt;0),-1,MIN(1,IF($A381=$A380,BD380,1)-AI381+$D$3))</f>
        <v>#N/A</v>
      </c>
      <c r="BF381" s="44">
        <f t="shared" si="399"/>
        <v>8.4743244533105078E-9</v>
      </c>
      <c r="BG381" s="44">
        <f t="shared" si="400"/>
        <v>2.0840755126254277E-8</v>
      </c>
      <c r="BH381" s="44">
        <f t="shared" si="401"/>
        <v>2.1359581771669259E-8</v>
      </c>
      <c r="BI381" s="44">
        <f t="shared" si="402"/>
        <v>1.9730323319477725E-8</v>
      </c>
      <c r="BJ381" s="44">
        <f t="shared" si="403"/>
        <v>2.0393162267861654E-8</v>
      </c>
      <c r="BK381" s="44">
        <f t="shared" si="404"/>
        <v>8.7575842356429838E-9</v>
      </c>
      <c r="BL381" s="44">
        <f t="shared" si="405"/>
        <v>4.7309847818625882E-9</v>
      </c>
      <c r="BM381" s="44">
        <f t="shared" si="406"/>
        <v>1.2035072824141364E-8</v>
      </c>
      <c r="BN381" s="44">
        <f t="shared" si="407"/>
        <v>1.2517413695094424E-8</v>
      </c>
      <c r="BO381" s="44">
        <f t="shared" si="408"/>
        <v>5.8661350388542725E-9</v>
      </c>
      <c r="BP381" s="44">
        <f t="shared" si="409"/>
        <v>1.9724748369494855E-8</v>
      </c>
      <c r="BQ381" s="44">
        <f t="shared" si="410"/>
        <v>5.3228930728660007E-9</v>
      </c>
      <c r="BR381" s="44">
        <f t="shared" si="411"/>
        <v>1.572515859672916E-8</v>
      </c>
      <c r="BS381" s="44">
        <f t="shared" si="412"/>
        <v>8.4807867058607697E-9</v>
      </c>
      <c r="BT381" s="44">
        <f t="shared" si="413"/>
        <v>3.3561073004553601E-8</v>
      </c>
      <c r="BU381" s="44">
        <f t="shared" si="414"/>
        <v>3.206092363219563E-8</v>
      </c>
      <c r="BV381" s="44">
        <f t="shared" si="415"/>
        <v>3.0790250343978379E-8</v>
      </c>
      <c r="BW381" s="44">
        <f t="shared" si="416"/>
        <v>2.0138518125284631E-8</v>
      </c>
      <c r="BX381" s="44">
        <f t="shared" si="417"/>
        <v>1.4877971490528627E-8</v>
      </c>
      <c r="BY381" s="44">
        <f t="shared" si="418"/>
        <v>1.2774448553272317E-8</v>
      </c>
      <c r="CA381" s="44" t="str">
        <f t="shared" si="419"/>
        <v/>
      </c>
      <c r="CB381" s="44" t="str">
        <f t="shared" si="420"/>
        <v/>
      </c>
      <c r="CC381" s="44" t="str">
        <f t="shared" si="421"/>
        <v/>
      </c>
      <c r="CD381" s="44" t="str">
        <f t="shared" si="422"/>
        <v/>
      </c>
      <c r="CE381" s="44" t="str">
        <f t="shared" si="423"/>
        <v/>
      </c>
      <c r="CF381" s="44" t="str">
        <f t="shared" si="424"/>
        <v/>
      </c>
      <c r="CG381" s="44" t="str">
        <f t="shared" si="425"/>
        <v/>
      </c>
      <c r="CH381" s="44" t="str">
        <f t="shared" si="426"/>
        <v/>
      </c>
      <c r="CI381" s="44" t="str">
        <f t="shared" si="427"/>
        <v/>
      </c>
      <c r="CJ381" s="44" t="str">
        <f t="shared" si="428"/>
        <v/>
      </c>
      <c r="CK381" s="44" t="str">
        <f t="shared" si="429"/>
        <v/>
      </c>
      <c r="CL381" s="44" t="str">
        <f t="shared" si="430"/>
        <v/>
      </c>
      <c r="CM381" s="44" t="str">
        <f t="shared" si="431"/>
        <v/>
      </c>
      <c r="CN381" s="44" t="str">
        <f t="shared" si="432"/>
        <v/>
      </c>
      <c r="CO381" s="44" t="str">
        <f t="shared" si="433"/>
        <v/>
      </c>
      <c r="CP381" s="44" t="str">
        <f t="shared" si="434"/>
        <v/>
      </c>
      <c r="CQ381" s="44" t="str">
        <f t="shared" si="435"/>
        <v/>
      </c>
      <c r="CR381" s="44" t="str">
        <f t="shared" si="436"/>
        <v/>
      </c>
      <c r="CS381" s="44" t="str">
        <f t="shared" si="437"/>
        <v/>
      </c>
      <c r="CT381" s="44" t="str">
        <f t="shared" si="438"/>
        <v/>
      </c>
      <c r="CV381" s="44">
        <f t="shared" si="439"/>
        <v>0</v>
      </c>
    </row>
    <row r="382" spans="1:100" x14ac:dyDescent="0.25">
      <c r="A382" s="41"/>
      <c r="B382" s="42"/>
      <c r="C382" s="43" t="str" cm="1">
        <f t="array" ref="C382">IF(B382="","",INDEX(UWS!$B$10:$B$41,B382))</f>
        <v/>
      </c>
      <c r="D382" s="40" t="str">
        <f t="shared" si="396"/>
        <v/>
      </c>
      <c r="E382" s="69" t="str">
        <f t="shared" si="397"/>
        <v/>
      </c>
      <c r="F382" s="48" cm="1">
        <f t="array" ref="F382">0.1+IFERROR(INDEX($F$5:$F381,SUMPRODUCT(MAX(ROW($C$5:$C381)*($C382=$C$5:$C381))-ROW($A$4)))*0.9^($A382-INDEX($A$5:A381,SUMPRODUCT(MAX(ROW($C$5:$C381)*($C382=$C$5:$C381))-ROW($A$4)))),0)</f>
        <v>31.70000000000018</v>
      </c>
      <c r="G382" s="55" t="e">
        <f>INDEX(UWS!$AB$10:$AB$41,MATCH(C382,UWS!$B$10:$B$41,0))</f>
        <v>#N/A</v>
      </c>
      <c r="H382" s="48" t="e">
        <f>INDEX(UWS!$C$10:$C$41,MATCH(C382,UWS!$B$10:$B$41,0))</f>
        <v>#N/A</v>
      </c>
      <c r="I382" s="27">
        <f t="shared" si="398"/>
        <v>5</v>
      </c>
      <c r="J382" s="27" t="e">
        <f>INDEX(UWS!$E$10:$E$41,MATCH(C382,UWS!$B$10:$B$41,0))</f>
        <v>#N/A</v>
      </c>
      <c r="L382" s="108" t="str" cm="1">
        <f t="array" ref="L382">IF(K382="","",INDEX(UWS!$B$10:$B$41,K382))</f>
        <v/>
      </c>
      <c r="N382" s="108" t="str" cm="1">
        <f t="array" ref="N382">IF(M382="","",INDEX(UWS!$B$10:$B$41,M382))</f>
        <v/>
      </c>
      <c r="P382">
        <f>IFERROR(INDEX(UWS!$G$10:$Z$41,MATCH($C382,UWS!$B$10:$B$41,0),MATCH(P$4,UWS!$G$3:$Z$3,0)),0)</f>
        <v>0</v>
      </c>
      <c r="Q382">
        <f>IFERROR(INDEX(UWS!$G$10:$Z$41,MATCH($C382,UWS!$B$10:$B$41,0),MATCH(Q$4,UWS!$G$3:$Z$3,0)),0)</f>
        <v>0</v>
      </c>
      <c r="R382">
        <f>IFERROR(INDEX(UWS!$G$10:$Z$41,MATCH($C382,UWS!$B$10:$B$41,0),MATCH(R$4,UWS!$G$3:$Z$3,0)),0)</f>
        <v>0</v>
      </c>
      <c r="S382">
        <f>IFERROR(INDEX(UWS!$G$10:$Z$41,MATCH($C382,UWS!$B$10:$B$41,0),MATCH(S$4,UWS!$G$3:$Z$3,0)),0)</f>
        <v>0</v>
      </c>
      <c r="T382">
        <f>IFERROR(INDEX(UWS!$G$10:$Z$41,MATCH($C382,UWS!$B$10:$B$41,0),MATCH(T$4,UWS!$G$3:$Z$3,0)),0)</f>
        <v>0</v>
      </c>
      <c r="U382">
        <f>IFERROR(INDEX(UWS!$G$10:$Z$41,MATCH($C382,UWS!$B$10:$B$41,0),MATCH(U$4,UWS!$G$3:$Z$3,0)),0)</f>
        <v>0</v>
      </c>
      <c r="V382">
        <f>IFERROR(INDEX(UWS!$G$10:$Z$41,MATCH($C382,UWS!$B$10:$B$41,0),MATCH(V$4,UWS!$G$3:$Z$3,0)),0)</f>
        <v>0</v>
      </c>
      <c r="W382">
        <f>IFERROR(INDEX(UWS!$G$10:$Z$41,MATCH($C382,UWS!$B$10:$B$41,0),MATCH(W$4,UWS!$G$3:$Z$3,0)),0)</f>
        <v>0</v>
      </c>
      <c r="X382">
        <f>IFERROR(INDEX(UWS!$G$10:$Z$41,MATCH($C382,UWS!$B$10:$B$41,0),MATCH(X$4,UWS!$G$3:$Z$3,0)),0)</f>
        <v>0</v>
      </c>
      <c r="Y382">
        <f>IFERROR(INDEX(UWS!$G$10:$Z$41,MATCH($C382,UWS!$B$10:$B$41,0),MATCH(Y$4,UWS!$G$3:$Z$3,0)),0)</f>
        <v>0</v>
      </c>
      <c r="Z382">
        <f>IFERROR(INDEX(UWS!$G$10:$Z$41,MATCH($C382,UWS!$B$10:$B$41,0),MATCH(Z$4,UWS!$G$3:$Z$3,0)),0)</f>
        <v>0</v>
      </c>
      <c r="AA382">
        <f>IFERROR(INDEX(UWS!$G$10:$Z$41,MATCH($C382,UWS!$B$10:$B$41,0),MATCH(AA$4,UWS!$G$3:$Z$3,0)),0)</f>
        <v>0</v>
      </c>
      <c r="AB382">
        <f>IFERROR(INDEX(UWS!$G$10:$Z$41,MATCH($C382,UWS!$B$10:$B$41,0),MATCH(AB$4,UWS!$G$3:$Z$3,0)),0)</f>
        <v>0</v>
      </c>
      <c r="AC382">
        <f>IFERROR(INDEX(UWS!$G$10:$Z$41,MATCH($C382,UWS!$B$10:$B$41,0),MATCH(AC$4,UWS!$G$3:$Z$3,0)),0)</f>
        <v>0</v>
      </c>
      <c r="AD382">
        <f>IFERROR(INDEX(UWS!$G$10:$Z$41,MATCH($C382,UWS!$B$10:$B$41,0),MATCH(AD$4,UWS!$G$3:$Z$3,0)),0)</f>
        <v>0</v>
      </c>
      <c r="AE382">
        <f>IFERROR(INDEX(UWS!$G$10:$Z$41,MATCH($C382,UWS!$B$10:$B$41,0),MATCH(AE$4,UWS!$G$3:$Z$3,0)),0)</f>
        <v>0</v>
      </c>
      <c r="AF382">
        <f>IFERROR(INDEX(UWS!$G$10:$Z$41,MATCH($C382,UWS!$B$10:$B$41,0),MATCH(AF$4,UWS!$G$3:$Z$3,0)),0)</f>
        <v>0</v>
      </c>
      <c r="AG382">
        <f>IFERROR(INDEX(UWS!$G$10:$Z$41,MATCH($C382,UWS!$B$10:$B$41,0),MATCH(AG$4,UWS!$G$3:$Z$3,0)),0)</f>
        <v>0</v>
      </c>
      <c r="AH382">
        <f>IFERROR(INDEX(UWS!$G$10:$Z$41,MATCH($C382,UWS!$B$10:$B$41,0),MATCH(AH$4,UWS!$G$3:$Z$3,0)),0)</f>
        <v>0</v>
      </c>
      <c r="AI382">
        <f>IFERROR(INDEX(UWS!$G$10:$Z$41,MATCH($C382,UWS!$B$10:$B$41,0),MATCH(AI$4,UWS!$G$3:$Z$3,0)),0)</f>
        <v>0</v>
      </c>
      <c r="AK382" t="e">
        <f>IF(OR($J382=0,COUNTIFS($A$4:$A381,"&gt;="&amp;$A382-1,$A$4:$A381,"&lt;="&amp;$A382,$B$4:$B381,$B382)&gt;0,MIN(AK$1,IF($A382=$A381,AK381,1))-P382&lt;0),-1,MIN(1,IF($A382=$A381,AK381,1)-P382+$D$3))</f>
        <v>#N/A</v>
      </c>
      <c r="AL382" t="e">
        <f>IF(OR($J382=0,COUNTIFS($A$4:$A381,"&gt;="&amp;$A382-1,$A$4:$A381,"&lt;="&amp;$A382,$B$4:$B381,$B382)&gt;0,MIN(AL$1,IF($A382=$A381,AL381,1))-Q382&lt;0),-1,MIN(1,IF($A382=$A381,AL381,1)-Q382+$D$3))</f>
        <v>#N/A</v>
      </c>
      <c r="AM382" t="e">
        <f>IF(OR($J382=0,COUNTIFS($A$4:$A381,"&gt;="&amp;$A382-1,$A$4:$A381,"&lt;="&amp;$A382,$B$4:$B381,$B382)&gt;0,MIN(AM$1,IF($A382=$A381,AM381,1))-R382&lt;0),-1,MIN(1,IF($A382=$A381,AM381,1)-R382+$D$3))</f>
        <v>#N/A</v>
      </c>
      <c r="AN382" t="e">
        <f>IF(OR($J382=0,COUNTIFS($A$4:$A381,"&gt;="&amp;$A382-1,$A$4:$A381,"&lt;="&amp;$A382,$B$4:$B381,$B382)&gt;0,MIN(AN$1,IF($A382=$A381,AN381,1))-S382&lt;0),-1,MIN(1,IF($A382=$A381,AN381,1)-S382+$D$3))</f>
        <v>#N/A</v>
      </c>
      <c r="AO382" t="e">
        <f>IF(OR($J382=0,COUNTIFS($A$4:$A381,"&gt;="&amp;$A382-1,$A$4:$A381,"&lt;="&amp;$A382,$B$4:$B381,$B382)&gt;0,MIN(AO$1,IF($A382=$A381,AO381,1))-T382&lt;0),-1,MIN(1,IF($A382=$A381,AO381,1)-T382+$D$3))</f>
        <v>#N/A</v>
      </c>
      <c r="AP382" t="e">
        <f>IF(OR($J382=0,COUNTIFS($A$4:$A381,"&gt;="&amp;$A382-1,$A$4:$A381,"&lt;="&amp;$A382,$B$4:$B381,$B382)&gt;0,MIN(AP$1,IF($A382=$A381,AP381,1))-U382&lt;0),-1,MIN(1,IF($A382=$A381,AP381,1)-U382+$D$3))</f>
        <v>#N/A</v>
      </c>
      <c r="AQ382" t="e">
        <f>IF(OR($J382=0,COUNTIFS($A$4:$A381,"&gt;="&amp;$A382-1,$A$4:$A381,"&lt;="&amp;$A382,$B$4:$B381,$B382)&gt;0,MIN(AQ$1,IF($A382=$A381,AQ381,1))-V382&lt;0),-1,MIN(1,IF($A382=$A381,AQ381,1)-V382+$D$3))</f>
        <v>#N/A</v>
      </c>
      <c r="AR382" t="e">
        <f>IF(OR($J382=0,COUNTIFS($A$4:$A381,"&gt;="&amp;$A382-1,$A$4:$A381,"&lt;="&amp;$A382,$B$4:$B381,$B382)&gt;0,MIN(AR$1,IF($A382=$A381,AR381,1))-W382&lt;0),-1,MIN(1,IF($A382=$A381,AR381,1)-W382+$D$3))</f>
        <v>#N/A</v>
      </c>
      <c r="AS382" t="e">
        <f>IF(OR($J382=0,COUNTIFS($A$4:$A381,"&gt;="&amp;$A382-1,$A$4:$A381,"&lt;="&amp;$A382,$B$4:$B381,$B382)&gt;0,MIN(AS$1,IF($A382=$A381,AS381,1))-X382&lt;0),-1,MIN(1,IF($A382=$A381,AS381,1)-X382+$D$3))</f>
        <v>#N/A</v>
      </c>
      <c r="AT382" t="e">
        <f>IF(OR($J382=0,COUNTIFS($A$4:$A381,"&gt;="&amp;$A382-1,$A$4:$A381,"&lt;="&amp;$A382,$B$4:$B381,$B382)&gt;0,MIN(AT$1,IF($A382=$A381,AT381,1))-Y382&lt;0),-1,MIN(1,IF($A382=$A381,AT381,1)-Y382+$D$3))</f>
        <v>#N/A</v>
      </c>
      <c r="AU382" t="e">
        <f>IF(OR($J382=0,COUNTIFS($A$4:$A381,"&gt;="&amp;$A382-1,$A$4:$A381,"&lt;="&amp;$A382,$B$4:$B381,$B382)&gt;0,MIN(AU$1,IF($A382=$A381,AU381,1))-Z382&lt;0),-1,MIN(1,IF($A382=$A381,AU381,1)-Z382+$D$3))</f>
        <v>#N/A</v>
      </c>
      <c r="AV382" t="e">
        <f>IF(OR($J382=0,COUNTIFS($A$4:$A381,"&gt;="&amp;$A382-1,$A$4:$A381,"&lt;="&amp;$A382,$B$4:$B381,$B382)&gt;0,MIN(AV$1,IF($A382=$A381,AV381,1))-AA382&lt;0),-1,MIN(1,IF($A382=$A381,AV381,1)-AA382+$D$3))</f>
        <v>#N/A</v>
      </c>
      <c r="AW382" t="e">
        <f>IF(OR($J382=0,COUNTIFS($A$4:$A381,"&gt;="&amp;$A382-1,$A$4:$A381,"&lt;="&amp;$A382,$B$4:$B381,$B382)&gt;0,MIN(AW$1,IF($A382=$A381,AW381,1))-AB382&lt;0),-1,MIN(1,IF($A382=$A381,AW381,1)-AB382+$D$3))</f>
        <v>#N/A</v>
      </c>
      <c r="AX382" t="e">
        <f>IF(OR($J382=0,COUNTIFS($A$4:$A381,"&gt;="&amp;$A382-1,$A$4:$A381,"&lt;="&amp;$A382,$B$4:$B381,$B382)&gt;0,MIN(AX$1,IF($A382=$A381,AX381,1))-AC382&lt;0),-1,MIN(1,IF($A382=$A381,AX381,1)-AC382+$D$3))</f>
        <v>#N/A</v>
      </c>
      <c r="AY382" t="e">
        <f>IF(OR($J382=0,COUNTIFS($A$4:$A381,"&gt;="&amp;$A382-1,$A$4:$A381,"&lt;="&amp;$A382,$B$4:$B381,$B382)&gt;0,MIN(AY$1,IF($A382=$A381,AY381,1))-AD382&lt;0),-1,MIN(1,IF($A382=$A381,AY381,1)-AD382+$D$3))</f>
        <v>#N/A</v>
      </c>
      <c r="AZ382" t="e">
        <f>IF(OR($J382=0,COUNTIFS($A$4:$A381,"&gt;="&amp;$A382-1,$A$4:$A381,"&lt;="&amp;$A382,$B$4:$B381,$B382)&gt;0,MIN(AZ$1,IF($A382=$A381,AZ381,1))-AE382&lt;0),-1,MIN(1,IF($A382=$A381,AZ381,1)-AE382+$D$3))</f>
        <v>#N/A</v>
      </c>
      <c r="BA382" t="e">
        <f>IF(OR($J382=0,COUNTIFS($A$4:$A381,"&gt;="&amp;$A382-1,$A$4:$A381,"&lt;="&amp;$A382,$B$4:$B381,$B382)&gt;0,MIN(BA$1,IF($A382=$A381,BA381,1))-AF382&lt;0),-1,MIN(1,IF($A382=$A381,BA381,1)-AF382+$D$3))</f>
        <v>#N/A</v>
      </c>
      <c r="BB382" t="e">
        <f>IF(OR($J382=0,COUNTIFS($A$4:$A381,"&gt;="&amp;$A382-1,$A$4:$A381,"&lt;="&amp;$A382,$B$4:$B381,$B382)&gt;0,MIN(BB$1,IF($A382=$A381,BB381,1))-AG382&lt;0),-1,MIN(1,IF($A382=$A381,BB381,1)-AG382+$D$3))</f>
        <v>#N/A</v>
      </c>
      <c r="BC382" t="e">
        <f>IF(OR($J382=0,COUNTIFS($A$4:$A381,"&gt;="&amp;$A382-1,$A$4:$A381,"&lt;="&amp;$A382,$B$4:$B381,$B382)&gt;0,MIN(BC$1,IF($A382=$A381,BC381,1))-AH382&lt;0),-1,MIN(1,IF($A382=$A381,BC381,1)-AH382+$D$3))</f>
        <v>#N/A</v>
      </c>
      <c r="BD382" t="e">
        <f>IF(OR($J382=0,COUNTIFS($A$4:$A381,"&gt;="&amp;$A382-1,$A$4:$A381,"&lt;="&amp;$A382,$B$4:$B381,$B382)&gt;0,MIN(BD$1,IF($A382=$A381,BD381,1))-AI382&lt;0),-1,MIN(1,IF($A382=$A381,BD381,1)-AI382+$D$3))</f>
        <v>#N/A</v>
      </c>
      <c r="BF382" s="44">
        <f t="shared" si="399"/>
        <v>8.0506082306449816E-9</v>
      </c>
      <c r="BG382" s="44">
        <f t="shared" si="400"/>
        <v>1.9798717369941564E-8</v>
      </c>
      <c r="BH382" s="44">
        <f t="shared" si="401"/>
        <v>2.0291602683085796E-8</v>
      </c>
      <c r="BI382" s="44">
        <f t="shared" si="402"/>
        <v>1.8743807153503837E-8</v>
      </c>
      <c r="BJ382" s="44">
        <f t="shared" si="403"/>
        <v>1.9373504154468571E-8</v>
      </c>
      <c r="BK382" s="44">
        <f t="shared" si="404"/>
        <v>8.3197050238608351E-9</v>
      </c>
      <c r="BL382" s="44">
        <f t="shared" si="405"/>
        <v>4.4944355427694582E-9</v>
      </c>
      <c r="BM382" s="44">
        <f t="shared" si="406"/>
        <v>1.1433319182934294E-8</v>
      </c>
      <c r="BN382" s="44">
        <f t="shared" si="407"/>
        <v>1.1891543010339701E-8</v>
      </c>
      <c r="BO382" s="44">
        <f t="shared" si="408"/>
        <v>5.5728282869115588E-9</v>
      </c>
      <c r="BP382" s="44">
        <f t="shared" si="409"/>
        <v>1.8738510951020111E-8</v>
      </c>
      <c r="BQ382" s="44">
        <f t="shared" si="410"/>
        <v>5.0567484192227008E-9</v>
      </c>
      <c r="BR382" s="44">
        <f t="shared" si="411"/>
        <v>1.49389006668927E-8</v>
      </c>
      <c r="BS382" s="44">
        <f t="shared" si="412"/>
        <v>8.0567473705677304E-9</v>
      </c>
      <c r="BT382" s="44">
        <f t="shared" si="413"/>
        <v>3.1883019354325917E-8</v>
      </c>
      <c r="BU382" s="44">
        <f t="shared" si="414"/>
        <v>3.0457877450585844E-8</v>
      </c>
      <c r="BV382" s="44">
        <f t="shared" si="415"/>
        <v>2.925073782677946E-8</v>
      </c>
      <c r="BW382" s="44">
        <f t="shared" si="416"/>
        <v>1.9131592219020397E-8</v>
      </c>
      <c r="BX382" s="44">
        <f t="shared" si="417"/>
        <v>1.4134072916002194E-8</v>
      </c>
      <c r="BY382" s="44">
        <f t="shared" si="418"/>
        <v>1.21357261256087E-8</v>
      </c>
      <c r="CA382" s="44" t="str">
        <f t="shared" si="419"/>
        <v/>
      </c>
      <c r="CB382" s="44" t="str">
        <f t="shared" si="420"/>
        <v/>
      </c>
      <c r="CC382" s="44" t="str">
        <f t="shared" si="421"/>
        <v/>
      </c>
      <c r="CD382" s="44" t="str">
        <f t="shared" si="422"/>
        <v/>
      </c>
      <c r="CE382" s="44" t="str">
        <f t="shared" si="423"/>
        <v/>
      </c>
      <c r="CF382" s="44" t="str">
        <f t="shared" si="424"/>
        <v/>
      </c>
      <c r="CG382" s="44" t="str">
        <f t="shared" si="425"/>
        <v/>
      </c>
      <c r="CH382" s="44" t="str">
        <f t="shared" si="426"/>
        <v/>
      </c>
      <c r="CI382" s="44" t="str">
        <f t="shared" si="427"/>
        <v/>
      </c>
      <c r="CJ382" s="44" t="str">
        <f t="shared" si="428"/>
        <v/>
      </c>
      <c r="CK382" s="44" t="str">
        <f t="shared" si="429"/>
        <v/>
      </c>
      <c r="CL382" s="44" t="str">
        <f t="shared" si="430"/>
        <v/>
      </c>
      <c r="CM382" s="44" t="str">
        <f t="shared" si="431"/>
        <v/>
      </c>
      <c r="CN382" s="44" t="str">
        <f t="shared" si="432"/>
        <v/>
      </c>
      <c r="CO382" s="44" t="str">
        <f t="shared" si="433"/>
        <v/>
      </c>
      <c r="CP382" s="44" t="str">
        <f t="shared" si="434"/>
        <v/>
      </c>
      <c r="CQ382" s="44" t="str">
        <f t="shared" si="435"/>
        <v/>
      </c>
      <c r="CR382" s="44" t="str">
        <f t="shared" si="436"/>
        <v/>
      </c>
      <c r="CS382" s="44" t="str">
        <f t="shared" si="437"/>
        <v/>
      </c>
      <c r="CT382" s="44" t="str">
        <f t="shared" si="438"/>
        <v/>
      </c>
      <c r="CV382" s="44">
        <f t="shared" si="439"/>
        <v>0</v>
      </c>
    </row>
    <row r="383" spans="1:100" x14ac:dyDescent="0.25">
      <c r="A383" s="41"/>
      <c r="B383" s="42"/>
      <c r="C383" s="43" t="str" cm="1">
        <f t="array" ref="C383">IF(B383="","",INDEX(UWS!$B$10:$B$41,B383))</f>
        <v/>
      </c>
      <c r="D383" s="40" t="str">
        <f t="shared" si="396"/>
        <v/>
      </c>
      <c r="E383" s="69" t="str">
        <f t="shared" si="397"/>
        <v/>
      </c>
      <c r="F383" s="48" cm="1">
        <f t="array" ref="F383">0.1+IFERROR(INDEX($F$5:$F382,SUMPRODUCT(MAX(ROW($C$5:$C382)*($C383=$C$5:$C382))-ROW($A$4)))*0.9^($A383-INDEX($A$5:A382,SUMPRODUCT(MAX(ROW($C$5:$C382)*($C383=$C$5:$C382))-ROW($A$4)))),0)</f>
        <v>31.800000000000182</v>
      </c>
      <c r="G383" s="55" t="e">
        <f>INDEX(UWS!$AB$10:$AB$41,MATCH(C383,UWS!$B$10:$B$41,0))</f>
        <v>#N/A</v>
      </c>
      <c r="H383" s="48" t="e">
        <f>INDEX(UWS!$C$10:$C$41,MATCH(C383,UWS!$B$10:$B$41,0))</f>
        <v>#N/A</v>
      </c>
      <c r="I383" s="27">
        <f t="shared" si="398"/>
        <v>5</v>
      </c>
      <c r="J383" s="27" t="e">
        <f>INDEX(UWS!$E$10:$E$41,MATCH(C383,UWS!$B$10:$B$41,0))</f>
        <v>#N/A</v>
      </c>
      <c r="L383" s="108" t="str" cm="1">
        <f t="array" ref="L383">IF(K383="","",INDEX(UWS!$B$10:$B$41,K383))</f>
        <v/>
      </c>
      <c r="N383" s="108" t="str" cm="1">
        <f t="array" ref="N383">IF(M383="","",INDEX(UWS!$B$10:$B$41,M383))</f>
        <v/>
      </c>
      <c r="P383">
        <f>IFERROR(INDEX(UWS!$G$10:$Z$41,MATCH($C383,UWS!$B$10:$B$41,0),MATCH(P$4,UWS!$G$3:$Z$3,0)),0)</f>
        <v>0</v>
      </c>
      <c r="Q383">
        <f>IFERROR(INDEX(UWS!$G$10:$Z$41,MATCH($C383,UWS!$B$10:$B$41,0),MATCH(Q$4,UWS!$G$3:$Z$3,0)),0)</f>
        <v>0</v>
      </c>
      <c r="R383">
        <f>IFERROR(INDEX(UWS!$G$10:$Z$41,MATCH($C383,UWS!$B$10:$B$41,0),MATCH(R$4,UWS!$G$3:$Z$3,0)),0)</f>
        <v>0</v>
      </c>
      <c r="S383">
        <f>IFERROR(INDEX(UWS!$G$10:$Z$41,MATCH($C383,UWS!$B$10:$B$41,0),MATCH(S$4,UWS!$G$3:$Z$3,0)),0)</f>
        <v>0</v>
      </c>
      <c r="T383">
        <f>IFERROR(INDEX(UWS!$G$10:$Z$41,MATCH($C383,UWS!$B$10:$B$41,0),MATCH(T$4,UWS!$G$3:$Z$3,0)),0)</f>
        <v>0</v>
      </c>
      <c r="U383">
        <f>IFERROR(INDEX(UWS!$G$10:$Z$41,MATCH($C383,UWS!$B$10:$B$41,0),MATCH(U$4,UWS!$G$3:$Z$3,0)),0)</f>
        <v>0</v>
      </c>
      <c r="V383">
        <f>IFERROR(INDEX(UWS!$G$10:$Z$41,MATCH($C383,UWS!$B$10:$B$41,0),MATCH(V$4,UWS!$G$3:$Z$3,0)),0)</f>
        <v>0</v>
      </c>
      <c r="W383">
        <f>IFERROR(INDEX(UWS!$G$10:$Z$41,MATCH($C383,UWS!$B$10:$B$41,0),MATCH(W$4,UWS!$G$3:$Z$3,0)),0)</f>
        <v>0</v>
      </c>
      <c r="X383">
        <f>IFERROR(INDEX(UWS!$G$10:$Z$41,MATCH($C383,UWS!$B$10:$B$41,0),MATCH(X$4,UWS!$G$3:$Z$3,0)),0)</f>
        <v>0</v>
      </c>
      <c r="Y383">
        <f>IFERROR(INDEX(UWS!$G$10:$Z$41,MATCH($C383,UWS!$B$10:$B$41,0),MATCH(Y$4,UWS!$G$3:$Z$3,0)),0)</f>
        <v>0</v>
      </c>
      <c r="Z383">
        <f>IFERROR(INDEX(UWS!$G$10:$Z$41,MATCH($C383,UWS!$B$10:$B$41,0),MATCH(Z$4,UWS!$G$3:$Z$3,0)),0)</f>
        <v>0</v>
      </c>
      <c r="AA383">
        <f>IFERROR(INDEX(UWS!$G$10:$Z$41,MATCH($C383,UWS!$B$10:$B$41,0),MATCH(AA$4,UWS!$G$3:$Z$3,0)),0)</f>
        <v>0</v>
      </c>
      <c r="AB383">
        <f>IFERROR(INDEX(UWS!$G$10:$Z$41,MATCH($C383,UWS!$B$10:$B$41,0),MATCH(AB$4,UWS!$G$3:$Z$3,0)),0)</f>
        <v>0</v>
      </c>
      <c r="AC383">
        <f>IFERROR(INDEX(UWS!$G$10:$Z$41,MATCH($C383,UWS!$B$10:$B$41,0),MATCH(AC$4,UWS!$G$3:$Z$3,0)),0)</f>
        <v>0</v>
      </c>
      <c r="AD383">
        <f>IFERROR(INDEX(UWS!$G$10:$Z$41,MATCH($C383,UWS!$B$10:$B$41,0),MATCH(AD$4,UWS!$G$3:$Z$3,0)),0)</f>
        <v>0</v>
      </c>
      <c r="AE383">
        <f>IFERROR(INDEX(UWS!$G$10:$Z$41,MATCH($C383,UWS!$B$10:$B$41,0),MATCH(AE$4,UWS!$G$3:$Z$3,0)),0)</f>
        <v>0</v>
      </c>
      <c r="AF383">
        <f>IFERROR(INDEX(UWS!$G$10:$Z$41,MATCH($C383,UWS!$B$10:$B$41,0),MATCH(AF$4,UWS!$G$3:$Z$3,0)),0)</f>
        <v>0</v>
      </c>
      <c r="AG383">
        <f>IFERROR(INDEX(UWS!$G$10:$Z$41,MATCH($C383,UWS!$B$10:$B$41,0),MATCH(AG$4,UWS!$G$3:$Z$3,0)),0)</f>
        <v>0</v>
      </c>
      <c r="AH383">
        <f>IFERROR(INDEX(UWS!$G$10:$Z$41,MATCH($C383,UWS!$B$10:$B$41,0),MATCH(AH$4,UWS!$G$3:$Z$3,0)),0)</f>
        <v>0</v>
      </c>
      <c r="AI383">
        <f>IFERROR(INDEX(UWS!$G$10:$Z$41,MATCH($C383,UWS!$B$10:$B$41,0),MATCH(AI$4,UWS!$G$3:$Z$3,0)),0)</f>
        <v>0</v>
      </c>
      <c r="AK383" t="e">
        <f>IF(OR($J383=0,COUNTIFS($A$4:$A382,"&gt;="&amp;$A383-1,$A$4:$A382,"&lt;="&amp;$A383,$B$4:$B382,$B383)&gt;0,MIN(AK$1,IF($A383=$A382,AK382,1))-P383&lt;0),-1,MIN(1,IF($A383=$A382,AK382,1)-P383+$D$3))</f>
        <v>#N/A</v>
      </c>
      <c r="AL383" t="e">
        <f>IF(OR($J383=0,COUNTIFS($A$4:$A382,"&gt;="&amp;$A383-1,$A$4:$A382,"&lt;="&amp;$A383,$B$4:$B382,$B383)&gt;0,MIN(AL$1,IF($A383=$A382,AL382,1))-Q383&lt;0),-1,MIN(1,IF($A383=$A382,AL382,1)-Q383+$D$3))</f>
        <v>#N/A</v>
      </c>
      <c r="AM383" t="e">
        <f>IF(OR($J383=0,COUNTIFS($A$4:$A382,"&gt;="&amp;$A383-1,$A$4:$A382,"&lt;="&amp;$A383,$B$4:$B382,$B383)&gt;0,MIN(AM$1,IF($A383=$A382,AM382,1))-R383&lt;0),-1,MIN(1,IF($A383=$A382,AM382,1)-R383+$D$3))</f>
        <v>#N/A</v>
      </c>
      <c r="AN383" t="e">
        <f>IF(OR($J383=0,COUNTIFS($A$4:$A382,"&gt;="&amp;$A383-1,$A$4:$A382,"&lt;="&amp;$A383,$B$4:$B382,$B383)&gt;0,MIN(AN$1,IF($A383=$A382,AN382,1))-S383&lt;0),-1,MIN(1,IF($A383=$A382,AN382,1)-S383+$D$3))</f>
        <v>#N/A</v>
      </c>
      <c r="AO383" t="e">
        <f>IF(OR($J383=0,COUNTIFS($A$4:$A382,"&gt;="&amp;$A383-1,$A$4:$A382,"&lt;="&amp;$A383,$B$4:$B382,$B383)&gt;0,MIN(AO$1,IF($A383=$A382,AO382,1))-T383&lt;0),-1,MIN(1,IF($A383=$A382,AO382,1)-T383+$D$3))</f>
        <v>#N/A</v>
      </c>
      <c r="AP383" t="e">
        <f>IF(OR($J383=0,COUNTIFS($A$4:$A382,"&gt;="&amp;$A383-1,$A$4:$A382,"&lt;="&amp;$A383,$B$4:$B382,$B383)&gt;0,MIN(AP$1,IF($A383=$A382,AP382,1))-U383&lt;0),-1,MIN(1,IF($A383=$A382,AP382,1)-U383+$D$3))</f>
        <v>#N/A</v>
      </c>
      <c r="AQ383" t="e">
        <f>IF(OR($J383=0,COUNTIFS($A$4:$A382,"&gt;="&amp;$A383-1,$A$4:$A382,"&lt;="&amp;$A383,$B$4:$B382,$B383)&gt;0,MIN(AQ$1,IF($A383=$A382,AQ382,1))-V383&lt;0),-1,MIN(1,IF($A383=$A382,AQ382,1)-V383+$D$3))</f>
        <v>#N/A</v>
      </c>
      <c r="AR383" t="e">
        <f>IF(OR($J383=0,COUNTIFS($A$4:$A382,"&gt;="&amp;$A383-1,$A$4:$A382,"&lt;="&amp;$A383,$B$4:$B382,$B383)&gt;0,MIN(AR$1,IF($A383=$A382,AR382,1))-W383&lt;0),-1,MIN(1,IF($A383=$A382,AR382,1)-W383+$D$3))</f>
        <v>#N/A</v>
      </c>
      <c r="AS383" t="e">
        <f>IF(OR($J383=0,COUNTIFS($A$4:$A382,"&gt;="&amp;$A383-1,$A$4:$A382,"&lt;="&amp;$A383,$B$4:$B382,$B383)&gt;0,MIN(AS$1,IF($A383=$A382,AS382,1))-X383&lt;0),-1,MIN(1,IF($A383=$A382,AS382,1)-X383+$D$3))</f>
        <v>#N/A</v>
      </c>
      <c r="AT383" t="e">
        <f>IF(OR($J383=0,COUNTIFS($A$4:$A382,"&gt;="&amp;$A383-1,$A$4:$A382,"&lt;="&amp;$A383,$B$4:$B382,$B383)&gt;0,MIN(AT$1,IF($A383=$A382,AT382,1))-Y383&lt;0),-1,MIN(1,IF($A383=$A382,AT382,1)-Y383+$D$3))</f>
        <v>#N/A</v>
      </c>
      <c r="AU383" t="e">
        <f>IF(OR($J383=0,COUNTIFS($A$4:$A382,"&gt;="&amp;$A383-1,$A$4:$A382,"&lt;="&amp;$A383,$B$4:$B382,$B383)&gt;0,MIN(AU$1,IF($A383=$A382,AU382,1))-Z383&lt;0),-1,MIN(1,IF($A383=$A382,AU382,1)-Z383+$D$3))</f>
        <v>#N/A</v>
      </c>
      <c r="AV383" t="e">
        <f>IF(OR($J383=0,COUNTIFS($A$4:$A382,"&gt;="&amp;$A383-1,$A$4:$A382,"&lt;="&amp;$A383,$B$4:$B382,$B383)&gt;0,MIN(AV$1,IF($A383=$A382,AV382,1))-AA383&lt;0),-1,MIN(1,IF($A383=$A382,AV382,1)-AA383+$D$3))</f>
        <v>#N/A</v>
      </c>
      <c r="AW383" t="e">
        <f>IF(OR($J383=0,COUNTIFS($A$4:$A382,"&gt;="&amp;$A383-1,$A$4:$A382,"&lt;="&amp;$A383,$B$4:$B382,$B383)&gt;0,MIN(AW$1,IF($A383=$A382,AW382,1))-AB383&lt;0),-1,MIN(1,IF($A383=$A382,AW382,1)-AB383+$D$3))</f>
        <v>#N/A</v>
      </c>
      <c r="AX383" t="e">
        <f>IF(OR($J383=0,COUNTIFS($A$4:$A382,"&gt;="&amp;$A383-1,$A$4:$A382,"&lt;="&amp;$A383,$B$4:$B382,$B383)&gt;0,MIN(AX$1,IF($A383=$A382,AX382,1))-AC383&lt;0),-1,MIN(1,IF($A383=$A382,AX382,1)-AC383+$D$3))</f>
        <v>#N/A</v>
      </c>
      <c r="AY383" t="e">
        <f>IF(OR($J383=0,COUNTIFS($A$4:$A382,"&gt;="&amp;$A383-1,$A$4:$A382,"&lt;="&amp;$A383,$B$4:$B382,$B383)&gt;0,MIN(AY$1,IF($A383=$A382,AY382,1))-AD383&lt;0),-1,MIN(1,IF($A383=$A382,AY382,1)-AD383+$D$3))</f>
        <v>#N/A</v>
      </c>
      <c r="AZ383" t="e">
        <f>IF(OR($J383=0,COUNTIFS($A$4:$A382,"&gt;="&amp;$A383-1,$A$4:$A382,"&lt;="&amp;$A383,$B$4:$B382,$B383)&gt;0,MIN(AZ$1,IF($A383=$A382,AZ382,1))-AE383&lt;0),-1,MIN(1,IF($A383=$A382,AZ382,1)-AE383+$D$3))</f>
        <v>#N/A</v>
      </c>
      <c r="BA383" t="e">
        <f>IF(OR($J383=0,COUNTIFS($A$4:$A382,"&gt;="&amp;$A383-1,$A$4:$A382,"&lt;="&amp;$A383,$B$4:$B382,$B383)&gt;0,MIN(BA$1,IF($A383=$A382,BA382,1))-AF383&lt;0),-1,MIN(1,IF($A383=$A382,BA382,1)-AF383+$D$3))</f>
        <v>#N/A</v>
      </c>
      <c r="BB383" t="e">
        <f>IF(OR($J383=0,COUNTIFS($A$4:$A382,"&gt;="&amp;$A383-1,$A$4:$A382,"&lt;="&amp;$A383,$B$4:$B382,$B383)&gt;0,MIN(BB$1,IF($A383=$A382,BB382,1))-AG383&lt;0),-1,MIN(1,IF($A383=$A382,BB382,1)-AG383+$D$3))</f>
        <v>#N/A</v>
      </c>
      <c r="BC383" t="e">
        <f>IF(OR($J383=0,COUNTIFS($A$4:$A382,"&gt;="&amp;$A383-1,$A$4:$A382,"&lt;="&amp;$A383,$B$4:$B382,$B383)&gt;0,MIN(BC$1,IF($A383=$A382,BC382,1))-AH383&lt;0),-1,MIN(1,IF($A383=$A382,BC382,1)-AH383+$D$3))</f>
        <v>#N/A</v>
      </c>
      <c r="BD383" t="e">
        <f>IF(OR($J383=0,COUNTIFS($A$4:$A382,"&gt;="&amp;$A383-1,$A$4:$A382,"&lt;="&amp;$A383,$B$4:$B382,$B383)&gt;0,MIN(BD$1,IF($A383=$A382,BD382,1))-AI383&lt;0),-1,MIN(1,IF($A383=$A382,BD382,1)-AI383+$D$3))</f>
        <v>#N/A</v>
      </c>
      <c r="BF383" s="44">
        <f t="shared" si="399"/>
        <v>7.6480778191127327E-9</v>
      </c>
      <c r="BG383" s="44">
        <f t="shared" si="400"/>
        <v>1.8808781501444484E-8</v>
      </c>
      <c r="BH383" s="44">
        <f t="shared" si="401"/>
        <v>1.9277022548931505E-8</v>
      </c>
      <c r="BI383" s="44">
        <f t="shared" si="402"/>
        <v>1.7806616795828646E-8</v>
      </c>
      <c r="BJ383" s="44">
        <f t="shared" si="403"/>
        <v>1.840482894674514E-8</v>
      </c>
      <c r="BK383" s="44">
        <f t="shared" si="404"/>
        <v>7.9037197726677928E-9</v>
      </c>
      <c r="BL383" s="44">
        <f t="shared" si="405"/>
        <v>4.2697137656309848E-9</v>
      </c>
      <c r="BM383" s="44">
        <f t="shared" si="406"/>
        <v>1.0861653223787579E-8</v>
      </c>
      <c r="BN383" s="44">
        <f t="shared" si="407"/>
        <v>1.1296965859822715E-8</v>
      </c>
      <c r="BO383" s="44">
        <f t="shared" si="408"/>
        <v>5.2941868725659802E-9</v>
      </c>
      <c r="BP383" s="44">
        <f t="shared" si="409"/>
        <v>1.7801585403469106E-8</v>
      </c>
      <c r="BQ383" s="44">
        <f t="shared" si="410"/>
        <v>4.8039109982615659E-9</v>
      </c>
      <c r="BR383" s="44">
        <f t="shared" si="411"/>
        <v>1.4191955633548065E-8</v>
      </c>
      <c r="BS383" s="44">
        <f t="shared" si="412"/>
        <v>7.653910002039344E-9</v>
      </c>
      <c r="BT383" s="44">
        <f t="shared" si="413"/>
        <v>3.0288868386609619E-8</v>
      </c>
      <c r="BU383" s="44">
        <f t="shared" si="414"/>
        <v>2.8934983578056551E-8</v>
      </c>
      <c r="BV383" s="44">
        <f t="shared" si="415"/>
        <v>2.7788200935440487E-8</v>
      </c>
      <c r="BW383" s="44">
        <f t="shared" si="416"/>
        <v>1.8175012608069378E-8</v>
      </c>
      <c r="BX383" s="44">
        <f t="shared" si="417"/>
        <v>1.3427369270202084E-8</v>
      </c>
      <c r="BY383" s="44">
        <f t="shared" si="418"/>
        <v>1.1528939819328265E-8</v>
      </c>
      <c r="CA383" s="44" t="str">
        <f t="shared" si="419"/>
        <v/>
      </c>
      <c r="CB383" s="44" t="str">
        <f t="shared" si="420"/>
        <v/>
      </c>
      <c r="CC383" s="44" t="str">
        <f t="shared" si="421"/>
        <v/>
      </c>
      <c r="CD383" s="44" t="str">
        <f t="shared" si="422"/>
        <v/>
      </c>
      <c r="CE383" s="44" t="str">
        <f t="shared" si="423"/>
        <v/>
      </c>
      <c r="CF383" s="44" t="str">
        <f t="shared" si="424"/>
        <v/>
      </c>
      <c r="CG383" s="44" t="str">
        <f t="shared" si="425"/>
        <v/>
      </c>
      <c r="CH383" s="44" t="str">
        <f t="shared" si="426"/>
        <v/>
      </c>
      <c r="CI383" s="44" t="str">
        <f t="shared" si="427"/>
        <v/>
      </c>
      <c r="CJ383" s="44" t="str">
        <f t="shared" si="428"/>
        <v/>
      </c>
      <c r="CK383" s="44" t="str">
        <f t="shared" si="429"/>
        <v/>
      </c>
      <c r="CL383" s="44" t="str">
        <f t="shared" si="430"/>
        <v/>
      </c>
      <c r="CM383" s="44" t="str">
        <f t="shared" si="431"/>
        <v/>
      </c>
      <c r="CN383" s="44" t="str">
        <f t="shared" si="432"/>
        <v/>
      </c>
      <c r="CO383" s="44" t="str">
        <f t="shared" si="433"/>
        <v/>
      </c>
      <c r="CP383" s="44" t="str">
        <f t="shared" si="434"/>
        <v/>
      </c>
      <c r="CQ383" s="44" t="str">
        <f t="shared" si="435"/>
        <v/>
      </c>
      <c r="CR383" s="44" t="str">
        <f t="shared" si="436"/>
        <v/>
      </c>
      <c r="CS383" s="44" t="str">
        <f t="shared" si="437"/>
        <v/>
      </c>
      <c r="CT383" s="44" t="str">
        <f t="shared" si="438"/>
        <v/>
      </c>
      <c r="CV383" s="44">
        <f t="shared" si="439"/>
        <v>0</v>
      </c>
    </row>
    <row r="384" spans="1:100" x14ac:dyDescent="0.25">
      <c r="A384" s="41"/>
      <c r="B384" s="42"/>
      <c r="C384" s="43" t="str" cm="1">
        <f t="array" ref="C384">IF(B384="","",INDEX(UWS!$B$10:$B$41,B384))</f>
        <v/>
      </c>
      <c r="D384" s="40" t="str">
        <f t="shared" si="396"/>
        <v/>
      </c>
      <c r="E384" s="69" t="str">
        <f t="shared" si="397"/>
        <v/>
      </c>
      <c r="F384" s="48" cm="1">
        <f t="array" ref="F384">0.1+IFERROR(INDEX($F$5:$F383,SUMPRODUCT(MAX(ROW($C$5:$C383)*($C384=$C$5:$C383))-ROW($A$4)))*0.9^($A384-INDEX($A$5:A383,SUMPRODUCT(MAX(ROW($C$5:$C383)*($C384=$C$5:$C383))-ROW($A$4)))),0)</f>
        <v>31.900000000000183</v>
      </c>
      <c r="G384" s="55" t="e">
        <f>INDEX(UWS!$AB$10:$AB$41,MATCH(C384,UWS!$B$10:$B$41,0))</f>
        <v>#N/A</v>
      </c>
      <c r="H384" s="48" t="e">
        <f>INDEX(UWS!$C$10:$C$41,MATCH(C384,UWS!$B$10:$B$41,0))</f>
        <v>#N/A</v>
      </c>
      <c r="I384" s="27">
        <f t="shared" si="398"/>
        <v>5</v>
      </c>
      <c r="J384" s="27" t="e">
        <f>INDEX(UWS!$E$10:$E$41,MATCH(C384,UWS!$B$10:$B$41,0))</f>
        <v>#N/A</v>
      </c>
      <c r="L384" s="108" t="str" cm="1">
        <f t="array" ref="L384">IF(K384="","",INDEX(UWS!$B$10:$B$41,K384))</f>
        <v/>
      </c>
      <c r="N384" s="108" t="str" cm="1">
        <f t="array" ref="N384">IF(M384="","",INDEX(UWS!$B$10:$B$41,M384))</f>
        <v/>
      </c>
      <c r="P384">
        <f>IFERROR(INDEX(UWS!$G$10:$Z$41,MATCH($C384,UWS!$B$10:$B$41,0),MATCH(P$4,UWS!$G$3:$Z$3,0)),0)</f>
        <v>0</v>
      </c>
      <c r="Q384">
        <f>IFERROR(INDEX(UWS!$G$10:$Z$41,MATCH($C384,UWS!$B$10:$B$41,0),MATCH(Q$4,UWS!$G$3:$Z$3,0)),0)</f>
        <v>0</v>
      </c>
      <c r="R384">
        <f>IFERROR(INDEX(UWS!$G$10:$Z$41,MATCH($C384,UWS!$B$10:$B$41,0),MATCH(R$4,UWS!$G$3:$Z$3,0)),0)</f>
        <v>0</v>
      </c>
      <c r="S384">
        <f>IFERROR(INDEX(UWS!$G$10:$Z$41,MATCH($C384,UWS!$B$10:$B$41,0),MATCH(S$4,UWS!$G$3:$Z$3,0)),0)</f>
        <v>0</v>
      </c>
      <c r="T384">
        <f>IFERROR(INDEX(UWS!$G$10:$Z$41,MATCH($C384,UWS!$B$10:$B$41,0),MATCH(T$4,UWS!$G$3:$Z$3,0)),0)</f>
        <v>0</v>
      </c>
      <c r="U384">
        <f>IFERROR(INDEX(UWS!$G$10:$Z$41,MATCH($C384,UWS!$B$10:$B$41,0),MATCH(U$4,UWS!$G$3:$Z$3,0)),0)</f>
        <v>0</v>
      </c>
      <c r="V384">
        <f>IFERROR(INDEX(UWS!$G$10:$Z$41,MATCH($C384,UWS!$B$10:$B$41,0),MATCH(V$4,UWS!$G$3:$Z$3,0)),0)</f>
        <v>0</v>
      </c>
      <c r="W384">
        <f>IFERROR(INDEX(UWS!$G$10:$Z$41,MATCH($C384,UWS!$B$10:$B$41,0),MATCH(W$4,UWS!$G$3:$Z$3,0)),0)</f>
        <v>0</v>
      </c>
      <c r="X384">
        <f>IFERROR(INDEX(UWS!$G$10:$Z$41,MATCH($C384,UWS!$B$10:$B$41,0),MATCH(X$4,UWS!$G$3:$Z$3,0)),0)</f>
        <v>0</v>
      </c>
      <c r="Y384">
        <f>IFERROR(INDEX(UWS!$G$10:$Z$41,MATCH($C384,UWS!$B$10:$B$41,0),MATCH(Y$4,UWS!$G$3:$Z$3,0)),0)</f>
        <v>0</v>
      </c>
      <c r="Z384">
        <f>IFERROR(INDEX(UWS!$G$10:$Z$41,MATCH($C384,UWS!$B$10:$B$41,0),MATCH(Z$4,UWS!$G$3:$Z$3,0)),0)</f>
        <v>0</v>
      </c>
      <c r="AA384">
        <f>IFERROR(INDEX(UWS!$G$10:$Z$41,MATCH($C384,UWS!$B$10:$B$41,0),MATCH(AA$4,UWS!$G$3:$Z$3,0)),0)</f>
        <v>0</v>
      </c>
      <c r="AB384">
        <f>IFERROR(INDEX(UWS!$G$10:$Z$41,MATCH($C384,UWS!$B$10:$B$41,0),MATCH(AB$4,UWS!$G$3:$Z$3,0)),0)</f>
        <v>0</v>
      </c>
      <c r="AC384">
        <f>IFERROR(INDEX(UWS!$G$10:$Z$41,MATCH($C384,UWS!$B$10:$B$41,0),MATCH(AC$4,UWS!$G$3:$Z$3,0)),0)</f>
        <v>0</v>
      </c>
      <c r="AD384">
        <f>IFERROR(INDEX(UWS!$G$10:$Z$41,MATCH($C384,UWS!$B$10:$B$41,0),MATCH(AD$4,UWS!$G$3:$Z$3,0)),0)</f>
        <v>0</v>
      </c>
      <c r="AE384">
        <f>IFERROR(INDEX(UWS!$G$10:$Z$41,MATCH($C384,UWS!$B$10:$B$41,0),MATCH(AE$4,UWS!$G$3:$Z$3,0)),0)</f>
        <v>0</v>
      </c>
      <c r="AF384">
        <f>IFERROR(INDEX(UWS!$G$10:$Z$41,MATCH($C384,UWS!$B$10:$B$41,0),MATCH(AF$4,UWS!$G$3:$Z$3,0)),0)</f>
        <v>0</v>
      </c>
      <c r="AG384">
        <f>IFERROR(INDEX(UWS!$G$10:$Z$41,MATCH($C384,UWS!$B$10:$B$41,0),MATCH(AG$4,UWS!$G$3:$Z$3,0)),0)</f>
        <v>0</v>
      </c>
      <c r="AH384">
        <f>IFERROR(INDEX(UWS!$G$10:$Z$41,MATCH($C384,UWS!$B$10:$B$41,0),MATCH(AH$4,UWS!$G$3:$Z$3,0)),0)</f>
        <v>0</v>
      </c>
      <c r="AI384">
        <f>IFERROR(INDEX(UWS!$G$10:$Z$41,MATCH($C384,UWS!$B$10:$B$41,0),MATCH(AI$4,UWS!$G$3:$Z$3,0)),0)</f>
        <v>0</v>
      </c>
      <c r="AK384" t="e">
        <f>IF(OR($J384=0,COUNTIFS($A$4:$A383,"&gt;="&amp;$A384-1,$A$4:$A383,"&lt;="&amp;$A384,$B$4:$B383,$B384)&gt;0,MIN(AK$1,IF($A384=$A383,AK383,1))-P384&lt;0),-1,MIN(1,IF($A384=$A383,AK383,1)-P384+$D$3))</f>
        <v>#N/A</v>
      </c>
      <c r="AL384" t="e">
        <f>IF(OR($J384=0,COUNTIFS($A$4:$A383,"&gt;="&amp;$A384-1,$A$4:$A383,"&lt;="&amp;$A384,$B$4:$B383,$B384)&gt;0,MIN(AL$1,IF($A384=$A383,AL383,1))-Q384&lt;0),-1,MIN(1,IF($A384=$A383,AL383,1)-Q384+$D$3))</f>
        <v>#N/A</v>
      </c>
      <c r="AM384" t="e">
        <f>IF(OR($J384=0,COUNTIFS($A$4:$A383,"&gt;="&amp;$A384-1,$A$4:$A383,"&lt;="&amp;$A384,$B$4:$B383,$B384)&gt;0,MIN(AM$1,IF($A384=$A383,AM383,1))-R384&lt;0),-1,MIN(1,IF($A384=$A383,AM383,1)-R384+$D$3))</f>
        <v>#N/A</v>
      </c>
      <c r="AN384" t="e">
        <f>IF(OR($J384=0,COUNTIFS($A$4:$A383,"&gt;="&amp;$A384-1,$A$4:$A383,"&lt;="&amp;$A384,$B$4:$B383,$B384)&gt;0,MIN(AN$1,IF($A384=$A383,AN383,1))-S384&lt;0),-1,MIN(1,IF($A384=$A383,AN383,1)-S384+$D$3))</f>
        <v>#N/A</v>
      </c>
      <c r="AO384" t="e">
        <f>IF(OR($J384=0,COUNTIFS($A$4:$A383,"&gt;="&amp;$A384-1,$A$4:$A383,"&lt;="&amp;$A384,$B$4:$B383,$B384)&gt;0,MIN(AO$1,IF($A384=$A383,AO383,1))-T384&lt;0),-1,MIN(1,IF($A384=$A383,AO383,1)-T384+$D$3))</f>
        <v>#N/A</v>
      </c>
      <c r="AP384" t="e">
        <f>IF(OR($J384=0,COUNTIFS($A$4:$A383,"&gt;="&amp;$A384-1,$A$4:$A383,"&lt;="&amp;$A384,$B$4:$B383,$B384)&gt;0,MIN(AP$1,IF($A384=$A383,AP383,1))-U384&lt;0),-1,MIN(1,IF($A384=$A383,AP383,1)-U384+$D$3))</f>
        <v>#N/A</v>
      </c>
      <c r="AQ384" t="e">
        <f>IF(OR($J384=0,COUNTIFS($A$4:$A383,"&gt;="&amp;$A384-1,$A$4:$A383,"&lt;="&amp;$A384,$B$4:$B383,$B384)&gt;0,MIN(AQ$1,IF($A384=$A383,AQ383,1))-V384&lt;0),-1,MIN(1,IF($A384=$A383,AQ383,1)-V384+$D$3))</f>
        <v>#N/A</v>
      </c>
      <c r="AR384" t="e">
        <f>IF(OR($J384=0,COUNTIFS($A$4:$A383,"&gt;="&amp;$A384-1,$A$4:$A383,"&lt;="&amp;$A384,$B$4:$B383,$B384)&gt;0,MIN(AR$1,IF($A384=$A383,AR383,1))-W384&lt;0),-1,MIN(1,IF($A384=$A383,AR383,1)-W384+$D$3))</f>
        <v>#N/A</v>
      </c>
      <c r="AS384" t="e">
        <f>IF(OR($J384=0,COUNTIFS($A$4:$A383,"&gt;="&amp;$A384-1,$A$4:$A383,"&lt;="&amp;$A384,$B$4:$B383,$B384)&gt;0,MIN(AS$1,IF($A384=$A383,AS383,1))-X384&lt;0),-1,MIN(1,IF($A384=$A383,AS383,1)-X384+$D$3))</f>
        <v>#N/A</v>
      </c>
      <c r="AT384" t="e">
        <f>IF(OR($J384=0,COUNTIFS($A$4:$A383,"&gt;="&amp;$A384-1,$A$4:$A383,"&lt;="&amp;$A384,$B$4:$B383,$B384)&gt;0,MIN(AT$1,IF($A384=$A383,AT383,1))-Y384&lt;0),-1,MIN(1,IF($A384=$A383,AT383,1)-Y384+$D$3))</f>
        <v>#N/A</v>
      </c>
      <c r="AU384" t="e">
        <f>IF(OR($J384=0,COUNTIFS($A$4:$A383,"&gt;="&amp;$A384-1,$A$4:$A383,"&lt;="&amp;$A384,$B$4:$B383,$B384)&gt;0,MIN(AU$1,IF($A384=$A383,AU383,1))-Z384&lt;0),-1,MIN(1,IF($A384=$A383,AU383,1)-Z384+$D$3))</f>
        <v>#N/A</v>
      </c>
      <c r="AV384" t="e">
        <f>IF(OR($J384=0,COUNTIFS($A$4:$A383,"&gt;="&amp;$A384-1,$A$4:$A383,"&lt;="&amp;$A384,$B$4:$B383,$B384)&gt;0,MIN(AV$1,IF($A384=$A383,AV383,1))-AA384&lt;0),-1,MIN(1,IF($A384=$A383,AV383,1)-AA384+$D$3))</f>
        <v>#N/A</v>
      </c>
      <c r="AW384" t="e">
        <f>IF(OR($J384=0,COUNTIFS($A$4:$A383,"&gt;="&amp;$A384-1,$A$4:$A383,"&lt;="&amp;$A384,$B$4:$B383,$B384)&gt;0,MIN(AW$1,IF($A384=$A383,AW383,1))-AB384&lt;0),-1,MIN(1,IF($A384=$A383,AW383,1)-AB384+$D$3))</f>
        <v>#N/A</v>
      </c>
      <c r="AX384" t="e">
        <f>IF(OR($J384=0,COUNTIFS($A$4:$A383,"&gt;="&amp;$A384-1,$A$4:$A383,"&lt;="&amp;$A384,$B$4:$B383,$B384)&gt;0,MIN(AX$1,IF($A384=$A383,AX383,1))-AC384&lt;0),-1,MIN(1,IF($A384=$A383,AX383,1)-AC384+$D$3))</f>
        <v>#N/A</v>
      </c>
      <c r="AY384" t="e">
        <f>IF(OR($J384=0,COUNTIFS($A$4:$A383,"&gt;="&amp;$A384-1,$A$4:$A383,"&lt;="&amp;$A384,$B$4:$B383,$B384)&gt;0,MIN(AY$1,IF($A384=$A383,AY383,1))-AD384&lt;0),-1,MIN(1,IF($A384=$A383,AY383,1)-AD384+$D$3))</f>
        <v>#N/A</v>
      </c>
      <c r="AZ384" t="e">
        <f>IF(OR($J384=0,COUNTIFS($A$4:$A383,"&gt;="&amp;$A384-1,$A$4:$A383,"&lt;="&amp;$A384,$B$4:$B383,$B384)&gt;0,MIN(AZ$1,IF($A384=$A383,AZ383,1))-AE384&lt;0),-1,MIN(1,IF($A384=$A383,AZ383,1)-AE384+$D$3))</f>
        <v>#N/A</v>
      </c>
      <c r="BA384" t="e">
        <f>IF(OR($J384=0,COUNTIFS($A$4:$A383,"&gt;="&amp;$A384-1,$A$4:$A383,"&lt;="&amp;$A384,$B$4:$B383,$B384)&gt;0,MIN(BA$1,IF($A384=$A383,BA383,1))-AF384&lt;0),-1,MIN(1,IF($A384=$A383,BA383,1)-AF384+$D$3))</f>
        <v>#N/A</v>
      </c>
      <c r="BB384" t="e">
        <f>IF(OR($J384=0,COUNTIFS($A$4:$A383,"&gt;="&amp;$A384-1,$A$4:$A383,"&lt;="&amp;$A384,$B$4:$B383,$B384)&gt;0,MIN(BB$1,IF($A384=$A383,BB383,1))-AG384&lt;0),-1,MIN(1,IF($A384=$A383,BB383,1)-AG384+$D$3))</f>
        <v>#N/A</v>
      </c>
      <c r="BC384" t="e">
        <f>IF(OR($J384=0,COUNTIFS($A$4:$A383,"&gt;="&amp;$A384-1,$A$4:$A383,"&lt;="&amp;$A384,$B$4:$B383,$B384)&gt;0,MIN(BC$1,IF($A384=$A383,BC383,1))-AH384&lt;0),-1,MIN(1,IF($A384=$A383,BC383,1)-AH384+$D$3))</f>
        <v>#N/A</v>
      </c>
      <c r="BD384" t="e">
        <f>IF(OR($J384=0,COUNTIFS($A$4:$A383,"&gt;="&amp;$A384-1,$A$4:$A383,"&lt;="&amp;$A384,$B$4:$B383,$B384)&gt;0,MIN(BD$1,IF($A384=$A383,BD383,1))-AI384&lt;0),-1,MIN(1,IF($A384=$A383,BD383,1)-AI384+$D$3))</f>
        <v>#N/A</v>
      </c>
      <c r="BF384" s="44">
        <f t="shared" si="399"/>
        <v>7.2656739281570955E-9</v>
      </c>
      <c r="BG384" s="44">
        <f t="shared" si="400"/>
        <v>1.786834242637226E-8</v>
      </c>
      <c r="BH384" s="44">
        <f t="shared" si="401"/>
        <v>1.8313171421484929E-8</v>
      </c>
      <c r="BI384" s="44">
        <f t="shared" si="402"/>
        <v>1.6916285956037213E-8</v>
      </c>
      <c r="BJ384" s="44">
        <f t="shared" si="403"/>
        <v>1.7484587499407881E-8</v>
      </c>
      <c r="BK384" s="44">
        <f t="shared" si="404"/>
        <v>7.5085337840344033E-9</v>
      </c>
      <c r="BL384" s="44">
        <f t="shared" si="405"/>
        <v>4.0562280773494357E-9</v>
      </c>
      <c r="BM384" s="44">
        <f t="shared" si="406"/>
        <v>1.03185705625982E-8</v>
      </c>
      <c r="BN384" s="44">
        <f t="shared" si="407"/>
        <v>1.0732117566831579E-8</v>
      </c>
      <c r="BO384" s="44">
        <f t="shared" si="408"/>
        <v>5.0294775289376811E-9</v>
      </c>
      <c r="BP384" s="44">
        <f t="shared" si="409"/>
        <v>1.691150613329565E-8</v>
      </c>
      <c r="BQ384" s="44">
        <f t="shared" si="410"/>
        <v>4.5637154483484874E-9</v>
      </c>
      <c r="BR384" s="44">
        <f t="shared" si="411"/>
        <v>1.3482357851870661E-8</v>
      </c>
      <c r="BS384" s="44">
        <f t="shared" si="412"/>
        <v>7.2712145019373761E-9</v>
      </c>
      <c r="BT384" s="44">
        <f t="shared" si="413"/>
        <v>2.8774424967279137E-8</v>
      </c>
      <c r="BU384" s="44">
        <f t="shared" si="414"/>
        <v>2.7488234399153721E-8</v>
      </c>
      <c r="BV384" s="44">
        <f t="shared" si="415"/>
        <v>2.6398790888668461E-8</v>
      </c>
      <c r="BW384" s="44">
        <f t="shared" si="416"/>
        <v>1.726626197766591E-8</v>
      </c>
      <c r="BX384" s="44">
        <f t="shared" si="417"/>
        <v>1.2756000806691979E-8</v>
      </c>
      <c r="BY384" s="44">
        <f t="shared" si="418"/>
        <v>1.0952492828361852E-8</v>
      </c>
      <c r="CA384" s="44" t="str">
        <f t="shared" si="419"/>
        <v/>
      </c>
      <c r="CB384" s="44" t="str">
        <f t="shared" si="420"/>
        <v/>
      </c>
      <c r="CC384" s="44" t="str">
        <f t="shared" si="421"/>
        <v/>
      </c>
      <c r="CD384" s="44" t="str">
        <f t="shared" si="422"/>
        <v/>
      </c>
      <c r="CE384" s="44" t="str">
        <f t="shared" si="423"/>
        <v/>
      </c>
      <c r="CF384" s="44" t="str">
        <f t="shared" si="424"/>
        <v/>
      </c>
      <c r="CG384" s="44" t="str">
        <f t="shared" si="425"/>
        <v/>
      </c>
      <c r="CH384" s="44" t="str">
        <f t="shared" si="426"/>
        <v/>
      </c>
      <c r="CI384" s="44" t="str">
        <f t="shared" si="427"/>
        <v/>
      </c>
      <c r="CJ384" s="44" t="str">
        <f t="shared" si="428"/>
        <v/>
      </c>
      <c r="CK384" s="44" t="str">
        <f t="shared" si="429"/>
        <v/>
      </c>
      <c r="CL384" s="44" t="str">
        <f t="shared" si="430"/>
        <v/>
      </c>
      <c r="CM384" s="44" t="str">
        <f t="shared" si="431"/>
        <v/>
      </c>
      <c r="CN384" s="44" t="str">
        <f t="shared" si="432"/>
        <v/>
      </c>
      <c r="CO384" s="44" t="str">
        <f t="shared" si="433"/>
        <v/>
      </c>
      <c r="CP384" s="44" t="str">
        <f t="shared" si="434"/>
        <v/>
      </c>
      <c r="CQ384" s="44" t="str">
        <f t="shared" si="435"/>
        <v/>
      </c>
      <c r="CR384" s="44" t="str">
        <f t="shared" si="436"/>
        <v/>
      </c>
      <c r="CS384" s="44" t="str">
        <f t="shared" si="437"/>
        <v/>
      </c>
      <c r="CT384" s="44" t="str">
        <f t="shared" si="438"/>
        <v/>
      </c>
      <c r="CV384" s="44">
        <f t="shared" si="439"/>
        <v>0</v>
      </c>
    </row>
    <row r="385" spans="1:100" x14ac:dyDescent="0.25">
      <c r="A385" s="49"/>
      <c r="B385" s="50"/>
      <c r="C385" s="51" t="str" cm="1">
        <f t="array" ref="C385">IF(B385="","",INDEX(UWS!$B$10:$B$41,B385))</f>
        <v/>
      </c>
      <c r="D385" s="45" t="str">
        <f t="shared" si="396"/>
        <v/>
      </c>
      <c r="E385" s="70" t="str">
        <f t="shared" si="397"/>
        <v/>
      </c>
      <c r="F385" s="52" cm="1">
        <f t="array" ref="F385">0.1+IFERROR(INDEX($F$5:$F384,SUMPRODUCT(MAX(ROW($C$5:$C384)*($C385=$C$5:$C384))-ROW($A$4)))*0.9^($A385-INDEX($A$5:A384,SUMPRODUCT(MAX(ROW($C$5:$C384)*($C385=$C$5:$C384))-ROW($A$4)))),0)</f>
        <v>32.000000000000185</v>
      </c>
      <c r="G385" s="56" t="e">
        <f>INDEX(UWS!$AB$10:$AB$41,MATCH(C385,UWS!$B$10:$B$41,0))</f>
        <v>#N/A</v>
      </c>
      <c r="H385" s="52" t="e">
        <f>INDEX(UWS!$C$10:$C$41,MATCH(C385,UWS!$B$10:$B$41,0))</f>
        <v>#N/A</v>
      </c>
      <c r="I385" s="46">
        <f t="shared" si="398"/>
        <v>5</v>
      </c>
      <c r="J385" s="46" t="e">
        <f>INDEX(UWS!$E$10:$E$41,MATCH(C385,UWS!$B$10:$B$41,0))</f>
        <v>#N/A</v>
      </c>
      <c r="K385" s="46"/>
      <c r="L385" s="109" t="str" cm="1">
        <f t="array" ref="L385">IF(K385="","",INDEX(UWS!$B$10:$B$41,K385))</f>
        <v/>
      </c>
      <c r="M385" s="46"/>
      <c r="N385" s="109" t="str" cm="1">
        <f t="array" ref="N385">IF(M385="","",INDEX(UWS!$B$10:$B$41,M385))</f>
        <v/>
      </c>
      <c r="O385" s="47"/>
      <c r="P385" s="47">
        <f>IFERROR(INDEX(UWS!$G$10:$Z$41,MATCH($C385,UWS!$B$10:$B$41,0),MATCH(P$4,UWS!$G$3:$Z$3,0)),0)</f>
        <v>0</v>
      </c>
      <c r="Q385" s="47">
        <f>IFERROR(INDEX(UWS!$G$10:$Z$41,MATCH($C385,UWS!$B$10:$B$41,0),MATCH(Q$4,UWS!$G$3:$Z$3,0)),0)</f>
        <v>0</v>
      </c>
      <c r="R385" s="47">
        <f>IFERROR(INDEX(UWS!$G$10:$Z$41,MATCH($C385,UWS!$B$10:$B$41,0),MATCH(R$4,UWS!$G$3:$Z$3,0)),0)</f>
        <v>0</v>
      </c>
      <c r="S385" s="47">
        <f>IFERROR(INDEX(UWS!$G$10:$Z$41,MATCH($C385,UWS!$B$10:$B$41,0),MATCH(S$4,UWS!$G$3:$Z$3,0)),0)</f>
        <v>0</v>
      </c>
      <c r="T385" s="47">
        <f>IFERROR(INDEX(UWS!$G$10:$Z$41,MATCH($C385,UWS!$B$10:$B$41,0),MATCH(T$4,UWS!$G$3:$Z$3,0)),0)</f>
        <v>0</v>
      </c>
      <c r="U385" s="47">
        <f>IFERROR(INDEX(UWS!$G$10:$Z$41,MATCH($C385,UWS!$B$10:$B$41,0),MATCH(U$4,UWS!$G$3:$Z$3,0)),0)</f>
        <v>0</v>
      </c>
      <c r="V385" s="47">
        <f>IFERROR(INDEX(UWS!$G$10:$Z$41,MATCH($C385,UWS!$B$10:$B$41,0),MATCH(V$4,UWS!$G$3:$Z$3,0)),0)</f>
        <v>0</v>
      </c>
      <c r="W385" s="47">
        <f>IFERROR(INDEX(UWS!$G$10:$Z$41,MATCH($C385,UWS!$B$10:$B$41,0),MATCH(W$4,UWS!$G$3:$Z$3,0)),0)</f>
        <v>0</v>
      </c>
      <c r="X385" s="47">
        <f>IFERROR(INDEX(UWS!$G$10:$Z$41,MATCH($C385,UWS!$B$10:$B$41,0),MATCH(X$4,UWS!$G$3:$Z$3,0)),0)</f>
        <v>0</v>
      </c>
      <c r="Y385" s="47">
        <f>IFERROR(INDEX(UWS!$G$10:$Z$41,MATCH($C385,UWS!$B$10:$B$41,0),MATCH(Y$4,UWS!$G$3:$Z$3,0)),0)</f>
        <v>0</v>
      </c>
      <c r="Z385" s="47">
        <f>IFERROR(INDEX(UWS!$G$10:$Z$41,MATCH($C385,UWS!$B$10:$B$41,0),MATCH(Z$4,UWS!$G$3:$Z$3,0)),0)</f>
        <v>0</v>
      </c>
      <c r="AA385" s="47">
        <f>IFERROR(INDEX(UWS!$G$10:$Z$41,MATCH($C385,UWS!$B$10:$B$41,0),MATCH(AA$4,UWS!$G$3:$Z$3,0)),0)</f>
        <v>0</v>
      </c>
      <c r="AB385" s="47">
        <f>IFERROR(INDEX(UWS!$G$10:$Z$41,MATCH($C385,UWS!$B$10:$B$41,0),MATCH(AB$4,UWS!$G$3:$Z$3,0)),0)</f>
        <v>0</v>
      </c>
      <c r="AC385" s="47">
        <f>IFERROR(INDEX(UWS!$G$10:$Z$41,MATCH($C385,UWS!$B$10:$B$41,0),MATCH(AC$4,UWS!$G$3:$Z$3,0)),0)</f>
        <v>0</v>
      </c>
      <c r="AD385" s="47">
        <f>IFERROR(INDEX(UWS!$G$10:$Z$41,MATCH($C385,UWS!$B$10:$B$41,0),MATCH(AD$4,UWS!$G$3:$Z$3,0)),0)</f>
        <v>0</v>
      </c>
      <c r="AE385" s="47">
        <f>IFERROR(INDEX(UWS!$G$10:$Z$41,MATCH($C385,UWS!$B$10:$B$41,0),MATCH(AE$4,UWS!$G$3:$Z$3,0)),0)</f>
        <v>0</v>
      </c>
      <c r="AF385" s="47">
        <f>IFERROR(INDEX(UWS!$G$10:$Z$41,MATCH($C385,UWS!$B$10:$B$41,0),MATCH(AF$4,UWS!$G$3:$Z$3,0)),0)</f>
        <v>0</v>
      </c>
      <c r="AG385" s="47">
        <f>IFERROR(INDEX(UWS!$G$10:$Z$41,MATCH($C385,UWS!$B$10:$B$41,0),MATCH(AG$4,UWS!$G$3:$Z$3,0)),0)</f>
        <v>0</v>
      </c>
      <c r="AH385" s="47">
        <f>IFERROR(INDEX(UWS!$G$10:$Z$41,MATCH($C385,UWS!$B$10:$B$41,0),MATCH(AH$4,UWS!$G$3:$Z$3,0)),0)</f>
        <v>0</v>
      </c>
      <c r="AI385" s="47">
        <f>IFERROR(INDEX(UWS!$G$10:$Z$41,MATCH($C385,UWS!$B$10:$B$41,0),MATCH(AI$4,UWS!$G$3:$Z$3,0)),0)</f>
        <v>0</v>
      </c>
      <c r="AJ385" s="47"/>
      <c r="AK385" s="47" t="e">
        <f>IF(OR($J385=0,COUNTIFS($A$4:$A384,"&gt;="&amp;$A385-1,$A$4:$A384,"&lt;="&amp;$A385,$B$4:$B384,$B385)&gt;0,MIN(AK$1,IF($A385=$A384,AK384,1))-P385&lt;0),-1,MIN(1,IF($A385=$A384,AK384,1)-P385+$D$3))</f>
        <v>#N/A</v>
      </c>
      <c r="AL385" s="47" t="e">
        <f>IF(OR($J385=0,COUNTIFS($A$4:$A384,"&gt;="&amp;$A385-1,$A$4:$A384,"&lt;="&amp;$A385,$B$4:$B384,$B385)&gt;0,MIN(AL$1,IF($A385=$A384,AL384,1))-Q385&lt;0),-1,MIN(1,IF($A385=$A384,AL384,1)-Q385+$D$3))</f>
        <v>#N/A</v>
      </c>
      <c r="AM385" s="47" t="e">
        <f>IF(OR($J385=0,COUNTIFS($A$4:$A384,"&gt;="&amp;$A385-1,$A$4:$A384,"&lt;="&amp;$A385,$B$4:$B384,$B385)&gt;0,MIN(AM$1,IF($A385=$A384,AM384,1))-R385&lt;0),-1,MIN(1,IF($A385=$A384,AM384,1)-R385+$D$3))</f>
        <v>#N/A</v>
      </c>
      <c r="AN385" s="47" t="e">
        <f>IF(OR($J385=0,COUNTIFS($A$4:$A384,"&gt;="&amp;$A385-1,$A$4:$A384,"&lt;="&amp;$A385,$B$4:$B384,$B385)&gt;0,MIN(AN$1,IF($A385=$A384,AN384,1))-S385&lt;0),-1,MIN(1,IF($A385=$A384,AN384,1)-S385+$D$3))</f>
        <v>#N/A</v>
      </c>
      <c r="AO385" s="47" t="e">
        <f>IF(OR($J385=0,COUNTIFS($A$4:$A384,"&gt;="&amp;$A385-1,$A$4:$A384,"&lt;="&amp;$A385,$B$4:$B384,$B385)&gt;0,MIN(AO$1,IF($A385=$A384,AO384,1))-T385&lt;0),-1,MIN(1,IF($A385=$A384,AO384,1)-T385+$D$3))</f>
        <v>#N/A</v>
      </c>
      <c r="AP385" s="47" t="e">
        <f>IF(OR($J385=0,COUNTIFS($A$4:$A384,"&gt;="&amp;$A385-1,$A$4:$A384,"&lt;="&amp;$A385,$B$4:$B384,$B385)&gt;0,MIN(AP$1,IF($A385=$A384,AP384,1))-U385&lt;0),-1,MIN(1,IF($A385=$A384,AP384,1)-U385+$D$3))</f>
        <v>#N/A</v>
      </c>
      <c r="AQ385" s="47" t="e">
        <f>IF(OR($J385=0,COUNTIFS($A$4:$A384,"&gt;="&amp;$A385-1,$A$4:$A384,"&lt;="&amp;$A385,$B$4:$B384,$B385)&gt;0,MIN(AQ$1,IF($A385=$A384,AQ384,1))-V385&lt;0),-1,MIN(1,IF($A385=$A384,AQ384,1)-V385+$D$3))</f>
        <v>#N/A</v>
      </c>
      <c r="AR385" s="47" t="e">
        <f>IF(OR($J385=0,COUNTIFS($A$4:$A384,"&gt;="&amp;$A385-1,$A$4:$A384,"&lt;="&amp;$A385,$B$4:$B384,$B385)&gt;0,MIN(AR$1,IF($A385=$A384,AR384,1))-W385&lt;0),-1,MIN(1,IF($A385=$A384,AR384,1)-W385+$D$3))</f>
        <v>#N/A</v>
      </c>
      <c r="AS385" s="47" t="e">
        <f>IF(OR($J385=0,COUNTIFS($A$4:$A384,"&gt;="&amp;$A385-1,$A$4:$A384,"&lt;="&amp;$A385,$B$4:$B384,$B385)&gt;0,MIN(AS$1,IF($A385=$A384,AS384,1))-X385&lt;0),-1,MIN(1,IF($A385=$A384,AS384,1)-X385+$D$3))</f>
        <v>#N/A</v>
      </c>
      <c r="AT385" s="47" t="e">
        <f>IF(OR($J385=0,COUNTIFS($A$4:$A384,"&gt;="&amp;$A385-1,$A$4:$A384,"&lt;="&amp;$A385,$B$4:$B384,$B385)&gt;0,MIN(AT$1,IF($A385=$A384,AT384,1))-Y385&lt;0),-1,MIN(1,IF($A385=$A384,AT384,1)-Y385+$D$3))</f>
        <v>#N/A</v>
      </c>
      <c r="AU385" s="47" t="e">
        <f>IF(OR($J385=0,COUNTIFS($A$4:$A384,"&gt;="&amp;$A385-1,$A$4:$A384,"&lt;="&amp;$A385,$B$4:$B384,$B385)&gt;0,MIN(AU$1,IF($A385=$A384,AU384,1))-Z385&lt;0),-1,MIN(1,IF($A385=$A384,AU384,1)-Z385+$D$3))</f>
        <v>#N/A</v>
      </c>
      <c r="AV385" s="47" t="e">
        <f>IF(OR($J385=0,COUNTIFS($A$4:$A384,"&gt;="&amp;$A385-1,$A$4:$A384,"&lt;="&amp;$A385,$B$4:$B384,$B385)&gt;0,MIN(AV$1,IF($A385=$A384,AV384,1))-AA385&lt;0),-1,MIN(1,IF($A385=$A384,AV384,1)-AA385+$D$3))</f>
        <v>#N/A</v>
      </c>
      <c r="AW385" s="47" t="e">
        <f>IF(OR($J385=0,COUNTIFS($A$4:$A384,"&gt;="&amp;$A385-1,$A$4:$A384,"&lt;="&amp;$A385,$B$4:$B384,$B385)&gt;0,MIN(AW$1,IF($A385=$A384,AW384,1))-AB385&lt;0),-1,MIN(1,IF($A385=$A384,AW384,1)-AB385+$D$3))</f>
        <v>#N/A</v>
      </c>
      <c r="AX385" s="47" t="e">
        <f>IF(OR($J385=0,COUNTIFS($A$4:$A384,"&gt;="&amp;$A385-1,$A$4:$A384,"&lt;="&amp;$A385,$B$4:$B384,$B385)&gt;0,MIN(AX$1,IF($A385=$A384,AX384,1))-AC385&lt;0),-1,MIN(1,IF($A385=$A384,AX384,1)-AC385+$D$3))</f>
        <v>#N/A</v>
      </c>
      <c r="AY385" s="47" t="e">
        <f>IF(OR($J385=0,COUNTIFS($A$4:$A384,"&gt;="&amp;$A385-1,$A$4:$A384,"&lt;="&amp;$A385,$B$4:$B384,$B385)&gt;0,MIN(AY$1,IF($A385=$A384,AY384,1))-AD385&lt;0),-1,MIN(1,IF($A385=$A384,AY384,1)-AD385+$D$3))</f>
        <v>#N/A</v>
      </c>
      <c r="AZ385" s="47" t="e">
        <f>IF(OR($J385=0,COUNTIFS($A$4:$A384,"&gt;="&amp;$A385-1,$A$4:$A384,"&lt;="&amp;$A385,$B$4:$B384,$B385)&gt;0,MIN(AZ$1,IF($A385=$A384,AZ384,1))-AE385&lt;0),-1,MIN(1,IF($A385=$A384,AZ384,1)-AE385+$D$3))</f>
        <v>#N/A</v>
      </c>
      <c r="BA385" s="47" t="e">
        <f>IF(OR($J385=0,COUNTIFS($A$4:$A384,"&gt;="&amp;$A385-1,$A$4:$A384,"&lt;="&amp;$A385,$B$4:$B384,$B385)&gt;0,MIN(BA$1,IF($A385=$A384,BA384,1))-AF385&lt;0),-1,MIN(1,IF($A385=$A384,BA384,1)-AF385+$D$3))</f>
        <v>#N/A</v>
      </c>
      <c r="BB385" s="47" t="e">
        <f>IF(OR($J385=0,COUNTIFS($A$4:$A384,"&gt;="&amp;$A385-1,$A$4:$A384,"&lt;="&amp;$A385,$B$4:$B384,$B385)&gt;0,MIN(BB$1,IF($A385=$A384,BB384,1))-AG385&lt;0),-1,MIN(1,IF($A385=$A384,BB384,1)-AG385+$D$3))</f>
        <v>#N/A</v>
      </c>
      <c r="BC385" s="47" t="e">
        <f>IF(OR($J385=0,COUNTIFS($A$4:$A384,"&gt;="&amp;$A385-1,$A$4:$A384,"&lt;="&amp;$A385,$B$4:$B384,$B385)&gt;0,MIN(BC$1,IF($A385=$A384,BC384,1))-AH385&lt;0),-1,MIN(1,IF($A385=$A384,BC384,1)-AH385+$D$3))</f>
        <v>#N/A</v>
      </c>
      <c r="BD385" s="47" t="e">
        <f>IF(OR($J385=0,COUNTIFS($A$4:$A384,"&gt;="&amp;$A385-1,$A$4:$A384,"&lt;="&amp;$A385,$B$4:$B384,$B385)&gt;0,MIN(BD$1,IF($A385=$A384,BD384,1))-AI385&lt;0),-1,MIN(1,IF($A385=$A384,BD384,1)-AI385+$D$3))</f>
        <v>#N/A</v>
      </c>
      <c r="BE385" s="47"/>
      <c r="BF385" s="53">
        <f t="shared" si="399"/>
        <v>6.9023902317492407E-9</v>
      </c>
      <c r="BG385" s="53">
        <f t="shared" si="400"/>
        <v>1.6974925305053646E-8</v>
      </c>
      <c r="BH385" s="53">
        <f t="shared" si="401"/>
        <v>1.7397512850410681E-8</v>
      </c>
      <c r="BI385" s="53">
        <f t="shared" si="402"/>
        <v>1.6070471658235351E-8</v>
      </c>
      <c r="BJ385" s="53">
        <f t="shared" si="403"/>
        <v>1.6610358124437487E-8</v>
      </c>
      <c r="BK385" s="53">
        <f t="shared" si="404"/>
        <v>7.1331070948326824E-9</v>
      </c>
      <c r="BL385" s="53">
        <f t="shared" si="405"/>
        <v>3.8534166734819638E-9</v>
      </c>
      <c r="BM385" s="53">
        <f t="shared" si="406"/>
        <v>9.8026420344682888E-9</v>
      </c>
      <c r="BN385" s="53">
        <f t="shared" si="407"/>
        <v>1.0195511688489999E-8</v>
      </c>
      <c r="BO385" s="53">
        <f t="shared" si="408"/>
        <v>4.7780036524907965E-9</v>
      </c>
      <c r="BP385" s="53">
        <f t="shared" si="409"/>
        <v>1.6065930826630866E-8</v>
      </c>
      <c r="BQ385" s="53">
        <f t="shared" si="410"/>
        <v>4.335529675931063E-9</v>
      </c>
      <c r="BR385" s="53">
        <f t="shared" si="411"/>
        <v>1.2808239959277128E-8</v>
      </c>
      <c r="BS385" s="53">
        <f t="shared" si="412"/>
        <v>6.9076537768405073E-9</v>
      </c>
      <c r="BT385" s="53">
        <f t="shared" si="413"/>
        <v>2.7335703718915179E-8</v>
      </c>
      <c r="BU385" s="53">
        <f t="shared" si="414"/>
        <v>2.6113822679196033E-8</v>
      </c>
      <c r="BV385" s="53">
        <f t="shared" si="415"/>
        <v>2.5078851344235038E-8</v>
      </c>
      <c r="BW385" s="53">
        <f t="shared" si="416"/>
        <v>1.6402948878782612E-8</v>
      </c>
      <c r="BX385" s="53">
        <f t="shared" si="417"/>
        <v>1.2118200766357379E-8</v>
      </c>
      <c r="BY385" s="53">
        <f t="shared" si="418"/>
        <v>1.0404868186943759E-8</v>
      </c>
      <c r="BZ385" s="47"/>
      <c r="CA385" s="53" t="str">
        <f t="shared" si="419"/>
        <v/>
      </c>
      <c r="CB385" s="53" t="str">
        <f t="shared" si="420"/>
        <v/>
      </c>
      <c r="CC385" s="53" t="str">
        <f t="shared" si="421"/>
        <v/>
      </c>
      <c r="CD385" s="53" t="str">
        <f t="shared" si="422"/>
        <v/>
      </c>
      <c r="CE385" s="53" t="str">
        <f t="shared" si="423"/>
        <v/>
      </c>
      <c r="CF385" s="53" t="str">
        <f t="shared" si="424"/>
        <v/>
      </c>
      <c r="CG385" s="53" t="str">
        <f t="shared" si="425"/>
        <v/>
      </c>
      <c r="CH385" s="53" t="str">
        <f t="shared" si="426"/>
        <v/>
      </c>
      <c r="CI385" s="53" t="str">
        <f t="shared" si="427"/>
        <v/>
      </c>
      <c r="CJ385" s="53" t="str">
        <f t="shared" si="428"/>
        <v/>
      </c>
      <c r="CK385" s="53" t="str">
        <f t="shared" si="429"/>
        <v/>
      </c>
      <c r="CL385" s="53" t="str">
        <f t="shared" si="430"/>
        <v/>
      </c>
      <c r="CM385" s="53" t="str">
        <f t="shared" si="431"/>
        <v/>
      </c>
      <c r="CN385" s="53" t="str">
        <f t="shared" si="432"/>
        <v/>
      </c>
      <c r="CO385" s="53" t="str">
        <f t="shared" si="433"/>
        <v/>
      </c>
      <c r="CP385" s="53" t="str">
        <f t="shared" si="434"/>
        <v/>
      </c>
      <c r="CQ385" s="53" t="str">
        <f t="shared" si="435"/>
        <v/>
      </c>
      <c r="CR385" s="53" t="str">
        <f t="shared" si="436"/>
        <v/>
      </c>
      <c r="CS385" s="53" t="str">
        <f t="shared" si="437"/>
        <v/>
      </c>
      <c r="CT385" s="53" t="str">
        <f t="shared" si="438"/>
        <v/>
      </c>
      <c r="CU385" s="47"/>
      <c r="CV385" s="53">
        <f t="shared" si="439"/>
        <v>0</v>
      </c>
    </row>
    <row r="386" spans="1:100" x14ac:dyDescent="0.25">
      <c r="A386" s="41"/>
      <c r="B386" s="42"/>
      <c r="C386" s="43" t="str" cm="1">
        <f t="array" ref="C386">IF(B386="","",INDEX(UWS!$B$10:$B$41,B386))</f>
        <v/>
      </c>
      <c r="D386" s="40" t="str">
        <f t="shared" si="396"/>
        <v/>
      </c>
      <c r="E386" s="69" t="str">
        <f t="shared" si="397"/>
        <v/>
      </c>
      <c r="F386" s="48" cm="1">
        <f t="array" ref="F386">0.1+IFERROR(INDEX($F$5:$F385,SUMPRODUCT(MAX(ROW($C$5:$C385)*($C386=$C$5:$C385))-ROW($A$4)))*0.9^($A386-INDEX($A$5:A385,SUMPRODUCT(MAX(ROW($C$5:$C385)*($C386=$C$5:$C385))-ROW($A$4)))),0)</f>
        <v>32.100000000000186</v>
      </c>
      <c r="G386" s="55" t="e">
        <f>INDEX(UWS!$AB$10:$AB$41,MATCH(C386,UWS!$B$10:$B$41,0))</f>
        <v>#N/A</v>
      </c>
      <c r="H386" s="48" t="e">
        <f>INDEX(UWS!$C$10:$C$41,MATCH(C386,UWS!$B$10:$B$41,0))</f>
        <v>#N/A</v>
      </c>
      <c r="I386" s="82">
        <f t="shared" si="398"/>
        <v>5</v>
      </c>
      <c r="J386" s="27" t="e">
        <f>INDEX(UWS!$E$10:$E$41,MATCH(C386,UWS!$B$10:$B$41,0))</f>
        <v>#N/A</v>
      </c>
      <c r="L386" s="108" t="str" cm="1">
        <f t="array" ref="L386">IF(K386="","",INDEX(UWS!$B$10:$B$41,K386))</f>
        <v/>
      </c>
      <c r="N386" s="108" t="str" cm="1">
        <f t="array" ref="N386">IF(M386="","",INDEX(UWS!$B$10:$B$41,M386))</f>
        <v/>
      </c>
      <c r="P386">
        <f>IFERROR(INDEX(UWS!$G$10:$Z$41,MATCH($C386,UWS!$B$10:$B$41,0),MATCH(P$4,UWS!$G$3:$Z$3,0)),0)</f>
        <v>0</v>
      </c>
      <c r="Q386">
        <f>IFERROR(INDEX(UWS!$G$10:$Z$41,MATCH($C386,UWS!$B$10:$B$41,0),MATCH(Q$4,UWS!$G$3:$Z$3,0)),0)</f>
        <v>0</v>
      </c>
      <c r="R386">
        <f>IFERROR(INDEX(UWS!$G$10:$Z$41,MATCH($C386,UWS!$B$10:$B$41,0),MATCH(R$4,UWS!$G$3:$Z$3,0)),0)</f>
        <v>0</v>
      </c>
      <c r="S386">
        <f>IFERROR(INDEX(UWS!$G$10:$Z$41,MATCH($C386,UWS!$B$10:$B$41,0),MATCH(S$4,UWS!$G$3:$Z$3,0)),0)</f>
        <v>0</v>
      </c>
      <c r="T386">
        <f>IFERROR(INDEX(UWS!$G$10:$Z$41,MATCH($C386,UWS!$B$10:$B$41,0),MATCH(T$4,UWS!$G$3:$Z$3,0)),0)</f>
        <v>0</v>
      </c>
      <c r="U386">
        <f>IFERROR(INDEX(UWS!$G$10:$Z$41,MATCH($C386,UWS!$B$10:$B$41,0),MATCH(U$4,UWS!$G$3:$Z$3,0)),0)</f>
        <v>0</v>
      </c>
      <c r="V386">
        <f>IFERROR(INDEX(UWS!$G$10:$Z$41,MATCH($C386,UWS!$B$10:$B$41,0),MATCH(V$4,UWS!$G$3:$Z$3,0)),0)</f>
        <v>0</v>
      </c>
      <c r="W386">
        <f>IFERROR(INDEX(UWS!$G$10:$Z$41,MATCH($C386,UWS!$B$10:$B$41,0),MATCH(W$4,UWS!$G$3:$Z$3,0)),0)</f>
        <v>0</v>
      </c>
      <c r="X386">
        <f>IFERROR(INDEX(UWS!$G$10:$Z$41,MATCH($C386,UWS!$B$10:$B$41,0),MATCH(X$4,UWS!$G$3:$Z$3,0)),0)</f>
        <v>0</v>
      </c>
      <c r="Y386">
        <f>IFERROR(INDEX(UWS!$G$10:$Z$41,MATCH($C386,UWS!$B$10:$B$41,0),MATCH(Y$4,UWS!$G$3:$Z$3,0)),0)</f>
        <v>0</v>
      </c>
      <c r="Z386">
        <f>IFERROR(INDEX(UWS!$G$10:$Z$41,MATCH($C386,UWS!$B$10:$B$41,0),MATCH(Z$4,UWS!$G$3:$Z$3,0)),0)</f>
        <v>0</v>
      </c>
      <c r="AA386">
        <f>IFERROR(INDEX(UWS!$G$10:$Z$41,MATCH($C386,UWS!$B$10:$B$41,0),MATCH(AA$4,UWS!$G$3:$Z$3,0)),0)</f>
        <v>0</v>
      </c>
      <c r="AB386">
        <f>IFERROR(INDEX(UWS!$G$10:$Z$41,MATCH($C386,UWS!$B$10:$B$41,0),MATCH(AB$4,UWS!$G$3:$Z$3,0)),0)</f>
        <v>0</v>
      </c>
      <c r="AC386">
        <f>IFERROR(INDEX(UWS!$G$10:$Z$41,MATCH($C386,UWS!$B$10:$B$41,0),MATCH(AC$4,UWS!$G$3:$Z$3,0)),0)</f>
        <v>0</v>
      </c>
      <c r="AD386">
        <f>IFERROR(INDEX(UWS!$G$10:$Z$41,MATCH($C386,UWS!$B$10:$B$41,0),MATCH(AD$4,UWS!$G$3:$Z$3,0)),0)</f>
        <v>0</v>
      </c>
      <c r="AE386">
        <f>IFERROR(INDEX(UWS!$G$10:$Z$41,MATCH($C386,UWS!$B$10:$B$41,0),MATCH(AE$4,UWS!$G$3:$Z$3,0)),0)</f>
        <v>0</v>
      </c>
      <c r="AF386">
        <f>IFERROR(INDEX(UWS!$G$10:$Z$41,MATCH($C386,UWS!$B$10:$B$41,0),MATCH(AF$4,UWS!$G$3:$Z$3,0)),0)</f>
        <v>0</v>
      </c>
      <c r="AG386">
        <f>IFERROR(INDEX(UWS!$G$10:$Z$41,MATCH($C386,UWS!$B$10:$B$41,0),MATCH(AG$4,UWS!$G$3:$Z$3,0)),0)</f>
        <v>0</v>
      </c>
      <c r="AH386">
        <f>IFERROR(INDEX(UWS!$G$10:$Z$41,MATCH($C386,UWS!$B$10:$B$41,0),MATCH(AH$4,UWS!$G$3:$Z$3,0)),0)</f>
        <v>0</v>
      </c>
      <c r="AI386">
        <f>IFERROR(INDEX(UWS!$G$10:$Z$41,MATCH($C386,UWS!$B$10:$B$41,0),MATCH(AI$4,UWS!$G$3:$Z$3,0)),0)</f>
        <v>0</v>
      </c>
      <c r="AK386" t="e">
        <f>IF(OR($J386=0,COUNTIFS($A$4:$A385,"&gt;="&amp;$A386-1,$A$4:$A385,"&lt;="&amp;$A386,$B$4:$B385,$B386)&gt;0,MIN(AK$1,IF($A386=$A385,AK385,1))-P386&lt;0),-1,MIN(1,IF($A386=$A385,AK385,1)-P386+$D$3))</f>
        <v>#N/A</v>
      </c>
      <c r="AL386" t="e">
        <f>IF(OR($J386=0,COUNTIFS($A$4:$A385,"&gt;="&amp;$A386-1,$A$4:$A385,"&lt;="&amp;$A386,$B$4:$B385,$B386)&gt;0,MIN(AL$1,IF($A386=$A385,AL385,1))-Q386&lt;0),-1,MIN(1,IF($A386=$A385,AL385,1)-Q386+$D$3))</f>
        <v>#N/A</v>
      </c>
      <c r="AM386" t="e">
        <f>IF(OR($J386=0,COUNTIFS($A$4:$A385,"&gt;="&amp;$A386-1,$A$4:$A385,"&lt;="&amp;$A386,$B$4:$B385,$B386)&gt;0,MIN(AM$1,IF($A386=$A385,AM385,1))-R386&lt;0),-1,MIN(1,IF($A386=$A385,AM385,1)-R386+$D$3))</f>
        <v>#N/A</v>
      </c>
      <c r="AN386" t="e">
        <f>IF(OR($J386=0,COUNTIFS($A$4:$A385,"&gt;="&amp;$A386-1,$A$4:$A385,"&lt;="&amp;$A386,$B$4:$B385,$B386)&gt;0,MIN(AN$1,IF($A386=$A385,AN385,1))-S386&lt;0),-1,MIN(1,IF($A386=$A385,AN385,1)-S386+$D$3))</f>
        <v>#N/A</v>
      </c>
      <c r="AO386" t="e">
        <f>IF(OR($J386=0,COUNTIFS($A$4:$A385,"&gt;="&amp;$A386-1,$A$4:$A385,"&lt;="&amp;$A386,$B$4:$B385,$B386)&gt;0,MIN(AO$1,IF($A386=$A385,AO385,1))-T386&lt;0),-1,MIN(1,IF($A386=$A385,AO385,1)-T386+$D$3))</f>
        <v>#N/A</v>
      </c>
      <c r="AP386" t="e">
        <f>IF(OR($J386=0,COUNTIFS($A$4:$A385,"&gt;="&amp;$A386-1,$A$4:$A385,"&lt;="&amp;$A386,$B$4:$B385,$B386)&gt;0,MIN(AP$1,IF($A386=$A385,AP385,1))-U386&lt;0),-1,MIN(1,IF($A386=$A385,AP385,1)-U386+$D$3))</f>
        <v>#N/A</v>
      </c>
      <c r="AQ386" t="e">
        <f>IF(OR($J386=0,COUNTIFS($A$4:$A385,"&gt;="&amp;$A386-1,$A$4:$A385,"&lt;="&amp;$A386,$B$4:$B385,$B386)&gt;0,MIN(AQ$1,IF($A386=$A385,AQ385,1))-V386&lt;0),-1,MIN(1,IF($A386=$A385,AQ385,1)-V386+$D$3))</f>
        <v>#N/A</v>
      </c>
      <c r="AR386" t="e">
        <f>IF(OR($J386=0,COUNTIFS($A$4:$A385,"&gt;="&amp;$A386-1,$A$4:$A385,"&lt;="&amp;$A386,$B$4:$B385,$B386)&gt;0,MIN(AR$1,IF($A386=$A385,AR385,1))-W386&lt;0),-1,MIN(1,IF($A386=$A385,AR385,1)-W386+$D$3))</f>
        <v>#N/A</v>
      </c>
      <c r="AS386" t="e">
        <f>IF(OR($J386=0,COUNTIFS($A$4:$A385,"&gt;="&amp;$A386-1,$A$4:$A385,"&lt;="&amp;$A386,$B$4:$B385,$B386)&gt;0,MIN(AS$1,IF($A386=$A385,AS385,1))-X386&lt;0),-1,MIN(1,IF($A386=$A385,AS385,1)-X386+$D$3))</f>
        <v>#N/A</v>
      </c>
      <c r="AT386" t="e">
        <f>IF(OR($J386=0,COUNTIFS($A$4:$A385,"&gt;="&amp;$A386-1,$A$4:$A385,"&lt;="&amp;$A386,$B$4:$B385,$B386)&gt;0,MIN(AT$1,IF($A386=$A385,AT385,1))-Y386&lt;0),-1,MIN(1,IF($A386=$A385,AT385,1)-Y386+$D$3))</f>
        <v>#N/A</v>
      </c>
      <c r="AU386" t="e">
        <f>IF(OR($J386=0,COUNTIFS($A$4:$A385,"&gt;="&amp;$A386-1,$A$4:$A385,"&lt;="&amp;$A386,$B$4:$B385,$B386)&gt;0,MIN(AU$1,IF($A386=$A385,AU385,1))-Z386&lt;0),-1,MIN(1,IF($A386=$A385,AU385,1)-Z386+$D$3))</f>
        <v>#N/A</v>
      </c>
      <c r="AV386" t="e">
        <f>IF(OR($J386=0,COUNTIFS($A$4:$A385,"&gt;="&amp;$A386-1,$A$4:$A385,"&lt;="&amp;$A386,$B$4:$B385,$B386)&gt;0,MIN(AV$1,IF($A386=$A385,AV385,1))-AA386&lt;0),-1,MIN(1,IF($A386=$A385,AV385,1)-AA386+$D$3))</f>
        <v>#N/A</v>
      </c>
      <c r="AW386" t="e">
        <f>IF(OR($J386=0,COUNTIFS($A$4:$A385,"&gt;="&amp;$A386-1,$A$4:$A385,"&lt;="&amp;$A386,$B$4:$B385,$B386)&gt;0,MIN(AW$1,IF($A386=$A385,AW385,1))-AB386&lt;0),-1,MIN(1,IF($A386=$A385,AW385,1)-AB386+$D$3))</f>
        <v>#N/A</v>
      </c>
      <c r="AX386" t="e">
        <f>IF(OR($J386=0,COUNTIFS($A$4:$A385,"&gt;="&amp;$A386-1,$A$4:$A385,"&lt;="&amp;$A386,$B$4:$B385,$B386)&gt;0,MIN(AX$1,IF($A386=$A385,AX385,1))-AC386&lt;0),-1,MIN(1,IF($A386=$A385,AX385,1)-AC386+$D$3))</f>
        <v>#N/A</v>
      </c>
      <c r="AY386" t="e">
        <f>IF(OR($J386=0,COUNTIFS($A$4:$A385,"&gt;="&amp;$A386-1,$A$4:$A385,"&lt;="&amp;$A386,$B$4:$B385,$B386)&gt;0,MIN(AY$1,IF($A386=$A385,AY385,1))-AD386&lt;0),-1,MIN(1,IF($A386=$A385,AY385,1)-AD386+$D$3))</f>
        <v>#N/A</v>
      </c>
      <c r="AZ386" t="e">
        <f>IF(OR($J386=0,COUNTIFS($A$4:$A385,"&gt;="&amp;$A386-1,$A$4:$A385,"&lt;="&amp;$A386,$B$4:$B385,$B386)&gt;0,MIN(AZ$1,IF($A386=$A385,AZ385,1))-AE386&lt;0),-1,MIN(1,IF($A386=$A385,AZ385,1)-AE386+$D$3))</f>
        <v>#N/A</v>
      </c>
      <c r="BA386" t="e">
        <f>IF(OR($J386=0,COUNTIFS($A$4:$A385,"&gt;="&amp;$A386-1,$A$4:$A385,"&lt;="&amp;$A386,$B$4:$B385,$B386)&gt;0,MIN(BA$1,IF($A386=$A385,BA385,1))-AF386&lt;0),-1,MIN(1,IF($A386=$A385,BA385,1)-AF386+$D$3))</f>
        <v>#N/A</v>
      </c>
      <c r="BB386" t="e">
        <f>IF(OR($J386=0,COUNTIFS($A$4:$A385,"&gt;="&amp;$A386-1,$A$4:$A385,"&lt;="&amp;$A386,$B$4:$B385,$B386)&gt;0,MIN(BB$1,IF($A386=$A385,BB385,1))-AG386&lt;0),-1,MIN(1,IF($A386=$A385,BB385,1)-AG386+$D$3))</f>
        <v>#N/A</v>
      </c>
      <c r="BC386" t="e">
        <f>IF(OR($J386=0,COUNTIFS($A$4:$A385,"&gt;="&amp;$A386-1,$A$4:$A385,"&lt;="&amp;$A386,$B$4:$B385,$B386)&gt;0,MIN(BC$1,IF($A386=$A385,BC385,1))-AH386&lt;0),-1,MIN(1,IF($A386=$A385,BC385,1)-AH386+$D$3))</f>
        <v>#N/A</v>
      </c>
      <c r="BD386" t="e">
        <f>IF(OR($J386=0,COUNTIFS($A$4:$A385,"&gt;="&amp;$A386-1,$A$4:$A385,"&lt;="&amp;$A386,$B$4:$B385,$B386)&gt;0,MIN(BD$1,IF($A386=$A385,BD385,1))-AI386&lt;0),-1,MIN(1,IF($A386=$A385,BD385,1)-AI386+$D$3))</f>
        <v>#N/A</v>
      </c>
      <c r="BF386" s="44">
        <f t="shared" si="399"/>
        <v>6.5572707201617787E-9</v>
      </c>
      <c r="BG386" s="44">
        <f t="shared" si="400"/>
        <v>1.6126179039800962E-8</v>
      </c>
      <c r="BH386" s="44">
        <f t="shared" si="401"/>
        <v>1.6527637207890146E-8</v>
      </c>
      <c r="BI386" s="44">
        <f t="shared" si="402"/>
        <v>1.5266948075323583E-8</v>
      </c>
      <c r="BJ386" s="44">
        <f t="shared" si="403"/>
        <v>1.5779840218215611E-8</v>
      </c>
      <c r="BK386" s="44">
        <f t="shared" si="404"/>
        <v>6.7764517400910478E-9</v>
      </c>
      <c r="BL386" s="44">
        <f t="shared" si="405"/>
        <v>3.6607458398078653E-9</v>
      </c>
      <c r="BM386" s="44">
        <f t="shared" si="406"/>
        <v>9.312509932744874E-9</v>
      </c>
      <c r="BN386" s="44">
        <f t="shared" si="407"/>
        <v>9.6857361040654985E-9</v>
      </c>
      <c r="BO386" s="44">
        <f t="shared" si="408"/>
        <v>4.5391034698662562E-9</v>
      </c>
      <c r="BP386" s="44">
        <f t="shared" si="409"/>
        <v>1.5262634285299323E-8</v>
      </c>
      <c r="BQ386" s="44">
        <f t="shared" si="410"/>
        <v>4.1187531921345094E-9</v>
      </c>
      <c r="BR386" s="44">
        <f t="shared" si="411"/>
        <v>1.2167827961313271E-8</v>
      </c>
      <c r="BS386" s="44">
        <f t="shared" si="412"/>
        <v>6.5622710879984818E-9</v>
      </c>
      <c r="BT386" s="44">
        <f t="shared" si="413"/>
        <v>2.5968918532969419E-8</v>
      </c>
      <c r="BU386" s="44">
        <f t="shared" si="414"/>
        <v>2.4808131545236231E-8</v>
      </c>
      <c r="BV386" s="44">
        <f t="shared" si="415"/>
        <v>2.3824908777023286E-8</v>
      </c>
      <c r="BW386" s="44">
        <f t="shared" si="416"/>
        <v>1.5582801434843482E-8</v>
      </c>
      <c r="BX386" s="44">
        <f t="shared" si="417"/>
        <v>1.1512290728039509E-8</v>
      </c>
      <c r="BY386" s="44">
        <f t="shared" si="418"/>
        <v>9.8846247775965708E-9</v>
      </c>
      <c r="CA386" s="44" t="str">
        <f t="shared" si="419"/>
        <v/>
      </c>
      <c r="CB386" s="44" t="str">
        <f t="shared" si="420"/>
        <v/>
      </c>
      <c r="CC386" s="44" t="str">
        <f t="shared" si="421"/>
        <v/>
      </c>
      <c r="CD386" s="44" t="str">
        <f t="shared" si="422"/>
        <v/>
      </c>
      <c r="CE386" s="44" t="str">
        <f t="shared" si="423"/>
        <v/>
      </c>
      <c r="CF386" s="44" t="str">
        <f t="shared" si="424"/>
        <v/>
      </c>
      <c r="CG386" s="44" t="str">
        <f t="shared" si="425"/>
        <v/>
      </c>
      <c r="CH386" s="44" t="str">
        <f t="shared" si="426"/>
        <v/>
      </c>
      <c r="CI386" s="44" t="str">
        <f t="shared" si="427"/>
        <v/>
      </c>
      <c r="CJ386" s="44" t="str">
        <f t="shared" si="428"/>
        <v/>
      </c>
      <c r="CK386" s="44" t="str">
        <f t="shared" si="429"/>
        <v/>
      </c>
      <c r="CL386" s="44" t="str">
        <f t="shared" si="430"/>
        <v/>
      </c>
      <c r="CM386" s="44" t="str">
        <f t="shared" si="431"/>
        <v/>
      </c>
      <c r="CN386" s="44" t="str">
        <f t="shared" si="432"/>
        <v/>
      </c>
      <c r="CO386" s="44" t="str">
        <f t="shared" si="433"/>
        <v/>
      </c>
      <c r="CP386" s="44" t="str">
        <f t="shared" si="434"/>
        <v/>
      </c>
      <c r="CQ386" s="44" t="str">
        <f t="shared" si="435"/>
        <v/>
      </c>
      <c r="CR386" s="44" t="str">
        <f t="shared" si="436"/>
        <v/>
      </c>
      <c r="CS386" s="44" t="str">
        <f t="shared" si="437"/>
        <v/>
      </c>
      <c r="CT386" s="44" t="str">
        <f t="shared" si="438"/>
        <v/>
      </c>
      <c r="CV386" s="44">
        <f t="shared" si="439"/>
        <v>0</v>
      </c>
    </row>
    <row r="387" spans="1:100" x14ac:dyDescent="0.25">
      <c r="A387" s="41"/>
      <c r="B387" s="42"/>
      <c r="C387" s="43" t="str" cm="1">
        <f t="array" ref="C387">IF(B387="","",INDEX(UWS!$B$10:$B$41,B387))</f>
        <v/>
      </c>
      <c r="D387" s="40" t="str">
        <f t="shared" si="396"/>
        <v/>
      </c>
      <c r="E387" s="69" t="str">
        <f t="shared" si="397"/>
        <v/>
      </c>
      <c r="F387" s="48" cm="1">
        <f t="array" ref="F387">0.1+IFERROR(INDEX($F$5:$F386,SUMPRODUCT(MAX(ROW($C$5:$C386)*($C387=$C$5:$C386))-ROW($A$4)))*0.9^($A387-INDEX($A$5:A386,SUMPRODUCT(MAX(ROW($C$5:$C386)*($C387=$C$5:$C386))-ROW($A$4)))),0)</f>
        <v>32.200000000000188</v>
      </c>
      <c r="G387" s="55" t="e">
        <f>INDEX(UWS!$AB$10:$AB$41,MATCH(C387,UWS!$B$10:$B$41,0))</f>
        <v>#N/A</v>
      </c>
      <c r="H387" s="48" t="e">
        <f>INDEX(UWS!$C$10:$C$41,MATCH(C387,UWS!$B$10:$B$41,0))</f>
        <v>#N/A</v>
      </c>
      <c r="I387" s="27">
        <f t="shared" si="398"/>
        <v>5</v>
      </c>
      <c r="J387" s="27" t="e">
        <f>INDEX(UWS!$E$10:$E$41,MATCH(C387,UWS!$B$10:$B$41,0))</f>
        <v>#N/A</v>
      </c>
      <c r="L387" s="108" t="str" cm="1">
        <f t="array" ref="L387">IF(K387="","",INDEX(UWS!$B$10:$B$41,K387))</f>
        <v/>
      </c>
      <c r="N387" s="108" t="str" cm="1">
        <f t="array" ref="N387">IF(M387="","",INDEX(UWS!$B$10:$B$41,M387))</f>
        <v/>
      </c>
      <c r="P387">
        <f>IFERROR(INDEX(UWS!$G$10:$Z$41,MATCH($C387,UWS!$B$10:$B$41,0),MATCH(P$4,UWS!$G$3:$Z$3,0)),0)</f>
        <v>0</v>
      </c>
      <c r="Q387">
        <f>IFERROR(INDEX(UWS!$G$10:$Z$41,MATCH($C387,UWS!$B$10:$B$41,0),MATCH(Q$4,UWS!$G$3:$Z$3,0)),0)</f>
        <v>0</v>
      </c>
      <c r="R387">
        <f>IFERROR(INDEX(UWS!$G$10:$Z$41,MATCH($C387,UWS!$B$10:$B$41,0),MATCH(R$4,UWS!$G$3:$Z$3,0)),0)</f>
        <v>0</v>
      </c>
      <c r="S387">
        <f>IFERROR(INDEX(UWS!$G$10:$Z$41,MATCH($C387,UWS!$B$10:$B$41,0),MATCH(S$4,UWS!$G$3:$Z$3,0)),0)</f>
        <v>0</v>
      </c>
      <c r="T387">
        <f>IFERROR(INDEX(UWS!$G$10:$Z$41,MATCH($C387,UWS!$B$10:$B$41,0),MATCH(T$4,UWS!$G$3:$Z$3,0)),0)</f>
        <v>0</v>
      </c>
      <c r="U387">
        <f>IFERROR(INDEX(UWS!$G$10:$Z$41,MATCH($C387,UWS!$B$10:$B$41,0),MATCH(U$4,UWS!$G$3:$Z$3,0)),0)</f>
        <v>0</v>
      </c>
      <c r="V387">
        <f>IFERROR(INDEX(UWS!$G$10:$Z$41,MATCH($C387,UWS!$B$10:$B$41,0),MATCH(V$4,UWS!$G$3:$Z$3,0)),0)</f>
        <v>0</v>
      </c>
      <c r="W387">
        <f>IFERROR(INDEX(UWS!$G$10:$Z$41,MATCH($C387,UWS!$B$10:$B$41,0),MATCH(W$4,UWS!$G$3:$Z$3,0)),0)</f>
        <v>0</v>
      </c>
      <c r="X387">
        <f>IFERROR(INDEX(UWS!$G$10:$Z$41,MATCH($C387,UWS!$B$10:$B$41,0),MATCH(X$4,UWS!$G$3:$Z$3,0)),0)</f>
        <v>0</v>
      </c>
      <c r="Y387">
        <f>IFERROR(INDEX(UWS!$G$10:$Z$41,MATCH($C387,UWS!$B$10:$B$41,0),MATCH(Y$4,UWS!$G$3:$Z$3,0)),0)</f>
        <v>0</v>
      </c>
      <c r="Z387">
        <f>IFERROR(INDEX(UWS!$G$10:$Z$41,MATCH($C387,UWS!$B$10:$B$41,0),MATCH(Z$4,UWS!$G$3:$Z$3,0)),0)</f>
        <v>0</v>
      </c>
      <c r="AA387">
        <f>IFERROR(INDEX(UWS!$G$10:$Z$41,MATCH($C387,UWS!$B$10:$B$41,0),MATCH(AA$4,UWS!$G$3:$Z$3,0)),0)</f>
        <v>0</v>
      </c>
      <c r="AB387">
        <f>IFERROR(INDEX(UWS!$G$10:$Z$41,MATCH($C387,UWS!$B$10:$B$41,0),MATCH(AB$4,UWS!$G$3:$Z$3,0)),0)</f>
        <v>0</v>
      </c>
      <c r="AC387">
        <f>IFERROR(INDEX(UWS!$G$10:$Z$41,MATCH($C387,UWS!$B$10:$B$41,0),MATCH(AC$4,UWS!$G$3:$Z$3,0)),0)</f>
        <v>0</v>
      </c>
      <c r="AD387">
        <f>IFERROR(INDEX(UWS!$G$10:$Z$41,MATCH($C387,UWS!$B$10:$B$41,0),MATCH(AD$4,UWS!$G$3:$Z$3,0)),0)</f>
        <v>0</v>
      </c>
      <c r="AE387">
        <f>IFERROR(INDEX(UWS!$G$10:$Z$41,MATCH($C387,UWS!$B$10:$B$41,0),MATCH(AE$4,UWS!$G$3:$Z$3,0)),0)</f>
        <v>0</v>
      </c>
      <c r="AF387">
        <f>IFERROR(INDEX(UWS!$G$10:$Z$41,MATCH($C387,UWS!$B$10:$B$41,0),MATCH(AF$4,UWS!$G$3:$Z$3,0)),0)</f>
        <v>0</v>
      </c>
      <c r="AG387">
        <f>IFERROR(INDEX(UWS!$G$10:$Z$41,MATCH($C387,UWS!$B$10:$B$41,0),MATCH(AG$4,UWS!$G$3:$Z$3,0)),0)</f>
        <v>0</v>
      </c>
      <c r="AH387">
        <f>IFERROR(INDEX(UWS!$G$10:$Z$41,MATCH($C387,UWS!$B$10:$B$41,0),MATCH(AH$4,UWS!$G$3:$Z$3,0)),0)</f>
        <v>0</v>
      </c>
      <c r="AI387">
        <f>IFERROR(INDEX(UWS!$G$10:$Z$41,MATCH($C387,UWS!$B$10:$B$41,0),MATCH(AI$4,UWS!$G$3:$Z$3,0)),0)</f>
        <v>0</v>
      </c>
      <c r="AK387" t="e">
        <f>IF(OR($J387=0,COUNTIFS($A$4:$A386,"&gt;="&amp;$A387-1,$A$4:$A386,"&lt;="&amp;$A387,$B$4:$B386,$B387)&gt;0,MIN(AK$1,IF($A387=$A386,AK386,1))-P387&lt;0),-1,MIN(1,IF($A387=$A386,AK386,1)-P387+$D$3))</f>
        <v>#N/A</v>
      </c>
      <c r="AL387" t="e">
        <f>IF(OR($J387=0,COUNTIFS($A$4:$A386,"&gt;="&amp;$A387-1,$A$4:$A386,"&lt;="&amp;$A387,$B$4:$B386,$B387)&gt;0,MIN(AL$1,IF($A387=$A386,AL386,1))-Q387&lt;0),-1,MIN(1,IF($A387=$A386,AL386,1)-Q387+$D$3))</f>
        <v>#N/A</v>
      </c>
      <c r="AM387" t="e">
        <f>IF(OR($J387=0,COUNTIFS($A$4:$A386,"&gt;="&amp;$A387-1,$A$4:$A386,"&lt;="&amp;$A387,$B$4:$B386,$B387)&gt;0,MIN(AM$1,IF($A387=$A386,AM386,1))-R387&lt;0),-1,MIN(1,IF($A387=$A386,AM386,1)-R387+$D$3))</f>
        <v>#N/A</v>
      </c>
      <c r="AN387" t="e">
        <f>IF(OR($J387=0,COUNTIFS($A$4:$A386,"&gt;="&amp;$A387-1,$A$4:$A386,"&lt;="&amp;$A387,$B$4:$B386,$B387)&gt;0,MIN(AN$1,IF($A387=$A386,AN386,1))-S387&lt;0),-1,MIN(1,IF($A387=$A386,AN386,1)-S387+$D$3))</f>
        <v>#N/A</v>
      </c>
      <c r="AO387" t="e">
        <f>IF(OR($J387=0,COUNTIFS($A$4:$A386,"&gt;="&amp;$A387-1,$A$4:$A386,"&lt;="&amp;$A387,$B$4:$B386,$B387)&gt;0,MIN(AO$1,IF($A387=$A386,AO386,1))-T387&lt;0),-1,MIN(1,IF($A387=$A386,AO386,1)-T387+$D$3))</f>
        <v>#N/A</v>
      </c>
      <c r="AP387" t="e">
        <f>IF(OR($J387=0,COUNTIFS($A$4:$A386,"&gt;="&amp;$A387-1,$A$4:$A386,"&lt;="&amp;$A387,$B$4:$B386,$B387)&gt;0,MIN(AP$1,IF($A387=$A386,AP386,1))-U387&lt;0),-1,MIN(1,IF($A387=$A386,AP386,1)-U387+$D$3))</f>
        <v>#N/A</v>
      </c>
      <c r="AQ387" t="e">
        <f>IF(OR($J387=0,COUNTIFS($A$4:$A386,"&gt;="&amp;$A387-1,$A$4:$A386,"&lt;="&amp;$A387,$B$4:$B386,$B387)&gt;0,MIN(AQ$1,IF($A387=$A386,AQ386,1))-V387&lt;0),-1,MIN(1,IF($A387=$A386,AQ386,1)-V387+$D$3))</f>
        <v>#N/A</v>
      </c>
      <c r="AR387" t="e">
        <f>IF(OR($J387=0,COUNTIFS($A$4:$A386,"&gt;="&amp;$A387-1,$A$4:$A386,"&lt;="&amp;$A387,$B$4:$B386,$B387)&gt;0,MIN(AR$1,IF($A387=$A386,AR386,1))-W387&lt;0),-1,MIN(1,IF($A387=$A386,AR386,1)-W387+$D$3))</f>
        <v>#N/A</v>
      </c>
      <c r="AS387" t="e">
        <f>IF(OR($J387=0,COUNTIFS($A$4:$A386,"&gt;="&amp;$A387-1,$A$4:$A386,"&lt;="&amp;$A387,$B$4:$B386,$B387)&gt;0,MIN(AS$1,IF($A387=$A386,AS386,1))-X387&lt;0),-1,MIN(1,IF($A387=$A386,AS386,1)-X387+$D$3))</f>
        <v>#N/A</v>
      </c>
      <c r="AT387" t="e">
        <f>IF(OR($J387=0,COUNTIFS($A$4:$A386,"&gt;="&amp;$A387-1,$A$4:$A386,"&lt;="&amp;$A387,$B$4:$B386,$B387)&gt;0,MIN(AT$1,IF($A387=$A386,AT386,1))-Y387&lt;0),-1,MIN(1,IF($A387=$A386,AT386,1)-Y387+$D$3))</f>
        <v>#N/A</v>
      </c>
      <c r="AU387" t="e">
        <f>IF(OR($J387=0,COUNTIFS($A$4:$A386,"&gt;="&amp;$A387-1,$A$4:$A386,"&lt;="&amp;$A387,$B$4:$B386,$B387)&gt;0,MIN(AU$1,IF($A387=$A386,AU386,1))-Z387&lt;0),-1,MIN(1,IF($A387=$A386,AU386,1)-Z387+$D$3))</f>
        <v>#N/A</v>
      </c>
      <c r="AV387" t="e">
        <f>IF(OR($J387=0,COUNTIFS($A$4:$A386,"&gt;="&amp;$A387-1,$A$4:$A386,"&lt;="&amp;$A387,$B$4:$B386,$B387)&gt;0,MIN(AV$1,IF($A387=$A386,AV386,1))-AA387&lt;0),-1,MIN(1,IF($A387=$A386,AV386,1)-AA387+$D$3))</f>
        <v>#N/A</v>
      </c>
      <c r="AW387" t="e">
        <f>IF(OR($J387=0,COUNTIFS($A$4:$A386,"&gt;="&amp;$A387-1,$A$4:$A386,"&lt;="&amp;$A387,$B$4:$B386,$B387)&gt;0,MIN(AW$1,IF($A387=$A386,AW386,1))-AB387&lt;0),-1,MIN(1,IF($A387=$A386,AW386,1)-AB387+$D$3))</f>
        <v>#N/A</v>
      </c>
      <c r="AX387" t="e">
        <f>IF(OR($J387=0,COUNTIFS($A$4:$A386,"&gt;="&amp;$A387-1,$A$4:$A386,"&lt;="&amp;$A387,$B$4:$B386,$B387)&gt;0,MIN(AX$1,IF($A387=$A386,AX386,1))-AC387&lt;0),-1,MIN(1,IF($A387=$A386,AX386,1)-AC387+$D$3))</f>
        <v>#N/A</v>
      </c>
      <c r="AY387" t="e">
        <f>IF(OR($J387=0,COUNTIFS($A$4:$A386,"&gt;="&amp;$A387-1,$A$4:$A386,"&lt;="&amp;$A387,$B$4:$B386,$B387)&gt;0,MIN(AY$1,IF($A387=$A386,AY386,1))-AD387&lt;0),-1,MIN(1,IF($A387=$A386,AY386,1)-AD387+$D$3))</f>
        <v>#N/A</v>
      </c>
      <c r="AZ387" t="e">
        <f>IF(OR($J387=0,COUNTIFS($A$4:$A386,"&gt;="&amp;$A387-1,$A$4:$A386,"&lt;="&amp;$A387,$B$4:$B386,$B387)&gt;0,MIN(AZ$1,IF($A387=$A386,AZ386,1))-AE387&lt;0),-1,MIN(1,IF($A387=$A386,AZ386,1)-AE387+$D$3))</f>
        <v>#N/A</v>
      </c>
      <c r="BA387" t="e">
        <f>IF(OR($J387=0,COUNTIFS($A$4:$A386,"&gt;="&amp;$A387-1,$A$4:$A386,"&lt;="&amp;$A387,$B$4:$B386,$B387)&gt;0,MIN(BA$1,IF($A387=$A386,BA386,1))-AF387&lt;0),-1,MIN(1,IF($A387=$A386,BA386,1)-AF387+$D$3))</f>
        <v>#N/A</v>
      </c>
      <c r="BB387" t="e">
        <f>IF(OR($J387=0,COUNTIFS($A$4:$A386,"&gt;="&amp;$A387-1,$A$4:$A386,"&lt;="&amp;$A387,$B$4:$B386,$B387)&gt;0,MIN(BB$1,IF($A387=$A386,BB386,1))-AG387&lt;0),-1,MIN(1,IF($A387=$A386,BB386,1)-AG387+$D$3))</f>
        <v>#N/A</v>
      </c>
      <c r="BC387" t="e">
        <f>IF(OR($J387=0,COUNTIFS($A$4:$A386,"&gt;="&amp;$A387-1,$A$4:$A386,"&lt;="&amp;$A387,$B$4:$B386,$B387)&gt;0,MIN(BC$1,IF($A387=$A386,BC386,1))-AH387&lt;0),-1,MIN(1,IF($A387=$A386,BC386,1)-AH387+$D$3))</f>
        <v>#N/A</v>
      </c>
      <c r="BD387" t="e">
        <f>IF(OR($J387=0,COUNTIFS($A$4:$A386,"&gt;="&amp;$A387-1,$A$4:$A386,"&lt;="&amp;$A387,$B$4:$B386,$B387)&gt;0,MIN(BD$1,IF($A387=$A386,BD386,1))-AI387&lt;0),-1,MIN(1,IF($A387=$A386,BD386,1)-AI387+$D$3))</f>
        <v>#N/A</v>
      </c>
      <c r="BF387" s="44">
        <f t="shared" si="399"/>
        <v>6.2294071841536893E-9</v>
      </c>
      <c r="BG387" s="44">
        <f t="shared" si="400"/>
        <v>1.5319870087810912E-8</v>
      </c>
      <c r="BH387" s="44">
        <f t="shared" si="401"/>
        <v>1.5701255347495639E-8</v>
      </c>
      <c r="BI387" s="44">
        <f t="shared" si="402"/>
        <v>1.4503600671557403E-8</v>
      </c>
      <c r="BJ387" s="44">
        <f t="shared" si="403"/>
        <v>1.4990848207304828E-8</v>
      </c>
      <c r="BK387" s="44">
        <f t="shared" si="404"/>
        <v>6.437629153086495E-9</v>
      </c>
      <c r="BL387" s="44">
        <f t="shared" si="405"/>
        <v>3.4777085478174719E-9</v>
      </c>
      <c r="BM387" s="44">
        <f t="shared" si="406"/>
        <v>8.8468844361076291E-9</v>
      </c>
      <c r="BN387" s="44">
        <f t="shared" si="407"/>
        <v>9.2014492988622231E-9</v>
      </c>
      <c r="BO387" s="44">
        <f t="shared" si="408"/>
        <v>4.312148296372943E-9</v>
      </c>
      <c r="BP387" s="44">
        <f t="shared" si="409"/>
        <v>1.4499502571034356E-8</v>
      </c>
      <c r="BQ387" s="44">
        <f t="shared" si="410"/>
        <v>3.912815532527784E-9</v>
      </c>
      <c r="BR387" s="44">
        <f t="shared" si="411"/>
        <v>1.1559436563247606E-8</v>
      </c>
      <c r="BS387" s="44">
        <f t="shared" si="412"/>
        <v>6.2341575335985573E-9</v>
      </c>
      <c r="BT387" s="44">
        <f t="shared" si="413"/>
        <v>2.4670472606320947E-8</v>
      </c>
      <c r="BU387" s="44">
        <f t="shared" si="414"/>
        <v>2.356772496797442E-8</v>
      </c>
      <c r="BV387" s="44">
        <f t="shared" si="415"/>
        <v>2.2633663338172122E-8</v>
      </c>
      <c r="BW387" s="44">
        <f t="shared" si="416"/>
        <v>1.4803661363101307E-8</v>
      </c>
      <c r="BX387" s="44">
        <f t="shared" si="417"/>
        <v>1.0936676191637533E-8</v>
      </c>
      <c r="BY387" s="44">
        <f t="shared" si="418"/>
        <v>9.3903935387167425E-9</v>
      </c>
      <c r="CA387" s="44" t="str">
        <f t="shared" si="419"/>
        <v/>
      </c>
      <c r="CB387" s="44" t="str">
        <f t="shared" si="420"/>
        <v/>
      </c>
      <c r="CC387" s="44" t="str">
        <f t="shared" si="421"/>
        <v/>
      </c>
      <c r="CD387" s="44" t="str">
        <f t="shared" si="422"/>
        <v/>
      </c>
      <c r="CE387" s="44" t="str">
        <f t="shared" si="423"/>
        <v/>
      </c>
      <c r="CF387" s="44" t="str">
        <f t="shared" si="424"/>
        <v/>
      </c>
      <c r="CG387" s="44" t="str">
        <f t="shared" si="425"/>
        <v/>
      </c>
      <c r="CH387" s="44" t="str">
        <f t="shared" si="426"/>
        <v/>
      </c>
      <c r="CI387" s="44" t="str">
        <f t="shared" si="427"/>
        <v/>
      </c>
      <c r="CJ387" s="44" t="str">
        <f t="shared" si="428"/>
        <v/>
      </c>
      <c r="CK387" s="44" t="str">
        <f t="shared" si="429"/>
        <v/>
      </c>
      <c r="CL387" s="44" t="str">
        <f t="shared" si="430"/>
        <v/>
      </c>
      <c r="CM387" s="44" t="str">
        <f t="shared" si="431"/>
        <v/>
      </c>
      <c r="CN387" s="44" t="str">
        <f t="shared" si="432"/>
        <v/>
      </c>
      <c r="CO387" s="44" t="str">
        <f t="shared" si="433"/>
        <v/>
      </c>
      <c r="CP387" s="44" t="str">
        <f t="shared" si="434"/>
        <v/>
      </c>
      <c r="CQ387" s="44" t="str">
        <f t="shared" si="435"/>
        <v/>
      </c>
      <c r="CR387" s="44" t="str">
        <f t="shared" si="436"/>
        <v/>
      </c>
      <c r="CS387" s="44" t="str">
        <f t="shared" si="437"/>
        <v/>
      </c>
      <c r="CT387" s="44" t="str">
        <f t="shared" si="438"/>
        <v/>
      </c>
      <c r="CV387" s="44">
        <f t="shared" si="439"/>
        <v>0</v>
      </c>
    </row>
    <row r="388" spans="1:100" x14ac:dyDescent="0.25">
      <c r="A388" s="41"/>
      <c r="B388" s="42"/>
      <c r="C388" s="43" t="str" cm="1">
        <f t="array" ref="C388">IF(B388="","",INDEX(UWS!$B$10:$B$41,B388))</f>
        <v/>
      </c>
      <c r="D388" s="40" t="str">
        <f t="shared" si="396"/>
        <v/>
      </c>
      <c r="E388" s="69" t="str">
        <f t="shared" si="397"/>
        <v/>
      </c>
      <c r="F388" s="48" cm="1">
        <f t="array" ref="F388">0.1+IFERROR(INDEX($F$5:$F387,SUMPRODUCT(MAX(ROW($C$5:$C387)*($C388=$C$5:$C387))-ROW($A$4)))*0.9^($A388-INDEX($A$5:A387,SUMPRODUCT(MAX(ROW($C$5:$C387)*($C388=$C$5:$C387))-ROW($A$4)))),0)</f>
        <v>32.300000000000189</v>
      </c>
      <c r="G388" s="55" t="e">
        <f>INDEX(UWS!$AB$10:$AB$41,MATCH(C388,UWS!$B$10:$B$41,0))</f>
        <v>#N/A</v>
      </c>
      <c r="H388" s="48" t="e">
        <f>INDEX(UWS!$C$10:$C$41,MATCH(C388,UWS!$B$10:$B$41,0))</f>
        <v>#N/A</v>
      </c>
      <c r="I388" s="27">
        <f t="shared" si="398"/>
        <v>5</v>
      </c>
      <c r="J388" s="27" t="e">
        <f>INDEX(UWS!$E$10:$E$41,MATCH(C388,UWS!$B$10:$B$41,0))</f>
        <v>#N/A</v>
      </c>
      <c r="L388" s="108" t="str" cm="1">
        <f t="array" ref="L388">IF(K388="","",INDEX(UWS!$B$10:$B$41,K388))</f>
        <v/>
      </c>
      <c r="N388" s="108" t="str" cm="1">
        <f t="array" ref="N388">IF(M388="","",INDEX(UWS!$B$10:$B$41,M388))</f>
        <v/>
      </c>
      <c r="P388">
        <f>IFERROR(INDEX(UWS!$G$10:$Z$41,MATCH($C388,UWS!$B$10:$B$41,0),MATCH(P$4,UWS!$G$3:$Z$3,0)),0)</f>
        <v>0</v>
      </c>
      <c r="Q388">
        <f>IFERROR(INDEX(UWS!$G$10:$Z$41,MATCH($C388,UWS!$B$10:$B$41,0),MATCH(Q$4,UWS!$G$3:$Z$3,0)),0)</f>
        <v>0</v>
      </c>
      <c r="R388">
        <f>IFERROR(INDEX(UWS!$G$10:$Z$41,MATCH($C388,UWS!$B$10:$B$41,0),MATCH(R$4,UWS!$G$3:$Z$3,0)),0)</f>
        <v>0</v>
      </c>
      <c r="S388">
        <f>IFERROR(INDEX(UWS!$G$10:$Z$41,MATCH($C388,UWS!$B$10:$B$41,0),MATCH(S$4,UWS!$G$3:$Z$3,0)),0)</f>
        <v>0</v>
      </c>
      <c r="T388">
        <f>IFERROR(INDEX(UWS!$G$10:$Z$41,MATCH($C388,UWS!$B$10:$B$41,0),MATCH(T$4,UWS!$G$3:$Z$3,0)),0)</f>
        <v>0</v>
      </c>
      <c r="U388">
        <f>IFERROR(INDEX(UWS!$G$10:$Z$41,MATCH($C388,UWS!$B$10:$B$41,0),MATCH(U$4,UWS!$G$3:$Z$3,0)),0)</f>
        <v>0</v>
      </c>
      <c r="V388">
        <f>IFERROR(INDEX(UWS!$G$10:$Z$41,MATCH($C388,UWS!$B$10:$B$41,0),MATCH(V$4,UWS!$G$3:$Z$3,0)),0)</f>
        <v>0</v>
      </c>
      <c r="W388">
        <f>IFERROR(INDEX(UWS!$G$10:$Z$41,MATCH($C388,UWS!$B$10:$B$41,0),MATCH(W$4,UWS!$G$3:$Z$3,0)),0)</f>
        <v>0</v>
      </c>
      <c r="X388">
        <f>IFERROR(INDEX(UWS!$G$10:$Z$41,MATCH($C388,UWS!$B$10:$B$41,0),MATCH(X$4,UWS!$G$3:$Z$3,0)),0)</f>
        <v>0</v>
      </c>
      <c r="Y388">
        <f>IFERROR(INDEX(UWS!$G$10:$Z$41,MATCH($C388,UWS!$B$10:$B$41,0),MATCH(Y$4,UWS!$G$3:$Z$3,0)),0)</f>
        <v>0</v>
      </c>
      <c r="Z388">
        <f>IFERROR(INDEX(UWS!$G$10:$Z$41,MATCH($C388,UWS!$B$10:$B$41,0),MATCH(Z$4,UWS!$G$3:$Z$3,0)),0)</f>
        <v>0</v>
      </c>
      <c r="AA388">
        <f>IFERROR(INDEX(UWS!$G$10:$Z$41,MATCH($C388,UWS!$B$10:$B$41,0),MATCH(AA$4,UWS!$G$3:$Z$3,0)),0)</f>
        <v>0</v>
      </c>
      <c r="AB388">
        <f>IFERROR(INDEX(UWS!$G$10:$Z$41,MATCH($C388,UWS!$B$10:$B$41,0),MATCH(AB$4,UWS!$G$3:$Z$3,0)),0)</f>
        <v>0</v>
      </c>
      <c r="AC388">
        <f>IFERROR(INDEX(UWS!$G$10:$Z$41,MATCH($C388,UWS!$B$10:$B$41,0),MATCH(AC$4,UWS!$G$3:$Z$3,0)),0)</f>
        <v>0</v>
      </c>
      <c r="AD388">
        <f>IFERROR(INDEX(UWS!$G$10:$Z$41,MATCH($C388,UWS!$B$10:$B$41,0),MATCH(AD$4,UWS!$G$3:$Z$3,0)),0)</f>
        <v>0</v>
      </c>
      <c r="AE388">
        <f>IFERROR(INDEX(UWS!$G$10:$Z$41,MATCH($C388,UWS!$B$10:$B$41,0),MATCH(AE$4,UWS!$G$3:$Z$3,0)),0)</f>
        <v>0</v>
      </c>
      <c r="AF388">
        <f>IFERROR(INDEX(UWS!$G$10:$Z$41,MATCH($C388,UWS!$B$10:$B$41,0),MATCH(AF$4,UWS!$G$3:$Z$3,0)),0)</f>
        <v>0</v>
      </c>
      <c r="AG388">
        <f>IFERROR(INDEX(UWS!$G$10:$Z$41,MATCH($C388,UWS!$B$10:$B$41,0),MATCH(AG$4,UWS!$G$3:$Z$3,0)),0)</f>
        <v>0</v>
      </c>
      <c r="AH388">
        <f>IFERROR(INDEX(UWS!$G$10:$Z$41,MATCH($C388,UWS!$B$10:$B$41,0),MATCH(AH$4,UWS!$G$3:$Z$3,0)),0)</f>
        <v>0</v>
      </c>
      <c r="AI388">
        <f>IFERROR(INDEX(UWS!$G$10:$Z$41,MATCH($C388,UWS!$B$10:$B$41,0),MATCH(AI$4,UWS!$G$3:$Z$3,0)),0)</f>
        <v>0</v>
      </c>
      <c r="AK388" t="e">
        <f>IF(OR($J388=0,COUNTIFS($A$4:$A387,"&gt;="&amp;$A388-1,$A$4:$A387,"&lt;="&amp;$A388,$B$4:$B387,$B388)&gt;0,MIN(AK$1,IF($A388=$A387,AK387,1))-P388&lt;0),-1,MIN(1,IF($A388=$A387,AK387,1)-P388+$D$3))</f>
        <v>#N/A</v>
      </c>
      <c r="AL388" t="e">
        <f>IF(OR($J388=0,COUNTIFS($A$4:$A387,"&gt;="&amp;$A388-1,$A$4:$A387,"&lt;="&amp;$A388,$B$4:$B387,$B388)&gt;0,MIN(AL$1,IF($A388=$A387,AL387,1))-Q388&lt;0),-1,MIN(1,IF($A388=$A387,AL387,1)-Q388+$D$3))</f>
        <v>#N/A</v>
      </c>
      <c r="AM388" t="e">
        <f>IF(OR($J388=0,COUNTIFS($A$4:$A387,"&gt;="&amp;$A388-1,$A$4:$A387,"&lt;="&amp;$A388,$B$4:$B387,$B388)&gt;0,MIN(AM$1,IF($A388=$A387,AM387,1))-R388&lt;0),-1,MIN(1,IF($A388=$A387,AM387,1)-R388+$D$3))</f>
        <v>#N/A</v>
      </c>
      <c r="AN388" t="e">
        <f>IF(OR($J388=0,COUNTIFS($A$4:$A387,"&gt;="&amp;$A388-1,$A$4:$A387,"&lt;="&amp;$A388,$B$4:$B387,$B388)&gt;0,MIN(AN$1,IF($A388=$A387,AN387,1))-S388&lt;0),-1,MIN(1,IF($A388=$A387,AN387,1)-S388+$D$3))</f>
        <v>#N/A</v>
      </c>
      <c r="AO388" t="e">
        <f>IF(OR($J388=0,COUNTIFS($A$4:$A387,"&gt;="&amp;$A388-1,$A$4:$A387,"&lt;="&amp;$A388,$B$4:$B387,$B388)&gt;0,MIN(AO$1,IF($A388=$A387,AO387,1))-T388&lt;0),-1,MIN(1,IF($A388=$A387,AO387,1)-T388+$D$3))</f>
        <v>#N/A</v>
      </c>
      <c r="AP388" t="e">
        <f>IF(OR($J388=0,COUNTIFS($A$4:$A387,"&gt;="&amp;$A388-1,$A$4:$A387,"&lt;="&amp;$A388,$B$4:$B387,$B388)&gt;0,MIN(AP$1,IF($A388=$A387,AP387,1))-U388&lt;0),-1,MIN(1,IF($A388=$A387,AP387,1)-U388+$D$3))</f>
        <v>#N/A</v>
      </c>
      <c r="AQ388" t="e">
        <f>IF(OR($J388=0,COUNTIFS($A$4:$A387,"&gt;="&amp;$A388-1,$A$4:$A387,"&lt;="&amp;$A388,$B$4:$B387,$B388)&gt;0,MIN(AQ$1,IF($A388=$A387,AQ387,1))-V388&lt;0),-1,MIN(1,IF($A388=$A387,AQ387,1)-V388+$D$3))</f>
        <v>#N/A</v>
      </c>
      <c r="AR388" t="e">
        <f>IF(OR($J388=0,COUNTIFS($A$4:$A387,"&gt;="&amp;$A388-1,$A$4:$A387,"&lt;="&amp;$A388,$B$4:$B387,$B388)&gt;0,MIN(AR$1,IF($A388=$A387,AR387,1))-W388&lt;0),-1,MIN(1,IF($A388=$A387,AR387,1)-W388+$D$3))</f>
        <v>#N/A</v>
      </c>
      <c r="AS388" t="e">
        <f>IF(OR($J388=0,COUNTIFS($A$4:$A387,"&gt;="&amp;$A388-1,$A$4:$A387,"&lt;="&amp;$A388,$B$4:$B387,$B388)&gt;0,MIN(AS$1,IF($A388=$A387,AS387,1))-X388&lt;0),-1,MIN(1,IF($A388=$A387,AS387,1)-X388+$D$3))</f>
        <v>#N/A</v>
      </c>
      <c r="AT388" t="e">
        <f>IF(OR($J388=0,COUNTIFS($A$4:$A387,"&gt;="&amp;$A388-1,$A$4:$A387,"&lt;="&amp;$A388,$B$4:$B387,$B388)&gt;0,MIN(AT$1,IF($A388=$A387,AT387,1))-Y388&lt;0),-1,MIN(1,IF($A388=$A387,AT387,1)-Y388+$D$3))</f>
        <v>#N/A</v>
      </c>
      <c r="AU388" t="e">
        <f>IF(OR($J388=0,COUNTIFS($A$4:$A387,"&gt;="&amp;$A388-1,$A$4:$A387,"&lt;="&amp;$A388,$B$4:$B387,$B388)&gt;0,MIN(AU$1,IF($A388=$A387,AU387,1))-Z388&lt;0),-1,MIN(1,IF($A388=$A387,AU387,1)-Z388+$D$3))</f>
        <v>#N/A</v>
      </c>
      <c r="AV388" t="e">
        <f>IF(OR($J388=0,COUNTIFS($A$4:$A387,"&gt;="&amp;$A388-1,$A$4:$A387,"&lt;="&amp;$A388,$B$4:$B387,$B388)&gt;0,MIN(AV$1,IF($A388=$A387,AV387,1))-AA388&lt;0),-1,MIN(1,IF($A388=$A387,AV387,1)-AA388+$D$3))</f>
        <v>#N/A</v>
      </c>
      <c r="AW388" t="e">
        <f>IF(OR($J388=0,COUNTIFS($A$4:$A387,"&gt;="&amp;$A388-1,$A$4:$A387,"&lt;="&amp;$A388,$B$4:$B387,$B388)&gt;0,MIN(AW$1,IF($A388=$A387,AW387,1))-AB388&lt;0),-1,MIN(1,IF($A388=$A387,AW387,1)-AB388+$D$3))</f>
        <v>#N/A</v>
      </c>
      <c r="AX388" t="e">
        <f>IF(OR($J388=0,COUNTIFS($A$4:$A387,"&gt;="&amp;$A388-1,$A$4:$A387,"&lt;="&amp;$A388,$B$4:$B387,$B388)&gt;0,MIN(AX$1,IF($A388=$A387,AX387,1))-AC388&lt;0),-1,MIN(1,IF($A388=$A387,AX387,1)-AC388+$D$3))</f>
        <v>#N/A</v>
      </c>
      <c r="AY388" t="e">
        <f>IF(OR($J388=0,COUNTIFS($A$4:$A387,"&gt;="&amp;$A388-1,$A$4:$A387,"&lt;="&amp;$A388,$B$4:$B387,$B388)&gt;0,MIN(AY$1,IF($A388=$A387,AY387,1))-AD388&lt;0),-1,MIN(1,IF($A388=$A387,AY387,1)-AD388+$D$3))</f>
        <v>#N/A</v>
      </c>
      <c r="AZ388" t="e">
        <f>IF(OR($J388=0,COUNTIFS($A$4:$A387,"&gt;="&amp;$A388-1,$A$4:$A387,"&lt;="&amp;$A388,$B$4:$B387,$B388)&gt;0,MIN(AZ$1,IF($A388=$A387,AZ387,1))-AE388&lt;0),-1,MIN(1,IF($A388=$A387,AZ387,1)-AE388+$D$3))</f>
        <v>#N/A</v>
      </c>
      <c r="BA388" t="e">
        <f>IF(OR($J388=0,COUNTIFS($A$4:$A387,"&gt;="&amp;$A388-1,$A$4:$A387,"&lt;="&amp;$A388,$B$4:$B387,$B388)&gt;0,MIN(BA$1,IF($A388=$A387,BA387,1))-AF388&lt;0),-1,MIN(1,IF($A388=$A387,BA387,1)-AF388+$D$3))</f>
        <v>#N/A</v>
      </c>
      <c r="BB388" t="e">
        <f>IF(OR($J388=0,COUNTIFS($A$4:$A387,"&gt;="&amp;$A388-1,$A$4:$A387,"&lt;="&amp;$A388,$B$4:$B387,$B388)&gt;0,MIN(BB$1,IF($A388=$A387,BB387,1))-AG388&lt;0),-1,MIN(1,IF($A388=$A387,BB387,1)-AG388+$D$3))</f>
        <v>#N/A</v>
      </c>
      <c r="BC388" t="e">
        <f>IF(OR($J388=0,COUNTIFS($A$4:$A387,"&gt;="&amp;$A388-1,$A$4:$A387,"&lt;="&amp;$A388,$B$4:$B387,$B388)&gt;0,MIN(BC$1,IF($A388=$A387,BC387,1))-AH388&lt;0),-1,MIN(1,IF($A388=$A387,BC387,1)-AH388+$D$3))</f>
        <v>#N/A</v>
      </c>
      <c r="BD388" t="e">
        <f>IF(OR($J388=0,COUNTIFS($A$4:$A387,"&gt;="&amp;$A388-1,$A$4:$A387,"&lt;="&amp;$A388,$B$4:$B387,$B388)&gt;0,MIN(BD$1,IF($A388=$A387,BD387,1))-AI388&lt;0),-1,MIN(1,IF($A388=$A387,BD387,1)-AI388+$D$3))</f>
        <v>#N/A</v>
      </c>
      <c r="BF388" s="44">
        <f t="shared" si="399"/>
        <v>5.9179368249460047E-9</v>
      </c>
      <c r="BG388" s="44">
        <f t="shared" si="400"/>
        <v>1.4553876583420365E-8</v>
      </c>
      <c r="BH388" s="44">
        <f t="shared" si="401"/>
        <v>1.4916192580120856E-8</v>
      </c>
      <c r="BI388" s="44">
        <f t="shared" si="402"/>
        <v>1.3778420637979532E-8</v>
      </c>
      <c r="BJ388" s="44">
        <f t="shared" si="403"/>
        <v>1.4241305796939585E-8</v>
      </c>
      <c r="BK388" s="44">
        <f t="shared" si="404"/>
        <v>6.1157476954321703E-9</v>
      </c>
      <c r="BL388" s="44">
        <f t="shared" si="405"/>
        <v>3.3038231204265983E-9</v>
      </c>
      <c r="BM388" s="44">
        <f t="shared" si="406"/>
        <v>8.4045402143022478E-9</v>
      </c>
      <c r="BN388" s="44">
        <f t="shared" si="407"/>
        <v>8.7413768339191114E-9</v>
      </c>
      <c r="BO388" s="44">
        <f t="shared" si="408"/>
        <v>4.0965408815542953E-9</v>
      </c>
      <c r="BP388" s="44">
        <f t="shared" si="409"/>
        <v>1.3774527442482637E-8</v>
      </c>
      <c r="BQ388" s="44">
        <f t="shared" si="410"/>
        <v>3.7171747559013945E-9</v>
      </c>
      <c r="BR388" s="44">
        <f t="shared" si="411"/>
        <v>1.0981464735085225E-8</v>
      </c>
      <c r="BS388" s="44">
        <f t="shared" si="412"/>
        <v>5.9224496569186291E-9</v>
      </c>
      <c r="BT388" s="44">
        <f t="shared" si="413"/>
        <v>2.34369489760049E-8</v>
      </c>
      <c r="BU388" s="44">
        <f t="shared" si="414"/>
        <v>2.2389338719575699E-8</v>
      </c>
      <c r="BV388" s="44">
        <f t="shared" si="415"/>
        <v>2.1501980171263514E-8</v>
      </c>
      <c r="BW388" s="44">
        <f t="shared" si="416"/>
        <v>1.4063478294946241E-8</v>
      </c>
      <c r="BX388" s="44">
        <f t="shared" si="417"/>
        <v>1.0389842382055657E-8</v>
      </c>
      <c r="BY388" s="44">
        <f t="shared" si="418"/>
        <v>8.9208738617809044E-9</v>
      </c>
      <c r="CA388" s="44" t="str">
        <f t="shared" si="419"/>
        <v/>
      </c>
      <c r="CB388" s="44" t="str">
        <f t="shared" si="420"/>
        <v/>
      </c>
      <c r="CC388" s="44" t="str">
        <f t="shared" si="421"/>
        <v/>
      </c>
      <c r="CD388" s="44" t="str">
        <f t="shared" si="422"/>
        <v/>
      </c>
      <c r="CE388" s="44" t="str">
        <f t="shared" si="423"/>
        <v/>
      </c>
      <c r="CF388" s="44" t="str">
        <f t="shared" si="424"/>
        <v/>
      </c>
      <c r="CG388" s="44" t="str">
        <f t="shared" si="425"/>
        <v/>
      </c>
      <c r="CH388" s="44" t="str">
        <f t="shared" si="426"/>
        <v/>
      </c>
      <c r="CI388" s="44" t="str">
        <f t="shared" si="427"/>
        <v/>
      </c>
      <c r="CJ388" s="44" t="str">
        <f t="shared" si="428"/>
        <v/>
      </c>
      <c r="CK388" s="44" t="str">
        <f t="shared" si="429"/>
        <v/>
      </c>
      <c r="CL388" s="44" t="str">
        <f t="shared" si="430"/>
        <v/>
      </c>
      <c r="CM388" s="44" t="str">
        <f t="shared" si="431"/>
        <v/>
      </c>
      <c r="CN388" s="44" t="str">
        <f t="shared" si="432"/>
        <v/>
      </c>
      <c r="CO388" s="44" t="str">
        <f t="shared" si="433"/>
        <v/>
      </c>
      <c r="CP388" s="44" t="str">
        <f t="shared" si="434"/>
        <v/>
      </c>
      <c r="CQ388" s="44" t="str">
        <f t="shared" si="435"/>
        <v/>
      </c>
      <c r="CR388" s="44" t="str">
        <f t="shared" si="436"/>
        <v/>
      </c>
      <c r="CS388" s="44" t="str">
        <f t="shared" si="437"/>
        <v/>
      </c>
      <c r="CT388" s="44" t="str">
        <f t="shared" si="438"/>
        <v/>
      </c>
      <c r="CV388" s="44">
        <f t="shared" si="439"/>
        <v>0</v>
      </c>
    </row>
    <row r="389" spans="1:100" x14ac:dyDescent="0.25">
      <c r="A389" s="41"/>
      <c r="B389" s="42"/>
      <c r="C389" s="43" t="str" cm="1">
        <f t="array" ref="C389">IF(B389="","",INDEX(UWS!$B$10:$B$41,B389))</f>
        <v/>
      </c>
      <c r="D389" s="40" t="str">
        <f t="shared" si="396"/>
        <v/>
      </c>
      <c r="E389" s="69" t="str">
        <f t="shared" si="397"/>
        <v/>
      </c>
      <c r="F389" s="48" cm="1">
        <f t="array" ref="F389">0.1+IFERROR(INDEX($F$5:$F388,SUMPRODUCT(MAX(ROW($C$5:$C388)*($C389=$C$5:$C388))-ROW($A$4)))*0.9^($A389-INDEX($A$5:A388,SUMPRODUCT(MAX(ROW($C$5:$C388)*($C389=$C$5:$C388))-ROW($A$4)))),0)</f>
        <v>32.40000000000019</v>
      </c>
      <c r="G389" s="55" t="e">
        <f>INDEX(UWS!$AB$10:$AB$41,MATCH(C389,UWS!$B$10:$B$41,0))</f>
        <v>#N/A</v>
      </c>
      <c r="H389" s="48" t="e">
        <f>INDEX(UWS!$C$10:$C$41,MATCH(C389,UWS!$B$10:$B$41,0))</f>
        <v>#N/A</v>
      </c>
      <c r="I389" s="27">
        <f t="shared" si="398"/>
        <v>5</v>
      </c>
      <c r="J389" s="27" t="e">
        <f>INDEX(UWS!$E$10:$E$41,MATCH(C389,UWS!$B$10:$B$41,0))</f>
        <v>#N/A</v>
      </c>
      <c r="L389" s="108" t="str" cm="1">
        <f t="array" ref="L389">IF(K389="","",INDEX(UWS!$B$10:$B$41,K389))</f>
        <v/>
      </c>
      <c r="N389" s="108" t="str" cm="1">
        <f t="array" ref="N389">IF(M389="","",INDEX(UWS!$B$10:$B$41,M389))</f>
        <v/>
      </c>
      <c r="P389">
        <f>IFERROR(INDEX(UWS!$G$10:$Z$41,MATCH($C389,UWS!$B$10:$B$41,0),MATCH(P$4,UWS!$G$3:$Z$3,0)),0)</f>
        <v>0</v>
      </c>
      <c r="Q389">
        <f>IFERROR(INDEX(UWS!$G$10:$Z$41,MATCH($C389,UWS!$B$10:$B$41,0),MATCH(Q$4,UWS!$G$3:$Z$3,0)),0)</f>
        <v>0</v>
      </c>
      <c r="R389">
        <f>IFERROR(INDEX(UWS!$G$10:$Z$41,MATCH($C389,UWS!$B$10:$B$41,0),MATCH(R$4,UWS!$G$3:$Z$3,0)),0)</f>
        <v>0</v>
      </c>
      <c r="S389">
        <f>IFERROR(INDEX(UWS!$G$10:$Z$41,MATCH($C389,UWS!$B$10:$B$41,0),MATCH(S$4,UWS!$G$3:$Z$3,0)),0)</f>
        <v>0</v>
      </c>
      <c r="T389">
        <f>IFERROR(INDEX(UWS!$G$10:$Z$41,MATCH($C389,UWS!$B$10:$B$41,0),MATCH(T$4,UWS!$G$3:$Z$3,0)),0)</f>
        <v>0</v>
      </c>
      <c r="U389">
        <f>IFERROR(INDEX(UWS!$G$10:$Z$41,MATCH($C389,UWS!$B$10:$B$41,0),MATCH(U$4,UWS!$G$3:$Z$3,0)),0)</f>
        <v>0</v>
      </c>
      <c r="V389">
        <f>IFERROR(INDEX(UWS!$G$10:$Z$41,MATCH($C389,UWS!$B$10:$B$41,0),MATCH(V$4,UWS!$G$3:$Z$3,0)),0)</f>
        <v>0</v>
      </c>
      <c r="W389">
        <f>IFERROR(INDEX(UWS!$G$10:$Z$41,MATCH($C389,UWS!$B$10:$B$41,0),MATCH(W$4,UWS!$G$3:$Z$3,0)),0)</f>
        <v>0</v>
      </c>
      <c r="X389">
        <f>IFERROR(INDEX(UWS!$G$10:$Z$41,MATCH($C389,UWS!$B$10:$B$41,0),MATCH(X$4,UWS!$G$3:$Z$3,0)),0)</f>
        <v>0</v>
      </c>
      <c r="Y389">
        <f>IFERROR(INDEX(UWS!$G$10:$Z$41,MATCH($C389,UWS!$B$10:$B$41,0),MATCH(Y$4,UWS!$G$3:$Z$3,0)),0)</f>
        <v>0</v>
      </c>
      <c r="Z389">
        <f>IFERROR(INDEX(UWS!$G$10:$Z$41,MATCH($C389,UWS!$B$10:$B$41,0),MATCH(Z$4,UWS!$G$3:$Z$3,0)),0)</f>
        <v>0</v>
      </c>
      <c r="AA389">
        <f>IFERROR(INDEX(UWS!$G$10:$Z$41,MATCH($C389,UWS!$B$10:$B$41,0),MATCH(AA$4,UWS!$G$3:$Z$3,0)),0)</f>
        <v>0</v>
      </c>
      <c r="AB389">
        <f>IFERROR(INDEX(UWS!$G$10:$Z$41,MATCH($C389,UWS!$B$10:$B$41,0),MATCH(AB$4,UWS!$G$3:$Z$3,0)),0)</f>
        <v>0</v>
      </c>
      <c r="AC389">
        <f>IFERROR(INDEX(UWS!$G$10:$Z$41,MATCH($C389,UWS!$B$10:$B$41,0),MATCH(AC$4,UWS!$G$3:$Z$3,0)),0)</f>
        <v>0</v>
      </c>
      <c r="AD389">
        <f>IFERROR(INDEX(UWS!$G$10:$Z$41,MATCH($C389,UWS!$B$10:$B$41,0),MATCH(AD$4,UWS!$G$3:$Z$3,0)),0)</f>
        <v>0</v>
      </c>
      <c r="AE389">
        <f>IFERROR(INDEX(UWS!$G$10:$Z$41,MATCH($C389,UWS!$B$10:$B$41,0),MATCH(AE$4,UWS!$G$3:$Z$3,0)),0)</f>
        <v>0</v>
      </c>
      <c r="AF389">
        <f>IFERROR(INDEX(UWS!$G$10:$Z$41,MATCH($C389,UWS!$B$10:$B$41,0),MATCH(AF$4,UWS!$G$3:$Z$3,0)),0)</f>
        <v>0</v>
      </c>
      <c r="AG389">
        <f>IFERROR(INDEX(UWS!$G$10:$Z$41,MATCH($C389,UWS!$B$10:$B$41,0),MATCH(AG$4,UWS!$G$3:$Z$3,0)),0)</f>
        <v>0</v>
      </c>
      <c r="AH389">
        <f>IFERROR(INDEX(UWS!$G$10:$Z$41,MATCH($C389,UWS!$B$10:$B$41,0),MATCH(AH$4,UWS!$G$3:$Z$3,0)),0)</f>
        <v>0</v>
      </c>
      <c r="AI389">
        <f>IFERROR(INDEX(UWS!$G$10:$Z$41,MATCH($C389,UWS!$B$10:$B$41,0),MATCH(AI$4,UWS!$G$3:$Z$3,0)),0)</f>
        <v>0</v>
      </c>
      <c r="AK389" t="e">
        <f>IF(OR($J389=0,COUNTIFS($A$4:$A388,"&gt;="&amp;$A389-1,$A$4:$A388,"&lt;="&amp;$A389,$B$4:$B388,$B389)&gt;0,MIN(AK$1,IF($A389=$A388,AK388,1))-P389&lt;0),-1,MIN(1,IF($A389=$A388,AK388,1)-P389+$D$3))</f>
        <v>#N/A</v>
      </c>
      <c r="AL389" t="e">
        <f>IF(OR($J389=0,COUNTIFS($A$4:$A388,"&gt;="&amp;$A389-1,$A$4:$A388,"&lt;="&amp;$A389,$B$4:$B388,$B389)&gt;0,MIN(AL$1,IF($A389=$A388,AL388,1))-Q389&lt;0),-1,MIN(1,IF($A389=$A388,AL388,1)-Q389+$D$3))</f>
        <v>#N/A</v>
      </c>
      <c r="AM389" t="e">
        <f>IF(OR($J389=0,COUNTIFS($A$4:$A388,"&gt;="&amp;$A389-1,$A$4:$A388,"&lt;="&amp;$A389,$B$4:$B388,$B389)&gt;0,MIN(AM$1,IF($A389=$A388,AM388,1))-R389&lt;0),-1,MIN(1,IF($A389=$A388,AM388,1)-R389+$D$3))</f>
        <v>#N/A</v>
      </c>
      <c r="AN389" t="e">
        <f>IF(OR($J389=0,COUNTIFS($A$4:$A388,"&gt;="&amp;$A389-1,$A$4:$A388,"&lt;="&amp;$A389,$B$4:$B388,$B389)&gt;0,MIN(AN$1,IF($A389=$A388,AN388,1))-S389&lt;0),-1,MIN(1,IF($A389=$A388,AN388,1)-S389+$D$3))</f>
        <v>#N/A</v>
      </c>
      <c r="AO389" t="e">
        <f>IF(OR($J389=0,COUNTIFS($A$4:$A388,"&gt;="&amp;$A389-1,$A$4:$A388,"&lt;="&amp;$A389,$B$4:$B388,$B389)&gt;0,MIN(AO$1,IF($A389=$A388,AO388,1))-T389&lt;0),-1,MIN(1,IF($A389=$A388,AO388,1)-T389+$D$3))</f>
        <v>#N/A</v>
      </c>
      <c r="AP389" t="e">
        <f>IF(OR($J389=0,COUNTIFS($A$4:$A388,"&gt;="&amp;$A389-1,$A$4:$A388,"&lt;="&amp;$A389,$B$4:$B388,$B389)&gt;0,MIN(AP$1,IF($A389=$A388,AP388,1))-U389&lt;0),-1,MIN(1,IF($A389=$A388,AP388,1)-U389+$D$3))</f>
        <v>#N/A</v>
      </c>
      <c r="AQ389" t="e">
        <f>IF(OR($J389=0,COUNTIFS($A$4:$A388,"&gt;="&amp;$A389-1,$A$4:$A388,"&lt;="&amp;$A389,$B$4:$B388,$B389)&gt;0,MIN(AQ$1,IF($A389=$A388,AQ388,1))-V389&lt;0),-1,MIN(1,IF($A389=$A388,AQ388,1)-V389+$D$3))</f>
        <v>#N/A</v>
      </c>
      <c r="AR389" t="e">
        <f>IF(OR($J389=0,COUNTIFS($A$4:$A388,"&gt;="&amp;$A389-1,$A$4:$A388,"&lt;="&amp;$A389,$B$4:$B388,$B389)&gt;0,MIN(AR$1,IF($A389=$A388,AR388,1))-W389&lt;0),-1,MIN(1,IF($A389=$A388,AR388,1)-W389+$D$3))</f>
        <v>#N/A</v>
      </c>
      <c r="AS389" t="e">
        <f>IF(OR($J389=0,COUNTIFS($A$4:$A388,"&gt;="&amp;$A389-1,$A$4:$A388,"&lt;="&amp;$A389,$B$4:$B388,$B389)&gt;0,MIN(AS$1,IF($A389=$A388,AS388,1))-X389&lt;0),-1,MIN(1,IF($A389=$A388,AS388,1)-X389+$D$3))</f>
        <v>#N/A</v>
      </c>
      <c r="AT389" t="e">
        <f>IF(OR($J389=0,COUNTIFS($A$4:$A388,"&gt;="&amp;$A389-1,$A$4:$A388,"&lt;="&amp;$A389,$B$4:$B388,$B389)&gt;0,MIN(AT$1,IF($A389=$A388,AT388,1))-Y389&lt;0),-1,MIN(1,IF($A389=$A388,AT388,1)-Y389+$D$3))</f>
        <v>#N/A</v>
      </c>
      <c r="AU389" t="e">
        <f>IF(OR($J389=0,COUNTIFS($A$4:$A388,"&gt;="&amp;$A389-1,$A$4:$A388,"&lt;="&amp;$A389,$B$4:$B388,$B389)&gt;0,MIN(AU$1,IF($A389=$A388,AU388,1))-Z389&lt;0),-1,MIN(1,IF($A389=$A388,AU388,1)-Z389+$D$3))</f>
        <v>#N/A</v>
      </c>
      <c r="AV389" t="e">
        <f>IF(OR($J389=0,COUNTIFS($A$4:$A388,"&gt;="&amp;$A389-1,$A$4:$A388,"&lt;="&amp;$A389,$B$4:$B388,$B389)&gt;0,MIN(AV$1,IF($A389=$A388,AV388,1))-AA389&lt;0),-1,MIN(1,IF($A389=$A388,AV388,1)-AA389+$D$3))</f>
        <v>#N/A</v>
      </c>
      <c r="AW389" t="e">
        <f>IF(OR($J389=0,COUNTIFS($A$4:$A388,"&gt;="&amp;$A389-1,$A$4:$A388,"&lt;="&amp;$A389,$B$4:$B388,$B389)&gt;0,MIN(AW$1,IF($A389=$A388,AW388,1))-AB389&lt;0),-1,MIN(1,IF($A389=$A388,AW388,1)-AB389+$D$3))</f>
        <v>#N/A</v>
      </c>
      <c r="AX389" t="e">
        <f>IF(OR($J389=0,COUNTIFS($A$4:$A388,"&gt;="&amp;$A389-1,$A$4:$A388,"&lt;="&amp;$A389,$B$4:$B388,$B389)&gt;0,MIN(AX$1,IF($A389=$A388,AX388,1))-AC389&lt;0),-1,MIN(1,IF($A389=$A388,AX388,1)-AC389+$D$3))</f>
        <v>#N/A</v>
      </c>
      <c r="AY389" t="e">
        <f>IF(OR($J389=0,COUNTIFS($A$4:$A388,"&gt;="&amp;$A389-1,$A$4:$A388,"&lt;="&amp;$A389,$B$4:$B388,$B389)&gt;0,MIN(AY$1,IF($A389=$A388,AY388,1))-AD389&lt;0),-1,MIN(1,IF($A389=$A388,AY388,1)-AD389+$D$3))</f>
        <v>#N/A</v>
      </c>
      <c r="AZ389" t="e">
        <f>IF(OR($J389=0,COUNTIFS($A$4:$A388,"&gt;="&amp;$A389-1,$A$4:$A388,"&lt;="&amp;$A389,$B$4:$B388,$B389)&gt;0,MIN(AZ$1,IF($A389=$A388,AZ388,1))-AE389&lt;0),-1,MIN(1,IF($A389=$A388,AZ388,1)-AE389+$D$3))</f>
        <v>#N/A</v>
      </c>
      <c r="BA389" t="e">
        <f>IF(OR($J389=0,COUNTIFS($A$4:$A388,"&gt;="&amp;$A389-1,$A$4:$A388,"&lt;="&amp;$A389,$B$4:$B388,$B389)&gt;0,MIN(BA$1,IF($A389=$A388,BA388,1))-AF389&lt;0),-1,MIN(1,IF($A389=$A388,BA388,1)-AF389+$D$3))</f>
        <v>#N/A</v>
      </c>
      <c r="BB389" t="e">
        <f>IF(OR($J389=0,COUNTIFS($A$4:$A388,"&gt;="&amp;$A389-1,$A$4:$A388,"&lt;="&amp;$A389,$B$4:$B388,$B389)&gt;0,MIN(BB$1,IF($A389=$A388,BB388,1))-AG389&lt;0),-1,MIN(1,IF($A389=$A388,BB388,1)-AG389+$D$3))</f>
        <v>#N/A</v>
      </c>
      <c r="BC389" t="e">
        <f>IF(OR($J389=0,COUNTIFS($A$4:$A388,"&gt;="&amp;$A389-1,$A$4:$A388,"&lt;="&amp;$A389,$B$4:$B388,$B389)&gt;0,MIN(BC$1,IF($A389=$A388,BC388,1))-AH389&lt;0),-1,MIN(1,IF($A389=$A388,BC388,1)-AH389+$D$3))</f>
        <v>#N/A</v>
      </c>
      <c r="BD389" t="e">
        <f>IF(OR($J389=0,COUNTIFS($A$4:$A388,"&gt;="&amp;$A389-1,$A$4:$A388,"&lt;="&amp;$A389,$B$4:$B388,$B389)&gt;0,MIN(BD$1,IF($A389=$A388,BD388,1))-AI389&lt;0),-1,MIN(1,IF($A389=$A388,BD388,1)-AI389+$D$3))</f>
        <v>#N/A</v>
      </c>
      <c r="BF389" s="44">
        <f t="shared" si="399"/>
        <v>5.6220399836987039E-9</v>
      </c>
      <c r="BG389" s="44">
        <f t="shared" si="400"/>
        <v>1.3826182754249346E-8</v>
      </c>
      <c r="BH389" s="44">
        <f t="shared" si="401"/>
        <v>1.4170382951114812E-8</v>
      </c>
      <c r="BI389" s="44">
        <f t="shared" si="402"/>
        <v>1.3089499606080554E-8</v>
      </c>
      <c r="BJ389" s="44">
        <f t="shared" si="403"/>
        <v>1.3529240507092606E-8</v>
      </c>
      <c r="BK389" s="44">
        <f t="shared" si="404"/>
        <v>5.8099603106605616E-9</v>
      </c>
      <c r="BL389" s="44">
        <f t="shared" si="405"/>
        <v>3.1386319644052682E-9</v>
      </c>
      <c r="BM389" s="44">
        <f t="shared" si="406"/>
        <v>7.9843132035871344E-9</v>
      </c>
      <c r="BN389" s="44">
        <f t="shared" si="407"/>
        <v>8.3043079922231556E-9</v>
      </c>
      <c r="BO389" s="44">
        <f t="shared" si="408"/>
        <v>3.8917138374765806E-9</v>
      </c>
      <c r="BP389" s="44">
        <f t="shared" si="409"/>
        <v>1.3085801070358506E-8</v>
      </c>
      <c r="BQ389" s="44">
        <f t="shared" si="410"/>
        <v>3.5313160181063245E-9</v>
      </c>
      <c r="BR389" s="44">
        <f t="shared" si="411"/>
        <v>1.0432391498330962E-8</v>
      </c>
      <c r="BS389" s="44">
        <f t="shared" si="412"/>
        <v>5.6263271740726973E-9</v>
      </c>
      <c r="BT389" s="44">
        <f t="shared" si="413"/>
        <v>2.2265101527204656E-8</v>
      </c>
      <c r="BU389" s="44">
        <f t="shared" si="414"/>
        <v>2.1269871783596913E-8</v>
      </c>
      <c r="BV389" s="44">
        <f t="shared" si="415"/>
        <v>2.0426881162700338E-8</v>
      </c>
      <c r="BW389" s="44">
        <f t="shared" si="416"/>
        <v>1.3360304380198929E-8</v>
      </c>
      <c r="BX389" s="44">
        <f t="shared" si="417"/>
        <v>9.8703502629528742E-9</v>
      </c>
      <c r="BY389" s="44">
        <f t="shared" si="418"/>
        <v>8.4748301686918593E-9</v>
      </c>
      <c r="CA389" s="44" t="str">
        <f t="shared" si="419"/>
        <v/>
      </c>
      <c r="CB389" s="44" t="str">
        <f t="shared" si="420"/>
        <v/>
      </c>
      <c r="CC389" s="44" t="str">
        <f t="shared" si="421"/>
        <v/>
      </c>
      <c r="CD389" s="44" t="str">
        <f t="shared" si="422"/>
        <v/>
      </c>
      <c r="CE389" s="44" t="str">
        <f t="shared" si="423"/>
        <v/>
      </c>
      <c r="CF389" s="44" t="str">
        <f t="shared" si="424"/>
        <v/>
      </c>
      <c r="CG389" s="44" t="str">
        <f t="shared" si="425"/>
        <v/>
      </c>
      <c r="CH389" s="44" t="str">
        <f t="shared" si="426"/>
        <v/>
      </c>
      <c r="CI389" s="44" t="str">
        <f t="shared" si="427"/>
        <v/>
      </c>
      <c r="CJ389" s="44" t="str">
        <f t="shared" si="428"/>
        <v/>
      </c>
      <c r="CK389" s="44" t="str">
        <f t="shared" si="429"/>
        <v/>
      </c>
      <c r="CL389" s="44" t="str">
        <f t="shared" si="430"/>
        <v/>
      </c>
      <c r="CM389" s="44" t="str">
        <f t="shared" si="431"/>
        <v/>
      </c>
      <c r="CN389" s="44" t="str">
        <f t="shared" si="432"/>
        <v/>
      </c>
      <c r="CO389" s="44" t="str">
        <f t="shared" si="433"/>
        <v/>
      </c>
      <c r="CP389" s="44" t="str">
        <f t="shared" si="434"/>
        <v/>
      </c>
      <c r="CQ389" s="44" t="str">
        <f t="shared" si="435"/>
        <v/>
      </c>
      <c r="CR389" s="44" t="str">
        <f t="shared" si="436"/>
        <v/>
      </c>
      <c r="CS389" s="44" t="str">
        <f t="shared" si="437"/>
        <v/>
      </c>
      <c r="CT389" s="44" t="str">
        <f t="shared" si="438"/>
        <v/>
      </c>
      <c r="CV389" s="44">
        <f t="shared" si="439"/>
        <v>0</v>
      </c>
    </row>
    <row r="390" spans="1:100" x14ac:dyDescent="0.25">
      <c r="A390" s="49"/>
      <c r="B390" s="50"/>
      <c r="C390" s="51" t="str" cm="1">
        <f t="array" ref="C390">IF(B390="","",INDEX(UWS!$B$10:$B$41,B390))</f>
        <v/>
      </c>
      <c r="D390" s="45" t="str">
        <f t="shared" si="396"/>
        <v/>
      </c>
      <c r="E390" s="70" t="str">
        <f t="shared" si="397"/>
        <v/>
      </c>
      <c r="F390" s="52" cm="1">
        <f t="array" ref="F390">0.1+IFERROR(INDEX($F$5:$F389,SUMPRODUCT(MAX(ROW($C$5:$C389)*($C390=$C$5:$C389))-ROW($A$4)))*0.9^($A390-INDEX($A$5:A389,SUMPRODUCT(MAX(ROW($C$5:$C389)*($C390=$C$5:$C389))-ROW($A$4)))),0)</f>
        <v>32.500000000000192</v>
      </c>
      <c r="G390" s="56" t="e">
        <f>INDEX(UWS!$AB$10:$AB$41,MATCH(C390,UWS!$B$10:$B$41,0))</f>
        <v>#N/A</v>
      </c>
      <c r="H390" s="52" t="e">
        <f>INDEX(UWS!$C$10:$C$41,MATCH(C390,UWS!$B$10:$B$41,0))</f>
        <v>#N/A</v>
      </c>
      <c r="I390" s="46">
        <f t="shared" si="398"/>
        <v>5</v>
      </c>
      <c r="J390" s="46" t="e">
        <f>INDEX(UWS!$E$10:$E$41,MATCH(C390,UWS!$B$10:$B$41,0))</f>
        <v>#N/A</v>
      </c>
      <c r="K390" s="46"/>
      <c r="L390" s="109" t="str" cm="1">
        <f t="array" ref="L390">IF(K390="","",INDEX(UWS!$B$10:$B$41,K390))</f>
        <v/>
      </c>
      <c r="M390" s="46"/>
      <c r="N390" s="109" t="str" cm="1">
        <f t="array" ref="N390">IF(M390="","",INDEX(UWS!$B$10:$B$41,M390))</f>
        <v/>
      </c>
      <c r="O390" s="47"/>
      <c r="P390" s="47">
        <f>IFERROR(INDEX(UWS!$G$10:$Z$41,MATCH($C390,UWS!$B$10:$B$41,0),MATCH(P$4,UWS!$G$3:$Z$3,0)),0)</f>
        <v>0</v>
      </c>
      <c r="Q390" s="47">
        <f>IFERROR(INDEX(UWS!$G$10:$Z$41,MATCH($C390,UWS!$B$10:$B$41,0),MATCH(Q$4,UWS!$G$3:$Z$3,0)),0)</f>
        <v>0</v>
      </c>
      <c r="R390" s="47">
        <f>IFERROR(INDEX(UWS!$G$10:$Z$41,MATCH($C390,UWS!$B$10:$B$41,0),MATCH(R$4,UWS!$G$3:$Z$3,0)),0)</f>
        <v>0</v>
      </c>
      <c r="S390" s="47">
        <f>IFERROR(INDEX(UWS!$G$10:$Z$41,MATCH($C390,UWS!$B$10:$B$41,0),MATCH(S$4,UWS!$G$3:$Z$3,0)),0)</f>
        <v>0</v>
      </c>
      <c r="T390" s="47">
        <f>IFERROR(INDEX(UWS!$G$10:$Z$41,MATCH($C390,UWS!$B$10:$B$41,0),MATCH(T$4,UWS!$G$3:$Z$3,0)),0)</f>
        <v>0</v>
      </c>
      <c r="U390" s="47">
        <f>IFERROR(INDEX(UWS!$G$10:$Z$41,MATCH($C390,UWS!$B$10:$B$41,0),MATCH(U$4,UWS!$G$3:$Z$3,0)),0)</f>
        <v>0</v>
      </c>
      <c r="V390" s="47">
        <f>IFERROR(INDEX(UWS!$G$10:$Z$41,MATCH($C390,UWS!$B$10:$B$41,0),MATCH(V$4,UWS!$G$3:$Z$3,0)),0)</f>
        <v>0</v>
      </c>
      <c r="W390" s="47">
        <f>IFERROR(INDEX(UWS!$G$10:$Z$41,MATCH($C390,UWS!$B$10:$B$41,0),MATCH(W$4,UWS!$G$3:$Z$3,0)),0)</f>
        <v>0</v>
      </c>
      <c r="X390" s="47">
        <f>IFERROR(INDEX(UWS!$G$10:$Z$41,MATCH($C390,UWS!$B$10:$B$41,0),MATCH(X$4,UWS!$G$3:$Z$3,0)),0)</f>
        <v>0</v>
      </c>
      <c r="Y390" s="47">
        <f>IFERROR(INDEX(UWS!$G$10:$Z$41,MATCH($C390,UWS!$B$10:$B$41,0),MATCH(Y$4,UWS!$G$3:$Z$3,0)),0)</f>
        <v>0</v>
      </c>
      <c r="Z390" s="47">
        <f>IFERROR(INDEX(UWS!$G$10:$Z$41,MATCH($C390,UWS!$B$10:$B$41,0),MATCH(Z$4,UWS!$G$3:$Z$3,0)),0)</f>
        <v>0</v>
      </c>
      <c r="AA390" s="47">
        <f>IFERROR(INDEX(UWS!$G$10:$Z$41,MATCH($C390,UWS!$B$10:$B$41,0),MATCH(AA$4,UWS!$G$3:$Z$3,0)),0)</f>
        <v>0</v>
      </c>
      <c r="AB390" s="47">
        <f>IFERROR(INDEX(UWS!$G$10:$Z$41,MATCH($C390,UWS!$B$10:$B$41,0),MATCH(AB$4,UWS!$G$3:$Z$3,0)),0)</f>
        <v>0</v>
      </c>
      <c r="AC390" s="47">
        <f>IFERROR(INDEX(UWS!$G$10:$Z$41,MATCH($C390,UWS!$B$10:$B$41,0),MATCH(AC$4,UWS!$G$3:$Z$3,0)),0)</f>
        <v>0</v>
      </c>
      <c r="AD390" s="47">
        <f>IFERROR(INDEX(UWS!$G$10:$Z$41,MATCH($C390,UWS!$B$10:$B$41,0),MATCH(AD$4,UWS!$G$3:$Z$3,0)),0)</f>
        <v>0</v>
      </c>
      <c r="AE390" s="47">
        <f>IFERROR(INDEX(UWS!$G$10:$Z$41,MATCH($C390,UWS!$B$10:$B$41,0),MATCH(AE$4,UWS!$G$3:$Z$3,0)),0)</f>
        <v>0</v>
      </c>
      <c r="AF390" s="47">
        <f>IFERROR(INDEX(UWS!$G$10:$Z$41,MATCH($C390,UWS!$B$10:$B$41,0),MATCH(AF$4,UWS!$G$3:$Z$3,0)),0)</f>
        <v>0</v>
      </c>
      <c r="AG390" s="47">
        <f>IFERROR(INDEX(UWS!$G$10:$Z$41,MATCH($C390,UWS!$B$10:$B$41,0),MATCH(AG$4,UWS!$G$3:$Z$3,0)),0)</f>
        <v>0</v>
      </c>
      <c r="AH390" s="47">
        <f>IFERROR(INDEX(UWS!$G$10:$Z$41,MATCH($C390,UWS!$B$10:$B$41,0),MATCH(AH$4,UWS!$G$3:$Z$3,0)),0)</f>
        <v>0</v>
      </c>
      <c r="AI390" s="47">
        <f>IFERROR(INDEX(UWS!$G$10:$Z$41,MATCH($C390,UWS!$B$10:$B$41,0),MATCH(AI$4,UWS!$G$3:$Z$3,0)),0)</f>
        <v>0</v>
      </c>
      <c r="AJ390" s="47"/>
      <c r="AK390" s="47" t="e">
        <f>IF(OR($J390=0,COUNTIFS($A$4:$A389,"&gt;="&amp;$A390-1,$A$4:$A389,"&lt;="&amp;$A390,$B$4:$B389,$B390)&gt;0,MIN(AK$1,IF($A390=$A389,AK389,1))-P390&lt;0),-1,MIN(1,IF($A390=$A389,AK389,1)-P390+$D$3))</f>
        <v>#N/A</v>
      </c>
      <c r="AL390" s="47" t="e">
        <f>IF(OR($J390=0,COUNTIFS($A$4:$A389,"&gt;="&amp;$A390-1,$A$4:$A389,"&lt;="&amp;$A390,$B$4:$B389,$B390)&gt;0,MIN(AL$1,IF($A390=$A389,AL389,1))-Q390&lt;0),-1,MIN(1,IF($A390=$A389,AL389,1)-Q390+$D$3))</f>
        <v>#N/A</v>
      </c>
      <c r="AM390" s="47" t="e">
        <f>IF(OR($J390=0,COUNTIFS($A$4:$A389,"&gt;="&amp;$A390-1,$A$4:$A389,"&lt;="&amp;$A390,$B$4:$B389,$B390)&gt;0,MIN(AM$1,IF($A390=$A389,AM389,1))-R390&lt;0),-1,MIN(1,IF($A390=$A389,AM389,1)-R390+$D$3))</f>
        <v>#N/A</v>
      </c>
      <c r="AN390" s="47" t="e">
        <f>IF(OR($J390=0,COUNTIFS($A$4:$A389,"&gt;="&amp;$A390-1,$A$4:$A389,"&lt;="&amp;$A390,$B$4:$B389,$B390)&gt;0,MIN(AN$1,IF($A390=$A389,AN389,1))-S390&lt;0),-1,MIN(1,IF($A390=$A389,AN389,1)-S390+$D$3))</f>
        <v>#N/A</v>
      </c>
      <c r="AO390" s="47" t="e">
        <f>IF(OR($J390=0,COUNTIFS($A$4:$A389,"&gt;="&amp;$A390-1,$A$4:$A389,"&lt;="&amp;$A390,$B$4:$B389,$B390)&gt;0,MIN(AO$1,IF($A390=$A389,AO389,1))-T390&lt;0),-1,MIN(1,IF($A390=$A389,AO389,1)-T390+$D$3))</f>
        <v>#N/A</v>
      </c>
      <c r="AP390" s="47" t="e">
        <f>IF(OR($J390=0,COUNTIFS($A$4:$A389,"&gt;="&amp;$A390-1,$A$4:$A389,"&lt;="&amp;$A390,$B$4:$B389,$B390)&gt;0,MIN(AP$1,IF($A390=$A389,AP389,1))-U390&lt;0),-1,MIN(1,IF($A390=$A389,AP389,1)-U390+$D$3))</f>
        <v>#N/A</v>
      </c>
      <c r="AQ390" s="47" t="e">
        <f>IF(OR($J390=0,COUNTIFS($A$4:$A389,"&gt;="&amp;$A390-1,$A$4:$A389,"&lt;="&amp;$A390,$B$4:$B389,$B390)&gt;0,MIN(AQ$1,IF($A390=$A389,AQ389,1))-V390&lt;0),-1,MIN(1,IF($A390=$A389,AQ389,1)-V390+$D$3))</f>
        <v>#N/A</v>
      </c>
      <c r="AR390" s="47" t="e">
        <f>IF(OR($J390=0,COUNTIFS($A$4:$A389,"&gt;="&amp;$A390-1,$A$4:$A389,"&lt;="&amp;$A390,$B$4:$B389,$B390)&gt;0,MIN(AR$1,IF($A390=$A389,AR389,1))-W390&lt;0),-1,MIN(1,IF($A390=$A389,AR389,1)-W390+$D$3))</f>
        <v>#N/A</v>
      </c>
      <c r="AS390" s="47" t="e">
        <f>IF(OR($J390=0,COUNTIFS($A$4:$A389,"&gt;="&amp;$A390-1,$A$4:$A389,"&lt;="&amp;$A390,$B$4:$B389,$B390)&gt;0,MIN(AS$1,IF($A390=$A389,AS389,1))-X390&lt;0),-1,MIN(1,IF($A390=$A389,AS389,1)-X390+$D$3))</f>
        <v>#N/A</v>
      </c>
      <c r="AT390" s="47" t="e">
        <f>IF(OR($J390=0,COUNTIFS($A$4:$A389,"&gt;="&amp;$A390-1,$A$4:$A389,"&lt;="&amp;$A390,$B$4:$B389,$B390)&gt;0,MIN(AT$1,IF($A390=$A389,AT389,1))-Y390&lt;0),-1,MIN(1,IF($A390=$A389,AT389,1)-Y390+$D$3))</f>
        <v>#N/A</v>
      </c>
      <c r="AU390" s="47" t="e">
        <f>IF(OR($J390=0,COUNTIFS($A$4:$A389,"&gt;="&amp;$A390-1,$A$4:$A389,"&lt;="&amp;$A390,$B$4:$B389,$B390)&gt;0,MIN(AU$1,IF($A390=$A389,AU389,1))-Z390&lt;0),-1,MIN(1,IF($A390=$A389,AU389,1)-Z390+$D$3))</f>
        <v>#N/A</v>
      </c>
      <c r="AV390" s="47" t="e">
        <f>IF(OR($J390=0,COUNTIFS($A$4:$A389,"&gt;="&amp;$A390-1,$A$4:$A389,"&lt;="&amp;$A390,$B$4:$B389,$B390)&gt;0,MIN(AV$1,IF($A390=$A389,AV389,1))-AA390&lt;0),-1,MIN(1,IF($A390=$A389,AV389,1)-AA390+$D$3))</f>
        <v>#N/A</v>
      </c>
      <c r="AW390" s="47" t="e">
        <f>IF(OR($J390=0,COUNTIFS($A$4:$A389,"&gt;="&amp;$A390-1,$A$4:$A389,"&lt;="&amp;$A390,$B$4:$B389,$B390)&gt;0,MIN(AW$1,IF($A390=$A389,AW389,1))-AB390&lt;0),-1,MIN(1,IF($A390=$A389,AW389,1)-AB390+$D$3))</f>
        <v>#N/A</v>
      </c>
      <c r="AX390" s="47" t="e">
        <f>IF(OR($J390=0,COUNTIFS($A$4:$A389,"&gt;="&amp;$A390-1,$A$4:$A389,"&lt;="&amp;$A390,$B$4:$B389,$B390)&gt;0,MIN(AX$1,IF($A390=$A389,AX389,1))-AC390&lt;0),-1,MIN(1,IF($A390=$A389,AX389,1)-AC390+$D$3))</f>
        <v>#N/A</v>
      </c>
      <c r="AY390" s="47" t="e">
        <f>IF(OR($J390=0,COUNTIFS($A$4:$A389,"&gt;="&amp;$A390-1,$A$4:$A389,"&lt;="&amp;$A390,$B$4:$B389,$B390)&gt;0,MIN(AY$1,IF($A390=$A389,AY389,1))-AD390&lt;0),-1,MIN(1,IF($A390=$A389,AY389,1)-AD390+$D$3))</f>
        <v>#N/A</v>
      </c>
      <c r="AZ390" s="47" t="e">
        <f>IF(OR($J390=0,COUNTIFS($A$4:$A389,"&gt;="&amp;$A390-1,$A$4:$A389,"&lt;="&amp;$A390,$B$4:$B389,$B390)&gt;0,MIN(AZ$1,IF($A390=$A389,AZ389,1))-AE390&lt;0),-1,MIN(1,IF($A390=$A389,AZ389,1)-AE390+$D$3))</f>
        <v>#N/A</v>
      </c>
      <c r="BA390" s="47" t="e">
        <f>IF(OR($J390=0,COUNTIFS($A$4:$A389,"&gt;="&amp;$A390-1,$A$4:$A389,"&lt;="&amp;$A390,$B$4:$B389,$B390)&gt;0,MIN(BA$1,IF($A390=$A389,BA389,1))-AF390&lt;0),-1,MIN(1,IF($A390=$A389,BA389,1)-AF390+$D$3))</f>
        <v>#N/A</v>
      </c>
      <c r="BB390" s="47" t="e">
        <f>IF(OR($J390=0,COUNTIFS($A$4:$A389,"&gt;="&amp;$A390-1,$A$4:$A389,"&lt;="&amp;$A390,$B$4:$B389,$B390)&gt;0,MIN(BB$1,IF($A390=$A389,BB389,1))-AG390&lt;0),-1,MIN(1,IF($A390=$A389,BB389,1)-AG390+$D$3))</f>
        <v>#N/A</v>
      </c>
      <c r="BC390" s="47" t="e">
        <f>IF(OR($J390=0,COUNTIFS($A$4:$A389,"&gt;="&amp;$A390-1,$A$4:$A389,"&lt;="&amp;$A390,$B$4:$B389,$B390)&gt;0,MIN(BC$1,IF($A390=$A389,BC389,1))-AH390&lt;0),-1,MIN(1,IF($A390=$A389,BC389,1)-AH390+$D$3))</f>
        <v>#N/A</v>
      </c>
      <c r="BD390" s="47" t="e">
        <f>IF(OR($J390=0,COUNTIFS($A$4:$A389,"&gt;="&amp;$A390-1,$A$4:$A389,"&lt;="&amp;$A390,$B$4:$B389,$B390)&gt;0,MIN(BD$1,IF($A390=$A389,BD389,1))-AI390&lt;0),-1,MIN(1,IF($A390=$A389,BD389,1)-AI390+$D$3))</f>
        <v>#N/A</v>
      </c>
      <c r="BE390" s="47"/>
      <c r="BF390" s="53">
        <f t="shared" si="399"/>
        <v>5.3409379845137683E-9</v>
      </c>
      <c r="BG390" s="53">
        <f t="shared" si="400"/>
        <v>1.3134873616536878E-8</v>
      </c>
      <c r="BH390" s="53">
        <f t="shared" si="401"/>
        <v>1.3461863803559072E-8</v>
      </c>
      <c r="BI390" s="53">
        <f t="shared" si="402"/>
        <v>1.2435024625776526E-8</v>
      </c>
      <c r="BJ390" s="53">
        <f t="shared" si="403"/>
        <v>1.2852778481737975E-8</v>
      </c>
      <c r="BK390" s="53">
        <f t="shared" si="404"/>
        <v>5.5194622951275329E-9</v>
      </c>
      <c r="BL390" s="53">
        <f t="shared" si="405"/>
        <v>2.9817003661850045E-9</v>
      </c>
      <c r="BM390" s="53">
        <f t="shared" si="406"/>
        <v>7.5850975434077777E-9</v>
      </c>
      <c r="BN390" s="53">
        <f t="shared" si="407"/>
        <v>7.8890925926119968E-9</v>
      </c>
      <c r="BO390" s="53">
        <f t="shared" si="408"/>
        <v>3.6971281456027516E-9</v>
      </c>
      <c r="BP390" s="53">
        <f t="shared" si="409"/>
        <v>1.243151101684058E-8</v>
      </c>
      <c r="BQ390" s="53">
        <f t="shared" si="410"/>
        <v>3.3547502172010081E-9</v>
      </c>
      <c r="BR390" s="53">
        <f t="shared" si="411"/>
        <v>9.9107719234144146E-9</v>
      </c>
      <c r="BS390" s="53">
        <f t="shared" si="412"/>
        <v>5.3450108153690623E-9</v>
      </c>
      <c r="BT390" s="53">
        <f t="shared" si="413"/>
        <v>2.115184645084442E-8</v>
      </c>
      <c r="BU390" s="53">
        <f t="shared" si="414"/>
        <v>2.0206378194417067E-8</v>
      </c>
      <c r="BV390" s="53">
        <f t="shared" si="415"/>
        <v>1.9405537104565321E-8</v>
      </c>
      <c r="BW390" s="53">
        <f t="shared" si="416"/>
        <v>1.2692289161188982E-8</v>
      </c>
      <c r="BX390" s="53">
        <f t="shared" si="417"/>
        <v>9.3768327498052294E-9</v>
      </c>
      <c r="BY390" s="53">
        <f t="shared" si="418"/>
        <v>8.051088660257266E-9</v>
      </c>
      <c r="BZ390" s="47"/>
      <c r="CA390" s="53" t="str">
        <f t="shared" si="419"/>
        <v/>
      </c>
      <c r="CB390" s="53" t="str">
        <f t="shared" si="420"/>
        <v/>
      </c>
      <c r="CC390" s="53" t="str">
        <f t="shared" si="421"/>
        <v/>
      </c>
      <c r="CD390" s="53" t="str">
        <f t="shared" si="422"/>
        <v/>
      </c>
      <c r="CE390" s="53" t="str">
        <f t="shared" si="423"/>
        <v/>
      </c>
      <c r="CF390" s="53" t="str">
        <f t="shared" si="424"/>
        <v/>
      </c>
      <c r="CG390" s="53" t="str">
        <f t="shared" si="425"/>
        <v/>
      </c>
      <c r="CH390" s="53" t="str">
        <f t="shared" si="426"/>
        <v/>
      </c>
      <c r="CI390" s="53" t="str">
        <f t="shared" si="427"/>
        <v/>
      </c>
      <c r="CJ390" s="53" t="str">
        <f t="shared" si="428"/>
        <v/>
      </c>
      <c r="CK390" s="53" t="str">
        <f t="shared" si="429"/>
        <v/>
      </c>
      <c r="CL390" s="53" t="str">
        <f t="shared" si="430"/>
        <v/>
      </c>
      <c r="CM390" s="53" t="str">
        <f t="shared" si="431"/>
        <v/>
      </c>
      <c r="CN390" s="53" t="str">
        <f t="shared" si="432"/>
        <v/>
      </c>
      <c r="CO390" s="53" t="str">
        <f t="shared" si="433"/>
        <v/>
      </c>
      <c r="CP390" s="53" t="str">
        <f t="shared" si="434"/>
        <v/>
      </c>
      <c r="CQ390" s="53" t="str">
        <f t="shared" si="435"/>
        <v/>
      </c>
      <c r="CR390" s="53" t="str">
        <f t="shared" si="436"/>
        <v/>
      </c>
      <c r="CS390" s="53" t="str">
        <f t="shared" si="437"/>
        <v/>
      </c>
      <c r="CT390" s="53" t="str">
        <f t="shared" si="438"/>
        <v/>
      </c>
      <c r="CU390" s="47"/>
      <c r="CV390" s="53">
        <f t="shared" si="439"/>
        <v>0</v>
      </c>
    </row>
    <row r="391" spans="1:100" x14ac:dyDescent="0.25">
      <c r="A391" s="41"/>
      <c r="B391" s="42"/>
      <c r="C391" s="43" t="str" cm="1">
        <f t="array" ref="C391">IF(B391="","",INDEX(UWS!$B$10:$B$41,B391))</f>
        <v/>
      </c>
      <c r="D391" s="40" t="str">
        <f t="shared" si="396"/>
        <v/>
      </c>
      <c r="E391" s="69" t="str">
        <f t="shared" si="397"/>
        <v/>
      </c>
      <c r="F391" s="48" cm="1">
        <f t="array" ref="F391">0.1+IFERROR(INDEX($F$5:$F390,SUMPRODUCT(MAX(ROW($C$5:$C390)*($C391=$C$5:$C390))-ROW($A$4)))*0.9^($A391-INDEX($A$5:A390,SUMPRODUCT(MAX(ROW($C$5:$C390)*($C391=$C$5:$C390))-ROW($A$4)))),0)</f>
        <v>32.600000000000193</v>
      </c>
      <c r="G391" s="55" t="e">
        <f>INDEX(UWS!$AB$10:$AB$41,MATCH(C391,UWS!$B$10:$B$41,0))</f>
        <v>#N/A</v>
      </c>
      <c r="H391" s="48" t="e">
        <f>INDEX(UWS!$C$10:$C$41,MATCH(C391,UWS!$B$10:$B$41,0))</f>
        <v>#N/A</v>
      </c>
      <c r="I391" s="82">
        <f t="shared" si="398"/>
        <v>5</v>
      </c>
      <c r="J391" s="27" t="e">
        <f>INDEX(UWS!$E$10:$E$41,MATCH(C391,UWS!$B$10:$B$41,0))</f>
        <v>#N/A</v>
      </c>
      <c r="L391" s="108" t="str" cm="1">
        <f t="array" ref="L391">IF(K391="","",INDEX(UWS!$B$10:$B$41,K391))</f>
        <v/>
      </c>
      <c r="N391" s="108" t="str" cm="1">
        <f t="array" ref="N391">IF(M391="","",INDEX(UWS!$B$10:$B$41,M391))</f>
        <v/>
      </c>
      <c r="P391">
        <f>IFERROR(INDEX(UWS!$G$10:$Z$41,MATCH($C391,UWS!$B$10:$B$41,0),MATCH(P$4,UWS!$G$3:$Z$3,0)),0)</f>
        <v>0</v>
      </c>
      <c r="Q391">
        <f>IFERROR(INDEX(UWS!$G$10:$Z$41,MATCH($C391,UWS!$B$10:$B$41,0),MATCH(Q$4,UWS!$G$3:$Z$3,0)),0)</f>
        <v>0</v>
      </c>
      <c r="R391">
        <f>IFERROR(INDEX(UWS!$G$10:$Z$41,MATCH($C391,UWS!$B$10:$B$41,0),MATCH(R$4,UWS!$G$3:$Z$3,0)),0)</f>
        <v>0</v>
      </c>
      <c r="S391">
        <f>IFERROR(INDEX(UWS!$G$10:$Z$41,MATCH($C391,UWS!$B$10:$B$41,0),MATCH(S$4,UWS!$G$3:$Z$3,0)),0)</f>
        <v>0</v>
      </c>
      <c r="T391">
        <f>IFERROR(INDEX(UWS!$G$10:$Z$41,MATCH($C391,UWS!$B$10:$B$41,0),MATCH(T$4,UWS!$G$3:$Z$3,0)),0)</f>
        <v>0</v>
      </c>
      <c r="U391">
        <f>IFERROR(INDEX(UWS!$G$10:$Z$41,MATCH($C391,UWS!$B$10:$B$41,0),MATCH(U$4,UWS!$G$3:$Z$3,0)),0)</f>
        <v>0</v>
      </c>
      <c r="V391">
        <f>IFERROR(INDEX(UWS!$G$10:$Z$41,MATCH($C391,UWS!$B$10:$B$41,0),MATCH(V$4,UWS!$G$3:$Z$3,0)),0)</f>
        <v>0</v>
      </c>
      <c r="W391">
        <f>IFERROR(INDEX(UWS!$G$10:$Z$41,MATCH($C391,UWS!$B$10:$B$41,0),MATCH(W$4,UWS!$G$3:$Z$3,0)),0)</f>
        <v>0</v>
      </c>
      <c r="X391">
        <f>IFERROR(INDEX(UWS!$G$10:$Z$41,MATCH($C391,UWS!$B$10:$B$41,0),MATCH(X$4,UWS!$G$3:$Z$3,0)),0)</f>
        <v>0</v>
      </c>
      <c r="Y391">
        <f>IFERROR(INDEX(UWS!$G$10:$Z$41,MATCH($C391,UWS!$B$10:$B$41,0),MATCH(Y$4,UWS!$G$3:$Z$3,0)),0)</f>
        <v>0</v>
      </c>
      <c r="Z391">
        <f>IFERROR(INDEX(UWS!$G$10:$Z$41,MATCH($C391,UWS!$B$10:$B$41,0),MATCH(Z$4,UWS!$G$3:$Z$3,0)),0)</f>
        <v>0</v>
      </c>
      <c r="AA391">
        <f>IFERROR(INDEX(UWS!$G$10:$Z$41,MATCH($C391,UWS!$B$10:$B$41,0),MATCH(AA$4,UWS!$G$3:$Z$3,0)),0)</f>
        <v>0</v>
      </c>
      <c r="AB391">
        <f>IFERROR(INDEX(UWS!$G$10:$Z$41,MATCH($C391,UWS!$B$10:$B$41,0),MATCH(AB$4,UWS!$G$3:$Z$3,0)),0)</f>
        <v>0</v>
      </c>
      <c r="AC391">
        <f>IFERROR(INDEX(UWS!$G$10:$Z$41,MATCH($C391,UWS!$B$10:$B$41,0),MATCH(AC$4,UWS!$G$3:$Z$3,0)),0)</f>
        <v>0</v>
      </c>
      <c r="AD391">
        <f>IFERROR(INDEX(UWS!$G$10:$Z$41,MATCH($C391,UWS!$B$10:$B$41,0),MATCH(AD$4,UWS!$G$3:$Z$3,0)),0)</f>
        <v>0</v>
      </c>
      <c r="AE391">
        <f>IFERROR(INDEX(UWS!$G$10:$Z$41,MATCH($C391,UWS!$B$10:$B$41,0),MATCH(AE$4,UWS!$G$3:$Z$3,0)),0)</f>
        <v>0</v>
      </c>
      <c r="AF391">
        <f>IFERROR(INDEX(UWS!$G$10:$Z$41,MATCH($C391,UWS!$B$10:$B$41,0),MATCH(AF$4,UWS!$G$3:$Z$3,0)),0)</f>
        <v>0</v>
      </c>
      <c r="AG391">
        <f>IFERROR(INDEX(UWS!$G$10:$Z$41,MATCH($C391,UWS!$B$10:$B$41,0),MATCH(AG$4,UWS!$G$3:$Z$3,0)),0)</f>
        <v>0</v>
      </c>
      <c r="AH391">
        <f>IFERROR(INDEX(UWS!$G$10:$Z$41,MATCH($C391,UWS!$B$10:$B$41,0),MATCH(AH$4,UWS!$G$3:$Z$3,0)),0)</f>
        <v>0</v>
      </c>
      <c r="AI391">
        <f>IFERROR(INDEX(UWS!$G$10:$Z$41,MATCH($C391,UWS!$B$10:$B$41,0),MATCH(AI$4,UWS!$G$3:$Z$3,0)),0)</f>
        <v>0</v>
      </c>
      <c r="AK391" t="e">
        <f>IF(OR($J391=0,COUNTIFS($A$4:$A390,"&gt;="&amp;$A391-1,$A$4:$A390,"&lt;="&amp;$A391,$B$4:$B390,$B391)&gt;0,MIN(AK$1,IF($A391=$A390,AK390,1))-P391&lt;0),-1,MIN(1,IF($A391=$A390,AK390,1)-P391+$D$3))</f>
        <v>#N/A</v>
      </c>
      <c r="AL391" t="e">
        <f>IF(OR($J391=0,COUNTIFS($A$4:$A390,"&gt;="&amp;$A391-1,$A$4:$A390,"&lt;="&amp;$A391,$B$4:$B390,$B391)&gt;0,MIN(AL$1,IF($A391=$A390,AL390,1))-Q391&lt;0),-1,MIN(1,IF($A391=$A390,AL390,1)-Q391+$D$3))</f>
        <v>#N/A</v>
      </c>
      <c r="AM391" t="e">
        <f>IF(OR($J391=0,COUNTIFS($A$4:$A390,"&gt;="&amp;$A391-1,$A$4:$A390,"&lt;="&amp;$A391,$B$4:$B390,$B391)&gt;0,MIN(AM$1,IF($A391=$A390,AM390,1))-R391&lt;0),-1,MIN(1,IF($A391=$A390,AM390,1)-R391+$D$3))</f>
        <v>#N/A</v>
      </c>
      <c r="AN391" t="e">
        <f>IF(OR($J391=0,COUNTIFS($A$4:$A390,"&gt;="&amp;$A391-1,$A$4:$A390,"&lt;="&amp;$A391,$B$4:$B390,$B391)&gt;0,MIN(AN$1,IF($A391=$A390,AN390,1))-S391&lt;0),-1,MIN(1,IF($A391=$A390,AN390,1)-S391+$D$3))</f>
        <v>#N/A</v>
      </c>
      <c r="AO391" t="e">
        <f>IF(OR($J391=0,COUNTIFS($A$4:$A390,"&gt;="&amp;$A391-1,$A$4:$A390,"&lt;="&amp;$A391,$B$4:$B390,$B391)&gt;0,MIN(AO$1,IF($A391=$A390,AO390,1))-T391&lt;0),-1,MIN(1,IF($A391=$A390,AO390,1)-T391+$D$3))</f>
        <v>#N/A</v>
      </c>
      <c r="AP391" t="e">
        <f>IF(OR($J391=0,COUNTIFS($A$4:$A390,"&gt;="&amp;$A391-1,$A$4:$A390,"&lt;="&amp;$A391,$B$4:$B390,$B391)&gt;0,MIN(AP$1,IF($A391=$A390,AP390,1))-U391&lt;0),-1,MIN(1,IF($A391=$A390,AP390,1)-U391+$D$3))</f>
        <v>#N/A</v>
      </c>
      <c r="AQ391" t="e">
        <f>IF(OR($J391=0,COUNTIFS($A$4:$A390,"&gt;="&amp;$A391-1,$A$4:$A390,"&lt;="&amp;$A391,$B$4:$B390,$B391)&gt;0,MIN(AQ$1,IF($A391=$A390,AQ390,1))-V391&lt;0),-1,MIN(1,IF($A391=$A390,AQ390,1)-V391+$D$3))</f>
        <v>#N/A</v>
      </c>
      <c r="AR391" t="e">
        <f>IF(OR($J391=0,COUNTIFS($A$4:$A390,"&gt;="&amp;$A391-1,$A$4:$A390,"&lt;="&amp;$A391,$B$4:$B390,$B391)&gt;0,MIN(AR$1,IF($A391=$A390,AR390,1))-W391&lt;0),-1,MIN(1,IF($A391=$A390,AR390,1)-W391+$D$3))</f>
        <v>#N/A</v>
      </c>
      <c r="AS391" t="e">
        <f>IF(OR($J391=0,COUNTIFS($A$4:$A390,"&gt;="&amp;$A391-1,$A$4:$A390,"&lt;="&amp;$A391,$B$4:$B390,$B391)&gt;0,MIN(AS$1,IF($A391=$A390,AS390,1))-X391&lt;0),-1,MIN(1,IF($A391=$A390,AS390,1)-X391+$D$3))</f>
        <v>#N/A</v>
      </c>
      <c r="AT391" t="e">
        <f>IF(OR($J391=0,COUNTIFS($A$4:$A390,"&gt;="&amp;$A391-1,$A$4:$A390,"&lt;="&amp;$A391,$B$4:$B390,$B391)&gt;0,MIN(AT$1,IF($A391=$A390,AT390,1))-Y391&lt;0),-1,MIN(1,IF($A391=$A390,AT390,1)-Y391+$D$3))</f>
        <v>#N/A</v>
      </c>
      <c r="AU391" t="e">
        <f>IF(OR($J391=0,COUNTIFS($A$4:$A390,"&gt;="&amp;$A391-1,$A$4:$A390,"&lt;="&amp;$A391,$B$4:$B390,$B391)&gt;0,MIN(AU$1,IF($A391=$A390,AU390,1))-Z391&lt;0),-1,MIN(1,IF($A391=$A390,AU390,1)-Z391+$D$3))</f>
        <v>#N/A</v>
      </c>
      <c r="AV391" t="e">
        <f>IF(OR($J391=0,COUNTIFS($A$4:$A390,"&gt;="&amp;$A391-1,$A$4:$A390,"&lt;="&amp;$A391,$B$4:$B390,$B391)&gt;0,MIN(AV$1,IF($A391=$A390,AV390,1))-AA391&lt;0),-1,MIN(1,IF($A391=$A390,AV390,1)-AA391+$D$3))</f>
        <v>#N/A</v>
      </c>
      <c r="AW391" t="e">
        <f>IF(OR($J391=0,COUNTIFS($A$4:$A390,"&gt;="&amp;$A391-1,$A$4:$A390,"&lt;="&amp;$A391,$B$4:$B390,$B391)&gt;0,MIN(AW$1,IF($A391=$A390,AW390,1))-AB391&lt;0),-1,MIN(1,IF($A391=$A390,AW390,1)-AB391+$D$3))</f>
        <v>#N/A</v>
      </c>
      <c r="AX391" t="e">
        <f>IF(OR($J391=0,COUNTIFS($A$4:$A390,"&gt;="&amp;$A391-1,$A$4:$A390,"&lt;="&amp;$A391,$B$4:$B390,$B391)&gt;0,MIN(AX$1,IF($A391=$A390,AX390,1))-AC391&lt;0),-1,MIN(1,IF($A391=$A390,AX390,1)-AC391+$D$3))</f>
        <v>#N/A</v>
      </c>
      <c r="AY391" t="e">
        <f>IF(OR($J391=0,COUNTIFS($A$4:$A390,"&gt;="&amp;$A391-1,$A$4:$A390,"&lt;="&amp;$A391,$B$4:$B390,$B391)&gt;0,MIN(AY$1,IF($A391=$A390,AY390,1))-AD391&lt;0),-1,MIN(1,IF($A391=$A390,AY390,1)-AD391+$D$3))</f>
        <v>#N/A</v>
      </c>
      <c r="AZ391" t="e">
        <f>IF(OR($J391=0,COUNTIFS($A$4:$A390,"&gt;="&amp;$A391-1,$A$4:$A390,"&lt;="&amp;$A391,$B$4:$B390,$B391)&gt;0,MIN(AZ$1,IF($A391=$A390,AZ390,1))-AE391&lt;0),-1,MIN(1,IF($A391=$A390,AZ390,1)-AE391+$D$3))</f>
        <v>#N/A</v>
      </c>
      <c r="BA391" t="e">
        <f>IF(OR($J391=0,COUNTIFS($A$4:$A390,"&gt;="&amp;$A391-1,$A$4:$A390,"&lt;="&amp;$A391,$B$4:$B390,$B391)&gt;0,MIN(BA$1,IF($A391=$A390,BA390,1))-AF391&lt;0),-1,MIN(1,IF($A391=$A390,BA390,1)-AF391+$D$3))</f>
        <v>#N/A</v>
      </c>
      <c r="BB391" t="e">
        <f>IF(OR($J391=0,COUNTIFS($A$4:$A390,"&gt;="&amp;$A391-1,$A$4:$A390,"&lt;="&amp;$A391,$B$4:$B390,$B391)&gt;0,MIN(BB$1,IF($A391=$A390,BB390,1))-AG391&lt;0),-1,MIN(1,IF($A391=$A390,BB390,1)-AG391+$D$3))</f>
        <v>#N/A</v>
      </c>
      <c r="BC391" t="e">
        <f>IF(OR($J391=0,COUNTIFS($A$4:$A390,"&gt;="&amp;$A391-1,$A$4:$A390,"&lt;="&amp;$A391,$B$4:$B390,$B391)&gt;0,MIN(BC$1,IF($A391=$A390,BC390,1))-AH391&lt;0),-1,MIN(1,IF($A391=$A390,BC390,1)-AH391+$D$3))</f>
        <v>#N/A</v>
      </c>
      <c r="BD391" t="e">
        <f>IF(OR($J391=0,COUNTIFS($A$4:$A390,"&gt;="&amp;$A391-1,$A$4:$A390,"&lt;="&amp;$A391,$B$4:$B390,$B391)&gt;0,MIN(BD$1,IF($A391=$A390,BD390,1))-AI391&lt;0),-1,MIN(1,IF($A391=$A390,BD390,1)-AI391+$D$3))</f>
        <v>#N/A</v>
      </c>
      <c r="BF391" s="44">
        <f t="shared" si="399"/>
        <v>5.0738910852880796E-9</v>
      </c>
      <c r="BG391" s="44">
        <f t="shared" si="400"/>
        <v>1.2478129935710033E-8</v>
      </c>
      <c r="BH391" s="44">
        <f t="shared" si="401"/>
        <v>1.2788770613381118E-8</v>
      </c>
      <c r="BI391" s="44">
        <f t="shared" si="402"/>
        <v>1.1813273394487699E-8</v>
      </c>
      <c r="BJ391" s="44">
        <f t="shared" si="403"/>
        <v>1.2210139557651075E-8</v>
      </c>
      <c r="BK391" s="44">
        <f t="shared" si="404"/>
        <v>5.2434891803711561E-9</v>
      </c>
      <c r="BL391" s="44">
        <f t="shared" si="405"/>
        <v>2.8326153478757541E-9</v>
      </c>
      <c r="BM391" s="44">
        <f t="shared" si="406"/>
        <v>7.2058426662373888E-9</v>
      </c>
      <c r="BN391" s="44">
        <f t="shared" si="407"/>
        <v>7.4946379629813968E-9</v>
      </c>
      <c r="BO391" s="44">
        <f t="shared" si="408"/>
        <v>3.512271738322614E-9</v>
      </c>
      <c r="BP391" s="44">
        <f t="shared" si="409"/>
        <v>1.180993546599855E-8</v>
      </c>
      <c r="BQ391" s="44">
        <f t="shared" si="410"/>
        <v>3.1870127063409575E-9</v>
      </c>
      <c r="BR391" s="44">
        <f t="shared" si="411"/>
        <v>9.4152333272436933E-9</v>
      </c>
      <c r="BS391" s="44">
        <f t="shared" si="412"/>
        <v>5.0777602746006092E-9</v>
      </c>
      <c r="BT391" s="44">
        <f t="shared" si="413"/>
        <v>2.0094254128302197E-8</v>
      </c>
      <c r="BU391" s="44">
        <f t="shared" si="414"/>
        <v>1.9196059284696212E-8</v>
      </c>
      <c r="BV391" s="44">
        <f t="shared" si="415"/>
        <v>1.8435260249337055E-8</v>
      </c>
      <c r="BW391" s="44">
        <f t="shared" si="416"/>
        <v>1.2057674703129532E-8</v>
      </c>
      <c r="BX391" s="44">
        <f t="shared" si="417"/>
        <v>8.9079911123149673E-9</v>
      </c>
      <c r="BY391" s="44">
        <f t="shared" si="418"/>
        <v>7.6485342272444028E-9</v>
      </c>
      <c r="CA391" s="44" t="str">
        <f t="shared" si="419"/>
        <v/>
      </c>
      <c r="CB391" s="44" t="str">
        <f t="shared" si="420"/>
        <v/>
      </c>
      <c r="CC391" s="44" t="str">
        <f t="shared" si="421"/>
        <v/>
      </c>
      <c r="CD391" s="44" t="str">
        <f t="shared" si="422"/>
        <v/>
      </c>
      <c r="CE391" s="44" t="str">
        <f t="shared" si="423"/>
        <v/>
      </c>
      <c r="CF391" s="44" t="str">
        <f t="shared" si="424"/>
        <v/>
      </c>
      <c r="CG391" s="44" t="str">
        <f t="shared" si="425"/>
        <v/>
      </c>
      <c r="CH391" s="44" t="str">
        <f t="shared" si="426"/>
        <v/>
      </c>
      <c r="CI391" s="44" t="str">
        <f t="shared" si="427"/>
        <v/>
      </c>
      <c r="CJ391" s="44" t="str">
        <f t="shared" si="428"/>
        <v/>
      </c>
      <c r="CK391" s="44" t="str">
        <f t="shared" si="429"/>
        <v/>
      </c>
      <c r="CL391" s="44" t="str">
        <f t="shared" si="430"/>
        <v/>
      </c>
      <c r="CM391" s="44" t="str">
        <f t="shared" si="431"/>
        <v/>
      </c>
      <c r="CN391" s="44" t="str">
        <f t="shared" si="432"/>
        <v/>
      </c>
      <c r="CO391" s="44" t="str">
        <f t="shared" si="433"/>
        <v/>
      </c>
      <c r="CP391" s="44" t="str">
        <f t="shared" si="434"/>
        <v/>
      </c>
      <c r="CQ391" s="44" t="str">
        <f t="shared" si="435"/>
        <v/>
      </c>
      <c r="CR391" s="44" t="str">
        <f t="shared" si="436"/>
        <v/>
      </c>
      <c r="CS391" s="44" t="str">
        <f t="shared" si="437"/>
        <v/>
      </c>
      <c r="CT391" s="44" t="str">
        <f t="shared" si="438"/>
        <v/>
      </c>
      <c r="CV391" s="44">
        <f t="shared" si="439"/>
        <v>0</v>
      </c>
    </row>
    <row r="392" spans="1:100" x14ac:dyDescent="0.25">
      <c r="A392" s="41"/>
      <c r="B392" s="42"/>
      <c r="C392" s="43" t="str" cm="1">
        <f t="array" ref="C392">IF(B392="","",INDEX(UWS!$B$10:$B$41,B392))</f>
        <v/>
      </c>
      <c r="D392" s="40" t="str">
        <f t="shared" si="396"/>
        <v/>
      </c>
      <c r="E392" s="69" t="str">
        <f t="shared" si="397"/>
        <v/>
      </c>
      <c r="F392" s="48" cm="1">
        <f t="array" ref="F392">0.1+IFERROR(INDEX($F$5:$F391,SUMPRODUCT(MAX(ROW($C$5:$C391)*($C392=$C$5:$C391))-ROW($A$4)))*0.9^($A392-INDEX($A$5:A391,SUMPRODUCT(MAX(ROW($C$5:$C391)*($C392=$C$5:$C391))-ROW($A$4)))),0)</f>
        <v>32.700000000000195</v>
      </c>
      <c r="G392" s="55" t="e">
        <f>INDEX(UWS!$AB$10:$AB$41,MATCH(C392,UWS!$B$10:$B$41,0))</f>
        <v>#N/A</v>
      </c>
      <c r="H392" s="48" t="e">
        <f>INDEX(UWS!$C$10:$C$41,MATCH(C392,UWS!$B$10:$B$41,0))</f>
        <v>#N/A</v>
      </c>
      <c r="I392" s="27">
        <f t="shared" si="398"/>
        <v>5</v>
      </c>
      <c r="J392" s="27" t="e">
        <f>INDEX(UWS!$E$10:$E$41,MATCH(C392,UWS!$B$10:$B$41,0))</f>
        <v>#N/A</v>
      </c>
      <c r="L392" s="108" t="str" cm="1">
        <f t="array" ref="L392">IF(K392="","",INDEX(UWS!$B$10:$B$41,K392))</f>
        <v/>
      </c>
      <c r="N392" s="108" t="str" cm="1">
        <f t="array" ref="N392">IF(M392="","",INDEX(UWS!$B$10:$B$41,M392))</f>
        <v/>
      </c>
      <c r="P392">
        <f>IFERROR(INDEX(UWS!$G$10:$Z$41,MATCH($C392,UWS!$B$10:$B$41,0),MATCH(P$4,UWS!$G$3:$Z$3,0)),0)</f>
        <v>0</v>
      </c>
      <c r="Q392">
        <f>IFERROR(INDEX(UWS!$G$10:$Z$41,MATCH($C392,UWS!$B$10:$B$41,0),MATCH(Q$4,UWS!$G$3:$Z$3,0)),0)</f>
        <v>0</v>
      </c>
      <c r="R392">
        <f>IFERROR(INDEX(UWS!$G$10:$Z$41,MATCH($C392,UWS!$B$10:$B$41,0),MATCH(R$4,UWS!$G$3:$Z$3,0)),0)</f>
        <v>0</v>
      </c>
      <c r="S392">
        <f>IFERROR(INDEX(UWS!$G$10:$Z$41,MATCH($C392,UWS!$B$10:$B$41,0),MATCH(S$4,UWS!$G$3:$Z$3,0)),0)</f>
        <v>0</v>
      </c>
      <c r="T392">
        <f>IFERROR(INDEX(UWS!$G$10:$Z$41,MATCH($C392,UWS!$B$10:$B$41,0),MATCH(T$4,UWS!$G$3:$Z$3,0)),0)</f>
        <v>0</v>
      </c>
      <c r="U392">
        <f>IFERROR(INDEX(UWS!$G$10:$Z$41,MATCH($C392,UWS!$B$10:$B$41,0),MATCH(U$4,UWS!$G$3:$Z$3,0)),0)</f>
        <v>0</v>
      </c>
      <c r="V392">
        <f>IFERROR(INDEX(UWS!$G$10:$Z$41,MATCH($C392,UWS!$B$10:$B$41,0),MATCH(V$4,UWS!$G$3:$Z$3,0)),0)</f>
        <v>0</v>
      </c>
      <c r="W392">
        <f>IFERROR(INDEX(UWS!$G$10:$Z$41,MATCH($C392,UWS!$B$10:$B$41,0),MATCH(W$4,UWS!$G$3:$Z$3,0)),0)</f>
        <v>0</v>
      </c>
      <c r="X392">
        <f>IFERROR(INDEX(UWS!$G$10:$Z$41,MATCH($C392,UWS!$B$10:$B$41,0),MATCH(X$4,UWS!$G$3:$Z$3,0)),0)</f>
        <v>0</v>
      </c>
      <c r="Y392">
        <f>IFERROR(INDEX(UWS!$G$10:$Z$41,MATCH($C392,UWS!$B$10:$B$41,0),MATCH(Y$4,UWS!$G$3:$Z$3,0)),0)</f>
        <v>0</v>
      </c>
      <c r="Z392">
        <f>IFERROR(INDEX(UWS!$G$10:$Z$41,MATCH($C392,UWS!$B$10:$B$41,0),MATCH(Z$4,UWS!$G$3:$Z$3,0)),0)</f>
        <v>0</v>
      </c>
      <c r="AA392">
        <f>IFERROR(INDEX(UWS!$G$10:$Z$41,MATCH($C392,UWS!$B$10:$B$41,0),MATCH(AA$4,UWS!$G$3:$Z$3,0)),0)</f>
        <v>0</v>
      </c>
      <c r="AB392">
        <f>IFERROR(INDEX(UWS!$G$10:$Z$41,MATCH($C392,UWS!$B$10:$B$41,0),MATCH(AB$4,UWS!$G$3:$Z$3,0)),0)</f>
        <v>0</v>
      </c>
      <c r="AC392">
        <f>IFERROR(INDEX(UWS!$G$10:$Z$41,MATCH($C392,UWS!$B$10:$B$41,0),MATCH(AC$4,UWS!$G$3:$Z$3,0)),0)</f>
        <v>0</v>
      </c>
      <c r="AD392">
        <f>IFERROR(INDEX(UWS!$G$10:$Z$41,MATCH($C392,UWS!$B$10:$B$41,0),MATCH(AD$4,UWS!$G$3:$Z$3,0)),0)</f>
        <v>0</v>
      </c>
      <c r="AE392">
        <f>IFERROR(INDEX(UWS!$G$10:$Z$41,MATCH($C392,UWS!$B$10:$B$41,0),MATCH(AE$4,UWS!$G$3:$Z$3,0)),0)</f>
        <v>0</v>
      </c>
      <c r="AF392">
        <f>IFERROR(INDEX(UWS!$G$10:$Z$41,MATCH($C392,UWS!$B$10:$B$41,0),MATCH(AF$4,UWS!$G$3:$Z$3,0)),0)</f>
        <v>0</v>
      </c>
      <c r="AG392">
        <f>IFERROR(INDEX(UWS!$G$10:$Z$41,MATCH($C392,UWS!$B$10:$B$41,0),MATCH(AG$4,UWS!$G$3:$Z$3,0)),0)</f>
        <v>0</v>
      </c>
      <c r="AH392">
        <f>IFERROR(INDEX(UWS!$G$10:$Z$41,MATCH($C392,UWS!$B$10:$B$41,0),MATCH(AH$4,UWS!$G$3:$Z$3,0)),0)</f>
        <v>0</v>
      </c>
      <c r="AI392">
        <f>IFERROR(INDEX(UWS!$G$10:$Z$41,MATCH($C392,UWS!$B$10:$B$41,0),MATCH(AI$4,UWS!$G$3:$Z$3,0)),0)</f>
        <v>0</v>
      </c>
      <c r="AK392" t="e">
        <f>IF(OR($J392=0,COUNTIFS($A$4:$A391,"&gt;="&amp;$A392-1,$A$4:$A391,"&lt;="&amp;$A392,$B$4:$B391,$B392)&gt;0,MIN(AK$1,IF($A392=$A391,AK391,1))-P392&lt;0),-1,MIN(1,IF($A392=$A391,AK391,1)-P392+$D$3))</f>
        <v>#N/A</v>
      </c>
      <c r="AL392" t="e">
        <f>IF(OR($J392=0,COUNTIFS($A$4:$A391,"&gt;="&amp;$A392-1,$A$4:$A391,"&lt;="&amp;$A392,$B$4:$B391,$B392)&gt;0,MIN(AL$1,IF($A392=$A391,AL391,1))-Q392&lt;0),-1,MIN(1,IF($A392=$A391,AL391,1)-Q392+$D$3))</f>
        <v>#N/A</v>
      </c>
      <c r="AM392" t="e">
        <f>IF(OR($J392=0,COUNTIFS($A$4:$A391,"&gt;="&amp;$A392-1,$A$4:$A391,"&lt;="&amp;$A392,$B$4:$B391,$B392)&gt;0,MIN(AM$1,IF($A392=$A391,AM391,1))-R392&lt;0),-1,MIN(1,IF($A392=$A391,AM391,1)-R392+$D$3))</f>
        <v>#N/A</v>
      </c>
      <c r="AN392" t="e">
        <f>IF(OR($J392=0,COUNTIFS($A$4:$A391,"&gt;="&amp;$A392-1,$A$4:$A391,"&lt;="&amp;$A392,$B$4:$B391,$B392)&gt;0,MIN(AN$1,IF($A392=$A391,AN391,1))-S392&lt;0),-1,MIN(1,IF($A392=$A391,AN391,1)-S392+$D$3))</f>
        <v>#N/A</v>
      </c>
      <c r="AO392" t="e">
        <f>IF(OR($J392=0,COUNTIFS($A$4:$A391,"&gt;="&amp;$A392-1,$A$4:$A391,"&lt;="&amp;$A392,$B$4:$B391,$B392)&gt;0,MIN(AO$1,IF($A392=$A391,AO391,1))-T392&lt;0),-1,MIN(1,IF($A392=$A391,AO391,1)-T392+$D$3))</f>
        <v>#N/A</v>
      </c>
      <c r="AP392" t="e">
        <f>IF(OR($J392=0,COUNTIFS($A$4:$A391,"&gt;="&amp;$A392-1,$A$4:$A391,"&lt;="&amp;$A392,$B$4:$B391,$B392)&gt;0,MIN(AP$1,IF($A392=$A391,AP391,1))-U392&lt;0),-1,MIN(1,IF($A392=$A391,AP391,1)-U392+$D$3))</f>
        <v>#N/A</v>
      </c>
      <c r="AQ392" t="e">
        <f>IF(OR($J392=0,COUNTIFS($A$4:$A391,"&gt;="&amp;$A392-1,$A$4:$A391,"&lt;="&amp;$A392,$B$4:$B391,$B392)&gt;0,MIN(AQ$1,IF($A392=$A391,AQ391,1))-V392&lt;0),-1,MIN(1,IF($A392=$A391,AQ391,1)-V392+$D$3))</f>
        <v>#N/A</v>
      </c>
      <c r="AR392" t="e">
        <f>IF(OR($J392=0,COUNTIFS($A$4:$A391,"&gt;="&amp;$A392-1,$A$4:$A391,"&lt;="&amp;$A392,$B$4:$B391,$B392)&gt;0,MIN(AR$1,IF($A392=$A391,AR391,1))-W392&lt;0),-1,MIN(1,IF($A392=$A391,AR391,1)-W392+$D$3))</f>
        <v>#N/A</v>
      </c>
      <c r="AS392" t="e">
        <f>IF(OR($J392=0,COUNTIFS($A$4:$A391,"&gt;="&amp;$A392-1,$A$4:$A391,"&lt;="&amp;$A392,$B$4:$B391,$B392)&gt;0,MIN(AS$1,IF($A392=$A391,AS391,1))-X392&lt;0),-1,MIN(1,IF($A392=$A391,AS391,1)-X392+$D$3))</f>
        <v>#N/A</v>
      </c>
      <c r="AT392" t="e">
        <f>IF(OR($J392=0,COUNTIFS($A$4:$A391,"&gt;="&amp;$A392-1,$A$4:$A391,"&lt;="&amp;$A392,$B$4:$B391,$B392)&gt;0,MIN(AT$1,IF($A392=$A391,AT391,1))-Y392&lt;0),-1,MIN(1,IF($A392=$A391,AT391,1)-Y392+$D$3))</f>
        <v>#N/A</v>
      </c>
      <c r="AU392" t="e">
        <f>IF(OR($J392=0,COUNTIFS($A$4:$A391,"&gt;="&amp;$A392-1,$A$4:$A391,"&lt;="&amp;$A392,$B$4:$B391,$B392)&gt;0,MIN(AU$1,IF($A392=$A391,AU391,1))-Z392&lt;0),-1,MIN(1,IF($A392=$A391,AU391,1)-Z392+$D$3))</f>
        <v>#N/A</v>
      </c>
      <c r="AV392" t="e">
        <f>IF(OR($J392=0,COUNTIFS($A$4:$A391,"&gt;="&amp;$A392-1,$A$4:$A391,"&lt;="&amp;$A392,$B$4:$B391,$B392)&gt;0,MIN(AV$1,IF($A392=$A391,AV391,1))-AA392&lt;0),-1,MIN(1,IF($A392=$A391,AV391,1)-AA392+$D$3))</f>
        <v>#N/A</v>
      </c>
      <c r="AW392" t="e">
        <f>IF(OR($J392=0,COUNTIFS($A$4:$A391,"&gt;="&amp;$A392-1,$A$4:$A391,"&lt;="&amp;$A392,$B$4:$B391,$B392)&gt;0,MIN(AW$1,IF($A392=$A391,AW391,1))-AB392&lt;0),-1,MIN(1,IF($A392=$A391,AW391,1)-AB392+$D$3))</f>
        <v>#N/A</v>
      </c>
      <c r="AX392" t="e">
        <f>IF(OR($J392=0,COUNTIFS($A$4:$A391,"&gt;="&amp;$A392-1,$A$4:$A391,"&lt;="&amp;$A392,$B$4:$B391,$B392)&gt;0,MIN(AX$1,IF($A392=$A391,AX391,1))-AC392&lt;0),-1,MIN(1,IF($A392=$A391,AX391,1)-AC392+$D$3))</f>
        <v>#N/A</v>
      </c>
      <c r="AY392" t="e">
        <f>IF(OR($J392=0,COUNTIFS($A$4:$A391,"&gt;="&amp;$A392-1,$A$4:$A391,"&lt;="&amp;$A392,$B$4:$B391,$B392)&gt;0,MIN(AY$1,IF($A392=$A391,AY391,1))-AD392&lt;0),-1,MIN(1,IF($A392=$A391,AY391,1)-AD392+$D$3))</f>
        <v>#N/A</v>
      </c>
      <c r="AZ392" t="e">
        <f>IF(OR($J392=0,COUNTIFS($A$4:$A391,"&gt;="&amp;$A392-1,$A$4:$A391,"&lt;="&amp;$A392,$B$4:$B391,$B392)&gt;0,MIN(AZ$1,IF($A392=$A391,AZ391,1))-AE392&lt;0),-1,MIN(1,IF($A392=$A391,AZ391,1)-AE392+$D$3))</f>
        <v>#N/A</v>
      </c>
      <c r="BA392" t="e">
        <f>IF(OR($J392=0,COUNTIFS($A$4:$A391,"&gt;="&amp;$A392-1,$A$4:$A391,"&lt;="&amp;$A392,$B$4:$B391,$B392)&gt;0,MIN(BA$1,IF($A392=$A391,BA391,1))-AF392&lt;0),-1,MIN(1,IF($A392=$A391,BA391,1)-AF392+$D$3))</f>
        <v>#N/A</v>
      </c>
      <c r="BB392" t="e">
        <f>IF(OR($J392=0,COUNTIFS($A$4:$A391,"&gt;="&amp;$A392-1,$A$4:$A391,"&lt;="&amp;$A392,$B$4:$B391,$B392)&gt;0,MIN(BB$1,IF($A392=$A391,BB391,1))-AG392&lt;0),-1,MIN(1,IF($A392=$A391,BB391,1)-AG392+$D$3))</f>
        <v>#N/A</v>
      </c>
      <c r="BC392" t="e">
        <f>IF(OR($J392=0,COUNTIFS($A$4:$A391,"&gt;="&amp;$A392-1,$A$4:$A391,"&lt;="&amp;$A392,$B$4:$B391,$B392)&gt;0,MIN(BC$1,IF($A392=$A391,BC391,1))-AH392&lt;0),-1,MIN(1,IF($A392=$A391,BC391,1)-AH392+$D$3))</f>
        <v>#N/A</v>
      </c>
      <c r="BD392" t="e">
        <f>IF(OR($J392=0,COUNTIFS($A$4:$A391,"&gt;="&amp;$A392-1,$A$4:$A391,"&lt;="&amp;$A392,$B$4:$B391,$B392)&gt;0,MIN(BD$1,IF($A392=$A391,BD391,1))-AI392&lt;0),-1,MIN(1,IF($A392=$A391,BD391,1)-AI392+$D$3))</f>
        <v>#N/A</v>
      </c>
      <c r="BF392" s="44">
        <f t="shared" si="399"/>
        <v>4.8201965310236753E-9</v>
      </c>
      <c r="BG392" s="44">
        <f t="shared" si="400"/>
        <v>1.185422343892453E-8</v>
      </c>
      <c r="BH392" s="44">
        <f t="shared" si="401"/>
        <v>1.2149332082712061E-8</v>
      </c>
      <c r="BI392" s="44">
        <f t="shared" si="402"/>
        <v>1.1222609724763313E-8</v>
      </c>
      <c r="BJ392" s="44">
        <f t="shared" si="403"/>
        <v>1.159963257976852E-8</v>
      </c>
      <c r="BK392" s="44">
        <f t="shared" si="404"/>
        <v>4.9813147213525983E-9</v>
      </c>
      <c r="BL392" s="44">
        <f t="shared" si="405"/>
        <v>2.6909845804819662E-9</v>
      </c>
      <c r="BM392" s="44">
        <f t="shared" si="406"/>
        <v>6.8455505329255193E-9</v>
      </c>
      <c r="BN392" s="44">
        <f t="shared" si="407"/>
        <v>7.119906064832327E-9</v>
      </c>
      <c r="BO392" s="44">
        <f t="shared" si="408"/>
        <v>3.3366581514064831E-9</v>
      </c>
      <c r="BP392" s="44">
        <f t="shared" si="409"/>
        <v>1.1219438692698621E-8</v>
      </c>
      <c r="BQ392" s="44">
        <f t="shared" si="410"/>
        <v>3.0276620710239096E-9</v>
      </c>
      <c r="BR392" s="44">
        <f t="shared" si="411"/>
        <v>8.9444716608815075E-9</v>
      </c>
      <c r="BS392" s="44">
        <f t="shared" si="412"/>
        <v>4.8238722608705782E-9</v>
      </c>
      <c r="BT392" s="44">
        <f t="shared" si="413"/>
        <v>1.9089541421887087E-8</v>
      </c>
      <c r="BU392" s="44">
        <f t="shared" si="414"/>
        <v>1.82362563204614E-8</v>
      </c>
      <c r="BV392" s="44">
        <f t="shared" si="415"/>
        <v>1.7513497236870202E-8</v>
      </c>
      <c r="BW392" s="44">
        <f t="shared" si="416"/>
        <v>1.1454790967973054E-8</v>
      </c>
      <c r="BX392" s="44">
        <f t="shared" si="417"/>
        <v>8.4625915566992191E-9</v>
      </c>
      <c r="BY392" s="44">
        <f t="shared" si="418"/>
        <v>7.266107515882182E-9</v>
      </c>
      <c r="CA392" s="44" t="str">
        <f t="shared" si="419"/>
        <v/>
      </c>
      <c r="CB392" s="44" t="str">
        <f t="shared" si="420"/>
        <v/>
      </c>
      <c r="CC392" s="44" t="str">
        <f t="shared" si="421"/>
        <v/>
      </c>
      <c r="CD392" s="44" t="str">
        <f t="shared" si="422"/>
        <v/>
      </c>
      <c r="CE392" s="44" t="str">
        <f t="shared" si="423"/>
        <v/>
      </c>
      <c r="CF392" s="44" t="str">
        <f t="shared" si="424"/>
        <v/>
      </c>
      <c r="CG392" s="44" t="str">
        <f t="shared" si="425"/>
        <v/>
      </c>
      <c r="CH392" s="44" t="str">
        <f t="shared" si="426"/>
        <v/>
      </c>
      <c r="CI392" s="44" t="str">
        <f t="shared" si="427"/>
        <v/>
      </c>
      <c r="CJ392" s="44" t="str">
        <f t="shared" si="428"/>
        <v/>
      </c>
      <c r="CK392" s="44" t="str">
        <f t="shared" si="429"/>
        <v/>
      </c>
      <c r="CL392" s="44" t="str">
        <f t="shared" si="430"/>
        <v/>
      </c>
      <c r="CM392" s="44" t="str">
        <f t="shared" si="431"/>
        <v/>
      </c>
      <c r="CN392" s="44" t="str">
        <f t="shared" si="432"/>
        <v/>
      </c>
      <c r="CO392" s="44" t="str">
        <f t="shared" si="433"/>
        <v/>
      </c>
      <c r="CP392" s="44" t="str">
        <f t="shared" si="434"/>
        <v/>
      </c>
      <c r="CQ392" s="44" t="str">
        <f t="shared" si="435"/>
        <v/>
      </c>
      <c r="CR392" s="44" t="str">
        <f t="shared" si="436"/>
        <v/>
      </c>
      <c r="CS392" s="44" t="str">
        <f t="shared" si="437"/>
        <v/>
      </c>
      <c r="CT392" s="44" t="str">
        <f t="shared" si="438"/>
        <v/>
      </c>
      <c r="CV392" s="44">
        <f t="shared" si="439"/>
        <v>0</v>
      </c>
    </row>
    <row r="393" spans="1:100" x14ac:dyDescent="0.25">
      <c r="A393" s="41"/>
      <c r="B393" s="42"/>
      <c r="C393" s="43" t="str" cm="1">
        <f t="array" ref="C393">IF(B393="","",INDEX(UWS!$B$10:$B$41,B393))</f>
        <v/>
      </c>
      <c r="D393" s="40" t="str">
        <f t="shared" si="396"/>
        <v/>
      </c>
      <c r="E393" s="69" t="str">
        <f t="shared" si="397"/>
        <v/>
      </c>
      <c r="F393" s="48" cm="1">
        <f t="array" ref="F393">0.1+IFERROR(INDEX($F$5:$F392,SUMPRODUCT(MAX(ROW($C$5:$C392)*($C393=$C$5:$C392))-ROW($A$4)))*0.9^($A393-INDEX($A$5:A392,SUMPRODUCT(MAX(ROW($C$5:$C392)*($C393=$C$5:$C392))-ROW($A$4)))),0)</f>
        <v>32.800000000000196</v>
      </c>
      <c r="G393" s="55" t="e">
        <f>INDEX(UWS!$AB$10:$AB$41,MATCH(C393,UWS!$B$10:$B$41,0))</f>
        <v>#N/A</v>
      </c>
      <c r="H393" s="48" t="e">
        <f>INDEX(UWS!$C$10:$C$41,MATCH(C393,UWS!$B$10:$B$41,0))</f>
        <v>#N/A</v>
      </c>
      <c r="I393" s="27">
        <f t="shared" si="398"/>
        <v>5</v>
      </c>
      <c r="J393" s="27" t="e">
        <f>INDEX(UWS!$E$10:$E$41,MATCH(C393,UWS!$B$10:$B$41,0))</f>
        <v>#N/A</v>
      </c>
      <c r="L393" s="108" t="str" cm="1">
        <f t="array" ref="L393">IF(K393="","",INDEX(UWS!$B$10:$B$41,K393))</f>
        <v/>
      </c>
      <c r="N393" s="108" t="str" cm="1">
        <f t="array" ref="N393">IF(M393="","",INDEX(UWS!$B$10:$B$41,M393))</f>
        <v/>
      </c>
      <c r="P393">
        <f>IFERROR(INDEX(UWS!$G$10:$Z$41,MATCH($C393,UWS!$B$10:$B$41,0),MATCH(P$4,UWS!$G$3:$Z$3,0)),0)</f>
        <v>0</v>
      </c>
      <c r="Q393">
        <f>IFERROR(INDEX(UWS!$G$10:$Z$41,MATCH($C393,UWS!$B$10:$B$41,0),MATCH(Q$4,UWS!$G$3:$Z$3,0)),0)</f>
        <v>0</v>
      </c>
      <c r="R393">
        <f>IFERROR(INDEX(UWS!$G$10:$Z$41,MATCH($C393,UWS!$B$10:$B$41,0),MATCH(R$4,UWS!$G$3:$Z$3,0)),0)</f>
        <v>0</v>
      </c>
      <c r="S393">
        <f>IFERROR(INDEX(UWS!$G$10:$Z$41,MATCH($C393,UWS!$B$10:$B$41,0),MATCH(S$4,UWS!$G$3:$Z$3,0)),0)</f>
        <v>0</v>
      </c>
      <c r="T393">
        <f>IFERROR(INDEX(UWS!$G$10:$Z$41,MATCH($C393,UWS!$B$10:$B$41,0),MATCH(T$4,UWS!$G$3:$Z$3,0)),0)</f>
        <v>0</v>
      </c>
      <c r="U393">
        <f>IFERROR(INDEX(UWS!$G$10:$Z$41,MATCH($C393,UWS!$B$10:$B$41,0),MATCH(U$4,UWS!$G$3:$Z$3,0)),0)</f>
        <v>0</v>
      </c>
      <c r="V393">
        <f>IFERROR(INDEX(UWS!$G$10:$Z$41,MATCH($C393,UWS!$B$10:$B$41,0),MATCH(V$4,UWS!$G$3:$Z$3,0)),0)</f>
        <v>0</v>
      </c>
      <c r="W393">
        <f>IFERROR(INDEX(UWS!$G$10:$Z$41,MATCH($C393,UWS!$B$10:$B$41,0),MATCH(W$4,UWS!$G$3:$Z$3,0)),0)</f>
        <v>0</v>
      </c>
      <c r="X393">
        <f>IFERROR(INDEX(UWS!$G$10:$Z$41,MATCH($C393,UWS!$B$10:$B$41,0),MATCH(X$4,UWS!$G$3:$Z$3,0)),0)</f>
        <v>0</v>
      </c>
      <c r="Y393">
        <f>IFERROR(INDEX(UWS!$G$10:$Z$41,MATCH($C393,UWS!$B$10:$B$41,0),MATCH(Y$4,UWS!$G$3:$Z$3,0)),0)</f>
        <v>0</v>
      </c>
      <c r="Z393">
        <f>IFERROR(INDEX(UWS!$G$10:$Z$41,MATCH($C393,UWS!$B$10:$B$41,0),MATCH(Z$4,UWS!$G$3:$Z$3,0)),0)</f>
        <v>0</v>
      </c>
      <c r="AA393">
        <f>IFERROR(INDEX(UWS!$G$10:$Z$41,MATCH($C393,UWS!$B$10:$B$41,0),MATCH(AA$4,UWS!$G$3:$Z$3,0)),0)</f>
        <v>0</v>
      </c>
      <c r="AB393">
        <f>IFERROR(INDEX(UWS!$G$10:$Z$41,MATCH($C393,UWS!$B$10:$B$41,0),MATCH(AB$4,UWS!$G$3:$Z$3,0)),0)</f>
        <v>0</v>
      </c>
      <c r="AC393">
        <f>IFERROR(INDEX(UWS!$G$10:$Z$41,MATCH($C393,UWS!$B$10:$B$41,0),MATCH(AC$4,UWS!$G$3:$Z$3,0)),0)</f>
        <v>0</v>
      </c>
      <c r="AD393">
        <f>IFERROR(INDEX(UWS!$G$10:$Z$41,MATCH($C393,UWS!$B$10:$B$41,0),MATCH(AD$4,UWS!$G$3:$Z$3,0)),0)</f>
        <v>0</v>
      </c>
      <c r="AE393">
        <f>IFERROR(INDEX(UWS!$G$10:$Z$41,MATCH($C393,UWS!$B$10:$B$41,0),MATCH(AE$4,UWS!$G$3:$Z$3,0)),0)</f>
        <v>0</v>
      </c>
      <c r="AF393">
        <f>IFERROR(INDEX(UWS!$G$10:$Z$41,MATCH($C393,UWS!$B$10:$B$41,0),MATCH(AF$4,UWS!$G$3:$Z$3,0)),0)</f>
        <v>0</v>
      </c>
      <c r="AG393">
        <f>IFERROR(INDEX(UWS!$G$10:$Z$41,MATCH($C393,UWS!$B$10:$B$41,0),MATCH(AG$4,UWS!$G$3:$Z$3,0)),0)</f>
        <v>0</v>
      </c>
      <c r="AH393">
        <f>IFERROR(INDEX(UWS!$G$10:$Z$41,MATCH($C393,UWS!$B$10:$B$41,0),MATCH(AH$4,UWS!$G$3:$Z$3,0)),0)</f>
        <v>0</v>
      </c>
      <c r="AI393">
        <f>IFERROR(INDEX(UWS!$G$10:$Z$41,MATCH($C393,UWS!$B$10:$B$41,0),MATCH(AI$4,UWS!$G$3:$Z$3,0)),0)</f>
        <v>0</v>
      </c>
      <c r="AK393" t="e">
        <f>IF(OR($J393=0,COUNTIFS($A$4:$A392,"&gt;="&amp;$A393-1,$A$4:$A392,"&lt;="&amp;$A393,$B$4:$B392,$B393)&gt;0,MIN(AK$1,IF($A393=$A392,AK392,1))-P393&lt;0),-1,MIN(1,IF($A393=$A392,AK392,1)-P393+$D$3))</f>
        <v>#N/A</v>
      </c>
      <c r="AL393" t="e">
        <f>IF(OR($J393=0,COUNTIFS($A$4:$A392,"&gt;="&amp;$A393-1,$A$4:$A392,"&lt;="&amp;$A393,$B$4:$B392,$B393)&gt;0,MIN(AL$1,IF($A393=$A392,AL392,1))-Q393&lt;0),-1,MIN(1,IF($A393=$A392,AL392,1)-Q393+$D$3))</f>
        <v>#N/A</v>
      </c>
      <c r="AM393" t="e">
        <f>IF(OR($J393=0,COUNTIFS($A$4:$A392,"&gt;="&amp;$A393-1,$A$4:$A392,"&lt;="&amp;$A393,$B$4:$B392,$B393)&gt;0,MIN(AM$1,IF($A393=$A392,AM392,1))-R393&lt;0),-1,MIN(1,IF($A393=$A392,AM392,1)-R393+$D$3))</f>
        <v>#N/A</v>
      </c>
      <c r="AN393" t="e">
        <f>IF(OR($J393=0,COUNTIFS($A$4:$A392,"&gt;="&amp;$A393-1,$A$4:$A392,"&lt;="&amp;$A393,$B$4:$B392,$B393)&gt;0,MIN(AN$1,IF($A393=$A392,AN392,1))-S393&lt;0),-1,MIN(1,IF($A393=$A392,AN392,1)-S393+$D$3))</f>
        <v>#N/A</v>
      </c>
      <c r="AO393" t="e">
        <f>IF(OR($J393=0,COUNTIFS($A$4:$A392,"&gt;="&amp;$A393-1,$A$4:$A392,"&lt;="&amp;$A393,$B$4:$B392,$B393)&gt;0,MIN(AO$1,IF($A393=$A392,AO392,1))-T393&lt;0),-1,MIN(1,IF($A393=$A392,AO392,1)-T393+$D$3))</f>
        <v>#N/A</v>
      </c>
      <c r="AP393" t="e">
        <f>IF(OR($J393=0,COUNTIFS($A$4:$A392,"&gt;="&amp;$A393-1,$A$4:$A392,"&lt;="&amp;$A393,$B$4:$B392,$B393)&gt;0,MIN(AP$1,IF($A393=$A392,AP392,1))-U393&lt;0),-1,MIN(1,IF($A393=$A392,AP392,1)-U393+$D$3))</f>
        <v>#N/A</v>
      </c>
      <c r="AQ393" t="e">
        <f>IF(OR($J393=0,COUNTIFS($A$4:$A392,"&gt;="&amp;$A393-1,$A$4:$A392,"&lt;="&amp;$A393,$B$4:$B392,$B393)&gt;0,MIN(AQ$1,IF($A393=$A392,AQ392,1))-V393&lt;0),-1,MIN(1,IF($A393=$A392,AQ392,1)-V393+$D$3))</f>
        <v>#N/A</v>
      </c>
      <c r="AR393" t="e">
        <f>IF(OR($J393=0,COUNTIFS($A$4:$A392,"&gt;="&amp;$A393-1,$A$4:$A392,"&lt;="&amp;$A393,$B$4:$B392,$B393)&gt;0,MIN(AR$1,IF($A393=$A392,AR392,1))-W393&lt;0),-1,MIN(1,IF($A393=$A392,AR392,1)-W393+$D$3))</f>
        <v>#N/A</v>
      </c>
      <c r="AS393" t="e">
        <f>IF(OR($J393=0,COUNTIFS($A$4:$A392,"&gt;="&amp;$A393-1,$A$4:$A392,"&lt;="&amp;$A393,$B$4:$B392,$B393)&gt;0,MIN(AS$1,IF($A393=$A392,AS392,1))-X393&lt;0),-1,MIN(1,IF($A393=$A392,AS392,1)-X393+$D$3))</f>
        <v>#N/A</v>
      </c>
      <c r="AT393" t="e">
        <f>IF(OR($J393=0,COUNTIFS($A$4:$A392,"&gt;="&amp;$A393-1,$A$4:$A392,"&lt;="&amp;$A393,$B$4:$B392,$B393)&gt;0,MIN(AT$1,IF($A393=$A392,AT392,1))-Y393&lt;0),-1,MIN(1,IF($A393=$A392,AT392,1)-Y393+$D$3))</f>
        <v>#N/A</v>
      </c>
      <c r="AU393" t="e">
        <f>IF(OR($J393=0,COUNTIFS($A$4:$A392,"&gt;="&amp;$A393-1,$A$4:$A392,"&lt;="&amp;$A393,$B$4:$B392,$B393)&gt;0,MIN(AU$1,IF($A393=$A392,AU392,1))-Z393&lt;0),-1,MIN(1,IF($A393=$A392,AU392,1)-Z393+$D$3))</f>
        <v>#N/A</v>
      </c>
      <c r="AV393" t="e">
        <f>IF(OR($J393=0,COUNTIFS($A$4:$A392,"&gt;="&amp;$A393-1,$A$4:$A392,"&lt;="&amp;$A393,$B$4:$B392,$B393)&gt;0,MIN(AV$1,IF($A393=$A392,AV392,1))-AA393&lt;0),-1,MIN(1,IF($A393=$A392,AV392,1)-AA393+$D$3))</f>
        <v>#N/A</v>
      </c>
      <c r="AW393" t="e">
        <f>IF(OR($J393=0,COUNTIFS($A$4:$A392,"&gt;="&amp;$A393-1,$A$4:$A392,"&lt;="&amp;$A393,$B$4:$B392,$B393)&gt;0,MIN(AW$1,IF($A393=$A392,AW392,1))-AB393&lt;0),-1,MIN(1,IF($A393=$A392,AW392,1)-AB393+$D$3))</f>
        <v>#N/A</v>
      </c>
      <c r="AX393" t="e">
        <f>IF(OR($J393=0,COUNTIFS($A$4:$A392,"&gt;="&amp;$A393-1,$A$4:$A392,"&lt;="&amp;$A393,$B$4:$B392,$B393)&gt;0,MIN(AX$1,IF($A393=$A392,AX392,1))-AC393&lt;0),-1,MIN(1,IF($A393=$A392,AX392,1)-AC393+$D$3))</f>
        <v>#N/A</v>
      </c>
      <c r="AY393" t="e">
        <f>IF(OR($J393=0,COUNTIFS($A$4:$A392,"&gt;="&amp;$A393-1,$A$4:$A392,"&lt;="&amp;$A393,$B$4:$B392,$B393)&gt;0,MIN(AY$1,IF($A393=$A392,AY392,1))-AD393&lt;0),-1,MIN(1,IF($A393=$A392,AY392,1)-AD393+$D$3))</f>
        <v>#N/A</v>
      </c>
      <c r="AZ393" t="e">
        <f>IF(OR($J393=0,COUNTIFS($A$4:$A392,"&gt;="&amp;$A393-1,$A$4:$A392,"&lt;="&amp;$A393,$B$4:$B392,$B393)&gt;0,MIN(AZ$1,IF($A393=$A392,AZ392,1))-AE393&lt;0),-1,MIN(1,IF($A393=$A392,AZ392,1)-AE393+$D$3))</f>
        <v>#N/A</v>
      </c>
      <c r="BA393" t="e">
        <f>IF(OR($J393=0,COUNTIFS($A$4:$A392,"&gt;="&amp;$A393-1,$A$4:$A392,"&lt;="&amp;$A393,$B$4:$B392,$B393)&gt;0,MIN(BA$1,IF($A393=$A392,BA392,1))-AF393&lt;0),-1,MIN(1,IF($A393=$A392,BA392,1)-AF393+$D$3))</f>
        <v>#N/A</v>
      </c>
      <c r="BB393" t="e">
        <f>IF(OR($J393=0,COUNTIFS($A$4:$A392,"&gt;="&amp;$A393-1,$A$4:$A392,"&lt;="&amp;$A393,$B$4:$B392,$B393)&gt;0,MIN(BB$1,IF($A393=$A392,BB392,1))-AG393&lt;0),-1,MIN(1,IF($A393=$A392,BB392,1)-AG393+$D$3))</f>
        <v>#N/A</v>
      </c>
      <c r="BC393" t="e">
        <f>IF(OR($J393=0,COUNTIFS($A$4:$A392,"&gt;="&amp;$A393-1,$A$4:$A392,"&lt;="&amp;$A393,$B$4:$B392,$B393)&gt;0,MIN(BC$1,IF($A393=$A392,BC392,1))-AH393&lt;0),-1,MIN(1,IF($A393=$A392,BC392,1)-AH393+$D$3))</f>
        <v>#N/A</v>
      </c>
      <c r="BD393" t="e">
        <f>IF(OR($J393=0,COUNTIFS($A$4:$A392,"&gt;="&amp;$A393-1,$A$4:$A392,"&lt;="&amp;$A393,$B$4:$B392,$B393)&gt;0,MIN(BD$1,IF($A393=$A392,BD392,1))-AI393&lt;0),-1,MIN(1,IF($A393=$A392,BD392,1)-AI393+$D$3))</f>
        <v>#N/A</v>
      </c>
      <c r="BF393" s="44">
        <f t="shared" si="399"/>
        <v>4.5791867044724911E-9</v>
      </c>
      <c r="BG393" s="44">
        <f t="shared" si="400"/>
        <v>1.1261512266978303E-8</v>
      </c>
      <c r="BH393" s="44">
        <f t="shared" si="401"/>
        <v>1.1541865478576457E-8</v>
      </c>
      <c r="BI393" s="44">
        <f t="shared" si="402"/>
        <v>1.0661479238525147E-8</v>
      </c>
      <c r="BJ393" s="44">
        <f t="shared" si="403"/>
        <v>1.1019650950780093E-8</v>
      </c>
      <c r="BK393" s="44">
        <f t="shared" si="404"/>
        <v>4.7322489852849679E-9</v>
      </c>
      <c r="BL393" s="44">
        <f t="shared" si="405"/>
        <v>2.5564353514578679E-9</v>
      </c>
      <c r="BM393" s="44">
        <f t="shared" si="406"/>
        <v>6.5032730062792427E-9</v>
      </c>
      <c r="BN393" s="44">
        <f t="shared" si="407"/>
        <v>6.7639107615907102E-9</v>
      </c>
      <c r="BO393" s="44">
        <f t="shared" si="408"/>
        <v>3.1698252438361588E-9</v>
      </c>
      <c r="BP393" s="44">
        <f t="shared" si="409"/>
        <v>1.065846675806369E-8</v>
      </c>
      <c r="BQ393" s="44">
        <f t="shared" si="410"/>
        <v>2.8762789674727139E-9</v>
      </c>
      <c r="BR393" s="44">
        <f t="shared" si="411"/>
        <v>8.4972480778374322E-9</v>
      </c>
      <c r="BS393" s="44">
        <f t="shared" si="412"/>
        <v>4.5826786478270492E-9</v>
      </c>
      <c r="BT393" s="44">
        <f t="shared" si="413"/>
        <v>1.813506435079273E-8</v>
      </c>
      <c r="BU393" s="44">
        <f t="shared" si="414"/>
        <v>1.7324443504438331E-8</v>
      </c>
      <c r="BV393" s="44">
        <f t="shared" si="415"/>
        <v>1.6637822375026692E-8</v>
      </c>
      <c r="BW393" s="44">
        <f t="shared" si="416"/>
        <v>1.0882051419574401E-8</v>
      </c>
      <c r="BX393" s="44">
        <f t="shared" si="417"/>
        <v>8.0394619788642583E-9</v>
      </c>
      <c r="BY393" s="44">
        <f t="shared" si="418"/>
        <v>6.9028021400880722E-9</v>
      </c>
      <c r="CA393" s="44" t="str">
        <f t="shared" si="419"/>
        <v/>
      </c>
      <c r="CB393" s="44" t="str">
        <f t="shared" si="420"/>
        <v/>
      </c>
      <c r="CC393" s="44" t="str">
        <f t="shared" si="421"/>
        <v/>
      </c>
      <c r="CD393" s="44" t="str">
        <f t="shared" si="422"/>
        <v/>
      </c>
      <c r="CE393" s="44" t="str">
        <f t="shared" si="423"/>
        <v/>
      </c>
      <c r="CF393" s="44" t="str">
        <f t="shared" si="424"/>
        <v/>
      </c>
      <c r="CG393" s="44" t="str">
        <f t="shared" si="425"/>
        <v/>
      </c>
      <c r="CH393" s="44" t="str">
        <f t="shared" si="426"/>
        <v/>
      </c>
      <c r="CI393" s="44" t="str">
        <f t="shared" si="427"/>
        <v/>
      </c>
      <c r="CJ393" s="44" t="str">
        <f t="shared" si="428"/>
        <v/>
      </c>
      <c r="CK393" s="44" t="str">
        <f t="shared" si="429"/>
        <v/>
      </c>
      <c r="CL393" s="44" t="str">
        <f t="shared" si="430"/>
        <v/>
      </c>
      <c r="CM393" s="44" t="str">
        <f t="shared" si="431"/>
        <v/>
      </c>
      <c r="CN393" s="44" t="str">
        <f t="shared" si="432"/>
        <v/>
      </c>
      <c r="CO393" s="44" t="str">
        <f t="shared" si="433"/>
        <v/>
      </c>
      <c r="CP393" s="44" t="str">
        <f t="shared" si="434"/>
        <v/>
      </c>
      <c r="CQ393" s="44" t="str">
        <f t="shared" si="435"/>
        <v/>
      </c>
      <c r="CR393" s="44" t="str">
        <f t="shared" si="436"/>
        <v/>
      </c>
      <c r="CS393" s="44" t="str">
        <f t="shared" si="437"/>
        <v/>
      </c>
      <c r="CT393" s="44" t="str">
        <f t="shared" si="438"/>
        <v/>
      </c>
      <c r="CV393" s="44">
        <f t="shared" si="439"/>
        <v>0</v>
      </c>
    </row>
    <row r="394" spans="1:100" x14ac:dyDescent="0.25">
      <c r="A394" s="41"/>
      <c r="B394" s="42"/>
      <c r="C394" s="43" t="str" cm="1">
        <f t="array" ref="C394">IF(B394="","",INDEX(UWS!$B$10:$B$41,B394))</f>
        <v/>
      </c>
      <c r="D394" s="40" t="str">
        <f t="shared" si="396"/>
        <v/>
      </c>
      <c r="E394" s="69" t="str">
        <f t="shared" si="397"/>
        <v/>
      </c>
      <c r="F394" s="48" cm="1">
        <f t="array" ref="F394">0.1+IFERROR(INDEX($F$5:$F393,SUMPRODUCT(MAX(ROW($C$5:$C393)*($C394=$C$5:$C393))-ROW($A$4)))*0.9^($A394-INDEX($A$5:A393,SUMPRODUCT(MAX(ROW($C$5:$C393)*($C394=$C$5:$C393))-ROW($A$4)))),0)</f>
        <v>32.900000000000198</v>
      </c>
      <c r="G394" s="55" t="e">
        <f>INDEX(UWS!$AB$10:$AB$41,MATCH(C394,UWS!$B$10:$B$41,0))</f>
        <v>#N/A</v>
      </c>
      <c r="H394" s="48" t="e">
        <f>INDEX(UWS!$C$10:$C$41,MATCH(C394,UWS!$B$10:$B$41,0))</f>
        <v>#N/A</v>
      </c>
      <c r="I394" s="27">
        <f t="shared" si="398"/>
        <v>5</v>
      </c>
      <c r="J394" s="27" t="e">
        <f>INDEX(UWS!$E$10:$E$41,MATCH(C394,UWS!$B$10:$B$41,0))</f>
        <v>#N/A</v>
      </c>
      <c r="L394" s="108" t="str" cm="1">
        <f t="array" ref="L394">IF(K394="","",INDEX(UWS!$B$10:$B$41,K394))</f>
        <v/>
      </c>
      <c r="N394" s="108" t="str" cm="1">
        <f t="array" ref="N394">IF(M394="","",INDEX(UWS!$B$10:$B$41,M394))</f>
        <v/>
      </c>
      <c r="P394">
        <f>IFERROR(INDEX(UWS!$G$10:$Z$41,MATCH($C394,UWS!$B$10:$B$41,0),MATCH(P$4,UWS!$G$3:$Z$3,0)),0)</f>
        <v>0</v>
      </c>
      <c r="Q394">
        <f>IFERROR(INDEX(UWS!$G$10:$Z$41,MATCH($C394,UWS!$B$10:$B$41,0),MATCH(Q$4,UWS!$G$3:$Z$3,0)),0)</f>
        <v>0</v>
      </c>
      <c r="R394">
        <f>IFERROR(INDEX(UWS!$G$10:$Z$41,MATCH($C394,UWS!$B$10:$B$41,0),MATCH(R$4,UWS!$G$3:$Z$3,0)),0)</f>
        <v>0</v>
      </c>
      <c r="S394">
        <f>IFERROR(INDEX(UWS!$G$10:$Z$41,MATCH($C394,UWS!$B$10:$B$41,0),MATCH(S$4,UWS!$G$3:$Z$3,0)),0)</f>
        <v>0</v>
      </c>
      <c r="T394">
        <f>IFERROR(INDEX(UWS!$G$10:$Z$41,MATCH($C394,UWS!$B$10:$B$41,0),MATCH(T$4,UWS!$G$3:$Z$3,0)),0)</f>
        <v>0</v>
      </c>
      <c r="U394">
        <f>IFERROR(INDEX(UWS!$G$10:$Z$41,MATCH($C394,UWS!$B$10:$B$41,0),MATCH(U$4,UWS!$G$3:$Z$3,0)),0)</f>
        <v>0</v>
      </c>
      <c r="V394">
        <f>IFERROR(INDEX(UWS!$G$10:$Z$41,MATCH($C394,UWS!$B$10:$B$41,0),MATCH(V$4,UWS!$G$3:$Z$3,0)),0)</f>
        <v>0</v>
      </c>
      <c r="W394">
        <f>IFERROR(INDEX(UWS!$G$10:$Z$41,MATCH($C394,UWS!$B$10:$B$41,0),MATCH(W$4,UWS!$G$3:$Z$3,0)),0)</f>
        <v>0</v>
      </c>
      <c r="X394">
        <f>IFERROR(INDEX(UWS!$G$10:$Z$41,MATCH($C394,UWS!$B$10:$B$41,0),MATCH(X$4,UWS!$G$3:$Z$3,0)),0)</f>
        <v>0</v>
      </c>
      <c r="Y394">
        <f>IFERROR(INDEX(UWS!$G$10:$Z$41,MATCH($C394,UWS!$B$10:$B$41,0),MATCH(Y$4,UWS!$G$3:$Z$3,0)),0)</f>
        <v>0</v>
      </c>
      <c r="Z394">
        <f>IFERROR(INDEX(UWS!$G$10:$Z$41,MATCH($C394,UWS!$B$10:$B$41,0),MATCH(Z$4,UWS!$G$3:$Z$3,0)),0)</f>
        <v>0</v>
      </c>
      <c r="AA394">
        <f>IFERROR(INDEX(UWS!$G$10:$Z$41,MATCH($C394,UWS!$B$10:$B$41,0),MATCH(AA$4,UWS!$G$3:$Z$3,0)),0)</f>
        <v>0</v>
      </c>
      <c r="AB394">
        <f>IFERROR(INDEX(UWS!$G$10:$Z$41,MATCH($C394,UWS!$B$10:$B$41,0),MATCH(AB$4,UWS!$G$3:$Z$3,0)),0)</f>
        <v>0</v>
      </c>
      <c r="AC394">
        <f>IFERROR(INDEX(UWS!$G$10:$Z$41,MATCH($C394,UWS!$B$10:$B$41,0),MATCH(AC$4,UWS!$G$3:$Z$3,0)),0)</f>
        <v>0</v>
      </c>
      <c r="AD394">
        <f>IFERROR(INDEX(UWS!$G$10:$Z$41,MATCH($C394,UWS!$B$10:$B$41,0),MATCH(AD$4,UWS!$G$3:$Z$3,0)),0)</f>
        <v>0</v>
      </c>
      <c r="AE394">
        <f>IFERROR(INDEX(UWS!$G$10:$Z$41,MATCH($C394,UWS!$B$10:$B$41,0),MATCH(AE$4,UWS!$G$3:$Z$3,0)),0)</f>
        <v>0</v>
      </c>
      <c r="AF394">
        <f>IFERROR(INDEX(UWS!$G$10:$Z$41,MATCH($C394,UWS!$B$10:$B$41,0),MATCH(AF$4,UWS!$G$3:$Z$3,0)),0)</f>
        <v>0</v>
      </c>
      <c r="AG394">
        <f>IFERROR(INDEX(UWS!$G$10:$Z$41,MATCH($C394,UWS!$B$10:$B$41,0),MATCH(AG$4,UWS!$G$3:$Z$3,0)),0)</f>
        <v>0</v>
      </c>
      <c r="AH394">
        <f>IFERROR(INDEX(UWS!$G$10:$Z$41,MATCH($C394,UWS!$B$10:$B$41,0),MATCH(AH$4,UWS!$G$3:$Z$3,0)),0)</f>
        <v>0</v>
      </c>
      <c r="AI394">
        <f>IFERROR(INDEX(UWS!$G$10:$Z$41,MATCH($C394,UWS!$B$10:$B$41,0),MATCH(AI$4,UWS!$G$3:$Z$3,0)),0)</f>
        <v>0</v>
      </c>
      <c r="AK394" t="e">
        <f>IF(OR($J394=0,COUNTIFS($A$4:$A393,"&gt;="&amp;$A394-1,$A$4:$A393,"&lt;="&amp;$A394,$B$4:$B393,$B394)&gt;0,MIN(AK$1,IF($A394=$A393,AK393,1))-P394&lt;0),-1,MIN(1,IF($A394=$A393,AK393,1)-P394+$D$3))</f>
        <v>#N/A</v>
      </c>
      <c r="AL394" t="e">
        <f>IF(OR($J394=0,COUNTIFS($A$4:$A393,"&gt;="&amp;$A394-1,$A$4:$A393,"&lt;="&amp;$A394,$B$4:$B393,$B394)&gt;0,MIN(AL$1,IF($A394=$A393,AL393,1))-Q394&lt;0),-1,MIN(1,IF($A394=$A393,AL393,1)-Q394+$D$3))</f>
        <v>#N/A</v>
      </c>
      <c r="AM394" t="e">
        <f>IF(OR($J394=0,COUNTIFS($A$4:$A393,"&gt;="&amp;$A394-1,$A$4:$A393,"&lt;="&amp;$A394,$B$4:$B393,$B394)&gt;0,MIN(AM$1,IF($A394=$A393,AM393,1))-R394&lt;0),-1,MIN(1,IF($A394=$A393,AM393,1)-R394+$D$3))</f>
        <v>#N/A</v>
      </c>
      <c r="AN394" t="e">
        <f>IF(OR($J394=0,COUNTIFS($A$4:$A393,"&gt;="&amp;$A394-1,$A$4:$A393,"&lt;="&amp;$A394,$B$4:$B393,$B394)&gt;0,MIN(AN$1,IF($A394=$A393,AN393,1))-S394&lt;0),-1,MIN(1,IF($A394=$A393,AN393,1)-S394+$D$3))</f>
        <v>#N/A</v>
      </c>
      <c r="AO394" t="e">
        <f>IF(OR($J394=0,COUNTIFS($A$4:$A393,"&gt;="&amp;$A394-1,$A$4:$A393,"&lt;="&amp;$A394,$B$4:$B393,$B394)&gt;0,MIN(AO$1,IF($A394=$A393,AO393,1))-T394&lt;0),-1,MIN(1,IF($A394=$A393,AO393,1)-T394+$D$3))</f>
        <v>#N/A</v>
      </c>
      <c r="AP394" t="e">
        <f>IF(OR($J394=0,COUNTIFS($A$4:$A393,"&gt;="&amp;$A394-1,$A$4:$A393,"&lt;="&amp;$A394,$B$4:$B393,$B394)&gt;0,MIN(AP$1,IF($A394=$A393,AP393,1))-U394&lt;0),-1,MIN(1,IF($A394=$A393,AP393,1)-U394+$D$3))</f>
        <v>#N/A</v>
      </c>
      <c r="AQ394" t="e">
        <f>IF(OR($J394=0,COUNTIFS($A$4:$A393,"&gt;="&amp;$A394-1,$A$4:$A393,"&lt;="&amp;$A394,$B$4:$B393,$B394)&gt;0,MIN(AQ$1,IF($A394=$A393,AQ393,1))-V394&lt;0),-1,MIN(1,IF($A394=$A393,AQ393,1)-V394+$D$3))</f>
        <v>#N/A</v>
      </c>
      <c r="AR394" t="e">
        <f>IF(OR($J394=0,COUNTIFS($A$4:$A393,"&gt;="&amp;$A394-1,$A$4:$A393,"&lt;="&amp;$A394,$B$4:$B393,$B394)&gt;0,MIN(AR$1,IF($A394=$A393,AR393,1))-W394&lt;0),-1,MIN(1,IF($A394=$A393,AR393,1)-W394+$D$3))</f>
        <v>#N/A</v>
      </c>
      <c r="AS394" t="e">
        <f>IF(OR($J394=0,COUNTIFS($A$4:$A393,"&gt;="&amp;$A394-1,$A$4:$A393,"&lt;="&amp;$A394,$B$4:$B393,$B394)&gt;0,MIN(AS$1,IF($A394=$A393,AS393,1))-X394&lt;0),-1,MIN(1,IF($A394=$A393,AS393,1)-X394+$D$3))</f>
        <v>#N/A</v>
      </c>
      <c r="AT394" t="e">
        <f>IF(OR($J394=0,COUNTIFS($A$4:$A393,"&gt;="&amp;$A394-1,$A$4:$A393,"&lt;="&amp;$A394,$B$4:$B393,$B394)&gt;0,MIN(AT$1,IF($A394=$A393,AT393,1))-Y394&lt;0),-1,MIN(1,IF($A394=$A393,AT393,1)-Y394+$D$3))</f>
        <v>#N/A</v>
      </c>
      <c r="AU394" t="e">
        <f>IF(OR($J394=0,COUNTIFS($A$4:$A393,"&gt;="&amp;$A394-1,$A$4:$A393,"&lt;="&amp;$A394,$B$4:$B393,$B394)&gt;0,MIN(AU$1,IF($A394=$A393,AU393,1))-Z394&lt;0),-1,MIN(1,IF($A394=$A393,AU393,1)-Z394+$D$3))</f>
        <v>#N/A</v>
      </c>
      <c r="AV394" t="e">
        <f>IF(OR($J394=0,COUNTIFS($A$4:$A393,"&gt;="&amp;$A394-1,$A$4:$A393,"&lt;="&amp;$A394,$B$4:$B393,$B394)&gt;0,MIN(AV$1,IF($A394=$A393,AV393,1))-AA394&lt;0),-1,MIN(1,IF($A394=$A393,AV393,1)-AA394+$D$3))</f>
        <v>#N/A</v>
      </c>
      <c r="AW394" t="e">
        <f>IF(OR($J394=0,COUNTIFS($A$4:$A393,"&gt;="&amp;$A394-1,$A$4:$A393,"&lt;="&amp;$A394,$B$4:$B393,$B394)&gt;0,MIN(AW$1,IF($A394=$A393,AW393,1))-AB394&lt;0),-1,MIN(1,IF($A394=$A393,AW393,1)-AB394+$D$3))</f>
        <v>#N/A</v>
      </c>
      <c r="AX394" t="e">
        <f>IF(OR($J394=0,COUNTIFS($A$4:$A393,"&gt;="&amp;$A394-1,$A$4:$A393,"&lt;="&amp;$A394,$B$4:$B393,$B394)&gt;0,MIN(AX$1,IF($A394=$A393,AX393,1))-AC394&lt;0),-1,MIN(1,IF($A394=$A393,AX393,1)-AC394+$D$3))</f>
        <v>#N/A</v>
      </c>
      <c r="AY394" t="e">
        <f>IF(OR($J394=0,COUNTIFS($A$4:$A393,"&gt;="&amp;$A394-1,$A$4:$A393,"&lt;="&amp;$A394,$B$4:$B393,$B394)&gt;0,MIN(AY$1,IF($A394=$A393,AY393,1))-AD394&lt;0),-1,MIN(1,IF($A394=$A393,AY393,1)-AD394+$D$3))</f>
        <v>#N/A</v>
      </c>
      <c r="AZ394" t="e">
        <f>IF(OR($J394=0,COUNTIFS($A$4:$A393,"&gt;="&amp;$A394-1,$A$4:$A393,"&lt;="&amp;$A394,$B$4:$B393,$B394)&gt;0,MIN(AZ$1,IF($A394=$A393,AZ393,1))-AE394&lt;0),-1,MIN(1,IF($A394=$A393,AZ393,1)-AE394+$D$3))</f>
        <v>#N/A</v>
      </c>
      <c r="BA394" t="e">
        <f>IF(OR($J394=0,COUNTIFS($A$4:$A393,"&gt;="&amp;$A394-1,$A$4:$A393,"&lt;="&amp;$A394,$B$4:$B393,$B394)&gt;0,MIN(BA$1,IF($A394=$A393,BA393,1))-AF394&lt;0),-1,MIN(1,IF($A394=$A393,BA393,1)-AF394+$D$3))</f>
        <v>#N/A</v>
      </c>
      <c r="BB394" t="e">
        <f>IF(OR($J394=0,COUNTIFS($A$4:$A393,"&gt;="&amp;$A394-1,$A$4:$A393,"&lt;="&amp;$A394,$B$4:$B393,$B394)&gt;0,MIN(BB$1,IF($A394=$A393,BB393,1))-AG394&lt;0),-1,MIN(1,IF($A394=$A393,BB393,1)-AG394+$D$3))</f>
        <v>#N/A</v>
      </c>
      <c r="BC394" t="e">
        <f>IF(OR($J394=0,COUNTIFS($A$4:$A393,"&gt;="&amp;$A394-1,$A$4:$A393,"&lt;="&amp;$A394,$B$4:$B393,$B394)&gt;0,MIN(BC$1,IF($A394=$A393,BC393,1))-AH394&lt;0),-1,MIN(1,IF($A394=$A393,BC393,1)-AH394+$D$3))</f>
        <v>#N/A</v>
      </c>
      <c r="BD394" t="e">
        <f>IF(OR($J394=0,COUNTIFS($A$4:$A393,"&gt;="&amp;$A394-1,$A$4:$A393,"&lt;="&amp;$A394,$B$4:$B393,$B394)&gt;0,MIN(BD$1,IF($A394=$A393,BD393,1))-AI394&lt;0),-1,MIN(1,IF($A394=$A393,BD393,1)-AI394+$D$3))</f>
        <v>#N/A</v>
      </c>
      <c r="BF394" s="44">
        <f t="shared" si="399"/>
        <v>4.3502273692488665E-9</v>
      </c>
      <c r="BG394" s="44">
        <f t="shared" si="400"/>
        <v>1.0698436653629388E-8</v>
      </c>
      <c r="BH394" s="44">
        <f t="shared" si="401"/>
        <v>1.0964772204647634E-8</v>
      </c>
      <c r="BI394" s="44">
        <f t="shared" si="402"/>
        <v>1.012840527659889E-8</v>
      </c>
      <c r="BJ394" s="44">
        <f t="shared" si="403"/>
        <v>1.0468668403241088E-8</v>
      </c>
      <c r="BK394" s="44">
        <f t="shared" si="404"/>
        <v>4.4956365360207189E-9</v>
      </c>
      <c r="BL394" s="44">
        <f t="shared" si="405"/>
        <v>2.4286135838849743E-9</v>
      </c>
      <c r="BM394" s="44">
        <f t="shared" si="406"/>
        <v>6.1781093559652801E-9</v>
      </c>
      <c r="BN394" s="44">
        <f t="shared" si="407"/>
        <v>6.4257152235111747E-9</v>
      </c>
      <c r="BO394" s="44">
        <f t="shared" si="408"/>
        <v>3.0113339816443508E-9</v>
      </c>
      <c r="BP394" s="44">
        <f t="shared" si="409"/>
        <v>1.0125543420160505E-8</v>
      </c>
      <c r="BQ394" s="44">
        <f t="shared" si="410"/>
        <v>2.7324650190990782E-9</v>
      </c>
      <c r="BR394" s="44">
        <f t="shared" si="411"/>
        <v>8.072385673945561E-9</v>
      </c>
      <c r="BS394" s="44">
        <f t="shared" si="412"/>
        <v>4.3535447154356966E-9</v>
      </c>
      <c r="BT394" s="44">
        <f t="shared" si="413"/>
        <v>1.7228311133253093E-8</v>
      </c>
      <c r="BU394" s="44">
        <f t="shared" si="414"/>
        <v>1.6458221329216413E-8</v>
      </c>
      <c r="BV394" s="44">
        <f t="shared" si="415"/>
        <v>1.5805931256275358E-8</v>
      </c>
      <c r="BW394" s="44">
        <f t="shared" si="416"/>
        <v>1.0337948848595681E-8</v>
      </c>
      <c r="BX394" s="44">
        <f t="shared" si="417"/>
        <v>7.6374888799210454E-9</v>
      </c>
      <c r="BY394" s="44">
        <f t="shared" si="418"/>
        <v>6.5576620330836681E-9</v>
      </c>
      <c r="CA394" s="44" t="str">
        <f t="shared" si="419"/>
        <v/>
      </c>
      <c r="CB394" s="44" t="str">
        <f t="shared" si="420"/>
        <v/>
      </c>
      <c r="CC394" s="44" t="str">
        <f t="shared" si="421"/>
        <v/>
      </c>
      <c r="CD394" s="44" t="str">
        <f t="shared" si="422"/>
        <v/>
      </c>
      <c r="CE394" s="44" t="str">
        <f t="shared" si="423"/>
        <v/>
      </c>
      <c r="CF394" s="44" t="str">
        <f t="shared" si="424"/>
        <v/>
      </c>
      <c r="CG394" s="44" t="str">
        <f t="shared" si="425"/>
        <v/>
      </c>
      <c r="CH394" s="44" t="str">
        <f t="shared" si="426"/>
        <v/>
      </c>
      <c r="CI394" s="44" t="str">
        <f t="shared" si="427"/>
        <v/>
      </c>
      <c r="CJ394" s="44" t="str">
        <f t="shared" si="428"/>
        <v/>
      </c>
      <c r="CK394" s="44" t="str">
        <f t="shared" si="429"/>
        <v/>
      </c>
      <c r="CL394" s="44" t="str">
        <f t="shared" si="430"/>
        <v/>
      </c>
      <c r="CM394" s="44" t="str">
        <f t="shared" si="431"/>
        <v/>
      </c>
      <c r="CN394" s="44" t="str">
        <f t="shared" si="432"/>
        <v/>
      </c>
      <c r="CO394" s="44" t="str">
        <f t="shared" si="433"/>
        <v/>
      </c>
      <c r="CP394" s="44" t="str">
        <f t="shared" si="434"/>
        <v/>
      </c>
      <c r="CQ394" s="44" t="str">
        <f t="shared" si="435"/>
        <v/>
      </c>
      <c r="CR394" s="44" t="str">
        <f t="shared" si="436"/>
        <v/>
      </c>
      <c r="CS394" s="44" t="str">
        <f t="shared" si="437"/>
        <v/>
      </c>
      <c r="CT394" s="44" t="str">
        <f t="shared" si="438"/>
        <v/>
      </c>
      <c r="CV394" s="44">
        <f t="shared" si="439"/>
        <v>0</v>
      </c>
    </row>
    <row r="395" spans="1:100" x14ac:dyDescent="0.25">
      <c r="A395" s="49"/>
      <c r="B395" s="50"/>
      <c r="C395" s="51" t="str" cm="1">
        <f t="array" ref="C395">IF(B395="","",INDEX(UWS!$B$10:$B$41,B395))</f>
        <v/>
      </c>
      <c r="D395" s="45" t="str">
        <f t="shared" si="396"/>
        <v/>
      </c>
      <c r="E395" s="70" t="str">
        <f t="shared" si="397"/>
        <v/>
      </c>
      <c r="F395" s="52" cm="1">
        <f t="array" ref="F395">0.1+IFERROR(INDEX($F$5:$F394,SUMPRODUCT(MAX(ROW($C$5:$C394)*($C395=$C$5:$C394))-ROW($A$4)))*0.9^($A395-INDEX($A$5:A394,SUMPRODUCT(MAX(ROW($C$5:$C394)*($C395=$C$5:$C394))-ROW($A$4)))),0)</f>
        <v>33.000000000000199</v>
      </c>
      <c r="G395" s="56" t="e">
        <f>INDEX(UWS!$AB$10:$AB$41,MATCH(C395,UWS!$B$10:$B$41,0))</f>
        <v>#N/A</v>
      </c>
      <c r="H395" s="52" t="e">
        <f>INDEX(UWS!$C$10:$C$41,MATCH(C395,UWS!$B$10:$B$41,0))</f>
        <v>#N/A</v>
      </c>
      <c r="I395" s="46">
        <f t="shared" si="398"/>
        <v>5</v>
      </c>
      <c r="J395" s="46" t="e">
        <f>INDEX(UWS!$E$10:$E$41,MATCH(C395,UWS!$B$10:$B$41,0))</f>
        <v>#N/A</v>
      </c>
      <c r="K395" s="46"/>
      <c r="L395" s="109" t="str" cm="1">
        <f t="array" ref="L395">IF(K395="","",INDEX(UWS!$B$10:$B$41,K395))</f>
        <v/>
      </c>
      <c r="M395" s="46"/>
      <c r="N395" s="109" t="str" cm="1">
        <f t="array" ref="N395">IF(M395="","",INDEX(UWS!$B$10:$B$41,M395))</f>
        <v/>
      </c>
      <c r="O395" s="47"/>
      <c r="P395" s="47">
        <f>IFERROR(INDEX(UWS!$G$10:$Z$41,MATCH($C395,UWS!$B$10:$B$41,0),MATCH(P$4,UWS!$G$3:$Z$3,0)),0)</f>
        <v>0</v>
      </c>
      <c r="Q395" s="47">
        <f>IFERROR(INDEX(UWS!$G$10:$Z$41,MATCH($C395,UWS!$B$10:$B$41,0),MATCH(Q$4,UWS!$G$3:$Z$3,0)),0)</f>
        <v>0</v>
      </c>
      <c r="R395" s="47">
        <f>IFERROR(INDEX(UWS!$G$10:$Z$41,MATCH($C395,UWS!$B$10:$B$41,0),MATCH(R$4,UWS!$G$3:$Z$3,0)),0)</f>
        <v>0</v>
      </c>
      <c r="S395" s="47">
        <f>IFERROR(INDEX(UWS!$G$10:$Z$41,MATCH($C395,UWS!$B$10:$B$41,0),MATCH(S$4,UWS!$G$3:$Z$3,0)),0)</f>
        <v>0</v>
      </c>
      <c r="T395" s="47">
        <f>IFERROR(INDEX(UWS!$G$10:$Z$41,MATCH($C395,UWS!$B$10:$B$41,0),MATCH(T$4,UWS!$G$3:$Z$3,0)),0)</f>
        <v>0</v>
      </c>
      <c r="U395" s="47">
        <f>IFERROR(INDEX(UWS!$G$10:$Z$41,MATCH($C395,UWS!$B$10:$B$41,0),MATCH(U$4,UWS!$G$3:$Z$3,0)),0)</f>
        <v>0</v>
      </c>
      <c r="V395" s="47">
        <f>IFERROR(INDEX(UWS!$G$10:$Z$41,MATCH($C395,UWS!$B$10:$B$41,0),MATCH(V$4,UWS!$G$3:$Z$3,0)),0)</f>
        <v>0</v>
      </c>
      <c r="W395" s="47">
        <f>IFERROR(INDEX(UWS!$G$10:$Z$41,MATCH($C395,UWS!$B$10:$B$41,0),MATCH(W$4,UWS!$G$3:$Z$3,0)),0)</f>
        <v>0</v>
      </c>
      <c r="X395" s="47">
        <f>IFERROR(INDEX(UWS!$G$10:$Z$41,MATCH($C395,UWS!$B$10:$B$41,0),MATCH(X$4,UWS!$G$3:$Z$3,0)),0)</f>
        <v>0</v>
      </c>
      <c r="Y395" s="47">
        <f>IFERROR(INDEX(UWS!$G$10:$Z$41,MATCH($C395,UWS!$B$10:$B$41,0),MATCH(Y$4,UWS!$G$3:$Z$3,0)),0)</f>
        <v>0</v>
      </c>
      <c r="Z395" s="47">
        <f>IFERROR(INDEX(UWS!$G$10:$Z$41,MATCH($C395,UWS!$B$10:$B$41,0),MATCH(Z$4,UWS!$G$3:$Z$3,0)),0)</f>
        <v>0</v>
      </c>
      <c r="AA395" s="47">
        <f>IFERROR(INDEX(UWS!$G$10:$Z$41,MATCH($C395,UWS!$B$10:$B$41,0),MATCH(AA$4,UWS!$G$3:$Z$3,0)),0)</f>
        <v>0</v>
      </c>
      <c r="AB395" s="47">
        <f>IFERROR(INDEX(UWS!$G$10:$Z$41,MATCH($C395,UWS!$B$10:$B$41,0),MATCH(AB$4,UWS!$G$3:$Z$3,0)),0)</f>
        <v>0</v>
      </c>
      <c r="AC395" s="47">
        <f>IFERROR(INDEX(UWS!$G$10:$Z$41,MATCH($C395,UWS!$B$10:$B$41,0),MATCH(AC$4,UWS!$G$3:$Z$3,0)),0)</f>
        <v>0</v>
      </c>
      <c r="AD395" s="47">
        <f>IFERROR(INDEX(UWS!$G$10:$Z$41,MATCH($C395,UWS!$B$10:$B$41,0),MATCH(AD$4,UWS!$G$3:$Z$3,0)),0)</f>
        <v>0</v>
      </c>
      <c r="AE395" s="47">
        <f>IFERROR(INDEX(UWS!$G$10:$Z$41,MATCH($C395,UWS!$B$10:$B$41,0),MATCH(AE$4,UWS!$G$3:$Z$3,0)),0)</f>
        <v>0</v>
      </c>
      <c r="AF395" s="47">
        <f>IFERROR(INDEX(UWS!$G$10:$Z$41,MATCH($C395,UWS!$B$10:$B$41,0),MATCH(AF$4,UWS!$G$3:$Z$3,0)),0)</f>
        <v>0</v>
      </c>
      <c r="AG395" s="47">
        <f>IFERROR(INDEX(UWS!$G$10:$Z$41,MATCH($C395,UWS!$B$10:$B$41,0),MATCH(AG$4,UWS!$G$3:$Z$3,0)),0)</f>
        <v>0</v>
      </c>
      <c r="AH395" s="47">
        <f>IFERROR(INDEX(UWS!$G$10:$Z$41,MATCH($C395,UWS!$B$10:$B$41,0),MATCH(AH$4,UWS!$G$3:$Z$3,0)),0)</f>
        <v>0</v>
      </c>
      <c r="AI395" s="47">
        <f>IFERROR(INDEX(UWS!$G$10:$Z$41,MATCH($C395,UWS!$B$10:$B$41,0),MATCH(AI$4,UWS!$G$3:$Z$3,0)),0)</f>
        <v>0</v>
      </c>
      <c r="AJ395" s="47"/>
      <c r="AK395" s="47" t="e">
        <f>IF(OR($J395=0,COUNTIFS($A$4:$A394,"&gt;="&amp;$A395-1,$A$4:$A394,"&lt;="&amp;$A395,$B$4:$B394,$B395)&gt;0,MIN(AK$1,IF($A395=$A394,AK394,1))-P395&lt;0),-1,MIN(1,IF($A395=$A394,AK394,1)-P395+$D$3))</f>
        <v>#N/A</v>
      </c>
      <c r="AL395" s="47" t="e">
        <f>IF(OR($J395=0,COUNTIFS($A$4:$A394,"&gt;="&amp;$A395-1,$A$4:$A394,"&lt;="&amp;$A395,$B$4:$B394,$B395)&gt;0,MIN(AL$1,IF($A395=$A394,AL394,1))-Q395&lt;0),-1,MIN(1,IF($A395=$A394,AL394,1)-Q395+$D$3))</f>
        <v>#N/A</v>
      </c>
      <c r="AM395" s="47" t="e">
        <f>IF(OR($J395=0,COUNTIFS($A$4:$A394,"&gt;="&amp;$A395-1,$A$4:$A394,"&lt;="&amp;$A395,$B$4:$B394,$B395)&gt;0,MIN(AM$1,IF($A395=$A394,AM394,1))-R395&lt;0),-1,MIN(1,IF($A395=$A394,AM394,1)-R395+$D$3))</f>
        <v>#N/A</v>
      </c>
      <c r="AN395" s="47" t="e">
        <f>IF(OR($J395=0,COUNTIFS($A$4:$A394,"&gt;="&amp;$A395-1,$A$4:$A394,"&lt;="&amp;$A395,$B$4:$B394,$B395)&gt;0,MIN(AN$1,IF($A395=$A394,AN394,1))-S395&lt;0),-1,MIN(1,IF($A395=$A394,AN394,1)-S395+$D$3))</f>
        <v>#N/A</v>
      </c>
      <c r="AO395" s="47" t="e">
        <f>IF(OR($J395=0,COUNTIFS($A$4:$A394,"&gt;="&amp;$A395-1,$A$4:$A394,"&lt;="&amp;$A395,$B$4:$B394,$B395)&gt;0,MIN(AO$1,IF($A395=$A394,AO394,1))-T395&lt;0),-1,MIN(1,IF($A395=$A394,AO394,1)-T395+$D$3))</f>
        <v>#N/A</v>
      </c>
      <c r="AP395" s="47" t="e">
        <f>IF(OR($J395=0,COUNTIFS($A$4:$A394,"&gt;="&amp;$A395-1,$A$4:$A394,"&lt;="&amp;$A395,$B$4:$B394,$B395)&gt;0,MIN(AP$1,IF($A395=$A394,AP394,1))-U395&lt;0),-1,MIN(1,IF($A395=$A394,AP394,1)-U395+$D$3))</f>
        <v>#N/A</v>
      </c>
      <c r="AQ395" s="47" t="e">
        <f>IF(OR($J395=0,COUNTIFS($A$4:$A394,"&gt;="&amp;$A395-1,$A$4:$A394,"&lt;="&amp;$A395,$B$4:$B394,$B395)&gt;0,MIN(AQ$1,IF($A395=$A394,AQ394,1))-V395&lt;0),-1,MIN(1,IF($A395=$A394,AQ394,1)-V395+$D$3))</f>
        <v>#N/A</v>
      </c>
      <c r="AR395" s="47" t="e">
        <f>IF(OR($J395=0,COUNTIFS($A$4:$A394,"&gt;="&amp;$A395-1,$A$4:$A394,"&lt;="&amp;$A395,$B$4:$B394,$B395)&gt;0,MIN(AR$1,IF($A395=$A394,AR394,1))-W395&lt;0),-1,MIN(1,IF($A395=$A394,AR394,1)-W395+$D$3))</f>
        <v>#N/A</v>
      </c>
      <c r="AS395" s="47" t="e">
        <f>IF(OR($J395=0,COUNTIFS($A$4:$A394,"&gt;="&amp;$A395-1,$A$4:$A394,"&lt;="&amp;$A395,$B$4:$B394,$B395)&gt;0,MIN(AS$1,IF($A395=$A394,AS394,1))-X395&lt;0),-1,MIN(1,IF($A395=$A394,AS394,1)-X395+$D$3))</f>
        <v>#N/A</v>
      </c>
      <c r="AT395" s="47" t="e">
        <f>IF(OR($J395=0,COUNTIFS($A$4:$A394,"&gt;="&amp;$A395-1,$A$4:$A394,"&lt;="&amp;$A395,$B$4:$B394,$B395)&gt;0,MIN(AT$1,IF($A395=$A394,AT394,1))-Y395&lt;0),-1,MIN(1,IF($A395=$A394,AT394,1)-Y395+$D$3))</f>
        <v>#N/A</v>
      </c>
      <c r="AU395" s="47" t="e">
        <f>IF(OR($J395=0,COUNTIFS($A$4:$A394,"&gt;="&amp;$A395-1,$A$4:$A394,"&lt;="&amp;$A395,$B$4:$B394,$B395)&gt;0,MIN(AU$1,IF($A395=$A394,AU394,1))-Z395&lt;0),-1,MIN(1,IF($A395=$A394,AU394,1)-Z395+$D$3))</f>
        <v>#N/A</v>
      </c>
      <c r="AV395" s="47" t="e">
        <f>IF(OR($J395=0,COUNTIFS($A$4:$A394,"&gt;="&amp;$A395-1,$A$4:$A394,"&lt;="&amp;$A395,$B$4:$B394,$B395)&gt;0,MIN(AV$1,IF($A395=$A394,AV394,1))-AA395&lt;0),-1,MIN(1,IF($A395=$A394,AV394,1)-AA395+$D$3))</f>
        <v>#N/A</v>
      </c>
      <c r="AW395" s="47" t="e">
        <f>IF(OR($J395=0,COUNTIFS($A$4:$A394,"&gt;="&amp;$A395-1,$A$4:$A394,"&lt;="&amp;$A395,$B$4:$B394,$B395)&gt;0,MIN(AW$1,IF($A395=$A394,AW394,1))-AB395&lt;0),-1,MIN(1,IF($A395=$A394,AW394,1)-AB395+$D$3))</f>
        <v>#N/A</v>
      </c>
      <c r="AX395" s="47" t="e">
        <f>IF(OR($J395=0,COUNTIFS($A$4:$A394,"&gt;="&amp;$A395-1,$A$4:$A394,"&lt;="&amp;$A395,$B$4:$B394,$B395)&gt;0,MIN(AX$1,IF($A395=$A394,AX394,1))-AC395&lt;0),-1,MIN(1,IF($A395=$A394,AX394,1)-AC395+$D$3))</f>
        <v>#N/A</v>
      </c>
      <c r="AY395" s="47" t="e">
        <f>IF(OR($J395=0,COUNTIFS($A$4:$A394,"&gt;="&amp;$A395-1,$A$4:$A394,"&lt;="&amp;$A395,$B$4:$B394,$B395)&gt;0,MIN(AY$1,IF($A395=$A394,AY394,1))-AD395&lt;0),-1,MIN(1,IF($A395=$A394,AY394,1)-AD395+$D$3))</f>
        <v>#N/A</v>
      </c>
      <c r="AZ395" s="47" t="e">
        <f>IF(OR($J395=0,COUNTIFS($A$4:$A394,"&gt;="&amp;$A395-1,$A$4:$A394,"&lt;="&amp;$A395,$B$4:$B394,$B395)&gt;0,MIN(AZ$1,IF($A395=$A394,AZ394,1))-AE395&lt;0),-1,MIN(1,IF($A395=$A394,AZ394,1)-AE395+$D$3))</f>
        <v>#N/A</v>
      </c>
      <c r="BA395" s="47" t="e">
        <f>IF(OR($J395=0,COUNTIFS($A$4:$A394,"&gt;="&amp;$A395-1,$A$4:$A394,"&lt;="&amp;$A395,$B$4:$B394,$B395)&gt;0,MIN(BA$1,IF($A395=$A394,BA394,1))-AF395&lt;0),-1,MIN(1,IF($A395=$A394,BA394,1)-AF395+$D$3))</f>
        <v>#N/A</v>
      </c>
      <c r="BB395" s="47" t="e">
        <f>IF(OR($J395=0,COUNTIFS($A$4:$A394,"&gt;="&amp;$A395-1,$A$4:$A394,"&lt;="&amp;$A395,$B$4:$B394,$B395)&gt;0,MIN(BB$1,IF($A395=$A394,BB394,1))-AG395&lt;0),-1,MIN(1,IF($A395=$A394,BB394,1)-AG395+$D$3))</f>
        <v>#N/A</v>
      </c>
      <c r="BC395" s="47" t="e">
        <f>IF(OR($J395=0,COUNTIFS($A$4:$A394,"&gt;="&amp;$A395-1,$A$4:$A394,"&lt;="&amp;$A395,$B$4:$B394,$B395)&gt;0,MIN(BC$1,IF($A395=$A394,BC394,1))-AH395&lt;0),-1,MIN(1,IF($A395=$A394,BC394,1)-AH395+$D$3))</f>
        <v>#N/A</v>
      </c>
      <c r="BD395" s="47" t="e">
        <f>IF(OR($J395=0,COUNTIFS($A$4:$A394,"&gt;="&amp;$A395-1,$A$4:$A394,"&lt;="&amp;$A395,$B$4:$B394,$B395)&gt;0,MIN(BD$1,IF($A395=$A394,BD394,1))-AI395&lt;0),-1,MIN(1,IF($A395=$A394,BD394,1)-AI395+$D$3))</f>
        <v>#N/A</v>
      </c>
      <c r="BE395" s="47"/>
      <c r="BF395" s="53">
        <f t="shared" si="399"/>
        <v>4.1327160007864231E-9</v>
      </c>
      <c r="BG395" s="53">
        <f t="shared" si="400"/>
        <v>1.0163514820947917E-8</v>
      </c>
      <c r="BH395" s="53">
        <f t="shared" si="401"/>
        <v>1.0416533594415252E-8</v>
      </c>
      <c r="BI395" s="53">
        <f t="shared" si="402"/>
        <v>9.6219850127689458E-9</v>
      </c>
      <c r="BJ395" s="53">
        <f t="shared" si="403"/>
        <v>9.9452349830790341E-9</v>
      </c>
      <c r="BK395" s="53">
        <f t="shared" si="404"/>
        <v>4.270854709219683E-9</v>
      </c>
      <c r="BL395" s="53">
        <f t="shared" si="405"/>
        <v>2.3071829046907253E-9</v>
      </c>
      <c r="BM395" s="53">
        <f t="shared" si="406"/>
        <v>5.8692038881670159E-9</v>
      </c>
      <c r="BN395" s="53">
        <f t="shared" si="407"/>
        <v>6.1044294623356154E-9</v>
      </c>
      <c r="BO395" s="53">
        <f t="shared" si="408"/>
        <v>2.8607672825621333E-9</v>
      </c>
      <c r="BP395" s="53">
        <f t="shared" si="409"/>
        <v>9.6192662491524787E-9</v>
      </c>
      <c r="BQ395" s="53">
        <f t="shared" si="410"/>
        <v>2.5958417681441242E-9</v>
      </c>
      <c r="BR395" s="53">
        <f t="shared" si="411"/>
        <v>7.6687663902482824E-9</v>
      </c>
      <c r="BS395" s="53">
        <f t="shared" si="412"/>
        <v>4.1358674796639116E-9</v>
      </c>
      <c r="BT395" s="53">
        <f t="shared" si="413"/>
        <v>1.6366895576590438E-8</v>
      </c>
      <c r="BU395" s="53">
        <f t="shared" si="414"/>
        <v>1.5635310262755593E-8</v>
      </c>
      <c r="BV395" s="53">
        <f t="shared" si="415"/>
        <v>1.5015634693461589E-8</v>
      </c>
      <c r="BW395" s="53">
        <f t="shared" si="416"/>
        <v>9.8210514061658975E-9</v>
      </c>
      <c r="BX395" s="53">
        <f t="shared" si="417"/>
        <v>7.2556144359249926E-9</v>
      </c>
      <c r="BY395" s="53">
        <f t="shared" si="418"/>
        <v>6.2297789314294843E-9</v>
      </c>
      <c r="BZ395" s="47"/>
      <c r="CA395" s="53" t="str">
        <f t="shared" si="419"/>
        <v/>
      </c>
      <c r="CB395" s="53" t="str">
        <f t="shared" si="420"/>
        <v/>
      </c>
      <c r="CC395" s="53" t="str">
        <f t="shared" si="421"/>
        <v/>
      </c>
      <c r="CD395" s="53" t="str">
        <f t="shared" si="422"/>
        <v/>
      </c>
      <c r="CE395" s="53" t="str">
        <f t="shared" si="423"/>
        <v/>
      </c>
      <c r="CF395" s="53" t="str">
        <f t="shared" si="424"/>
        <v/>
      </c>
      <c r="CG395" s="53" t="str">
        <f t="shared" si="425"/>
        <v/>
      </c>
      <c r="CH395" s="53" t="str">
        <f t="shared" si="426"/>
        <v/>
      </c>
      <c r="CI395" s="53" t="str">
        <f t="shared" si="427"/>
        <v/>
      </c>
      <c r="CJ395" s="53" t="str">
        <f t="shared" si="428"/>
        <v/>
      </c>
      <c r="CK395" s="53" t="str">
        <f t="shared" si="429"/>
        <v/>
      </c>
      <c r="CL395" s="53" t="str">
        <f t="shared" si="430"/>
        <v/>
      </c>
      <c r="CM395" s="53" t="str">
        <f t="shared" si="431"/>
        <v/>
      </c>
      <c r="CN395" s="53" t="str">
        <f t="shared" si="432"/>
        <v/>
      </c>
      <c r="CO395" s="53" t="str">
        <f t="shared" si="433"/>
        <v/>
      </c>
      <c r="CP395" s="53" t="str">
        <f t="shared" si="434"/>
        <v/>
      </c>
      <c r="CQ395" s="53" t="str">
        <f t="shared" si="435"/>
        <v/>
      </c>
      <c r="CR395" s="53" t="str">
        <f t="shared" si="436"/>
        <v/>
      </c>
      <c r="CS395" s="53" t="str">
        <f t="shared" si="437"/>
        <v/>
      </c>
      <c r="CT395" s="53" t="str">
        <f t="shared" si="438"/>
        <v/>
      </c>
      <c r="CU395" s="47"/>
      <c r="CV395" s="53">
        <f t="shared" si="439"/>
        <v>0</v>
      </c>
    </row>
    <row r="396" spans="1:100" x14ac:dyDescent="0.25">
      <c r="A396" s="41"/>
      <c r="B396" s="42"/>
      <c r="C396" s="43" t="str" cm="1">
        <f t="array" ref="C396">IF(B396="","",INDEX(UWS!$B$10:$B$41,B396))</f>
        <v/>
      </c>
      <c r="D396" s="40" t="str">
        <f t="shared" si="396"/>
        <v/>
      </c>
      <c r="E396" s="69" t="str">
        <f t="shared" si="397"/>
        <v/>
      </c>
      <c r="F396" s="48" cm="1">
        <f t="array" ref="F396">0.1+IFERROR(INDEX($F$5:$F395,SUMPRODUCT(MAX(ROW($C$5:$C395)*($C396=$C$5:$C395))-ROW($A$4)))*0.9^($A396-INDEX($A$5:A395,SUMPRODUCT(MAX(ROW($C$5:$C395)*($C396=$C$5:$C395))-ROW($A$4)))),0)</f>
        <v>33.1000000000002</v>
      </c>
      <c r="G396" s="55" t="e">
        <f>INDEX(UWS!$AB$10:$AB$41,MATCH(C396,UWS!$B$10:$B$41,0))</f>
        <v>#N/A</v>
      </c>
      <c r="H396" s="48" t="e">
        <f>INDEX(UWS!$C$10:$C$41,MATCH(C396,UWS!$B$10:$B$41,0))</f>
        <v>#N/A</v>
      </c>
      <c r="I396" s="82">
        <f t="shared" si="398"/>
        <v>5</v>
      </c>
      <c r="J396" s="27" t="e">
        <f>INDEX(UWS!$E$10:$E$41,MATCH(C396,UWS!$B$10:$B$41,0))</f>
        <v>#N/A</v>
      </c>
      <c r="L396" s="108" t="str" cm="1">
        <f t="array" ref="L396">IF(K396="","",INDEX(UWS!$B$10:$B$41,K396))</f>
        <v/>
      </c>
      <c r="N396" s="108" t="str" cm="1">
        <f t="array" ref="N396">IF(M396="","",INDEX(UWS!$B$10:$B$41,M396))</f>
        <v/>
      </c>
      <c r="P396">
        <f>IFERROR(INDEX(UWS!$G$10:$Z$41,MATCH($C396,UWS!$B$10:$B$41,0),MATCH(P$4,UWS!$G$3:$Z$3,0)),0)</f>
        <v>0</v>
      </c>
      <c r="Q396">
        <f>IFERROR(INDEX(UWS!$G$10:$Z$41,MATCH($C396,UWS!$B$10:$B$41,0),MATCH(Q$4,UWS!$G$3:$Z$3,0)),0)</f>
        <v>0</v>
      </c>
      <c r="R396">
        <f>IFERROR(INDEX(UWS!$G$10:$Z$41,MATCH($C396,UWS!$B$10:$B$41,0),MATCH(R$4,UWS!$G$3:$Z$3,0)),0)</f>
        <v>0</v>
      </c>
      <c r="S396">
        <f>IFERROR(INDEX(UWS!$G$10:$Z$41,MATCH($C396,UWS!$B$10:$B$41,0),MATCH(S$4,UWS!$G$3:$Z$3,0)),0)</f>
        <v>0</v>
      </c>
      <c r="T396">
        <f>IFERROR(INDEX(UWS!$G$10:$Z$41,MATCH($C396,UWS!$B$10:$B$41,0),MATCH(T$4,UWS!$G$3:$Z$3,0)),0)</f>
        <v>0</v>
      </c>
      <c r="U396">
        <f>IFERROR(INDEX(UWS!$G$10:$Z$41,MATCH($C396,UWS!$B$10:$B$41,0),MATCH(U$4,UWS!$G$3:$Z$3,0)),0)</f>
        <v>0</v>
      </c>
      <c r="V396">
        <f>IFERROR(INDEX(UWS!$G$10:$Z$41,MATCH($C396,UWS!$B$10:$B$41,0),MATCH(V$4,UWS!$G$3:$Z$3,0)),0)</f>
        <v>0</v>
      </c>
      <c r="W396">
        <f>IFERROR(INDEX(UWS!$G$10:$Z$41,MATCH($C396,UWS!$B$10:$B$41,0),MATCH(W$4,UWS!$G$3:$Z$3,0)),0)</f>
        <v>0</v>
      </c>
      <c r="X396">
        <f>IFERROR(INDEX(UWS!$G$10:$Z$41,MATCH($C396,UWS!$B$10:$B$41,0),MATCH(X$4,UWS!$G$3:$Z$3,0)),0)</f>
        <v>0</v>
      </c>
      <c r="Y396">
        <f>IFERROR(INDEX(UWS!$G$10:$Z$41,MATCH($C396,UWS!$B$10:$B$41,0),MATCH(Y$4,UWS!$G$3:$Z$3,0)),0)</f>
        <v>0</v>
      </c>
      <c r="Z396">
        <f>IFERROR(INDEX(UWS!$G$10:$Z$41,MATCH($C396,UWS!$B$10:$B$41,0),MATCH(Z$4,UWS!$G$3:$Z$3,0)),0)</f>
        <v>0</v>
      </c>
      <c r="AA396">
        <f>IFERROR(INDEX(UWS!$G$10:$Z$41,MATCH($C396,UWS!$B$10:$B$41,0),MATCH(AA$4,UWS!$G$3:$Z$3,0)),0)</f>
        <v>0</v>
      </c>
      <c r="AB396">
        <f>IFERROR(INDEX(UWS!$G$10:$Z$41,MATCH($C396,UWS!$B$10:$B$41,0),MATCH(AB$4,UWS!$G$3:$Z$3,0)),0)</f>
        <v>0</v>
      </c>
      <c r="AC396">
        <f>IFERROR(INDEX(UWS!$G$10:$Z$41,MATCH($C396,UWS!$B$10:$B$41,0),MATCH(AC$4,UWS!$G$3:$Z$3,0)),0)</f>
        <v>0</v>
      </c>
      <c r="AD396">
        <f>IFERROR(INDEX(UWS!$G$10:$Z$41,MATCH($C396,UWS!$B$10:$B$41,0),MATCH(AD$4,UWS!$G$3:$Z$3,0)),0)</f>
        <v>0</v>
      </c>
      <c r="AE396">
        <f>IFERROR(INDEX(UWS!$G$10:$Z$41,MATCH($C396,UWS!$B$10:$B$41,0),MATCH(AE$4,UWS!$G$3:$Z$3,0)),0)</f>
        <v>0</v>
      </c>
      <c r="AF396">
        <f>IFERROR(INDEX(UWS!$G$10:$Z$41,MATCH($C396,UWS!$B$10:$B$41,0),MATCH(AF$4,UWS!$G$3:$Z$3,0)),0)</f>
        <v>0</v>
      </c>
      <c r="AG396">
        <f>IFERROR(INDEX(UWS!$G$10:$Z$41,MATCH($C396,UWS!$B$10:$B$41,0),MATCH(AG$4,UWS!$G$3:$Z$3,0)),0)</f>
        <v>0</v>
      </c>
      <c r="AH396">
        <f>IFERROR(INDEX(UWS!$G$10:$Z$41,MATCH($C396,UWS!$B$10:$B$41,0),MATCH(AH$4,UWS!$G$3:$Z$3,0)),0)</f>
        <v>0</v>
      </c>
      <c r="AI396">
        <f>IFERROR(INDEX(UWS!$G$10:$Z$41,MATCH($C396,UWS!$B$10:$B$41,0),MATCH(AI$4,UWS!$G$3:$Z$3,0)),0)</f>
        <v>0</v>
      </c>
      <c r="AK396" t="e">
        <f>IF(OR($J396=0,COUNTIFS($A$4:$A395,"&gt;="&amp;$A396-1,$A$4:$A395,"&lt;="&amp;$A396,$B$4:$B395,$B396)&gt;0,MIN(AK$1,IF($A396=$A395,AK395,1))-P396&lt;0),-1,MIN(1,IF($A396=$A395,AK395,1)-P396+$D$3))</f>
        <v>#N/A</v>
      </c>
      <c r="AL396" t="e">
        <f>IF(OR($J396=0,COUNTIFS($A$4:$A395,"&gt;="&amp;$A396-1,$A$4:$A395,"&lt;="&amp;$A396,$B$4:$B395,$B396)&gt;0,MIN(AL$1,IF($A396=$A395,AL395,1))-Q396&lt;0),-1,MIN(1,IF($A396=$A395,AL395,1)-Q396+$D$3))</f>
        <v>#N/A</v>
      </c>
      <c r="AM396" t="e">
        <f>IF(OR($J396=0,COUNTIFS($A$4:$A395,"&gt;="&amp;$A396-1,$A$4:$A395,"&lt;="&amp;$A396,$B$4:$B395,$B396)&gt;0,MIN(AM$1,IF($A396=$A395,AM395,1))-R396&lt;0),-1,MIN(1,IF($A396=$A395,AM395,1)-R396+$D$3))</f>
        <v>#N/A</v>
      </c>
      <c r="AN396" t="e">
        <f>IF(OR($J396=0,COUNTIFS($A$4:$A395,"&gt;="&amp;$A396-1,$A$4:$A395,"&lt;="&amp;$A396,$B$4:$B395,$B396)&gt;0,MIN(AN$1,IF($A396=$A395,AN395,1))-S396&lt;0),-1,MIN(1,IF($A396=$A395,AN395,1)-S396+$D$3))</f>
        <v>#N/A</v>
      </c>
      <c r="AO396" t="e">
        <f>IF(OR($J396=0,COUNTIFS($A$4:$A395,"&gt;="&amp;$A396-1,$A$4:$A395,"&lt;="&amp;$A396,$B$4:$B395,$B396)&gt;0,MIN(AO$1,IF($A396=$A395,AO395,1))-T396&lt;0),-1,MIN(1,IF($A396=$A395,AO395,1)-T396+$D$3))</f>
        <v>#N/A</v>
      </c>
      <c r="AP396" t="e">
        <f>IF(OR($J396=0,COUNTIFS($A$4:$A395,"&gt;="&amp;$A396-1,$A$4:$A395,"&lt;="&amp;$A396,$B$4:$B395,$B396)&gt;0,MIN(AP$1,IF($A396=$A395,AP395,1))-U396&lt;0),-1,MIN(1,IF($A396=$A395,AP395,1)-U396+$D$3))</f>
        <v>#N/A</v>
      </c>
      <c r="AQ396" t="e">
        <f>IF(OR($J396=0,COUNTIFS($A$4:$A395,"&gt;="&amp;$A396-1,$A$4:$A395,"&lt;="&amp;$A396,$B$4:$B395,$B396)&gt;0,MIN(AQ$1,IF($A396=$A395,AQ395,1))-V396&lt;0),-1,MIN(1,IF($A396=$A395,AQ395,1)-V396+$D$3))</f>
        <v>#N/A</v>
      </c>
      <c r="AR396" t="e">
        <f>IF(OR($J396=0,COUNTIFS($A$4:$A395,"&gt;="&amp;$A396-1,$A$4:$A395,"&lt;="&amp;$A396,$B$4:$B395,$B396)&gt;0,MIN(AR$1,IF($A396=$A395,AR395,1))-W396&lt;0),-1,MIN(1,IF($A396=$A395,AR395,1)-W396+$D$3))</f>
        <v>#N/A</v>
      </c>
      <c r="AS396" t="e">
        <f>IF(OR($J396=0,COUNTIFS($A$4:$A395,"&gt;="&amp;$A396-1,$A$4:$A395,"&lt;="&amp;$A396,$B$4:$B395,$B396)&gt;0,MIN(AS$1,IF($A396=$A395,AS395,1))-X396&lt;0),-1,MIN(1,IF($A396=$A395,AS395,1)-X396+$D$3))</f>
        <v>#N/A</v>
      </c>
      <c r="AT396" t="e">
        <f>IF(OR($J396=0,COUNTIFS($A$4:$A395,"&gt;="&amp;$A396-1,$A$4:$A395,"&lt;="&amp;$A396,$B$4:$B395,$B396)&gt;0,MIN(AT$1,IF($A396=$A395,AT395,1))-Y396&lt;0),-1,MIN(1,IF($A396=$A395,AT395,1)-Y396+$D$3))</f>
        <v>#N/A</v>
      </c>
      <c r="AU396" t="e">
        <f>IF(OR($J396=0,COUNTIFS($A$4:$A395,"&gt;="&amp;$A396-1,$A$4:$A395,"&lt;="&amp;$A396,$B$4:$B395,$B396)&gt;0,MIN(AU$1,IF($A396=$A395,AU395,1))-Z396&lt;0),-1,MIN(1,IF($A396=$A395,AU395,1)-Z396+$D$3))</f>
        <v>#N/A</v>
      </c>
      <c r="AV396" t="e">
        <f>IF(OR($J396=0,COUNTIFS($A$4:$A395,"&gt;="&amp;$A396-1,$A$4:$A395,"&lt;="&amp;$A396,$B$4:$B395,$B396)&gt;0,MIN(AV$1,IF($A396=$A395,AV395,1))-AA396&lt;0),-1,MIN(1,IF($A396=$A395,AV395,1)-AA396+$D$3))</f>
        <v>#N/A</v>
      </c>
      <c r="AW396" t="e">
        <f>IF(OR($J396=0,COUNTIFS($A$4:$A395,"&gt;="&amp;$A396-1,$A$4:$A395,"&lt;="&amp;$A396,$B$4:$B395,$B396)&gt;0,MIN(AW$1,IF($A396=$A395,AW395,1))-AB396&lt;0),-1,MIN(1,IF($A396=$A395,AW395,1)-AB396+$D$3))</f>
        <v>#N/A</v>
      </c>
      <c r="AX396" t="e">
        <f>IF(OR($J396=0,COUNTIFS($A$4:$A395,"&gt;="&amp;$A396-1,$A$4:$A395,"&lt;="&amp;$A396,$B$4:$B395,$B396)&gt;0,MIN(AX$1,IF($A396=$A395,AX395,1))-AC396&lt;0),-1,MIN(1,IF($A396=$A395,AX395,1)-AC396+$D$3))</f>
        <v>#N/A</v>
      </c>
      <c r="AY396" t="e">
        <f>IF(OR($J396=0,COUNTIFS($A$4:$A395,"&gt;="&amp;$A396-1,$A$4:$A395,"&lt;="&amp;$A396,$B$4:$B395,$B396)&gt;0,MIN(AY$1,IF($A396=$A395,AY395,1))-AD396&lt;0),-1,MIN(1,IF($A396=$A395,AY395,1)-AD396+$D$3))</f>
        <v>#N/A</v>
      </c>
      <c r="AZ396" t="e">
        <f>IF(OR($J396=0,COUNTIFS($A$4:$A395,"&gt;="&amp;$A396-1,$A$4:$A395,"&lt;="&amp;$A396,$B$4:$B395,$B396)&gt;0,MIN(AZ$1,IF($A396=$A395,AZ395,1))-AE396&lt;0),-1,MIN(1,IF($A396=$A395,AZ395,1)-AE396+$D$3))</f>
        <v>#N/A</v>
      </c>
      <c r="BA396" t="e">
        <f>IF(OR($J396=0,COUNTIFS($A$4:$A395,"&gt;="&amp;$A396-1,$A$4:$A395,"&lt;="&amp;$A396,$B$4:$B395,$B396)&gt;0,MIN(BA$1,IF($A396=$A395,BA395,1))-AF396&lt;0),-1,MIN(1,IF($A396=$A395,BA395,1)-AF396+$D$3))</f>
        <v>#N/A</v>
      </c>
      <c r="BB396" t="e">
        <f>IF(OR($J396=0,COUNTIFS($A$4:$A395,"&gt;="&amp;$A396-1,$A$4:$A395,"&lt;="&amp;$A396,$B$4:$B395,$B396)&gt;0,MIN(BB$1,IF($A396=$A395,BB395,1))-AG396&lt;0),-1,MIN(1,IF($A396=$A395,BB395,1)-AG396+$D$3))</f>
        <v>#N/A</v>
      </c>
      <c r="BC396" t="e">
        <f>IF(OR($J396=0,COUNTIFS($A$4:$A395,"&gt;="&amp;$A396-1,$A$4:$A395,"&lt;="&amp;$A396,$B$4:$B395,$B396)&gt;0,MIN(BC$1,IF($A396=$A395,BC395,1))-AH396&lt;0),-1,MIN(1,IF($A396=$A395,BC395,1)-AH396+$D$3))</f>
        <v>#N/A</v>
      </c>
      <c r="BD396" t="e">
        <f>IF(OR($J396=0,COUNTIFS($A$4:$A395,"&gt;="&amp;$A396-1,$A$4:$A395,"&lt;="&amp;$A396,$B$4:$B395,$B396)&gt;0,MIN(BD$1,IF($A396=$A395,BD395,1))-AI396&lt;0),-1,MIN(1,IF($A396=$A395,BD395,1)-AI396+$D$3))</f>
        <v>#N/A</v>
      </c>
      <c r="BF396" s="44">
        <f t="shared" si="399"/>
        <v>3.9260802007471019E-9</v>
      </c>
      <c r="BG396" s="44">
        <f t="shared" si="400"/>
        <v>9.6553390799005203E-9</v>
      </c>
      <c r="BH396" s="44">
        <f t="shared" si="401"/>
        <v>9.8957069146944886E-9</v>
      </c>
      <c r="BI396" s="44">
        <f t="shared" si="402"/>
        <v>9.1408857621304975E-9</v>
      </c>
      <c r="BJ396" s="44">
        <f t="shared" si="403"/>
        <v>9.4479732339250817E-9</v>
      </c>
      <c r="BK396" s="44">
        <f t="shared" si="404"/>
        <v>4.057311973758699E-9</v>
      </c>
      <c r="BL396" s="44">
        <f t="shared" si="405"/>
        <v>2.1918237594561889E-9</v>
      </c>
      <c r="BM396" s="44">
        <f t="shared" si="406"/>
        <v>5.575743693758665E-9</v>
      </c>
      <c r="BN396" s="44">
        <f t="shared" si="407"/>
        <v>5.7992079892188344E-9</v>
      </c>
      <c r="BO396" s="44">
        <f t="shared" si="408"/>
        <v>2.7177289184340264E-9</v>
      </c>
      <c r="BP396" s="44">
        <f t="shared" si="409"/>
        <v>9.1383029366948547E-9</v>
      </c>
      <c r="BQ396" s="44">
        <f t="shared" si="410"/>
        <v>2.4660496797369177E-9</v>
      </c>
      <c r="BR396" s="44">
        <f t="shared" si="411"/>
        <v>7.2853280707358677E-9</v>
      </c>
      <c r="BS396" s="44">
        <f t="shared" si="412"/>
        <v>3.9290741056807162E-9</v>
      </c>
      <c r="BT396" s="44">
        <f t="shared" si="413"/>
        <v>1.5548550797760916E-8</v>
      </c>
      <c r="BU396" s="44">
        <f t="shared" si="414"/>
        <v>1.4853544749617813E-8</v>
      </c>
      <c r="BV396" s="44">
        <f t="shared" si="415"/>
        <v>1.4264852958788509E-8</v>
      </c>
      <c r="BW396" s="44">
        <f t="shared" si="416"/>
        <v>9.3299988358576024E-9</v>
      </c>
      <c r="BX396" s="44">
        <f t="shared" si="417"/>
        <v>6.8928337141287428E-9</v>
      </c>
      <c r="BY396" s="44">
        <f t="shared" si="418"/>
        <v>5.91828998485801E-9</v>
      </c>
      <c r="CA396" s="44" t="str">
        <f t="shared" si="419"/>
        <v/>
      </c>
      <c r="CB396" s="44" t="str">
        <f t="shared" si="420"/>
        <v/>
      </c>
      <c r="CC396" s="44" t="str">
        <f t="shared" si="421"/>
        <v/>
      </c>
      <c r="CD396" s="44" t="str">
        <f t="shared" si="422"/>
        <v/>
      </c>
      <c r="CE396" s="44" t="str">
        <f t="shared" si="423"/>
        <v/>
      </c>
      <c r="CF396" s="44" t="str">
        <f t="shared" si="424"/>
        <v/>
      </c>
      <c r="CG396" s="44" t="str">
        <f t="shared" si="425"/>
        <v/>
      </c>
      <c r="CH396" s="44" t="str">
        <f t="shared" si="426"/>
        <v/>
      </c>
      <c r="CI396" s="44" t="str">
        <f t="shared" si="427"/>
        <v/>
      </c>
      <c r="CJ396" s="44" t="str">
        <f t="shared" si="428"/>
        <v/>
      </c>
      <c r="CK396" s="44" t="str">
        <f t="shared" si="429"/>
        <v/>
      </c>
      <c r="CL396" s="44" t="str">
        <f t="shared" si="430"/>
        <v/>
      </c>
      <c r="CM396" s="44" t="str">
        <f t="shared" si="431"/>
        <v/>
      </c>
      <c r="CN396" s="44" t="str">
        <f t="shared" si="432"/>
        <v/>
      </c>
      <c r="CO396" s="44" t="str">
        <f t="shared" si="433"/>
        <v/>
      </c>
      <c r="CP396" s="44" t="str">
        <f t="shared" si="434"/>
        <v/>
      </c>
      <c r="CQ396" s="44" t="str">
        <f t="shared" si="435"/>
        <v/>
      </c>
      <c r="CR396" s="44" t="str">
        <f t="shared" si="436"/>
        <v/>
      </c>
      <c r="CS396" s="44" t="str">
        <f t="shared" si="437"/>
        <v/>
      </c>
      <c r="CT396" s="44" t="str">
        <f t="shared" si="438"/>
        <v/>
      </c>
      <c r="CV396" s="44">
        <f t="shared" si="439"/>
        <v>0</v>
      </c>
    </row>
    <row r="397" spans="1:100" x14ac:dyDescent="0.25">
      <c r="A397" s="41"/>
      <c r="B397" s="42"/>
      <c r="C397" s="43" t="str" cm="1">
        <f t="array" ref="C397">IF(B397="","",INDEX(UWS!$B$10:$B$41,B397))</f>
        <v/>
      </c>
      <c r="D397" s="40" t="str">
        <f t="shared" si="396"/>
        <v/>
      </c>
      <c r="E397" s="69" t="str">
        <f t="shared" si="397"/>
        <v/>
      </c>
      <c r="F397" s="48" cm="1">
        <f t="array" ref="F397">0.1+IFERROR(INDEX($F$5:$F396,SUMPRODUCT(MAX(ROW($C$5:$C396)*($C397=$C$5:$C396))-ROW($A$4)))*0.9^($A397-INDEX($A$5:A396,SUMPRODUCT(MAX(ROW($C$5:$C396)*($C397=$C$5:$C396))-ROW($A$4)))),0)</f>
        <v>33.200000000000202</v>
      </c>
      <c r="G397" s="55" t="e">
        <f>INDEX(UWS!$AB$10:$AB$41,MATCH(C397,UWS!$B$10:$B$41,0))</f>
        <v>#N/A</v>
      </c>
      <c r="H397" s="48" t="e">
        <f>INDEX(UWS!$C$10:$C$41,MATCH(C397,UWS!$B$10:$B$41,0))</f>
        <v>#N/A</v>
      </c>
      <c r="I397" s="27">
        <f t="shared" si="398"/>
        <v>5</v>
      </c>
      <c r="J397" s="27" t="e">
        <f>INDEX(UWS!$E$10:$E$41,MATCH(C397,UWS!$B$10:$B$41,0))</f>
        <v>#N/A</v>
      </c>
      <c r="L397" s="108" t="str" cm="1">
        <f t="array" ref="L397">IF(K397="","",INDEX(UWS!$B$10:$B$41,K397))</f>
        <v/>
      </c>
      <c r="N397" s="108" t="str" cm="1">
        <f t="array" ref="N397">IF(M397="","",INDEX(UWS!$B$10:$B$41,M397))</f>
        <v/>
      </c>
      <c r="P397">
        <f>IFERROR(INDEX(UWS!$G$10:$Z$41,MATCH($C397,UWS!$B$10:$B$41,0),MATCH(P$4,UWS!$G$3:$Z$3,0)),0)</f>
        <v>0</v>
      </c>
      <c r="Q397">
        <f>IFERROR(INDEX(UWS!$G$10:$Z$41,MATCH($C397,UWS!$B$10:$B$41,0),MATCH(Q$4,UWS!$G$3:$Z$3,0)),0)</f>
        <v>0</v>
      </c>
      <c r="R397">
        <f>IFERROR(INDEX(UWS!$G$10:$Z$41,MATCH($C397,UWS!$B$10:$B$41,0),MATCH(R$4,UWS!$G$3:$Z$3,0)),0)</f>
        <v>0</v>
      </c>
      <c r="S397">
        <f>IFERROR(INDEX(UWS!$G$10:$Z$41,MATCH($C397,UWS!$B$10:$B$41,0),MATCH(S$4,UWS!$G$3:$Z$3,0)),0)</f>
        <v>0</v>
      </c>
      <c r="T397">
        <f>IFERROR(INDEX(UWS!$G$10:$Z$41,MATCH($C397,UWS!$B$10:$B$41,0),MATCH(T$4,UWS!$G$3:$Z$3,0)),0)</f>
        <v>0</v>
      </c>
      <c r="U397">
        <f>IFERROR(INDEX(UWS!$G$10:$Z$41,MATCH($C397,UWS!$B$10:$B$41,0),MATCH(U$4,UWS!$G$3:$Z$3,0)),0)</f>
        <v>0</v>
      </c>
      <c r="V397">
        <f>IFERROR(INDEX(UWS!$G$10:$Z$41,MATCH($C397,UWS!$B$10:$B$41,0),MATCH(V$4,UWS!$G$3:$Z$3,0)),0)</f>
        <v>0</v>
      </c>
      <c r="W397">
        <f>IFERROR(INDEX(UWS!$G$10:$Z$41,MATCH($C397,UWS!$B$10:$B$41,0),MATCH(W$4,UWS!$G$3:$Z$3,0)),0)</f>
        <v>0</v>
      </c>
      <c r="X397">
        <f>IFERROR(INDEX(UWS!$G$10:$Z$41,MATCH($C397,UWS!$B$10:$B$41,0),MATCH(X$4,UWS!$G$3:$Z$3,0)),0)</f>
        <v>0</v>
      </c>
      <c r="Y397">
        <f>IFERROR(INDEX(UWS!$G$10:$Z$41,MATCH($C397,UWS!$B$10:$B$41,0),MATCH(Y$4,UWS!$G$3:$Z$3,0)),0)</f>
        <v>0</v>
      </c>
      <c r="Z397">
        <f>IFERROR(INDEX(UWS!$G$10:$Z$41,MATCH($C397,UWS!$B$10:$B$41,0),MATCH(Z$4,UWS!$G$3:$Z$3,0)),0)</f>
        <v>0</v>
      </c>
      <c r="AA397">
        <f>IFERROR(INDEX(UWS!$G$10:$Z$41,MATCH($C397,UWS!$B$10:$B$41,0),MATCH(AA$4,UWS!$G$3:$Z$3,0)),0)</f>
        <v>0</v>
      </c>
      <c r="AB397">
        <f>IFERROR(INDEX(UWS!$G$10:$Z$41,MATCH($C397,UWS!$B$10:$B$41,0),MATCH(AB$4,UWS!$G$3:$Z$3,0)),0)</f>
        <v>0</v>
      </c>
      <c r="AC397">
        <f>IFERROR(INDEX(UWS!$G$10:$Z$41,MATCH($C397,UWS!$B$10:$B$41,0),MATCH(AC$4,UWS!$G$3:$Z$3,0)),0)</f>
        <v>0</v>
      </c>
      <c r="AD397">
        <f>IFERROR(INDEX(UWS!$G$10:$Z$41,MATCH($C397,UWS!$B$10:$B$41,0),MATCH(AD$4,UWS!$G$3:$Z$3,0)),0)</f>
        <v>0</v>
      </c>
      <c r="AE397">
        <f>IFERROR(INDEX(UWS!$G$10:$Z$41,MATCH($C397,UWS!$B$10:$B$41,0),MATCH(AE$4,UWS!$G$3:$Z$3,0)),0)</f>
        <v>0</v>
      </c>
      <c r="AF397">
        <f>IFERROR(INDEX(UWS!$G$10:$Z$41,MATCH($C397,UWS!$B$10:$B$41,0),MATCH(AF$4,UWS!$G$3:$Z$3,0)),0)</f>
        <v>0</v>
      </c>
      <c r="AG397">
        <f>IFERROR(INDEX(UWS!$G$10:$Z$41,MATCH($C397,UWS!$B$10:$B$41,0),MATCH(AG$4,UWS!$G$3:$Z$3,0)),0)</f>
        <v>0</v>
      </c>
      <c r="AH397">
        <f>IFERROR(INDEX(UWS!$G$10:$Z$41,MATCH($C397,UWS!$B$10:$B$41,0),MATCH(AH$4,UWS!$G$3:$Z$3,0)),0)</f>
        <v>0</v>
      </c>
      <c r="AI397">
        <f>IFERROR(INDEX(UWS!$G$10:$Z$41,MATCH($C397,UWS!$B$10:$B$41,0),MATCH(AI$4,UWS!$G$3:$Z$3,0)),0)</f>
        <v>0</v>
      </c>
      <c r="AK397" t="e">
        <f>IF(OR($J397=0,COUNTIFS($A$4:$A396,"&gt;="&amp;$A397-1,$A$4:$A396,"&lt;="&amp;$A397,$B$4:$B396,$B397)&gt;0,MIN(AK$1,IF($A397=$A396,AK396,1))-P397&lt;0),-1,MIN(1,IF($A397=$A396,AK396,1)-P397+$D$3))</f>
        <v>#N/A</v>
      </c>
      <c r="AL397" t="e">
        <f>IF(OR($J397=0,COUNTIFS($A$4:$A396,"&gt;="&amp;$A397-1,$A$4:$A396,"&lt;="&amp;$A397,$B$4:$B396,$B397)&gt;0,MIN(AL$1,IF($A397=$A396,AL396,1))-Q397&lt;0),-1,MIN(1,IF($A397=$A396,AL396,1)-Q397+$D$3))</f>
        <v>#N/A</v>
      </c>
      <c r="AM397" t="e">
        <f>IF(OR($J397=0,COUNTIFS($A$4:$A396,"&gt;="&amp;$A397-1,$A$4:$A396,"&lt;="&amp;$A397,$B$4:$B396,$B397)&gt;0,MIN(AM$1,IF($A397=$A396,AM396,1))-R397&lt;0),-1,MIN(1,IF($A397=$A396,AM396,1)-R397+$D$3))</f>
        <v>#N/A</v>
      </c>
      <c r="AN397" t="e">
        <f>IF(OR($J397=0,COUNTIFS($A$4:$A396,"&gt;="&amp;$A397-1,$A$4:$A396,"&lt;="&amp;$A397,$B$4:$B396,$B397)&gt;0,MIN(AN$1,IF($A397=$A396,AN396,1))-S397&lt;0),-1,MIN(1,IF($A397=$A396,AN396,1)-S397+$D$3))</f>
        <v>#N/A</v>
      </c>
      <c r="AO397" t="e">
        <f>IF(OR($J397=0,COUNTIFS($A$4:$A396,"&gt;="&amp;$A397-1,$A$4:$A396,"&lt;="&amp;$A397,$B$4:$B396,$B397)&gt;0,MIN(AO$1,IF($A397=$A396,AO396,1))-T397&lt;0),-1,MIN(1,IF($A397=$A396,AO396,1)-T397+$D$3))</f>
        <v>#N/A</v>
      </c>
      <c r="AP397" t="e">
        <f>IF(OR($J397=0,COUNTIFS($A$4:$A396,"&gt;="&amp;$A397-1,$A$4:$A396,"&lt;="&amp;$A397,$B$4:$B396,$B397)&gt;0,MIN(AP$1,IF($A397=$A396,AP396,1))-U397&lt;0),-1,MIN(1,IF($A397=$A396,AP396,1)-U397+$D$3))</f>
        <v>#N/A</v>
      </c>
      <c r="AQ397" t="e">
        <f>IF(OR($J397=0,COUNTIFS($A$4:$A396,"&gt;="&amp;$A397-1,$A$4:$A396,"&lt;="&amp;$A397,$B$4:$B396,$B397)&gt;0,MIN(AQ$1,IF($A397=$A396,AQ396,1))-V397&lt;0),-1,MIN(1,IF($A397=$A396,AQ396,1)-V397+$D$3))</f>
        <v>#N/A</v>
      </c>
      <c r="AR397" t="e">
        <f>IF(OR($J397=0,COUNTIFS($A$4:$A396,"&gt;="&amp;$A397-1,$A$4:$A396,"&lt;="&amp;$A397,$B$4:$B396,$B397)&gt;0,MIN(AR$1,IF($A397=$A396,AR396,1))-W397&lt;0),-1,MIN(1,IF($A397=$A396,AR396,1)-W397+$D$3))</f>
        <v>#N/A</v>
      </c>
      <c r="AS397" t="e">
        <f>IF(OR($J397=0,COUNTIFS($A$4:$A396,"&gt;="&amp;$A397-1,$A$4:$A396,"&lt;="&amp;$A397,$B$4:$B396,$B397)&gt;0,MIN(AS$1,IF($A397=$A396,AS396,1))-X397&lt;0),-1,MIN(1,IF($A397=$A396,AS396,1)-X397+$D$3))</f>
        <v>#N/A</v>
      </c>
      <c r="AT397" t="e">
        <f>IF(OR($J397=0,COUNTIFS($A$4:$A396,"&gt;="&amp;$A397-1,$A$4:$A396,"&lt;="&amp;$A397,$B$4:$B396,$B397)&gt;0,MIN(AT$1,IF($A397=$A396,AT396,1))-Y397&lt;0),-1,MIN(1,IF($A397=$A396,AT396,1)-Y397+$D$3))</f>
        <v>#N/A</v>
      </c>
      <c r="AU397" t="e">
        <f>IF(OR($J397=0,COUNTIFS($A$4:$A396,"&gt;="&amp;$A397-1,$A$4:$A396,"&lt;="&amp;$A397,$B$4:$B396,$B397)&gt;0,MIN(AU$1,IF($A397=$A396,AU396,1))-Z397&lt;0),-1,MIN(1,IF($A397=$A396,AU396,1)-Z397+$D$3))</f>
        <v>#N/A</v>
      </c>
      <c r="AV397" t="e">
        <f>IF(OR($J397=0,COUNTIFS($A$4:$A396,"&gt;="&amp;$A397-1,$A$4:$A396,"&lt;="&amp;$A397,$B$4:$B396,$B397)&gt;0,MIN(AV$1,IF($A397=$A396,AV396,1))-AA397&lt;0),-1,MIN(1,IF($A397=$A396,AV396,1)-AA397+$D$3))</f>
        <v>#N/A</v>
      </c>
      <c r="AW397" t="e">
        <f>IF(OR($J397=0,COUNTIFS($A$4:$A396,"&gt;="&amp;$A397-1,$A$4:$A396,"&lt;="&amp;$A397,$B$4:$B396,$B397)&gt;0,MIN(AW$1,IF($A397=$A396,AW396,1))-AB397&lt;0),-1,MIN(1,IF($A397=$A396,AW396,1)-AB397+$D$3))</f>
        <v>#N/A</v>
      </c>
      <c r="AX397" t="e">
        <f>IF(OR($J397=0,COUNTIFS($A$4:$A396,"&gt;="&amp;$A397-1,$A$4:$A396,"&lt;="&amp;$A397,$B$4:$B396,$B397)&gt;0,MIN(AX$1,IF($A397=$A396,AX396,1))-AC397&lt;0),-1,MIN(1,IF($A397=$A396,AX396,1)-AC397+$D$3))</f>
        <v>#N/A</v>
      </c>
      <c r="AY397" t="e">
        <f>IF(OR($J397=0,COUNTIFS($A$4:$A396,"&gt;="&amp;$A397-1,$A$4:$A396,"&lt;="&amp;$A397,$B$4:$B396,$B397)&gt;0,MIN(AY$1,IF($A397=$A396,AY396,1))-AD397&lt;0),-1,MIN(1,IF($A397=$A396,AY396,1)-AD397+$D$3))</f>
        <v>#N/A</v>
      </c>
      <c r="AZ397" t="e">
        <f>IF(OR($J397=0,COUNTIFS($A$4:$A396,"&gt;="&amp;$A397-1,$A$4:$A396,"&lt;="&amp;$A397,$B$4:$B396,$B397)&gt;0,MIN(AZ$1,IF($A397=$A396,AZ396,1))-AE397&lt;0),-1,MIN(1,IF($A397=$A396,AZ396,1)-AE397+$D$3))</f>
        <v>#N/A</v>
      </c>
      <c r="BA397" t="e">
        <f>IF(OR($J397=0,COUNTIFS($A$4:$A396,"&gt;="&amp;$A397-1,$A$4:$A396,"&lt;="&amp;$A397,$B$4:$B396,$B397)&gt;0,MIN(BA$1,IF($A397=$A396,BA396,1))-AF397&lt;0),-1,MIN(1,IF($A397=$A396,BA396,1)-AF397+$D$3))</f>
        <v>#N/A</v>
      </c>
      <c r="BB397" t="e">
        <f>IF(OR($J397=0,COUNTIFS($A$4:$A396,"&gt;="&amp;$A397-1,$A$4:$A396,"&lt;="&amp;$A397,$B$4:$B396,$B397)&gt;0,MIN(BB$1,IF($A397=$A396,BB396,1))-AG397&lt;0),-1,MIN(1,IF($A397=$A396,BB396,1)-AG397+$D$3))</f>
        <v>#N/A</v>
      </c>
      <c r="BC397" t="e">
        <f>IF(OR($J397=0,COUNTIFS($A$4:$A396,"&gt;="&amp;$A397-1,$A$4:$A396,"&lt;="&amp;$A397,$B$4:$B396,$B397)&gt;0,MIN(BC$1,IF($A397=$A396,BC396,1))-AH397&lt;0),-1,MIN(1,IF($A397=$A396,BC396,1)-AH397+$D$3))</f>
        <v>#N/A</v>
      </c>
      <c r="BD397" t="e">
        <f>IF(OR($J397=0,COUNTIFS($A$4:$A396,"&gt;="&amp;$A397-1,$A$4:$A396,"&lt;="&amp;$A397,$B$4:$B396,$B397)&gt;0,MIN(BD$1,IF($A397=$A396,BD396,1))-AI397&lt;0),-1,MIN(1,IF($A397=$A396,BD396,1)-AI397+$D$3))</f>
        <v>#N/A</v>
      </c>
      <c r="BF397" s="44">
        <f t="shared" si="399"/>
        <v>3.7297761907097467E-9</v>
      </c>
      <c r="BG397" s="44">
        <f t="shared" si="400"/>
        <v>9.1725721259054933E-9</v>
      </c>
      <c r="BH397" s="44">
        <f t="shared" si="401"/>
        <v>9.4009215689597637E-9</v>
      </c>
      <c r="BI397" s="44">
        <f t="shared" si="402"/>
        <v>8.6838414740239721E-9</v>
      </c>
      <c r="BJ397" s="44">
        <f t="shared" si="403"/>
        <v>8.9755745722288276E-9</v>
      </c>
      <c r="BK397" s="44">
        <f t="shared" si="404"/>
        <v>3.8544463750707642E-9</v>
      </c>
      <c r="BL397" s="44">
        <f t="shared" si="405"/>
        <v>2.0822325714833795E-9</v>
      </c>
      <c r="BM397" s="44">
        <f t="shared" si="406"/>
        <v>5.2969565090707315E-9</v>
      </c>
      <c r="BN397" s="44">
        <f t="shared" si="407"/>
        <v>5.5092475897578921E-9</v>
      </c>
      <c r="BO397" s="44">
        <f t="shared" si="408"/>
        <v>2.5818424725123248E-9</v>
      </c>
      <c r="BP397" s="44">
        <f t="shared" si="409"/>
        <v>8.681387789860112E-9</v>
      </c>
      <c r="BQ397" s="44">
        <f t="shared" si="410"/>
        <v>2.3427471957500717E-9</v>
      </c>
      <c r="BR397" s="44">
        <f t="shared" si="411"/>
        <v>6.9210616671990737E-9</v>
      </c>
      <c r="BS397" s="44">
        <f t="shared" si="412"/>
        <v>3.7326204003966803E-9</v>
      </c>
      <c r="BT397" s="44">
        <f t="shared" si="413"/>
        <v>1.4771123257872869E-8</v>
      </c>
      <c r="BU397" s="44">
        <f t="shared" si="414"/>
        <v>1.4110867512136921E-8</v>
      </c>
      <c r="BV397" s="44">
        <f t="shared" si="415"/>
        <v>1.3551610310849082E-8</v>
      </c>
      <c r="BW397" s="44">
        <f t="shared" si="416"/>
        <v>8.8634988940647226E-9</v>
      </c>
      <c r="BX397" s="44">
        <f t="shared" si="417"/>
        <v>6.5481920284223057E-9</v>
      </c>
      <c r="BY397" s="44">
        <f t="shared" si="418"/>
        <v>5.6223754856151095E-9</v>
      </c>
      <c r="CA397" s="44" t="str">
        <f t="shared" si="419"/>
        <v/>
      </c>
      <c r="CB397" s="44" t="str">
        <f t="shared" si="420"/>
        <v/>
      </c>
      <c r="CC397" s="44" t="str">
        <f t="shared" si="421"/>
        <v/>
      </c>
      <c r="CD397" s="44" t="str">
        <f t="shared" si="422"/>
        <v/>
      </c>
      <c r="CE397" s="44" t="str">
        <f t="shared" si="423"/>
        <v/>
      </c>
      <c r="CF397" s="44" t="str">
        <f t="shared" si="424"/>
        <v/>
      </c>
      <c r="CG397" s="44" t="str">
        <f t="shared" si="425"/>
        <v/>
      </c>
      <c r="CH397" s="44" t="str">
        <f t="shared" si="426"/>
        <v/>
      </c>
      <c r="CI397" s="44" t="str">
        <f t="shared" si="427"/>
        <v/>
      </c>
      <c r="CJ397" s="44" t="str">
        <f t="shared" si="428"/>
        <v/>
      </c>
      <c r="CK397" s="44" t="str">
        <f t="shared" si="429"/>
        <v/>
      </c>
      <c r="CL397" s="44" t="str">
        <f t="shared" si="430"/>
        <v/>
      </c>
      <c r="CM397" s="44" t="str">
        <f t="shared" si="431"/>
        <v/>
      </c>
      <c r="CN397" s="44" t="str">
        <f t="shared" si="432"/>
        <v/>
      </c>
      <c r="CO397" s="44" t="str">
        <f t="shared" si="433"/>
        <v/>
      </c>
      <c r="CP397" s="44" t="str">
        <f t="shared" si="434"/>
        <v/>
      </c>
      <c r="CQ397" s="44" t="str">
        <f t="shared" si="435"/>
        <v/>
      </c>
      <c r="CR397" s="44" t="str">
        <f t="shared" si="436"/>
        <v/>
      </c>
      <c r="CS397" s="44" t="str">
        <f t="shared" si="437"/>
        <v/>
      </c>
      <c r="CT397" s="44" t="str">
        <f t="shared" si="438"/>
        <v/>
      </c>
      <c r="CV397" s="44">
        <f t="shared" si="439"/>
        <v>0</v>
      </c>
    </row>
    <row r="398" spans="1:100" x14ac:dyDescent="0.25">
      <c r="A398" s="41"/>
      <c r="B398" s="42"/>
      <c r="C398" s="43" t="str" cm="1">
        <f t="array" ref="C398">IF(B398="","",INDEX(UWS!$B$10:$B$41,B398))</f>
        <v/>
      </c>
      <c r="D398" s="40" t="str">
        <f t="shared" si="396"/>
        <v/>
      </c>
      <c r="E398" s="69" t="str">
        <f t="shared" si="397"/>
        <v/>
      </c>
      <c r="F398" s="48" cm="1">
        <f t="array" ref="F398">0.1+IFERROR(INDEX($F$5:$F397,SUMPRODUCT(MAX(ROW($C$5:$C397)*($C398=$C$5:$C397))-ROW($A$4)))*0.9^($A398-INDEX($A$5:A397,SUMPRODUCT(MAX(ROW($C$5:$C397)*($C398=$C$5:$C397))-ROW($A$4)))),0)</f>
        <v>33.300000000000203</v>
      </c>
      <c r="G398" s="55" t="e">
        <f>INDEX(UWS!$AB$10:$AB$41,MATCH(C398,UWS!$B$10:$B$41,0))</f>
        <v>#N/A</v>
      </c>
      <c r="H398" s="48" t="e">
        <f>INDEX(UWS!$C$10:$C$41,MATCH(C398,UWS!$B$10:$B$41,0))</f>
        <v>#N/A</v>
      </c>
      <c r="I398" s="27">
        <f t="shared" si="398"/>
        <v>5</v>
      </c>
      <c r="J398" s="27" t="e">
        <f>INDEX(UWS!$E$10:$E$41,MATCH(C398,UWS!$B$10:$B$41,0))</f>
        <v>#N/A</v>
      </c>
      <c r="L398" s="108" t="str" cm="1">
        <f t="array" ref="L398">IF(K398="","",INDEX(UWS!$B$10:$B$41,K398))</f>
        <v/>
      </c>
      <c r="N398" s="108" t="str" cm="1">
        <f t="array" ref="N398">IF(M398="","",INDEX(UWS!$B$10:$B$41,M398))</f>
        <v/>
      </c>
      <c r="P398">
        <f>IFERROR(INDEX(UWS!$G$10:$Z$41,MATCH($C398,UWS!$B$10:$B$41,0),MATCH(P$4,UWS!$G$3:$Z$3,0)),0)</f>
        <v>0</v>
      </c>
      <c r="Q398">
        <f>IFERROR(INDEX(UWS!$G$10:$Z$41,MATCH($C398,UWS!$B$10:$B$41,0),MATCH(Q$4,UWS!$G$3:$Z$3,0)),0)</f>
        <v>0</v>
      </c>
      <c r="R398">
        <f>IFERROR(INDEX(UWS!$G$10:$Z$41,MATCH($C398,UWS!$B$10:$B$41,0),MATCH(R$4,UWS!$G$3:$Z$3,0)),0)</f>
        <v>0</v>
      </c>
      <c r="S398">
        <f>IFERROR(INDEX(UWS!$G$10:$Z$41,MATCH($C398,UWS!$B$10:$B$41,0),MATCH(S$4,UWS!$G$3:$Z$3,0)),0)</f>
        <v>0</v>
      </c>
      <c r="T398">
        <f>IFERROR(INDEX(UWS!$G$10:$Z$41,MATCH($C398,UWS!$B$10:$B$41,0),MATCH(T$4,UWS!$G$3:$Z$3,0)),0)</f>
        <v>0</v>
      </c>
      <c r="U398">
        <f>IFERROR(INDEX(UWS!$G$10:$Z$41,MATCH($C398,UWS!$B$10:$B$41,0),MATCH(U$4,UWS!$G$3:$Z$3,0)),0)</f>
        <v>0</v>
      </c>
      <c r="V398">
        <f>IFERROR(INDEX(UWS!$G$10:$Z$41,MATCH($C398,UWS!$B$10:$B$41,0),MATCH(V$4,UWS!$G$3:$Z$3,0)),0)</f>
        <v>0</v>
      </c>
      <c r="W398">
        <f>IFERROR(INDEX(UWS!$G$10:$Z$41,MATCH($C398,UWS!$B$10:$B$41,0),MATCH(W$4,UWS!$G$3:$Z$3,0)),0)</f>
        <v>0</v>
      </c>
      <c r="X398">
        <f>IFERROR(INDEX(UWS!$G$10:$Z$41,MATCH($C398,UWS!$B$10:$B$41,0),MATCH(X$4,UWS!$G$3:$Z$3,0)),0)</f>
        <v>0</v>
      </c>
      <c r="Y398">
        <f>IFERROR(INDEX(UWS!$G$10:$Z$41,MATCH($C398,UWS!$B$10:$B$41,0),MATCH(Y$4,UWS!$G$3:$Z$3,0)),0)</f>
        <v>0</v>
      </c>
      <c r="Z398">
        <f>IFERROR(INDEX(UWS!$G$10:$Z$41,MATCH($C398,UWS!$B$10:$B$41,0),MATCH(Z$4,UWS!$G$3:$Z$3,0)),0)</f>
        <v>0</v>
      </c>
      <c r="AA398">
        <f>IFERROR(INDEX(UWS!$G$10:$Z$41,MATCH($C398,UWS!$B$10:$B$41,0),MATCH(AA$4,UWS!$G$3:$Z$3,0)),0)</f>
        <v>0</v>
      </c>
      <c r="AB398">
        <f>IFERROR(INDEX(UWS!$G$10:$Z$41,MATCH($C398,UWS!$B$10:$B$41,0),MATCH(AB$4,UWS!$G$3:$Z$3,0)),0)</f>
        <v>0</v>
      </c>
      <c r="AC398">
        <f>IFERROR(INDEX(UWS!$G$10:$Z$41,MATCH($C398,UWS!$B$10:$B$41,0),MATCH(AC$4,UWS!$G$3:$Z$3,0)),0)</f>
        <v>0</v>
      </c>
      <c r="AD398">
        <f>IFERROR(INDEX(UWS!$G$10:$Z$41,MATCH($C398,UWS!$B$10:$B$41,0),MATCH(AD$4,UWS!$G$3:$Z$3,0)),0)</f>
        <v>0</v>
      </c>
      <c r="AE398">
        <f>IFERROR(INDEX(UWS!$G$10:$Z$41,MATCH($C398,UWS!$B$10:$B$41,0),MATCH(AE$4,UWS!$G$3:$Z$3,0)),0)</f>
        <v>0</v>
      </c>
      <c r="AF398">
        <f>IFERROR(INDEX(UWS!$G$10:$Z$41,MATCH($C398,UWS!$B$10:$B$41,0),MATCH(AF$4,UWS!$G$3:$Z$3,0)),0)</f>
        <v>0</v>
      </c>
      <c r="AG398">
        <f>IFERROR(INDEX(UWS!$G$10:$Z$41,MATCH($C398,UWS!$B$10:$B$41,0),MATCH(AG$4,UWS!$G$3:$Z$3,0)),0)</f>
        <v>0</v>
      </c>
      <c r="AH398">
        <f>IFERROR(INDEX(UWS!$G$10:$Z$41,MATCH($C398,UWS!$B$10:$B$41,0),MATCH(AH$4,UWS!$G$3:$Z$3,0)),0)</f>
        <v>0</v>
      </c>
      <c r="AI398">
        <f>IFERROR(INDEX(UWS!$G$10:$Z$41,MATCH($C398,UWS!$B$10:$B$41,0),MATCH(AI$4,UWS!$G$3:$Z$3,0)),0)</f>
        <v>0</v>
      </c>
      <c r="AK398" t="e">
        <f>IF(OR($J398=0,COUNTIFS($A$4:$A397,"&gt;="&amp;$A398-1,$A$4:$A397,"&lt;="&amp;$A398,$B$4:$B397,$B398)&gt;0,MIN(AK$1,IF($A398=$A397,AK397,1))-P398&lt;0),-1,MIN(1,IF($A398=$A397,AK397,1)-P398+$D$3))</f>
        <v>#N/A</v>
      </c>
      <c r="AL398" t="e">
        <f>IF(OR($J398=0,COUNTIFS($A$4:$A397,"&gt;="&amp;$A398-1,$A$4:$A397,"&lt;="&amp;$A398,$B$4:$B397,$B398)&gt;0,MIN(AL$1,IF($A398=$A397,AL397,1))-Q398&lt;0),-1,MIN(1,IF($A398=$A397,AL397,1)-Q398+$D$3))</f>
        <v>#N/A</v>
      </c>
      <c r="AM398" t="e">
        <f>IF(OR($J398=0,COUNTIFS($A$4:$A397,"&gt;="&amp;$A398-1,$A$4:$A397,"&lt;="&amp;$A398,$B$4:$B397,$B398)&gt;0,MIN(AM$1,IF($A398=$A397,AM397,1))-R398&lt;0),-1,MIN(1,IF($A398=$A397,AM397,1)-R398+$D$3))</f>
        <v>#N/A</v>
      </c>
      <c r="AN398" t="e">
        <f>IF(OR($J398=0,COUNTIFS($A$4:$A397,"&gt;="&amp;$A398-1,$A$4:$A397,"&lt;="&amp;$A398,$B$4:$B397,$B398)&gt;0,MIN(AN$1,IF($A398=$A397,AN397,1))-S398&lt;0),-1,MIN(1,IF($A398=$A397,AN397,1)-S398+$D$3))</f>
        <v>#N/A</v>
      </c>
      <c r="AO398" t="e">
        <f>IF(OR($J398=0,COUNTIFS($A$4:$A397,"&gt;="&amp;$A398-1,$A$4:$A397,"&lt;="&amp;$A398,$B$4:$B397,$B398)&gt;0,MIN(AO$1,IF($A398=$A397,AO397,1))-T398&lt;0),-1,MIN(1,IF($A398=$A397,AO397,1)-T398+$D$3))</f>
        <v>#N/A</v>
      </c>
      <c r="AP398" t="e">
        <f>IF(OR($J398=0,COUNTIFS($A$4:$A397,"&gt;="&amp;$A398-1,$A$4:$A397,"&lt;="&amp;$A398,$B$4:$B397,$B398)&gt;0,MIN(AP$1,IF($A398=$A397,AP397,1))-U398&lt;0),-1,MIN(1,IF($A398=$A397,AP397,1)-U398+$D$3))</f>
        <v>#N/A</v>
      </c>
      <c r="AQ398" t="e">
        <f>IF(OR($J398=0,COUNTIFS($A$4:$A397,"&gt;="&amp;$A398-1,$A$4:$A397,"&lt;="&amp;$A398,$B$4:$B397,$B398)&gt;0,MIN(AQ$1,IF($A398=$A397,AQ397,1))-V398&lt;0),-1,MIN(1,IF($A398=$A397,AQ397,1)-V398+$D$3))</f>
        <v>#N/A</v>
      </c>
      <c r="AR398" t="e">
        <f>IF(OR($J398=0,COUNTIFS($A$4:$A397,"&gt;="&amp;$A398-1,$A$4:$A397,"&lt;="&amp;$A398,$B$4:$B397,$B398)&gt;0,MIN(AR$1,IF($A398=$A397,AR397,1))-W398&lt;0),-1,MIN(1,IF($A398=$A397,AR397,1)-W398+$D$3))</f>
        <v>#N/A</v>
      </c>
      <c r="AS398" t="e">
        <f>IF(OR($J398=0,COUNTIFS($A$4:$A397,"&gt;="&amp;$A398-1,$A$4:$A397,"&lt;="&amp;$A398,$B$4:$B397,$B398)&gt;0,MIN(AS$1,IF($A398=$A397,AS397,1))-X398&lt;0),-1,MIN(1,IF($A398=$A397,AS397,1)-X398+$D$3))</f>
        <v>#N/A</v>
      </c>
      <c r="AT398" t="e">
        <f>IF(OR($J398=0,COUNTIFS($A$4:$A397,"&gt;="&amp;$A398-1,$A$4:$A397,"&lt;="&amp;$A398,$B$4:$B397,$B398)&gt;0,MIN(AT$1,IF($A398=$A397,AT397,1))-Y398&lt;0),-1,MIN(1,IF($A398=$A397,AT397,1)-Y398+$D$3))</f>
        <v>#N/A</v>
      </c>
      <c r="AU398" t="e">
        <f>IF(OR($J398=0,COUNTIFS($A$4:$A397,"&gt;="&amp;$A398-1,$A$4:$A397,"&lt;="&amp;$A398,$B$4:$B397,$B398)&gt;0,MIN(AU$1,IF($A398=$A397,AU397,1))-Z398&lt;0),-1,MIN(1,IF($A398=$A397,AU397,1)-Z398+$D$3))</f>
        <v>#N/A</v>
      </c>
      <c r="AV398" t="e">
        <f>IF(OR($J398=0,COUNTIFS($A$4:$A397,"&gt;="&amp;$A398-1,$A$4:$A397,"&lt;="&amp;$A398,$B$4:$B397,$B398)&gt;0,MIN(AV$1,IF($A398=$A397,AV397,1))-AA398&lt;0),-1,MIN(1,IF($A398=$A397,AV397,1)-AA398+$D$3))</f>
        <v>#N/A</v>
      </c>
      <c r="AW398" t="e">
        <f>IF(OR($J398=0,COUNTIFS($A$4:$A397,"&gt;="&amp;$A398-1,$A$4:$A397,"&lt;="&amp;$A398,$B$4:$B397,$B398)&gt;0,MIN(AW$1,IF($A398=$A397,AW397,1))-AB398&lt;0),-1,MIN(1,IF($A398=$A397,AW397,1)-AB398+$D$3))</f>
        <v>#N/A</v>
      </c>
      <c r="AX398" t="e">
        <f>IF(OR($J398=0,COUNTIFS($A$4:$A397,"&gt;="&amp;$A398-1,$A$4:$A397,"&lt;="&amp;$A398,$B$4:$B397,$B398)&gt;0,MIN(AX$1,IF($A398=$A397,AX397,1))-AC398&lt;0),-1,MIN(1,IF($A398=$A397,AX397,1)-AC398+$D$3))</f>
        <v>#N/A</v>
      </c>
      <c r="AY398" t="e">
        <f>IF(OR($J398=0,COUNTIFS($A$4:$A397,"&gt;="&amp;$A398-1,$A$4:$A397,"&lt;="&amp;$A398,$B$4:$B397,$B398)&gt;0,MIN(AY$1,IF($A398=$A397,AY397,1))-AD398&lt;0),-1,MIN(1,IF($A398=$A397,AY397,1)-AD398+$D$3))</f>
        <v>#N/A</v>
      </c>
      <c r="AZ398" t="e">
        <f>IF(OR($J398=0,COUNTIFS($A$4:$A397,"&gt;="&amp;$A398-1,$A$4:$A397,"&lt;="&amp;$A398,$B$4:$B397,$B398)&gt;0,MIN(AZ$1,IF($A398=$A397,AZ397,1))-AE398&lt;0),-1,MIN(1,IF($A398=$A397,AZ397,1)-AE398+$D$3))</f>
        <v>#N/A</v>
      </c>
      <c r="BA398" t="e">
        <f>IF(OR($J398=0,COUNTIFS($A$4:$A397,"&gt;="&amp;$A398-1,$A$4:$A397,"&lt;="&amp;$A398,$B$4:$B397,$B398)&gt;0,MIN(BA$1,IF($A398=$A397,BA397,1))-AF398&lt;0),-1,MIN(1,IF($A398=$A397,BA397,1)-AF398+$D$3))</f>
        <v>#N/A</v>
      </c>
      <c r="BB398" t="e">
        <f>IF(OR($J398=0,COUNTIFS($A$4:$A397,"&gt;="&amp;$A398-1,$A$4:$A397,"&lt;="&amp;$A398,$B$4:$B397,$B398)&gt;0,MIN(BB$1,IF($A398=$A397,BB397,1))-AG398&lt;0),-1,MIN(1,IF($A398=$A397,BB397,1)-AG398+$D$3))</f>
        <v>#N/A</v>
      </c>
      <c r="BC398" t="e">
        <f>IF(OR($J398=0,COUNTIFS($A$4:$A397,"&gt;="&amp;$A398-1,$A$4:$A397,"&lt;="&amp;$A398,$B$4:$B397,$B398)&gt;0,MIN(BC$1,IF($A398=$A397,BC397,1))-AH398&lt;0),-1,MIN(1,IF($A398=$A397,BC397,1)-AH398+$D$3))</f>
        <v>#N/A</v>
      </c>
      <c r="BD398" t="e">
        <f>IF(OR($J398=0,COUNTIFS($A$4:$A397,"&gt;="&amp;$A398-1,$A$4:$A397,"&lt;="&amp;$A398,$B$4:$B397,$B398)&gt;0,MIN(BD$1,IF($A398=$A397,BD397,1))-AI398&lt;0),-1,MIN(1,IF($A398=$A397,BD397,1)-AI398+$D$3))</f>
        <v>#N/A</v>
      </c>
      <c r="BF398" s="44">
        <f t="shared" si="399"/>
        <v>3.5432873811742594E-9</v>
      </c>
      <c r="BG398" s="44">
        <f t="shared" si="400"/>
        <v>8.7139435196102186E-9</v>
      </c>
      <c r="BH398" s="44">
        <f t="shared" si="401"/>
        <v>8.9308754905117759E-9</v>
      </c>
      <c r="BI398" s="44">
        <f t="shared" si="402"/>
        <v>8.2496494003227727E-9</v>
      </c>
      <c r="BJ398" s="44">
        <f t="shared" si="403"/>
        <v>8.5267958436173862E-9</v>
      </c>
      <c r="BK398" s="44">
        <f t="shared" si="404"/>
        <v>3.661724056317226E-9</v>
      </c>
      <c r="BL398" s="44">
        <f t="shared" si="405"/>
        <v>1.9781209429092106E-9</v>
      </c>
      <c r="BM398" s="44">
        <f t="shared" si="406"/>
        <v>5.0321086836171949E-9</v>
      </c>
      <c r="BN398" s="44">
        <f t="shared" si="407"/>
        <v>5.2337852102699975E-9</v>
      </c>
      <c r="BO398" s="44">
        <f t="shared" si="408"/>
        <v>2.4527503488867083E-9</v>
      </c>
      <c r="BP398" s="44">
        <f t="shared" si="409"/>
        <v>8.247318400367106E-9</v>
      </c>
      <c r="BQ398" s="44">
        <f t="shared" si="410"/>
        <v>2.2256098359625681E-9</v>
      </c>
      <c r="BR398" s="44">
        <f t="shared" si="411"/>
        <v>6.5750085838391197E-9</v>
      </c>
      <c r="BS398" s="44">
        <f t="shared" si="412"/>
        <v>3.5459893803768459E-9</v>
      </c>
      <c r="BT398" s="44">
        <f t="shared" si="413"/>
        <v>1.4032567094979225E-8</v>
      </c>
      <c r="BU398" s="44">
        <f t="shared" si="414"/>
        <v>1.3405324136530073E-8</v>
      </c>
      <c r="BV398" s="44">
        <f t="shared" si="415"/>
        <v>1.2874029795306626E-8</v>
      </c>
      <c r="BW398" s="44">
        <f t="shared" si="416"/>
        <v>8.4203239493614862E-9</v>
      </c>
      <c r="BX398" s="44">
        <f t="shared" si="417"/>
        <v>6.2207824270011902E-9</v>
      </c>
      <c r="BY398" s="44">
        <f t="shared" si="418"/>
        <v>5.3412567113343534E-9</v>
      </c>
      <c r="CA398" s="44" t="str">
        <f t="shared" si="419"/>
        <v/>
      </c>
      <c r="CB398" s="44" t="str">
        <f t="shared" si="420"/>
        <v/>
      </c>
      <c r="CC398" s="44" t="str">
        <f t="shared" si="421"/>
        <v/>
      </c>
      <c r="CD398" s="44" t="str">
        <f t="shared" si="422"/>
        <v/>
      </c>
      <c r="CE398" s="44" t="str">
        <f t="shared" si="423"/>
        <v/>
      </c>
      <c r="CF398" s="44" t="str">
        <f t="shared" si="424"/>
        <v/>
      </c>
      <c r="CG398" s="44" t="str">
        <f t="shared" si="425"/>
        <v/>
      </c>
      <c r="CH398" s="44" t="str">
        <f t="shared" si="426"/>
        <v/>
      </c>
      <c r="CI398" s="44" t="str">
        <f t="shared" si="427"/>
        <v/>
      </c>
      <c r="CJ398" s="44" t="str">
        <f t="shared" si="428"/>
        <v/>
      </c>
      <c r="CK398" s="44" t="str">
        <f t="shared" si="429"/>
        <v/>
      </c>
      <c r="CL398" s="44" t="str">
        <f t="shared" si="430"/>
        <v/>
      </c>
      <c r="CM398" s="44" t="str">
        <f t="shared" si="431"/>
        <v/>
      </c>
      <c r="CN398" s="44" t="str">
        <f t="shared" si="432"/>
        <v/>
      </c>
      <c r="CO398" s="44" t="str">
        <f t="shared" si="433"/>
        <v/>
      </c>
      <c r="CP398" s="44" t="str">
        <f t="shared" si="434"/>
        <v/>
      </c>
      <c r="CQ398" s="44" t="str">
        <f t="shared" si="435"/>
        <v/>
      </c>
      <c r="CR398" s="44" t="str">
        <f t="shared" si="436"/>
        <v/>
      </c>
      <c r="CS398" s="44" t="str">
        <f t="shared" si="437"/>
        <v/>
      </c>
      <c r="CT398" s="44" t="str">
        <f t="shared" si="438"/>
        <v/>
      </c>
      <c r="CV398" s="44">
        <f t="shared" si="439"/>
        <v>0</v>
      </c>
    </row>
    <row r="399" spans="1:100" x14ac:dyDescent="0.25">
      <c r="A399" s="41"/>
      <c r="B399" s="42"/>
      <c r="C399" s="43" t="str" cm="1">
        <f t="array" ref="C399">IF(B399="","",INDEX(UWS!$B$10:$B$41,B399))</f>
        <v/>
      </c>
      <c r="D399" s="40" t="str">
        <f t="shared" si="396"/>
        <v/>
      </c>
      <c r="E399" s="69" t="str">
        <f t="shared" si="397"/>
        <v/>
      </c>
      <c r="F399" s="48" cm="1">
        <f t="array" ref="F399">0.1+IFERROR(INDEX($F$5:$F398,SUMPRODUCT(MAX(ROW($C$5:$C398)*($C399=$C$5:$C398))-ROW($A$4)))*0.9^($A399-INDEX($A$5:A398,SUMPRODUCT(MAX(ROW($C$5:$C398)*($C399=$C$5:$C398))-ROW($A$4)))),0)</f>
        <v>33.400000000000205</v>
      </c>
      <c r="G399" s="55" t="e">
        <f>INDEX(UWS!$AB$10:$AB$41,MATCH(C399,UWS!$B$10:$B$41,0))</f>
        <v>#N/A</v>
      </c>
      <c r="H399" s="48" t="e">
        <f>INDEX(UWS!$C$10:$C$41,MATCH(C399,UWS!$B$10:$B$41,0))</f>
        <v>#N/A</v>
      </c>
      <c r="I399" s="27">
        <f t="shared" si="398"/>
        <v>5</v>
      </c>
      <c r="J399" s="27" t="e">
        <f>INDEX(UWS!$E$10:$E$41,MATCH(C399,UWS!$B$10:$B$41,0))</f>
        <v>#N/A</v>
      </c>
      <c r="L399" s="108" t="str" cm="1">
        <f t="array" ref="L399">IF(K399="","",INDEX(UWS!$B$10:$B$41,K399))</f>
        <v/>
      </c>
      <c r="N399" s="108" t="str" cm="1">
        <f t="array" ref="N399">IF(M399="","",INDEX(UWS!$B$10:$B$41,M399))</f>
        <v/>
      </c>
      <c r="P399">
        <f>IFERROR(INDEX(UWS!$G$10:$Z$41,MATCH($C399,UWS!$B$10:$B$41,0),MATCH(P$4,UWS!$G$3:$Z$3,0)),0)</f>
        <v>0</v>
      </c>
      <c r="Q399">
        <f>IFERROR(INDEX(UWS!$G$10:$Z$41,MATCH($C399,UWS!$B$10:$B$41,0),MATCH(Q$4,UWS!$G$3:$Z$3,0)),0)</f>
        <v>0</v>
      </c>
      <c r="R399">
        <f>IFERROR(INDEX(UWS!$G$10:$Z$41,MATCH($C399,UWS!$B$10:$B$41,0),MATCH(R$4,UWS!$G$3:$Z$3,0)),0)</f>
        <v>0</v>
      </c>
      <c r="S399">
        <f>IFERROR(INDEX(UWS!$G$10:$Z$41,MATCH($C399,UWS!$B$10:$B$41,0),MATCH(S$4,UWS!$G$3:$Z$3,0)),0)</f>
        <v>0</v>
      </c>
      <c r="T399">
        <f>IFERROR(INDEX(UWS!$G$10:$Z$41,MATCH($C399,UWS!$B$10:$B$41,0),MATCH(T$4,UWS!$G$3:$Z$3,0)),0)</f>
        <v>0</v>
      </c>
      <c r="U399">
        <f>IFERROR(INDEX(UWS!$G$10:$Z$41,MATCH($C399,UWS!$B$10:$B$41,0),MATCH(U$4,UWS!$G$3:$Z$3,0)),0)</f>
        <v>0</v>
      </c>
      <c r="V399">
        <f>IFERROR(INDEX(UWS!$G$10:$Z$41,MATCH($C399,UWS!$B$10:$B$41,0),MATCH(V$4,UWS!$G$3:$Z$3,0)),0)</f>
        <v>0</v>
      </c>
      <c r="W399">
        <f>IFERROR(INDEX(UWS!$G$10:$Z$41,MATCH($C399,UWS!$B$10:$B$41,0),MATCH(W$4,UWS!$G$3:$Z$3,0)),0)</f>
        <v>0</v>
      </c>
      <c r="X399">
        <f>IFERROR(INDEX(UWS!$G$10:$Z$41,MATCH($C399,UWS!$B$10:$B$41,0),MATCH(X$4,UWS!$G$3:$Z$3,0)),0)</f>
        <v>0</v>
      </c>
      <c r="Y399">
        <f>IFERROR(INDEX(UWS!$G$10:$Z$41,MATCH($C399,UWS!$B$10:$B$41,0),MATCH(Y$4,UWS!$G$3:$Z$3,0)),0)</f>
        <v>0</v>
      </c>
      <c r="Z399">
        <f>IFERROR(INDEX(UWS!$G$10:$Z$41,MATCH($C399,UWS!$B$10:$B$41,0),MATCH(Z$4,UWS!$G$3:$Z$3,0)),0)</f>
        <v>0</v>
      </c>
      <c r="AA399">
        <f>IFERROR(INDEX(UWS!$G$10:$Z$41,MATCH($C399,UWS!$B$10:$B$41,0),MATCH(AA$4,UWS!$G$3:$Z$3,0)),0)</f>
        <v>0</v>
      </c>
      <c r="AB399">
        <f>IFERROR(INDEX(UWS!$G$10:$Z$41,MATCH($C399,UWS!$B$10:$B$41,0),MATCH(AB$4,UWS!$G$3:$Z$3,0)),0)</f>
        <v>0</v>
      </c>
      <c r="AC399">
        <f>IFERROR(INDEX(UWS!$G$10:$Z$41,MATCH($C399,UWS!$B$10:$B$41,0),MATCH(AC$4,UWS!$G$3:$Z$3,0)),0)</f>
        <v>0</v>
      </c>
      <c r="AD399">
        <f>IFERROR(INDEX(UWS!$G$10:$Z$41,MATCH($C399,UWS!$B$10:$B$41,0),MATCH(AD$4,UWS!$G$3:$Z$3,0)),0)</f>
        <v>0</v>
      </c>
      <c r="AE399">
        <f>IFERROR(INDEX(UWS!$G$10:$Z$41,MATCH($C399,UWS!$B$10:$B$41,0),MATCH(AE$4,UWS!$G$3:$Z$3,0)),0)</f>
        <v>0</v>
      </c>
      <c r="AF399">
        <f>IFERROR(INDEX(UWS!$G$10:$Z$41,MATCH($C399,UWS!$B$10:$B$41,0),MATCH(AF$4,UWS!$G$3:$Z$3,0)),0)</f>
        <v>0</v>
      </c>
      <c r="AG399">
        <f>IFERROR(INDEX(UWS!$G$10:$Z$41,MATCH($C399,UWS!$B$10:$B$41,0),MATCH(AG$4,UWS!$G$3:$Z$3,0)),0)</f>
        <v>0</v>
      </c>
      <c r="AH399">
        <f>IFERROR(INDEX(UWS!$G$10:$Z$41,MATCH($C399,UWS!$B$10:$B$41,0),MATCH(AH$4,UWS!$G$3:$Z$3,0)),0)</f>
        <v>0</v>
      </c>
      <c r="AI399">
        <f>IFERROR(INDEX(UWS!$G$10:$Z$41,MATCH($C399,UWS!$B$10:$B$41,0),MATCH(AI$4,UWS!$G$3:$Z$3,0)),0)</f>
        <v>0</v>
      </c>
      <c r="AK399" t="e">
        <f>IF(OR($J399=0,COUNTIFS($A$4:$A398,"&gt;="&amp;$A399-1,$A$4:$A398,"&lt;="&amp;$A399,$B$4:$B398,$B399)&gt;0,MIN(AK$1,IF($A399=$A398,AK398,1))-P399&lt;0),-1,MIN(1,IF($A399=$A398,AK398,1)-P399+$D$3))</f>
        <v>#N/A</v>
      </c>
      <c r="AL399" t="e">
        <f>IF(OR($J399=0,COUNTIFS($A$4:$A398,"&gt;="&amp;$A399-1,$A$4:$A398,"&lt;="&amp;$A399,$B$4:$B398,$B399)&gt;0,MIN(AL$1,IF($A399=$A398,AL398,1))-Q399&lt;0),-1,MIN(1,IF($A399=$A398,AL398,1)-Q399+$D$3))</f>
        <v>#N/A</v>
      </c>
      <c r="AM399" t="e">
        <f>IF(OR($J399=0,COUNTIFS($A$4:$A398,"&gt;="&amp;$A399-1,$A$4:$A398,"&lt;="&amp;$A399,$B$4:$B398,$B399)&gt;0,MIN(AM$1,IF($A399=$A398,AM398,1))-R399&lt;0),-1,MIN(1,IF($A399=$A398,AM398,1)-R399+$D$3))</f>
        <v>#N/A</v>
      </c>
      <c r="AN399" t="e">
        <f>IF(OR($J399=0,COUNTIFS($A$4:$A398,"&gt;="&amp;$A399-1,$A$4:$A398,"&lt;="&amp;$A399,$B$4:$B398,$B399)&gt;0,MIN(AN$1,IF($A399=$A398,AN398,1))-S399&lt;0),-1,MIN(1,IF($A399=$A398,AN398,1)-S399+$D$3))</f>
        <v>#N/A</v>
      </c>
      <c r="AO399" t="e">
        <f>IF(OR($J399=0,COUNTIFS($A$4:$A398,"&gt;="&amp;$A399-1,$A$4:$A398,"&lt;="&amp;$A399,$B$4:$B398,$B399)&gt;0,MIN(AO$1,IF($A399=$A398,AO398,1))-T399&lt;0),-1,MIN(1,IF($A399=$A398,AO398,1)-T399+$D$3))</f>
        <v>#N/A</v>
      </c>
      <c r="AP399" t="e">
        <f>IF(OR($J399=0,COUNTIFS($A$4:$A398,"&gt;="&amp;$A399-1,$A$4:$A398,"&lt;="&amp;$A399,$B$4:$B398,$B399)&gt;0,MIN(AP$1,IF($A399=$A398,AP398,1))-U399&lt;0),-1,MIN(1,IF($A399=$A398,AP398,1)-U399+$D$3))</f>
        <v>#N/A</v>
      </c>
      <c r="AQ399" t="e">
        <f>IF(OR($J399=0,COUNTIFS($A$4:$A398,"&gt;="&amp;$A399-1,$A$4:$A398,"&lt;="&amp;$A399,$B$4:$B398,$B399)&gt;0,MIN(AQ$1,IF($A399=$A398,AQ398,1))-V399&lt;0),-1,MIN(1,IF($A399=$A398,AQ398,1)-V399+$D$3))</f>
        <v>#N/A</v>
      </c>
      <c r="AR399" t="e">
        <f>IF(OR($J399=0,COUNTIFS($A$4:$A398,"&gt;="&amp;$A399-1,$A$4:$A398,"&lt;="&amp;$A399,$B$4:$B398,$B399)&gt;0,MIN(AR$1,IF($A399=$A398,AR398,1))-W399&lt;0),-1,MIN(1,IF($A399=$A398,AR398,1)-W399+$D$3))</f>
        <v>#N/A</v>
      </c>
      <c r="AS399" t="e">
        <f>IF(OR($J399=0,COUNTIFS($A$4:$A398,"&gt;="&amp;$A399-1,$A$4:$A398,"&lt;="&amp;$A399,$B$4:$B398,$B399)&gt;0,MIN(AS$1,IF($A399=$A398,AS398,1))-X399&lt;0),-1,MIN(1,IF($A399=$A398,AS398,1)-X399+$D$3))</f>
        <v>#N/A</v>
      </c>
      <c r="AT399" t="e">
        <f>IF(OR($J399=0,COUNTIFS($A$4:$A398,"&gt;="&amp;$A399-1,$A$4:$A398,"&lt;="&amp;$A399,$B$4:$B398,$B399)&gt;0,MIN(AT$1,IF($A399=$A398,AT398,1))-Y399&lt;0),-1,MIN(1,IF($A399=$A398,AT398,1)-Y399+$D$3))</f>
        <v>#N/A</v>
      </c>
      <c r="AU399" t="e">
        <f>IF(OR($J399=0,COUNTIFS($A$4:$A398,"&gt;="&amp;$A399-1,$A$4:$A398,"&lt;="&amp;$A399,$B$4:$B398,$B399)&gt;0,MIN(AU$1,IF($A399=$A398,AU398,1))-Z399&lt;0),-1,MIN(1,IF($A399=$A398,AU398,1)-Z399+$D$3))</f>
        <v>#N/A</v>
      </c>
      <c r="AV399" t="e">
        <f>IF(OR($J399=0,COUNTIFS($A$4:$A398,"&gt;="&amp;$A399-1,$A$4:$A398,"&lt;="&amp;$A399,$B$4:$B398,$B399)&gt;0,MIN(AV$1,IF($A399=$A398,AV398,1))-AA399&lt;0),-1,MIN(1,IF($A399=$A398,AV398,1)-AA399+$D$3))</f>
        <v>#N/A</v>
      </c>
      <c r="AW399" t="e">
        <f>IF(OR($J399=0,COUNTIFS($A$4:$A398,"&gt;="&amp;$A399-1,$A$4:$A398,"&lt;="&amp;$A399,$B$4:$B398,$B399)&gt;0,MIN(AW$1,IF($A399=$A398,AW398,1))-AB399&lt;0),-1,MIN(1,IF($A399=$A398,AW398,1)-AB399+$D$3))</f>
        <v>#N/A</v>
      </c>
      <c r="AX399" t="e">
        <f>IF(OR($J399=0,COUNTIFS($A$4:$A398,"&gt;="&amp;$A399-1,$A$4:$A398,"&lt;="&amp;$A399,$B$4:$B398,$B399)&gt;0,MIN(AX$1,IF($A399=$A398,AX398,1))-AC399&lt;0),-1,MIN(1,IF($A399=$A398,AX398,1)-AC399+$D$3))</f>
        <v>#N/A</v>
      </c>
      <c r="AY399" t="e">
        <f>IF(OR($J399=0,COUNTIFS($A$4:$A398,"&gt;="&amp;$A399-1,$A$4:$A398,"&lt;="&amp;$A399,$B$4:$B398,$B399)&gt;0,MIN(AY$1,IF($A399=$A398,AY398,1))-AD399&lt;0),-1,MIN(1,IF($A399=$A398,AY398,1)-AD399+$D$3))</f>
        <v>#N/A</v>
      </c>
      <c r="AZ399" t="e">
        <f>IF(OR($J399=0,COUNTIFS($A$4:$A398,"&gt;="&amp;$A399-1,$A$4:$A398,"&lt;="&amp;$A399,$B$4:$B398,$B399)&gt;0,MIN(AZ$1,IF($A399=$A398,AZ398,1))-AE399&lt;0),-1,MIN(1,IF($A399=$A398,AZ398,1)-AE399+$D$3))</f>
        <v>#N/A</v>
      </c>
      <c r="BA399" t="e">
        <f>IF(OR($J399=0,COUNTIFS($A$4:$A398,"&gt;="&amp;$A399-1,$A$4:$A398,"&lt;="&amp;$A399,$B$4:$B398,$B399)&gt;0,MIN(BA$1,IF($A399=$A398,BA398,1))-AF399&lt;0),-1,MIN(1,IF($A399=$A398,BA398,1)-AF399+$D$3))</f>
        <v>#N/A</v>
      </c>
      <c r="BB399" t="e">
        <f>IF(OR($J399=0,COUNTIFS($A$4:$A398,"&gt;="&amp;$A399-1,$A$4:$A398,"&lt;="&amp;$A399,$B$4:$B398,$B399)&gt;0,MIN(BB$1,IF($A399=$A398,BB398,1))-AG399&lt;0),-1,MIN(1,IF($A399=$A398,BB398,1)-AG399+$D$3))</f>
        <v>#N/A</v>
      </c>
      <c r="BC399" t="e">
        <f>IF(OR($J399=0,COUNTIFS($A$4:$A398,"&gt;="&amp;$A399-1,$A$4:$A398,"&lt;="&amp;$A399,$B$4:$B398,$B399)&gt;0,MIN(BC$1,IF($A399=$A398,BC398,1))-AH399&lt;0),-1,MIN(1,IF($A399=$A398,BC398,1)-AH399+$D$3))</f>
        <v>#N/A</v>
      </c>
      <c r="BD399" t="e">
        <f>IF(OR($J399=0,COUNTIFS($A$4:$A398,"&gt;="&amp;$A399-1,$A$4:$A398,"&lt;="&amp;$A399,$B$4:$B398,$B399)&gt;0,MIN(BD$1,IF($A399=$A398,BD398,1))-AI399&lt;0),-1,MIN(1,IF($A399=$A398,BD398,1)-AI399+$D$3))</f>
        <v>#N/A</v>
      </c>
      <c r="BF399" s="44">
        <f t="shared" si="399"/>
        <v>3.3661230121155462E-9</v>
      </c>
      <c r="BG399" s="44">
        <f t="shared" si="400"/>
        <v>8.2782463436297081E-9</v>
      </c>
      <c r="BH399" s="44">
        <f t="shared" si="401"/>
        <v>8.4843317159861867E-9</v>
      </c>
      <c r="BI399" s="44">
        <f t="shared" si="402"/>
        <v>7.8371669303066333E-9</v>
      </c>
      <c r="BJ399" s="44">
        <f t="shared" si="403"/>
        <v>8.100456051436517E-9</v>
      </c>
      <c r="BK399" s="44">
        <f t="shared" si="404"/>
        <v>3.4786378535013646E-9</v>
      </c>
      <c r="BL399" s="44">
        <f t="shared" si="405"/>
        <v>1.8792148957637501E-9</v>
      </c>
      <c r="BM399" s="44">
        <f t="shared" si="406"/>
        <v>4.7805032494363347E-9</v>
      </c>
      <c r="BN399" s="44">
        <f t="shared" si="407"/>
        <v>4.9720959497564976E-9</v>
      </c>
      <c r="BO399" s="44">
        <f t="shared" si="408"/>
        <v>2.330112831442373E-9</v>
      </c>
      <c r="BP399" s="44">
        <f t="shared" si="409"/>
        <v>7.8349524803487497E-9</v>
      </c>
      <c r="BQ399" s="44">
        <f t="shared" si="410"/>
        <v>2.1143293441644396E-9</v>
      </c>
      <c r="BR399" s="44">
        <f t="shared" si="411"/>
        <v>6.2462581546471633E-9</v>
      </c>
      <c r="BS399" s="44">
        <f t="shared" si="412"/>
        <v>3.3686899113580036E-9</v>
      </c>
      <c r="BT399" s="44">
        <f t="shared" si="413"/>
        <v>1.3330938740230264E-8</v>
      </c>
      <c r="BU399" s="44">
        <f t="shared" si="414"/>
        <v>1.2735057929703569E-8</v>
      </c>
      <c r="BV399" s="44">
        <f t="shared" si="415"/>
        <v>1.2230328305541294E-8</v>
      </c>
      <c r="BW399" s="44">
        <f t="shared" si="416"/>
        <v>7.9993077518934121E-9</v>
      </c>
      <c r="BX399" s="44">
        <f t="shared" si="417"/>
        <v>5.9097433056511306E-9</v>
      </c>
      <c r="BY399" s="44">
        <f t="shared" si="418"/>
        <v>5.0741938757676358E-9</v>
      </c>
      <c r="CA399" s="44" t="str">
        <f t="shared" si="419"/>
        <v/>
      </c>
      <c r="CB399" s="44" t="str">
        <f t="shared" si="420"/>
        <v/>
      </c>
      <c r="CC399" s="44" t="str">
        <f t="shared" si="421"/>
        <v/>
      </c>
      <c r="CD399" s="44" t="str">
        <f t="shared" si="422"/>
        <v/>
      </c>
      <c r="CE399" s="44" t="str">
        <f t="shared" si="423"/>
        <v/>
      </c>
      <c r="CF399" s="44" t="str">
        <f t="shared" si="424"/>
        <v/>
      </c>
      <c r="CG399" s="44" t="str">
        <f t="shared" si="425"/>
        <v/>
      </c>
      <c r="CH399" s="44" t="str">
        <f t="shared" si="426"/>
        <v/>
      </c>
      <c r="CI399" s="44" t="str">
        <f t="shared" si="427"/>
        <v/>
      </c>
      <c r="CJ399" s="44" t="str">
        <f t="shared" si="428"/>
        <v/>
      </c>
      <c r="CK399" s="44" t="str">
        <f t="shared" si="429"/>
        <v/>
      </c>
      <c r="CL399" s="44" t="str">
        <f t="shared" si="430"/>
        <v/>
      </c>
      <c r="CM399" s="44" t="str">
        <f t="shared" si="431"/>
        <v/>
      </c>
      <c r="CN399" s="44" t="str">
        <f t="shared" si="432"/>
        <v/>
      </c>
      <c r="CO399" s="44" t="str">
        <f t="shared" si="433"/>
        <v/>
      </c>
      <c r="CP399" s="44" t="str">
        <f t="shared" si="434"/>
        <v/>
      </c>
      <c r="CQ399" s="44" t="str">
        <f t="shared" si="435"/>
        <v/>
      </c>
      <c r="CR399" s="44" t="str">
        <f t="shared" si="436"/>
        <v/>
      </c>
      <c r="CS399" s="44" t="str">
        <f t="shared" si="437"/>
        <v/>
      </c>
      <c r="CT399" s="44" t="str">
        <f t="shared" si="438"/>
        <v/>
      </c>
      <c r="CV399" s="44">
        <f t="shared" si="439"/>
        <v>0</v>
      </c>
    </row>
    <row r="400" spans="1:100" x14ac:dyDescent="0.25">
      <c r="A400" s="49"/>
      <c r="B400" s="50"/>
      <c r="C400" s="51" t="str" cm="1">
        <f t="array" ref="C400">IF(B400="","",INDEX(UWS!$B$10:$B$41,B400))</f>
        <v/>
      </c>
      <c r="D400" s="45" t="str">
        <f t="shared" si="396"/>
        <v/>
      </c>
      <c r="E400" s="70" t="str">
        <f t="shared" si="397"/>
        <v/>
      </c>
      <c r="F400" s="52" cm="1">
        <f t="array" ref="F400">0.1+IFERROR(INDEX($F$5:$F399,SUMPRODUCT(MAX(ROW($C$5:$C399)*($C400=$C$5:$C399))-ROW($A$4)))*0.9^($A400-INDEX($A$5:A399,SUMPRODUCT(MAX(ROW($C$5:$C399)*($C400=$C$5:$C399))-ROW($A$4)))),0)</f>
        <v>33.500000000000206</v>
      </c>
      <c r="G400" s="56" t="e">
        <f>INDEX(UWS!$AB$10:$AB$41,MATCH(C400,UWS!$B$10:$B$41,0))</f>
        <v>#N/A</v>
      </c>
      <c r="H400" s="52" t="e">
        <f>INDEX(UWS!$C$10:$C$41,MATCH(C400,UWS!$B$10:$B$41,0))</f>
        <v>#N/A</v>
      </c>
      <c r="I400" s="46">
        <f t="shared" si="398"/>
        <v>5</v>
      </c>
      <c r="J400" s="46" t="e">
        <f>INDEX(UWS!$E$10:$E$41,MATCH(C400,UWS!$B$10:$B$41,0))</f>
        <v>#N/A</v>
      </c>
      <c r="K400" s="46"/>
      <c r="L400" s="109" t="str" cm="1">
        <f t="array" ref="L400">IF(K400="","",INDEX(UWS!$B$10:$B$41,K400))</f>
        <v/>
      </c>
      <c r="M400" s="46"/>
      <c r="N400" s="109" t="str" cm="1">
        <f t="array" ref="N400">IF(M400="","",INDEX(UWS!$B$10:$B$41,M400))</f>
        <v/>
      </c>
      <c r="O400" s="47"/>
      <c r="P400" s="47">
        <f>IFERROR(INDEX(UWS!$G$10:$Z$41,MATCH($C400,UWS!$B$10:$B$41,0),MATCH(P$4,UWS!$G$3:$Z$3,0)),0)</f>
        <v>0</v>
      </c>
      <c r="Q400" s="47">
        <f>IFERROR(INDEX(UWS!$G$10:$Z$41,MATCH($C400,UWS!$B$10:$B$41,0),MATCH(Q$4,UWS!$G$3:$Z$3,0)),0)</f>
        <v>0</v>
      </c>
      <c r="R400" s="47">
        <f>IFERROR(INDEX(UWS!$G$10:$Z$41,MATCH($C400,UWS!$B$10:$B$41,0),MATCH(R$4,UWS!$G$3:$Z$3,0)),0)</f>
        <v>0</v>
      </c>
      <c r="S400" s="47">
        <f>IFERROR(INDEX(UWS!$G$10:$Z$41,MATCH($C400,UWS!$B$10:$B$41,0),MATCH(S$4,UWS!$G$3:$Z$3,0)),0)</f>
        <v>0</v>
      </c>
      <c r="T400" s="47">
        <f>IFERROR(INDEX(UWS!$G$10:$Z$41,MATCH($C400,UWS!$B$10:$B$41,0),MATCH(T$4,UWS!$G$3:$Z$3,0)),0)</f>
        <v>0</v>
      </c>
      <c r="U400" s="47">
        <f>IFERROR(INDEX(UWS!$G$10:$Z$41,MATCH($C400,UWS!$B$10:$B$41,0),MATCH(U$4,UWS!$G$3:$Z$3,0)),0)</f>
        <v>0</v>
      </c>
      <c r="V400" s="47">
        <f>IFERROR(INDEX(UWS!$G$10:$Z$41,MATCH($C400,UWS!$B$10:$B$41,0),MATCH(V$4,UWS!$G$3:$Z$3,0)),0)</f>
        <v>0</v>
      </c>
      <c r="W400" s="47">
        <f>IFERROR(INDEX(UWS!$G$10:$Z$41,MATCH($C400,UWS!$B$10:$B$41,0),MATCH(W$4,UWS!$G$3:$Z$3,0)),0)</f>
        <v>0</v>
      </c>
      <c r="X400" s="47">
        <f>IFERROR(INDEX(UWS!$G$10:$Z$41,MATCH($C400,UWS!$B$10:$B$41,0),MATCH(X$4,UWS!$G$3:$Z$3,0)),0)</f>
        <v>0</v>
      </c>
      <c r="Y400" s="47">
        <f>IFERROR(INDEX(UWS!$G$10:$Z$41,MATCH($C400,UWS!$B$10:$B$41,0),MATCH(Y$4,UWS!$G$3:$Z$3,0)),0)</f>
        <v>0</v>
      </c>
      <c r="Z400" s="47">
        <f>IFERROR(INDEX(UWS!$G$10:$Z$41,MATCH($C400,UWS!$B$10:$B$41,0),MATCH(Z$4,UWS!$G$3:$Z$3,0)),0)</f>
        <v>0</v>
      </c>
      <c r="AA400" s="47">
        <f>IFERROR(INDEX(UWS!$G$10:$Z$41,MATCH($C400,UWS!$B$10:$B$41,0),MATCH(AA$4,UWS!$G$3:$Z$3,0)),0)</f>
        <v>0</v>
      </c>
      <c r="AB400" s="47">
        <f>IFERROR(INDEX(UWS!$G$10:$Z$41,MATCH($C400,UWS!$B$10:$B$41,0),MATCH(AB$4,UWS!$G$3:$Z$3,0)),0)</f>
        <v>0</v>
      </c>
      <c r="AC400" s="47">
        <f>IFERROR(INDEX(UWS!$G$10:$Z$41,MATCH($C400,UWS!$B$10:$B$41,0),MATCH(AC$4,UWS!$G$3:$Z$3,0)),0)</f>
        <v>0</v>
      </c>
      <c r="AD400" s="47">
        <f>IFERROR(INDEX(UWS!$G$10:$Z$41,MATCH($C400,UWS!$B$10:$B$41,0),MATCH(AD$4,UWS!$G$3:$Z$3,0)),0)</f>
        <v>0</v>
      </c>
      <c r="AE400" s="47">
        <f>IFERROR(INDEX(UWS!$G$10:$Z$41,MATCH($C400,UWS!$B$10:$B$41,0),MATCH(AE$4,UWS!$G$3:$Z$3,0)),0)</f>
        <v>0</v>
      </c>
      <c r="AF400" s="47">
        <f>IFERROR(INDEX(UWS!$G$10:$Z$41,MATCH($C400,UWS!$B$10:$B$41,0),MATCH(AF$4,UWS!$G$3:$Z$3,0)),0)</f>
        <v>0</v>
      </c>
      <c r="AG400" s="47">
        <f>IFERROR(INDEX(UWS!$G$10:$Z$41,MATCH($C400,UWS!$B$10:$B$41,0),MATCH(AG$4,UWS!$G$3:$Z$3,0)),0)</f>
        <v>0</v>
      </c>
      <c r="AH400" s="47">
        <f>IFERROR(INDEX(UWS!$G$10:$Z$41,MATCH($C400,UWS!$B$10:$B$41,0),MATCH(AH$4,UWS!$G$3:$Z$3,0)),0)</f>
        <v>0</v>
      </c>
      <c r="AI400" s="47">
        <f>IFERROR(INDEX(UWS!$G$10:$Z$41,MATCH($C400,UWS!$B$10:$B$41,0),MATCH(AI$4,UWS!$G$3:$Z$3,0)),0)</f>
        <v>0</v>
      </c>
      <c r="AJ400" s="47"/>
      <c r="AK400" s="47" t="e">
        <f>IF(OR($J400=0,COUNTIFS($A$4:$A399,"&gt;="&amp;$A400-1,$A$4:$A399,"&lt;="&amp;$A400,$B$4:$B399,$B400)&gt;0,MIN(AK$1,IF($A400=$A399,AK399,1))-P400&lt;0),-1,MIN(1,IF($A400=$A399,AK399,1)-P400+$D$3))</f>
        <v>#N/A</v>
      </c>
      <c r="AL400" s="47" t="e">
        <f>IF(OR($J400=0,COUNTIFS($A$4:$A399,"&gt;="&amp;$A400-1,$A$4:$A399,"&lt;="&amp;$A400,$B$4:$B399,$B400)&gt;0,MIN(AL$1,IF($A400=$A399,AL399,1))-Q400&lt;0),-1,MIN(1,IF($A400=$A399,AL399,1)-Q400+$D$3))</f>
        <v>#N/A</v>
      </c>
      <c r="AM400" s="47" t="e">
        <f>IF(OR($J400=0,COUNTIFS($A$4:$A399,"&gt;="&amp;$A400-1,$A$4:$A399,"&lt;="&amp;$A400,$B$4:$B399,$B400)&gt;0,MIN(AM$1,IF($A400=$A399,AM399,1))-R400&lt;0),-1,MIN(1,IF($A400=$A399,AM399,1)-R400+$D$3))</f>
        <v>#N/A</v>
      </c>
      <c r="AN400" s="47" t="e">
        <f>IF(OR($J400=0,COUNTIFS($A$4:$A399,"&gt;="&amp;$A400-1,$A$4:$A399,"&lt;="&amp;$A400,$B$4:$B399,$B400)&gt;0,MIN(AN$1,IF($A400=$A399,AN399,1))-S400&lt;0),-1,MIN(1,IF($A400=$A399,AN399,1)-S400+$D$3))</f>
        <v>#N/A</v>
      </c>
      <c r="AO400" s="47" t="e">
        <f>IF(OR($J400=0,COUNTIFS($A$4:$A399,"&gt;="&amp;$A400-1,$A$4:$A399,"&lt;="&amp;$A400,$B$4:$B399,$B400)&gt;0,MIN(AO$1,IF($A400=$A399,AO399,1))-T400&lt;0),-1,MIN(1,IF($A400=$A399,AO399,1)-T400+$D$3))</f>
        <v>#N/A</v>
      </c>
      <c r="AP400" s="47" t="e">
        <f>IF(OR($J400=0,COUNTIFS($A$4:$A399,"&gt;="&amp;$A400-1,$A$4:$A399,"&lt;="&amp;$A400,$B$4:$B399,$B400)&gt;0,MIN(AP$1,IF($A400=$A399,AP399,1))-U400&lt;0),-1,MIN(1,IF($A400=$A399,AP399,1)-U400+$D$3))</f>
        <v>#N/A</v>
      </c>
      <c r="AQ400" s="47" t="e">
        <f>IF(OR($J400=0,COUNTIFS($A$4:$A399,"&gt;="&amp;$A400-1,$A$4:$A399,"&lt;="&amp;$A400,$B$4:$B399,$B400)&gt;0,MIN(AQ$1,IF($A400=$A399,AQ399,1))-V400&lt;0),-1,MIN(1,IF($A400=$A399,AQ399,1)-V400+$D$3))</f>
        <v>#N/A</v>
      </c>
      <c r="AR400" s="47" t="e">
        <f>IF(OR($J400=0,COUNTIFS($A$4:$A399,"&gt;="&amp;$A400-1,$A$4:$A399,"&lt;="&amp;$A400,$B$4:$B399,$B400)&gt;0,MIN(AR$1,IF($A400=$A399,AR399,1))-W400&lt;0),-1,MIN(1,IF($A400=$A399,AR399,1)-W400+$D$3))</f>
        <v>#N/A</v>
      </c>
      <c r="AS400" s="47" t="e">
        <f>IF(OR($J400=0,COUNTIFS($A$4:$A399,"&gt;="&amp;$A400-1,$A$4:$A399,"&lt;="&amp;$A400,$B$4:$B399,$B400)&gt;0,MIN(AS$1,IF($A400=$A399,AS399,1))-X400&lt;0),-1,MIN(1,IF($A400=$A399,AS399,1)-X400+$D$3))</f>
        <v>#N/A</v>
      </c>
      <c r="AT400" s="47" t="e">
        <f>IF(OR($J400=0,COUNTIFS($A$4:$A399,"&gt;="&amp;$A400-1,$A$4:$A399,"&lt;="&amp;$A400,$B$4:$B399,$B400)&gt;0,MIN(AT$1,IF($A400=$A399,AT399,1))-Y400&lt;0),-1,MIN(1,IF($A400=$A399,AT399,1)-Y400+$D$3))</f>
        <v>#N/A</v>
      </c>
      <c r="AU400" s="47" t="e">
        <f>IF(OR($J400=0,COUNTIFS($A$4:$A399,"&gt;="&amp;$A400-1,$A$4:$A399,"&lt;="&amp;$A400,$B$4:$B399,$B400)&gt;0,MIN(AU$1,IF($A400=$A399,AU399,1))-Z400&lt;0),-1,MIN(1,IF($A400=$A399,AU399,1)-Z400+$D$3))</f>
        <v>#N/A</v>
      </c>
      <c r="AV400" s="47" t="e">
        <f>IF(OR($J400=0,COUNTIFS($A$4:$A399,"&gt;="&amp;$A400-1,$A$4:$A399,"&lt;="&amp;$A400,$B$4:$B399,$B400)&gt;0,MIN(AV$1,IF($A400=$A399,AV399,1))-AA400&lt;0),-1,MIN(1,IF($A400=$A399,AV399,1)-AA400+$D$3))</f>
        <v>#N/A</v>
      </c>
      <c r="AW400" s="47" t="e">
        <f>IF(OR($J400=0,COUNTIFS($A$4:$A399,"&gt;="&amp;$A400-1,$A$4:$A399,"&lt;="&amp;$A400,$B$4:$B399,$B400)&gt;0,MIN(AW$1,IF($A400=$A399,AW399,1))-AB400&lt;0),-1,MIN(1,IF($A400=$A399,AW399,1)-AB400+$D$3))</f>
        <v>#N/A</v>
      </c>
      <c r="AX400" s="47" t="e">
        <f>IF(OR($J400=0,COUNTIFS($A$4:$A399,"&gt;="&amp;$A400-1,$A$4:$A399,"&lt;="&amp;$A400,$B$4:$B399,$B400)&gt;0,MIN(AX$1,IF($A400=$A399,AX399,1))-AC400&lt;0),-1,MIN(1,IF($A400=$A399,AX399,1)-AC400+$D$3))</f>
        <v>#N/A</v>
      </c>
      <c r="AY400" s="47" t="e">
        <f>IF(OR($J400=0,COUNTIFS($A$4:$A399,"&gt;="&amp;$A400-1,$A$4:$A399,"&lt;="&amp;$A400,$B$4:$B399,$B400)&gt;0,MIN(AY$1,IF($A400=$A399,AY399,1))-AD400&lt;0),-1,MIN(1,IF($A400=$A399,AY399,1)-AD400+$D$3))</f>
        <v>#N/A</v>
      </c>
      <c r="AZ400" s="47" t="e">
        <f>IF(OR($J400=0,COUNTIFS($A$4:$A399,"&gt;="&amp;$A400-1,$A$4:$A399,"&lt;="&amp;$A400,$B$4:$B399,$B400)&gt;0,MIN(AZ$1,IF($A400=$A399,AZ399,1))-AE400&lt;0),-1,MIN(1,IF($A400=$A399,AZ399,1)-AE400+$D$3))</f>
        <v>#N/A</v>
      </c>
      <c r="BA400" s="47" t="e">
        <f>IF(OR($J400=0,COUNTIFS($A$4:$A399,"&gt;="&amp;$A400-1,$A$4:$A399,"&lt;="&amp;$A400,$B$4:$B399,$B400)&gt;0,MIN(BA$1,IF($A400=$A399,BA399,1))-AF400&lt;0),-1,MIN(1,IF($A400=$A399,BA399,1)-AF400+$D$3))</f>
        <v>#N/A</v>
      </c>
      <c r="BB400" s="47" t="e">
        <f>IF(OR($J400=0,COUNTIFS($A$4:$A399,"&gt;="&amp;$A400-1,$A$4:$A399,"&lt;="&amp;$A400,$B$4:$B399,$B400)&gt;0,MIN(BB$1,IF($A400=$A399,BB399,1))-AG400&lt;0),-1,MIN(1,IF($A400=$A399,BB399,1)-AG400+$D$3))</f>
        <v>#N/A</v>
      </c>
      <c r="BC400" s="47" t="e">
        <f>IF(OR($J400=0,COUNTIFS($A$4:$A399,"&gt;="&amp;$A400-1,$A$4:$A399,"&lt;="&amp;$A400,$B$4:$B399,$B400)&gt;0,MIN(BC$1,IF($A400=$A399,BC399,1))-AH400&lt;0),-1,MIN(1,IF($A400=$A399,BC399,1)-AH400+$D$3))</f>
        <v>#N/A</v>
      </c>
      <c r="BD400" s="47" t="e">
        <f>IF(OR($J400=0,COUNTIFS($A$4:$A399,"&gt;="&amp;$A400-1,$A$4:$A399,"&lt;="&amp;$A400,$B$4:$B399,$B400)&gt;0,MIN(BD$1,IF($A400=$A399,BD399,1))-AI400&lt;0),-1,MIN(1,IF($A400=$A399,BD399,1)-AI400+$D$3))</f>
        <v>#N/A</v>
      </c>
      <c r="BE400" s="47"/>
      <c r="BF400" s="53">
        <f t="shared" si="399"/>
        <v>3.1978168615097689E-9</v>
      </c>
      <c r="BG400" s="53">
        <f t="shared" si="400"/>
        <v>7.8643340264482224E-9</v>
      </c>
      <c r="BH400" s="53">
        <f t="shared" si="401"/>
        <v>8.0601151301868772E-9</v>
      </c>
      <c r="BI400" s="53">
        <f t="shared" si="402"/>
        <v>7.4453085837913014E-9</v>
      </c>
      <c r="BJ400" s="53">
        <f t="shared" si="403"/>
        <v>7.69543324886469E-9</v>
      </c>
      <c r="BK400" s="53">
        <f t="shared" si="404"/>
        <v>3.304705960826296E-9</v>
      </c>
      <c r="BL400" s="53">
        <f t="shared" si="405"/>
        <v>1.7852541509755624E-9</v>
      </c>
      <c r="BM400" s="53">
        <f t="shared" si="406"/>
        <v>4.5414780869645179E-9</v>
      </c>
      <c r="BN400" s="53">
        <f t="shared" si="407"/>
        <v>4.7234911522686724E-9</v>
      </c>
      <c r="BO400" s="53">
        <f t="shared" si="408"/>
        <v>2.2136071898702541E-9</v>
      </c>
      <c r="BP400" s="53">
        <f t="shared" si="409"/>
        <v>7.4432048563313115E-9</v>
      </c>
      <c r="BQ400" s="53">
        <f t="shared" si="410"/>
        <v>2.0086128769562175E-9</v>
      </c>
      <c r="BR400" s="53">
        <f t="shared" si="411"/>
        <v>5.9339452469148052E-9</v>
      </c>
      <c r="BS400" s="53">
        <f t="shared" si="412"/>
        <v>3.2002554157901033E-9</v>
      </c>
      <c r="BT400" s="53">
        <f t="shared" si="413"/>
        <v>1.2664391803218751E-8</v>
      </c>
      <c r="BU400" s="53">
        <f t="shared" si="414"/>
        <v>1.209830503321839E-8</v>
      </c>
      <c r="BV400" s="53">
        <f t="shared" si="415"/>
        <v>1.1618811890264229E-8</v>
      </c>
      <c r="BW400" s="53">
        <f t="shared" si="416"/>
        <v>7.5993423642987415E-9</v>
      </c>
      <c r="BX400" s="53">
        <f t="shared" si="417"/>
        <v>5.6142561403685741E-9</v>
      </c>
      <c r="BY400" s="53">
        <f t="shared" si="418"/>
        <v>4.8204841819792541E-9</v>
      </c>
      <c r="BZ400" s="47"/>
      <c r="CA400" s="53" t="str">
        <f t="shared" si="419"/>
        <v/>
      </c>
      <c r="CB400" s="53" t="str">
        <f t="shared" si="420"/>
        <v/>
      </c>
      <c r="CC400" s="53" t="str">
        <f t="shared" si="421"/>
        <v/>
      </c>
      <c r="CD400" s="53" t="str">
        <f t="shared" si="422"/>
        <v/>
      </c>
      <c r="CE400" s="53" t="str">
        <f t="shared" si="423"/>
        <v/>
      </c>
      <c r="CF400" s="53" t="str">
        <f t="shared" si="424"/>
        <v/>
      </c>
      <c r="CG400" s="53" t="str">
        <f t="shared" si="425"/>
        <v/>
      </c>
      <c r="CH400" s="53" t="str">
        <f t="shared" si="426"/>
        <v/>
      </c>
      <c r="CI400" s="53" t="str">
        <f t="shared" si="427"/>
        <v/>
      </c>
      <c r="CJ400" s="53" t="str">
        <f t="shared" si="428"/>
        <v/>
      </c>
      <c r="CK400" s="53" t="str">
        <f t="shared" si="429"/>
        <v/>
      </c>
      <c r="CL400" s="53" t="str">
        <f t="shared" si="430"/>
        <v/>
      </c>
      <c r="CM400" s="53" t="str">
        <f t="shared" si="431"/>
        <v/>
      </c>
      <c r="CN400" s="53" t="str">
        <f t="shared" si="432"/>
        <v/>
      </c>
      <c r="CO400" s="53" t="str">
        <f t="shared" si="433"/>
        <v/>
      </c>
      <c r="CP400" s="53" t="str">
        <f t="shared" si="434"/>
        <v/>
      </c>
      <c r="CQ400" s="53" t="str">
        <f t="shared" si="435"/>
        <v/>
      </c>
      <c r="CR400" s="53" t="str">
        <f t="shared" si="436"/>
        <v/>
      </c>
      <c r="CS400" s="53" t="str">
        <f t="shared" si="437"/>
        <v/>
      </c>
      <c r="CT400" s="53" t="str">
        <f t="shared" si="438"/>
        <v/>
      </c>
      <c r="CU400" s="47"/>
      <c r="CV400" s="53">
        <f t="shared" si="439"/>
        <v>0</v>
      </c>
    </row>
    <row r="401" spans="1:100" x14ac:dyDescent="0.25">
      <c r="A401" s="41"/>
      <c r="B401" s="42"/>
      <c r="C401" s="43" t="str" cm="1">
        <f t="array" ref="C401">IF(B401="","",INDEX(UWS!$B$10:$B$41,B401))</f>
        <v/>
      </c>
      <c r="D401" s="40" t="str">
        <f t="shared" si="396"/>
        <v/>
      </c>
      <c r="E401" s="69" t="str">
        <f t="shared" si="397"/>
        <v/>
      </c>
      <c r="F401" s="48" cm="1">
        <f t="array" ref="F401">0.1+IFERROR(INDEX($F$5:$F400,SUMPRODUCT(MAX(ROW($C$5:$C400)*($C401=$C$5:$C400))-ROW($A$4)))*0.9^($A401-INDEX($A$5:A400,SUMPRODUCT(MAX(ROW($C$5:$C400)*($C401=$C$5:$C400))-ROW($A$4)))),0)</f>
        <v>33.600000000000207</v>
      </c>
      <c r="G401" s="55" t="e">
        <f>INDEX(UWS!$AB$10:$AB$41,MATCH(C401,UWS!$B$10:$B$41,0))</f>
        <v>#N/A</v>
      </c>
      <c r="H401" s="48" t="e">
        <f>INDEX(UWS!$C$10:$C$41,MATCH(C401,UWS!$B$10:$B$41,0))</f>
        <v>#N/A</v>
      </c>
      <c r="I401" s="82">
        <f t="shared" si="398"/>
        <v>5</v>
      </c>
      <c r="J401" s="27" t="e">
        <f>INDEX(UWS!$E$10:$E$41,MATCH(C401,UWS!$B$10:$B$41,0))</f>
        <v>#N/A</v>
      </c>
      <c r="L401" s="108" t="str" cm="1">
        <f t="array" ref="L401">IF(K401="","",INDEX(UWS!$B$10:$B$41,K401))</f>
        <v/>
      </c>
      <c r="N401" s="108" t="str" cm="1">
        <f t="array" ref="N401">IF(M401="","",INDEX(UWS!$B$10:$B$41,M401))</f>
        <v/>
      </c>
      <c r="P401">
        <f>IFERROR(INDEX(UWS!$G$10:$Z$41,MATCH($C401,UWS!$B$10:$B$41,0),MATCH(P$4,UWS!$G$3:$Z$3,0)),0)</f>
        <v>0</v>
      </c>
      <c r="Q401">
        <f>IFERROR(INDEX(UWS!$G$10:$Z$41,MATCH($C401,UWS!$B$10:$B$41,0),MATCH(Q$4,UWS!$G$3:$Z$3,0)),0)</f>
        <v>0</v>
      </c>
      <c r="R401">
        <f>IFERROR(INDEX(UWS!$G$10:$Z$41,MATCH($C401,UWS!$B$10:$B$41,0),MATCH(R$4,UWS!$G$3:$Z$3,0)),0)</f>
        <v>0</v>
      </c>
      <c r="S401">
        <f>IFERROR(INDEX(UWS!$G$10:$Z$41,MATCH($C401,UWS!$B$10:$B$41,0),MATCH(S$4,UWS!$G$3:$Z$3,0)),0)</f>
        <v>0</v>
      </c>
      <c r="T401">
        <f>IFERROR(INDEX(UWS!$G$10:$Z$41,MATCH($C401,UWS!$B$10:$B$41,0),MATCH(T$4,UWS!$G$3:$Z$3,0)),0)</f>
        <v>0</v>
      </c>
      <c r="U401">
        <f>IFERROR(INDEX(UWS!$G$10:$Z$41,MATCH($C401,UWS!$B$10:$B$41,0),MATCH(U$4,UWS!$G$3:$Z$3,0)),0)</f>
        <v>0</v>
      </c>
      <c r="V401">
        <f>IFERROR(INDEX(UWS!$G$10:$Z$41,MATCH($C401,UWS!$B$10:$B$41,0),MATCH(V$4,UWS!$G$3:$Z$3,0)),0)</f>
        <v>0</v>
      </c>
      <c r="W401">
        <f>IFERROR(INDEX(UWS!$G$10:$Z$41,MATCH($C401,UWS!$B$10:$B$41,0),MATCH(W$4,UWS!$G$3:$Z$3,0)),0)</f>
        <v>0</v>
      </c>
      <c r="X401">
        <f>IFERROR(INDEX(UWS!$G$10:$Z$41,MATCH($C401,UWS!$B$10:$B$41,0),MATCH(X$4,UWS!$G$3:$Z$3,0)),0)</f>
        <v>0</v>
      </c>
      <c r="Y401">
        <f>IFERROR(INDEX(UWS!$G$10:$Z$41,MATCH($C401,UWS!$B$10:$B$41,0),MATCH(Y$4,UWS!$G$3:$Z$3,0)),0)</f>
        <v>0</v>
      </c>
      <c r="Z401">
        <f>IFERROR(INDEX(UWS!$G$10:$Z$41,MATCH($C401,UWS!$B$10:$B$41,0),MATCH(Z$4,UWS!$G$3:$Z$3,0)),0)</f>
        <v>0</v>
      </c>
      <c r="AA401">
        <f>IFERROR(INDEX(UWS!$G$10:$Z$41,MATCH($C401,UWS!$B$10:$B$41,0),MATCH(AA$4,UWS!$G$3:$Z$3,0)),0)</f>
        <v>0</v>
      </c>
      <c r="AB401">
        <f>IFERROR(INDEX(UWS!$G$10:$Z$41,MATCH($C401,UWS!$B$10:$B$41,0),MATCH(AB$4,UWS!$G$3:$Z$3,0)),0)</f>
        <v>0</v>
      </c>
      <c r="AC401">
        <f>IFERROR(INDEX(UWS!$G$10:$Z$41,MATCH($C401,UWS!$B$10:$B$41,0),MATCH(AC$4,UWS!$G$3:$Z$3,0)),0)</f>
        <v>0</v>
      </c>
      <c r="AD401">
        <f>IFERROR(INDEX(UWS!$G$10:$Z$41,MATCH($C401,UWS!$B$10:$B$41,0),MATCH(AD$4,UWS!$G$3:$Z$3,0)),0)</f>
        <v>0</v>
      </c>
      <c r="AE401">
        <f>IFERROR(INDEX(UWS!$G$10:$Z$41,MATCH($C401,UWS!$B$10:$B$41,0),MATCH(AE$4,UWS!$G$3:$Z$3,0)),0)</f>
        <v>0</v>
      </c>
      <c r="AF401">
        <f>IFERROR(INDEX(UWS!$G$10:$Z$41,MATCH($C401,UWS!$B$10:$B$41,0),MATCH(AF$4,UWS!$G$3:$Z$3,0)),0)</f>
        <v>0</v>
      </c>
      <c r="AG401">
        <f>IFERROR(INDEX(UWS!$G$10:$Z$41,MATCH($C401,UWS!$B$10:$B$41,0),MATCH(AG$4,UWS!$G$3:$Z$3,0)),0)</f>
        <v>0</v>
      </c>
      <c r="AH401">
        <f>IFERROR(INDEX(UWS!$G$10:$Z$41,MATCH($C401,UWS!$B$10:$B$41,0),MATCH(AH$4,UWS!$G$3:$Z$3,0)),0)</f>
        <v>0</v>
      </c>
      <c r="AI401">
        <f>IFERROR(INDEX(UWS!$G$10:$Z$41,MATCH($C401,UWS!$B$10:$B$41,0),MATCH(AI$4,UWS!$G$3:$Z$3,0)),0)</f>
        <v>0</v>
      </c>
      <c r="AK401" t="e">
        <f>IF(OR($J401=0,COUNTIFS($A$4:$A400,"&gt;="&amp;$A401-1,$A$4:$A400,"&lt;="&amp;$A401,$B$4:$B400,$B401)&gt;0,MIN(AK$1,IF($A401=$A400,AK400,1))-P401&lt;0),-1,MIN(1,IF($A401=$A400,AK400,1)-P401+$D$3))</f>
        <v>#N/A</v>
      </c>
      <c r="AL401" t="e">
        <f>IF(OR($J401=0,COUNTIFS($A$4:$A400,"&gt;="&amp;$A401-1,$A$4:$A400,"&lt;="&amp;$A401,$B$4:$B400,$B401)&gt;0,MIN(AL$1,IF($A401=$A400,AL400,1))-Q401&lt;0),-1,MIN(1,IF($A401=$A400,AL400,1)-Q401+$D$3))</f>
        <v>#N/A</v>
      </c>
      <c r="AM401" t="e">
        <f>IF(OR($J401=0,COUNTIFS($A$4:$A400,"&gt;="&amp;$A401-1,$A$4:$A400,"&lt;="&amp;$A401,$B$4:$B400,$B401)&gt;0,MIN(AM$1,IF($A401=$A400,AM400,1))-R401&lt;0),-1,MIN(1,IF($A401=$A400,AM400,1)-R401+$D$3))</f>
        <v>#N/A</v>
      </c>
      <c r="AN401" t="e">
        <f>IF(OR($J401=0,COUNTIFS($A$4:$A400,"&gt;="&amp;$A401-1,$A$4:$A400,"&lt;="&amp;$A401,$B$4:$B400,$B401)&gt;0,MIN(AN$1,IF($A401=$A400,AN400,1))-S401&lt;0),-1,MIN(1,IF($A401=$A400,AN400,1)-S401+$D$3))</f>
        <v>#N/A</v>
      </c>
      <c r="AO401" t="e">
        <f>IF(OR($J401=0,COUNTIFS($A$4:$A400,"&gt;="&amp;$A401-1,$A$4:$A400,"&lt;="&amp;$A401,$B$4:$B400,$B401)&gt;0,MIN(AO$1,IF($A401=$A400,AO400,1))-T401&lt;0),-1,MIN(1,IF($A401=$A400,AO400,1)-T401+$D$3))</f>
        <v>#N/A</v>
      </c>
      <c r="AP401" t="e">
        <f>IF(OR($J401=0,COUNTIFS($A$4:$A400,"&gt;="&amp;$A401-1,$A$4:$A400,"&lt;="&amp;$A401,$B$4:$B400,$B401)&gt;0,MIN(AP$1,IF($A401=$A400,AP400,1))-U401&lt;0),-1,MIN(1,IF($A401=$A400,AP400,1)-U401+$D$3))</f>
        <v>#N/A</v>
      </c>
      <c r="AQ401" t="e">
        <f>IF(OR($J401=0,COUNTIFS($A$4:$A400,"&gt;="&amp;$A401-1,$A$4:$A400,"&lt;="&amp;$A401,$B$4:$B400,$B401)&gt;0,MIN(AQ$1,IF($A401=$A400,AQ400,1))-V401&lt;0),-1,MIN(1,IF($A401=$A400,AQ400,1)-V401+$D$3))</f>
        <v>#N/A</v>
      </c>
      <c r="AR401" t="e">
        <f>IF(OR($J401=0,COUNTIFS($A$4:$A400,"&gt;="&amp;$A401-1,$A$4:$A400,"&lt;="&amp;$A401,$B$4:$B400,$B401)&gt;0,MIN(AR$1,IF($A401=$A400,AR400,1))-W401&lt;0),-1,MIN(1,IF($A401=$A400,AR400,1)-W401+$D$3))</f>
        <v>#N/A</v>
      </c>
      <c r="AS401" t="e">
        <f>IF(OR($J401=0,COUNTIFS($A$4:$A400,"&gt;="&amp;$A401-1,$A$4:$A400,"&lt;="&amp;$A401,$B$4:$B400,$B401)&gt;0,MIN(AS$1,IF($A401=$A400,AS400,1))-X401&lt;0),-1,MIN(1,IF($A401=$A400,AS400,1)-X401+$D$3))</f>
        <v>#N/A</v>
      </c>
      <c r="AT401" t="e">
        <f>IF(OR($J401=0,COUNTIFS($A$4:$A400,"&gt;="&amp;$A401-1,$A$4:$A400,"&lt;="&amp;$A401,$B$4:$B400,$B401)&gt;0,MIN(AT$1,IF($A401=$A400,AT400,1))-Y401&lt;0),-1,MIN(1,IF($A401=$A400,AT400,1)-Y401+$D$3))</f>
        <v>#N/A</v>
      </c>
      <c r="AU401" t="e">
        <f>IF(OR($J401=0,COUNTIFS($A$4:$A400,"&gt;="&amp;$A401-1,$A$4:$A400,"&lt;="&amp;$A401,$B$4:$B400,$B401)&gt;0,MIN(AU$1,IF($A401=$A400,AU400,1))-Z401&lt;0),-1,MIN(1,IF($A401=$A400,AU400,1)-Z401+$D$3))</f>
        <v>#N/A</v>
      </c>
      <c r="AV401" t="e">
        <f>IF(OR($J401=0,COUNTIFS($A$4:$A400,"&gt;="&amp;$A401-1,$A$4:$A400,"&lt;="&amp;$A401,$B$4:$B400,$B401)&gt;0,MIN(AV$1,IF($A401=$A400,AV400,1))-AA401&lt;0),-1,MIN(1,IF($A401=$A400,AV400,1)-AA401+$D$3))</f>
        <v>#N/A</v>
      </c>
      <c r="AW401" t="e">
        <f>IF(OR($J401=0,COUNTIFS($A$4:$A400,"&gt;="&amp;$A401-1,$A$4:$A400,"&lt;="&amp;$A401,$B$4:$B400,$B401)&gt;0,MIN(AW$1,IF($A401=$A400,AW400,1))-AB401&lt;0),-1,MIN(1,IF($A401=$A400,AW400,1)-AB401+$D$3))</f>
        <v>#N/A</v>
      </c>
      <c r="AX401" t="e">
        <f>IF(OR($J401=0,COUNTIFS($A$4:$A400,"&gt;="&amp;$A401-1,$A$4:$A400,"&lt;="&amp;$A401,$B$4:$B400,$B401)&gt;0,MIN(AX$1,IF($A401=$A400,AX400,1))-AC401&lt;0),-1,MIN(1,IF($A401=$A400,AX400,1)-AC401+$D$3))</f>
        <v>#N/A</v>
      </c>
      <c r="AY401" t="e">
        <f>IF(OR($J401=0,COUNTIFS($A$4:$A400,"&gt;="&amp;$A401-1,$A$4:$A400,"&lt;="&amp;$A401,$B$4:$B400,$B401)&gt;0,MIN(AY$1,IF($A401=$A400,AY400,1))-AD401&lt;0),-1,MIN(1,IF($A401=$A400,AY400,1)-AD401+$D$3))</f>
        <v>#N/A</v>
      </c>
      <c r="AZ401" t="e">
        <f>IF(OR($J401=0,COUNTIFS($A$4:$A400,"&gt;="&amp;$A401-1,$A$4:$A400,"&lt;="&amp;$A401,$B$4:$B400,$B401)&gt;0,MIN(AZ$1,IF($A401=$A400,AZ400,1))-AE401&lt;0),-1,MIN(1,IF($A401=$A400,AZ400,1)-AE401+$D$3))</f>
        <v>#N/A</v>
      </c>
      <c r="BA401" t="e">
        <f>IF(OR($J401=0,COUNTIFS($A$4:$A400,"&gt;="&amp;$A401-1,$A$4:$A400,"&lt;="&amp;$A401,$B$4:$B400,$B401)&gt;0,MIN(BA$1,IF($A401=$A400,BA400,1))-AF401&lt;0),-1,MIN(1,IF($A401=$A400,BA400,1)-AF401+$D$3))</f>
        <v>#N/A</v>
      </c>
      <c r="BB401" t="e">
        <f>IF(OR($J401=0,COUNTIFS($A$4:$A400,"&gt;="&amp;$A401-1,$A$4:$A400,"&lt;="&amp;$A401,$B$4:$B400,$B401)&gt;0,MIN(BB$1,IF($A401=$A400,BB400,1))-AG401&lt;0),-1,MIN(1,IF($A401=$A400,BB400,1)-AG401+$D$3))</f>
        <v>#N/A</v>
      </c>
      <c r="BC401" t="e">
        <f>IF(OR($J401=0,COUNTIFS($A$4:$A400,"&gt;="&amp;$A401-1,$A$4:$A400,"&lt;="&amp;$A401,$B$4:$B400,$B401)&gt;0,MIN(BC$1,IF($A401=$A400,BC400,1))-AH401&lt;0),-1,MIN(1,IF($A401=$A400,BC400,1)-AH401+$D$3))</f>
        <v>#N/A</v>
      </c>
      <c r="BD401" t="e">
        <f>IF(OR($J401=0,COUNTIFS($A$4:$A400,"&gt;="&amp;$A401-1,$A$4:$A400,"&lt;="&amp;$A401,$B$4:$B400,$B401)&gt;0,MIN(BD$1,IF($A401=$A400,BD400,1))-AI401&lt;0),-1,MIN(1,IF($A401=$A400,BD400,1)-AI401+$D$3))</f>
        <v>#N/A</v>
      </c>
      <c r="BF401" s="44">
        <f t="shared" si="399"/>
        <v>3.0379260184342804E-9</v>
      </c>
      <c r="BG401" s="44">
        <f t="shared" si="400"/>
        <v>7.4711173251258102E-9</v>
      </c>
      <c r="BH401" s="44">
        <f t="shared" si="401"/>
        <v>7.6571093736775335E-9</v>
      </c>
      <c r="BI401" s="44">
        <f t="shared" si="402"/>
        <v>7.073043154601736E-9</v>
      </c>
      <c r="BJ401" s="44">
        <f t="shared" si="403"/>
        <v>7.3106615864214553E-9</v>
      </c>
      <c r="BK401" s="44">
        <f t="shared" si="404"/>
        <v>3.1394706627849812E-9</v>
      </c>
      <c r="BL401" s="44">
        <f t="shared" si="405"/>
        <v>1.6959914434267841E-9</v>
      </c>
      <c r="BM401" s="44">
        <f t="shared" si="406"/>
        <v>4.314404182616292E-9</v>
      </c>
      <c r="BN401" s="44">
        <f t="shared" si="407"/>
        <v>4.4873165946552386E-9</v>
      </c>
      <c r="BO401" s="44">
        <f t="shared" si="408"/>
        <v>2.1029268303767411E-9</v>
      </c>
      <c r="BP401" s="44">
        <f t="shared" si="409"/>
        <v>7.0710446135147459E-9</v>
      </c>
      <c r="BQ401" s="44">
        <f t="shared" si="410"/>
        <v>1.9081822331084063E-9</v>
      </c>
      <c r="BR401" s="44">
        <f t="shared" si="411"/>
        <v>5.6372479845690647E-9</v>
      </c>
      <c r="BS401" s="44">
        <f t="shared" si="412"/>
        <v>3.040242645000598E-9</v>
      </c>
      <c r="BT401" s="44">
        <f t="shared" si="413"/>
        <v>1.2031172213057813E-8</v>
      </c>
      <c r="BU401" s="44">
        <f t="shared" si="414"/>
        <v>1.149338978155747E-8</v>
      </c>
      <c r="BV401" s="44">
        <f t="shared" si="415"/>
        <v>1.1037871295751018E-8</v>
      </c>
      <c r="BW401" s="44">
        <f t="shared" si="416"/>
        <v>7.219375246083804E-9</v>
      </c>
      <c r="BX401" s="44">
        <f t="shared" si="417"/>
        <v>5.3335433333501455E-9</v>
      </c>
      <c r="BY401" s="44">
        <f t="shared" si="418"/>
        <v>4.5794599728802908E-9</v>
      </c>
      <c r="CA401" s="44" t="str">
        <f t="shared" si="419"/>
        <v/>
      </c>
      <c r="CB401" s="44" t="str">
        <f t="shared" si="420"/>
        <v/>
      </c>
      <c r="CC401" s="44" t="str">
        <f t="shared" si="421"/>
        <v/>
      </c>
      <c r="CD401" s="44" t="str">
        <f t="shared" si="422"/>
        <v/>
      </c>
      <c r="CE401" s="44" t="str">
        <f t="shared" si="423"/>
        <v/>
      </c>
      <c r="CF401" s="44" t="str">
        <f t="shared" si="424"/>
        <v/>
      </c>
      <c r="CG401" s="44" t="str">
        <f t="shared" si="425"/>
        <v/>
      </c>
      <c r="CH401" s="44" t="str">
        <f t="shared" si="426"/>
        <v/>
      </c>
      <c r="CI401" s="44" t="str">
        <f t="shared" si="427"/>
        <v/>
      </c>
      <c r="CJ401" s="44" t="str">
        <f t="shared" si="428"/>
        <v/>
      </c>
      <c r="CK401" s="44" t="str">
        <f t="shared" si="429"/>
        <v/>
      </c>
      <c r="CL401" s="44" t="str">
        <f t="shared" si="430"/>
        <v/>
      </c>
      <c r="CM401" s="44" t="str">
        <f t="shared" si="431"/>
        <v/>
      </c>
      <c r="CN401" s="44" t="str">
        <f t="shared" si="432"/>
        <v/>
      </c>
      <c r="CO401" s="44" t="str">
        <f t="shared" si="433"/>
        <v/>
      </c>
      <c r="CP401" s="44" t="str">
        <f t="shared" si="434"/>
        <v/>
      </c>
      <c r="CQ401" s="44" t="str">
        <f t="shared" si="435"/>
        <v/>
      </c>
      <c r="CR401" s="44" t="str">
        <f t="shared" si="436"/>
        <v/>
      </c>
      <c r="CS401" s="44" t="str">
        <f t="shared" si="437"/>
        <v/>
      </c>
      <c r="CT401" s="44" t="str">
        <f t="shared" si="438"/>
        <v/>
      </c>
      <c r="CV401" s="44">
        <f t="shared" si="439"/>
        <v>0</v>
      </c>
    </row>
    <row r="402" spans="1:100" x14ac:dyDescent="0.25">
      <c r="A402" s="41"/>
      <c r="B402" s="42"/>
      <c r="C402" s="43" t="str" cm="1">
        <f t="array" ref="C402">IF(B402="","",INDEX(UWS!$B$10:$B$41,B402))</f>
        <v/>
      </c>
      <c r="D402" s="40" t="str">
        <f t="shared" si="396"/>
        <v/>
      </c>
      <c r="E402" s="69" t="str">
        <f t="shared" si="397"/>
        <v/>
      </c>
      <c r="F402" s="48" cm="1">
        <f t="array" ref="F402">0.1+IFERROR(INDEX($F$5:$F401,SUMPRODUCT(MAX(ROW($C$5:$C401)*($C402=$C$5:$C401))-ROW($A$4)))*0.9^($A402-INDEX($A$5:A401,SUMPRODUCT(MAX(ROW($C$5:$C401)*($C402=$C$5:$C401))-ROW($A$4)))),0)</f>
        <v>33.700000000000209</v>
      </c>
      <c r="G402" s="55" t="e">
        <f>INDEX(UWS!$AB$10:$AB$41,MATCH(C402,UWS!$B$10:$B$41,0))</f>
        <v>#N/A</v>
      </c>
      <c r="H402" s="48" t="e">
        <f>INDEX(UWS!$C$10:$C$41,MATCH(C402,UWS!$B$10:$B$41,0))</f>
        <v>#N/A</v>
      </c>
      <c r="I402" s="27">
        <f t="shared" si="398"/>
        <v>5</v>
      </c>
      <c r="J402" s="27" t="e">
        <f>INDEX(UWS!$E$10:$E$41,MATCH(C402,UWS!$B$10:$B$41,0))</f>
        <v>#N/A</v>
      </c>
      <c r="L402" s="108" t="str" cm="1">
        <f t="array" ref="L402">IF(K402="","",INDEX(UWS!$B$10:$B$41,K402))</f>
        <v/>
      </c>
      <c r="N402" s="108" t="str" cm="1">
        <f t="array" ref="N402">IF(M402="","",INDEX(UWS!$B$10:$B$41,M402))</f>
        <v/>
      </c>
      <c r="P402">
        <f>IFERROR(INDEX(UWS!$G$10:$Z$41,MATCH($C402,UWS!$B$10:$B$41,0),MATCH(P$4,UWS!$G$3:$Z$3,0)),0)</f>
        <v>0</v>
      </c>
      <c r="Q402">
        <f>IFERROR(INDEX(UWS!$G$10:$Z$41,MATCH($C402,UWS!$B$10:$B$41,0),MATCH(Q$4,UWS!$G$3:$Z$3,0)),0)</f>
        <v>0</v>
      </c>
      <c r="R402">
        <f>IFERROR(INDEX(UWS!$G$10:$Z$41,MATCH($C402,UWS!$B$10:$B$41,0),MATCH(R$4,UWS!$G$3:$Z$3,0)),0)</f>
        <v>0</v>
      </c>
      <c r="S402">
        <f>IFERROR(INDEX(UWS!$G$10:$Z$41,MATCH($C402,UWS!$B$10:$B$41,0),MATCH(S$4,UWS!$G$3:$Z$3,0)),0)</f>
        <v>0</v>
      </c>
      <c r="T402">
        <f>IFERROR(INDEX(UWS!$G$10:$Z$41,MATCH($C402,UWS!$B$10:$B$41,0),MATCH(T$4,UWS!$G$3:$Z$3,0)),0)</f>
        <v>0</v>
      </c>
      <c r="U402">
        <f>IFERROR(INDEX(UWS!$G$10:$Z$41,MATCH($C402,UWS!$B$10:$B$41,0),MATCH(U$4,UWS!$G$3:$Z$3,0)),0)</f>
        <v>0</v>
      </c>
      <c r="V402">
        <f>IFERROR(INDEX(UWS!$G$10:$Z$41,MATCH($C402,UWS!$B$10:$B$41,0),MATCH(V$4,UWS!$G$3:$Z$3,0)),0)</f>
        <v>0</v>
      </c>
      <c r="W402">
        <f>IFERROR(INDEX(UWS!$G$10:$Z$41,MATCH($C402,UWS!$B$10:$B$41,0),MATCH(W$4,UWS!$G$3:$Z$3,0)),0)</f>
        <v>0</v>
      </c>
      <c r="X402">
        <f>IFERROR(INDEX(UWS!$G$10:$Z$41,MATCH($C402,UWS!$B$10:$B$41,0),MATCH(X$4,UWS!$G$3:$Z$3,0)),0)</f>
        <v>0</v>
      </c>
      <c r="Y402">
        <f>IFERROR(INDEX(UWS!$G$10:$Z$41,MATCH($C402,UWS!$B$10:$B$41,0),MATCH(Y$4,UWS!$G$3:$Z$3,0)),0)</f>
        <v>0</v>
      </c>
      <c r="Z402">
        <f>IFERROR(INDEX(UWS!$G$10:$Z$41,MATCH($C402,UWS!$B$10:$B$41,0),MATCH(Z$4,UWS!$G$3:$Z$3,0)),0)</f>
        <v>0</v>
      </c>
      <c r="AA402">
        <f>IFERROR(INDEX(UWS!$G$10:$Z$41,MATCH($C402,UWS!$B$10:$B$41,0),MATCH(AA$4,UWS!$G$3:$Z$3,0)),0)</f>
        <v>0</v>
      </c>
      <c r="AB402">
        <f>IFERROR(INDEX(UWS!$G$10:$Z$41,MATCH($C402,UWS!$B$10:$B$41,0),MATCH(AB$4,UWS!$G$3:$Z$3,0)),0)</f>
        <v>0</v>
      </c>
      <c r="AC402">
        <f>IFERROR(INDEX(UWS!$G$10:$Z$41,MATCH($C402,UWS!$B$10:$B$41,0),MATCH(AC$4,UWS!$G$3:$Z$3,0)),0)</f>
        <v>0</v>
      </c>
      <c r="AD402">
        <f>IFERROR(INDEX(UWS!$G$10:$Z$41,MATCH($C402,UWS!$B$10:$B$41,0),MATCH(AD$4,UWS!$G$3:$Z$3,0)),0)</f>
        <v>0</v>
      </c>
      <c r="AE402">
        <f>IFERROR(INDEX(UWS!$G$10:$Z$41,MATCH($C402,UWS!$B$10:$B$41,0),MATCH(AE$4,UWS!$G$3:$Z$3,0)),0)</f>
        <v>0</v>
      </c>
      <c r="AF402">
        <f>IFERROR(INDEX(UWS!$G$10:$Z$41,MATCH($C402,UWS!$B$10:$B$41,0),MATCH(AF$4,UWS!$G$3:$Z$3,0)),0)</f>
        <v>0</v>
      </c>
      <c r="AG402">
        <f>IFERROR(INDEX(UWS!$G$10:$Z$41,MATCH($C402,UWS!$B$10:$B$41,0),MATCH(AG$4,UWS!$G$3:$Z$3,0)),0)</f>
        <v>0</v>
      </c>
      <c r="AH402">
        <f>IFERROR(INDEX(UWS!$G$10:$Z$41,MATCH($C402,UWS!$B$10:$B$41,0),MATCH(AH$4,UWS!$G$3:$Z$3,0)),0)</f>
        <v>0</v>
      </c>
      <c r="AI402">
        <f>IFERROR(INDEX(UWS!$G$10:$Z$41,MATCH($C402,UWS!$B$10:$B$41,0),MATCH(AI$4,UWS!$G$3:$Z$3,0)),0)</f>
        <v>0</v>
      </c>
      <c r="AK402" t="e">
        <f>IF(OR($J402=0,COUNTIFS($A$4:$A401,"&gt;="&amp;$A402-1,$A$4:$A401,"&lt;="&amp;$A402,$B$4:$B401,$B402)&gt;0,MIN(AK$1,IF($A402=$A401,AK401,1))-P402&lt;0),-1,MIN(1,IF($A402=$A401,AK401,1)-P402+$D$3))</f>
        <v>#N/A</v>
      </c>
      <c r="AL402" t="e">
        <f>IF(OR($J402=0,COUNTIFS($A$4:$A401,"&gt;="&amp;$A402-1,$A$4:$A401,"&lt;="&amp;$A402,$B$4:$B401,$B402)&gt;0,MIN(AL$1,IF($A402=$A401,AL401,1))-Q402&lt;0),-1,MIN(1,IF($A402=$A401,AL401,1)-Q402+$D$3))</f>
        <v>#N/A</v>
      </c>
      <c r="AM402" t="e">
        <f>IF(OR($J402=0,COUNTIFS($A$4:$A401,"&gt;="&amp;$A402-1,$A$4:$A401,"&lt;="&amp;$A402,$B$4:$B401,$B402)&gt;0,MIN(AM$1,IF($A402=$A401,AM401,1))-R402&lt;0),-1,MIN(1,IF($A402=$A401,AM401,1)-R402+$D$3))</f>
        <v>#N/A</v>
      </c>
      <c r="AN402" t="e">
        <f>IF(OR($J402=0,COUNTIFS($A$4:$A401,"&gt;="&amp;$A402-1,$A$4:$A401,"&lt;="&amp;$A402,$B$4:$B401,$B402)&gt;0,MIN(AN$1,IF($A402=$A401,AN401,1))-S402&lt;0),-1,MIN(1,IF($A402=$A401,AN401,1)-S402+$D$3))</f>
        <v>#N/A</v>
      </c>
      <c r="AO402" t="e">
        <f>IF(OR($J402=0,COUNTIFS($A$4:$A401,"&gt;="&amp;$A402-1,$A$4:$A401,"&lt;="&amp;$A402,$B$4:$B401,$B402)&gt;0,MIN(AO$1,IF($A402=$A401,AO401,1))-T402&lt;0),-1,MIN(1,IF($A402=$A401,AO401,1)-T402+$D$3))</f>
        <v>#N/A</v>
      </c>
      <c r="AP402" t="e">
        <f>IF(OR($J402=0,COUNTIFS($A$4:$A401,"&gt;="&amp;$A402-1,$A$4:$A401,"&lt;="&amp;$A402,$B$4:$B401,$B402)&gt;0,MIN(AP$1,IF($A402=$A401,AP401,1))-U402&lt;0),-1,MIN(1,IF($A402=$A401,AP401,1)-U402+$D$3))</f>
        <v>#N/A</v>
      </c>
      <c r="AQ402" t="e">
        <f>IF(OR($J402=0,COUNTIFS($A$4:$A401,"&gt;="&amp;$A402-1,$A$4:$A401,"&lt;="&amp;$A402,$B$4:$B401,$B402)&gt;0,MIN(AQ$1,IF($A402=$A401,AQ401,1))-V402&lt;0),-1,MIN(1,IF($A402=$A401,AQ401,1)-V402+$D$3))</f>
        <v>#N/A</v>
      </c>
      <c r="AR402" t="e">
        <f>IF(OR($J402=0,COUNTIFS($A$4:$A401,"&gt;="&amp;$A402-1,$A$4:$A401,"&lt;="&amp;$A402,$B$4:$B401,$B402)&gt;0,MIN(AR$1,IF($A402=$A401,AR401,1))-W402&lt;0),-1,MIN(1,IF($A402=$A401,AR401,1)-W402+$D$3))</f>
        <v>#N/A</v>
      </c>
      <c r="AS402" t="e">
        <f>IF(OR($J402=0,COUNTIFS($A$4:$A401,"&gt;="&amp;$A402-1,$A$4:$A401,"&lt;="&amp;$A402,$B$4:$B401,$B402)&gt;0,MIN(AS$1,IF($A402=$A401,AS401,1))-X402&lt;0),-1,MIN(1,IF($A402=$A401,AS401,1)-X402+$D$3))</f>
        <v>#N/A</v>
      </c>
      <c r="AT402" t="e">
        <f>IF(OR($J402=0,COUNTIFS($A$4:$A401,"&gt;="&amp;$A402-1,$A$4:$A401,"&lt;="&amp;$A402,$B$4:$B401,$B402)&gt;0,MIN(AT$1,IF($A402=$A401,AT401,1))-Y402&lt;0),-1,MIN(1,IF($A402=$A401,AT401,1)-Y402+$D$3))</f>
        <v>#N/A</v>
      </c>
      <c r="AU402" t="e">
        <f>IF(OR($J402=0,COUNTIFS($A$4:$A401,"&gt;="&amp;$A402-1,$A$4:$A401,"&lt;="&amp;$A402,$B$4:$B401,$B402)&gt;0,MIN(AU$1,IF($A402=$A401,AU401,1))-Z402&lt;0),-1,MIN(1,IF($A402=$A401,AU401,1)-Z402+$D$3))</f>
        <v>#N/A</v>
      </c>
      <c r="AV402" t="e">
        <f>IF(OR($J402=0,COUNTIFS($A$4:$A401,"&gt;="&amp;$A402-1,$A$4:$A401,"&lt;="&amp;$A402,$B$4:$B401,$B402)&gt;0,MIN(AV$1,IF($A402=$A401,AV401,1))-AA402&lt;0),-1,MIN(1,IF($A402=$A401,AV401,1)-AA402+$D$3))</f>
        <v>#N/A</v>
      </c>
      <c r="AW402" t="e">
        <f>IF(OR($J402=0,COUNTIFS($A$4:$A401,"&gt;="&amp;$A402-1,$A$4:$A401,"&lt;="&amp;$A402,$B$4:$B401,$B402)&gt;0,MIN(AW$1,IF($A402=$A401,AW401,1))-AB402&lt;0),-1,MIN(1,IF($A402=$A401,AW401,1)-AB402+$D$3))</f>
        <v>#N/A</v>
      </c>
      <c r="AX402" t="e">
        <f>IF(OR($J402=0,COUNTIFS($A$4:$A401,"&gt;="&amp;$A402-1,$A$4:$A401,"&lt;="&amp;$A402,$B$4:$B401,$B402)&gt;0,MIN(AX$1,IF($A402=$A401,AX401,1))-AC402&lt;0),-1,MIN(1,IF($A402=$A401,AX401,1)-AC402+$D$3))</f>
        <v>#N/A</v>
      </c>
      <c r="AY402" t="e">
        <f>IF(OR($J402=0,COUNTIFS($A$4:$A401,"&gt;="&amp;$A402-1,$A$4:$A401,"&lt;="&amp;$A402,$B$4:$B401,$B402)&gt;0,MIN(AY$1,IF($A402=$A401,AY401,1))-AD402&lt;0),-1,MIN(1,IF($A402=$A401,AY401,1)-AD402+$D$3))</f>
        <v>#N/A</v>
      </c>
      <c r="AZ402" t="e">
        <f>IF(OR($J402=0,COUNTIFS($A$4:$A401,"&gt;="&amp;$A402-1,$A$4:$A401,"&lt;="&amp;$A402,$B$4:$B401,$B402)&gt;0,MIN(AZ$1,IF($A402=$A401,AZ401,1))-AE402&lt;0),-1,MIN(1,IF($A402=$A401,AZ401,1)-AE402+$D$3))</f>
        <v>#N/A</v>
      </c>
      <c r="BA402" t="e">
        <f>IF(OR($J402=0,COUNTIFS($A$4:$A401,"&gt;="&amp;$A402-1,$A$4:$A401,"&lt;="&amp;$A402,$B$4:$B401,$B402)&gt;0,MIN(BA$1,IF($A402=$A401,BA401,1))-AF402&lt;0),-1,MIN(1,IF($A402=$A401,BA401,1)-AF402+$D$3))</f>
        <v>#N/A</v>
      </c>
      <c r="BB402" t="e">
        <f>IF(OR($J402=0,COUNTIFS($A$4:$A401,"&gt;="&amp;$A402-1,$A$4:$A401,"&lt;="&amp;$A402,$B$4:$B401,$B402)&gt;0,MIN(BB$1,IF($A402=$A401,BB401,1))-AG402&lt;0),-1,MIN(1,IF($A402=$A401,BB401,1)-AG402+$D$3))</f>
        <v>#N/A</v>
      </c>
      <c r="BC402" t="e">
        <f>IF(OR($J402=0,COUNTIFS($A$4:$A401,"&gt;="&amp;$A402-1,$A$4:$A401,"&lt;="&amp;$A402,$B$4:$B401,$B402)&gt;0,MIN(BC$1,IF($A402=$A401,BC401,1))-AH402&lt;0),-1,MIN(1,IF($A402=$A401,BC401,1)-AH402+$D$3))</f>
        <v>#N/A</v>
      </c>
      <c r="BD402" t="e">
        <f>IF(OR($J402=0,COUNTIFS($A$4:$A401,"&gt;="&amp;$A402-1,$A$4:$A401,"&lt;="&amp;$A402,$B$4:$B401,$B402)&gt;0,MIN(BD$1,IF($A402=$A401,BD401,1))-AI402&lt;0),-1,MIN(1,IF($A402=$A401,BD401,1)-AI402+$D$3))</f>
        <v>#N/A</v>
      </c>
      <c r="BF402" s="44">
        <f t="shared" si="399"/>
        <v>2.8860297175125664E-9</v>
      </c>
      <c r="BG402" s="44">
        <f t="shared" si="400"/>
        <v>7.0975614588695195E-9</v>
      </c>
      <c r="BH402" s="44">
        <f t="shared" si="401"/>
        <v>7.2742539049936565E-9</v>
      </c>
      <c r="BI402" s="44">
        <f t="shared" si="402"/>
        <v>6.7193909968716486E-9</v>
      </c>
      <c r="BJ402" s="44">
        <f t="shared" si="403"/>
        <v>6.9451285071003818E-9</v>
      </c>
      <c r="BK402" s="44">
        <f t="shared" si="404"/>
        <v>2.982497129645732E-9</v>
      </c>
      <c r="BL402" s="44">
        <f t="shared" si="405"/>
        <v>1.6111918712554448E-9</v>
      </c>
      <c r="BM402" s="44">
        <f t="shared" si="406"/>
        <v>4.0986839734854776E-9</v>
      </c>
      <c r="BN402" s="44">
        <f t="shared" si="407"/>
        <v>4.2629507649224763E-9</v>
      </c>
      <c r="BO402" s="44">
        <f t="shared" si="408"/>
        <v>1.9977804888579039E-9</v>
      </c>
      <c r="BP402" s="44">
        <f t="shared" si="409"/>
        <v>6.7174923828390079E-9</v>
      </c>
      <c r="BQ402" s="44">
        <f t="shared" si="410"/>
        <v>1.8127731214529859E-9</v>
      </c>
      <c r="BR402" s="44">
        <f t="shared" si="411"/>
        <v>5.3553855853406112E-9</v>
      </c>
      <c r="BS402" s="44">
        <f t="shared" si="412"/>
        <v>2.8882305127505679E-9</v>
      </c>
      <c r="BT402" s="44">
        <f t="shared" si="413"/>
        <v>1.1429613602404921E-8</v>
      </c>
      <c r="BU402" s="44">
        <f t="shared" si="414"/>
        <v>1.0918720292479595E-8</v>
      </c>
      <c r="BV402" s="44">
        <f t="shared" si="415"/>
        <v>1.0485977730963466E-8</v>
      </c>
      <c r="BW402" s="44">
        <f t="shared" si="416"/>
        <v>6.8584064837796133E-9</v>
      </c>
      <c r="BX402" s="44">
        <f t="shared" si="417"/>
        <v>5.0668661666826376E-9</v>
      </c>
      <c r="BY402" s="44">
        <f t="shared" si="418"/>
        <v>4.3504869742362759E-9</v>
      </c>
      <c r="CA402" s="44" t="str">
        <f t="shared" si="419"/>
        <v/>
      </c>
      <c r="CB402" s="44" t="str">
        <f t="shared" si="420"/>
        <v/>
      </c>
      <c r="CC402" s="44" t="str">
        <f t="shared" si="421"/>
        <v/>
      </c>
      <c r="CD402" s="44" t="str">
        <f t="shared" si="422"/>
        <v/>
      </c>
      <c r="CE402" s="44" t="str">
        <f t="shared" si="423"/>
        <v/>
      </c>
      <c r="CF402" s="44" t="str">
        <f t="shared" si="424"/>
        <v/>
      </c>
      <c r="CG402" s="44" t="str">
        <f t="shared" si="425"/>
        <v/>
      </c>
      <c r="CH402" s="44" t="str">
        <f t="shared" si="426"/>
        <v/>
      </c>
      <c r="CI402" s="44" t="str">
        <f t="shared" si="427"/>
        <v/>
      </c>
      <c r="CJ402" s="44" t="str">
        <f t="shared" si="428"/>
        <v/>
      </c>
      <c r="CK402" s="44" t="str">
        <f t="shared" si="429"/>
        <v/>
      </c>
      <c r="CL402" s="44" t="str">
        <f t="shared" si="430"/>
        <v/>
      </c>
      <c r="CM402" s="44" t="str">
        <f t="shared" si="431"/>
        <v/>
      </c>
      <c r="CN402" s="44" t="str">
        <f t="shared" si="432"/>
        <v/>
      </c>
      <c r="CO402" s="44" t="str">
        <f t="shared" si="433"/>
        <v/>
      </c>
      <c r="CP402" s="44" t="str">
        <f t="shared" si="434"/>
        <v/>
      </c>
      <c r="CQ402" s="44" t="str">
        <f t="shared" si="435"/>
        <v/>
      </c>
      <c r="CR402" s="44" t="str">
        <f t="shared" si="436"/>
        <v/>
      </c>
      <c r="CS402" s="44" t="str">
        <f t="shared" si="437"/>
        <v/>
      </c>
      <c r="CT402" s="44" t="str">
        <f t="shared" si="438"/>
        <v/>
      </c>
      <c r="CV402" s="44">
        <f t="shared" si="439"/>
        <v>0</v>
      </c>
    </row>
    <row r="403" spans="1:100" x14ac:dyDescent="0.25">
      <c r="A403" s="41"/>
      <c r="B403" s="42"/>
      <c r="C403" s="43" t="str" cm="1">
        <f t="array" ref="C403">IF(B403="","",INDEX(UWS!$B$10:$B$41,B403))</f>
        <v/>
      </c>
      <c r="D403" s="40" t="str">
        <f t="shared" si="396"/>
        <v/>
      </c>
      <c r="E403" s="69" t="str">
        <f t="shared" si="397"/>
        <v/>
      </c>
      <c r="F403" s="48" cm="1">
        <f t="array" ref="F403">0.1+IFERROR(INDEX($F$5:$F402,SUMPRODUCT(MAX(ROW($C$5:$C402)*($C403=$C$5:$C402))-ROW($A$4)))*0.9^($A403-INDEX($A$5:A402,SUMPRODUCT(MAX(ROW($C$5:$C402)*($C403=$C$5:$C402))-ROW($A$4)))),0)</f>
        <v>33.80000000000021</v>
      </c>
      <c r="G403" s="55" t="e">
        <f>INDEX(UWS!$AB$10:$AB$41,MATCH(C403,UWS!$B$10:$B$41,0))</f>
        <v>#N/A</v>
      </c>
      <c r="H403" s="48" t="e">
        <f>INDEX(UWS!$C$10:$C$41,MATCH(C403,UWS!$B$10:$B$41,0))</f>
        <v>#N/A</v>
      </c>
      <c r="I403" s="27">
        <f t="shared" si="398"/>
        <v>5</v>
      </c>
      <c r="J403" s="27" t="e">
        <f>INDEX(UWS!$E$10:$E$41,MATCH(C403,UWS!$B$10:$B$41,0))</f>
        <v>#N/A</v>
      </c>
      <c r="L403" s="108" t="str" cm="1">
        <f t="array" ref="L403">IF(K403="","",INDEX(UWS!$B$10:$B$41,K403))</f>
        <v/>
      </c>
      <c r="N403" s="108" t="str" cm="1">
        <f t="array" ref="N403">IF(M403="","",INDEX(UWS!$B$10:$B$41,M403))</f>
        <v/>
      </c>
      <c r="P403">
        <f>IFERROR(INDEX(UWS!$G$10:$Z$41,MATCH($C403,UWS!$B$10:$B$41,0),MATCH(P$4,UWS!$G$3:$Z$3,0)),0)</f>
        <v>0</v>
      </c>
      <c r="Q403">
        <f>IFERROR(INDEX(UWS!$G$10:$Z$41,MATCH($C403,UWS!$B$10:$B$41,0),MATCH(Q$4,UWS!$G$3:$Z$3,0)),0)</f>
        <v>0</v>
      </c>
      <c r="R403">
        <f>IFERROR(INDEX(UWS!$G$10:$Z$41,MATCH($C403,UWS!$B$10:$B$41,0),MATCH(R$4,UWS!$G$3:$Z$3,0)),0)</f>
        <v>0</v>
      </c>
      <c r="S403">
        <f>IFERROR(INDEX(UWS!$G$10:$Z$41,MATCH($C403,UWS!$B$10:$B$41,0),MATCH(S$4,UWS!$G$3:$Z$3,0)),0)</f>
        <v>0</v>
      </c>
      <c r="T403">
        <f>IFERROR(INDEX(UWS!$G$10:$Z$41,MATCH($C403,UWS!$B$10:$B$41,0),MATCH(T$4,UWS!$G$3:$Z$3,0)),0)</f>
        <v>0</v>
      </c>
      <c r="U403">
        <f>IFERROR(INDEX(UWS!$G$10:$Z$41,MATCH($C403,UWS!$B$10:$B$41,0),MATCH(U$4,UWS!$G$3:$Z$3,0)),0)</f>
        <v>0</v>
      </c>
      <c r="V403">
        <f>IFERROR(INDEX(UWS!$G$10:$Z$41,MATCH($C403,UWS!$B$10:$B$41,0),MATCH(V$4,UWS!$G$3:$Z$3,0)),0)</f>
        <v>0</v>
      </c>
      <c r="W403">
        <f>IFERROR(INDEX(UWS!$G$10:$Z$41,MATCH($C403,UWS!$B$10:$B$41,0),MATCH(W$4,UWS!$G$3:$Z$3,0)),0)</f>
        <v>0</v>
      </c>
      <c r="X403">
        <f>IFERROR(INDEX(UWS!$G$10:$Z$41,MATCH($C403,UWS!$B$10:$B$41,0),MATCH(X$4,UWS!$G$3:$Z$3,0)),0)</f>
        <v>0</v>
      </c>
      <c r="Y403">
        <f>IFERROR(INDEX(UWS!$G$10:$Z$41,MATCH($C403,UWS!$B$10:$B$41,0),MATCH(Y$4,UWS!$G$3:$Z$3,0)),0)</f>
        <v>0</v>
      </c>
      <c r="Z403">
        <f>IFERROR(INDEX(UWS!$G$10:$Z$41,MATCH($C403,UWS!$B$10:$B$41,0),MATCH(Z$4,UWS!$G$3:$Z$3,0)),0)</f>
        <v>0</v>
      </c>
      <c r="AA403">
        <f>IFERROR(INDEX(UWS!$G$10:$Z$41,MATCH($C403,UWS!$B$10:$B$41,0),MATCH(AA$4,UWS!$G$3:$Z$3,0)),0)</f>
        <v>0</v>
      </c>
      <c r="AB403">
        <f>IFERROR(INDEX(UWS!$G$10:$Z$41,MATCH($C403,UWS!$B$10:$B$41,0),MATCH(AB$4,UWS!$G$3:$Z$3,0)),0)</f>
        <v>0</v>
      </c>
      <c r="AC403">
        <f>IFERROR(INDEX(UWS!$G$10:$Z$41,MATCH($C403,UWS!$B$10:$B$41,0),MATCH(AC$4,UWS!$G$3:$Z$3,0)),0)</f>
        <v>0</v>
      </c>
      <c r="AD403">
        <f>IFERROR(INDEX(UWS!$G$10:$Z$41,MATCH($C403,UWS!$B$10:$B$41,0),MATCH(AD$4,UWS!$G$3:$Z$3,0)),0)</f>
        <v>0</v>
      </c>
      <c r="AE403">
        <f>IFERROR(INDEX(UWS!$G$10:$Z$41,MATCH($C403,UWS!$B$10:$B$41,0),MATCH(AE$4,UWS!$G$3:$Z$3,0)),0)</f>
        <v>0</v>
      </c>
      <c r="AF403">
        <f>IFERROR(INDEX(UWS!$G$10:$Z$41,MATCH($C403,UWS!$B$10:$B$41,0),MATCH(AF$4,UWS!$G$3:$Z$3,0)),0)</f>
        <v>0</v>
      </c>
      <c r="AG403">
        <f>IFERROR(INDEX(UWS!$G$10:$Z$41,MATCH($C403,UWS!$B$10:$B$41,0),MATCH(AG$4,UWS!$G$3:$Z$3,0)),0)</f>
        <v>0</v>
      </c>
      <c r="AH403">
        <f>IFERROR(INDEX(UWS!$G$10:$Z$41,MATCH($C403,UWS!$B$10:$B$41,0),MATCH(AH$4,UWS!$G$3:$Z$3,0)),0)</f>
        <v>0</v>
      </c>
      <c r="AI403">
        <f>IFERROR(INDEX(UWS!$G$10:$Z$41,MATCH($C403,UWS!$B$10:$B$41,0),MATCH(AI$4,UWS!$G$3:$Z$3,0)),0)</f>
        <v>0</v>
      </c>
      <c r="AK403" t="e">
        <f>IF(OR($J403=0,COUNTIFS($A$4:$A402,"&gt;="&amp;$A403-1,$A$4:$A402,"&lt;="&amp;$A403,$B$4:$B402,$B403)&gt;0,MIN(AK$1,IF($A403=$A402,AK402,1))-P403&lt;0),-1,MIN(1,IF($A403=$A402,AK402,1)-P403+$D$3))</f>
        <v>#N/A</v>
      </c>
      <c r="AL403" t="e">
        <f>IF(OR($J403=0,COUNTIFS($A$4:$A402,"&gt;="&amp;$A403-1,$A$4:$A402,"&lt;="&amp;$A403,$B$4:$B402,$B403)&gt;0,MIN(AL$1,IF($A403=$A402,AL402,1))-Q403&lt;0),-1,MIN(1,IF($A403=$A402,AL402,1)-Q403+$D$3))</f>
        <v>#N/A</v>
      </c>
      <c r="AM403" t="e">
        <f>IF(OR($J403=0,COUNTIFS($A$4:$A402,"&gt;="&amp;$A403-1,$A$4:$A402,"&lt;="&amp;$A403,$B$4:$B402,$B403)&gt;0,MIN(AM$1,IF($A403=$A402,AM402,1))-R403&lt;0),-1,MIN(1,IF($A403=$A402,AM402,1)-R403+$D$3))</f>
        <v>#N/A</v>
      </c>
      <c r="AN403" t="e">
        <f>IF(OR($J403=0,COUNTIFS($A$4:$A402,"&gt;="&amp;$A403-1,$A$4:$A402,"&lt;="&amp;$A403,$B$4:$B402,$B403)&gt;0,MIN(AN$1,IF($A403=$A402,AN402,1))-S403&lt;0),-1,MIN(1,IF($A403=$A402,AN402,1)-S403+$D$3))</f>
        <v>#N/A</v>
      </c>
      <c r="AO403" t="e">
        <f>IF(OR($J403=0,COUNTIFS($A$4:$A402,"&gt;="&amp;$A403-1,$A$4:$A402,"&lt;="&amp;$A403,$B$4:$B402,$B403)&gt;0,MIN(AO$1,IF($A403=$A402,AO402,1))-T403&lt;0),-1,MIN(1,IF($A403=$A402,AO402,1)-T403+$D$3))</f>
        <v>#N/A</v>
      </c>
      <c r="AP403" t="e">
        <f>IF(OR($J403=0,COUNTIFS($A$4:$A402,"&gt;="&amp;$A403-1,$A$4:$A402,"&lt;="&amp;$A403,$B$4:$B402,$B403)&gt;0,MIN(AP$1,IF($A403=$A402,AP402,1))-U403&lt;0),-1,MIN(1,IF($A403=$A402,AP402,1)-U403+$D$3))</f>
        <v>#N/A</v>
      </c>
      <c r="AQ403" t="e">
        <f>IF(OR($J403=0,COUNTIFS($A$4:$A402,"&gt;="&amp;$A403-1,$A$4:$A402,"&lt;="&amp;$A403,$B$4:$B402,$B403)&gt;0,MIN(AQ$1,IF($A403=$A402,AQ402,1))-V403&lt;0),-1,MIN(1,IF($A403=$A402,AQ402,1)-V403+$D$3))</f>
        <v>#N/A</v>
      </c>
      <c r="AR403" t="e">
        <f>IF(OR($J403=0,COUNTIFS($A$4:$A402,"&gt;="&amp;$A403-1,$A$4:$A402,"&lt;="&amp;$A403,$B$4:$B402,$B403)&gt;0,MIN(AR$1,IF($A403=$A402,AR402,1))-W403&lt;0),-1,MIN(1,IF($A403=$A402,AR402,1)-W403+$D$3))</f>
        <v>#N/A</v>
      </c>
      <c r="AS403" t="e">
        <f>IF(OR($J403=0,COUNTIFS($A$4:$A402,"&gt;="&amp;$A403-1,$A$4:$A402,"&lt;="&amp;$A403,$B$4:$B402,$B403)&gt;0,MIN(AS$1,IF($A403=$A402,AS402,1))-X403&lt;0),-1,MIN(1,IF($A403=$A402,AS402,1)-X403+$D$3))</f>
        <v>#N/A</v>
      </c>
      <c r="AT403" t="e">
        <f>IF(OR($J403=0,COUNTIFS($A$4:$A402,"&gt;="&amp;$A403-1,$A$4:$A402,"&lt;="&amp;$A403,$B$4:$B402,$B403)&gt;0,MIN(AT$1,IF($A403=$A402,AT402,1))-Y403&lt;0),-1,MIN(1,IF($A403=$A402,AT402,1)-Y403+$D$3))</f>
        <v>#N/A</v>
      </c>
      <c r="AU403" t="e">
        <f>IF(OR($J403=0,COUNTIFS($A$4:$A402,"&gt;="&amp;$A403-1,$A$4:$A402,"&lt;="&amp;$A403,$B$4:$B402,$B403)&gt;0,MIN(AU$1,IF($A403=$A402,AU402,1))-Z403&lt;0),-1,MIN(1,IF($A403=$A402,AU402,1)-Z403+$D$3))</f>
        <v>#N/A</v>
      </c>
      <c r="AV403" t="e">
        <f>IF(OR($J403=0,COUNTIFS($A$4:$A402,"&gt;="&amp;$A403-1,$A$4:$A402,"&lt;="&amp;$A403,$B$4:$B402,$B403)&gt;0,MIN(AV$1,IF($A403=$A402,AV402,1))-AA403&lt;0),-1,MIN(1,IF($A403=$A402,AV402,1)-AA403+$D$3))</f>
        <v>#N/A</v>
      </c>
      <c r="AW403" t="e">
        <f>IF(OR($J403=0,COUNTIFS($A$4:$A402,"&gt;="&amp;$A403-1,$A$4:$A402,"&lt;="&amp;$A403,$B$4:$B402,$B403)&gt;0,MIN(AW$1,IF($A403=$A402,AW402,1))-AB403&lt;0),-1,MIN(1,IF($A403=$A402,AW402,1)-AB403+$D$3))</f>
        <v>#N/A</v>
      </c>
      <c r="AX403" t="e">
        <f>IF(OR($J403=0,COUNTIFS($A$4:$A402,"&gt;="&amp;$A403-1,$A$4:$A402,"&lt;="&amp;$A403,$B$4:$B402,$B403)&gt;0,MIN(AX$1,IF($A403=$A402,AX402,1))-AC403&lt;0),-1,MIN(1,IF($A403=$A402,AX402,1)-AC403+$D$3))</f>
        <v>#N/A</v>
      </c>
      <c r="AY403" t="e">
        <f>IF(OR($J403=0,COUNTIFS($A$4:$A402,"&gt;="&amp;$A403-1,$A$4:$A402,"&lt;="&amp;$A403,$B$4:$B402,$B403)&gt;0,MIN(AY$1,IF($A403=$A402,AY402,1))-AD403&lt;0),-1,MIN(1,IF($A403=$A402,AY402,1)-AD403+$D$3))</f>
        <v>#N/A</v>
      </c>
      <c r="AZ403" t="e">
        <f>IF(OR($J403=0,COUNTIFS($A$4:$A402,"&gt;="&amp;$A403-1,$A$4:$A402,"&lt;="&amp;$A403,$B$4:$B402,$B403)&gt;0,MIN(AZ$1,IF($A403=$A402,AZ402,1))-AE403&lt;0),-1,MIN(1,IF($A403=$A402,AZ402,1)-AE403+$D$3))</f>
        <v>#N/A</v>
      </c>
      <c r="BA403" t="e">
        <f>IF(OR($J403=0,COUNTIFS($A$4:$A402,"&gt;="&amp;$A403-1,$A$4:$A402,"&lt;="&amp;$A403,$B$4:$B402,$B403)&gt;0,MIN(BA$1,IF($A403=$A402,BA402,1))-AF403&lt;0),-1,MIN(1,IF($A403=$A402,BA402,1)-AF403+$D$3))</f>
        <v>#N/A</v>
      </c>
      <c r="BB403" t="e">
        <f>IF(OR($J403=0,COUNTIFS($A$4:$A402,"&gt;="&amp;$A403-1,$A$4:$A402,"&lt;="&amp;$A403,$B$4:$B402,$B403)&gt;0,MIN(BB$1,IF($A403=$A402,BB402,1))-AG403&lt;0),-1,MIN(1,IF($A403=$A402,BB402,1)-AG403+$D$3))</f>
        <v>#N/A</v>
      </c>
      <c r="BC403" t="e">
        <f>IF(OR($J403=0,COUNTIFS($A$4:$A402,"&gt;="&amp;$A403-1,$A$4:$A402,"&lt;="&amp;$A403,$B$4:$B402,$B403)&gt;0,MIN(BC$1,IF($A403=$A402,BC402,1))-AH403&lt;0),-1,MIN(1,IF($A403=$A402,BC402,1)-AH403+$D$3))</f>
        <v>#N/A</v>
      </c>
      <c r="BD403" t="e">
        <f>IF(OR($J403=0,COUNTIFS($A$4:$A402,"&gt;="&amp;$A403-1,$A$4:$A402,"&lt;="&amp;$A403,$B$4:$B402,$B403)&gt;0,MIN(BD$1,IF($A403=$A402,BD402,1))-AI403&lt;0),-1,MIN(1,IF($A403=$A402,BD402,1)-AI403+$D$3))</f>
        <v>#N/A</v>
      </c>
      <c r="BF403" s="44">
        <f t="shared" si="399"/>
        <v>2.7417282316369379E-9</v>
      </c>
      <c r="BG403" s="44">
        <f t="shared" si="400"/>
        <v>6.7426833859260434E-9</v>
      </c>
      <c r="BH403" s="44">
        <f t="shared" si="401"/>
        <v>6.9105412097439733E-9</v>
      </c>
      <c r="BI403" s="44">
        <f t="shared" si="402"/>
        <v>6.3834214470280661E-9</v>
      </c>
      <c r="BJ403" s="44">
        <f t="shared" si="403"/>
        <v>6.5978720817453625E-9</v>
      </c>
      <c r="BK403" s="44">
        <f t="shared" si="404"/>
        <v>2.8333722731634452E-9</v>
      </c>
      <c r="BL403" s="44">
        <f t="shared" si="405"/>
        <v>1.5306322776926725E-9</v>
      </c>
      <c r="BM403" s="44">
        <f t="shared" si="406"/>
        <v>3.8937497748112035E-9</v>
      </c>
      <c r="BN403" s="44">
        <f t="shared" si="407"/>
        <v>4.0498032266763522E-9</v>
      </c>
      <c r="BO403" s="44">
        <f t="shared" si="408"/>
        <v>1.8978914644150085E-9</v>
      </c>
      <c r="BP403" s="44">
        <f t="shared" si="409"/>
        <v>6.3816177636970574E-9</v>
      </c>
      <c r="BQ403" s="44">
        <f t="shared" si="410"/>
        <v>1.7221344653803365E-9</v>
      </c>
      <c r="BR403" s="44">
        <f t="shared" si="411"/>
        <v>5.0876163060735802E-9</v>
      </c>
      <c r="BS403" s="44">
        <f t="shared" si="412"/>
        <v>2.7438189871130396E-9</v>
      </c>
      <c r="BT403" s="44">
        <f t="shared" si="413"/>
        <v>1.0858132922284676E-8</v>
      </c>
      <c r="BU403" s="44">
        <f t="shared" si="414"/>
        <v>1.0372784277855614E-8</v>
      </c>
      <c r="BV403" s="44">
        <f t="shared" si="415"/>
        <v>9.9616788444152929E-9</v>
      </c>
      <c r="BW403" s="44">
        <f t="shared" si="416"/>
        <v>6.5154861595906325E-9</v>
      </c>
      <c r="BX403" s="44">
        <f t="shared" si="417"/>
        <v>4.8135228583485058E-9</v>
      </c>
      <c r="BY403" s="44">
        <f t="shared" si="418"/>
        <v>4.1329626255244621E-9</v>
      </c>
      <c r="CA403" s="44" t="str">
        <f t="shared" si="419"/>
        <v/>
      </c>
      <c r="CB403" s="44" t="str">
        <f t="shared" si="420"/>
        <v/>
      </c>
      <c r="CC403" s="44" t="str">
        <f t="shared" si="421"/>
        <v/>
      </c>
      <c r="CD403" s="44" t="str">
        <f t="shared" si="422"/>
        <v/>
      </c>
      <c r="CE403" s="44" t="str">
        <f t="shared" si="423"/>
        <v/>
      </c>
      <c r="CF403" s="44" t="str">
        <f t="shared" si="424"/>
        <v/>
      </c>
      <c r="CG403" s="44" t="str">
        <f t="shared" si="425"/>
        <v/>
      </c>
      <c r="CH403" s="44" t="str">
        <f t="shared" si="426"/>
        <v/>
      </c>
      <c r="CI403" s="44" t="str">
        <f t="shared" si="427"/>
        <v/>
      </c>
      <c r="CJ403" s="44" t="str">
        <f t="shared" si="428"/>
        <v/>
      </c>
      <c r="CK403" s="44" t="str">
        <f t="shared" si="429"/>
        <v/>
      </c>
      <c r="CL403" s="44" t="str">
        <f t="shared" si="430"/>
        <v/>
      </c>
      <c r="CM403" s="44" t="str">
        <f t="shared" si="431"/>
        <v/>
      </c>
      <c r="CN403" s="44" t="str">
        <f t="shared" si="432"/>
        <v/>
      </c>
      <c r="CO403" s="44" t="str">
        <f t="shared" si="433"/>
        <v/>
      </c>
      <c r="CP403" s="44" t="str">
        <f t="shared" si="434"/>
        <v/>
      </c>
      <c r="CQ403" s="44" t="str">
        <f t="shared" si="435"/>
        <v/>
      </c>
      <c r="CR403" s="44" t="str">
        <f t="shared" si="436"/>
        <v/>
      </c>
      <c r="CS403" s="44" t="str">
        <f t="shared" si="437"/>
        <v/>
      </c>
      <c r="CT403" s="44" t="str">
        <f t="shared" si="438"/>
        <v/>
      </c>
      <c r="CV403" s="44">
        <f t="shared" si="439"/>
        <v>0</v>
      </c>
    </row>
    <row r="404" spans="1:100" x14ac:dyDescent="0.25">
      <c r="A404" s="41"/>
      <c r="B404" s="42"/>
      <c r="C404" s="43" t="str" cm="1">
        <f t="array" ref="C404">IF(B404="","",INDEX(UWS!$B$10:$B$41,B404))</f>
        <v/>
      </c>
      <c r="D404" s="40" t="str">
        <f t="shared" si="396"/>
        <v/>
      </c>
      <c r="E404" s="69" t="str">
        <f t="shared" si="397"/>
        <v/>
      </c>
      <c r="F404" s="48" cm="1">
        <f t="array" ref="F404">0.1+IFERROR(INDEX($F$5:$F403,SUMPRODUCT(MAX(ROW($C$5:$C403)*($C404=$C$5:$C403))-ROW($A$4)))*0.9^($A404-INDEX($A$5:A403,SUMPRODUCT(MAX(ROW($C$5:$C403)*($C404=$C$5:$C403))-ROW($A$4)))),0)</f>
        <v>33.900000000000212</v>
      </c>
      <c r="G404" s="55" t="e">
        <f>INDEX(UWS!$AB$10:$AB$41,MATCH(C404,UWS!$B$10:$B$41,0))</f>
        <v>#N/A</v>
      </c>
      <c r="H404" s="48" t="e">
        <f>INDEX(UWS!$C$10:$C$41,MATCH(C404,UWS!$B$10:$B$41,0))</f>
        <v>#N/A</v>
      </c>
      <c r="I404" s="27">
        <f t="shared" si="398"/>
        <v>5</v>
      </c>
      <c r="J404" s="27" t="e">
        <f>INDEX(UWS!$E$10:$E$41,MATCH(C404,UWS!$B$10:$B$41,0))</f>
        <v>#N/A</v>
      </c>
      <c r="L404" s="108" t="str" cm="1">
        <f t="array" ref="L404">IF(K404="","",INDEX(UWS!$B$10:$B$41,K404))</f>
        <v/>
      </c>
      <c r="N404" s="108" t="str" cm="1">
        <f t="array" ref="N404">IF(M404="","",INDEX(UWS!$B$10:$B$41,M404))</f>
        <v/>
      </c>
      <c r="P404">
        <f>IFERROR(INDEX(UWS!$G$10:$Z$41,MATCH($C404,UWS!$B$10:$B$41,0),MATCH(P$4,UWS!$G$3:$Z$3,0)),0)</f>
        <v>0</v>
      </c>
      <c r="Q404">
        <f>IFERROR(INDEX(UWS!$G$10:$Z$41,MATCH($C404,UWS!$B$10:$B$41,0),MATCH(Q$4,UWS!$G$3:$Z$3,0)),0)</f>
        <v>0</v>
      </c>
      <c r="R404">
        <f>IFERROR(INDEX(UWS!$G$10:$Z$41,MATCH($C404,UWS!$B$10:$B$41,0),MATCH(R$4,UWS!$G$3:$Z$3,0)),0)</f>
        <v>0</v>
      </c>
      <c r="S404">
        <f>IFERROR(INDEX(UWS!$G$10:$Z$41,MATCH($C404,UWS!$B$10:$B$41,0),MATCH(S$4,UWS!$G$3:$Z$3,0)),0)</f>
        <v>0</v>
      </c>
      <c r="T404">
        <f>IFERROR(INDEX(UWS!$G$10:$Z$41,MATCH($C404,UWS!$B$10:$B$41,0),MATCH(T$4,UWS!$G$3:$Z$3,0)),0)</f>
        <v>0</v>
      </c>
      <c r="U404">
        <f>IFERROR(INDEX(UWS!$G$10:$Z$41,MATCH($C404,UWS!$B$10:$B$41,0),MATCH(U$4,UWS!$G$3:$Z$3,0)),0)</f>
        <v>0</v>
      </c>
      <c r="V404">
        <f>IFERROR(INDEX(UWS!$G$10:$Z$41,MATCH($C404,UWS!$B$10:$B$41,0),MATCH(V$4,UWS!$G$3:$Z$3,0)),0)</f>
        <v>0</v>
      </c>
      <c r="W404">
        <f>IFERROR(INDEX(UWS!$G$10:$Z$41,MATCH($C404,UWS!$B$10:$B$41,0),MATCH(W$4,UWS!$G$3:$Z$3,0)),0)</f>
        <v>0</v>
      </c>
      <c r="X404">
        <f>IFERROR(INDEX(UWS!$G$10:$Z$41,MATCH($C404,UWS!$B$10:$B$41,0),MATCH(X$4,UWS!$G$3:$Z$3,0)),0)</f>
        <v>0</v>
      </c>
      <c r="Y404">
        <f>IFERROR(INDEX(UWS!$G$10:$Z$41,MATCH($C404,UWS!$B$10:$B$41,0),MATCH(Y$4,UWS!$G$3:$Z$3,0)),0)</f>
        <v>0</v>
      </c>
      <c r="Z404">
        <f>IFERROR(INDEX(UWS!$G$10:$Z$41,MATCH($C404,UWS!$B$10:$B$41,0),MATCH(Z$4,UWS!$G$3:$Z$3,0)),0)</f>
        <v>0</v>
      </c>
      <c r="AA404">
        <f>IFERROR(INDEX(UWS!$G$10:$Z$41,MATCH($C404,UWS!$B$10:$B$41,0),MATCH(AA$4,UWS!$G$3:$Z$3,0)),0)</f>
        <v>0</v>
      </c>
      <c r="AB404">
        <f>IFERROR(INDEX(UWS!$G$10:$Z$41,MATCH($C404,UWS!$B$10:$B$41,0),MATCH(AB$4,UWS!$G$3:$Z$3,0)),0)</f>
        <v>0</v>
      </c>
      <c r="AC404">
        <f>IFERROR(INDEX(UWS!$G$10:$Z$41,MATCH($C404,UWS!$B$10:$B$41,0),MATCH(AC$4,UWS!$G$3:$Z$3,0)),0)</f>
        <v>0</v>
      </c>
      <c r="AD404">
        <f>IFERROR(INDEX(UWS!$G$10:$Z$41,MATCH($C404,UWS!$B$10:$B$41,0),MATCH(AD$4,UWS!$G$3:$Z$3,0)),0)</f>
        <v>0</v>
      </c>
      <c r="AE404">
        <f>IFERROR(INDEX(UWS!$G$10:$Z$41,MATCH($C404,UWS!$B$10:$B$41,0),MATCH(AE$4,UWS!$G$3:$Z$3,0)),0)</f>
        <v>0</v>
      </c>
      <c r="AF404">
        <f>IFERROR(INDEX(UWS!$G$10:$Z$41,MATCH($C404,UWS!$B$10:$B$41,0),MATCH(AF$4,UWS!$G$3:$Z$3,0)),0)</f>
        <v>0</v>
      </c>
      <c r="AG404">
        <f>IFERROR(INDEX(UWS!$G$10:$Z$41,MATCH($C404,UWS!$B$10:$B$41,0),MATCH(AG$4,UWS!$G$3:$Z$3,0)),0)</f>
        <v>0</v>
      </c>
      <c r="AH404">
        <f>IFERROR(INDEX(UWS!$G$10:$Z$41,MATCH($C404,UWS!$B$10:$B$41,0),MATCH(AH$4,UWS!$G$3:$Z$3,0)),0)</f>
        <v>0</v>
      </c>
      <c r="AI404">
        <f>IFERROR(INDEX(UWS!$G$10:$Z$41,MATCH($C404,UWS!$B$10:$B$41,0),MATCH(AI$4,UWS!$G$3:$Z$3,0)),0)</f>
        <v>0</v>
      </c>
      <c r="AK404" t="e">
        <f>IF(OR($J404=0,COUNTIFS($A$4:$A403,"&gt;="&amp;$A404-1,$A$4:$A403,"&lt;="&amp;$A404,$B$4:$B403,$B404)&gt;0,MIN(AK$1,IF($A404=$A403,AK403,1))-P404&lt;0),-1,MIN(1,IF($A404=$A403,AK403,1)-P404+$D$3))</f>
        <v>#N/A</v>
      </c>
      <c r="AL404" t="e">
        <f>IF(OR($J404=0,COUNTIFS($A$4:$A403,"&gt;="&amp;$A404-1,$A$4:$A403,"&lt;="&amp;$A404,$B$4:$B403,$B404)&gt;0,MIN(AL$1,IF($A404=$A403,AL403,1))-Q404&lt;0),-1,MIN(1,IF($A404=$A403,AL403,1)-Q404+$D$3))</f>
        <v>#N/A</v>
      </c>
      <c r="AM404" t="e">
        <f>IF(OR($J404=0,COUNTIFS($A$4:$A403,"&gt;="&amp;$A404-1,$A$4:$A403,"&lt;="&amp;$A404,$B$4:$B403,$B404)&gt;0,MIN(AM$1,IF($A404=$A403,AM403,1))-R404&lt;0),-1,MIN(1,IF($A404=$A403,AM403,1)-R404+$D$3))</f>
        <v>#N/A</v>
      </c>
      <c r="AN404" t="e">
        <f>IF(OR($J404=0,COUNTIFS($A$4:$A403,"&gt;="&amp;$A404-1,$A$4:$A403,"&lt;="&amp;$A404,$B$4:$B403,$B404)&gt;0,MIN(AN$1,IF($A404=$A403,AN403,1))-S404&lt;0),-1,MIN(1,IF($A404=$A403,AN403,1)-S404+$D$3))</f>
        <v>#N/A</v>
      </c>
      <c r="AO404" t="e">
        <f>IF(OR($J404=0,COUNTIFS($A$4:$A403,"&gt;="&amp;$A404-1,$A$4:$A403,"&lt;="&amp;$A404,$B$4:$B403,$B404)&gt;0,MIN(AO$1,IF($A404=$A403,AO403,1))-T404&lt;0),-1,MIN(1,IF($A404=$A403,AO403,1)-T404+$D$3))</f>
        <v>#N/A</v>
      </c>
      <c r="AP404" t="e">
        <f>IF(OR($J404=0,COUNTIFS($A$4:$A403,"&gt;="&amp;$A404-1,$A$4:$A403,"&lt;="&amp;$A404,$B$4:$B403,$B404)&gt;0,MIN(AP$1,IF($A404=$A403,AP403,1))-U404&lt;0),-1,MIN(1,IF($A404=$A403,AP403,1)-U404+$D$3))</f>
        <v>#N/A</v>
      </c>
      <c r="AQ404" t="e">
        <f>IF(OR($J404=0,COUNTIFS($A$4:$A403,"&gt;="&amp;$A404-1,$A$4:$A403,"&lt;="&amp;$A404,$B$4:$B403,$B404)&gt;0,MIN(AQ$1,IF($A404=$A403,AQ403,1))-V404&lt;0),-1,MIN(1,IF($A404=$A403,AQ403,1)-V404+$D$3))</f>
        <v>#N/A</v>
      </c>
      <c r="AR404" t="e">
        <f>IF(OR($J404=0,COUNTIFS($A$4:$A403,"&gt;="&amp;$A404-1,$A$4:$A403,"&lt;="&amp;$A404,$B$4:$B403,$B404)&gt;0,MIN(AR$1,IF($A404=$A403,AR403,1))-W404&lt;0),-1,MIN(1,IF($A404=$A403,AR403,1)-W404+$D$3))</f>
        <v>#N/A</v>
      </c>
      <c r="AS404" t="e">
        <f>IF(OR($J404=0,COUNTIFS($A$4:$A403,"&gt;="&amp;$A404-1,$A$4:$A403,"&lt;="&amp;$A404,$B$4:$B403,$B404)&gt;0,MIN(AS$1,IF($A404=$A403,AS403,1))-X404&lt;0),-1,MIN(1,IF($A404=$A403,AS403,1)-X404+$D$3))</f>
        <v>#N/A</v>
      </c>
      <c r="AT404" t="e">
        <f>IF(OR($J404=0,COUNTIFS($A$4:$A403,"&gt;="&amp;$A404-1,$A$4:$A403,"&lt;="&amp;$A404,$B$4:$B403,$B404)&gt;0,MIN(AT$1,IF($A404=$A403,AT403,1))-Y404&lt;0),-1,MIN(1,IF($A404=$A403,AT403,1)-Y404+$D$3))</f>
        <v>#N/A</v>
      </c>
      <c r="AU404" t="e">
        <f>IF(OR($J404=0,COUNTIFS($A$4:$A403,"&gt;="&amp;$A404-1,$A$4:$A403,"&lt;="&amp;$A404,$B$4:$B403,$B404)&gt;0,MIN(AU$1,IF($A404=$A403,AU403,1))-Z404&lt;0),-1,MIN(1,IF($A404=$A403,AU403,1)-Z404+$D$3))</f>
        <v>#N/A</v>
      </c>
      <c r="AV404" t="e">
        <f>IF(OR($J404=0,COUNTIFS($A$4:$A403,"&gt;="&amp;$A404-1,$A$4:$A403,"&lt;="&amp;$A404,$B$4:$B403,$B404)&gt;0,MIN(AV$1,IF($A404=$A403,AV403,1))-AA404&lt;0),-1,MIN(1,IF($A404=$A403,AV403,1)-AA404+$D$3))</f>
        <v>#N/A</v>
      </c>
      <c r="AW404" t="e">
        <f>IF(OR($J404=0,COUNTIFS($A$4:$A403,"&gt;="&amp;$A404-1,$A$4:$A403,"&lt;="&amp;$A404,$B$4:$B403,$B404)&gt;0,MIN(AW$1,IF($A404=$A403,AW403,1))-AB404&lt;0),-1,MIN(1,IF($A404=$A403,AW403,1)-AB404+$D$3))</f>
        <v>#N/A</v>
      </c>
      <c r="AX404" t="e">
        <f>IF(OR($J404=0,COUNTIFS($A$4:$A403,"&gt;="&amp;$A404-1,$A$4:$A403,"&lt;="&amp;$A404,$B$4:$B403,$B404)&gt;0,MIN(AX$1,IF($A404=$A403,AX403,1))-AC404&lt;0),-1,MIN(1,IF($A404=$A403,AX403,1)-AC404+$D$3))</f>
        <v>#N/A</v>
      </c>
      <c r="AY404" t="e">
        <f>IF(OR($J404=0,COUNTIFS($A$4:$A403,"&gt;="&amp;$A404-1,$A$4:$A403,"&lt;="&amp;$A404,$B$4:$B403,$B404)&gt;0,MIN(AY$1,IF($A404=$A403,AY403,1))-AD404&lt;0),-1,MIN(1,IF($A404=$A403,AY403,1)-AD404+$D$3))</f>
        <v>#N/A</v>
      </c>
      <c r="AZ404" t="e">
        <f>IF(OR($J404=0,COUNTIFS($A$4:$A403,"&gt;="&amp;$A404-1,$A$4:$A403,"&lt;="&amp;$A404,$B$4:$B403,$B404)&gt;0,MIN(AZ$1,IF($A404=$A403,AZ403,1))-AE404&lt;0),-1,MIN(1,IF($A404=$A403,AZ403,1)-AE404+$D$3))</f>
        <v>#N/A</v>
      </c>
      <c r="BA404" t="e">
        <f>IF(OR($J404=0,COUNTIFS($A$4:$A403,"&gt;="&amp;$A404-1,$A$4:$A403,"&lt;="&amp;$A404,$B$4:$B403,$B404)&gt;0,MIN(BA$1,IF($A404=$A403,BA403,1))-AF404&lt;0),-1,MIN(1,IF($A404=$A403,BA403,1)-AF404+$D$3))</f>
        <v>#N/A</v>
      </c>
      <c r="BB404" t="e">
        <f>IF(OR($J404=0,COUNTIFS($A$4:$A403,"&gt;="&amp;$A404-1,$A$4:$A403,"&lt;="&amp;$A404,$B$4:$B403,$B404)&gt;0,MIN(BB$1,IF($A404=$A403,BB403,1))-AG404&lt;0),-1,MIN(1,IF($A404=$A403,BB403,1)-AG404+$D$3))</f>
        <v>#N/A</v>
      </c>
      <c r="BC404" t="e">
        <f>IF(OR($J404=0,COUNTIFS($A$4:$A403,"&gt;="&amp;$A404-1,$A$4:$A403,"&lt;="&amp;$A404,$B$4:$B403,$B404)&gt;0,MIN(BC$1,IF($A404=$A403,BC403,1))-AH404&lt;0),-1,MIN(1,IF($A404=$A403,BC403,1)-AH404+$D$3))</f>
        <v>#N/A</v>
      </c>
      <c r="BD404" t="e">
        <f>IF(OR($J404=0,COUNTIFS($A$4:$A403,"&gt;="&amp;$A404-1,$A$4:$A403,"&lt;="&amp;$A404,$B$4:$B403,$B404)&gt;0,MIN(BD$1,IF($A404=$A403,BD403,1))-AI404&lt;0),-1,MIN(1,IF($A404=$A403,BD403,1)-AI404+$D$3))</f>
        <v>#N/A</v>
      </c>
      <c r="BF404" s="44">
        <f t="shared" si="399"/>
        <v>2.6046418200550907E-9</v>
      </c>
      <c r="BG404" s="44">
        <f t="shared" si="400"/>
        <v>6.4055492166297406E-9</v>
      </c>
      <c r="BH404" s="44">
        <f t="shared" si="401"/>
        <v>6.565014149256774E-9</v>
      </c>
      <c r="BI404" s="44">
        <f t="shared" si="402"/>
        <v>6.0642503746766623E-9</v>
      </c>
      <c r="BJ404" s="44">
        <f t="shared" si="403"/>
        <v>6.2679784776580941E-9</v>
      </c>
      <c r="BK404" s="44">
        <f t="shared" si="404"/>
        <v>2.6917036595052727E-9</v>
      </c>
      <c r="BL404" s="44">
        <f t="shared" si="405"/>
        <v>1.4541006638080389E-9</v>
      </c>
      <c r="BM404" s="44">
        <f t="shared" si="406"/>
        <v>3.699062286070643E-9</v>
      </c>
      <c r="BN404" s="44">
        <f t="shared" si="407"/>
        <v>3.8473130653425346E-9</v>
      </c>
      <c r="BO404" s="44">
        <f t="shared" si="408"/>
        <v>1.802996891194258E-9</v>
      </c>
      <c r="BP404" s="44">
        <f t="shared" si="409"/>
        <v>6.0625368755122046E-9</v>
      </c>
      <c r="BQ404" s="44">
        <f t="shared" si="410"/>
        <v>1.6360277421113196E-9</v>
      </c>
      <c r="BR404" s="44">
        <f t="shared" si="411"/>
        <v>4.833235490769901E-9</v>
      </c>
      <c r="BS404" s="44">
        <f t="shared" si="412"/>
        <v>2.6066280377573873E-9</v>
      </c>
      <c r="BT404" s="44">
        <f t="shared" si="413"/>
        <v>1.0315226276170441E-8</v>
      </c>
      <c r="BU404" s="44">
        <f t="shared" si="414"/>
        <v>9.8541450639628327E-9</v>
      </c>
      <c r="BV404" s="44">
        <f t="shared" si="415"/>
        <v>9.4635949021945278E-9</v>
      </c>
      <c r="BW404" s="44">
        <f t="shared" si="416"/>
        <v>6.1897118516111008E-9</v>
      </c>
      <c r="BX404" s="44">
        <f t="shared" si="417"/>
        <v>4.5728467154310806E-9</v>
      </c>
      <c r="BY404" s="44">
        <f t="shared" si="418"/>
        <v>3.9263144942482385E-9</v>
      </c>
      <c r="CA404" s="44" t="str">
        <f t="shared" si="419"/>
        <v/>
      </c>
      <c r="CB404" s="44" t="str">
        <f t="shared" si="420"/>
        <v/>
      </c>
      <c r="CC404" s="44" t="str">
        <f t="shared" si="421"/>
        <v/>
      </c>
      <c r="CD404" s="44" t="str">
        <f t="shared" si="422"/>
        <v/>
      </c>
      <c r="CE404" s="44" t="str">
        <f t="shared" si="423"/>
        <v/>
      </c>
      <c r="CF404" s="44" t="str">
        <f t="shared" si="424"/>
        <v/>
      </c>
      <c r="CG404" s="44" t="str">
        <f t="shared" si="425"/>
        <v/>
      </c>
      <c r="CH404" s="44" t="str">
        <f t="shared" si="426"/>
        <v/>
      </c>
      <c r="CI404" s="44" t="str">
        <f t="shared" si="427"/>
        <v/>
      </c>
      <c r="CJ404" s="44" t="str">
        <f t="shared" si="428"/>
        <v/>
      </c>
      <c r="CK404" s="44" t="str">
        <f t="shared" si="429"/>
        <v/>
      </c>
      <c r="CL404" s="44" t="str">
        <f t="shared" si="430"/>
        <v/>
      </c>
      <c r="CM404" s="44" t="str">
        <f t="shared" si="431"/>
        <v/>
      </c>
      <c r="CN404" s="44" t="str">
        <f t="shared" si="432"/>
        <v/>
      </c>
      <c r="CO404" s="44" t="str">
        <f t="shared" si="433"/>
        <v/>
      </c>
      <c r="CP404" s="44" t="str">
        <f t="shared" si="434"/>
        <v/>
      </c>
      <c r="CQ404" s="44" t="str">
        <f t="shared" si="435"/>
        <v/>
      </c>
      <c r="CR404" s="44" t="str">
        <f t="shared" si="436"/>
        <v/>
      </c>
      <c r="CS404" s="44" t="str">
        <f t="shared" si="437"/>
        <v/>
      </c>
      <c r="CT404" s="44" t="str">
        <f t="shared" si="438"/>
        <v/>
      </c>
      <c r="CV404" s="44">
        <f t="shared" si="439"/>
        <v>0</v>
      </c>
    </row>
    <row r="405" spans="1:100" x14ac:dyDescent="0.25">
      <c r="A405" s="49"/>
      <c r="B405" s="50"/>
      <c r="C405" s="51" t="str" cm="1">
        <f t="array" ref="C405">IF(B405="","",INDEX(UWS!$B$10:$B$41,B405))</f>
        <v/>
      </c>
      <c r="D405" s="45" t="str">
        <f t="shared" si="396"/>
        <v/>
      </c>
      <c r="E405" s="70" t="str">
        <f t="shared" si="397"/>
        <v/>
      </c>
      <c r="F405" s="52" cm="1">
        <f t="array" ref="F405">0.1+IFERROR(INDEX($F$5:$F404,SUMPRODUCT(MAX(ROW($C$5:$C404)*($C405=$C$5:$C404))-ROW($A$4)))*0.9^($A405-INDEX($A$5:A404,SUMPRODUCT(MAX(ROW($C$5:$C404)*($C405=$C$5:$C404))-ROW($A$4)))),0)</f>
        <v>34.000000000000213</v>
      </c>
      <c r="G405" s="56" t="e">
        <f>INDEX(UWS!$AB$10:$AB$41,MATCH(C405,UWS!$B$10:$B$41,0))</f>
        <v>#N/A</v>
      </c>
      <c r="H405" s="52" t="e">
        <f>INDEX(UWS!$C$10:$C$41,MATCH(C405,UWS!$B$10:$B$41,0))</f>
        <v>#N/A</v>
      </c>
      <c r="I405" s="46">
        <f t="shared" si="398"/>
        <v>5</v>
      </c>
      <c r="J405" s="46" t="e">
        <f>INDEX(UWS!$E$10:$E$41,MATCH(C405,UWS!$B$10:$B$41,0))</f>
        <v>#N/A</v>
      </c>
      <c r="K405" s="46"/>
      <c r="L405" s="109" t="str" cm="1">
        <f t="array" ref="L405">IF(K405="","",INDEX(UWS!$B$10:$B$41,K405))</f>
        <v/>
      </c>
      <c r="M405" s="46"/>
      <c r="N405" s="109" t="str" cm="1">
        <f t="array" ref="N405">IF(M405="","",INDEX(UWS!$B$10:$B$41,M405))</f>
        <v/>
      </c>
      <c r="O405" s="47"/>
      <c r="P405" s="47">
        <f>IFERROR(INDEX(UWS!$G$10:$Z$41,MATCH($C405,UWS!$B$10:$B$41,0),MATCH(P$4,UWS!$G$3:$Z$3,0)),0)</f>
        <v>0</v>
      </c>
      <c r="Q405" s="47">
        <f>IFERROR(INDEX(UWS!$G$10:$Z$41,MATCH($C405,UWS!$B$10:$B$41,0),MATCH(Q$4,UWS!$G$3:$Z$3,0)),0)</f>
        <v>0</v>
      </c>
      <c r="R405" s="47">
        <f>IFERROR(INDEX(UWS!$G$10:$Z$41,MATCH($C405,UWS!$B$10:$B$41,0),MATCH(R$4,UWS!$G$3:$Z$3,0)),0)</f>
        <v>0</v>
      </c>
      <c r="S405" s="47">
        <f>IFERROR(INDEX(UWS!$G$10:$Z$41,MATCH($C405,UWS!$B$10:$B$41,0),MATCH(S$4,UWS!$G$3:$Z$3,0)),0)</f>
        <v>0</v>
      </c>
      <c r="T405" s="47">
        <f>IFERROR(INDEX(UWS!$G$10:$Z$41,MATCH($C405,UWS!$B$10:$B$41,0),MATCH(T$4,UWS!$G$3:$Z$3,0)),0)</f>
        <v>0</v>
      </c>
      <c r="U405" s="47">
        <f>IFERROR(INDEX(UWS!$G$10:$Z$41,MATCH($C405,UWS!$B$10:$B$41,0),MATCH(U$4,UWS!$G$3:$Z$3,0)),0)</f>
        <v>0</v>
      </c>
      <c r="V405" s="47">
        <f>IFERROR(INDEX(UWS!$G$10:$Z$41,MATCH($C405,UWS!$B$10:$B$41,0),MATCH(V$4,UWS!$G$3:$Z$3,0)),0)</f>
        <v>0</v>
      </c>
      <c r="W405" s="47">
        <f>IFERROR(INDEX(UWS!$G$10:$Z$41,MATCH($C405,UWS!$B$10:$B$41,0),MATCH(W$4,UWS!$G$3:$Z$3,0)),0)</f>
        <v>0</v>
      </c>
      <c r="X405" s="47">
        <f>IFERROR(INDEX(UWS!$G$10:$Z$41,MATCH($C405,UWS!$B$10:$B$41,0),MATCH(X$4,UWS!$G$3:$Z$3,0)),0)</f>
        <v>0</v>
      </c>
      <c r="Y405" s="47">
        <f>IFERROR(INDEX(UWS!$G$10:$Z$41,MATCH($C405,UWS!$B$10:$B$41,0),MATCH(Y$4,UWS!$G$3:$Z$3,0)),0)</f>
        <v>0</v>
      </c>
      <c r="Z405" s="47">
        <f>IFERROR(INDEX(UWS!$G$10:$Z$41,MATCH($C405,UWS!$B$10:$B$41,0),MATCH(Z$4,UWS!$G$3:$Z$3,0)),0)</f>
        <v>0</v>
      </c>
      <c r="AA405" s="47">
        <f>IFERROR(INDEX(UWS!$G$10:$Z$41,MATCH($C405,UWS!$B$10:$B$41,0),MATCH(AA$4,UWS!$G$3:$Z$3,0)),0)</f>
        <v>0</v>
      </c>
      <c r="AB405" s="47">
        <f>IFERROR(INDEX(UWS!$G$10:$Z$41,MATCH($C405,UWS!$B$10:$B$41,0),MATCH(AB$4,UWS!$G$3:$Z$3,0)),0)</f>
        <v>0</v>
      </c>
      <c r="AC405" s="47">
        <f>IFERROR(INDEX(UWS!$G$10:$Z$41,MATCH($C405,UWS!$B$10:$B$41,0),MATCH(AC$4,UWS!$G$3:$Z$3,0)),0)</f>
        <v>0</v>
      </c>
      <c r="AD405" s="47">
        <f>IFERROR(INDEX(UWS!$G$10:$Z$41,MATCH($C405,UWS!$B$10:$B$41,0),MATCH(AD$4,UWS!$G$3:$Z$3,0)),0)</f>
        <v>0</v>
      </c>
      <c r="AE405" s="47">
        <f>IFERROR(INDEX(UWS!$G$10:$Z$41,MATCH($C405,UWS!$B$10:$B$41,0),MATCH(AE$4,UWS!$G$3:$Z$3,0)),0)</f>
        <v>0</v>
      </c>
      <c r="AF405" s="47">
        <f>IFERROR(INDEX(UWS!$G$10:$Z$41,MATCH($C405,UWS!$B$10:$B$41,0),MATCH(AF$4,UWS!$G$3:$Z$3,0)),0)</f>
        <v>0</v>
      </c>
      <c r="AG405" s="47">
        <f>IFERROR(INDEX(UWS!$G$10:$Z$41,MATCH($C405,UWS!$B$10:$B$41,0),MATCH(AG$4,UWS!$G$3:$Z$3,0)),0)</f>
        <v>0</v>
      </c>
      <c r="AH405" s="47">
        <f>IFERROR(INDEX(UWS!$G$10:$Z$41,MATCH($C405,UWS!$B$10:$B$41,0),MATCH(AH$4,UWS!$G$3:$Z$3,0)),0)</f>
        <v>0</v>
      </c>
      <c r="AI405" s="47">
        <f>IFERROR(INDEX(UWS!$G$10:$Z$41,MATCH($C405,UWS!$B$10:$B$41,0),MATCH(AI$4,UWS!$G$3:$Z$3,0)),0)</f>
        <v>0</v>
      </c>
      <c r="AJ405" s="47"/>
      <c r="AK405" s="47" t="e">
        <f>IF(OR($J405=0,COUNTIFS($A$4:$A404,"&gt;="&amp;$A405-1,$A$4:$A404,"&lt;="&amp;$A405,$B$4:$B404,$B405)&gt;0,MIN(AK$1,IF($A405=$A404,AK404,1))-P405&lt;0),-1,MIN(1,IF($A405=$A404,AK404,1)-P405+$D$3))</f>
        <v>#N/A</v>
      </c>
      <c r="AL405" s="47" t="e">
        <f>IF(OR($J405=0,COUNTIFS($A$4:$A404,"&gt;="&amp;$A405-1,$A$4:$A404,"&lt;="&amp;$A405,$B$4:$B404,$B405)&gt;0,MIN(AL$1,IF($A405=$A404,AL404,1))-Q405&lt;0),-1,MIN(1,IF($A405=$A404,AL404,1)-Q405+$D$3))</f>
        <v>#N/A</v>
      </c>
      <c r="AM405" s="47" t="e">
        <f>IF(OR($J405=0,COUNTIFS($A$4:$A404,"&gt;="&amp;$A405-1,$A$4:$A404,"&lt;="&amp;$A405,$B$4:$B404,$B405)&gt;0,MIN(AM$1,IF($A405=$A404,AM404,1))-R405&lt;0),-1,MIN(1,IF($A405=$A404,AM404,1)-R405+$D$3))</f>
        <v>#N/A</v>
      </c>
      <c r="AN405" s="47" t="e">
        <f>IF(OR($J405=0,COUNTIFS($A$4:$A404,"&gt;="&amp;$A405-1,$A$4:$A404,"&lt;="&amp;$A405,$B$4:$B404,$B405)&gt;0,MIN(AN$1,IF($A405=$A404,AN404,1))-S405&lt;0),-1,MIN(1,IF($A405=$A404,AN404,1)-S405+$D$3))</f>
        <v>#N/A</v>
      </c>
      <c r="AO405" s="47" t="e">
        <f>IF(OR($J405=0,COUNTIFS($A$4:$A404,"&gt;="&amp;$A405-1,$A$4:$A404,"&lt;="&amp;$A405,$B$4:$B404,$B405)&gt;0,MIN(AO$1,IF($A405=$A404,AO404,1))-T405&lt;0),-1,MIN(1,IF($A405=$A404,AO404,1)-T405+$D$3))</f>
        <v>#N/A</v>
      </c>
      <c r="AP405" s="47" t="e">
        <f>IF(OR($J405=0,COUNTIFS($A$4:$A404,"&gt;="&amp;$A405-1,$A$4:$A404,"&lt;="&amp;$A405,$B$4:$B404,$B405)&gt;0,MIN(AP$1,IF($A405=$A404,AP404,1))-U405&lt;0),-1,MIN(1,IF($A405=$A404,AP404,1)-U405+$D$3))</f>
        <v>#N/A</v>
      </c>
      <c r="AQ405" s="47" t="e">
        <f>IF(OR($J405=0,COUNTIFS($A$4:$A404,"&gt;="&amp;$A405-1,$A$4:$A404,"&lt;="&amp;$A405,$B$4:$B404,$B405)&gt;0,MIN(AQ$1,IF($A405=$A404,AQ404,1))-V405&lt;0),-1,MIN(1,IF($A405=$A404,AQ404,1)-V405+$D$3))</f>
        <v>#N/A</v>
      </c>
      <c r="AR405" s="47" t="e">
        <f>IF(OR($J405=0,COUNTIFS($A$4:$A404,"&gt;="&amp;$A405-1,$A$4:$A404,"&lt;="&amp;$A405,$B$4:$B404,$B405)&gt;0,MIN(AR$1,IF($A405=$A404,AR404,1))-W405&lt;0),-1,MIN(1,IF($A405=$A404,AR404,1)-W405+$D$3))</f>
        <v>#N/A</v>
      </c>
      <c r="AS405" s="47" t="e">
        <f>IF(OR($J405=0,COUNTIFS($A$4:$A404,"&gt;="&amp;$A405-1,$A$4:$A404,"&lt;="&amp;$A405,$B$4:$B404,$B405)&gt;0,MIN(AS$1,IF($A405=$A404,AS404,1))-X405&lt;0),-1,MIN(1,IF($A405=$A404,AS404,1)-X405+$D$3))</f>
        <v>#N/A</v>
      </c>
      <c r="AT405" s="47" t="e">
        <f>IF(OR($J405=0,COUNTIFS($A$4:$A404,"&gt;="&amp;$A405-1,$A$4:$A404,"&lt;="&amp;$A405,$B$4:$B404,$B405)&gt;0,MIN(AT$1,IF($A405=$A404,AT404,1))-Y405&lt;0),-1,MIN(1,IF($A405=$A404,AT404,1)-Y405+$D$3))</f>
        <v>#N/A</v>
      </c>
      <c r="AU405" s="47" t="e">
        <f>IF(OR($J405=0,COUNTIFS($A$4:$A404,"&gt;="&amp;$A405-1,$A$4:$A404,"&lt;="&amp;$A405,$B$4:$B404,$B405)&gt;0,MIN(AU$1,IF($A405=$A404,AU404,1))-Z405&lt;0),-1,MIN(1,IF($A405=$A404,AU404,1)-Z405+$D$3))</f>
        <v>#N/A</v>
      </c>
      <c r="AV405" s="47" t="e">
        <f>IF(OR($J405=0,COUNTIFS($A$4:$A404,"&gt;="&amp;$A405-1,$A$4:$A404,"&lt;="&amp;$A405,$B$4:$B404,$B405)&gt;0,MIN(AV$1,IF($A405=$A404,AV404,1))-AA405&lt;0),-1,MIN(1,IF($A405=$A404,AV404,1)-AA405+$D$3))</f>
        <v>#N/A</v>
      </c>
      <c r="AW405" s="47" t="e">
        <f>IF(OR($J405=0,COUNTIFS($A$4:$A404,"&gt;="&amp;$A405-1,$A$4:$A404,"&lt;="&amp;$A405,$B$4:$B404,$B405)&gt;0,MIN(AW$1,IF($A405=$A404,AW404,1))-AB405&lt;0),-1,MIN(1,IF($A405=$A404,AW404,1)-AB405+$D$3))</f>
        <v>#N/A</v>
      </c>
      <c r="AX405" s="47" t="e">
        <f>IF(OR($J405=0,COUNTIFS($A$4:$A404,"&gt;="&amp;$A405-1,$A$4:$A404,"&lt;="&amp;$A405,$B$4:$B404,$B405)&gt;0,MIN(AX$1,IF($A405=$A404,AX404,1))-AC405&lt;0),-1,MIN(1,IF($A405=$A404,AX404,1)-AC405+$D$3))</f>
        <v>#N/A</v>
      </c>
      <c r="AY405" s="47" t="e">
        <f>IF(OR($J405=0,COUNTIFS($A$4:$A404,"&gt;="&amp;$A405-1,$A$4:$A404,"&lt;="&amp;$A405,$B$4:$B404,$B405)&gt;0,MIN(AY$1,IF($A405=$A404,AY404,1))-AD405&lt;0),-1,MIN(1,IF($A405=$A404,AY404,1)-AD405+$D$3))</f>
        <v>#N/A</v>
      </c>
      <c r="AZ405" s="47" t="e">
        <f>IF(OR($J405=0,COUNTIFS($A$4:$A404,"&gt;="&amp;$A405-1,$A$4:$A404,"&lt;="&amp;$A405,$B$4:$B404,$B405)&gt;0,MIN(AZ$1,IF($A405=$A404,AZ404,1))-AE405&lt;0),-1,MIN(1,IF($A405=$A404,AZ404,1)-AE405+$D$3))</f>
        <v>#N/A</v>
      </c>
      <c r="BA405" s="47" t="e">
        <f>IF(OR($J405=0,COUNTIFS($A$4:$A404,"&gt;="&amp;$A405-1,$A$4:$A404,"&lt;="&amp;$A405,$B$4:$B404,$B405)&gt;0,MIN(BA$1,IF($A405=$A404,BA404,1))-AF405&lt;0),-1,MIN(1,IF($A405=$A404,BA404,1)-AF405+$D$3))</f>
        <v>#N/A</v>
      </c>
      <c r="BB405" s="47" t="e">
        <f>IF(OR($J405=0,COUNTIFS($A$4:$A404,"&gt;="&amp;$A405-1,$A$4:$A404,"&lt;="&amp;$A405,$B$4:$B404,$B405)&gt;0,MIN(BB$1,IF($A405=$A404,BB404,1))-AG405&lt;0),-1,MIN(1,IF($A405=$A404,BB404,1)-AG405+$D$3))</f>
        <v>#N/A</v>
      </c>
      <c r="BC405" s="47" t="e">
        <f>IF(OR($J405=0,COUNTIFS($A$4:$A404,"&gt;="&amp;$A405-1,$A$4:$A404,"&lt;="&amp;$A405,$B$4:$B404,$B405)&gt;0,MIN(BC$1,IF($A405=$A404,BC404,1))-AH405&lt;0),-1,MIN(1,IF($A405=$A404,BC404,1)-AH405+$D$3))</f>
        <v>#N/A</v>
      </c>
      <c r="BD405" s="47" t="e">
        <f>IF(OR($J405=0,COUNTIFS($A$4:$A404,"&gt;="&amp;$A405-1,$A$4:$A404,"&lt;="&amp;$A405,$B$4:$B404,$B405)&gt;0,MIN(BD$1,IF($A405=$A404,BD404,1))-AI405&lt;0),-1,MIN(1,IF($A405=$A404,BD404,1)-AI405+$D$3))</f>
        <v>#N/A</v>
      </c>
      <c r="BE405" s="47"/>
      <c r="BF405" s="53">
        <f t="shared" si="399"/>
        <v>2.4744097290523362E-9</v>
      </c>
      <c r="BG405" s="53">
        <f t="shared" si="400"/>
        <v>6.0852717557982534E-9</v>
      </c>
      <c r="BH405" s="53">
        <f t="shared" si="401"/>
        <v>6.2367634417939346E-9</v>
      </c>
      <c r="BI405" s="53">
        <f t="shared" si="402"/>
        <v>5.7610378559428286E-9</v>
      </c>
      <c r="BJ405" s="53">
        <f t="shared" si="403"/>
        <v>5.9545795537751888E-9</v>
      </c>
      <c r="BK405" s="53">
        <f t="shared" si="404"/>
        <v>2.557118476530009E-9</v>
      </c>
      <c r="BL405" s="53">
        <f t="shared" si="405"/>
        <v>1.3813956306176369E-9</v>
      </c>
      <c r="BM405" s="53">
        <f t="shared" si="406"/>
        <v>3.5141091717671107E-9</v>
      </c>
      <c r="BN405" s="53">
        <f t="shared" si="407"/>
        <v>3.6549474120754077E-9</v>
      </c>
      <c r="BO405" s="53">
        <f t="shared" si="408"/>
        <v>1.712847046634545E-9</v>
      </c>
      <c r="BP405" s="53">
        <f t="shared" si="409"/>
        <v>5.7594100317365937E-9</v>
      </c>
      <c r="BQ405" s="53">
        <f t="shared" si="410"/>
        <v>1.5542263550057536E-9</v>
      </c>
      <c r="BR405" s="53">
        <f t="shared" si="411"/>
        <v>4.5915737162314058E-9</v>
      </c>
      <c r="BS405" s="53">
        <f t="shared" si="412"/>
        <v>2.476296635869518E-9</v>
      </c>
      <c r="BT405" s="53">
        <f t="shared" si="413"/>
        <v>9.7994649623619189E-9</v>
      </c>
      <c r="BU405" s="53">
        <f t="shared" si="414"/>
        <v>9.3614378107646911E-9</v>
      </c>
      <c r="BV405" s="53">
        <f t="shared" si="415"/>
        <v>8.9904151570848009E-9</v>
      </c>
      <c r="BW405" s="53">
        <f t="shared" si="416"/>
        <v>5.8802262590305455E-9</v>
      </c>
      <c r="BX405" s="53">
        <f t="shared" si="417"/>
        <v>4.3442043796595267E-9</v>
      </c>
      <c r="BY405" s="53">
        <f t="shared" si="418"/>
        <v>3.7299987695358262E-9</v>
      </c>
      <c r="BZ405" s="47"/>
      <c r="CA405" s="53" t="str">
        <f t="shared" si="419"/>
        <v/>
      </c>
      <c r="CB405" s="53" t="str">
        <f t="shared" si="420"/>
        <v/>
      </c>
      <c r="CC405" s="53" t="str">
        <f t="shared" si="421"/>
        <v/>
      </c>
      <c r="CD405" s="53" t="str">
        <f t="shared" si="422"/>
        <v/>
      </c>
      <c r="CE405" s="53" t="str">
        <f t="shared" si="423"/>
        <v/>
      </c>
      <c r="CF405" s="53" t="str">
        <f t="shared" si="424"/>
        <v/>
      </c>
      <c r="CG405" s="53" t="str">
        <f t="shared" si="425"/>
        <v/>
      </c>
      <c r="CH405" s="53" t="str">
        <f t="shared" si="426"/>
        <v/>
      </c>
      <c r="CI405" s="53" t="str">
        <f t="shared" si="427"/>
        <v/>
      </c>
      <c r="CJ405" s="53" t="str">
        <f t="shared" si="428"/>
        <v/>
      </c>
      <c r="CK405" s="53" t="str">
        <f t="shared" si="429"/>
        <v/>
      </c>
      <c r="CL405" s="53" t="str">
        <f t="shared" si="430"/>
        <v/>
      </c>
      <c r="CM405" s="53" t="str">
        <f t="shared" si="431"/>
        <v/>
      </c>
      <c r="CN405" s="53" t="str">
        <f t="shared" si="432"/>
        <v/>
      </c>
      <c r="CO405" s="53" t="str">
        <f t="shared" si="433"/>
        <v/>
      </c>
      <c r="CP405" s="53" t="str">
        <f t="shared" si="434"/>
        <v/>
      </c>
      <c r="CQ405" s="53" t="str">
        <f t="shared" si="435"/>
        <v/>
      </c>
      <c r="CR405" s="53" t="str">
        <f t="shared" si="436"/>
        <v/>
      </c>
      <c r="CS405" s="53" t="str">
        <f t="shared" si="437"/>
        <v/>
      </c>
      <c r="CT405" s="53" t="str">
        <f t="shared" si="438"/>
        <v/>
      </c>
      <c r="CU405" s="47"/>
      <c r="CV405" s="53">
        <f t="shared" si="439"/>
        <v>0</v>
      </c>
    </row>
    <row r="406" spans="1:100" x14ac:dyDescent="0.25">
      <c r="A406" s="41"/>
      <c r="B406" s="42"/>
      <c r="C406" s="43" t="str" cm="1">
        <f t="array" ref="C406">IF(B406="","",INDEX(UWS!$B$10:$B$41,B406))</f>
        <v/>
      </c>
      <c r="D406" s="40" t="str">
        <f t="shared" si="396"/>
        <v/>
      </c>
      <c r="E406" s="69" t="str">
        <f t="shared" si="397"/>
        <v/>
      </c>
      <c r="F406" s="48" cm="1">
        <f t="array" ref="F406">0.1+IFERROR(INDEX($F$5:$F405,SUMPRODUCT(MAX(ROW($C$5:$C405)*($C406=$C$5:$C405))-ROW($A$4)))*0.9^($A406-INDEX($A$5:A405,SUMPRODUCT(MAX(ROW($C$5:$C405)*($C406=$C$5:$C405))-ROW($A$4)))),0)</f>
        <v>34.100000000000215</v>
      </c>
      <c r="G406" s="55" t="e">
        <f>INDEX(UWS!$AB$10:$AB$41,MATCH(C406,UWS!$B$10:$B$41,0))</f>
        <v>#N/A</v>
      </c>
      <c r="H406" s="48" t="e">
        <f>INDEX(UWS!$C$10:$C$41,MATCH(C406,UWS!$B$10:$B$41,0))</f>
        <v>#N/A</v>
      </c>
      <c r="I406" s="82">
        <f t="shared" si="398"/>
        <v>5</v>
      </c>
      <c r="J406" s="27" t="e">
        <f>INDEX(UWS!$E$10:$E$41,MATCH(C406,UWS!$B$10:$B$41,0))</f>
        <v>#N/A</v>
      </c>
      <c r="L406" s="108" t="str" cm="1">
        <f t="array" ref="L406">IF(K406="","",INDEX(UWS!$B$10:$B$41,K406))</f>
        <v/>
      </c>
      <c r="N406" s="108" t="str" cm="1">
        <f t="array" ref="N406">IF(M406="","",INDEX(UWS!$B$10:$B$41,M406))</f>
        <v/>
      </c>
      <c r="P406">
        <f>IFERROR(INDEX(UWS!$G$10:$Z$41,MATCH($C406,UWS!$B$10:$B$41,0),MATCH(P$4,UWS!$G$3:$Z$3,0)),0)</f>
        <v>0</v>
      </c>
      <c r="Q406">
        <f>IFERROR(INDEX(UWS!$G$10:$Z$41,MATCH($C406,UWS!$B$10:$B$41,0),MATCH(Q$4,UWS!$G$3:$Z$3,0)),0)</f>
        <v>0</v>
      </c>
      <c r="R406">
        <f>IFERROR(INDEX(UWS!$G$10:$Z$41,MATCH($C406,UWS!$B$10:$B$41,0),MATCH(R$4,UWS!$G$3:$Z$3,0)),0)</f>
        <v>0</v>
      </c>
      <c r="S406">
        <f>IFERROR(INDEX(UWS!$G$10:$Z$41,MATCH($C406,UWS!$B$10:$B$41,0),MATCH(S$4,UWS!$G$3:$Z$3,0)),0)</f>
        <v>0</v>
      </c>
      <c r="T406">
        <f>IFERROR(INDEX(UWS!$G$10:$Z$41,MATCH($C406,UWS!$B$10:$B$41,0),MATCH(T$4,UWS!$G$3:$Z$3,0)),0)</f>
        <v>0</v>
      </c>
      <c r="U406">
        <f>IFERROR(INDEX(UWS!$G$10:$Z$41,MATCH($C406,UWS!$B$10:$B$41,0),MATCH(U$4,UWS!$G$3:$Z$3,0)),0)</f>
        <v>0</v>
      </c>
      <c r="V406">
        <f>IFERROR(INDEX(UWS!$G$10:$Z$41,MATCH($C406,UWS!$B$10:$B$41,0),MATCH(V$4,UWS!$G$3:$Z$3,0)),0)</f>
        <v>0</v>
      </c>
      <c r="W406">
        <f>IFERROR(INDEX(UWS!$G$10:$Z$41,MATCH($C406,UWS!$B$10:$B$41,0),MATCH(W$4,UWS!$G$3:$Z$3,0)),0)</f>
        <v>0</v>
      </c>
      <c r="X406">
        <f>IFERROR(INDEX(UWS!$G$10:$Z$41,MATCH($C406,UWS!$B$10:$B$41,0),MATCH(X$4,UWS!$G$3:$Z$3,0)),0)</f>
        <v>0</v>
      </c>
      <c r="Y406">
        <f>IFERROR(INDEX(UWS!$G$10:$Z$41,MATCH($C406,UWS!$B$10:$B$41,0),MATCH(Y$4,UWS!$G$3:$Z$3,0)),0)</f>
        <v>0</v>
      </c>
      <c r="Z406">
        <f>IFERROR(INDEX(UWS!$G$10:$Z$41,MATCH($C406,UWS!$B$10:$B$41,0),MATCH(Z$4,UWS!$G$3:$Z$3,0)),0)</f>
        <v>0</v>
      </c>
      <c r="AA406">
        <f>IFERROR(INDEX(UWS!$G$10:$Z$41,MATCH($C406,UWS!$B$10:$B$41,0),MATCH(AA$4,UWS!$G$3:$Z$3,0)),0)</f>
        <v>0</v>
      </c>
      <c r="AB406">
        <f>IFERROR(INDEX(UWS!$G$10:$Z$41,MATCH($C406,UWS!$B$10:$B$41,0),MATCH(AB$4,UWS!$G$3:$Z$3,0)),0)</f>
        <v>0</v>
      </c>
      <c r="AC406">
        <f>IFERROR(INDEX(UWS!$G$10:$Z$41,MATCH($C406,UWS!$B$10:$B$41,0),MATCH(AC$4,UWS!$G$3:$Z$3,0)),0)</f>
        <v>0</v>
      </c>
      <c r="AD406">
        <f>IFERROR(INDEX(UWS!$G$10:$Z$41,MATCH($C406,UWS!$B$10:$B$41,0),MATCH(AD$4,UWS!$G$3:$Z$3,0)),0)</f>
        <v>0</v>
      </c>
      <c r="AE406">
        <f>IFERROR(INDEX(UWS!$G$10:$Z$41,MATCH($C406,UWS!$B$10:$B$41,0),MATCH(AE$4,UWS!$G$3:$Z$3,0)),0)</f>
        <v>0</v>
      </c>
      <c r="AF406">
        <f>IFERROR(INDEX(UWS!$G$10:$Z$41,MATCH($C406,UWS!$B$10:$B$41,0),MATCH(AF$4,UWS!$G$3:$Z$3,0)),0)</f>
        <v>0</v>
      </c>
      <c r="AG406">
        <f>IFERROR(INDEX(UWS!$G$10:$Z$41,MATCH($C406,UWS!$B$10:$B$41,0),MATCH(AG$4,UWS!$G$3:$Z$3,0)),0)</f>
        <v>0</v>
      </c>
      <c r="AH406">
        <f>IFERROR(INDEX(UWS!$G$10:$Z$41,MATCH($C406,UWS!$B$10:$B$41,0),MATCH(AH$4,UWS!$G$3:$Z$3,0)),0)</f>
        <v>0</v>
      </c>
      <c r="AI406">
        <f>IFERROR(INDEX(UWS!$G$10:$Z$41,MATCH($C406,UWS!$B$10:$B$41,0),MATCH(AI$4,UWS!$G$3:$Z$3,0)),0)</f>
        <v>0</v>
      </c>
      <c r="AK406" t="e">
        <f>IF(OR($J406=0,COUNTIFS($A$4:$A405,"&gt;="&amp;$A406-1,$A$4:$A405,"&lt;="&amp;$A406,$B$4:$B405,$B406)&gt;0,MIN(AK$1,IF($A406=$A405,AK405,1))-P406&lt;0),-1,MIN(1,IF($A406=$A405,AK405,1)-P406+$D$3))</f>
        <v>#N/A</v>
      </c>
      <c r="AL406" t="e">
        <f>IF(OR($J406=0,COUNTIFS($A$4:$A405,"&gt;="&amp;$A406-1,$A$4:$A405,"&lt;="&amp;$A406,$B$4:$B405,$B406)&gt;0,MIN(AL$1,IF($A406=$A405,AL405,1))-Q406&lt;0),-1,MIN(1,IF($A406=$A405,AL405,1)-Q406+$D$3))</f>
        <v>#N/A</v>
      </c>
      <c r="AM406" t="e">
        <f>IF(OR($J406=0,COUNTIFS($A$4:$A405,"&gt;="&amp;$A406-1,$A$4:$A405,"&lt;="&amp;$A406,$B$4:$B405,$B406)&gt;0,MIN(AM$1,IF($A406=$A405,AM405,1))-R406&lt;0),-1,MIN(1,IF($A406=$A405,AM405,1)-R406+$D$3))</f>
        <v>#N/A</v>
      </c>
      <c r="AN406" t="e">
        <f>IF(OR($J406=0,COUNTIFS($A$4:$A405,"&gt;="&amp;$A406-1,$A$4:$A405,"&lt;="&amp;$A406,$B$4:$B405,$B406)&gt;0,MIN(AN$1,IF($A406=$A405,AN405,1))-S406&lt;0),-1,MIN(1,IF($A406=$A405,AN405,1)-S406+$D$3))</f>
        <v>#N/A</v>
      </c>
      <c r="AO406" t="e">
        <f>IF(OR($J406=0,COUNTIFS($A$4:$A405,"&gt;="&amp;$A406-1,$A$4:$A405,"&lt;="&amp;$A406,$B$4:$B405,$B406)&gt;0,MIN(AO$1,IF($A406=$A405,AO405,1))-T406&lt;0),-1,MIN(1,IF($A406=$A405,AO405,1)-T406+$D$3))</f>
        <v>#N/A</v>
      </c>
      <c r="AP406" t="e">
        <f>IF(OR($J406=0,COUNTIFS($A$4:$A405,"&gt;="&amp;$A406-1,$A$4:$A405,"&lt;="&amp;$A406,$B$4:$B405,$B406)&gt;0,MIN(AP$1,IF($A406=$A405,AP405,1))-U406&lt;0),-1,MIN(1,IF($A406=$A405,AP405,1)-U406+$D$3))</f>
        <v>#N/A</v>
      </c>
      <c r="AQ406" t="e">
        <f>IF(OR($J406=0,COUNTIFS($A$4:$A405,"&gt;="&amp;$A406-1,$A$4:$A405,"&lt;="&amp;$A406,$B$4:$B405,$B406)&gt;0,MIN(AQ$1,IF($A406=$A405,AQ405,1))-V406&lt;0),-1,MIN(1,IF($A406=$A405,AQ405,1)-V406+$D$3))</f>
        <v>#N/A</v>
      </c>
      <c r="AR406" t="e">
        <f>IF(OR($J406=0,COUNTIFS($A$4:$A405,"&gt;="&amp;$A406-1,$A$4:$A405,"&lt;="&amp;$A406,$B$4:$B405,$B406)&gt;0,MIN(AR$1,IF($A406=$A405,AR405,1))-W406&lt;0),-1,MIN(1,IF($A406=$A405,AR405,1)-W406+$D$3))</f>
        <v>#N/A</v>
      </c>
      <c r="AS406" t="e">
        <f>IF(OR($J406=0,COUNTIFS($A$4:$A405,"&gt;="&amp;$A406-1,$A$4:$A405,"&lt;="&amp;$A406,$B$4:$B405,$B406)&gt;0,MIN(AS$1,IF($A406=$A405,AS405,1))-X406&lt;0),-1,MIN(1,IF($A406=$A405,AS405,1)-X406+$D$3))</f>
        <v>#N/A</v>
      </c>
      <c r="AT406" t="e">
        <f>IF(OR($J406=0,COUNTIFS($A$4:$A405,"&gt;="&amp;$A406-1,$A$4:$A405,"&lt;="&amp;$A406,$B$4:$B405,$B406)&gt;0,MIN(AT$1,IF($A406=$A405,AT405,1))-Y406&lt;0),-1,MIN(1,IF($A406=$A405,AT405,1)-Y406+$D$3))</f>
        <v>#N/A</v>
      </c>
      <c r="AU406" t="e">
        <f>IF(OR($J406=0,COUNTIFS($A$4:$A405,"&gt;="&amp;$A406-1,$A$4:$A405,"&lt;="&amp;$A406,$B$4:$B405,$B406)&gt;0,MIN(AU$1,IF($A406=$A405,AU405,1))-Z406&lt;0),-1,MIN(1,IF($A406=$A405,AU405,1)-Z406+$D$3))</f>
        <v>#N/A</v>
      </c>
      <c r="AV406" t="e">
        <f>IF(OR($J406=0,COUNTIFS($A$4:$A405,"&gt;="&amp;$A406-1,$A$4:$A405,"&lt;="&amp;$A406,$B$4:$B405,$B406)&gt;0,MIN(AV$1,IF($A406=$A405,AV405,1))-AA406&lt;0),-1,MIN(1,IF($A406=$A405,AV405,1)-AA406+$D$3))</f>
        <v>#N/A</v>
      </c>
      <c r="AW406" t="e">
        <f>IF(OR($J406=0,COUNTIFS($A$4:$A405,"&gt;="&amp;$A406-1,$A$4:$A405,"&lt;="&amp;$A406,$B$4:$B405,$B406)&gt;0,MIN(AW$1,IF($A406=$A405,AW405,1))-AB406&lt;0),-1,MIN(1,IF($A406=$A405,AW405,1)-AB406+$D$3))</f>
        <v>#N/A</v>
      </c>
      <c r="AX406" t="e">
        <f>IF(OR($J406=0,COUNTIFS($A$4:$A405,"&gt;="&amp;$A406-1,$A$4:$A405,"&lt;="&amp;$A406,$B$4:$B405,$B406)&gt;0,MIN(AX$1,IF($A406=$A405,AX405,1))-AC406&lt;0),-1,MIN(1,IF($A406=$A405,AX405,1)-AC406+$D$3))</f>
        <v>#N/A</v>
      </c>
      <c r="AY406" t="e">
        <f>IF(OR($J406=0,COUNTIFS($A$4:$A405,"&gt;="&amp;$A406-1,$A$4:$A405,"&lt;="&amp;$A406,$B$4:$B405,$B406)&gt;0,MIN(AY$1,IF($A406=$A405,AY405,1))-AD406&lt;0),-1,MIN(1,IF($A406=$A405,AY405,1)-AD406+$D$3))</f>
        <v>#N/A</v>
      </c>
      <c r="AZ406" t="e">
        <f>IF(OR($J406=0,COUNTIFS($A$4:$A405,"&gt;="&amp;$A406-1,$A$4:$A405,"&lt;="&amp;$A406,$B$4:$B405,$B406)&gt;0,MIN(AZ$1,IF($A406=$A405,AZ405,1))-AE406&lt;0),-1,MIN(1,IF($A406=$A405,AZ405,1)-AE406+$D$3))</f>
        <v>#N/A</v>
      </c>
      <c r="BA406" t="e">
        <f>IF(OR($J406=0,COUNTIFS($A$4:$A405,"&gt;="&amp;$A406-1,$A$4:$A405,"&lt;="&amp;$A406,$B$4:$B405,$B406)&gt;0,MIN(BA$1,IF($A406=$A405,BA405,1))-AF406&lt;0),-1,MIN(1,IF($A406=$A405,BA405,1)-AF406+$D$3))</f>
        <v>#N/A</v>
      </c>
      <c r="BB406" t="e">
        <f>IF(OR($J406=0,COUNTIFS($A$4:$A405,"&gt;="&amp;$A406-1,$A$4:$A405,"&lt;="&amp;$A406,$B$4:$B405,$B406)&gt;0,MIN(BB$1,IF($A406=$A405,BB405,1))-AG406&lt;0),-1,MIN(1,IF($A406=$A405,BB405,1)-AG406+$D$3))</f>
        <v>#N/A</v>
      </c>
      <c r="BC406" t="e">
        <f>IF(OR($J406=0,COUNTIFS($A$4:$A405,"&gt;="&amp;$A406-1,$A$4:$A405,"&lt;="&amp;$A406,$B$4:$B405,$B406)&gt;0,MIN(BC$1,IF($A406=$A405,BC405,1))-AH406&lt;0),-1,MIN(1,IF($A406=$A405,BC405,1)-AH406+$D$3))</f>
        <v>#N/A</v>
      </c>
      <c r="BD406" t="e">
        <f>IF(OR($J406=0,COUNTIFS($A$4:$A405,"&gt;="&amp;$A406-1,$A$4:$A405,"&lt;="&amp;$A406,$B$4:$B405,$B406)&gt;0,MIN(BD$1,IF($A406=$A405,BD405,1))-AI406&lt;0),-1,MIN(1,IF($A406=$A405,BD405,1)-AI406+$D$3))</f>
        <v>#N/A</v>
      </c>
      <c r="BF406" s="44">
        <f t="shared" si="399"/>
        <v>2.3506892425997193E-9</v>
      </c>
      <c r="BG406" s="44">
        <f t="shared" si="400"/>
        <v>5.7810081680083406E-9</v>
      </c>
      <c r="BH406" s="44">
        <f t="shared" si="401"/>
        <v>5.9249252697042374E-9</v>
      </c>
      <c r="BI406" s="44">
        <f t="shared" si="402"/>
        <v>5.4729859631456867E-9</v>
      </c>
      <c r="BJ406" s="44">
        <f t="shared" si="403"/>
        <v>5.6568505760864295E-9</v>
      </c>
      <c r="BK406" s="44">
        <f t="shared" si="404"/>
        <v>2.4292625527035082E-9</v>
      </c>
      <c r="BL406" s="44">
        <f t="shared" si="405"/>
        <v>1.312325849086755E-9</v>
      </c>
      <c r="BM406" s="44">
        <f t="shared" si="406"/>
        <v>3.3384037131787552E-9</v>
      </c>
      <c r="BN406" s="44">
        <f t="shared" si="407"/>
        <v>3.4722000414716373E-9</v>
      </c>
      <c r="BO406" s="44">
        <f t="shared" si="408"/>
        <v>1.6272046943028177E-9</v>
      </c>
      <c r="BP406" s="44">
        <f t="shared" si="409"/>
        <v>5.471439530149764E-9</v>
      </c>
      <c r="BQ406" s="44">
        <f t="shared" si="410"/>
        <v>1.4765150372554658E-9</v>
      </c>
      <c r="BR406" s="44">
        <f t="shared" si="411"/>
        <v>4.3619950304198355E-9</v>
      </c>
      <c r="BS406" s="44">
        <f t="shared" si="412"/>
        <v>2.3524818040760419E-9</v>
      </c>
      <c r="BT406" s="44">
        <f t="shared" si="413"/>
        <v>9.3094917142438223E-9</v>
      </c>
      <c r="BU406" s="44">
        <f t="shared" si="414"/>
        <v>8.8933659202264567E-9</v>
      </c>
      <c r="BV406" s="44">
        <f t="shared" si="415"/>
        <v>8.5408943992305612E-9</v>
      </c>
      <c r="BW406" s="44">
        <f t="shared" si="416"/>
        <v>5.5862149460790177E-9</v>
      </c>
      <c r="BX406" s="44">
        <f t="shared" si="417"/>
        <v>4.1269941606765502E-9</v>
      </c>
      <c r="BY406" s="44">
        <f t="shared" si="418"/>
        <v>3.5434988310590348E-9</v>
      </c>
      <c r="CA406" s="44" t="str">
        <f t="shared" si="419"/>
        <v/>
      </c>
      <c r="CB406" s="44" t="str">
        <f t="shared" si="420"/>
        <v/>
      </c>
      <c r="CC406" s="44" t="str">
        <f t="shared" si="421"/>
        <v/>
      </c>
      <c r="CD406" s="44" t="str">
        <f t="shared" si="422"/>
        <v/>
      </c>
      <c r="CE406" s="44" t="str">
        <f t="shared" si="423"/>
        <v/>
      </c>
      <c r="CF406" s="44" t="str">
        <f t="shared" si="424"/>
        <v/>
      </c>
      <c r="CG406" s="44" t="str">
        <f t="shared" si="425"/>
        <v/>
      </c>
      <c r="CH406" s="44" t="str">
        <f t="shared" si="426"/>
        <v/>
      </c>
      <c r="CI406" s="44" t="str">
        <f t="shared" si="427"/>
        <v/>
      </c>
      <c r="CJ406" s="44" t="str">
        <f t="shared" si="428"/>
        <v/>
      </c>
      <c r="CK406" s="44" t="str">
        <f t="shared" si="429"/>
        <v/>
      </c>
      <c r="CL406" s="44" t="str">
        <f t="shared" si="430"/>
        <v/>
      </c>
      <c r="CM406" s="44" t="str">
        <f t="shared" si="431"/>
        <v/>
      </c>
      <c r="CN406" s="44" t="str">
        <f t="shared" si="432"/>
        <v/>
      </c>
      <c r="CO406" s="44" t="str">
        <f t="shared" si="433"/>
        <v/>
      </c>
      <c r="CP406" s="44" t="str">
        <f t="shared" si="434"/>
        <v/>
      </c>
      <c r="CQ406" s="44" t="str">
        <f t="shared" si="435"/>
        <v/>
      </c>
      <c r="CR406" s="44" t="str">
        <f t="shared" si="436"/>
        <v/>
      </c>
      <c r="CS406" s="44" t="str">
        <f t="shared" si="437"/>
        <v/>
      </c>
      <c r="CT406" s="44" t="str">
        <f t="shared" si="438"/>
        <v/>
      </c>
      <c r="CV406" s="44">
        <f t="shared" si="439"/>
        <v>0</v>
      </c>
    </row>
    <row r="407" spans="1:100" x14ac:dyDescent="0.25">
      <c r="A407" s="41"/>
      <c r="B407" s="42"/>
      <c r="C407" s="43" t="str" cm="1">
        <f t="array" ref="C407">IF(B407="","",INDEX(UWS!$B$10:$B$41,B407))</f>
        <v/>
      </c>
      <c r="D407" s="40" t="str">
        <f t="shared" si="396"/>
        <v/>
      </c>
      <c r="E407" s="69" t="str">
        <f t="shared" si="397"/>
        <v/>
      </c>
      <c r="F407" s="48" cm="1">
        <f t="array" ref="F407">0.1+IFERROR(INDEX($F$5:$F406,SUMPRODUCT(MAX(ROW($C$5:$C406)*($C407=$C$5:$C406))-ROW($A$4)))*0.9^($A407-INDEX($A$5:A406,SUMPRODUCT(MAX(ROW($C$5:$C406)*($C407=$C$5:$C406))-ROW($A$4)))),0)</f>
        <v>34.200000000000216</v>
      </c>
      <c r="G407" s="55" t="e">
        <f>INDEX(UWS!$AB$10:$AB$41,MATCH(C407,UWS!$B$10:$B$41,0))</f>
        <v>#N/A</v>
      </c>
      <c r="H407" s="48" t="e">
        <f>INDEX(UWS!$C$10:$C$41,MATCH(C407,UWS!$B$10:$B$41,0))</f>
        <v>#N/A</v>
      </c>
      <c r="I407" s="27">
        <f t="shared" si="398"/>
        <v>5</v>
      </c>
      <c r="J407" s="27" t="e">
        <f>INDEX(UWS!$E$10:$E$41,MATCH(C407,UWS!$B$10:$B$41,0))</f>
        <v>#N/A</v>
      </c>
      <c r="L407" s="108" t="str" cm="1">
        <f t="array" ref="L407">IF(K407="","",INDEX(UWS!$B$10:$B$41,K407))</f>
        <v/>
      </c>
      <c r="N407" s="108" t="str" cm="1">
        <f t="array" ref="N407">IF(M407="","",INDEX(UWS!$B$10:$B$41,M407))</f>
        <v/>
      </c>
      <c r="P407">
        <f>IFERROR(INDEX(UWS!$G$10:$Z$41,MATCH($C407,UWS!$B$10:$B$41,0),MATCH(P$4,UWS!$G$3:$Z$3,0)),0)</f>
        <v>0</v>
      </c>
      <c r="Q407">
        <f>IFERROR(INDEX(UWS!$G$10:$Z$41,MATCH($C407,UWS!$B$10:$B$41,0),MATCH(Q$4,UWS!$G$3:$Z$3,0)),0)</f>
        <v>0</v>
      </c>
      <c r="R407">
        <f>IFERROR(INDEX(UWS!$G$10:$Z$41,MATCH($C407,UWS!$B$10:$B$41,0),MATCH(R$4,UWS!$G$3:$Z$3,0)),0)</f>
        <v>0</v>
      </c>
      <c r="S407">
        <f>IFERROR(INDEX(UWS!$G$10:$Z$41,MATCH($C407,UWS!$B$10:$B$41,0),MATCH(S$4,UWS!$G$3:$Z$3,0)),0)</f>
        <v>0</v>
      </c>
      <c r="T407">
        <f>IFERROR(INDEX(UWS!$G$10:$Z$41,MATCH($C407,UWS!$B$10:$B$41,0),MATCH(T$4,UWS!$G$3:$Z$3,0)),0)</f>
        <v>0</v>
      </c>
      <c r="U407">
        <f>IFERROR(INDEX(UWS!$G$10:$Z$41,MATCH($C407,UWS!$B$10:$B$41,0),MATCH(U$4,UWS!$G$3:$Z$3,0)),0)</f>
        <v>0</v>
      </c>
      <c r="V407">
        <f>IFERROR(INDEX(UWS!$G$10:$Z$41,MATCH($C407,UWS!$B$10:$B$41,0),MATCH(V$4,UWS!$G$3:$Z$3,0)),0)</f>
        <v>0</v>
      </c>
      <c r="W407">
        <f>IFERROR(INDEX(UWS!$G$10:$Z$41,MATCH($C407,UWS!$B$10:$B$41,0),MATCH(W$4,UWS!$G$3:$Z$3,0)),0)</f>
        <v>0</v>
      </c>
      <c r="X407">
        <f>IFERROR(INDEX(UWS!$G$10:$Z$41,MATCH($C407,UWS!$B$10:$B$41,0),MATCH(X$4,UWS!$G$3:$Z$3,0)),0)</f>
        <v>0</v>
      </c>
      <c r="Y407">
        <f>IFERROR(INDEX(UWS!$G$10:$Z$41,MATCH($C407,UWS!$B$10:$B$41,0),MATCH(Y$4,UWS!$G$3:$Z$3,0)),0)</f>
        <v>0</v>
      </c>
      <c r="Z407">
        <f>IFERROR(INDEX(UWS!$G$10:$Z$41,MATCH($C407,UWS!$B$10:$B$41,0),MATCH(Z$4,UWS!$G$3:$Z$3,0)),0)</f>
        <v>0</v>
      </c>
      <c r="AA407">
        <f>IFERROR(INDEX(UWS!$G$10:$Z$41,MATCH($C407,UWS!$B$10:$B$41,0),MATCH(AA$4,UWS!$G$3:$Z$3,0)),0)</f>
        <v>0</v>
      </c>
      <c r="AB407">
        <f>IFERROR(INDEX(UWS!$G$10:$Z$41,MATCH($C407,UWS!$B$10:$B$41,0),MATCH(AB$4,UWS!$G$3:$Z$3,0)),0)</f>
        <v>0</v>
      </c>
      <c r="AC407">
        <f>IFERROR(INDEX(UWS!$G$10:$Z$41,MATCH($C407,UWS!$B$10:$B$41,0),MATCH(AC$4,UWS!$G$3:$Z$3,0)),0)</f>
        <v>0</v>
      </c>
      <c r="AD407">
        <f>IFERROR(INDEX(UWS!$G$10:$Z$41,MATCH($C407,UWS!$B$10:$B$41,0),MATCH(AD$4,UWS!$G$3:$Z$3,0)),0)</f>
        <v>0</v>
      </c>
      <c r="AE407">
        <f>IFERROR(INDEX(UWS!$G$10:$Z$41,MATCH($C407,UWS!$B$10:$B$41,0),MATCH(AE$4,UWS!$G$3:$Z$3,0)),0)</f>
        <v>0</v>
      </c>
      <c r="AF407">
        <f>IFERROR(INDEX(UWS!$G$10:$Z$41,MATCH($C407,UWS!$B$10:$B$41,0),MATCH(AF$4,UWS!$G$3:$Z$3,0)),0)</f>
        <v>0</v>
      </c>
      <c r="AG407">
        <f>IFERROR(INDEX(UWS!$G$10:$Z$41,MATCH($C407,UWS!$B$10:$B$41,0),MATCH(AG$4,UWS!$G$3:$Z$3,0)),0)</f>
        <v>0</v>
      </c>
      <c r="AH407">
        <f>IFERROR(INDEX(UWS!$G$10:$Z$41,MATCH($C407,UWS!$B$10:$B$41,0),MATCH(AH$4,UWS!$G$3:$Z$3,0)),0)</f>
        <v>0</v>
      </c>
      <c r="AI407">
        <f>IFERROR(INDEX(UWS!$G$10:$Z$41,MATCH($C407,UWS!$B$10:$B$41,0),MATCH(AI$4,UWS!$G$3:$Z$3,0)),0)</f>
        <v>0</v>
      </c>
      <c r="AK407" t="e">
        <f>IF(OR($J407=0,COUNTIFS($A$4:$A406,"&gt;="&amp;$A407-1,$A$4:$A406,"&lt;="&amp;$A407,$B$4:$B406,$B407)&gt;0,MIN(AK$1,IF($A407=$A406,AK406,1))-P407&lt;0),-1,MIN(1,IF($A407=$A406,AK406,1)-P407+$D$3))</f>
        <v>#N/A</v>
      </c>
      <c r="AL407" t="e">
        <f>IF(OR($J407=0,COUNTIFS($A$4:$A406,"&gt;="&amp;$A407-1,$A$4:$A406,"&lt;="&amp;$A407,$B$4:$B406,$B407)&gt;0,MIN(AL$1,IF($A407=$A406,AL406,1))-Q407&lt;0),-1,MIN(1,IF($A407=$A406,AL406,1)-Q407+$D$3))</f>
        <v>#N/A</v>
      </c>
      <c r="AM407" t="e">
        <f>IF(OR($J407=0,COUNTIFS($A$4:$A406,"&gt;="&amp;$A407-1,$A$4:$A406,"&lt;="&amp;$A407,$B$4:$B406,$B407)&gt;0,MIN(AM$1,IF($A407=$A406,AM406,1))-R407&lt;0),-1,MIN(1,IF($A407=$A406,AM406,1)-R407+$D$3))</f>
        <v>#N/A</v>
      </c>
      <c r="AN407" t="e">
        <f>IF(OR($J407=0,COUNTIFS($A$4:$A406,"&gt;="&amp;$A407-1,$A$4:$A406,"&lt;="&amp;$A407,$B$4:$B406,$B407)&gt;0,MIN(AN$1,IF($A407=$A406,AN406,1))-S407&lt;0),-1,MIN(1,IF($A407=$A406,AN406,1)-S407+$D$3))</f>
        <v>#N/A</v>
      </c>
      <c r="AO407" t="e">
        <f>IF(OR($J407=0,COUNTIFS($A$4:$A406,"&gt;="&amp;$A407-1,$A$4:$A406,"&lt;="&amp;$A407,$B$4:$B406,$B407)&gt;0,MIN(AO$1,IF($A407=$A406,AO406,1))-T407&lt;0),-1,MIN(1,IF($A407=$A406,AO406,1)-T407+$D$3))</f>
        <v>#N/A</v>
      </c>
      <c r="AP407" t="e">
        <f>IF(OR($J407=0,COUNTIFS($A$4:$A406,"&gt;="&amp;$A407-1,$A$4:$A406,"&lt;="&amp;$A407,$B$4:$B406,$B407)&gt;0,MIN(AP$1,IF($A407=$A406,AP406,1))-U407&lt;0),-1,MIN(1,IF($A407=$A406,AP406,1)-U407+$D$3))</f>
        <v>#N/A</v>
      </c>
      <c r="AQ407" t="e">
        <f>IF(OR($J407=0,COUNTIFS($A$4:$A406,"&gt;="&amp;$A407-1,$A$4:$A406,"&lt;="&amp;$A407,$B$4:$B406,$B407)&gt;0,MIN(AQ$1,IF($A407=$A406,AQ406,1))-V407&lt;0),-1,MIN(1,IF($A407=$A406,AQ406,1)-V407+$D$3))</f>
        <v>#N/A</v>
      </c>
      <c r="AR407" t="e">
        <f>IF(OR($J407=0,COUNTIFS($A$4:$A406,"&gt;="&amp;$A407-1,$A$4:$A406,"&lt;="&amp;$A407,$B$4:$B406,$B407)&gt;0,MIN(AR$1,IF($A407=$A406,AR406,1))-W407&lt;0),-1,MIN(1,IF($A407=$A406,AR406,1)-W407+$D$3))</f>
        <v>#N/A</v>
      </c>
      <c r="AS407" t="e">
        <f>IF(OR($J407=0,COUNTIFS($A$4:$A406,"&gt;="&amp;$A407-1,$A$4:$A406,"&lt;="&amp;$A407,$B$4:$B406,$B407)&gt;0,MIN(AS$1,IF($A407=$A406,AS406,1))-X407&lt;0),-1,MIN(1,IF($A407=$A406,AS406,1)-X407+$D$3))</f>
        <v>#N/A</v>
      </c>
      <c r="AT407" t="e">
        <f>IF(OR($J407=0,COUNTIFS($A$4:$A406,"&gt;="&amp;$A407-1,$A$4:$A406,"&lt;="&amp;$A407,$B$4:$B406,$B407)&gt;0,MIN(AT$1,IF($A407=$A406,AT406,1))-Y407&lt;0),-1,MIN(1,IF($A407=$A406,AT406,1)-Y407+$D$3))</f>
        <v>#N/A</v>
      </c>
      <c r="AU407" t="e">
        <f>IF(OR($J407=0,COUNTIFS($A$4:$A406,"&gt;="&amp;$A407-1,$A$4:$A406,"&lt;="&amp;$A407,$B$4:$B406,$B407)&gt;0,MIN(AU$1,IF($A407=$A406,AU406,1))-Z407&lt;0),-1,MIN(1,IF($A407=$A406,AU406,1)-Z407+$D$3))</f>
        <v>#N/A</v>
      </c>
      <c r="AV407" t="e">
        <f>IF(OR($J407=0,COUNTIFS($A$4:$A406,"&gt;="&amp;$A407-1,$A$4:$A406,"&lt;="&amp;$A407,$B$4:$B406,$B407)&gt;0,MIN(AV$1,IF($A407=$A406,AV406,1))-AA407&lt;0),-1,MIN(1,IF($A407=$A406,AV406,1)-AA407+$D$3))</f>
        <v>#N/A</v>
      </c>
      <c r="AW407" t="e">
        <f>IF(OR($J407=0,COUNTIFS($A$4:$A406,"&gt;="&amp;$A407-1,$A$4:$A406,"&lt;="&amp;$A407,$B$4:$B406,$B407)&gt;0,MIN(AW$1,IF($A407=$A406,AW406,1))-AB407&lt;0),-1,MIN(1,IF($A407=$A406,AW406,1)-AB407+$D$3))</f>
        <v>#N/A</v>
      </c>
      <c r="AX407" t="e">
        <f>IF(OR($J407=0,COUNTIFS($A$4:$A406,"&gt;="&amp;$A407-1,$A$4:$A406,"&lt;="&amp;$A407,$B$4:$B406,$B407)&gt;0,MIN(AX$1,IF($A407=$A406,AX406,1))-AC407&lt;0),-1,MIN(1,IF($A407=$A406,AX406,1)-AC407+$D$3))</f>
        <v>#N/A</v>
      </c>
      <c r="AY407" t="e">
        <f>IF(OR($J407=0,COUNTIFS($A$4:$A406,"&gt;="&amp;$A407-1,$A$4:$A406,"&lt;="&amp;$A407,$B$4:$B406,$B407)&gt;0,MIN(AY$1,IF($A407=$A406,AY406,1))-AD407&lt;0),-1,MIN(1,IF($A407=$A406,AY406,1)-AD407+$D$3))</f>
        <v>#N/A</v>
      </c>
      <c r="AZ407" t="e">
        <f>IF(OR($J407=0,COUNTIFS($A$4:$A406,"&gt;="&amp;$A407-1,$A$4:$A406,"&lt;="&amp;$A407,$B$4:$B406,$B407)&gt;0,MIN(AZ$1,IF($A407=$A406,AZ406,1))-AE407&lt;0),-1,MIN(1,IF($A407=$A406,AZ406,1)-AE407+$D$3))</f>
        <v>#N/A</v>
      </c>
      <c r="BA407" t="e">
        <f>IF(OR($J407=0,COUNTIFS($A$4:$A406,"&gt;="&amp;$A407-1,$A$4:$A406,"&lt;="&amp;$A407,$B$4:$B406,$B407)&gt;0,MIN(BA$1,IF($A407=$A406,BA406,1))-AF407&lt;0),-1,MIN(1,IF($A407=$A406,BA406,1)-AF407+$D$3))</f>
        <v>#N/A</v>
      </c>
      <c r="BB407" t="e">
        <f>IF(OR($J407=0,COUNTIFS($A$4:$A406,"&gt;="&amp;$A407-1,$A$4:$A406,"&lt;="&amp;$A407,$B$4:$B406,$B407)&gt;0,MIN(BB$1,IF($A407=$A406,BB406,1))-AG407&lt;0),-1,MIN(1,IF($A407=$A406,BB406,1)-AG407+$D$3))</f>
        <v>#N/A</v>
      </c>
      <c r="BC407" t="e">
        <f>IF(OR($J407=0,COUNTIFS($A$4:$A406,"&gt;="&amp;$A407-1,$A$4:$A406,"&lt;="&amp;$A407,$B$4:$B406,$B407)&gt;0,MIN(BC$1,IF($A407=$A406,BC406,1))-AH407&lt;0),-1,MIN(1,IF($A407=$A406,BC406,1)-AH407+$D$3))</f>
        <v>#N/A</v>
      </c>
      <c r="BD407" t="e">
        <f>IF(OR($J407=0,COUNTIFS($A$4:$A406,"&gt;="&amp;$A407-1,$A$4:$A406,"&lt;="&amp;$A407,$B$4:$B406,$B407)&gt;0,MIN(BD$1,IF($A407=$A406,BD406,1))-AI407&lt;0),-1,MIN(1,IF($A407=$A406,BD406,1)-AI407+$D$3))</f>
        <v>#N/A</v>
      </c>
      <c r="BF407" s="44">
        <f t="shared" si="399"/>
        <v>2.2331547804697332E-9</v>
      </c>
      <c r="BG407" s="44">
        <f t="shared" si="400"/>
        <v>5.4919577596079231E-9</v>
      </c>
      <c r="BH407" s="44">
        <f t="shared" si="401"/>
        <v>5.6286790062190256E-9</v>
      </c>
      <c r="BI407" s="44">
        <f t="shared" si="402"/>
        <v>5.1993366649884024E-9</v>
      </c>
      <c r="BJ407" s="44">
        <f t="shared" si="403"/>
        <v>5.3740080472821078E-9</v>
      </c>
      <c r="BK407" s="44">
        <f t="shared" si="404"/>
        <v>2.3077994250683326E-9</v>
      </c>
      <c r="BL407" s="44">
        <f t="shared" si="405"/>
        <v>1.2467095566324173E-9</v>
      </c>
      <c r="BM407" s="44">
        <f t="shared" si="406"/>
        <v>3.1714835275198173E-9</v>
      </c>
      <c r="BN407" s="44">
        <f t="shared" si="407"/>
        <v>3.2985900393980553E-9</v>
      </c>
      <c r="BO407" s="44">
        <f t="shared" si="408"/>
        <v>1.5458444595876766E-9</v>
      </c>
      <c r="BP407" s="44">
        <f t="shared" si="409"/>
        <v>5.1978675536422752E-9</v>
      </c>
      <c r="BQ407" s="44">
        <f t="shared" si="410"/>
        <v>1.4026892853926925E-9</v>
      </c>
      <c r="BR407" s="44">
        <f t="shared" si="411"/>
        <v>4.1438952788988437E-9</v>
      </c>
      <c r="BS407" s="44">
        <f t="shared" si="412"/>
        <v>2.2348577138722399E-9</v>
      </c>
      <c r="BT407" s="44">
        <f t="shared" si="413"/>
        <v>8.84401712853163E-9</v>
      </c>
      <c r="BU407" s="44">
        <f t="shared" si="414"/>
        <v>8.448697624215133E-9</v>
      </c>
      <c r="BV407" s="44">
        <f t="shared" si="415"/>
        <v>8.1138496792690332E-9</v>
      </c>
      <c r="BW407" s="44">
        <f t="shared" si="416"/>
        <v>5.3069041987750663E-9</v>
      </c>
      <c r="BX407" s="44">
        <f t="shared" si="417"/>
        <v>3.9206444526427221E-9</v>
      </c>
      <c r="BY407" s="44">
        <f t="shared" si="418"/>
        <v>3.3663238895060828E-9</v>
      </c>
      <c r="CA407" s="44" t="str">
        <f t="shared" si="419"/>
        <v/>
      </c>
      <c r="CB407" s="44" t="str">
        <f t="shared" si="420"/>
        <v/>
      </c>
      <c r="CC407" s="44" t="str">
        <f t="shared" si="421"/>
        <v/>
      </c>
      <c r="CD407" s="44" t="str">
        <f t="shared" si="422"/>
        <v/>
      </c>
      <c r="CE407" s="44" t="str">
        <f t="shared" si="423"/>
        <v/>
      </c>
      <c r="CF407" s="44" t="str">
        <f t="shared" si="424"/>
        <v/>
      </c>
      <c r="CG407" s="44" t="str">
        <f t="shared" si="425"/>
        <v/>
      </c>
      <c r="CH407" s="44" t="str">
        <f t="shared" si="426"/>
        <v/>
      </c>
      <c r="CI407" s="44" t="str">
        <f t="shared" si="427"/>
        <v/>
      </c>
      <c r="CJ407" s="44" t="str">
        <f t="shared" si="428"/>
        <v/>
      </c>
      <c r="CK407" s="44" t="str">
        <f t="shared" si="429"/>
        <v/>
      </c>
      <c r="CL407" s="44" t="str">
        <f t="shared" si="430"/>
        <v/>
      </c>
      <c r="CM407" s="44" t="str">
        <f t="shared" si="431"/>
        <v/>
      </c>
      <c r="CN407" s="44" t="str">
        <f t="shared" si="432"/>
        <v/>
      </c>
      <c r="CO407" s="44" t="str">
        <f t="shared" si="433"/>
        <v/>
      </c>
      <c r="CP407" s="44" t="str">
        <f t="shared" si="434"/>
        <v/>
      </c>
      <c r="CQ407" s="44" t="str">
        <f t="shared" si="435"/>
        <v/>
      </c>
      <c r="CR407" s="44" t="str">
        <f t="shared" si="436"/>
        <v/>
      </c>
      <c r="CS407" s="44" t="str">
        <f t="shared" si="437"/>
        <v/>
      </c>
      <c r="CT407" s="44" t="str">
        <f t="shared" si="438"/>
        <v/>
      </c>
      <c r="CV407" s="44">
        <f t="shared" si="439"/>
        <v>0</v>
      </c>
    </row>
    <row r="408" spans="1:100" x14ac:dyDescent="0.25">
      <c r="A408" s="41"/>
      <c r="B408" s="42"/>
      <c r="C408" s="43" t="str" cm="1">
        <f t="array" ref="C408">IF(B408="","",INDEX(UWS!$B$10:$B$41,B408))</f>
        <v/>
      </c>
      <c r="D408" s="40" t="str">
        <f t="shared" si="396"/>
        <v/>
      </c>
      <c r="E408" s="69" t="str">
        <f t="shared" si="397"/>
        <v/>
      </c>
      <c r="F408" s="48" cm="1">
        <f t="array" ref="F408">0.1+IFERROR(INDEX($F$5:$F407,SUMPRODUCT(MAX(ROW($C$5:$C407)*($C408=$C$5:$C407))-ROW($A$4)))*0.9^($A408-INDEX($A$5:A407,SUMPRODUCT(MAX(ROW($C$5:$C407)*($C408=$C$5:$C407))-ROW($A$4)))),0)</f>
        <v>34.300000000000217</v>
      </c>
      <c r="G408" s="55" t="e">
        <f>INDEX(UWS!$AB$10:$AB$41,MATCH(C408,UWS!$B$10:$B$41,0))</f>
        <v>#N/A</v>
      </c>
      <c r="H408" s="48" t="e">
        <f>INDEX(UWS!$C$10:$C$41,MATCH(C408,UWS!$B$10:$B$41,0))</f>
        <v>#N/A</v>
      </c>
      <c r="I408" s="27">
        <f t="shared" si="398"/>
        <v>5</v>
      </c>
      <c r="J408" s="27" t="e">
        <f>INDEX(UWS!$E$10:$E$41,MATCH(C408,UWS!$B$10:$B$41,0))</f>
        <v>#N/A</v>
      </c>
      <c r="L408" s="108" t="str" cm="1">
        <f t="array" ref="L408">IF(K408="","",INDEX(UWS!$B$10:$B$41,K408))</f>
        <v/>
      </c>
      <c r="N408" s="108" t="str" cm="1">
        <f t="array" ref="N408">IF(M408="","",INDEX(UWS!$B$10:$B$41,M408))</f>
        <v/>
      </c>
      <c r="P408">
        <f>IFERROR(INDEX(UWS!$G$10:$Z$41,MATCH($C408,UWS!$B$10:$B$41,0),MATCH(P$4,UWS!$G$3:$Z$3,0)),0)</f>
        <v>0</v>
      </c>
      <c r="Q408">
        <f>IFERROR(INDEX(UWS!$G$10:$Z$41,MATCH($C408,UWS!$B$10:$B$41,0),MATCH(Q$4,UWS!$G$3:$Z$3,0)),0)</f>
        <v>0</v>
      </c>
      <c r="R408">
        <f>IFERROR(INDEX(UWS!$G$10:$Z$41,MATCH($C408,UWS!$B$10:$B$41,0),MATCH(R$4,UWS!$G$3:$Z$3,0)),0)</f>
        <v>0</v>
      </c>
      <c r="S408">
        <f>IFERROR(INDEX(UWS!$G$10:$Z$41,MATCH($C408,UWS!$B$10:$B$41,0),MATCH(S$4,UWS!$G$3:$Z$3,0)),0)</f>
        <v>0</v>
      </c>
      <c r="T408">
        <f>IFERROR(INDEX(UWS!$G$10:$Z$41,MATCH($C408,UWS!$B$10:$B$41,0),MATCH(T$4,UWS!$G$3:$Z$3,0)),0)</f>
        <v>0</v>
      </c>
      <c r="U408">
        <f>IFERROR(INDEX(UWS!$G$10:$Z$41,MATCH($C408,UWS!$B$10:$B$41,0),MATCH(U$4,UWS!$G$3:$Z$3,0)),0)</f>
        <v>0</v>
      </c>
      <c r="V408">
        <f>IFERROR(INDEX(UWS!$G$10:$Z$41,MATCH($C408,UWS!$B$10:$B$41,0),MATCH(V$4,UWS!$G$3:$Z$3,0)),0)</f>
        <v>0</v>
      </c>
      <c r="W408">
        <f>IFERROR(INDEX(UWS!$G$10:$Z$41,MATCH($C408,UWS!$B$10:$B$41,0),MATCH(W$4,UWS!$G$3:$Z$3,0)),0)</f>
        <v>0</v>
      </c>
      <c r="X408">
        <f>IFERROR(INDEX(UWS!$G$10:$Z$41,MATCH($C408,UWS!$B$10:$B$41,0),MATCH(X$4,UWS!$G$3:$Z$3,0)),0)</f>
        <v>0</v>
      </c>
      <c r="Y408">
        <f>IFERROR(INDEX(UWS!$G$10:$Z$41,MATCH($C408,UWS!$B$10:$B$41,0),MATCH(Y$4,UWS!$G$3:$Z$3,0)),0)</f>
        <v>0</v>
      </c>
      <c r="Z408">
        <f>IFERROR(INDEX(UWS!$G$10:$Z$41,MATCH($C408,UWS!$B$10:$B$41,0),MATCH(Z$4,UWS!$G$3:$Z$3,0)),0)</f>
        <v>0</v>
      </c>
      <c r="AA408">
        <f>IFERROR(INDEX(UWS!$G$10:$Z$41,MATCH($C408,UWS!$B$10:$B$41,0),MATCH(AA$4,UWS!$G$3:$Z$3,0)),0)</f>
        <v>0</v>
      </c>
      <c r="AB408">
        <f>IFERROR(INDEX(UWS!$G$10:$Z$41,MATCH($C408,UWS!$B$10:$B$41,0),MATCH(AB$4,UWS!$G$3:$Z$3,0)),0)</f>
        <v>0</v>
      </c>
      <c r="AC408">
        <f>IFERROR(INDEX(UWS!$G$10:$Z$41,MATCH($C408,UWS!$B$10:$B$41,0),MATCH(AC$4,UWS!$G$3:$Z$3,0)),0)</f>
        <v>0</v>
      </c>
      <c r="AD408">
        <f>IFERROR(INDEX(UWS!$G$10:$Z$41,MATCH($C408,UWS!$B$10:$B$41,0),MATCH(AD$4,UWS!$G$3:$Z$3,0)),0)</f>
        <v>0</v>
      </c>
      <c r="AE408">
        <f>IFERROR(INDEX(UWS!$G$10:$Z$41,MATCH($C408,UWS!$B$10:$B$41,0),MATCH(AE$4,UWS!$G$3:$Z$3,0)),0)</f>
        <v>0</v>
      </c>
      <c r="AF408">
        <f>IFERROR(INDEX(UWS!$G$10:$Z$41,MATCH($C408,UWS!$B$10:$B$41,0),MATCH(AF$4,UWS!$G$3:$Z$3,0)),0)</f>
        <v>0</v>
      </c>
      <c r="AG408">
        <f>IFERROR(INDEX(UWS!$G$10:$Z$41,MATCH($C408,UWS!$B$10:$B$41,0),MATCH(AG$4,UWS!$G$3:$Z$3,0)),0)</f>
        <v>0</v>
      </c>
      <c r="AH408">
        <f>IFERROR(INDEX(UWS!$G$10:$Z$41,MATCH($C408,UWS!$B$10:$B$41,0),MATCH(AH$4,UWS!$G$3:$Z$3,0)),0)</f>
        <v>0</v>
      </c>
      <c r="AI408">
        <f>IFERROR(INDEX(UWS!$G$10:$Z$41,MATCH($C408,UWS!$B$10:$B$41,0),MATCH(AI$4,UWS!$G$3:$Z$3,0)),0)</f>
        <v>0</v>
      </c>
      <c r="AK408" t="e">
        <f>IF(OR($J408=0,COUNTIFS($A$4:$A407,"&gt;="&amp;$A408-1,$A$4:$A407,"&lt;="&amp;$A408,$B$4:$B407,$B408)&gt;0,MIN(AK$1,IF($A408=$A407,AK407,1))-P408&lt;0),-1,MIN(1,IF($A408=$A407,AK407,1)-P408+$D$3))</f>
        <v>#N/A</v>
      </c>
      <c r="AL408" t="e">
        <f>IF(OR($J408=0,COUNTIFS($A$4:$A407,"&gt;="&amp;$A408-1,$A$4:$A407,"&lt;="&amp;$A408,$B$4:$B407,$B408)&gt;0,MIN(AL$1,IF($A408=$A407,AL407,1))-Q408&lt;0),-1,MIN(1,IF($A408=$A407,AL407,1)-Q408+$D$3))</f>
        <v>#N/A</v>
      </c>
      <c r="AM408" t="e">
        <f>IF(OR($J408=0,COUNTIFS($A$4:$A407,"&gt;="&amp;$A408-1,$A$4:$A407,"&lt;="&amp;$A408,$B$4:$B407,$B408)&gt;0,MIN(AM$1,IF($A408=$A407,AM407,1))-R408&lt;0),-1,MIN(1,IF($A408=$A407,AM407,1)-R408+$D$3))</f>
        <v>#N/A</v>
      </c>
      <c r="AN408" t="e">
        <f>IF(OR($J408=0,COUNTIFS($A$4:$A407,"&gt;="&amp;$A408-1,$A$4:$A407,"&lt;="&amp;$A408,$B$4:$B407,$B408)&gt;0,MIN(AN$1,IF($A408=$A407,AN407,1))-S408&lt;0),-1,MIN(1,IF($A408=$A407,AN407,1)-S408+$D$3))</f>
        <v>#N/A</v>
      </c>
      <c r="AO408" t="e">
        <f>IF(OR($J408=0,COUNTIFS($A$4:$A407,"&gt;="&amp;$A408-1,$A$4:$A407,"&lt;="&amp;$A408,$B$4:$B407,$B408)&gt;0,MIN(AO$1,IF($A408=$A407,AO407,1))-T408&lt;0),-1,MIN(1,IF($A408=$A407,AO407,1)-T408+$D$3))</f>
        <v>#N/A</v>
      </c>
      <c r="AP408" t="e">
        <f>IF(OR($J408=0,COUNTIFS($A$4:$A407,"&gt;="&amp;$A408-1,$A$4:$A407,"&lt;="&amp;$A408,$B$4:$B407,$B408)&gt;0,MIN(AP$1,IF($A408=$A407,AP407,1))-U408&lt;0),-1,MIN(1,IF($A408=$A407,AP407,1)-U408+$D$3))</f>
        <v>#N/A</v>
      </c>
      <c r="AQ408" t="e">
        <f>IF(OR($J408=0,COUNTIFS($A$4:$A407,"&gt;="&amp;$A408-1,$A$4:$A407,"&lt;="&amp;$A408,$B$4:$B407,$B408)&gt;0,MIN(AQ$1,IF($A408=$A407,AQ407,1))-V408&lt;0),-1,MIN(1,IF($A408=$A407,AQ407,1)-V408+$D$3))</f>
        <v>#N/A</v>
      </c>
      <c r="AR408" t="e">
        <f>IF(OR($J408=0,COUNTIFS($A$4:$A407,"&gt;="&amp;$A408-1,$A$4:$A407,"&lt;="&amp;$A408,$B$4:$B407,$B408)&gt;0,MIN(AR$1,IF($A408=$A407,AR407,1))-W408&lt;0),-1,MIN(1,IF($A408=$A407,AR407,1)-W408+$D$3))</f>
        <v>#N/A</v>
      </c>
      <c r="AS408" t="e">
        <f>IF(OR($J408=0,COUNTIFS($A$4:$A407,"&gt;="&amp;$A408-1,$A$4:$A407,"&lt;="&amp;$A408,$B$4:$B407,$B408)&gt;0,MIN(AS$1,IF($A408=$A407,AS407,1))-X408&lt;0),-1,MIN(1,IF($A408=$A407,AS407,1)-X408+$D$3))</f>
        <v>#N/A</v>
      </c>
      <c r="AT408" t="e">
        <f>IF(OR($J408=0,COUNTIFS($A$4:$A407,"&gt;="&amp;$A408-1,$A$4:$A407,"&lt;="&amp;$A408,$B$4:$B407,$B408)&gt;0,MIN(AT$1,IF($A408=$A407,AT407,1))-Y408&lt;0),-1,MIN(1,IF($A408=$A407,AT407,1)-Y408+$D$3))</f>
        <v>#N/A</v>
      </c>
      <c r="AU408" t="e">
        <f>IF(OR($J408=0,COUNTIFS($A$4:$A407,"&gt;="&amp;$A408-1,$A$4:$A407,"&lt;="&amp;$A408,$B$4:$B407,$B408)&gt;0,MIN(AU$1,IF($A408=$A407,AU407,1))-Z408&lt;0),-1,MIN(1,IF($A408=$A407,AU407,1)-Z408+$D$3))</f>
        <v>#N/A</v>
      </c>
      <c r="AV408" t="e">
        <f>IF(OR($J408=0,COUNTIFS($A$4:$A407,"&gt;="&amp;$A408-1,$A$4:$A407,"&lt;="&amp;$A408,$B$4:$B407,$B408)&gt;0,MIN(AV$1,IF($A408=$A407,AV407,1))-AA408&lt;0),-1,MIN(1,IF($A408=$A407,AV407,1)-AA408+$D$3))</f>
        <v>#N/A</v>
      </c>
      <c r="AW408" t="e">
        <f>IF(OR($J408=0,COUNTIFS($A$4:$A407,"&gt;="&amp;$A408-1,$A$4:$A407,"&lt;="&amp;$A408,$B$4:$B407,$B408)&gt;0,MIN(AW$1,IF($A408=$A407,AW407,1))-AB408&lt;0),-1,MIN(1,IF($A408=$A407,AW407,1)-AB408+$D$3))</f>
        <v>#N/A</v>
      </c>
      <c r="AX408" t="e">
        <f>IF(OR($J408=0,COUNTIFS($A$4:$A407,"&gt;="&amp;$A408-1,$A$4:$A407,"&lt;="&amp;$A408,$B$4:$B407,$B408)&gt;0,MIN(AX$1,IF($A408=$A407,AX407,1))-AC408&lt;0),-1,MIN(1,IF($A408=$A407,AX407,1)-AC408+$D$3))</f>
        <v>#N/A</v>
      </c>
      <c r="AY408" t="e">
        <f>IF(OR($J408=0,COUNTIFS($A$4:$A407,"&gt;="&amp;$A408-1,$A$4:$A407,"&lt;="&amp;$A408,$B$4:$B407,$B408)&gt;0,MIN(AY$1,IF($A408=$A407,AY407,1))-AD408&lt;0),-1,MIN(1,IF($A408=$A407,AY407,1)-AD408+$D$3))</f>
        <v>#N/A</v>
      </c>
      <c r="AZ408" t="e">
        <f>IF(OR($J408=0,COUNTIFS($A$4:$A407,"&gt;="&amp;$A408-1,$A$4:$A407,"&lt;="&amp;$A408,$B$4:$B407,$B408)&gt;0,MIN(AZ$1,IF($A408=$A407,AZ407,1))-AE408&lt;0),-1,MIN(1,IF($A408=$A407,AZ407,1)-AE408+$D$3))</f>
        <v>#N/A</v>
      </c>
      <c r="BA408" t="e">
        <f>IF(OR($J408=0,COUNTIFS($A$4:$A407,"&gt;="&amp;$A408-1,$A$4:$A407,"&lt;="&amp;$A408,$B$4:$B407,$B408)&gt;0,MIN(BA$1,IF($A408=$A407,BA407,1))-AF408&lt;0),-1,MIN(1,IF($A408=$A407,BA407,1)-AF408+$D$3))</f>
        <v>#N/A</v>
      </c>
      <c r="BB408" t="e">
        <f>IF(OR($J408=0,COUNTIFS($A$4:$A407,"&gt;="&amp;$A408-1,$A$4:$A407,"&lt;="&amp;$A408,$B$4:$B407,$B408)&gt;0,MIN(BB$1,IF($A408=$A407,BB407,1))-AG408&lt;0),-1,MIN(1,IF($A408=$A407,BB407,1)-AG408+$D$3))</f>
        <v>#N/A</v>
      </c>
      <c r="BC408" t="e">
        <f>IF(OR($J408=0,COUNTIFS($A$4:$A407,"&gt;="&amp;$A408-1,$A$4:$A407,"&lt;="&amp;$A408,$B$4:$B407,$B408)&gt;0,MIN(BC$1,IF($A408=$A407,BC407,1))-AH408&lt;0),-1,MIN(1,IF($A408=$A407,BC407,1)-AH408+$D$3))</f>
        <v>#N/A</v>
      </c>
      <c r="BD408" t="e">
        <f>IF(OR($J408=0,COUNTIFS($A$4:$A407,"&gt;="&amp;$A408-1,$A$4:$A407,"&lt;="&amp;$A408,$B$4:$B407,$B408)&gt;0,MIN(BD$1,IF($A408=$A407,BD407,1))-AI408&lt;0),-1,MIN(1,IF($A408=$A407,BD407,1)-AI408+$D$3))</f>
        <v>#N/A</v>
      </c>
      <c r="BF408" s="44">
        <f t="shared" si="399"/>
        <v>2.1214970414462465E-9</v>
      </c>
      <c r="BG408" s="44">
        <f t="shared" si="400"/>
        <v>5.2173598716275266E-9</v>
      </c>
      <c r="BH408" s="44">
        <f t="shared" si="401"/>
        <v>5.347245055908074E-9</v>
      </c>
      <c r="BI408" s="44">
        <f t="shared" si="402"/>
        <v>4.9393698317389822E-9</v>
      </c>
      <c r="BJ408" s="44">
        <f t="shared" si="403"/>
        <v>5.1053076449180022E-9</v>
      </c>
      <c r="BK408" s="44">
        <f t="shared" si="404"/>
        <v>2.1924094538149157E-9</v>
      </c>
      <c r="BL408" s="44">
        <f t="shared" si="405"/>
        <v>1.1843740788007965E-9</v>
      </c>
      <c r="BM408" s="44">
        <f t="shared" si="406"/>
        <v>3.0129093511438265E-9</v>
      </c>
      <c r="BN408" s="44">
        <f t="shared" si="407"/>
        <v>3.1336605374281524E-9</v>
      </c>
      <c r="BO408" s="44">
        <f t="shared" si="408"/>
        <v>1.4685522366082928E-9</v>
      </c>
      <c r="BP408" s="44">
        <f t="shared" si="409"/>
        <v>4.9379741759601612E-9</v>
      </c>
      <c r="BQ408" s="44">
        <f t="shared" si="410"/>
        <v>1.3325548211230578E-9</v>
      </c>
      <c r="BR408" s="44">
        <f t="shared" si="411"/>
        <v>3.9367005149539014E-9</v>
      </c>
      <c r="BS408" s="44">
        <f t="shared" si="412"/>
        <v>2.1231148281786276E-9</v>
      </c>
      <c r="BT408" s="44">
        <f t="shared" si="413"/>
        <v>8.4018162721050485E-9</v>
      </c>
      <c r="BU408" s="44">
        <f t="shared" si="414"/>
        <v>8.0262627430043768E-9</v>
      </c>
      <c r="BV408" s="44">
        <f t="shared" si="415"/>
        <v>7.7081571953055804E-9</v>
      </c>
      <c r="BW408" s="44">
        <f t="shared" si="416"/>
        <v>5.0415589888363132E-9</v>
      </c>
      <c r="BX408" s="44">
        <f t="shared" si="417"/>
        <v>3.7246122300105857E-9</v>
      </c>
      <c r="BY408" s="44">
        <f t="shared" si="418"/>
        <v>3.1980076950307785E-9</v>
      </c>
      <c r="CA408" s="44" t="str">
        <f t="shared" si="419"/>
        <v/>
      </c>
      <c r="CB408" s="44" t="str">
        <f t="shared" si="420"/>
        <v/>
      </c>
      <c r="CC408" s="44" t="str">
        <f t="shared" si="421"/>
        <v/>
      </c>
      <c r="CD408" s="44" t="str">
        <f t="shared" si="422"/>
        <v/>
      </c>
      <c r="CE408" s="44" t="str">
        <f t="shared" si="423"/>
        <v/>
      </c>
      <c r="CF408" s="44" t="str">
        <f t="shared" si="424"/>
        <v/>
      </c>
      <c r="CG408" s="44" t="str">
        <f t="shared" si="425"/>
        <v/>
      </c>
      <c r="CH408" s="44" t="str">
        <f t="shared" si="426"/>
        <v/>
      </c>
      <c r="CI408" s="44" t="str">
        <f t="shared" si="427"/>
        <v/>
      </c>
      <c r="CJ408" s="44" t="str">
        <f t="shared" si="428"/>
        <v/>
      </c>
      <c r="CK408" s="44" t="str">
        <f t="shared" si="429"/>
        <v/>
      </c>
      <c r="CL408" s="44" t="str">
        <f t="shared" si="430"/>
        <v/>
      </c>
      <c r="CM408" s="44" t="str">
        <f t="shared" si="431"/>
        <v/>
      </c>
      <c r="CN408" s="44" t="str">
        <f t="shared" si="432"/>
        <v/>
      </c>
      <c r="CO408" s="44" t="str">
        <f t="shared" si="433"/>
        <v/>
      </c>
      <c r="CP408" s="44" t="str">
        <f t="shared" si="434"/>
        <v/>
      </c>
      <c r="CQ408" s="44" t="str">
        <f t="shared" si="435"/>
        <v/>
      </c>
      <c r="CR408" s="44" t="str">
        <f t="shared" si="436"/>
        <v/>
      </c>
      <c r="CS408" s="44" t="str">
        <f t="shared" si="437"/>
        <v/>
      </c>
      <c r="CT408" s="44" t="str">
        <f t="shared" si="438"/>
        <v/>
      </c>
      <c r="CV408" s="44">
        <f t="shared" si="439"/>
        <v>0</v>
      </c>
    </row>
    <row r="409" spans="1:100" x14ac:dyDescent="0.25">
      <c r="A409" s="41"/>
      <c r="B409" s="42"/>
      <c r="C409" s="43" t="str" cm="1">
        <f t="array" ref="C409">IF(B409="","",INDEX(UWS!$B$10:$B$41,B409))</f>
        <v/>
      </c>
      <c r="D409" s="40" t="str">
        <f t="shared" si="396"/>
        <v/>
      </c>
      <c r="E409" s="69" t="str">
        <f t="shared" si="397"/>
        <v/>
      </c>
      <c r="F409" s="48" cm="1">
        <f t="array" ref="F409">0.1+IFERROR(INDEX($F$5:$F408,SUMPRODUCT(MAX(ROW($C$5:$C408)*($C409=$C$5:$C408))-ROW($A$4)))*0.9^($A409-INDEX($A$5:A408,SUMPRODUCT(MAX(ROW($C$5:$C408)*($C409=$C$5:$C408))-ROW($A$4)))),0)</f>
        <v>34.400000000000219</v>
      </c>
      <c r="G409" s="55" t="e">
        <f>INDEX(UWS!$AB$10:$AB$41,MATCH(C409,UWS!$B$10:$B$41,0))</f>
        <v>#N/A</v>
      </c>
      <c r="H409" s="48" t="e">
        <f>INDEX(UWS!$C$10:$C$41,MATCH(C409,UWS!$B$10:$B$41,0))</f>
        <v>#N/A</v>
      </c>
      <c r="I409" s="27">
        <f t="shared" si="398"/>
        <v>5</v>
      </c>
      <c r="J409" s="27" t="e">
        <f>INDEX(UWS!$E$10:$E$41,MATCH(C409,UWS!$B$10:$B$41,0))</f>
        <v>#N/A</v>
      </c>
      <c r="L409" s="108" t="str" cm="1">
        <f t="array" ref="L409">IF(K409="","",INDEX(UWS!$B$10:$B$41,K409))</f>
        <v/>
      </c>
      <c r="N409" s="108" t="str" cm="1">
        <f t="array" ref="N409">IF(M409="","",INDEX(UWS!$B$10:$B$41,M409))</f>
        <v/>
      </c>
      <c r="P409">
        <f>IFERROR(INDEX(UWS!$G$10:$Z$41,MATCH($C409,UWS!$B$10:$B$41,0),MATCH(P$4,UWS!$G$3:$Z$3,0)),0)</f>
        <v>0</v>
      </c>
      <c r="Q409">
        <f>IFERROR(INDEX(UWS!$G$10:$Z$41,MATCH($C409,UWS!$B$10:$B$41,0),MATCH(Q$4,UWS!$G$3:$Z$3,0)),0)</f>
        <v>0</v>
      </c>
      <c r="R409">
        <f>IFERROR(INDEX(UWS!$G$10:$Z$41,MATCH($C409,UWS!$B$10:$B$41,0),MATCH(R$4,UWS!$G$3:$Z$3,0)),0)</f>
        <v>0</v>
      </c>
      <c r="S409">
        <f>IFERROR(INDEX(UWS!$G$10:$Z$41,MATCH($C409,UWS!$B$10:$B$41,0),MATCH(S$4,UWS!$G$3:$Z$3,0)),0)</f>
        <v>0</v>
      </c>
      <c r="T409">
        <f>IFERROR(INDEX(UWS!$G$10:$Z$41,MATCH($C409,UWS!$B$10:$B$41,0),MATCH(T$4,UWS!$G$3:$Z$3,0)),0)</f>
        <v>0</v>
      </c>
      <c r="U409">
        <f>IFERROR(INDEX(UWS!$G$10:$Z$41,MATCH($C409,UWS!$B$10:$B$41,0),MATCH(U$4,UWS!$G$3:$Z$3,0)),0)</f>
        <v>0</v>
      </c>
      <c r="V409">
        <f>IFERROR(INDEX(UWS!$G$10:$Z$41,MATCH($C409,UWS!$B$10:$B$41,0),MATCH(V$4,UWS!$G$3:$Z$3,0)),0)</f>
        <v>0</v>
      </c>
      <c r="W409">
        <f>IFERROR(INDEX(UWS!$G$10:$Z$41,MATCH($C409,UWS!$B$10:$B$41,0),MATCH(W$4,UWS!$G$3:$Z$3,0)),0)</f>
        <v>0</v>
      </c>
      <c r="X409">
        <f>IFERROR(INDEX(UWS!$G$10:$Z$41,MATCH($C409,UWS!$B$10:$B$41,0),MATCH(X$4,UWS!$G$3:$Z$3,0)),0)</f>
        <v>0</v>
      </c>
      <c r="Y409">
        <f>IFERROR(INDEX(UWS!$G$10:$Z$41,MATCH($C409,UWS!$B$10:$B$41,0),MATCH(Y$4,UWS!$G$3:$Z$3,0)),0)</f>
        <v>0</v>
      </c>
      <c r="Z409">
        <f>IFERROR(INDEX(UWS!$G$10:$Z$41,MATCH($C409,UWS!$B$10:$B$41,0),MATCH(Z$4,UWS!$G$3:$Z$3,0)),0)</f>
        <v>0</v>
      </c>
      <c r="AA409">
        <f>IFERROR(INDEX(UWS!$G$10:$Z$41,MATCH($C409,UWS!$B$10:$B$41,0),MATCH(AA$4,UWS!$G$3:$Z$3,0)),0)</f>
        <v>0</v>
      </c>
      <c r="AB409">
        <f>IFERROR(INDEX(UWS!$G$10:$Z$41,MATCH($C409,UWS!$B$10:$B$41,0),MATCH(AB$4,UWS!$G$3:$Z$3,0)),0)</f>
        <v>0</v>
      </c>
      <c r="AC409">
        <f>IFERROR(INDEX(UWS!$G$10:$Z$41,MATCH($C409,UWS!$B$10:$B$41,0),MATCH(AC$4,UWS!$G$3:$Z$3,0)),0)</f>
        <v>0</v>
      </c>
      <c r="AD409">
        <f>IFERROR(INDEX(UWS!$G$10:$Z$41,MATCH($C409,UWS!$B$10:$B$41,0),MATCH(AD$4,UWS!$G$3:$Z$3,0)),0)</f>
        <v>0</v>
      </c>
      <c r="AE409">
        <f>IFERROR(INDEX(UWS!$G$10:$Z$41,MATCH($C409,UWS!$B$10:$B$41,0),MATCH(AE$4,UWS!$G$3:$Z$3,0)),0)</f>
        <v>0</v>
      </c>
      <c r="AF409">
        <f>IFERROR(INDEX(UWS!$G$10:$Z$41,MATCH($C409,UWS!$B$10:$B$41,0),MATCH(AF$4,UWS!$G$3:$Z$3,0)),0)</f>
        <v>0</v>
      </c>
      <c r="AG409">
        <f>IFERROR(INDEX(UWS!$G$10:$Z$41,MATCH($C409,UWS!$B$10:$B$41,0),MATCH(AG$4,UWS!$G$3:$Z$3,0)),0)</f>
        <v>0</v>
      </c>
      <c r="AH409">
        <f>IFERROR(INDEX(UWS!$G$10:$Z$41,MATCH($C409,UWS!$B$10:$B$41,0),MATCH(AH$4,UWS!$G$3:$Z$3,0)),0)</f>
        <v>0</v>
      </c>
      <c r="AI409">
        <f>IFERROR(INDEX(UWS!$G$10:$Z$41,MATCH($C409,UWS!$B$10:$B$41,0),MATCH(AI$4,UWS!$G$3:$Z$3,0)),0)</f>
        <v>0</v>
      </c>
      <c r="AK409" t="e">
        <f>IF(OR($J409=0,COUNTIFS($A$4:$A408,"&gt;="&amp;$A409-1,$A$4:$A408,"&lt;="&amp;$A409,$B$4:$B408,$B409)&gt;0,MIN(AK$1,IF($A409=$A408,AK408,1))-P409&lt;0),-1,MIN(1,IF($A409=$A408,AK408,1)-P409+$D$3))</f>
        <v>#N/A</v>
      </c>
      <c r="AL409" t="e">
        <f>IF(OR($J409=0,COUNTIFS($A$4:$A408,"&gt;="&amp;$A409-1,$A$4:$A408,"&lt;="&amp;$A409,$B$4:$B408,$B409)&gt;0,MIN(AL$1,IF($A409=$A408,AL408,1))-Q409&lt;0),-1,MIN(1,IF($A409=$A408,AL408,1)-Q409+$D$3))</f>
        <v>#N/A</v>
      </c>
      <c r="AM409" t="e">
        <f>IF(OR($J409=0,COUNTIFS($A$4:$A408,"&gt;="&amp;$A409-1,$A$4:$A408,"&lt;="&amp;$A409,$B$4:$B408,$B409)&gt;0,MIN(AM$1,IF($A409=$A408,AM408,1))-R409&lt;0),-1,MIN(1,IF($A409=$A408,AM408,1)-R409+$D$3))</f>
        <v>#N/A</v>
      </c>
      <c r="AN409" t="e">
        <f>IF(OR($J409=0,COUNTIFS($A$4:$A408,"&gt;="&amp;$A409-1,$A$4:$A408,"&lt;="&amp;$A409,$B$4:$B408,$B409)&gt;0,MIN(AN$1,IF($A409=$A408,AN408,1))-S409&lt;0),-1,MIN(1,IF($A409=$A408,AN408,1)-S409+$D$3))</f>
        <v>#N/A</v>
      </c>
      <c r="AO409" t="e">
        <f>IF(OR($J409=0,COUNTIFS($A$4:$A408,"&gt;="&amp;$A409-1,$A$4:$A408,"&lt;="&amp;$A409,$B$4:$B408,$B409)&gt;0,MIN(AO$1,IF($A409=$A408,AO408,1))-T409&lt;0),-1,MIN(1,IF($A409=$A408,AO408,1)-T409+$D$3))</f>
        <v>#N/A</v>
      </c>
      <c r="AP409" t="e">
        <f>IF(OR($J409=0,COUNTIFS($A$4:$A408,"&gt;="&amp;$A409-1,$A$4:$A408,"&lt;="&amp;$A409,$B$4:$B408,$B409)&gt;0,MIN(AP$1,IF($A409=$A408,AP408,1))-U409&lt;0),-1,MIN(1,IF($A409=$A408,AP408,1)-U409+$D$3))</f>
        <v>#N/A</v>
      </c>
      <c r="AQ409" t="e">
        <f>IF(OR($J409=0,COUNTIFS($A$4:$A408,"&gt;="&amp;$A409-1,$A$4:$A408,"&lt;="&amp;$A409,$B$4:$B408,$B409)&gt;0,MIN(AQ$1,IF($A409=$A408,AQ408,1))-V409&lt;0),-1,MIN(1,IF($A409=$A408,AQ408,1)-V409+$D$3))</f>
        <v>#N/A</v>
      </c>
      <c r="AR409" t="e">
        <f>IF(OR($J409=0,COUNTIFS($A$4:$A408,"&gt;="&amp;$A409-1,$A$4:$A408,"&lt;="&amp;$A409,$B$4:$B408,$B409)&gt;0,MIN(AR$1,IF($A409=$A408,AR408,1))-W409&lt;0),-1,MIN(1,IF($A409=$A408,AR408,1)-W409+$D$3))</f>
        <v>#N/A</v>
      </c>
      <c r="AS409" t="e">
        <f>IF(OR($J409=0,COUNTIFS($A$4:$A408,"&gt;="&amp;$A409-1,$A$4:$A408,"&lt;="&amp;$A409,$B$4:$B408,$B409)&gt;0,MIN(AS$1,IF($A409=$A408,AS408,1))-X409&lt;0),-1,MIN(1,IF($A409=$A408,AS408,1)-X409+$D$3))</f>
        <v>#N/A</v>
      </c>
      <c r="AT409" t="e">
        <f>IF(OR($J409=0,COUNTIFS($A$4:$A408,"&gt;="&amp;$A409-1,$A$4:$A408,"&lt;="&amp;$A409,$B$4:$B408,$B409)&gt;0,MIN(AT$1,IF($A409=$A408,AT408,1))-Y409&lt;0),-1,MIN(1,IF($A409=$A408,AT408,1)-Y409+$D$3))</f>
        <v>#N/A</v>
      </c>
      <c r="AU409" t="e">
        <f>IF(OR($J409=0,COUNTIFS($A$4:$A408,"&gt;="&amp;$A409-1,$A$4:$A408,"&lt;="&amp;$A409,$B$4:$B408,$B409)&gt;0,MIN(AU$1,IF($A409=$A408,AU408,1))-Z409&lt;0),-1,MIN(1,IF($A409=$A408,AU408,1)-Z409+$D$3))</f>
        <v>#N/A</v>
      </c>
      <c r="AV409" t="e">
        <f>IF(OR($J409=0,COUNTIFS($A$4:$A408,"&gt;="&amp;$A409-1,$A$4:$A408,"&lt;="&amp;$A409,$B$4:$B408,$B409)&gt;0,MIN(AV$1,IF($A409=$A408,AV408,1))-AA409&lt;0),-1,MIN(1,IF($A409=$A408,AV408,1)-AA409+$D$3))</f>
        <v>#N/A</v>
      </c>
      <c r="AW409" t="e">
        <f>IF(OR($J409=0,COUNTIFS($A$4:$A408,"&gt;="&amp;$A409-1,$A$4:$A408,"&lt;="&amp;$A409,$B$4:$B408,$B409)&gt;0,MIN(AW$1,IF($A409=$A408,AW408,1))-AB409&lt;0),-1,MIN(1,IF($A409=$A408,AW408,1)-AB409+$D$3))</f>
        <v>#N/A</v>
      </c>
      <c r="AX409" t="e">
        <f>IF(OR($J409=0,COUNTIFS($A$4:$A408,"&gt;="&amp;$A409-1,$A$4:$A408,"&lt;="&amp;$A409,$B$4:$B408,$B409)&gt;0,MIN(AX$1,IF($A409=$A408,AX408,1))-AC409&lt;0),-1,MIN(1,IF($A409=$A408,AX408,1)-AC409+$D$3))</f>
        <v>#N/A</v>
      </c>
      <c r="AY409" t="e">
        <f>IF(OR($J409=0,COUNTIFS($A$4:$A408,"&gt;="&amp;$A409-1,$A$4:$A408,"&lt;="&amp;$A409,$B$4:$B408,$B409)&gt;0,MIN(AY$1,IF($A409=$A408,AY408,1))-AD409&lt;0),-1,MIN(1,IF($A409=$A408,AY408,1)-AD409+$D$3))</f>
        <v>#N/A</v>
      </c>
      <c r="AZ409" t="e">
        <f>IF(OR($J409=0,COUNTIFS($A$4:$A408,"&gt;="&amp;$A409-1,$A$4:$A408,"&lt;="&amp;$A409,$B$4:$B408,$B409)&gt;0,MIN(AZ$1,IF($A409=$A408,AZ408,1))-AE409&lt;0),-1,MIN(1,IF($A409=$A408,AZ408,1)-AE409+$D$3))</f>
        <v>#N/A</v>
      </c>
      <c r="BA409" t="e">
        <f>IF(OR($J409=0,COUNTIFS($A$4:$A408,"&gt;="&amp;$A409-1,$A$4:$A408,"&lt;="&amp;$A409,$B$4:$B408,$B409)&gt;0,MIN(BA$1,IF($A409=$A408,BA408,1))-AF409&lt;0),-1,MIN(1,IF($A409=$A408,BA408,1)-AF409+$D$3))</f>
        <v>#N/A</v>
      </c>
      <c r="BB409" t="e">
        <f>IF(OR($J409=0,COUNTIFS($A$4:$A408,"&gt;="&amp;$A409-1,$A$4:$A408,"&lt;="&amp;$A409,$B$4:$B408,$B409)&gt;0,MIN(BB$1,IF($A409=$A408,BB408,1))-AG409&lt;0),-1,MIN(1,IF($A409=$A408,BB408,1)-AG409+$D$3))</f>
        <v>#N/A</v>
      </c>
      <c r="BC409" t="e">
        <f>IF(OR($J409=0,COUNTIFS($A$4:$A408,"&gt;="&amp;$A409-1,$A$4:$A408,"&lt;="&amp;$A409,$B$4:$B408,$B409)&gt;0,MIN(BC$1,IF($A409=$A408,BC408,1))-AH409&lt;0),-1,MIN(1,IF($A409=$A408,BC408,1)-AH409+$D$3))</f>
        <v>#N/A</v>
      </c>
      <c r="BD409" t="e">
        <f>IF(OR($J409=0,COUNTIFS($A$4:$A408,"&gt;="&amp;$A409-1,$A$4:$A408,"&lt;="&amp;$A409,$B$4:$B408,$B409)&gt;0,MIN(BD$1,IF($A409=$A408,BD408,1))-AI409&lt;0),-1,MIN(1,IF($A409=$A408,BD408,1)-AI409+$D$3))</f>
        <v>#N/A</v>
      </c>
      <c r="BF409" s="44">
        <f t="shared" si="399"/>
        <v>2.015422189373934E-9</v>
      </c>
      <c r="BG409" s="44">
        <f t="shared" si="400"/>
        <v>4.9564918780461504E-9</v>
      </c>
      <c r="BH409" s="44">
        <f t="shared" si="401"/>
        <v>5.0798828031126704E-9</v>
      </c>
      <c r="BI409" s="44">
        <f t="shared" si="402"/>
        <v>4.6924013401520331E-9</v>
      </c>
      <c r="BJ409" s="44">
        <f t="shared" si="403"/>
        <v>4.8500422626721016E-9</v>
      </c>
      <c r="BK409" s="44">
        <f t="shared" si="404"/>
        <v>2.0827889811241699E-9</v>
      </c>
      <c r="BL409" s="44">
        <f t="shared" si="405"/>
        <v>1.1251553748607566E-9</v>
      </c>
      <c r="BM409" s="44">
        <f t="shared" si="406"/>
        <v>2.8622638835866352E-9</v>
      </c>
      <c r="BN409" s="44">
        <f t="shared" si="407"/>
        <v>2.9769775105567447E-9</v>
      </c>
      <c r="BO409" s="44">
        <f t="shared" si="408"/>
        <v>1.3951246247778781E-9</v>
      </c>
      <c r="BP409" s="44">
        <f t="shared" si="409"/>
        <v>4.6910754671621528E-9</v>
      </c>
      <c r="BQ409" s="44">
        <f t="shared" si="410"/>
        <v>1.2659270800669049E-9</v>
      </c>
      <c r="BR409" s="44">
        <f t="shared" si="411"/>
        <v>3.7398654892062063E-9</v>
      </c>
      <c r="BS409" s="44">
        <f t="shared" si="412"/>
        <v>2.0169590867696962E-9</v>
      </c>
      <c r="BT409" s="44">
        <f t="shared" si="413"/>
        <v>7.9817254584997962E-9</v>
      </c>
      <c r="BU409" s="44">
        <f t="shared" si="414"/>
        <v>7.6249496058541583E-9</v>
      </c>
      <c r="BV409" s="44">
        <f t="shared" si="415"/>
        <v>7.3227493355403014E-9</v>
      </c>
      <c r="BW409" s="44">
        <f t="shared" si="416"/>
        <v>4.7894810393944976E-9</v>
      </c>
      <c r="BX409" s="44">
        <f t="shared" si="417"/>
        <v>3.5383816185100563E-9</v>
      </c>
      <c r="BY409" s="44">
        <f t="shared" si="418"/>
        <v>3.0381073102792394E-9</v>
      </c>
      <c r="CA409" s="44" t="str">
        <f t="shared" si="419"/>
        <v/>
      </c>
      <c r="CB409" s="44" t="str">
        <f t="shared" si="420"/>
        <v/>
      </c>
      <c r="CC409" s="44" t="str">
        <f t="shared" si="421"/>
        <v/>
      </c>
      <c r="CD409" s="44" t="str">
        <f t="shared" si="422"/>
        <v/>
      </c>
      <c r="CE409" s="44" t="str">
        <f t="shared" si="423"/>
        <v/>
      </c>
      <c r="CF409" s="44" t="str">
        <f t="shared" si="424"/>
        <v/>
      </c>
      <c r="CG409" s="44" t="str">
        <f t="shared" si="425"/>
        <v/>
      </c>
      <c r="CH409" s="44" t="str">
        <f t="shared" si="426"/>
        <v/>
      </c>
      <c r="CI409" s="44" t="str">
        <f t="shared" si="427"/>
        <v/>
      </c>
      <c r="CJ409" s="44" t="str">
        <f t="shared" si="428"/>
        <v/>
      </c>
      <c r="CK409" s="44" t="str">
        <f t="shared" si="429"/>
        <v/>
      </c>
      <c r="CL409" s="44" t="str">
        <f t="shared" si="430"/>
        <v/>
      </c>
      <c r="CM409" s="44" t="str">
        <f t="shared" si="431"/>
        <v/>
      </c>
      <c r="CN409" s="44" t="str">
        <f t="shared" si="432"/>
        <v/>
      </c>
      <c r="CO409" s="44" t="str">
        <f t="shared" si="433"/>
        <v/>
      </c>
      <c r="CP409" s="44" t="str">
        <f t="shared" si="434"/>
        <v/>
      </c>
      <c r="CQ409" s="44" t="str">
        <f t="shared" si="435"/>
        <v/>
      </c>
      <c r="CR409" s="44" t="str">
        <f t="shared" si="436"/>
        <v/>
      </c>
      <c r="CS409" s="44" t="str">
        <f t="shared" si="437"/>
        <v/>
      </c>
      <c r="CT409" s="44" t="str">
        <f t="shared" si="438"/>
        <v/>
      </c>
      <c r="CV409" s="44">
        <f t="shared" si="439"/>
        <v>0</v>
      </c>
    </row>
    <row r="410" spans="1:100" x14ac:dyDescent="0.25">
      <c r="A410" s="49"/>
      <c r="B410" s="50"/>
      <c r="C410" s="51" t="str" cm="1">
        <f t="array" ref="C410">IF(B410="","",INDEX(UWS!$B$10:$B$41,B410))</f>
        <v/>
      </c>
      <c r="D410" s="45" t="str">
        <f t="shared" si="396"/>
        <v/>
      </c>
      <c r="E410" s="70" t="str">
        <f t="shared" si="397"/>
        <v/>
      </c>
      <c r="F410" s="52" cm="1">
        <f t="array" ref="F410">0.1+IFERROR(INDEX($F$5:$F409,SUMPRODUCT(MAX(ROW($C$5:$C409)*($C410=$C$5:$C409))-ROW($A$4)))*0.9^($A410-INDEX($A$5:A409,SUMPRODUCT(MAX(ROW($C$5:$C409)*($C410=$C$5:$C409))-ROW($A$4)))),0)</f>
        <v>34.50000000000022</v>
      </c>
      <c r="G410" s="56" t="e">
        <f>INDEX(UWS!$AB$10:$AB$41,MATCH(C410,UWS!$B$10:$B$41,0))</f>
        <v>#N/A</v>
      </c>
      <c r="H410" s="52" t="e">
        <f>INDEX(UWS!$C$10:$C$41,MATCH(C410,UWS!$B$10:$B$41,0))</f>
        <v>#N/A</v>
      </c>
      <c r="I410" s="46">
        <f t="shared" si="398"/>
        <v>5</v>
      </c>
      <c r="J410" s="46" t="e">
        <f>INDEX(UWS!$E$10:$E$41,MATCH(C410,UWS!$B$10:$B$41,0))</f>
        <v>#N/A</v>
      </c>
      <c r="K410" s="46"/>
      <c r="L410" s="109" t="str" cm="1">
        <f t="array" ref="L410">IF(K410="","",INDEX(UWS!$B$10:$B$41,K410))</f>
        <v/>
      </c>
      <c r="M410" s="46"/>
      <c r="N410" s="109" t="str" cm="1">
        <f t="array" ref="N410">IF(M410="","",INDEX(UWS!$B$10:$B$41,M410))</f>
        <v/>
      </c>
      <c r="O410" s="47"/>
      <c r="P410" s="47">
        <f>IFERROR(INDEX(UWS!$G$10:$Z$41,MATCH($C410,UWS!$B$10:$B$41,0),MATCH(P$4,UWS!$G$3:$Z$3,0)),0)</f>
        <v>0</v>
      </c>
      <c r="Q410" s="47">
        <f>IFERROR(INDEX(UWS!$G$10:$Z$41,MATCH($C410,UWS!$B$10:$B$41,0),MATCH(Q$4,UWS!$G$3:$Z$3,0)),0)</f>
        <v>0</v>
      </c>
      <c r="R410" s="47">
        <f>IFERROR(INDEX(UWS!$G$10:$Z$41,MATCH($C410,UWS!$B$10:$B$41,0),MATCH(R$4,UWS!$G$3:$Z$3,0)),0)</f>
        <v>0</v>
      </c>
      <c r="S410" s="47">
        <f>IFERROR(INDEX(UWS!$G$10:$Z$41,MATCH($C410,UWS!$B$10:$B$41,0),MATCH(S$4,UWS!$G$3:$Z$3,0)),0)</f>
        <v>0</v>
      </c>
      <c r="T410" s="47">
        <f>IFERROR(INDEX(UWS!$G$10:$Z$41,MATCH($C410,UWS!$B$10:$B$41,0),MATCH(T$4,UWS!$G$3:$Z$3,0)),0)</f>
        <v>0</v>
      </c>
      <c r="U410" s="47">
        <f>IFERROR(INDEX(UWS!$G$10:$Z$41,MATCH($C410,UWS!$B$10:$B$41,0),MATCH(U$4,UWS!$G$3:$Z$3,0)),0)</f>
        <v>0</v>
      </c>
      <c r="V410" s="47">
        <f>IFERROR(INDEX(UWS!$G$10:$Z$41,MATCH($C410,UWS!$B$10:$B$41,0),MATCH(V$4,UWS!$G$3:$Z$3,0)),0)</f>
        <v>0</v>
      </c>
      <c r="W410" s="47">
        <f>IFERROR(INDEX(UWS!$G$10:$Z$41,MATCH($C410,UWS!$B$10:$B$41,0),MATCH(W$4,UWS!$G$3:$Z$3,0)),0)</f>
        <v>0</v>
      </c>
      <c r="X410" s="47">
        <f>IFERROR(INDEX(UWS!$G$10:$Z$41,MATCH($C410,UWS!$B$10:$B$41,0),MATCH(X$4,UWS!$G$3:$Z$3,0)),0)</f>
        <v>0</v>
      </c>
      <c r="Y410" s="47">
        <f>IFERROR(INDEX(UWS!$G$10:$Z$41,MATCH($C410,UWS!$B$10:$B$41,0),MATCH(Y$4,UWS!$G$3:$Z$3,0)),0)</f>
        <v>0</v>
      </c>
      <c r="Z410" s="47">
        <f>IFERROR(INDEX(UWS!$G$10:$Z$41,MATCH($C410,UWS!$B$10:$B$41,0),MATCH(Z$4,UWS!$G$3:$Z$3,0)),0)</f>
        <v>0</v>
      </c>
      <c r="AA410" s="47">
        <f>IFERROR(INDEX(UWS!$G$10:$Z$41,MATCH($C410,UWS!$B$10:$B$41,0),MATCH(AA$4,UWS!$G$3:$Z$3,0)),0)</f>
        <v>0</v>
      </c>
      <c r="AB410" s="47">
        <f>IFERROR(INDEX(UWS!$G$10:$Z$41,MATCH($C410,UWS!$B$10:$B$41,0),MATCH(AB$4,UWS!$G$3:$Z$3,0)),0)</f>
        <v>0</v>
      </c>
      <c r="AC410" s="47">
        <f>IFERROR(INDEX(UWS!$G$10:$Z$41,MATCH($C410,UWS!$B$10:$B$41,0),MATCH(AC$4,UWS!$G$3:$Z$3,0)),0)</f>
        <v>0</v>
      </c>
      <c r="AD410" s="47">
        <f>IFERROR(INDEX(UWS!$G$10:$Z$41,MATCH($C410,UWS!$B$10:$B$41,0),MATCH(AD$4,UWS!$G$3:$Z$3,0)),0)</f>
        <v>0</v>
      </c>
      <c r="AE410" s="47">
        <f>IFERROR(INDEX(UWS!$G$10:$Z$41,MATCH($C410,UWS!$B$10:$B$41,0),MATCH(AE$4,UWS!$G$3:$Z$3,0)),0)</f>
        <v>0</v>
      </c>
      <c r="AF410" s="47">
        <f>IFERROR(INDEX(UWS!$G$10:$Z$41,MATCH($C410,UWS!$B$10:$B$41,0),MATCH(AF$4,UWS!$G$3:$Z$3,0)),0)</f>
        <v>0</v>
      </c>
      <c r="AG410" s="47">
        <f>IFERROR(INDEX(UWS!$G$10:$Z$41,MATCH($C410,UWS!$B$10:$B$41,0),MATCH(AG$4,UWS!$G$3:$Z$3,0)),0)</f>
        <v>0</v>
      </c>
      <c r="AH410" s="47">
        <f>IFERROR(INDEX(UWS!$G$10:$Z$41,MATCH($C410,UWS!$B$10:$B$41,0),MATCH(AH$4,UWS!$G$3:$Z$3,0)),0)</f>
        <v>0</v>
      </c>
      <c r="AI410" s="47">
        <f>IFERROR(INDEX(UWS!$G$10:$Z$41,MATCH($C410,UWS!$B$10:$B$41,0),MATCH(AI$4,UWS!$G$3:$Z$3,0)),0)</f>
        <v>0</v>
      </c>
      <c r="AJ410" s="47"/>
      <c r="AK410" s="47" t="e">
        <f>IF(OR($J410=0,COUNTIFS($A$4:$A409,"&gt;="&amp;$A410-1,$A$4:$A409,"&lt;="&amp;$A410,$B$4:$B409,$B410)&gt;0,MIN(AK$1,IF($A410=$A409,AK409,1))-P410&lt;0),-1,MIN(1,IF($A410=$A409,AK409,1)-P410+$D$3))</f>
        <v>#N/A</v>
      </c>
      <c r="AL410" s="47" t="e">
        <f>IF(OR($J410=0,COUNTIFS($A$4:$A409,"&gt;="&amp;$A410-1,$A$4:$A409,"&lt;="&amp;$A410,$B$4:$B409,$B410)&gt;0,MIN(AL$1,IF($A410=$A409,AL409,1))-Q410&lt;0),-1,MIN(1,IF($A410=$A409,AL409,1)-Q410+$D$3))</f>
        <v>#N/A</v>
      </c>
      <c r="AM410" s="47" t="e">
        <f>IF(OR($J410=0,COUNTIFS($A$4:$A409,"&gt;="&amp;$A410-1,$A$4:$A409,"&lt;="&amp;$A410,$B$4:$B409,$B410)&gt;0,MIN(AM$1,IF($A410=$A409,AM409,1))-R410&lt;0),-1,MIN(1,IF($A410=$A409,AM409,1)-R410+$D$3))</f>
        <v>#N/A</v>
      </c>
      <c r="AN410" s="47" t="e">
        <f>IF(OR($J410=0,COUNTIFS($A$4:$A409,"&gt;="&amp;$A410-1,$A$4:$A409,"&lt;="&amp;$A410,$B$4:$B409,$B410)&gt;0,MIN(AN$1,IF($A410=$A409,AN409,1))-S410&lt;0),-1,MIN(1,IF($A410=$A409,AN409,1)-S410+$D$3))</f>
        <v>#N/A</v>
      </c>
      <c r="AO410" s="47" t="e">
        <f>IF(OR($J410=0,COUNTIFS($A$4:$A409,"&gt;="&amp;$A410-1,$A$4:$A409,"&lt;="&amp;$A410,$B$4:$B409,$B410)&gt;0,MIN(AO$1,IF($A410=$A409,AO409,1))-T410&lt;0),-1,MIN(1,IF($A410=$A409,AO409,1)-T410+$D$3))</f>
        <v>#N/A</v>
      </c>
      <c r="AP410" s="47" t="e">
        <f>IF(OR($J410=0,COUNTIFS($A$4:$A409,"&gt;="&amp;$A410-1,$A$4:$A409,"&lt;="&amp;$A410,$B$4:$B409,$B410)&gt;0,MIN(AP$1,IF($A410=$A409,AP409,1))-U410&lt;0),-1,MIN(1,IF($A410=$A409,AP409,1)-U410+$D$3))</f>
        <v>#N/A</v>
      </c>
      <c r="AQ410" s="47" t="e">
        <f>IF(OR($J410=0,COUNTIFS($A$4:$A409,"&gt;="&amp;$A410-1,$A$4:$A409,"&lt;="&amp;$A410,$B$4:$B409,$B410)&gt;0,MIN(AQ$1,IF($A410=$A409,AQ409,1))-V410&lt;0),-1,MIN(1,IF($A410=$A409,AQ409,1)-V410+$D$3))</f>
        <v>#N/A</v>
      </c>
      <c r="AR410" s="47" t="e">
        <f>IF(OR($J410=0,COUNTIFS($A$4:$A409,"&gt;="&amp;$A410-1,$A$4:$A409,"&lt;="&amp;$A410,$B$4:$B409,$B410)&gt;0,MIN(AR$1,IF($A410=$A409,AR409,1))-W410&lt;0),-1,MIN(1,IF($A410=$A409,AR409,1)-W410+$D$3))</f>
        <v>#N/A</v>
      </c>
      <c r="AS410" s="47" t="e">
        <f>IF(OR($J410=0,COUNTIFS($A$4:$A409,"&gt;="&amp;$A410-1,$A$4:$A409,"&lt;="&amp;$A410,$B$4:$B409,$B410)&gt;0,MIN(AS$1,IF($A410=$A409,AS409,1))-X410&lt;0),-1,MIN(1,IF($A410=$A409,AS409,1)-X410+$D$3))</f>
        <v>#N/A</v>
      </c>
      <c r="AT410" s="47" t="e">
        <f>IF(OR($J410=0,COUNTIFS($A$4:$A409,"&gt;="&amp;$A410-1,$A$4:$A409,"&lt;="&amp;$A410,$B$4:$B409,$B410)&gt;0,MIN(AT$1,IF($A410=$A409,AT409,1))-Y410&lt;0),-1,MIN(1,IF($A410=$A409,AT409,1)-Y410+$D$3))</f>
        <v>#N/A</v>
      </c>
      <c r="AU410" s="47" t="e">
        <f>IF(OR($J410=0,COUNTIFS($A$4:$A409,"&gt;="&amp;$A410-1,$A$4:$A409,"&lt;="&amp;$A410,$B$4:$B409,$B410)&gt;0,MIN(AU$1,IF($A410=$A409,AU409,1))-Z410&lt;0),-1,MIN(1,IF($A410=$A409,AU409,1)-Z410+$D$3))</f>
        <v>#N/A</v>
      </c>
      <c r="AV410" s="47" t="e">
        <f>IF(OR($J410=0,COUNTIFS($A$4:$A409,"&gt;="&amp;$A410-1,$A$4:$A409,"&lt;="&amp;$A410,$B$4:$B409,$B410)&gt;0,MIN(AV$1,IF($A410=$A409,AV409,1))-AA410&lt;0),-1,MIN(1,IF($A410=$A409,AV409,1)-AA410+$D$3))</f>
        <v>#N/A</v>
      </c>
      <c r="AW410" s="47" t="e">
        <f>IF(OR($J410=0,COUNTIFS($A$4:$A409,"&gt;="&amp;$A410-1,$A$4:$A409,"&lt;="&amp;$A410,$B$4:$B409,$B410)&gt;0,MIN(AW$1,IF($A410=$A409,AW409,1))-AB410&lt;0),-1,MIN(1,IF($A410=$A409,AW409,1)-AB410+$D$3))</f>
        <v>#N/A</v>
      </c>
      <c r="AX410" s="47" t="e">
        <f>IF(OR($J410=0,COUNTIFS($A$4:$A409,"&gt;="&amp;$A410-1,$A$4:$A409,"&lt;="&amp;$A410,$B$4:$B409,$B410)&gt;0,MIN(AX$1,IF($A410=$A409,AX409,1))-AC410&lt;0),-1,MIN(1,IF($A410=$A409,AX409,1)-AC410+$D$3))</f>
        <v>#N/A</v>
      </c>
      <c r="AY410" s="47" t="e">
        <f>IF(OR($J410=0,COUNTIFS($A$4:$A409,"&gt;="&amp;$A410-1,$A$4:$A409,"&lt;="&amp;$A410,$B$4:$B409,$B410)&gt;0,MIN(AY$1,IF($A410=$A409,AY409,1))-AD410&lt;0),-1,MIN(1,IF($A410=$A409,AY409,1)-AD410+$D$3))</f>
        <v>#N/A</v>
      </c>
      <c r="AZ410" s="47" t="e">
        <f>IF(OR($J410=0,COUNTIFS($A$4:$A409,"&gt;="&amp;$A410-1,$A$4:$A409,"&lt;="&amp;$A410,$B$4:$B409,$B410)&gt;0,MIN(AZ$1,IF($A410=$A409,AZ409,1))-AE410&lt;0),-1,MIN(1,IF($A410=$A409,AZ409,1)-AE410+$D$3))</f>
        <v>#N/A</v>
      </c>
      <c r="BA410" s="47" t="e">
        <f>IF(OR($J410=0,COUNTIFS($A$4:$A409,"&gt;="&amp;$A410-1,$A$4:$A409,"&lt;="&amp;$A410,$B$4:$B409,$B410)&gt;0,MIN(BA$1,IF($A410=$A409,BA409,1))-AF410&lt;0),-1,MIN(1,IF($A410=$A409,BA409,1)-AF410+$D$3))</f>
        <v>#N/A</v>
      </c>
      <c r="BB410" s="47" t="e">
        <f>IF(OR($J410=0,COUNTIFS($A$4:$A409,"&gt;="&amp;$A410-1,$A$4:$A409,"&lt;="&amp;$A410,$B$4:$B409,$B410)&gt;0,MIN(BB$1,IF($A410=$A409,BB409,1))-AG410&lt;0),-1,MIN(1,IF($A410=$A409,BB409,1)-AG410+$D$3))</f>
        <v>#N/A</v>
      </c>
      <c r="BC410" s="47" t="e">
        <f>IF(OR($J410=0,COUNTIFS($A$4:$A409,"&gt;="&amp;$A410-1,$A$4:$A409,"&lt;="&amp;$A410,$B$4:$B409,$B410)&gt;0,MIN(BC$1,IF($A410=$A409,BC409,1))-AH410&lt;0),-1,MIN(1,IF($A410=$A409,BC409,1)-AH410+$D$3))</f>
        <v>#N/A</v>
      </c>
      <c r="BD410" s="47" t="e">
        <f>IF(OR($J410=0,COUNTIFS($A$4:$A409,"&gt;="&amp;$A410-1,$A$4:$A409,"&lt;="&amp;$A410,$B$4:$B409,$B410)&gt;0,MIN(BD$1,IF($A410=$A409,BD409,1))-AI410&lt;0),-1,MIN(1,IF($A410=$A409,BD409,1)-AI410+$D$3))</f>
        <v>#N/A</v>
      </c>
      <c r="BE410" s="47"/>
      <c r="BF410" s="53">
        <f t="shared" si="399"/>
        <v>1.914651079905237E-9</v>
      </c>
      <c r="BG410" s="53">
        <f t="shared" si="400"/>
        <v>4.7086672841438427E-9</v>
      </c>
      <c r="BH410" s="53">
        <f t="shared" si="401"/>
        <v>4.8258886629570363E-9</v>
      </c>
      <c r="BI410" s="53">
        <f t="shared" si="402"/>
        <v>4.4577812731444315E-9</v>
      </c>
      <c r="BJ410" s="53">
        <f t="shared" si="403"/>
        <v>4.6075401495384965E-9</v>
      </c>
      <c r="BK410" s="53">
        <f t="shared" si="404"/>
        <v>1.9786495320679612E-9</v>
      </c>
      <c r="BL410" s="53">
        <f t="shared" si="405"/>
        <v>1.0688976061177188E-9</v>
      </c>
      <c r="BM410" s="53">
        <f t="shared" si="406"/>
        <v>2.7191506894073032E-9</v>
      </c>
      <c r="BN410" s="53">
        <f t="shared" si="407"/>
        <v>2.8281286350289075E-9</v>
      </c>
      <c r="BO410" s="53">
        <f t="shared" si="408"/>
        <v>1.3253683935389841E-9</v>
      </c>
      <c r="BP410" s="53">
        <f t="shared" si="409"/>
        <v>4.4565216938040445E-9</v>
      </c>
      <c r="BQ410" s="53">
        <f t="shared" si="410"/>
        <v>1.2026307260635595E-9</v>
      </c>
      <c r="BR410" s="53">
        <f t="shared" si="411"/>
        <v>3.5528722147458959E-9</v>
      </c>
      <c r="BS410" s="53">
        <f t="shared" si="412"/>
        <v>1.9161111324312114E-9</v>
      </c>
      <c r="BT410" s="53">
        <f t="shared" si="413"/>
        <v>7.5826391855748055E-9</v>
      </c>
      <c r="BU410" s="53">
        <f t="shared" si="414"/>
        <v>7.2437021255614496E-9</v>
      </c>
      <c r="BV410" s="53">
        <f t="shared" si="415"/>
        <v>6.9566118687632863E-9</v>
      </c>
      <c r="BW410" s="53">
        <f t="shared" si="416"/>
        <v>4.5500069874247726E-9</v>
      </c>
      <c r="BX410" s="53">
        <f t="shared" si="417"/>
        <v>3.3614625375845534E-9</v>
      </c>
      <c r="BY410" s="53">
        <f t="shared" si="418"/>
        <v>2.8862019447652773E-9</v>
      </c>
      <c r="BZ410" s="47"/>
      <c r="CA410" s="53" t="str">
        <f t="shared" si="419"/>
        <v/>
      </c>
      <c r="CB410" s="53" t="str">
        <f t="shared" si="420"/>
        <v/>
      </c>
      <c r="CC410" s="53" t="str">
        <f t="shared" si="421"/>
        <v/>
      </c>
      <c r="CD410" s="53" t="str">
        <f t="shared" si="422"/>
        <v/>
      </c>
      <c r="CE410" s="53" t="str">
        <f t="shared" si="423"/>
        <v/>
      </c>
      <c r="CF410" s="53" t="str">
        <f t="shared" si="424"/>
        <v/>
      </c>
      <c r="CG410" s="53" t="str">
        <f t="shared" si="425"/>
        <v/>
      </c>
      <c r="CH410" s="53" t="str">
        <f t="shared" si="426"/>
        <v/>
      </c>
      <c r="CI410" s="53" t="str">
        <f t="shared" si="427"/>
        <v/>
      </c>
      <c r="CJ410" s="53" t="str">
        <f t="shared" si="428"/>
        <v/>
      </c>
      <c r="CK410" s="53" t="str">
        <f t="shared" si="429"/>
        <v/>
      </c>
      <c r="CL410" s="53" t="str">
        <f t="shared" si="430"/>
        <v/>
      </c>
      <c r="CM410" s="53" t="str">
        <f t="shared" si="431"/>
        <v/>
      </c>
      <c r="CN410" s="53" t="str">
        <f t="shared" si="432"/>
        <v/>
      </c>
      <c r="CO410" s="53" t="str">
        <f t="shared" si="433"/>
        <v/>
      </c>
      <c r="CP410" s="53" t="str">
        <f t="shared" si="434"/>
        <v/>
      </c>
      <c r="CQ410" s="53" t="str">
        <f t="shared" si="435"/>
        <v/>
      </c>
      <c r="CR410" s="53" t="str">
        <f t="shared" si="436"/>
        <v/>
      </c>
      <c r="CS410" s="53" t="str">
        <f t="shared" si="437"/>
        <v/>
      </c>
      <c r="CT410" s="53" t="str">
        <f t="shared" si="438"/>
        <v/>
      </c>
      <c r="CU410" s="47"/>
      <c r="CV410" s="53">
        <f t="shared" si="439"/>
        <v>0</v>
      </c>
    </row>
    <row r="411" spans="1:100" x14ac:dyDescent="0.25">
      <c r="A411" s="41"/>
      <c r="B411" s="42"/>
      <c r="C411" s="43" t="str" cm="1">
        <f t="array" ref="C411">IF(B411="","",INDEX(UWS!$B$10:$B$41,B411))</f>
        <v/>
      </c>
      <c r="D411" s="40" t="str">
        <f t="shared" si="396"/>
        <v/>
      </c>
      <c r="E411" s="69" t="str">
        <f t="shared" si="397"/>
        <v/>
      </c>
      <c r="F411" s="48" cm="1">
        <f t="array" ref="F411">0.1+IFERROR(INDEX($F$5:$F410,SUMPRODUCT(MAX(ROW($C$5:$C410)*($C411=$C$5:$C410))-ROW($A$4)))*0.9^($A411-INDEX($A$5:A410,SUMPRODUCT(MAX(ROW($C$5:$C410)*($C411=$C$5:$C410))-ROW($A$4)))),0)</f>
        <v>34.600000000000222</v>
      </c>
      <c r="G411" s="55" t="e">
        <f>INDEX(UWS!$AB$10:$AB$41,MATCH(C411,UWS!$B$10:$B$41,0))</f>
        <v>#N/A</v>
      </c>
      <c r="H411" s="48" t="e">
        <f>INDEX(UWS!$C$10:$C$41,MATCH(C411,UWS!$B$10:$B$41,0))</f>
        <v>#N/A</v>
      </c>
      <c r="I411" s="82">
        <f t="shared" si="398"/>
        <v>5</v>
      </c>
      <c r="J411" s="27" t="e">
        <f>INDEX(UWS!$E$10:$E$41,MATCH(C411,UWS!$B$10:$B$41,0))</f>
        <v>#N/A</v>
      </c>
      <c r="L411" s="108" t="str" cm="1">
        <f t="array" ref="L411">IF(K411="","",INDEX(UWS!$B$10:$B$41,K411))</f>
        <v/>
      </c>
      <c r="N411" s="108" t="str" cm="1">
        <f t="array" ref="N411">IF(M411="","",INDEX(UWS!$B$10:$B$41,M411))</f>
        <v/>
      </c>
      <c r="P411">
        <f>IFERROR(INDEX(UWS!$G$10:$Z$41,MATCH($C411,UWS!$B$10:$B$41,0),MATCH(P$4,UWS!$G$3:$Z$3,0)),0)</f>
        <v>0</v>
      </c>
      <c r="Q411">
        <f>IFERROR(INDEX(UWS!$G$10:$Z$41,MATCH($C411,UWS!$B$10:$B$41,0),MATCH(Q$4,UWS!$G$3:$Z$3,0)),0)</f>
        <v>0</v>
      </c>
      <c r="R411">
        <f>IFERROR(INDEX(UWS!$G$10:$Z$41,MATCH($C411,UWS!$B$10:$B$41,0),MATCH(R$4,UWS!$G$3:$Z$3,0)),0)</f>
        <v>0</v>
      </c>
      <c r="S411">
        <f>IFERROR(INDEX(UWS!$G$10:$Z$41,MATCH($C411,UWS!$B$10:$B$41,0),MATCH(S$4,UWS!$G$3:$Z$3,0)),0)</f>
        <v>0</v>
      </c>
      <c r="T411">
        <f>IFERROR(INDEX(UWS!$G$10:$Z$41,MATCH($C411,UWS!$B$10:$B$41,0),MATCH(T$4,UWS!$G$3:$Z$3,0)),0)</f>
        <v>0</v>
      </c>
      <c r="U411">
        <f>IFERROR(INDEX(UWS!$G$10:$Z$41,MATCH($C411,UWS!$B$10:$B$41,0),MATCH(U$4,UWS!$G$3:$Z$3,0)),0)</f>
        <v>0</v>
      </c>
      <c r="V411">
        <f>IFERROR(INDEX(UWS!$G$10:$Z$41,MATCH($C411,UWS!$B$10:$B$41,0),MATCH(V$4,UWS!$G$3:$Z$3,0)),0)</f>
        <v>0</v>
      </c>
      <c r="W411">
        <f>IFERROR(INDEX(UWS!$G$10:$Z$41,MATCH($C411,UWS!$B$10:$B$41,0),MATCH(W$4,UWS!$G$3:$Z$3,0)),0)</f>
        <v>0</v>
      </c>
      <c r="X411">
        <f>IFERROR(INDEX(UWS!$G$10:$Z$41,MATCH($C411,UWS!$B$10:$B$41,0),MATCH(X$4,UWS!$G$3:$Z$3,0)),0)</f>
        <v>0</v>
      </c>
      <c r="Y411">
        <f>IFERROR(INDEX(UWS!$G$10:$Z$41,MATCH($C411,UWS!$B$10:$B$41,0),MATCH(Y$4,UWS!$G$3:$Z$3,0)),0)</f>
        <v>0</v>
      </c>
      <c r="Z411">
        <f>IFERROR(INDEX(UWS!$G$10:$Z$41,MATCH($C411,UWS!$B$10:$B$41,0),MATCH(Z$4,UWS!$G$3:$Z$3,0)),0)</f>
        <v>0</v>
      </c>
      <c r="AA411">
        <f>IFERROR(INDEX(UWS!$G$10:$Z$41,MATCH($C411,UWS!$B$10:$B$41,0),MATCH(AA$4,UWS!$G$3:$Z$3,0)),0)</f>
        <v>0</v>
      </c>
      <c r="AB411">
        <f>IFERROR(INDEX(UWS!$G$10:$Z$41,MATCH($C411,UWS!$B$10:$B$41,0),MATCH(AB$4,UWS!$G$3:$Z$3,0)),0)</f>
        <v>0</v>
      </c>
      <c r="AC411">
        <f>IFERROR(INDEX(UWS!$G$10:$Z$41,MATCH($C411,UWS!$B$10:$B$41,0),MATCH(AC$4,UWS!$G$3:$Z$3,0)),0)</f>
        <v>0</v>
      </c>
      <c r="AD411">
        <f>IFERROR(INDEX(UWS!$G$10:$Z$41,MATCH($C411,UWS!$B$10:$B$41,0),MATCH(AD$4,UWS!$G$3:$Z$3,0)),0)</f>
        <v>0</v>
      </c>
      <c r="AE411">
        <f>IFERROR(INDEX(UWS!$G$10:$Z$41,MATCH($C411,UWS!$B$10:$B$41,0),MATCH(AE$4,UWS!$G$3:$Z$3,0)),0)</f>
        <v>0</v>
      </c>
      <c r="AF411">
        <f>IFERROR(INDEX(UWS!$G$10:$Z$41,MATCH($C411,UWS!$B$10:$B$41,0),MATCH(AF$4,UWS!$G$3:$Z$3,0)),0)</f>
        <v>0</v>
      </c>
      <c r="AG411">
        <f>IFERROR(INDEX(UWS!$G$10:$Z$41,MATCH($C411,UWS!$B$10:$B$41,0),MATCH(AG$4,UWS!$G$3:$Z$3,0)),0)</f>
        <v>0</v>
      </c>
      <c r="AH411">
        <f>IFERROR(INDEX(UWS!$G$10:$Z$41,MATCH($C411,UWS!$B$10:$B$41,0),MATCH(AH$4,UWS!$G$3:$Z$3,0)),0)</f>
        <v>0</v>
      </c>
      <c r="AI411">
        <f>IFERROR(INDEX(UWS!$G$10:$Z$41,MATCH($C411,UWS!$B$10:$B$41,0),MATCH(AI$4,UWS!$G$3:$Z$3,0)),0)</f>
        <v>0</v>
      </c>
      <c r="AK411" t="e">
        <f>IF(OR($J411=0,COUNTIFS($A$4:$A410,"&gt;="&amp;$A411-1,$A$4:$A410,"&lt;="&amp;$A411,$B$4:$B410,$B411)&gt;0,MIN(AK$1,IF($A411=$A410,AK410,1))-P411&lt;0),-1,MIN(1,IF($A411=$A410,AK410,1)-P411+$D$3))</f>
        <v>#N/A</v>
      </c>
      <c r="AL411" t="e">
        <f>IF(OR($J411=0,COUNTIFS($A$4:$A410,"&gt;="&amp;$A411-1,$A$4:$A410,"&lt;="&amp;$A411,$B$4:$B410,$B411)&gt;0,MIN(AL$1,IF($A411=$A410,AL410,1))-Q411&lt;0),-1,MIN(1,IF($A411=$A410,AL410,1)-Q411+$D$3))</f>
        <v>#N/A</v>
      </c>
      <c r="AM411" t="e">
        <f>IF(OR($J411=0,COUNTIFS($A$4:$A410,"&gt;="&amp;$A411-1,$A$4:$A410,"&lt;="&amp;$A411,$B$4:$B410,$B411)&gt;0,MIN(AM$1,IF($A411=$A410,AM410,1))-R411&lt;0),-1,MIN(1,IF($A411=$A410,AM410,1)-R411+$D$3))</f>
        <v>#N/A</v>
      </c>
      <c r="AN411" t="e">
        <f>IF(OR($J411=0,COUNTIFS($A$4:$A410,"&gt;="&amp;$A411-1,$A$4:$A410,"&lt;="&amp;$A411,$B$4:$B410,$B411)&gt;0,MIN(AN$1,IF($A411=$A410,AN410,1))-S411&lt;0),-1,MIN(1,IF($A411=$A410,AN410,1)-S411+$D$3))</f>
        <v>#N/A</v>
      </c>
      <c r="AO411" t="e">
        <f>IF(OR($J411=0,COUNTIFS($A$4:$A410,"&gt;="&amp;$A411-1,$A$4:$A410,"&lt;="&amp;$A411,$B$4:$B410,$B411)&gt;0,MIN(AO$1,IF($A411=$A410,AO410,1))-T411&lt;0),-1,MIN(1,IF($A411=$A410,AO410,1)-T411+$D$3))</f>
        <v>#N/A</v>
      </c>
      <c r="AP411" t="e">
        <f>IF(OR($J411=0,COUNTIFS($A$4:$A410,"&gt;="&amp;$A411-1,$A$4:$A410,"&lt;="&amp;$A411,$B$4:$B410,$B411)&gt;0,MIN(AP$1,IF($A411=$A410,AP410,1))-U411&lt;0),-1,MIN(1,IF($A411=$A410,AP410,1)-U411+$D$3))</f>
        <v>#N/A</v>
      </c>
      <c r="AQ411" t="e">
        <f>IF(OR($J411=0,COUNTIFS($A$4:$A410,"&gt;="&amp;$A411-1,$A$4:$A410,"&lt;="&amp;$A411,$B$4:$B410,$B411)&gt;0,MIN(AQ$1,IF($A411=$A410,AQ410,1))-V411&lt;0),-1,MIN(1,IF($A411=$A410,AQ410,1)-V411+$D$3))</f>
        <v>#N/A</v>
      </c>
      <c r="AR411" t="e">
        <f>IF(OR($J411=0,COUNTIFS($A$4:$A410,"&gt;="&amp;$A411-1,$A$4:$A410,"&lt;="&amp;$A411,$B$4:$B410,$B411)&gt;0,MIN(AR$1,IF($A411=$A410,AR410,1))-W411&lt;0),-1,MIN(1,IF($A411=$A410,AR410,1)-W411+$D$3))</f>
        <v>#N/A</v>
      </c>
      <c r="AS411" t="e">
        <f>IF(OR($J411=0,COUNTIFS($A$4:$A410,"&gt;="&amp;$A411-1,$A$4:$A410,"&lt;="&amp;$A411,$B$4:$B410,$B411)&gt;0,MIN(AS$1,IF($A411=$A410,AS410,1))-X411&lt;0),-1,MIN(1,IF($A411=$A410,AS410,1)-X411+$D$3))</f>
        <v>#N/A</v>
      </c>
      <c r="AT411" t="e">
        <f>IF(OR($J411=0,COUNTIFS($A$4:$A410,"&gt;="&amp;$A411-1,$A$4:$A410,"&lt;="&amp;$A411,$B$4:$B410,$B411)&gt;0,MIN(AT$1,IF($A411=$A410,AT410,1))-Y411&lt;0),-1,MIN(1,IF($A411=$A410,AT410,1)-Y411+$D$3))</f>
        <v>#N/A</v>
      </c>
      <c r="AU411" t="e">
        <f>IF(OR($J411=0,COUNTIFS($A$4:$A410,"&gt;="&amp;$A411-1,$A$4:$A410,"&lt;="&amp;$A411,$B$4:$B410,$B411)&gt;0,MIN(AU$1,IF($A411=$A410,AU410,1))-Z411&lt;0),-1,MIN(1,IF($A411=$A410,AU410,1)-Z411+$D$3))</f>
        <v>#N/A</v>
      </c>
      <c r="AV411" t="e">
        <f>IF(OR($J411=0,COUNTIFS($A$4:$A410,"&gt;="&amp;$A411-1,$A$4:$A410,"&lt;="&amp;$A411,$B$4:$B410,$B411)&gt;0,MIN(AV$1,IF($A411=$A410,AV410,1))-AA411&lt;0),-1,MIN(1,IF($A411=$A410,AV410,1)-AA411+$D$3))</f>
        <v>#N/A</v>
      </c>
      <c r="AW411" t="e">
        <f>IF(OR($J411=0,COUNTIFS($A$4:$A410,"&gt;="&amp;$A411-1,$A$4:$A410,"&lt;="&amp;$A411,$B$4:$B410,$B411)&gt;0,MIN(AW$1,IF($A411=$A410,AW410,1))-AB411&lt;0),-1,MIN(1,IF($A411=$A410,AW410,1)-AB411+$D$3))</f>
        <v>#N/A</v>
      </c>
      <c r="AX411" t="e">
        <f>IF(OR($J411=0,COUNTIFS($A$4:$A410,"&gt;="&amp;$A411-1,$A$4:$A410,"&lt;="&amp;$A411,$B$4:$B410,$B411)&gt;0,MIN(AX$1,IF($A411=$A410,AX410,1))-AC411&lt;0),-1,MIN(1,IF($A411=$A410,AX410,1)-AC411+$D$3))</f>
        <v>#N/A</v>
      </c>
      <c r="AY411" t="e">
        <f>IF(OR($J411=0,COUNTIFS($A$4:$A410,"&gt;="&amp;$A411-1,$A$4:$A410,"&lt;="&amp;$A411,$B$4:$B410,$B411)&gt;0,MIN(AY$1,IF($A411=$A410,AY410,1))-AD411&lt;0),-1,MIN(1,IF($A411=$A410,AY410,1)-AD411+$D$3))</f>
        <v>#N/A</v>
      </c>
      <c r="AZ411" t="e">
        <f>IF(OR($J411=0,COUNTIFS($A$4:$A410,"&gt;="&amp;$A411-1,$A$4:$A410,"&lt;="&amp;$A411,$B$4:$B410,$B411)&gt;0,MIN(AZ$1,IF($A411=$A410,AZ410,1))-AE411&lt;0),-1,MIN(1,IF($A411=$A410,AZ410,1)-AE411+$D$3))</f>
        <v>#N/A</v>
      </c>
      <c r="BA411" t="e">
        <f>IF(OR($J411=0,COUNTIFS($A$4:$A410,"&gt;="&amp;$A411-1,$A$4:$A410,"&lt;="&amp;$A411,$B$4:$B410,$B411)&gt;0,MIN(BA$1,IF($A411=$A410,BA410,1))-AF411&lt;0),-1,MIN(1,IF($A411=$A410,BA410,1)-AF411+$D$3))</f>
        <v>#N/A</v>
      </c>
      <c r="BB411" t="e">
        <f>IF(OR($J411=0,COUNTIFS($A$4:$A410,"&gt;="&amp;$A411-1,$A$4:$A410,"&lt;="&amp;$A411,$B$4:$B410,$B411)&gt;0,MIN(BB$1,IF($A411=$A410,BB410,1))-AG411&lt;0),-1,MIN(1,IF($A411=$A410,BB410,1)-AG411+$D$3))</f>
        <v>#N/A</v>
      </c>
      <c r="BC411" t="e">
        <f>IF(OR($J411=0,COUNTIFS($A$4:$A410,"&gt;="&amp;$A411-1,$A$4:$A410,"&lt;="&amp;$A411,$B$4:$B410,$B411)&gt;0,MIN(BC$1,IF($A411=$A410,BC410,1))-AH411&lt;0),-1,MIN(1,IF($A411=$A410,BC410,1)-AH411+$D$3))</f>
        <v>#N/A</v>
      </c>
      <c r="BD411" t="e">
        <f>IF(OR($J411=0,COUNTIFS($A$4:$A410,"&gt;="&amp;$A411-1,$A$4:$A410,"&lt;="&amp;$A411,$B$4:$B410,$B411)&gt;0,MIN(BD$1,IF($A411=$A410,BD410,1))-AI411&lt;0),-1,MIN(1,IF($A411=$A410,BD410,1)-AI411+$D$3))</f>
        <v>#N/A</v>
      </c>
      <c r="BF411" s="44">
        <f t="shared" si="399"/>
        <v>1.8189185259099751E-9</v>
      </c>
      <c r="BG411" s="44">
        <f t="shared" si="400"/>
        <v>4.4732339199366499E-9</v>
      </c>
      <c r="BH411" s="44">
        <f t="shared" si="401"/>
        <v>4.5845942298091845E-9</v>
      </c>
      <c r="BI411" s="44">
        <f t="shared" si="402"/>
        <v>4.2348922094872098E-9</v>
      </c>
      <c r="BJ411" s="44">
        <f t="shared" si="403"/>
        <v>4.3771631420615716E-9</v>
      </c>
      <c r="BK411" s="44">
        <f t="shared" si="404"/>
        <v>1.8797170554645633E-9</v>
      </c>
      <c r="BL411" s="44">
        <f t="shared" si="405"/>
        <v>1.0154527258118328E-9</v>
      </c>
      <c r="BM411" s="44">
        <f t="shared" si="406"/>
        <v>2.583193154936938E-9</v>
      </c>
      <c r="BN411" s="44">
        <f t="shared" si="407"/>
        <v>2.6867222032774619E-9</v>
      </c>
      <c r="BO411" s="44">
        <f t="shared" si="408"/>
        <v>1.2590999738620349E-9</v>
      </c>
      <c r="BP411" s="44">
        <f t="shared" si="409"/>
        <v>4.2336956091138419E-9</v>
      </c>
      <c r="BQ411" s="44">
        <f t="shared" si="410"/>
        <v>1.1424991897603815E-9</v>
      </c>
      <c r="BR411" s="44">
        <f t="shared" si="411"/>
        <v>3.3752286040086009E-9</v>
      </c>
      <c r="BS411" s="44">
        <f t="shared" si="412"/>
        <v>1.8203055758096507E-9</v>
      </c>
      <c r="BT411" s="44">
        <f t="shared" si="413"/>
        <v>7.2035072262960647E-9</v>
      </c>
      <c r="BU411" s="44">
        <f t="shared" si="414"/>
        <v>6.8815170192833766E-9</v>
      </c>
      <c r="BV411" s="44">
        <f t="shared" si="415"/>
        <v>6.6087812753251217E-9</v>
      </c>
      <c r="BW411" s="44">
        <f t="shared" si="416"/>
        <v>4.3225066380535341E-9</v>
      </c>
      <c r="BX411" s="44">
        <f t="shared" si="417"/>
        <v>3.1933894107053257E-9</v>
      </c>
      <c r="BY411" s="44">
        <f t="shared" si="418"/>
        <v>2.7418918475270134E-9</v>
      </c>
      <c r="CA411" s="44" t="str">
        <f t="shared" si="419"/>
        <v/>
      </c>
      <c r="CB411" s="44" t="str">
        <f t="shared" si="420"/>
        <v/>
      </c>
      <c r="CC411" s="44" t="str">
        <f t="shared" si="421"/>
        <v/>
      </c>
      <c r="CD411" s="44" t="str">
        <f t="shared" si="422"/>
        <v/>
      </c>
      <c r="CE411" s="44" t="str">
        <f t="shared" si="423"/>
        <v/>
      </c>
      <c r="CF411" s="44" t="str">
        <f t="shared" si="424"/>
        <v/>
      </c>
      <c r="CG411" s="44" t="str">
        <f t="shared" si="425"/>
        <v/>
      </c>
      <c r="CH411" s="44" t="str">
        <f t="shared" si="426"/>
        <v/>
      </c>
      <c r="CI411" s="44" t="str">
        <f t="shared" si="427"/>
        <v/>
      </c>
      <c r="CJ411" s="44" t="str">
        <f t="shared" si="428"/>
        <v/>
      </c>
      <c r="CK411" s="44" t="str">
        <f t="shared" si="429"/>
        <v/>
      </c>
      <c r="CL411" s="44" t="str">
        <f t="shared" si="430"/>
        <v/>
      </c>
      <c r="CM411" s="44" t="str">
        <f t="shared" si="431"/>
        <v/>
      </c>
      <c r="CN411" s="44" t="str">
        <f t="shared" si="432"/>
        <v/>
      </c>
      <c r="CO411" s="44" t="str">
        <f t="shared" si="433"/>
        <v/>
      </c>
      <c r="CP411" s="44" t="str">
        <f t="shared" si="434"/>
        <v/>
      </c>
      <c r="CQ411" s="44" t="str">
        <f t="shared" si="435"/>
        <v/>
      </c>
      <c r="CR411" s="44" t="str">
        <f t="shared" si="436"/>
        <v/>
      </c>
      <c r="CS411" s="44" t="str">
        <f t="shared" si="437"/>
        <v/>
      </c>
      <c r="CT411" s="44" t="str">
        <f t="shared" si="438"/>
        <v/>
      </c>
      <c r="CV411" s="44">
        <f t="shared" si="439"/>
        <v>0</v>
      </c>
    </row>
    <row r="412" spans="1:100" x14ac:dyDescent="0.25">
      <c r="A412" s="41"/>
      <c r="B412" s="42"/>
      <c r="C412" s="43" t="str" cm="1">
        <f t="array" ref="C412">IF(B412="","",INDEX(UWS!$B$10:$B$41,B412))</f>
        <v/>
      </c>
      <c r="D412" s="40" t="str">
        <f t="shared" si="396"/>
        <v/>
      </c>
      <c r="E412" s="69" t="str">
        <f t="shared" si="397"/>
        <v/>
      </c>
      <c r="F412" s="48" cm="1">
        <f t="array" ref="F412">0.1+IFERROR(INDEX($F$5:$F411,SUMPRODUCT(MAX(ROW($C$5:$C411)*($C412=$C$5:$C411))-ROW($A$4)))*0.9^($A412-INDEX($A$5:A411,SUMPRODUCT(MAX(ROW($C$5:$C411)*($C412=$C$5:$C411))-ROW($A$4)))),0)</f>
        <v>34.700000000000223</v>
      </c>
      <c r="G412" s="55" t="e">
        <f>INDEX(UWS!$AB$10:$AB$41,MATCH(C412,UWS!$B$10:$B$41,0))</f>
        <v>#N/A</v>
      </c>
      <c r="H412" s="48" t="e">
        <f>INDEX(UWS!$C$10:$C$41,MATCH(C412,UWS!$B$10:$B$41,0))</f>
        <v>#N/A</v>
      </c>
      <c r="I412" s="27">
        <f t="shared" si="398"/>
        <v>5</v>
      </c>
      <c r="J412" s="27" t="e">
        <f>INDEX(UWS!$E$10:$E$41,MATCH(C412,UWS!$B$10:$B$41,0))</f>
        <v>#N/A</v>
      </c>
      <c r="L412" s="108" t="str" cm="1">
        <f t="array" ref="L412">IF(K412="","",INDEX(UWS!$B$10:$B$41,K412))</f>
        <v/>
      </c>
      <c r="N412" s="108" t="str" cm="1">
        <f t="array" ref="N412">IF(M412="","",INDEX(UWS!$B$10:$B$41,M412))</f>
        <v/>
      </c>
      <c r="P412">
        <f>IFERROR(INDEX(UWS!$G$10:$Z$41,MATCH($C412,UWS!$B$10:$B$41,0),MATCH(P$4,UWS!$G$3:$Z$3,0)),0)</f>
        <v>0</v>
      </c>
      <c r="Q412">
        <f>IFERROR(INDEX(UWS!$G$10:$Z$41,MATCH($C412,UWS!$B$10:$B$41,0),MATCH(Q$4,UWS!$G$3:$Z$3,0)),0)</f>
        <v>0</v>
      </c>
      <c r="R412">
        <f>IFERROR(INDEX(UWS!$G$10:$Z$41,MATCH($C412,UWS!$B$10:$B$41,0),MATCH(R$4,UWS!$G$3:$Z$3,0)),0)</f>
        <v>0</v>
      </c>
      <c r="S412">
        <f>IFERROR(INDEX(UWS!$G$10:$Z$41,MATCH($C412,UWS!$B$10:$B$41,0),MATCH(S$4,UWS!$G$3:$Z$3,0)),0)</f>
        <v>0</v>
      </c>
      <c r="T412">
        <f>IFERROR(INDEX(UWS!$G$10:$Z$41,MATCH($C412,UWS!$B$10:$B$41,0),MATCH(T$4,UWS!$G$3:$Z$3,0)),0)</f>
        <v>0</v>
      </c>
      <c r="U412">
        <f>IFERROR(INDEX(UWS!$G$10:$Z$41,MATCH($C412,UWS!$B$10:$B$41,0),MATCH(U$4,UWS!$G$3:$Z$3,0)),0)</f>
        <v>0</v>
      </c>
      <c r="V412">
        <f>IFERROR(INDEX(UWS!$G$10:$Z$41,MATCH($C412,UWS!$B$10:$B$41,0),MATCH(V$4,UWS!$G$3:$Z$3,0)),0)</f>
        <v>0</v>
      </c>
      <c r="W412">
        <f>IFERROR(INDEX(UWS!$G$10:$Z$41,MATCH($C412,UWS!$B$10:$B$41,0),MATCH(W$4,UWS!$G$3:$Z$3,0)),0)</f>
        <v>0</v>
      </c>
      <c r="X412">
        <f>IFERROR(INDEX(UWS!$G$10:$Z$41,MATCH($C412,UWS!$B$10:$B$41,0),MATCH(X$4,UWS!$G$3:$Z$3,0)),0)</f>
        <v>0</v>
      </c>
      <c r="Y412">
        <f>IFERROR(INDEX(UWS!$G$10:$Z$41,MATCH($C412,UWS!$B$10:$B$41,0),MATCH(Y$4,UWS!$G$3:$Z$3,0)),0)</f>
        <v>0</v>
      </c>
      <c r="Z412">
        <f>IFERROR(INDEX(UWS!$G$10:$Z$41,MATCH($C412,UWS!$B$10:$B$41,0),MATCH(Z$4,UWS!$G$3:$Z$3,0)),0)</f>
        <v>0</v>
      </c>
      <c r="AA412">
        <f>IFERROR(INDEX(UWS!$G$10:$Z$41,MATCH($C412,UWS!$B$10:$B$41,0),MATCH(AA$4,UWS!$G$3:$Z$3,0)),0)</f>
        <v>0</v>
      </c>
      <c r="AB412">
        <f>IFERROR(INDEX(UWS!$G$10:$Z$41,MATCH($C412,UWS!$B$10:$B$41,0),MATCH(AB$4,UWS!$G$3:$Z$3,0)),0)</f>
        <v>0</v>
      </c>
      <c r="AC412">
        <f>IFERROR(INDEX(UWS!$G$10:$Z$41,MATCH($C412,UWS!$B$10:$B$41,0),MATCH(AC$4,UWS!$G$3:$Z$3,0)),0)</f>
        <v>0</v>
      </c>
      <c r="AD412">
        <f>IFERROR(INDEX(UWS!$G$10:$Z$41,MATCH($C412,UWS!$B$10:$B$41,0),MATCH(AD$4,UWS!$G$3:$Z$3,0)),0)</f>
        <v>0</v>
      </c>
      <c r="AE412">
        <f>IFERROR(INDEX(UWS!$G$10:$Z$41,MATCH($C412,UWS!$B$10:$B$41,0),MATCH(AE$4,UWS!$G$3:$Z$3,0)),0)</f>
        <v>0</v>
      </c>
      <c r="AF412">
        <f>IFERROR(INDEX(UWS!$G$10:$Z$41,MATCH($C412,UWS!$B$10:$B$41,0),MATCH(AF$4,UWS!$G$3:$Z$3,0)),0)</f>
        <v>0</v>
      </c>
      <c r="AG412">
        <f>IFERROR(INDEX(UWS!$G$10:$Z$41,MATCH($C412,UWS!$B$10:$B$41,0),MATCH(AG$4,UWS!$G$3:$Z$3,0)),0)</f>
        <v>0</v>
      </c>
      <c r="AH412">
        <f>IFERROR(INDEX(UWS!$G$10:$Z$41,MATCH($C412,UWS!$B$10:$B$41,0),MATCH(AH$4,UWS!$G$3:$Z$3,0)),0)</f>
        <v>0</v>
      </c>
      <c r="AI412">
        <f>IFERROR(INDEX(UWS!$G$10:$Z$41,MATCH($C412,UWS!$B$10:$B$41,0),MATCH(AI$4,UWS!$G$3:$Z$3,0)),0)</f>
        <v>0</v>
      </c>
      <c r="AK412" t="e">
        <f>IF(OR($J412=0,COUNTIFS($A$4:$A411,"&gt;="&amp;$A412-1,$A$4:$A411,"&lt;="&amp;$A412,$B$4:$B411,$B412)&gt;0,MIN(AK$1,IF($A412=$A411,AK411,1))-P412&lt;0),-1,MIN(1,IF($A412=$A411,AK411,1)-P412+$D$3))</f>
        <v>#N/A</v>
      </c>
      <c r="AL412" t="e">
        <f>IF(OR($J412=0,COUNTIFS($A$4:$A411,"&gt;="&amp;$A412-1,$A$4:$A411,"&lt;="&amp;$A412,$B$4:$B411,$B412)&gt;0,MIN(AL$1,IF($A412=$A411,AL411,1))-Q412&lt;0),-1,MIN(1,IF($A412=$A411,AL411,1)-Q412+$D$3))</f>
        <v>#N/A</v>
      </c>
      <c r="AM412" t="e">
        <f>IF(OR($J412=0,COUNTIFS($A$4:$A411,"&gt;="&amp;$A412-1,$A$4:$A411,"&lt;="&amp;$A412,$B$4:$B411,$B412)&gt;0,MIN(AM$1,IF($A412=$A411,AM411,1))-R412&lt;0),-1,MIN(1,IF($A412=$A411,AM411,1)-R412+$D$3))</f>
        <v>#N/A</v>
      </c>
      <c r="AN412" t="e">
        <f>IF(OR($J412=0,COUNTIFS($A$4:$A411,"&gt;="&amp;$A412-1,$A$4:$A411,"&lt;="&amp;$A412,$B$4:$B411,$B412)&gt;0,MIN(AN$1,IF($A412=$A411,AN411,1))-S412&lt;0),-1,MIN(1,IF($A412=$A411,AN411,1)-S412+$D$3))</f>
        <v>#N/A</v>
      </c>
      <c r="AO412" t="e">
        <f>IF(OR($J412=0,COUNTIFS($A$4:$A411,"&gt;="&amp;$A412-1,$A$4:$A411,"&lt;="&amp;$A412,$B$4:$B411,$B412)&gt;0,MIN(AO$1,IF($A412=$A411,AO411,1))-T412&lt;0),-1,MIN(1,IF($A412=$A411,AO411,1)-T412+$D$3))</f>
        <v>#N/A</v>
      </c>
      <c r="AP412" t="e">
        <f>IF(OR($J412=0,COUNTIFS($A$4:$A411,"&gt;="&amp;$A412-1,$A$4:$A411,"&lt;="&amp;$A412,$B$4:$B411,$B412)&gt;0,MIN(AP$1,IF($A412=$A411,AP411,1))-U412&lt;0),-1,MIN(1,IF($A412=$A411,AP411,1)-U412+$D$3))</f>
        <v>#N/A</v>
      </c>
      <c r="AQ412" t="e">
        <f>IF(OR($J412=0,COUNTIFS($A$4:$A411,"&gt;="&amp;$A412-1,$A$4:$A411,"&lt;="&amp;$A412,$B$4:$B411,$B412)&gt;0,MIN(AQ$1,IF($A412=$A411,AQ411,1))-V412&lt;0),-1,MIN(1,IF($A412=$A411,AQ411,1)-V412+$D$3))</f>
        <v>#N/A</v>
      </c>
      <c r="AR412" t="e">
        <f>IF(OR($J412=0,COUNTIFS($A$4:$A411,"&gt;="&amp;$A412-1,$A$4:$A411,"&lt;="&amp;$A412,$B$4:$B411,$B412)&gt;0,MIN(AR$1,IF($A412=$A411,AR411,1))-W412&lt;0),-1,MIN(1,IF($A412=$A411,AR411,1)-W412+$D$3))</f>
        <v>#N/A</v>
      </c>
      <c r="AS412" t="e">
        <f>IF(OR($J412=0,COUNTIFS($A$4:$A411,"&gt;="&amp;$A412-1,$A$4:$A411,"&lt;="&amp;$A412,$B$4:$B411,$B412)&gt;0,MIN(AS$1,IF($A412=$A411,AS411,1))-X412&lt;0),-1,MIN(1,IF($A412=$A411,AS411,1)-X412+$D$3))</f>
        <v>#N/A</v>
      </c>
      <c r="AT412" t="e">
        <f>IF(OR($J412=0,COUNTIFS($A$4:$A411,"&gt;="&amp;$A412-1,$A$4:$A411,"&lt;="&amp;$A412,$B$4:$B411,$B412)&gt;0,MIN(AT$1,IF($A412=$A411,AT411,1))-Y412&lt;0),-1,MIN(1,IF($A412=$A411,AT411,1)-Y412+$D$3))</f>
        <v>#N/A</v>
      </c>
      <c r="AU412" t="e">
        <f>IF(OR($J412=0,COUNTIFS($A$4:$A411,"&gt;="&amp;$A412-1,$A$4:$A411,"&lt;="&amp;$A412,$B$4:$B411,$B412)&gt;0,MIN(AU$1,IF($A412=$A411,AU411,1))-Z412&lt;0),-1,MIN(1,IF($A412=$A411,AU411,1)-Z412+$D$3))</f>
        <v>#N/A</v>
      </c>
      <c r="AV412" t="e">
        <f>IF(OR($J412=0,COUNTIFS($A$4:$A411,"&gt;="&amp;$A412-1,$A$4:$A411,"&lt;="&amp;$A412,$B$4:$B411,$B412)&gt;0,MIN(AV$1,IF($A412=$A411,AV411,1))-AA412&lt;0),-1,MIN(1,IF($A412=$A411,AV411,1)-AA412+$D$3))</f>
        <v>#N/A</v>
      </c>
      <c r="AW412" t="e">
        <f>IF(OR($J412=0,COUNTIFS($A$4:$A411,"&gt;="&amp;$A412-1,$A$4:$A411,"&lt;="&amp;$A412,$B$4:$B411,$B412)&gt;0,MIN(AW$1,IF($A412=$A411,AW411,1))-AB412&lt;0),-1,MIN(1,IF($A412=$A411,AW411,1)-AB412+$D$3))</f>
        <v>#N/A</v>
      </c>
      <c r="AX412" t="e">
        <f>IF(OR($J412=0,COUNTIFS($A$4:$A411,"&gt;="&amp;$A412-1,$A$4:$A411,"&lt;="&amp;$A412,$B$4:$B411,$B412)&gt;0,MIN(AX$1,IF($A412=$A411,AX411,1))-AC412&lt;0),-1,MIN(1,IF($A412=$A411,AX411,1)-AC412+$D$3))</f>
        <v>#N/A</v>
      </c>
      <c r="AY412" t="e">
        <f>IF(OR($J412=0,COUNTIFS($A$4:$A411,"&gt;="&amp;$A412-1,$A$4:$A411,"&lt;="&amp;$A412,$B$4:$B411,$B412)&gt;0,MIN(AY$1,IF($A412=$A411,AY411,1))-AD412&lt;0),-1,MIN(1,IF($A412=$A411,AY411,1)-AD412+$D$3))</f>
        <v>#N/A</v>
      </c>
      <c r="AZ412" t="e">
        <f>IF(OR($J412=0,COUNTIFS($A$4:$A411,"&gt;="&amp;$A412-1,$A$4:$A411,"&lt;="&amp;$A412,$B$4:$B411,$B412)&gt;0,MIN(AZ$1,IF($A412=$A411,AZ411,1))-AE412&lt;0),-1,MIN(1,IF($A412=$A411,AZ411,1)-AE412+$D$3))</f>
        <v>#N/A</v>
      </c>
      <c r="BA412" t="e">
        <f>IF(OR($J412=0,COUNTIFS($A$4:$A411,"&gt;="&amp;$A412-1,$A$4:$A411,"&lt;="&amp;$A412,$B$4:$B411,$B412)&gt;0,MIN(BA$1,IF($A412=$A411,BA411,1))-AF412&lt;0),-1,MIN(1,IF($A412=$A411,BA411,1)-AF412+$D$3))</f>
        <v>#N/A</v>
      </c>
      <c r="BB412" t="e">
        <f>IF(OR($J412=0,COUNTIFS($A$4:$A411,"&gt;="&amp;$A412-1,$A$4:$A411,"&lt;="&amp;$A412,$B$4:$B411,$B412)&gt;0,MIN(BB$1,IF($A412=$A411,BB411,1))-AG412&lt;0),-1,MIN(1,IF($A412=$A411,BB411,1)-AG412+$D$3))</f>
        <v>#N/A</v>
      </c>
      <c r="BC412" t="e">
        <f>IF(OR($J412=0,COUNTIFS($A$4:$A411,"&gt;="&amp;$A412-1,$A$4:$A411,"&lt;="&amp;$A412,$B$4:$B411,$B412)&gt;0,MIN(BC$1,IF($A412=$A411,BC411,1))-AH412&lt;0),-1,MIN(1,IF($A412=$A411,BC411,1)-AH412+$D$3))</f>
        <v>#N/A</v>
      </c>
      <c r="BD412" t="e">
        <f>IF(OR($J412=0,COUNTIFS($A$4:$A411,"&gt;="&amp;$A412-1,$A$4:$A411,"&lt;="&amp;$A412,$B$4:$B411,$B412)&gt;0,MIN(BD$1,IF($A412=$A411,BD411,1))-AI412&lt;0),-1,MIN(1,IF($A412=$A411,BD411,1)-AI412+$D$3))</f>
        <v>#N/A</v>
      </c>
      <c r="BF412" s="44">
        <f t="shared" si="399"/>
        <v>1.7279725996144763E-9</v>
      </c>
      <c r="BG412" s="44">
        <f t="shared" si="400"/>
        <v>4.2495722239398172E-9</v>
      </c>
      <c r="BH412" s="44">
        <f t="shared" si="401"/>
        <v>4.3553645183187248E-9</v>
      </c>
      <c r="BI412" s="44">
        <f t="shared" si="402"/>
        <v>4.023147599012849E-9</v>
      </c>
      <c r="BJ412" s="44">
        <f t="shared" si="403"/>
        <v>4.1583049849584927E-9</v>
      </c>
      <c r="BK412" s="44">
        <f t="shared" si="404"/>
        <v>1.7857312026913351E-9</v>
      </c>
      <c r="BL412" s="44">
        <f t="shared" si="405"/>
        <v>9.6468008952124111E-10</v>
      </c>
      <c r="BM412" s="44">
        <f t="shared" si="406"/>
        <v>2.454033497190091E-9</v>
      </c>
      <c r="BN412" s="44">
        <f t="shared" si="407"/>
        <v>2.5523860931135888E-9</v>
      </c>
      <c r="BO412" s="44">
        <f t="shared" si="408"/>
        <v>1.1961449751689331E-9</v>
      </c>
      <c r="BP412" s="44">
        <f t="shared" si="409"/>
        <v>4.0220108286581493E-9</v>
      </c>
      <c r="BQ412" s="44">
        <f t="shared" si="410"/>
        <v>1.0853742302723624E-9</v>
      </c>
      <c r="BR412" s="44">
        <f t="shared" si="411"/>
        <v>3.2064671738081708E-9</v>
      </c>
      <c r="BS412" s="44">
        <f t="shared" si="412"/>
        <v>1.729290297019168E-9</v>
      </c>
      <c r="BT412" s="44">
        <f t="shared" si="413"/>
        <v>6.8433318649812612E-9</v>
      </c>
      <c r="BU412" s="44">
        <f t="shared" si="414"/>
        <v>6.5374411683192076E-9</v>
      </c>
      <c r="BV412" s="44">
        <f t="shared" si="415"/>
        <v>6.2783422115588655E-9</v>
      </c>
      <c r="BW412" s="44">
        <f t="shared" si="416"/>
        <v>4.1063813061508576E-9</v>
      </c>
      <c r="BX412" s="44">
        <f t="shared" si="417"/>
        <v>3.0337199401700591E-9</v>
      </c>
      <c r="BY412" s="44">
        <f t="shared" si="418"/>
        <v>2.6047972551506625E-9</v>
      </c>
      <c r="CA412" s="44" t="str">
        <f t="shared" si="419"/>
        <v/>
      </c>
      <c r="CB412" s="44" t="str">
        <f t="shared" si="420"/>
        <v/>
      </c>
      <c r="CC412" s="44" t="str">
        <f t="shared" si="421"/>
        <v/>
      </c>
      <c r="CD412" s="44" t="str">
        <f t="shared" si="422"/>
        <v/>
      </c>
      <c r="CE412" s="44" t="str">
        <f t="shared" si="423"/>
        <v/>
      </c>
      <c r="CF412" s="44" t="str">
        <f t="shared" si="424"/>
        <v/>
      </c>
      <c r="CG412" s="44" t="str">
        <f t="shared" si="425"/>
        <v/>
      </c>
      <c r="CH412" s="44" t="str">
        <f t="shared" si="426"/>
        <v/>
      </c>
      <c r="CI412" s="44" t="str">
        <f t="shared" si="427"/>
        <v/>
      </c>
      <c r="CJ412" s="44" t="str">
        <f t="shared" si="428"/>
        <v/>
      </c>
      <c r="CK412" s="44" t="str">
        <f t="shared" si="429"/>
        <v/>
      </c>
      <c r="CL412" s="44" t="str">
        <f t="shared" si="430"/>
        <v/>
      </c>
      <c r="CM412" s="44" t="str">
        <f t="shared" si="431"/>
        <v/>
      </c>
      <c r="CN412" s="44" t="str">
        <f t="shared" si="432"/>
        <v/>
      </c>
      <c r="CO412" s="44" t="str">
        <f t="shared" si="433"/>
        <v/>
      </c>
      <c r="CP412" s="44" t="str">
        <f t="shared" si="434"/>
        <v/>
      </c>
      <c r="CQ412" s="44" t="str">
        <f t="shared" si="435"/>
        <v/>
      </c>
      <c r="CR412" s="44" t="str">
        <f t="shared" si="436"/>
        <v/>
      </c>
      <c r="CS412" s="44" t="str">
        <f t="shared" si="437"/>
        <v/>
      </c>
      <c r="CT412" s="44" t="str">
        <f t="shared" si="438"/>
        <v/>
      </c>
      <c r="CV412" s="44">
        <f t="shared" si="439"/>
        <v>0</v>
      </c>
    </row>
    <row r="413" spans="1:100" x14ac:dyDescent="0.25">
      <c r="A413" s="41"/>
      <c r="B413" s="42"/>
      <c r="C413" s="43" t="str" cm="1">
        <f t="array" ref="C413">IF(B413="","",INDEX(UWS!$B$10:$B$41,B413))</f>
        <v/>
      </c>
      <c r="D413" s="40" t="str">
        <f t="shared" si="396"/>
        <v/>
      </c>
      <c r="E413" s="69" t="str">
        <f t="shared" si="397"/>
        <v/>
      </c>
      <c r="F413" s="48" cm="1">
        <f t="array" ref="F413">0.1+IFERROR(INDEX($F$5:$F412,SUMPRODUCT(MAX(ROW($C$5:$C412)*($C413=$C$5:$C412))-ROW($A$4)))*0.9^($A413-INDEX($A$5:A412,SUMPRODUCT(MAX(ROW($C$5:$C412)*($C413=$C$5:$C412))-ROW($A$4)))),0)</f>
        <v>34.800000000000225</v>
      </c>
      <c r="G413" s="55" t="e">
        <f>INDEX(UWS!$AB$10:$AB$41,MATCH(C413,UWS!$B$10:$B$41,0))</f>
        <v>#N/A</v>
      </c>
      <c r="H413" s="48" t="e">
        <f>INDEX(UWS!$C$10:$C$41,MATCH(C413,UWS!$B$10:$B$41,0))</f>
        <v>#N/A</v>
      </c>
      <c r="I413" s="27">
        <f t="shared" si="398"/>
        <v>5</v>
      </c>
      <c r="J413" s="27" t="e">
        <f>INDEX(UWS!$E$10:$E$41,MATCH(C413,UWS!$B$10:$B$41,0))</f>
        <v>#N/A</v>
      </c>
      <c r="L413" s="108" t="str" cm="1">
        <f t="array" ref="L413">IF(K413="","",INDEX(UWS!$B$10:$B$41,K413))</f>
        <v/>
      </c>
      <c r="N413" s="108" t="str" cm="1">
        <f t="array" ref="N413">IF(M413="","",INDEX(UWS!$B$10:$B$41,M413))</f>
        <v/>
      </c>
      <c r="P413">
        <f>IFERROR(INDEX(UWS!$G$10:$Z$41,MATCH($C413,UWS!$B$10:$B$41,0),MATCH(P$4,UWS!$G$3:$Z$3,0)),0)</f>
        <v>0</v>
      </c>
      <c r="Q413">
        <f>IFERROR(INDEX(UWS!$G$10:$Z$41,MATCH($C413,UWS!$B$10:$B$41,0),MATCH(Q$4,UWS!$G$3:$Z$3,0)),0)</f>
        <v>0</v>
      </c>
      <c r="R413">
        <f>IFERROR(INDEX(UWS!$G$10:$Z$41,MATCH($C413,UWS!$B$10:$B$41,0),MATCH(R$4,UWS!$G$3:$Z$3,0)),0)</f>
        <v>0</v>
      </c>
      <c r="S413">
        <f>IFERROR(INDEX(UWS!$G$10:$Z$41,MATCH($C413,UWS!$B$10:$B$41,0),MATCH(S$4,UWS!$G$3:$Z$3,0)),0)</f>
        <v>0</v>
      </c>
      <c r="T413">
        <f>IFERROR(INDEX(UWS!$G$10:$Z$41,MATCH($C413,UWS!$B$10:$B$41,0),MATCH(T$4,UWS!$G$3:$Z$3,0)),0)</f>
        <v>0</v>
      </c>
      <c r="U413">
        <f>IFERROR(INDEX(UWS!$G$10:$Z$41,MATCH($C413,UWS!$B$10:$B$41,0),MATCH(U$4,UWS!$G$3:$Z$3,0)),0)</f>
        <v>0</v>
      </c>
      <c r="V413">
        <f>IFERROR(INDEX(UWS!$G$10:$Z$41,MATCH($C413,UWS!$B$10:$B$41,0),MATCH(V$4,UWS!$G$3:$Z$3,0)),0)</f>
        <v>0</v>
      </c>
      <c r="W413">
        <f>IFERROR(INDEX(UWS!$G$10:$Z$41,MATCH($C413,UWS!$B$10:$B$41,0),MATCH(W$4,UWS!$G$3:$Z$3,0)),0)</f>
        <v>0</v>
      </c>
      <c r="X413">
        <f>IFERROR(INDEX(UWS!$G$10:$Z$41,MATCH($C413,UWS!$B$10:$B$41,0),MATCH(X$4,UWS!$G$3:$Z$3,0)),0)</f>
        <v>0</v>
      </c>
      <c r="Y413">
        <f>IFERROR(INDEX(UWS!$G$10:$Z$41,MATCH($C413,UWS!$B$10:$B$41,0),MATCH(Y$4,UWS!$G$3:$Z$3,0)),0)</f>
        <v>0</v>
      </c>
      <c r="Z413">
        <f>IFERROR(INDEX(UWS!$G$10:$Z$41,MATCH($C413,UWS!$B$10:$B$41,0),MATCH(Z$4,UWS!$G$3:$Z$3,0)),0)</f>
        <v>0</v>
      </c>
      <c r="AA413">
        <f>IFERROR(INDEX(UWS!$G$10:$Z$41,MATCH($C413,UWS!$B$10:$B$41,0),MATCH(AA$4,UWS!$G$3:$Z$3,0)),0)</f>
        <v>0</v>
      </c>
      <c r="AB413">
        <f>IFERROR(INDEX(UWS!$G$10:$Z$41,MATCH($C413,UWS!$B$10:$B$41,0),MATCH(AB$4,UWS!$G$3:$Z$3,0)),0)</f>
        <v>0</v>
      </c>
      <c r="AC413">
        <f>IFERROR(INDEX(UWS!$G$10:$Z$41,MATCH($C413,UWS!$B$10:$B$41,0),MATCH(AC$4,UWS!$G$3:$Z$3,0)),0)</f>
        <v>0</v>
      </c>
      <c r="AD413">
        <f>IFERROR(INDEX(UWS!$G$10:$Z$41,MATCH($C413,UWS!$B$10:$B$41,0),MATCH(AD$4,UWS!$G$3:$Z$3,0)),0)</f>
        <v>0</v>
      </c>
      <c r="AE413">
        <f>IFERROR(INDEX(UWS!$G$10:$Z$41,MATCH($C413,UWS!$B$10:$B$41,0),MATCH(AE$4,UWS!$G$3:$Z$3,0)),0)</f>
        <v>0</v>
      </c>
      <c r="AF413">
        <f>IFERROR(INDEX(UWS!$G$10:$Z$41,MATCH($C413,UWS!$B$10:$B$41,0),MATCH(AF$4,UWS!$G$3:$Z$3,0)),0)</f>
        <v>0</v>
      </c>
      <c r="AG413">
        <f>IFERROR(INDEX(UWS!$G$10:$Z$41,MATCH($C413,UWS!$B$10:$B$41,0),MATCH(AG$4,UWS!$G$3:$Z$3,0)),0)</f>
        <v>0</v>
      </c>
      <c r="AH413">
        <f>IFERROR(INDEX(UWS!$G$10:$Z$41,MATCH($C413,UWS!$B$10:$B$41,0),MATCH(AH$4,UWS!$G$3:$Z$3,0)),0)</f>
        <v>0</v>
      </c>
      <c r="AI413">
        <f>IFERROR(INDEX(UWS!$G$10:$Z$41,MATCH($C413,UWS!$B$10:$B$41,0),MATCH(AI$4,UWS!$G$3:$Z$3,0)),0)</f>
        <v>0</v>
      </c>
      <c r="AK413" t="e">
        <f>IF(OR($J413=0,COUNTIFS($A$4:$A412,"&gt;="&amp;$A413-1,$A$4:$A412,"&lt;="&amp;$A413,$B$4:$B412,$B413)&gt;0,MIN(AK$1,IF($A413=$A412,AK412,1))-P413&lt;0),-1,MIN(1,IF($A413=$A412,AK412,1)-P413+$D$3))</f>
        <v>#N/A</v>
      </c>
      <c r="AL413" t="e">
        <f>IF(OR($J413=0,COUNTIFS($A$4:$A412,"&gt;="&amp;$A413-1,$A$4:$A412,"&lt;="&amp;$A413,$B$4:$B412,$B413)&gt;0,MIN(AL$1,IF($A413=$A412,AL412,1))-Q413&lt;0),-1,MIN(1,IF($A413=$A412,AL412,1)-Q413+$D$3))</f>
        <v>#N/A</v>
      </c>
      <c r="AM413" t="e">
        <f>IF(OR($J413=0,COUNTIFS($A$4:$A412,"&gt;="&amp;$A413-1,$A$4:$A412,"&lt;="&amp;$A413,$B$4:$B412,$B413)&gt;0,MIN(AM$1,IF($A413=$A412,AM412,1))-R413&lt;0),-1,MIN(1,IF($A413=$A412,AM412,1)-R413+$D$3))</f>
        <v>#N/A</v>
      </c>
      <c r="AN413" t="e">
        <f>IF(OR($J413=0,COUNTIFS($A$4:$A412,"&gt;="&amp;$A413-1,$A$4:$A412,"&lt;="&amp;$A413,$B$4:$B412,$B413)&gt;0,MIN(AN$1,IF($A413=$A412,AN412,1))-S413&lt;0),-1,MIN(1,IF($A413=$A412,AN412,1)-S413+$D$3))</f>
        <v>#N/A</v>
      </c>
      <c r="AO413" t="e">
        <f>IF(OR($J413=0,COUNTIFS($A$4:$A412,"&gt;="&amp;$A413-1,$A$4:$A412,"&lt;="&amp;$A413,$B$4:$B412,$B413)&gt;0,MIN(AO$1,IF($A413=$A412,AO412,1))-T413&lt;0),-1,MIN(1,IF($A413=$A412,AO412,1)-T413+$D$3))</f>
        <v>#N/A</v>
      </c>
      <c r="AP413" t="e">
        <f>IF(OR($J413=0,COUNTIFS($A$4:$A412,"&gt;="&amp;$A413-1,$A$4:$A412,"&lt;="&amp;$A413,$B$4:$B412,$B413)&gt;0,MIN(AP$1,IF($A413=$A412,AP412,1))-U413&lt;0),-1,MIN(1,IF($A413=$A412,AP412,1)-U413+$D$3))</f>
        <v>#N/A</v>
      </c>
      <c r="AQ413" t="e">
        <f>IF(OR($J413=0,COUNTIFS($A$4:$A412,"&gt;="&amp;$A413-1,$A$4:$A412,"&lt;="&amp;$A413,$B$4:$B412,$B413)&gt;0,MIN(AQ$1,IF($A413=$A412,AQ412,1))-V413&lt;0),-1,MIN(1,IF($A413=$A412,AQ412,1)-V413+$D$3))</f>
        <v>#N/A</v>
      </c>
      <c r="AR413" t="e">
        <f>IF(OR($J413=0,COUNTIFS($A$4:$A412,"&gt;="&amp;$A413-1,$A$4:$A412,"&lt;="&amp;$A413,$B$4:$B412,$B413)&gt;0,MIN(AR$1,IF($A413=$A412,AR412,1))-W413&lt;0),-1,MIN(1,IF($A413=$A412,AR412,1)-W413+$D$3))</f>
        <v>#N/A</v>
      </c>
      <c r="AS413" t="e">
        <f>IF(OR($J413=0,COUNTIFS($A$4:$A412,"&gt;="&amp;$A413-1,$A$4:$A412,"&lt;="&amp;$A413,$B$4:$B412,$B413)&gt;0,MIN(AS$1,IF($A413=$A412,AS412,1))-X413&lt;0),-1,MIN(1,IF($A413=$A412,AS412,1)-X413+$D$3))</f>
        <v>#N/A</v>
      </c>
      <c r="AT413" t="e">
        <f>IF(OR($J413=0,COUNTIFS($A$4:$A412,"&gt;="&amp;$A413-1,$A$4:$A412,"&lt;="&amp;$A413,$B$4:$B412,$B413)&gt;0,MIN(AT$1,IF($A413=$A412,AT412,1))-Y413&lt;0),-1,MIN(1,IF($A413=$A412,AT412,1)-Y413+$D$3))</f>
        <v>#N/A</v>
      </c>
      <c r="AU413" t="e">
        <f>IF(OR($J413=0,COUNTIFS($A$4:$A412,"&gt;="&amp;$A413-1,$A$4:$A412,"&lt;="&amp;$A413,$B$4:$B412,$B413)&gt;0,MIN(AU$1,IF($A413=$A412,AU412,1))-Z413&lt;0),-1,MIN(1,IF($A413=$A412,AU412,1)-Z413+$D$3))</f>
        <v>#N/A</v>
      </c>
      <c r="AV413" t="e">
        <f>IF(OR($J413=0,COUNTIFS($A$4:$A412,"&gt;="&amp;$A413-1,$A$4:$A412,"&lt;="&amp;$A413,$B$4:$B412,$B413)&gt;0,MIN(AV$1,IF($A413=$A412,AV412,1))-AA413&lt;0),-1,MIN(1,IF($A413=$A412,AV412,1)-AA413+$D$3))</f>
        <v>#N/A</v>
      </c>
      <c r="AW413" t="e">
        <f>IF(OR($J413=0,COUNTIFS($A$4:$A412,"&gt;="&amp;$A413-1,$A$4:$A412,"&lt;="&amp;$A413,$B$4:$B412,$B413)&gt;0,MIN(AW$1,IF($A413=$A412,AW412,1))-AB413&lt;0),-1,MIN(1,IF($A413=$A412,AW412,1)-AB413+$D$3))</f>
        <v>#N/A</v>
      </c>
      <c r="AX413" t="e">
        <f>IF(OR($J413=0,COUNTIFS($A$4:$A412,"&gt;="&amp;$A413-1,$A$4:$A412,"&lt;="&amp;$A413,$B$4:$B412,$B413)&gt;0,MIN(AX$1,IF($A413=$A412,AX412,1))-AC413&lt;0),-1,MIN(1,IF($A413=$A412,AX412,1)-AC413+$D$3))</f>
        <v>#N/A</v>
      </c>
      <c r="AY413" t="e">
        <f>IF(OR($J413=0,COUNTIFS($A$4:$A412,"&gt;="&amp;$A413-1,$A$4:$A412,"&lt;="&amp;$A413,$B$4:$B412,$B413)&gt;0,MIN(AY$1,IF($A413=$A412,AY412,1))-AD413&lt;0),-1,MIN(1,IF($A413=$A412,AY412,1)-AD413+$D$3))</f>
        <v>#N/A</v>
      </c>
      <c r="AZ413" t="e">
        <f>IF(OR($J413=0,COUNTIFS($A$4:$A412,"&gt;="&amp;$A413-1,$A$4:$A412,"&lt;="&amp;$A413,$B$4:$B412,$B413)&gt;0,MIN(AZ$1,IF($A413=$A412,AZ412,1))-AE413&lt;0),-1,MIN(1,IF($A413=$A412,AZ412,1)-AE413+$D$3))</f>
        <v>#N/A</v>
      </c>
      <c r="BA413" t="e">
        <f>IF(OR($J413=0,COUNTIFS($A$4:$A412,"&gt;="&amp;$A413-1,$A$4:$A412,"&lt;="&amp;$A413,$B$4:$B412,$B413)&gt;0,MIN(BA$1,IF($A413=$A412,BA412,1))-AF413&lt;0),-1,MIN(1,IF($A413=$A412,BA412,1)-AF413+$D$3))</f>
        <v>#N/A</v>
      </c>
      <c r="BB413" t="e">
        <f>IF(OR($J413=0,COUNTIFS($A$4:$A412,"&gt;="&amp;$A413-1,$A$4:$A412,"&lt;="&amp;$A413,$B$4:$B412,$B413)&gt;0,MIN(BB$1,IF($A413=$A412,BB412,1))-AG413&lt;0),-1,MIN(1,IF($A413=$A412,BB412,1)-AG413+$D$3))</f>
        <v>#N/A</v>
      </c>
      <c r="BC413" t="e">
        <f>IF(OR($J413=0,COUNTIFS($A$4:$A412,"&gt;="&amp;$A413-1,$A$4:$A412,"&lt;="&amp;$A413,$B$4:$B412,$B413)&gt;0,MIN(BC$1,IF($A413=$A412,BC412,1))-AH413&lt;0),-1,MIN(1,IF($A413=$A412,BC412,1)-AH413+$D$3))</f>
        <v>#N/A</v>
      </c>
      <c r="BD413" t="e">
        <f>IF(OR($J413=0,COUNTIFS($A$4:$A412,"&gt;="&amp;$A413-1,$A$4:$A412,"&lt;="&amp;$A413,$B$4:$B412,$B413)&gt;0,MIN(BD$1,IF($A413=$A412,BD412,1))-AI413&lt;0),-1,MIN(1,IF($A413=$A412,BD412,1)-AI413+$D$3))</f>
        <v>#N/A</v>
      </c>
      <c r="BF413" s="44">
        <f t="shared" si="399"/>
        <v>1.6415739696337524E-9</v>
      </c>
      <c r="BG413" s="44">
        <f t="shared" si="400"/>
        <v>4.0370936127428258E-9</v>
      </c>
      <c r="BH413" s="44">
        <f t="shared" si="401"/>
        <v>4.1375962924027885E-9</v>
      </c>
      <c r="BI413" s="44">
        <f t="shared" si="402"/>
        <v>3.8219902190622064E-9</v>
      </c>
      <c r="BJ413" s="44">
        <f t="shared" si="403"/>
        <v>3.9503897357105682E-9</v>
      </c>
      <c r="BK413" s="44">
        <f t="shared" si="404"/>
        <v>1.6964446425567683E-9</v>
      </c>
      <c r="BL413" s="44">
        <f t="shared" si="405"/>
        <v>9.1644608504517896E-10</v>
      </c>
      <c r="BM413" s="44">
        <f t="shared" si="406"/>
        <v>2.3313318223305862E-9</v>
      </c>
      <c r="BN413" s="44">
        <f t="shared" si="407"/>
        <v>2.4247667884579092E-9</v>
      </c>
      <c r="BO413" s="44">
        <f t="shared" si="408"/>
        <v>1.1363377264104864E-9</v>
      </c>
      <c r="BP413" s="44">
        <f t="shared" si="409"/>
        <v>3.8209102872252413E-9</v>
      </c>
      <c r="BQ413" s="44">
        <f t="shared" si="410"/>
        <v>1.0311055187587442E-9</v>
      </c>
      <c r="BR413" s="44">
        <f t="shared" si="411"/>
        <v>3.0461438151177621E-9</v>
      </c>
      <c r="BS413" s="44">
        <f t="shared" si="412"/>
        <v>1.6428257821682096E-9</v>
      </c>
      <c r="BT413" s="44">
        <f t="shared" si="413"/>
        <v>6.5011652717321981E-9</v>
      </c>
      <c r="BU413" s="44">
        <f t="shared" si="414"/>
        <v>6.2105691099032471E-9</v>
      </c>
      <c r="BV413" s="44">
        <f t="shared" si="415"/>
        <v>5.9644251009809216E-9</v>
      </c>
      <c r="BW413" s="44">
        <f t="shared" si="416"/>
        <v>3.9010622408433146E-9</v>
      </c>
      <c r="BX413" s="44">
        <f t="shared" si="417"/>
        <v>2.8820339431615559E-9</v>
      </c>
      <c r="BY413" s="44">
        <f t="shared" si="418"/>
        <v>2.4745573923931294E-9</v>
      </c>
      <c r="CA413" s="44" t="str">
        <f t="shared" si="419"/>
        <v/>
      </c>
      <c r="CB413" s="44" t="str">
        <f t="shared" si="420"/>
        <v/>
      </c>
      <c r="CC413" s="44" t="str">
        <f t="shared" si="421"/>
        <v/>
      </c>
      <c r="CD413" s="44" t="str">
        <f t="shared" si="422"/>
        <v/>
      </c>
      <c r="CE413" s="44" t="str">
        <f t="shared" si="423"/>
        <v/>
      </c>
      <c r="CF413" s="44" t="str">
        <f t="shared" si="424"/>
        <v/>
      </c>
      <c r="CG413" s="44" t="str">
        <f t="shared" si="425"/>
        <v/>
      </c>
      <c r="CH413" s="44" t="str">
        <f t="shared" si="426"/>
        <v/>
      </c>
      <c r="CI413" s="44" t="str">
        <f t="shared" si="427"/>
        <v/>
      </c>
      <c r="CJ413" s="44" t="str">
        <f t="shared" si="428"/>
        <v/>
      </c>
      <c r="CK413" s="44" t="str">
        <f t="shared" si="429"/>
        <v/>
      </c>
      <c r="CL413" s="44" t="str">
        <f t="shared" si="430"/>
        <v/>
      </c>
      <c r="CM413" s="44" t="str">
        <f t="shared" si="431"/>
        <v/>
      </c>
      <c r="CN413" s="44" t="str">
        <f t="shared" si="432"/>
        <v/>
      </c>
      <c r="CO413" s="44" t="str">
        <f t="shared" si="433"/>
        <v/>
      </c>
      <c r="CP413" s="44" t="str">
        <f t="shared" si="434"/>
        <v/>
      </c>
      <c r="CQ413" s="44" t="str">
        <f t="shared" si="435"/>
        <v/>
      </c>
      <c r="CR413" s="44" t="str">
        <f t="shared" si="436"/>
        <v/>
      </c>
      <c r="CS413" s="44" t="str">
        <f t="shared" si="437"/>
        <v/>
      </c>
      <c r="CT413" s="44" t="str">
        <f t="shared" si="438"/>
        <v/>
      </c>
      <c r="CV413" s="44">
        <f t="shared" si="439"/>
        <v>0</v>
      </c>
    </row>
    <row r="414" spans="1:100" x14ac:dyDescent="0.25">
      <c r="A414" s="41"/>
      <c r="B414" s="42"/>
      <c r="C414" s="43" t="str" cm="1">
        <f t="array" ref="C414">IF(B414="","",INDEX(UWS!$B$10:$B$41,B414))</f>
        <v/>
      </c>
      <c r="D414" s="40" t="str">
        <f t="shared" si="396"/>
        <v/>
      </c>
      <c r="E414" s="69" t="str">
        <f t="shared" si="397"/>
        <v/>
      </c>
      <c r="F414" s="48" cm="1">
        <f t="array" ref="F414">0.1+IFERROR(INDEX($F$5:$F413,SUMPRODUCT(MAX(ROW($C$5:$C413)*($C414=$C$5:$C413))-ROW($A$4)))*0.9^($A414-INDEX($A$5:A413,SUMPRODUCT(MAX(ROW($C$5:$C413)*($C414=$C$5:$C413))-ROW($A$4)))),0)</f>
        <v>34.900000000000226</v>
      </c>
      <c r="G414" s="55" t="e">
        <f>INDEX(UWS!$AB$10:$AB$41,MATCH(C414,UWS!$B$10:$B$41,0))</f>
        <v>#N/A</v>
      </c>
      <c r="H414" s="48" t="e">
        <f>INDEX(UWS!$C$10:$C$41,MATCH(C414,UWS!$B$10:$B$41,0))</f>
        <v>#N/A</v>
      </c>
      <c r="I414" s="27">
        <f t="shared" si="398"/>
        <v>5</v>
      </c>
      <c r="J414" s="27" t="e">
        <f>INDEX(UWS!$E$10:$E$41,MATCH(C414,UWS!$B$10:$B$41,0))</f>
        <v>#N/A</v>
      </c>
      <c r="L414" s="108" t="str" cm="1">
        <f t="array" ref="L414">IF(K414="","",INDEX(UWS!$B$10:$B$41,K414))</f>
        <v/>
      </c>
      <c r="N414" s="108" t="str" cm="1">
        <f t="array" ref="N414">IF(M414="","",INDEX(UWS!$B$10:$B$41,M414))</f>
        <v/>
      </c>
      <c r="P414">
        <f>IFERROR(INDEX(UWS!$G$10:$Z$41,MATCH($C414,UWS!$B$10:$B$41,0),MATCH(P$4,UWS!$G$3:$Z$3,0)),0)</f>
        <v>0</v>
      </c>
      <c r="Q414">
        <f>IFERROR(INDEX(UWS!$G$10:$Z$41,MATCH($C414,UWS!$B$10:$B$41,0),MATCH(Q$4,UWS!$G$3:$Z$3,0)),0)</f>
        <v>0</v>
      </c>
      <c r="R414">
        <f>IFERROR(INDEX(UWS!$G$10:$Z$41,MATCH($C414,UWS!$B$10:$B$41,0),MATCH(R$4,UWS!$G$3:$Z$3,0)),0)</f>
        <v>0</v>
      </c>
      <c r="S414">
        <f>IFERROR(INDEX(UWS!$G$10:$Z$41,MATCH($C414,UWS!$B$10:$B$41,0),MATCH(S$4,UWS!$G$3:$Z$3,0)),0)</f>
        <v>0</v>
      </c>
      <c r="T414">
        <f>IFERROR(INDEX(UWS!$G$10:$Z$41,MATCH($C414,UWS!$B$10:$B$41,0),MATCH(T$4,UWS!$G$3:$Z$3,0)),0)</f>
        <v>0</v>
      </c>
      <c r="U414">
        <f>IFERROR(INDEX(UWS!$G$10:$Z$41,MATCH($C414,UWS!$B$10:$B$41,0),MATCH(U$4,UWS!$G$3:$Z$3,0)),0)</f>
        <v>0</v>
      </c>
      <c r="V414">
        <f>IFERROR(INDEX(UWS!$G$10:$Z$41,MATCH($C414,UWS!$B$10:$B$41,0),MATCH(V$4,UWS!$G$3:$Z$3,0)),0)</f>
        <v>0</v>
      </c>
      <c r="W414">
        <f>IFERROR(INDEX(UWS!$G$10:$Z$41,MATCH($C414,UWS!$B$10:$B$41,0),MATCH(W$4,UWS!$G$3:$Z$3,0)),0)</f>
        <v>0</v>
      </c>
      <c r="X414">
        <f>IFERROR(INDEX(UWS!$G$10:$Z$41,MATCH($C414,UWS!$B$10:$B$41,0),MATCH(X$4,UWS!$G$3:$Z$3,0)),0)</f>
        <v>0</v>
      </c>
      <c r="Y414">
        <f>IFERROR(INDEX(UWS!$G$10:$Z$41,MATCH($C414,UWS!$B$10:$B$41,0),MATCH(Y$4,UWS!$G$3:$Z$3,0)),0)</f>
        <v>0</v>
      </c>
      <c r="Z414">
        <f>IFERROR(INDEX(UWS!$G$10:$Z$41,MATCH($C414,UWS!$B$10:$B$41,0),MATCH(Z$4,UWS!$G$3:$Z$3,0)),0)</f>
        <v>0</v>
      </c>
      <c r="AA414">
        <f>IFERROR(INDEX(UWS!$G$10:$Z$41,MATCH($C414,UWS!$B$10:$B$41,0),MATCH(AA$4,UWS!$G$3:$Z$3,0)),0)</f>
        <v>0</v>
      </c>
      <c r="AB414">
        <f>IFERROR(INDEX(UWS!$G$10:$Z$41,MATCH($C414,UWS!$B$10:$B$41,0),MATCH(AB$4,UWS!$G$3:$Z$3,0)),0)</f>
        <v>0</v>
      </c>
      <c r="AC414">
        <f>IFERROR(INDEX(UWS!$G$10:$Z$41,MATCH($C414,UWS!$B$10:$B$41,0),MATCH(AC$4,UWS!$G$3:$Z$3,0)),0)</f>
        <v>0</v>
      </c>
      <c r="AD414">
        <f>IFERROR(INDEX(UWS!$G$10:$Z$41,MATCH($C414,UWS!$B$10:$B$41,0),MATCH(AD$4,UWS!$G$3:$Z$3,0)),0)</f>
        <v>0</v>
      </c>
      <c r="AE414">
        <f>IFERROR(INDEX(UWS!$G$10:$Z$41,MATCH($C414,UWS!$B$10:$B$41,0),MATCH(AE$4,UWS!$G$3:$Z$3,0)),0)</f>
        <v>0</v>
      </c>
      <c r="AF414">
        <f>IFERROR(INDEX(UWS!$G$10:$Z$41,MATCH($C414,UWS!$B$10:$B$41,0),MATCH(AF$4,UWS!$G$3:$Z$3,0)),0)</f>
        <v>0</v>
      </c>
      <c r="AG414">
        <f>IFERROR(INDEX(UWS!$G$10:$Z$41,MATCH($C414,UWS!$B$10:$B$41,0),MATCH(AG$4,UWS!$G$3:$Z$3,0)),0)</f>
        <v>0</v>
      </c>
      <c r="AH414">
        <f>IFERROR(INDEX(UWS!$G$10:$Z$41,MATCH($C414,UWS!$B$10:$B$41,0),MATCH(AH$4,UWS!$G$3:$Z$3,0)),0)</f>
        <v>0</v>
      </c>
      <c r="AI414">
        <f>IFERROR(INDEX(UWS!$G$10:$Z$41,MATCH($C414,UWS!$B$10:$B$41,0),MATCH(AI$4,UWS!$G$3:$Z$3,0)),0)</f>
        <v>0</v>
      </c>
      <c r="AK414" t="e">
        <f>IF(OR($J414=0,COUNTIFS($A$4:$A413,"&gt;="&amp;$A414-1,$A$4:$A413,"&lt;="&amp;$A414,$B$4:$B413,$B414)&gt;0,MIN(AK$1,IF($A414=$A413,AK413,1))-P414&lt;0),-1,MIN(1,IF($A414=$A413,AK413,1)-P414+$D$3))</f>
        <v>#N/A</v>
      </c>
      <c r="AL414" t="e">
        <f>IF(OR($J414=0,COUNTIFS($A$4:$A413,"&gt;="&amp;$A414-1,$A$4:$A413,"&lt;="&amp;$A414,$B$4:$B413,$B414)&gt;0,MIN(AL$1,IF($A414=$A413,AL413,1))-Q414&lt;0),-1,MIN(1,IF($A414=$A413,AL413,1)-Q414+$D$3))</f>
        <v>#N/A</v>
      </c>
      <c r="AM414" t="e">
        <f>IF(OR($J414=0,COUNTIFS($A$4:$A413,"&gt;="&amp;$A414-1,$A$4:$A413,"&lt;="&amp;$A414,$B$4:$B413,$B414)&gt;0,MIN(AM$1,IF($A414=$A413,AM413,1))-R414&lt;0),-1,MIN(1,IF($A414=$A413,AM413,1)-R414+$D$3))</f>
        <v>#N/A</v>
      </c>
      <c r="AN414" t="e">
        <f>IF(OR($J414=0,COUNTIFS($A$4:$A413,"&gt;="&amp;$A414-1,$A$4:$A413,"&lt;="&amp;$A414,$B$4:$B413,$B414)&gt;0,MIN(AN$1,IF($A414=$A413,AN413,1))-S414&lt;0),-1,MIN(1,IF($A414=$A413,AN413,1)-S414+$D$3))</f>
        <v>#N/A</v>
      </c>
      <c r="AO414" t="e">
        <f>IF(OR($J414=0,COUNTIFS($A$4:$A413,"&gt;="&amp;$A414-1,$A$4:$A413,"&lt;="&amp;$A414,$B$4:$B413,$B414)&gt;0,MIN(AO$1,IF($A414=$A413,AO413,1))-T414&lt;0),-1,MIN(1,IF($A414=$A413,AO413,1)-T414+$D$3))</f>
        <v>#N/A</v>
      </c>
      <c r="AP414" t="e">
        <f>IF(OR($J414=0,COUNTIFS($A$4:$A413,"&gt;="&amp;$A414-1,$A$4:$A413,"&lt;="&amp;$A414,$B$4:$B413,$B414)&gt;0,MIN(AP$1,IF($A414=$A413,AP413,1))-U414&lt;0),-1,MIN(1,IF($A414=$A413,AP413,1)-U414+$D$3))</f>
        <v>#N/A</v>
      </c>
      <c r="AQ414" t="e">
        <f>IF(OR($J414=0,COUNTIFS($A$4:$A413,"&gt;="&amp;$A414-1,$A$4:$A413,"&lt;="&amp;$A414,$B$4:$B413,$B414)&gt;0,MIN(AQ$1,IF($A414=$A413,AQ413,1))-V414&lt;0),-1,MIN(1,IF($A414=$A413,AQ413,1)-V414+$D$3))</f>
        <v>#N/A</v>
      </c>
      <c r="AR414" t="e">
        <f>IF(OR($J414=0,COUNTIFS($A$4:$A413,"&gt;="&amp;$A414-1,$A$4:$A413,"&lt;="&amp;$A414,$B$4:$B413,$B414)&gt;0,MIN(AR$1,IF($A414=$A413,AR413,1))-W414&lt;0),-1,MIN(1,IF($A414=$A413,AR413,1)-W414+$D$3))</f>
        <v>#N/A</v>
      </c>
      <c r="AS414" t="e">
        <f>IF(OR($J414=0,COUNTIFS($A$4:$A413,"&gt;="&amp;$A414-1,$A$4:$A413,"&lt;="&amp;$A414,$B$4:$B413,$B414)&gt;0,MIN(AS$1,IF($A414=$A413,AS413,1))-X414&lt;0),-1,MIN(1,IF($A414=$A413,AS413,1)-X414+$D$3))</f>
        <v>#N/A</v>
      </c>
      <c r="AT414" t="e">
        <f>IF(OR($J414=0,COUNTIFS($A$4:$A413,"&gt;="&amp;$A414-1,$A$4:$A413,"&lt;="&amp;$A414,$B$4:$B413,$B414)&gt;0,MIN(AT$1,IF($A414=$A413,AT413,1))-Y414&lt;0),-1,MIN(1,IF($A414=$A413,AT413,1)-Y414+$D$3))</f>
        <v>#N/A</v>
      </c>
      <c r="AU414" t="e">
        <f>IF(OR($J414=0,COUNTIFS($A$4:$A413,"&gt;="&amp;$A414-1,$A$4:$A413,"&lt;="&amp;$A414,$B$4:$B413,$B414)&gt;0,MIN(AU$1,IF($A414=$A413,AU413,1))-Z414&lt;0),-1,MIN(1,IF($A414=$A413,AU413,1)-Z414+$D$3))</f>
        <v>#N/A</v>
      </c>
      <c r="AV414" t="e">
        <f>IF(OR($J414=0,COUNTIFS($A$4:$A413,"&gt;="&amp;$A414-1,$A$4:$A413,"&lt;="&amp;$A414,$B$4:$B413,$B414)&gt;0,MIN(AV$1,IF($A414=$A413,AV413,1))-AA414&lt;0),-1,MIN(1,IF($A414=$A413,AV413,1)-AA414+$D$3))</f>
        <v>#N/A</v>
      </c>
      <c r="AW414" t="e">
        <f>IF(OR($J414=0,COUNTIFS($A$4:$A413,"&gt;="&amp;$A414-1,$A$4:$A413,"&lt;="&amp;$A414,$B$4:$B413,$B414)&gt;0,MIN(AW$1,IF($A414=$A413,AW413,1))-AB414&lt;0),-1,MIN(1,IF($A414=$A413,AW413,1)-AB414+$D$3))</f>
        <v>#N/A</v>
      </c>
      <c r="AX414" t="e">
        <f>IF(OR($J414=0,COUNTIFS($A$4:$A413,"&gt;="&amp;$A414-1,$A$4:$A413,"&lt;="&amp;$A414,$B$4:$B413,$B414)&gt;0,MIN(AX$1,IF($A414=$A413,AX413,1))-AC414&lt;0),-1,MIN(1,IF($A414=$A413,AX413,1)-AC414+$D$3))</f>
        <v>#N/A</v>
      </c>
      <c r="AY414" t="e">
        <f>IF(OR($J414=0,COUNTIFS($A$4:$A413,"&gt;="&amp;$A414-1,$A$4:$A413,"&lt;="&amp;$A414,$B$4:$B413,$B414)&gt;0,MIN(AY$1,IF($A414=$A413,AY413,1))-AD414&lt;0),-1,MIN(1,IF($A414=$A413,AY413,1)-AD414+$D$3))</f>
        <v>#N/A</v>
      </c>
      <c r="AZ414" t="e">
        <f>IF(OR($J414=0,COUNTIFS($A$4:$A413,"&gt;="&amp;$A414-1,$A$4:$A413,"&lt;="&amp;$A414,$B$4:$B413,$B414)&gt;0,MIN(AZ$1,IF($A414=$A413,AZ413,1))-AE414&lt;0),-1,MIN(1,IF($A414=$A413,AZ413,1)-AE414+$D$3))</f>
        <v>#N/A</v>
      </c>
      <c r="BA414" t="e">
        <f>IF(OR($J414=0,COUNTIFS($A$4:$A413,"&gt;="&amp;$A414-1,$A$4:$A413,"&lt;="&amp;$A414,$B$4:$B413,$B414)&gt;0,MIN(BA$1,IF($A414=$A413,BA413,1))-AF414&lt;0),-1,MIN(1,IF($A414=$A413,BA413,1)-AF414+$D$3))</f>
        <v>#N/A</v>
      </c>
      <c r="BB414" t="e">
        <f>IF(OR($J414=0,COUNTIFS($A$4:$A413,"&gt;="&amp;$A414-1,$A$4:$A413,"&lt;="&amp;$A414,$B$4:$B413,$B414)&gt;0,MIN(BB$1,IF($A414=$A413,BB413,1))-AG414&lt;0),-1,MIN(1,IF($A414=$A413,BB413,1)-AG414+$D$3))</f>
        <v>#N/A</v>
      </c>
      <c r="BC414" t="e">
        <f>IF(OR($J414=0,COUNTIFS($A$4:$A413,"&gt;="&amp;$A414-1,$A$4:$A413,"&lt;="&amp;$A414,$B$4:$B413,$B414)&gt;0,MIN(BC$1,IF($A414=$A413,BC413,1))-AH414&lt;0),-1,MIN(1,IF($A414=$A413,BC413,1)-AH414+$D$3))</f>
        <v>#N/A</v>
      </c>
      <c r="BD414" t="e">
        <f>IF(OR($J414=0,COUNTIFS($A$4:$A413,"&gt;="&amp;$A414-1,$A$4:$A413,"&lt;="&amp;$A414,$B$4:$B413,$B414)&gt;0,MIN(BD$1,IF($A414=$A413,BD413,1))-AI414&lt;0),-1,MIN(1,IF($A414=$A413,BD413,1)-AI414+$D$3))</f>
        <v>#N/A</v>
      </c>
      <c r="BF414" s="44">
        <f t="shared" si="399"/>
        <v>1.5594952711520648E-9</v>
      </c>
      <c r="BG414" s="44">
        <f t="shared" si="400"/>
        <v>3.8352389321056847E-9</v>
      </c>
      <c r="BH414" s="44">
        <f t="shared" si="401"/>
        <v>3.9307164777826488E-9</v>
      </c>
      <c r="BI414" s="44">
        <f t="shared" si="402"/>
        <v>3.6308907081090958E-9</v>
      </c>
      <c r="BJ414" s="44">
        <f t="shared" si="403"/>
        <v>3.7528702489250397E-9</v>
      </c>
      <c r="BK414" s="44">
        <f t="shared" si="404"/>
        <v>1.6116224104289298E-9</v>
      </c>
      <c r="BL414" s="44">
        <f t="shared" si="405"/>
        <v>8.7062378079291995E-10</v>
      </c>
      <c r="BM414" s="44">
        <f t="shared" si="406"/>
        <v>2.214765231214057E-9</v>
      </c>
      <c r="BN414" s="44">
        <f t="shared" si="407"/>
        <v>2.3035284490350137E-9</v>
      </c>
      <c r="BO414" s="44">
        <f t="shared" si="408"/>
        <v>1.0795208400899619E-9</v>
      </c>
      <c r="BP414" s="44">
        <f t="shared" si="409"/>
        <v>3.6298647728639789E-9</v>
      </c>
      <c r="BQ414" s="44">
        <f t="shared" si="410"/>
        <v>9.7955024282080689E-10</v>
      </c>
      <c r="BR414" s="44">
        <f t="shared" si="411"/>
        <v>2.8938366243618738E-9</v>
      </c>
      <c r="BS414" s="44">
        <f t="shared" si="412"/>
        <v>1.560684493059799E-9</v>
      </c>
      <c r="BT414" s="44">
        <f t="shared" si="413"/>
        <v>6.1761070081455878E-9</v>
      </c>
      <c r="BU414" s="44">
        <f t="shared" si="414"/>
        <v>5.9000406544080848E-9</v>
      </c>
      <c r="BV414" s="44">
        <f t="shared" si="415"/>
        <v>5.666203845931875E-9</v>
      </c>
      <c r="BW414" s="44">
        <f t="shared" si="416"/>
        <v>3.7060091288011487E-9</v>
      </c>
      <c r="BX414" s="44">
        <f t="shared" si="417"/>
        <v>2.7379322460034779E-9</v>
      </c>
      <c r="BY414" s="44">
        <f t="shared" si="418"/>
        <v>2.3508295227734727E-9</v>
      </c>
      <c r="CA414" s="44" t="str">
        <f t="shared" si="419"/>
        <v/>
      </c>
      <c r="CB414" s="44" t="str">
        <f t="shared" si="420"/>
        <v/>
      </c>
      <c r="CC414" s="44" t="str">
        <f t="shared" si="421"/>
        <v/>
      </c>
      <c r="CD414" s="44" t="str">
        <f t="shared" si="422"/>
        <v/>
      </c>
      <c r="CE414" s="44" t="str">
        <f t="shared" si="423"/>
        <v/>
      </c>
      <c r="CF414" s="44" t="str">
        <f t="shared" si="424"/>
        <v/>
      </c>
      <c r="CG414" s="44" t="str">
        <f t="shared" si="425"/>
        <v/>
      </c>
      <c r="CH414" s="44" t="str">
        <f t="shared" si="426"/>
        <v/>
      </c>
      <c r="CI414" s="44" t="str">
        <f t="shared" si="427"/>
        <v/>
      </c>
      <c r="CJ414" s="44" t="str">
        <f t="shared" si="428"/>
        <v/>
      </c>
      <c r="CK414" s="44" t="str">
        <f t="shared" si="429"/>
        <v/>
      </c>
      <c r="CL414" s="44" t="str">
        <f t="shared" si="430"/>
        <v/>
      </c>
      <c r="CM414" s="44" t="str">
        <f t="shared" si="431"/>
        <v/>
      </c>
      <c r="CN414" s="44" t="str">
        <f t="shared" si="432"/>
        <v/>
      </c>
      <c r="CO414" s="44" t="str">
        <f t="shared" si="433"/>
        <v/>
      </c>
      <c r="CP414" s="44" t="str">
        <f t="shared" si="434"/>
        <v/>
      </c>
      <c r="CQ414" s="44" t="str">
        <f t="shared" si="435"/>
        <v/>
      </c>
      <c r="CR414" s="44" t="str">
        <f t="shared" si="436"/>
        <v/>
      </c>
      <c r="CS414" s="44" t="str">
        <f t="shared" si="437"/>
        <v/>
      </c>
      <c r="CT414" s="44" t="str">
        <f t="shared" si="438"/>
        <v/>
      </c>
      <c r="CV414" s="44">
        <f t="shared" si="439"/>
        <v>0</v>
      </c>
    </row>
    <row r="415" spans="1:100" x14ac:dyDescent="0.25">
      <c r="A415" s="49"/>
      <c r="B415" s="50"/>
      <c r="C415" s="51" t="str" cm="1">
        <f t="array" ref="C415">IF(B415="","",INDEX(UWS!$B$10:$B$41,B415))</f>
        <v/>
      </c>
      <c r="D415" s="45" t="str">
        <f t="shared" si="396"/>
        <v/>
      </c>
      <c r="E415" s="70" t="str">
        <f t="shared" si="397"/>
        <v/>
      </c>
      <c r="F415" s="52" cm="1">
        <f t="array" ref="F415">0.1+IFERROR(INDEX($F$5:$F414,SUMPRODUCT(MAX(ROW($C$5:$C414)*($C415=$C$5:$C414))-ROW($A$4)))*0.9^($A415-INDEX($A$5:A414,SUMPRODUCT(MAX(ROW($C$5:$C414)*($C415=$C$5:$C414))-ROW($A$4)))),0)</f>
        <v>35.000000000000227</v>
      </c>
      <c r="G415" s="56" t="e">
        <f>INDEX(UWS!$AB$10:$AB$41,MATCH(C415,UWS!$B$10:$B$41,0))</f>
        <v>#N/A</v>
      </c>
      <c r="H415" s="52" t="e">
        <f>INDEX(UWS!$C$10:$C$41,MATCH(C415,UWS!$B$10:$B$41,0))</f>
        <v>#N/A</v>
      </c>
      <c r="I415" s="46">
        <f t="shared" si="398"/>
        <v>5</v>
      </c>
      <c r="J415" s="46" t="e">
        <f>INDEX(UWS!$E$10:$E$41,MATCH(C415,UWS!$B$10:$B$41,0))</f>
        <v>#N/A</v>
      </c>
      <c r="K415" s="46"/>
      <c r="L415" s="109" t="str" cm="1">
        <f t="array" ref="L415">IF(K415="","",INDEX(UWS!$B$10:$B$41,K415))</f>
        <v/>
      </c>
      <c r="M415" s="46"/>
      <c r="N415" s="109" t="str" cm="1">
        <f t="array" ref="N415">IF(M415="","",INDEX(UWS!$B$10:$B$41,M415))</f>
        <v/>
      </c>
      <c r="O415" s="47"/>
      <c r="P415" s="47">
        <f>IFERROR(INDEX(UWS!$G$10:$Z$41,MATCH($C415,UWS!$B$10:$B$41,0),MATCH(P$4,UWS!$G$3:$Z$3,0)),0)</f>
        <v>0</v>
      </c>
      <c r="Q415" s="47">
        <f>IFERROR(INDEX(UWS!$G$10:$Z$41,MATCH($C415,UWS!$B$10:$B$41,0),MATCH(Q$4,UWS!$G$3:$Z$3,0)),0)</f>
        <v>0</v>
      </c>
      <c r="R415" s="47">
        <f>IFERROR(INDEX(UWS!$G$10:$Z$41,MATCH($C415,UWS!$B$10:$B$41,0),MATCH(R$4,UWS!$G$3:$Z$3,0)),0)</f>
        <v>0</v>
      </c>
      <c r="S415" s="47">
        <f>IFERROR(INDEX(UWS!$G$10:$Z$41,MATCH($C415,UWS!$B$10:$B$41,0),MATCH(S$4,UWS!$G$3:$Z$3,0)),0)</f>
        <v>0</v>
      </c>
      <c r="T415" s="47">
        <f>IFERROR(INDEX(UWS!$G$10:$Z$41,MATCH($C415,UWS!$B$10:$B$41,0),MATCH(T$4,UWS!$G$3:$Z$3,0)),0)</f>
        <v>0</v>
      </c>
      <c r="U415" s="47">
        <f>IFERROR(INDEX(UWS!$G$10:$Z$41,MATCH($C415,UWS!$B$10:$B$41,0),MATCH(U$4,UWS!$G$3:$Z$3,0)),0)</f>
        <v>0</v>
      </c>
      <c r="V415" s="47">
        <f>IFERROR(INDEX(UWS!$G$10:$Z$41,MATCH($C415,UWS!$B$10:$B$41,0),MATCH(V$4,UWS!$G$3:$Z$3,0)),0)</f>
        <v>0</v>
      </c>
      <c r="W415" s="47">
        <f>IFERROR(INDEX(UWS!$G$10:$Z$41,MATCH($C415,UWS!$B$10:$B$41,0),MATCH(W$4,UWS!$G$3:$Z$3,0)),0)</f>
        <v>0</v>
      </c>
      <c r="X415" s="47">
        <f>IFERROR(INDEX(UWS!$G$10:$Z$41,MATCH($C415,UWS!$B$10:$B$41,0),MATCH(X$4,UWS!$G$3:$Z$3,0)),0)</f>
        <v>0</v>
      </c>
      <c r="Y415" s="47">
        <f>IFERROR(INDEX(UWS!$G$10:$Z$41,MATCH($C415,UWS!$B$10:$B$41,0),MATCH(Y$4,UWS!$G$3:$Z$3,0)),0)</f>
        <v>0</v>
      </c>
      <c r="Z415" s="47">
        <f>IFERROR(INDEX(UWS!$G$10:$Z$41,MATCH($C415,UWS!$B$10:$B$41,0),MATCH(Z$4,UWS!$G$3:$Z$3,0)),0)</f>
        <v>0</v>
      </c>
      <c r="AA415" s="47">
        <f>IFERROR(INDEX(UWS!$G$10:$Z$41,MATCH($C415,UWS!$B$10:$B$41,0),MATCH(AA$4,UWS!$G$3:$Z$3,0)),0)</f>
        <v>0</v>
      </c>
      <c r="AB415" s="47">
        <f>IFERROR(INDEX(UWS!$G$10:$Z$41,MATCH($C415,UWS!$B$10:$B$41,0),MATCH(AB$4,UWS!$G$3:$Z$3,0)),0)</f>
        <v>0</v>
      </c>
      <c r="AC415" s="47">
        <f>IFERROR(INDEX(UWS!$G$10:$Z$41,MATCH($C415,UWS!$B$10:$B$41,0),MATCH(AC$4,UWS!$G$3:$Z$3,0)),0)</f>
        <v>0</v>
      </c>
      <c r="AD415" s="47">
        <f>IFERROR(INDEX(UWS!$G$10:$Z$41,MATCH($C415,UWS!$B$10:$B$41,0),MATCH(AD$4,UWS!$G$3:$Z$3,0)),0)</f>
        <v>0</v>
      </c>
      <c r="AE415" s="47">
        <f>IFERROR(INDEX(UWS!$G$10:$Z$41,MATCH($C415,UWS!$B$10:$B$41,0),MATCH(AE$4,UWS!$G$3:$Z$3,0)),0)</f>
        <v>0</v>
      </c>
      <c r="AF415" s="47">
        <f>IFERROR(INDEX(UWS!$G$10:$Z$41,MATCH($C415,UWS!$B$10:$B$41,0),MATCH(AF$4,UWS!$G$3:$Z$3,0)),0)</f>
        <v>0</v>
      </c>
      <c r="AG415" s="47">
        <f>IFERROR(INDEX(UWS!$G$10:$Z$41,MATCH($C415,UWS!$B$10:$B$41,0),MATCH(AG$4,UWS!$G$3:$Z$3,0)),0)</f>
        <v>0</v>
      </c>
      <c r="AH415" s="47">
        <f>IFERROR(INDEX(UWS!$G$10:$Z$41,MATCH($C415,UWS!$B$10:$B$41,0),MATCH(AH$4,UWS!$G$3:$Z$3,0)),0)</f>
        <v>0</v>
      </c>
      <c r="AI415" s="47">
        <f>IFERROR(INDEX(UWS!$G$10:$Z$41,MATCH($C415,UWS!$B$10:$B$41,0),MATCH(AI$4,UWS!$G$3:$Z$3,0)),0)</f>
        <v>0</v>
      </c>
      <c r="AJ415" s="47"/>
      <c r="AK415" s="47" t="e">
        <f>IF(OR($J415=0,COUNTIFS($A$4:$A414,"&gt;="&amp;$A415-1,$A$4:$A414,"&lt;="&amp;$A415,$B$4:$B414,$B415)&gt;0,MIN(AK$1,IF($A415=$A414,AK414,1))-P415&lt;0),-1,MIN(1,IF($A415=$A414,AK414,1)-P415+$D$3))</f>
        <v>#N/A</v>
      </c>
      <c r="AL415" s="47" t="e">
        <f>IF(OR($J415=0,COUNTIFS($A$4:$A414,"&gt;="&amp;$A415-1,$A$4:$A414,"&lt;="&amp;$A415,$B$4:$B414,$B415)&gt;0,MIN(AL$1,IF($A415=$A414,AL414,1))-Q415&lt;0),-1,MIN(1,IF($A415=$A414,AL414,1)-Q415+$D$3))</f>
        <v>#N/A</v>
      </c>
      <c r="AM415" s="47" t="e">
        <f>IF(OR($J415=0,COUNTIFS($A$4:$A414,"&gt;="&amp;$A415-1,$A$4:$A414,"&lt;="&amp;$A415,$B$4:$B414,$B415)&gt;0,MIN(AM$1,IF($A415=$A414,AM414,1))-R415&lt;0),-1,MIN(1,IF($A415=$A414,AM414,1)-R415+$D$3))</f>
        <v>#N/A</v>
      </c>
      <c r="AN415" s="47" t="e">
        <f>IF(OR($J415=0,COUNTIFS($A$4:$A414,"&gt;="&amp;$A415-1,$A$4:$A414,"&lt;="&amp;$A415,$B$4:$B414,$B415)&gt;0,MIN(AN$1,IF($A415=$A414,AN414,1))-S415&lt;0),-1,MIN(1,IF($A415=$A414,AN414,1)-S415+$D$3))</f>
        <v>#N/A</v>
      </c>
      <c r="AO415" s="47" t="e">
        <f>IF(OR($J415=0,COUNTIFS($A$4:$A414,"&gt;="&amp;$A415-1,$A$4:$A414,"&lt;="&amp;$A415,$B$4:$B414,$B415)&gt;0,MIN(AO$1,IF($A415=$A414,AO414,1))-T415&lt;0),-1,MIN(1,IF($A415=$A414,AO414,1)-T415+$D$3))</f>
        <v>#N/A</v>
      </c>
      <c r="AP415" s="47" t="e">
        <f>IF(OR($J415=0,COUNTIFS($A$4:$A414,"&gt;="&amp;$A415-1,$A$4:$A414,"&lt;="&amp;$A415,$B$4:$B414,$B415)&gt;0,MIN(AP$1,IF($A415=$A414,AP414,1))-U415&lt;0),-1,MIN(1,IF($A415=$A414,AP414,1)-U415+$D$3))</f>
        <v>#N/A</v>
      </c>
      <c r="AQ415" s="47" t="e">
        <f>IF(OR($J415=0,COUNTIFS($A$4:$A414,"&gt;="&amp;$A415-1,$A$4:$A414,"&lt;="&amp;$A415,$B$4:$B414,$B415)&gt;0,MIN(AQ$1,IF($A415=$A414,AQ414,1))-V415&lt;0),-1,MIN(1,IF($A415=$A414,AQ414,1)-V415+$D$3))</f>
        <v>#N/A</v>
      </c>
      <c r="AR415" s="47" t="e">
        <f>IF(OR($J415=0,COUNTIFS($A$4:$A414,"&gt;="&amp;$A415-1,$A$4:$A414,"&lt;="&amp;$A415,$B$4:$B414,$B415)&gt;0,MIN(AR$1,IF($A415=$A414,AR414,1))-W415&lt;0),-1,MIN(1,IF($A415=$A414,AR414,1)-W415+$D$3))</f>
        <v>#N/A</v>
      </c>
      <c r="AS415" s="47" t="e">
        <f>IF(OR($J415=0,COUNTIFS($A$4:$A414,"&gt;="&amp;$A415-1,$A$4:$A414,"&lt;="&amp;$A415,$B$4:$B414,$B415)&gt;0,MIN(AS$1,IF($A415=$A414,AS414,1))-X415&lt;0),-1,MIN(1,IF($A415=$A414,AS414,1)-X415+$D$3))</f>
        <v>#N/A</v>
      </c>
      <c r="AT415" s="47" t="e">
        <f>IF(OR($J415=0,COUNTIFS($A$4:$A414,"&gt;="&amp;$A415-1,$A$4:$A414,"&lt;="&amp;$A415,$B$4:$B414,$B415)&gt;0,MIN(AT$1,IF($A415=$A414,AT414,1))-Y415&lt;0),-1,MIN(1,IF($A415=$A414,AT414,1)-Y415+$D$3))</f>
        <v>#N/A</v>
      </c>
      <c r="AU415" s="47" t="e">
        <f>IF(OR($J415=0,COUNTIFS($A$4:$A414,"&gt;="&amp;$A415-1,$A$4:$A414,"&lt;="&amp;$A415,$B$4:$B414,$B415)&gt;0,MIN(AU$1,IF($A415=$A414,AU414,1))-Z415&lt;0),-1,MIN(1,IF($A415=$A414,AU414,1)-Z415+$D$3))</f>
        <v>#N/A</v>
      </c>
      <c r="AV415" s="47" t="e">
        <f>IF(OR($J415=0,COUNTIFS($A$4:$A414,"&gt;="&amp;$A415-1,$A$4:$A414,"&lt;="&amp;$A415,$B$4:$B414,$B415)&gt;0,MIN(AV$1,IF($A415=$A414,AV414,1))-AA415&lt;0),-1,MIN(1,IF($A415=$A414,AV414,1)-AA415+$D$3))</f>
        <v>#N/A</v>
      </c>
      <c r="AW415" s="47" t="e">
        <f>IF(OR($J415=0,COUNTIFS($A$4:$A414,"&gt;="&amp;$A415-1,$A$4:$A414,"&lt;="&amp;$A415,$B$4:$B414,$B415)&gt;0,MIN(AW$1,IF($A415=$A414,AW414,1))-AB415&lt;0),-1,MIN(1,IF($A415=$A414,AW414,1)-AB415+$D$3))</f>
        <v>#N/A</v>
      </c>
      <c r="AX415" s="47" t="e">
        <f>IF(OR($J415=0,COUNTIFS($A$4:$A414,"&gt;="&amp;$A415-1,$A$4:$A414,"&lt;="&amp;$A415,$B$4:$B414,$B415)&gt;0,MIN(AX$1,IF($A415=$A414,AX414,1))-AC415&lt;0),-1,MIN(1,IF($A415=$A414,AX414,1)-AC415+$D$3))</f>
        <v>#N/A</v>
      </c>
      <c r="AY415" s="47" t="e">
        <f>IF(OR($J415=0,COUNTIFS($A$4:$A414,"&gt;="&amp;$A415-1,$A$4:$A414,"&lt;="&amp;$A415,$B$4:$B414,$B415)&gt;0,MIN(AY$1,IF($A415=$A414,AY414,1))-AD415&lt;0),-1,MIN(1,IF($A415=$A414,AY414,1)-AD415+$D$3))</f>
        <v>#N/A</v>
      </c>
      <c r="AZ415" s="47" t="e">
        <f>IF(OR($J415=0,COUNTIFS($A$4:$A414,"&gt;="&amp;$A415-1,$A$4:$A414,"&lt;="&amp;$A415,$B$4:$B414,$B415)&gt;0,MIN(AZ$1,IF($A415=$A414,AZ414,1))-AE415&lt;0),-1,MIN(1,IF($A415=$A414,AZ414,1)-AE415+$D$3))</f>
        <v>#N/A</v>
      </c>
      <c r="BA415" s="47" t="e">
        <f>IF(OR($J415=0,COUNTIFS($A$4:$A414,"&gt;="&amp;$A415-1,$A$4:$A414,"&lt;="&amp;$A415,$B$4:$B414,$B415)&gt;0,MIN(BA$1,IF($A415=$A414,BA414,1))-AF415&lt;0),-1,MIN(1,IF($A415=$A414,BA414,1)-AF415+$D$3))</f>
        <v>#N/A</v>
      </c>
      <c r="BB415" s="47" t="e">
        <f>IF(OR($J415=0,COUNTIFS($A$4:$A414,"&gt;="&amp;$A415-1,$A$4:$A414,"&lt;="&amp;$A415,$B$4:$B414,$B415)&gt;0,MIN(BB$1,IF($A415=$A414,BB414,1))-AG415&lt;0),-1,MIN(1,IF($A415=$A414,BB414,1)-AG415+$D$3))</f>
        <v>#N/A</v>
      </c>
      <c r="BC415" s="47" t="e">
        <f>IF(OR($J415=0,COUNTIFS($A$4:$A414,"&gt;="&amp;$A415-1,$A$4:$A414,"&lt;="&amp;$A415,$B$4:$B414,$B415)&gt;0,MIN(BC$1,IF($A415=$A414,BC414,1))-AH415&lt;0),-1,MIN(1,IF($A415=$A414,BC414,1)-AH415+$D$3))</f>
        <v>#N/A</v>
      </c>
      <c r="BD415" s="47" t="e">
        <f>IF(OR($J415=0,COUNTIFS($A$4:$A414,"&gt;="&amp;$A415-1,$A$4:$A414,"&lt;="&amp;$A415,$B$4:$B414,$B415)&gt;0,MIN(BD$1,IF($A415=$A414,BD414,1))-AI415&lt;0),-1,MIN(1,IF($A415=$A414,BD414,1)-AI415+$D$3))</f>
        <v>#N/A</v>
      </c>
      <c r="BE415" s="47"/>
      <c r="BF415" s="53">
        <f t="shared" si="399"/>
        <v>1.4815205075944614E-9</v>
      </c>
      <c r="BG415" s="53">
        <f t="shared" si="400"/>
        <v>3.6434769855004005E-9</v>
      </c>
      <c r="BH415" s="53">
        <f t="shared" si="401"/>
        <v>3.7341806538935162E-9</v>
      </c>
      <c r="BI415" s="53">
        <f t="shared" si="402"/>
        <v>3.4493461727036411E-9</v>
      </c>
      <c r="BJ415" s="53">
        <f t="shared" si="403"/>
        <v>3.5652267364787873E-9</v>
      </c>
      <c r="BK415" s="53">
        <f t="shared" si="404"/>
        <v>1.5310412899074832E-9</v>
      </c>
      <c r="BL415" s="53">
        <f t="shared" si="405"/>
        <v>8.2709259175327387E-10</v>
      </c>
      <c r="BM415" s="53">
        <f t="shared" si="406"/>
        <v>2.104026969653354E-9</v>
      </c>
      <c r="BN415" s="53">
        <f t="shared" si="407"/>
        <v>2.188352026583263E-9</v>
      </c>
      <c r="BO415" s="53">
        <f t="shared" si="408"/>
        <v>1.0255447980854638E-9</v>
      </c>
      <c r="BP415" s="53">
        <f t="shared" si="409"/>
        <v>3.4483715342207798E-9</v>
      </c>
      <c r="BQ415" s="53">
        <f t="shared" si="410"/>
        <v>9.3057273067976647E-10</v>
      </c>
      <c r="BR415" s="53">
        <f t="shared" si="411"/>
        <v>2.7491447931437801E-9</v>
      </c>
      <c r="BS415" s="53">
        <f t="shared" si="412"/>
        <v>1.482650268406809E-9</v>
      </c>
      <c r="BT415" s="53">
        <f t="shared" si="413"/>
        <v>5.8673016577383084E-9</v>
      </c>
      <c r="BU415" s="53">
        <f t="shared" si="414"/>
        <v>5.60503862168768E-9</v>
      </c>
      <c r="BV415" s="53">
        <f t="shared" si="415"/>
        <v>5.3828936536352811E-9</v>
      </c>
      <c r="BW415" s="53">
        <f t="shared" si="416"/>
        <v>3.5207086723610911E-9</v>
      </c>
      <c r="BX415" s="53">
        <f t="shared" si="417"/>
        <v>2.6010356337033039E-9</v>
      </c>
      <c r="BY415" s="53">
        <f t="shared" si="418"/>
        <v>2.2332880466347989E-9</v>
      </c>
      <c r="BZ415" s="47"/>
      <c r="CA415" s="53" t="str">
        <f t="shared" si="419"/>
        <v/>
      </c>
      <c r="CB415" s="53" t="str">
        <f t="shared" si="420"/>
        <v/>
      </c>
      <c r="CC415" s="53" t="str">
        <f t="shared" si="421"/>
        <v/>
      </c>
      <c r="CD415" s="53" t="str">
        <f t="shared" si="422"/>
        <v/>
      </c>
      <c r="CE415" s="53" t="str">
        <f t="shared" si="423"/>
        <v/>
      </c>
      <c r="CF415" s="53" t="str">
        <f t="shared" si="424"/>
        <v/>
      </c>
      <c r="CG415" s="53" t="str">
        <f t="shared" si="425"/>
        <v/>
      </c>
      <c r="CH415" s="53" t="str">
        <f t="shared" si="426"/>
        <v/>
      </c>
      <c r="CI415" s="53" t="str">
        <f t="shared" si="427"/>
        <v/>
      </c>
      <c r="CJ415" s="53" t="str">
        <f t="shared" si="428"/>
        <v/>
      </c>
      <c r="CK415" s="53" t="str">
        <f t="shared" si="429"/>
        <v/>
      </c>
      <c r="CL415" s="53" t="str">
        <f t="shared" si="430"/>
        <v/>
      </c>
      <c r="CM415" s="53" t="str">
        <f t="shared" si="431"/>
        <v/>
      </c>
      <c r="CN415" s="53" t="str">
        <f t="shared" si="432"/>
        <v/>
      </c>
      <c r="CO415" s="53" t="str">
        <f t="shared" si="433"/>
        <v/>
      </c>
      <c r="CP415" s="53" t="str">
        <f t="shared" si="434"/>
        <v/>
      </c>
      <c r="CQ415" s="53" t="str">
        <f t="shared" si="435"/>
        <v/>
      </c>
      <c r="CR415" s="53" t="str">
        <f t="shared" si="436"/>
        <v/>
      </c>
      <c r="CS415" s="53" t="str">
        <f t="shared" si="437"/>
        <v/>
      </c>
      <c r="CT415" s="53" t="str">
        <f t="shared" si="438"/>
        <v/>
      </c>
      <c r="CU415" s="47"/>
      <c r="CV415" s="53">
        <f t="shared" si="439"/>
        <v>0</v>
      </c>
    </row>
    <row r="416" spans="1:100" x14ac:dyDescent="0.25">
      <c r="A416" s="41"/>
      <c r="B416" s="42"/>
      <c r="C416" s="43" t="str" cm="1">
        <f t="array" ref="C416">IF(B416="","",INDEX(UWS!$B$10:$B$41,B416))</f>
        <v/>
      </c>
      <c r="D416" s="40" t="str">
        <f t="shared" si="396"/>
        <v/>
      </c>
      <c r="E416" s="69" t="str">
        <f t="shared" si="397"/>
        <v/>
      </c>
      <c r="F416" s="48" cm="1">
        <f t="array" ref="F416">0.1+IFERROR(INDEX($F$5:$F415,SUMPRODUCT(MAX(ROW($C$5:$C415)*($C416=$C$5:$C415))-ROW($A$4)))*0.9^($A416-INDEX($A$5:A415,SUMPRODUCT(MAX(ROW($C$5:$C415)*($C416=$C$5:$C415))-ROW($A$4)))),0)</f>
        <v>35.100000000000229</v>
      </c>
      <c r="G416" s="55" t="e">
        <f>INDEX(UWS!$AB$10:$AB$41,MATCH(C416,UWS!$B$10:$B$41,0))</f>
        <v>#N/A</v>
      </c>
      <c r="H416" s="48" t="e">
        <f>INDEX(UWS!$C$10:$C$41,MATCH(C416,UWS!$B$10:$B$41,0))</f>
        <v>#N/A</v>
      </c>
      <c r="I416" s="82">
        <f t="shared" si="398"/>
        <v>5</v>
      </c>
      <c r="J416" s="27" t="e">
        <f>INDEX(UWS!$E$10:$E$41,MATCH(C416,UWS!$B$10:$B$41,0))</f>
        <v>#N/A</v>
      </c>
      <c r="L416" s="108" t="str" cm="1">
        <f t="array" ref="L416">IF(K416="","",INDEX(UWS!$B$10:$B$41,K416))</f>
        <v/>
      </c>
      <c r="N416" s="108" t="str" cm="1">
        <f t="array" ref="N416">IF(M416="","",INDEX(UWS!$B$10:$B$41,M416))</f>
        <v/>
      </c>
      <c r="P416">
        <f>IFERROR(INDEX(UWS!$G$10:$Z$41,MATCH($C416,UWS!$B$10:$B$41,0),MATCH(P$4,UWS!$G$3:$Z$3,0)),0)</f>
        <v>0</v>
      </c>
      <c r="Q416">
        <f>IFERROR(INDEX(UWS!$G$10:$Z$41,MATCH($C416,UWS!$B$10:$B$41,0),MATCH(Q$4,UWS!$G$3:$Z$3,0)),0)</f>
        <v>0</v>
      </c>
      <c r="R416">
        <f>IFERROR(INDEX(UWS!$G$10:$Z$41,MATCH($C416,UWS!$B$10:$B$41,0),MATCH(R$4,UWS!$G$3:$Z$3,0)),0)</f>
        <v>0</v>
      </c>
      <c r="S416">
        <f>IFERROR(INDEX(UWS!$G$10:$Z$41,MATCH($C416,UWS!$B$10:$B$41,0),MATCH(S$4,UWS!$G$3:$Z$3,0)),0)</f>
        <v>0</v>
      </c>
      <c r="T416">
        <f>IFERROR(INDEX(UWS!$G$10:$Z$41,MATCH($C416,UWS!$B$10:$B$41,0),MATCH(T$4,UWS!$G$3:$Z$3,0)),0)</f>
        <v>0</v>
      </c>
      <c r="U416">
        <f>IFERROR(INDEX(UWS!$G$10:$Z$41,MATCH($C416,UWS!$B$10:$B$41,0),MATCH(U$4,UWS!$G$3:$Z$3,0)),0)</f>
        <v>0</v>
      </c>
      <c r="V416">
        <f>IFERROR(INDEX(UWS!$G$10:$Z$41,MATCH($C416,UWS!$B$10:$B$41,0),MATCH(V$4,UWS!$G$3:$Z$3,0)),0)</f>
        <v>0</v>
      </c>
      <c r="W416">
        <f>IFERROR(INDEX(UWS!$G$10:$Z$41,MATCH($C416,UWS!$B$10:$B$41,0),MATCH(W$4,UWS!$G$3:$Z$3,0)),0)</f>
        <v>0</v>
      </c>
      <c r="X416">
        <f>IFERROR(INDEX(UWS!$G$10:$Z$41,MATCH($C416,UWS!$B$10:$B$41,0),MATCH(X$4,UWS!$G$3:$Z$3,0)),0)</f>
        <v>0</v>
      </c>
      <c r="Y416">
        <f>IFERROR(INDEX(UWS!$G$10:$Z$41,MATCH($C416,UWS!$B$10:$B$41,0),MATCH(Y$4,UWS!$G$3:$Z$3,0)),0)</f>
        <v>0</v>
      </c>
      <c r="Z416">
        <f>IFERROR(INDEX(UWS!$G$10:$Z$41,MATCH($C416,UWS!$B$10:$B$41,0),MATCH(Z$4,UWS!$G$3:$Z$3,0)),0)</f>
        <v>0</v>
      </c>
      <c r="AA416">
        <f>IFERROR(INDEX(UWS!$G$10:$Z$41,MATCH($C416,UWS!$B$10:$B$41,0),MATCH(AA$4,UWS!$G$3:$Z$3,0)),0)</f>
        <v>0</v>
      </c>
      <c r="AB416">
        <f>IFERROR(INDEX(UWS!$G$10:$Z$41,MATCH($C416,UWS!$B$10:$B$41,0),MATCH(AB$4,UWS!$G$3:$Z$3,0)),0)</f>
        <v>0</v>
      </c>
      <c r="AC416">
        <f>IFERROR(INDEX(UWS!$G$10:$Z$41,MATCH($C416,UWS!$B$10:$B$41,0),MATCH(AC$4,UWS!$G$3:$Z$3,0)),0)</f>
        <v>0</v>
      </c>
      <c r="AD416">
        <f>IFERROR(INDEX(UWS!$G$10:$Z$41,MATCH($C416,UWS!$B$10:$B$41,0),MATCH(AD$4,UWS!$G$3:$Z$3,0)),0)</f>
        <v>0</v>
      </c>
      <c r="AE416">
        <f>IFERROR(INDEX(UWS!$G$10:$Z$41,MATCH($C416,UWS!$B$10:$B$41,0),MATCH(AE$4,UWS!$G$3:$Z$3,0)),0)</f>
        <v>0</v>
      </c>
      <c r="AF416">
        <f>IFERROR(INDEX(UWS!$G$10:$Z$41,MATCH($C416,UWS!$B$10:$B$41,0),MATCH(AF$4,UWS!$G$3:$Z$3,0)),0)</f>
        <v>0</v>
      </c>
      <c r="AG416">
        <f>IFERROR(INDEX(UWS!$G$10:$Z$41,MATCH($C416,UWS!$B$10:$B$41,0),MATCH(AG$4,UWS!$G$3:$Z$3,0)),0)</f>
        <v>0</v>
      </c>
      <c r="AH416">
        <f>IFERROR(INDEX(UWS!$G$10:$Z$41,MATCH($C416,UWS!$B$10:$B$41,0),MATCH(AH$4,UWS!$G$3:$Z$3,0)),0)</f>
        <v>0</v>
      </c>
      <c r="AI416">
        <f>IFERROR(INDEX(UWS!$G$10:$Z$41,MATCH($C416,UWS!$B$10:$B$41,0),MATCH(AI$4,UWS!$G$3:$Z$3,0)),0)</f>
        <v>0</v>
      </c>
      <c r="AK416" t="e">
        <f>IF(OR($J416=0,COUNTIFS($A$4:$A415,"&gt;="&amp;$A416-1,$A$4:$A415,"&lt;="&amp;$A416,$B$4:$B415,$B416)&gt;0,MIN(AK$1,IF($A416=$A415,AK415,1))-P416&lt;0),-1,MIN(1,IF($A416=$A415,AK415,1)-P416+$D$3))</f>
        <v>#N/A</v>
      </c>
      <c r="AL416" t="e">
        <f>IF(OR($J416=0,COUNTIFS($A$4:$A415,"&gt;="&amp;$A416-1,$A$4:$A415,"&lt;="&amp;$A416,$B$4:$B415,$B416)&gt;0,MIN(AL$1,IF($A416=$A415,AL415,1))-Q416&lt;0),-1,MIN(1,IF($A416=$A415,AL415,1)-Q416+$D$3))</f>
        <v>#N/A</v>
      </c>
      <c r="AM416" t="e">
        <f>IF(OR($J416=0,COUNTIFS($A$4:$A415,"&gt;="&amp;$A416-1,$A$4:$A415,"&lt;="&amp;$A416,$B$4:$B415,$B416)&gt;0,MIN(AM$1,IF($A416=$A415,AM415,1))-R416&lt;0),-1,MIN(1,IF($A416=$A415,AM415,1)-R416+$D$3))</f>
        <v>#N/A</v>
      </c>
      <c r="AN416" t="e">
        <f>IF(OR($J416=0,COUNTIFS($A$4:$A415,"&gt;="&amp;$A416-1,$A$4:$A415,"&lt;="&amp;$A416,$B$4:$B415,$B416)&gt;0,MIN(AN$1,IF($A416=$A415,AN415,1))-S416&lt;0),-1,MIN(1,IF($A416=$A415,AN415,1)-S416+$D$3))</f>
        <v>#N/A</v>
      </c>
      <c r="AO416" t="e">
        <f>IF(OR($J416=0,COUNTIFS($A$4:$A415,"&gt;="&amp;$A416-1,$A$4:$A415,"&lt;="&amp;$A416,$B$4:$B415,$B416)&gt;0,MIN(AO$1,IF($A416=$A415,AO415,1))-T416&lt;0),-1,MIN(1,IF($A416=$A415,AO415,1)-T416+$D$3))</f>
        <v>#N/A</v>
      </c>
      <c r="AP416" t="e">
        <f>IF(OR($J416=0,COUNTIFS($A$4:$A415,"&gt;="&amp;$A416-1,$A$4:$A415,"&lt;="&amp;$A416,$B$4:$B415,$B416)&gt;0,MIN(AP$1,IF($A416=$A415,AP415,1))-U416&lt;0),-1,MIN(1,IF($A416=$A415,AP415,1)-U416+$D$3))</f>
        <v>#N/A</v>
      </c>
      <c r="AQ416" t="e">
        <f>IF(OR($J416=0,COUNTIFS($A$4:$A415,"&gt;="&amp;$A416-1,$A$4:$A415,"&lt;="&amp;$A416,$B$4:$B415,$B416)&gt;0,MIN(AQ$1,IF($A416=$A415,AQ415,1))-V416&lt;0),-1,MIN(1,IF($A416=$A415,AQ415,1)-V416+$D$3))</f>
        <v>#N/A</v>
      </c>
      <c r="AR416" t="e">
        <f>IF(OR($J416=0,COUNTIFS($A$4:$A415,"&gt;="&amp;$A416-1,$A$4:$A415,"&lt;="&amp;$A416,$B$4:$B415,$B416)&gt;0,MIN(AR$1,IF($A416=$A415,AR415,1))-W416&lt;0),-1,MIN(1,IF($A416=$A415,AR415,1)-W416+$D$3))</f>
        <v>#N/A</v>
      </c>
      <c r="AS416" t="e">
        <f>IF(OR($J416=0,COUNTIFS($A$4:$A415,"&gt;="&amp;$A416-1,$A$4:$A415,"&lt;="&amp;$A416,$B$4:$B415,$B416)&gt;0,MIN(AS$1,IF($A416=$A415,AS415,1))-X416&lt;0),-1,MIN(1,IF($A416=$A415,AS415,1)-X416+$D$3))</f>
        <v>#N/A</v>
      </c>
      <c r="AT416" t="e">
        <f>IF(OR($J416=0,COUNTIFS($A$4:$A415,"&gt;="&amp;$A416-1,$A$4:$A415,"&lt;="&amp;$A416,$B$4:$B415,$B416)&gt;0,MIN(AT$1,IF($A416=$A415,AT415,1))-Y416&lt;0),-1,MIN(1,IF($A416=$A415,AT415,1)-Y416+$D$3))</f>
        <v>#N/A</v>
      </c>
      <c r="AU416" t="e">
        <f>IF(OR($J416=0,COUNTIFS($A$4:$A415,"&gt;="&amp;$A416-1,$A$4:$A415,"&lt;="&amp;$A416,$B$4:$B415,$B416)&gt;0,MIN(AU$1,IF($A416=$A415,AU415,1))-Z416&lt;0),-1,MIN(1,IF($A416=$A415,AU415,1)-Z416+$D$3))</f>
        <v>#N/A</v>
      </c>
      <c r="AV416" t="e">
        <f>IF(OR($J416=0,COUNTIFS($A$4:$A415,"&gt;="&amp;$A416-1,$A$4:$A415,"&lt;="&amp;$A416,$B$4:$B415,$B416)&gt;0,MIN(AV$1,IF($A416=$A415,AV415,1))-AA416&lt;0),-1,MIN(1,IF($A416=$A415,AV415,1)-AA416+$D$3))</f>
        <v>#N/A</v>
      </c>
      <c r="AW416" t="e">
        <f>IF(OR($J416=0,COUNTIFS($A$4:$A415,"&gt;="&amp;$A416-1,$A$4:$A415,"&lt;="&amp;$A416,$B$4:$B415,$B416)&gt;0,MIN(AW$1,IF($A416=$A415,AW415,1))-AB416&lt;0),-1,MIN(1,IF($A416=$A415,AW415,1)-AB416+$D$3))</f>
        <v>#N/A</v>
      </c>
      <c r="AX416" t="e">
        <f>IF(OR($J416=0,COUNTIFS($A$4:$A415,"&gt;="&amp;$A416-1,$A$4:$A415,"&lt;="&amp;$A416,$B$4:$B415,$B416)&gt;0,MIN(AX$1,IF($A416=$A415,AX415,1))-AC416&lt;0),-1,MIN(1,IF($A416=$A415,AX415,1)-AC416+$D$3))</f>
        <v>#N/A</v>
      </c>
      <c r="AY416" t="e">
        <f>IF(OR($J416=0,COUNTIFS($A$4:$A415,"&gt;="&amp;$A416-1,$A$4:$A415,"&lt;="&amp;$A416,$B$4:$B415,$B416)&gt;0,MIN(AY$1,IF($A416=$A415,AY415,1))-AD416&lt;0),-1,MIN(1,IF($A416=$A415,AY415,1)-AD416+$D$3))</f>
        <v>#N/A</v>
      </c>
      <c r="AZ416" t="e">
        <f>IF(OR($J416=0,COUNTIFS($A$4:$A415,"&gt;="&amp;$A416-1,$A$4:$A415,"&lt;="&amp;$A416,$B$4:$B415,$B416)&gt;0,MIN(AZ$1,IF($A416=$A415,AZ415,1))-AE416&lt;0),-1,MIN(1,IF($A416=$A415,AZ415,1)-AE416+$D$3))</f>
        <v>#N/A</v>
      </c>
      <c r="BA416" t="e">
        <f>IF(OR($J416=0,COUNTIFS($A$4:$A415,"&gt;="&amp;$A416-1,$A$4:$A415,"&lt;="&amp;$A416,$B$4:$B415,$B416)&gt;0,MIN(BA$1,IF($A416=$A415,BA415,1))-AF416&lt;0),-1,MIN(1,IF($A416=$A415,BA415,1)-AF416+$D$3))</f>
        <v>#N/A</v>
      </c>
      <c r="BB416" t="e">
        <f>IF(OR($J416=0,COUNTIFS($A$4:$A415,"&gt;="&amp;$A416-1,$A$4:$A415,"&lt;="&amp;$A416,$B$4:$B415,$B416)&gt;0,MIN(BB$1,IF($A416=$A415,BB415,1))-AG416&lt;0),-1,MIN(1,IF($A416=$A415,BB415,1)-AG416+$D$3))</f>
        <v>#N/A</v>
      </c>
      <c r="BC416" t="e">
        <f>IF(OR($J416=0,COUNTIFS($A$4:$A415,"&gt;="&amp;$A416-1,$A$4:$A415,"&lt;="&amp;$A416,$B$4:$B415,$B416)&gt;0,MIN(BC$1,IF($A416=$A415,BC415,1))-AH416&lt;0),-1,MIN(1,IF($A416=$A415,BC415,1)-AH416+$D$3))</f>
        <v>#N/A</v>
      </c>
      <c r="BD416" t="e">
        <f>IF(OR($J416=0,COUNTIFS($A$4:$A415,"&gt;="&amp;$A416-1,$A$4:$A415,"&lt;="&amp;$A416,$B$4:$B415,$B416)&gt;0,MIN(BD$1,IF($A416=$A415,BD415,1))-AI416&lt;0),-1,MIN(1,IF($A416=$A415,BD415,1)-AI416+$D$3))</f>
        <v>#N/A</v>
      </c>
      <c r="BF416" s="44">
        <f t="shared" si="399"/>
        <v>1.4074444822147384E-9</v>
      </c>
      <c r="BG416" s="44">
        <f t="shared" si="400"/>
        <v>3.4613031362253804E-9</v>
      </c>
      <c r="BH416" s="44">
        <f t="shared" si="401"/>
        <v>3.54747162119884E-9</v>
      </c>
      <c r="BI416" s="44">
        <f t="shared" si="402"/>
        <v>3.2768788640684587E-9</v>
      </c>
      <c r="BJ416" s="44">
        <f t="shared" si="403"/>
        <v>3.3869653996548478E-9</v>
      </c>
      <c r="BK416" s="44">
        <f t="shared" si="404"/>
        <v>1.454489225412109E-9</v>
      </c>
      <c r="BL416" s="44">
        <f t="shared" si="405"/>
        <v>7.8573796216561016E-10</v>
      </c>
      <c r="BM416" s="44">
        <f t="shared" si="406"/>
        <v>1.9988256211706861E-9</v>
      </c>
      <c r="BN416" s="44">
        <f t="shared" si="407"/>
        <v>2.0789344252540997E-9</v>
      </c>
      <c r="BO416" s="44">
        <f t="shared" si="408"/>
        <v>9.7426755818119059E-10</v>
      </c>
      <c r="BP416" s="44">
        <f t="shared" si="409"/>
        <v>3.2759529575097405E-9</v>
      </c>
      <c r="BQ416" s="44">
        <f t="shared" si="410"/>
        <v>8.8404409414577815E-10</v>
      </c>
      <c r="BR416" s="44">
        <f t="shared" si="411"/>
        <v>2.6116875534865908E-9</v>
      </c>
      <c r="BS416" s="44">
        <f t="shared" si="412"/>
        <v>1.4085177549864684E-9</v>
      </c>
      <c r="BT416" s="44">
        <f t="shared" si="413"/>
        <v>5.5739365748513929E-9</v>
      </c>
      <c r="BU416" s="44">
        <f t="shared" si="414"/>
        <v>5.3247866906032956E-9</v>
      </c>
      <c r="BV416" s="44">
        <f t="shared" si="415"/>
        <v>5.113748970953517E-9</v>
      </c>
      <c r="BW416" s="44">
        <f t="shared" si="416"/>
        <v>3.3446732387430363E-9</v>
      </c>
      <c r="BX416" s="44">
        <f t="shared" si="417"/>
        <v>2.4709838520181384E-9</v>
      </c>
      <c r="BY416" s="44">
        <f t="shared" si="418"/>
        <v>2.1216236443030589E-9</v>
      </c>
      <c r="CA416" s="44" t="str">
        <f t="shared" si="419"/>
        <v/>
      </c>
      <c r="CB416" s="44" t="str">
        <f t="shared" si="420"/>
        <v/>
      </c>
      <c r="CC416" s="44" t="str">
        <f t="shared" si="421"/>
        <v/>
      </c>
      <c r="CD416" s="44" t="str">
        <f t="shared" si="422"/>
        <v/>
      </c>
      <c r="CE416" s="44" t="str">
        <f t="shared" si="423"/>
        <v/>
      </c>
      <c r="CF416" s="44" t="str">
        <f t="shared" si="424"/>
        <v/>
      </c>
      <c r="CG416" s="44" t="str">
        <f t="shared" si="425"/>
        <v/>
      </c>
      <c r="CH416" s="44" t="str">
        <f t="shared" si="426"/>
        <v/>
      </c>
      <c r="CI416" s="44" t="str">
        <f t="shared" si="427"/>
        <v/>
      </c>
      <c r="CJ416" s="44" t="str">
        <f t="shared" si="428"/>
        <v/>
      </c>
      <c r="CK416" s="44" t="str">
        <f t="shared" si="429"/>
        <v/>
      </c>
      <c r="CL416" s="44" t="str">
        <f t="shared" si="430"/>
        <v/>
      </c>
      <c r="CM416" s="44" t="str">
        <f t="shared" si="431"/>
        <v/>
      </c>
      <c r="CN416" s="44" t="str">
        <f t="shared" si="432"/>
        <v/>
      </c>
      <c r="CO416" s="44" t="str">
        <f t="shared" si="433"/>
        <v/>
      </c>
      <c r="CP416" s="44" t="str">
        <f t="shared" si="434"/>
        <v/>
      </c>
      <c r="CQ416" s="44" t="str">
        <f t="shared" si="435"/>
        <v/>
      </c>
      <c r="CR416" s="44" t="str">
        <f t="shared" si="436"/>
        <v/>
      </c>
      <c r="CS416" s="44" t="str">
        <f t="shared" si="437"/>
        <v/>
      </c>
      <c r="CT416" s="44" t="str">
        <f t="shared" si="438"/>
        <v/>
      </c>
      <c r="CV416" s="44">
        <f t="shared" si="439"/>
        <v>0</v>
      </c>
    </row>
    <row r="417" spans="1:100" x14ac:dyDescent="0.25">
      <c r="A417" s="41"/>
      <c r="B417" s="42"/>
      <c r="C417" s="43" t="str" cm="1">
        <f t="array" ref="C417">IF(B417="","",INDEX(UWS!$B$10:$B$41,B417))</f>
        <v/>
      </c>
      <c r="D417" s="40" t="str">
        <f t="shared" si="396"/>
        <v/>
      </c>
      <c r="E417" s="69" t="str">
        <f t="shared" si="397"/>
        <v/>
      </c>
      <c r="F417" s="48" cm="1">
        <f t="array" ref="F417">0.1+IFERROR(INDEX($F$5:$F416,SUMPRODUCT(MAX(ROW($C$5:$C416)*($C417=$C$5:$C416))-ROW($A$4)))*0.9^($A417-INDEX($A$5:A416,SUMPRODUCT(MAX(ROW($C$5:$C416)*($C417=$C$5:$C416))-ROW($A$4)))),0)</f>
        <v>35.20000000000023</v>
      </c>
      <c r="G417" s="55" t="e">
        <f>INDEX(UWS!$AB$10:$AB$41,MATCH(C417,UWS!$B$10:$B$41,0))</f>
        <v>#N/A</v>
      </c>
      <c r="H417" s="48" t="e">
        <f>INDEX(UWS!$C$10:$C$41,MATCH(C417,UWS!$B$10:$B$41,0))</f>
        <v>#N/A</v>
      </c>
      <c r="I417" s="27">
        <f t="shared" si="398"/>
        <v>5</v>
      </c>
      <c r="J417" s="27" t="e">
        <f>INDEX(UWS!$E$10:$E$41,MATCH(C417,UWS!$B$10:$B$41,0))</f>
        <v>#N/A</v>
      </c>
      <c r="L417" s="108" t="str" cm="1">
        <f t="array" ref="L417">IF(K417="","",INDEX(UWS!$B$10:$B$41,K417))</f>
        <v/>
      </c>
      <c r="N417" s="108" t="str" cm="1">
        <f t="array" ref="N417">IF(M417="","",INDEX(UWS!$B$10:$B$41,M417))</f>
        <v/>
      </c>
      <c r="P417">
        <f>IFERROR(INDEX(UWS!$G$10:$Z$41,MATCH($C417,UWS!$B$10:$B$41,0),MATCH(P$4,UWS!$G$3:$Z$3,0)),0)</f>
        <v>0</v>
      </c>
      <c r="Q417">
        <f>IFERROR(INDEX(UWS!$G$10:$Z$41,MATCH($C417,UWS!$B$10:$B$41,0),MATCH(Q$4,UWS!$G$3:$Z$3,0)),0)</f>
        <v>0</v>
      </c>
      <c r="R417">
        <f>IFERROR(INDEX(UWS!$G$10:$Z$41,MATCH($C417,UWS!$B$10:$B$41,0),MATCH(R$4,UWS!$G$3:$Z$3,0)),0)</f>
        <v>0</v>
      </c>
      <c r="S417">
        <f>IFERROR(INDEX(UWS!$G$10:$Z$41,MATCH($C417,UWS!$B$10:$B$41,0),MATCH(S$4,UWS!$G$3:$Z$3,0)),0)</f>
        <v>0</v>
      </c>
      <c r="T417">
        <f>IFERROR(INDEX(UWS!$G$10:$Z$41,MATCH($C417,UWS!$B$10:$B$41,0),MATCH(T$4,UWS!$G$3:$Z$3,0)),0)</f>
        <v>0</v>
      </c>
      <c r="U417">
        <f>IFERROR(INDEX(UWS!$G$10:$Z$41,MATCH($C417,UWS!$B$10:$B$41,0),MATCH(U$4,UWS!$G$3:$Z$3,0)),0)</f>
        <v>0</v>
      </c>
      <c r="V417">
        <f>IFERROR(INDEX(UWS!$G$10:$Z$41,MATCH($C417,UWS!$B$10:$B$41,0),MATCH(V$4,UWS!$G$3:$Z$3,0)),0)</f>
        <v>0</v>
      </c>
      <c r="W417">
        <f>IFERROR(INDEX(UWS!$G$10:$Z$41,MATCH($C417,UWS!$B$10:$B$41,0),MATCH(W$4,UWS!$G$3:$Z$3,0)),0)</f>
        <v>0</v>
      </c>
      <c r="X417">
        <f>IFERROR(INDEX(UWS!$G$10:$Z$41,MATCH($C417,UWS!$B$10:$B$41,0),MATCH(X$4,UWS!$G$3:$Z$3,0)),0)</f>
        <v>0</v>
      </c>
      <c r="Y417">
        <f>IFERROR(INDEX(UWS!$G$10:$Z$41,MATCH($C417,UWS!$B$10:$B$41,0),MATCH(Y$4,UWS!$G$3:$Z$3,0)),0)</f>
        <v>0</v>
      </c>
      <c r="Z417">
        <f>IFERROR(INDEX(UWS!$G$10:$Z$41,MATCH($C417,UWS!$B$10:$B$41,0),MATCH(Z$4,UWS!$G$3:$Z$3,0)),0)</f>
        <v>0</v>
      </c>
      <c r="AA417">
        <f>IFERROR(INDEX(UWS!$G$10:$Z$41,MATCH($C417,UWS!$B$10:$B$41,0),MATCH(AA$4,UWS!$G$3:$Z$3,0)),0)</f>
        <v>0</v>
      </c>
      <c r="AB417">
        <f>IFERROR(INDEX(UWS!$G$10:$Z$41,MATCH($C417,UWS!$B$10:$B$41,0),MATCH(AB$4,UWS!$G$3:$Z$3,0)),0)</f>
        <v>0</v>
      </c>
      <c r="AC417">
        <f>IFERROR(INDEX(UWS!$G$10:$Z$41,MATCH($C417,UWS!$B$10:$B$41,0),MATCH(AC$4,UWS!$G$3:$Z$3,0)),0)</f>
        <v>0</v>
      </c>
      <c r="AD417">
        <f>IFERROR(INDEX(UWS!$G$10:$Z$41,MATCH($C417,UWS!$B$10:$B$41,0),MATCH(AD$4,UWS!$G$3:$Z$3,0)),0)</f>
        <v>0</v>
      </c>
      <c r="AE417">
        <f>IFERROR(INDEX(UWS!$G$10:$Z$41,MATCH($C417,UWS!$B$10:$B$41,0),MATCH(AE$4,UWS!$G$3:$Z$3,0)),0)</f>
        <v>0</v>
      </c>
      <c r="AF417">
        <f>IFERROR(INDEX(UWS!$G$10:$Z$41,MATCH($C417,UWS!$B$10:$B$41,0),MATCH(AF$4,UWS!$G$3:$Z$3,0)),0)</f>
        <v>0</v>
      </c>
      <c r="AG417">
        <f>IFERROR(INDEX(UWS!$G$10:$Z$41,MATCH($C417,UWS!$B$10:$B$41,0),MATCH(AG$4,UWS!$G$3:$Z$3,0)),0)</f>
        <v>0</v>
      </c>
      <c r="AH417">
        <f>IFERROR(INDEX(UWS!$G$10:$Z$41,MATCH($C417,UWS!$B$10:$B$41,0),MATCH(AH$4,UWS!$G$3:$Z$3,0)),0)</f>
        <v>0</v>
      </c>
      <c r="AI417">
        <f>IFERROR(INDEX(UWS!$G$10:$Z$41,MATCH($C417,UWS!$B$10:$B$41,0),MATCH(AI$4,UWS!$G$3:$Z$3,0)),0)</f>
        <v>0</v>
      </c>
      <c r="AK417" t="e">
        <f>IF(OR($J417=0,COUNTIFS($A$4:$A416,"&gt;="&amp;$A417-1,$A$4:$A416,"&lt;="&amp;$A417,$B$4:$B416,$B417)&gt;0,MIN(AK$1,IF($A417=$A416,AK416,1))-P417&lt;0),-1,MIN(1,IF($A417=$A416,AK416,1)-P417+$D$3))</f>
        <v>#N/A</v>
      </c>
      <c r="AL417" t="e">
        <f>IF(OR($J417=0,COUNTIFS($A$4:$A416,"&gt;="&amp;$A417-1,$A$4:$A416,"&lt;="&amp;$A417,$B$4:$B416,$B417)&gt;0,MIN(AL$1,IF($A417=$A416,AL416,1))-Q417&lt;0),-1,MIN(1,IF($A417=$A416,AL416,1)-Q417+$D$3))</f>
        <v>#N/A</v>
      </c>
      <c r="AM417" t="e">
        <f>IF(OR($J417=0,COUNTIFS($A$4:$A416,"&gt;="&amp;$A417-1,$A$4:$A416,"&lt;="&amp;$A417,$B$4:$B416,$B417)&gt;0,MIN(AM$1,IF($A417=$A416,AM416,1))-R417&lt;0),-1,MIN(1,IF($A417=$A416,AM416,1)-R417+$D$3))</f>
        <v>#N/A</v>
      </c>
      <c r="AN417" t="e">
        <f>IF(OR($J417=0,COUNTIFS($A$4:$A416,"&gt;="&amp;$A417-1,$A$4:$A416,"&lt;="&amp;$A417,$B$4:$B416,$B417)&gt;0,MIN(AN$1,IF($A417=$A416,AN416,1))-S417&lt;0),-1,MIN(1,IF($A417=$A416,AN416,1)-S417+$D$3))</f>
        <v>#N/A</v>
      </c>
      <c r="AO417" t="e">
        <f>IF(OR($J417=0,COUNTIFS($A$4:$A416,"&gt;="&amp;$A417-1,$A$4:$A416,"&lt;="&amp;$A417,$B$4:$B416,$B417)&gt;0,MIN(AO$1,IF($A417=$A416,AO416,1))-T417&lt;0),-1,MIN(1,IF($A417=$A416,AO416,1)-T417+$D$3))</f>
        <v>#N/A</v>
      </c>
      <c r="AP417" t="e">
        <f>IF(OR($J417=0,COUNTIFS($A$4:$A416,"&gt;="&amp;$A417-1,$A$4:$A416,"&lt;="&amp;$A417,$B$4:$B416,$B417)&gt;0,MIN(AP$1,IF($A417=$A416,AP416,1))-U417&lt;0),-1,MIN(1,IF($A417=$A416,AP416,1)-U417+$D$3))</f>
        <v>#N/A</v>
      </c>
      <c r="AQ417" t="e">
        <f>IF(OR($J417=0,COUNTIFS($A$4:$A416,"&gt;="&amp;$A417-1,$A$4:$A416,"&lt;="&amp;$A417,$B$4:$B416,$B417)&gt;0,MIN(AQ$1,IF($A417=$A416,AQ416,1))-V417&lt;0),-1,MIN(1,IF($A417=$A416,AQ416,1)-V417+$D$3))</f>
        <v>#N/A</v>
      </c>
      <c r="AR417" t="e">
        <f>IF(OR($J417=0,COUNTIFS($A$4:$A416,"&gt;="&amp;$A417-1,$A$4:$A416,"&lt;="&amp;$A417,$B$4:$B416,$B417)&gt;0,MIN(AR$1,IF($A417=$A416,AR416,1))-W417&lt;0),-1,MIN(1,IF($A417=$A416,AR416,1)-W417+$D$3))</f>
        <v>#N/A</v>
      </c>
      <c r="AS417" t="e">
        <f>IF(OR($J417=0,COUNTIFS($A$4:$A416,"&gt;="&amp;$A417-1,$A$4:$A416,"&lt;="&amp;$A417,$B$4:$B416,$B417)&gt;0,MIN(AS$1,IF($A417=$A416,AS416,1))-X417&lt;0),-1,MIN(1,IF($A417=$A416,AS416,1)-X417+$D$3))</f>
        <v>#N/A</v>
      </c>
      <c r="AT417" t="e">
        <f>IF(OR($J417=0,COUNTIFS($A$4:$A416,"&gt;="&amp;$A417-1,$A$4:$A416,"&lt;="&amp;$A417,$B$4:$B416,$B417)&gt;0,MIN(AT$1,IF($A417=$A416,AT416,1))-Y417&lt;0),-1,MIN(1,IF($A417=$A416,AT416,1)-Y417+$D$3))</f>
        <v>#N/A</v>
      </c>
      <c r="AU417" t="e">
        <f>IF(OR($J417=0,COUNTIFS($A$4:$A416,"&gt;="&amp;$A417-1,$A$4:$A416,"&lt;="&amp;$A417,$B$4:$B416,$B417)&gt;0,MIN(AU$1,IF($A417=$A416,AU416,1))-Z417&lt;0),-1,MIN(1,IF($A417=$A416,AU416,1)-Z417+$D$3))</f>
        <v>#N/A</v>
      </c>
      <c r="AV417" t="e">
        <f>IF(OR($J417=0,COUNTIFS($A$4:$A416,"&gt;="&amp;$A417-1,$A$4:$A416,"&lt;="&amp;$A417,$B$4:$B416,$B417)&gt;0,MIN(AV$1,IF($A417=$A416,AV416,1))-AA417&lt;0),-1,MIN(1,IF($A417=$A416,AV416,1)-AA417+$D$3))</f>
        <v>#N/A</v>
      </c>
      <c r="AW417" t="e">
        <f>IF(OR($J417=0,COUNTIFS($A$4:$A416,"&gt;="&amp;$A417-1,$A$4:$A416,"&lt;="&amp;$A417,$B$4:$B416,$B417)&gt;0,MIN(AW$1,IF($A417=$A416,AW416,1))-AB417&lt;0),-1,MIN(1,IF($A417=$A416,AW416,1)-AB417+$D$3))</f>
        <v>#N/A</v>
      </c>
      <c r="AX417" t="e">
        <f>IF(OR($J417=0,COUNTIFS($A$4:$A416,"&gt;="&amp;$A417-1,$A$4:$A416,"&lt;="&amp;$A417,$B$4:$B416,$B417)&gt;0,MIN(AX$1,IF($A417=$A416,AX416,1))-AC417&lt;0),-1,MIN(1,IF($A417=$A416,AX416,1)-AC417+$D$3))</f>
        <v>#N/A</v>
      </c>
      <c r="AY417" t="e">
        <f>IF(OR($J417=0,COUNTIFS($A$4:$A416,"&gt;="&amp;$A417-1,$A$4:$A416,"&lt;="&amp;$A417,$B$4:$B416,$B417)&gt;0,MIN(AY$1,IF($A417=$A416,AY416,1))-AD417&lt;0),-1,MIN(1,IF($A417=$A416,AY416,1)-AD417+$D$3))</f>
        <v>#N/A</v>
      </c>
      <c r="AZ417" t="e">
        <f>IF(OR($J417=0,COUNTIFS($A$4:$A416,"&gt;="&amp;$A417-1,$A$4:$A416,"&lt;="&amp;$A417,$B$4:$B416,$B417)&gt;0,MIN(AZ$1,IF($A417=$A416,AZ416,1))-AE417&lt;0),-1,MIN(1,IF($A417=$A416,AZ416,1)-AE417+$D$3))</f>
        <v>#N/A</v>
      </c>
      <c r="BA417" t="e">
        <f>IF(OR($J417=0,COUNTIFS($A$4:$A416,"&gt;="&amp;$A417-1,$A$4:$A416,"&lt;="&amp;$A417,$B$4:$B416,$B417)&gt;0,MIN(BA$1,IF($A417=$A416,BA416,1))-AF417&lt;0),-1,MIN(1,IF($A417=$A416,BA416,1)-AF417+$D$3))</f>
        <v>#N/A</v>
      </c>
      <c r="BB417" t="e">
        <f>IF(OR($J417=0,COUNTIFS($A$4:$A416,"&gt;="&amp;$A417-1,$A$4:$A416,"&lt;="&amp;$A417,$B$4:$B416,$B417)&gt;0,MIN(BB$1,IF($A417=$A416,BB416,1))-AG417&lt;0),-1,MIN(1,IF($A417=$A416,BB416,1)-AG417+$D$3))</f>
        <v>#N/A</v>
      </c>
      <c r="BC417" t="e">
        <f>IF(OR($J417=0,COUNTIFS($A$4:$A416,"&gt;="&amp;$A417-1,$A$4:$A416,"&lt;="&amp;$A417,$B$4:$B416,$B417)&gt;0,MIN(BC$1,IF($A417=$A416,BC416,1))-AH417&lt;0),-1,MIN(1,IF($A417=$A416,BC416,1)-AH417+$D$3))</f>
        <v>#N/A</v>
      </c>
      <c r="BD417" t="e">
        <f>IF(OR($J417=0,COUNTIFS($A$4:$A416,"&gt;="&amp;$A417-1,$A$4:$A416,"&lt;="&amp;$A417,$B$4:$B416,$B417)&gt;0,MIN(BD$1,IF($A417=$A416,BD416,1))-AI417&lt;0),-1,MIN(1,IF($A417=$A416,BD416,1)-AI417+$D$3))</f>
        <v>#N/A</v>
      </c>
      <c r="BF417" s="44">
        <f t="shared" si="399"/>
        <v>1.3370722581040015E-9</v>
      </c>
      <c r="BG417" s="44">
        <f t="shared" si="400"/>
        <v>3.2882379794141112E-9</v>
      </c>
      <c r="BH417" s="44">
        <f t="shared" si="401"/>
        <v>3.3700980401388978E-9</v>
      </c>
      <c r="BI417" s="44">
        <f t="shared" si="402"/>
        <v>3.1130349208650357E-9</v>
      </c>
      <c r="BJ417" s="44">
        <f t="shared" si="403"/>
        <v>3.2176171296721053E-9</v>
      </c>
      <c r="BK417" s="44">
        <f t="shared" si="404"/>
        <v>1.3817647641415034E-9</v>
      </c>
      <c r="BL417" s="44">
        <f t="shared" si="405"/>
        <v>7.464510640573296E-10</v>
      </c>
      <c r="BM417" s="44">
        <f t="shared" si="406"/>
        <v>1.8988843401121519E-9</v>
      </c>
      <c r="BN417" s="44">
        <f t="shared" si="407"/>
        <v>1.9749877039913947E-9</v>
      </c>
      <c r="BO417" s="44">
        <f t="shared" si="408"/>
        <v>9.2555418027213103E-10</v>
      </c>
      <c r="BP417" s="44">
        <f t="shared" si="409"/>
        <v>3.1121553096342531E-9</v>
      </c>
      <c r="BQ417" s="44">
        <f t="shared" si="410"/>
        <v>8.3984188943848923E-10</v>
      </c>
      <c r="BR417" s="44">
        <f t="shared" si="411"/>
        <v>2.481103175812261E-9</v>
      </c>
      <c r="BS417" s="44">
        <f t="shared" si="412"/>
        <v>1.3380918672371449E-9</v>
      </c>
      <c r="BT417" s="44">
        <f t="shared" si="413"/>
        <v>5.2952397461088232E-9</v>
      </c>
      <c r="BU417" s="44">
        <f t="shared" si="414"/>
        <v>5.0585473560731307E-9</v>
      </c>
      <c r="BV417" s="44">
        <f t="shared" si="415"/>
        <v>4.8580615224058406E-9</v>
      </c>
      <c r="BW417" s="44">
        <f t="shared" si="416"/>
        <v>3.1774395768058842E-9</v>
      </c>
      <c r="BX417" s="44">
        <f t="shared" si="417"/>
        <v>2.3474346594172315E-9</v>
      </c>
      <c r="BY417" s="44">
        <f t="shared" si="418"/>
        <v>2.0155424620879061E-9</v>
      </c>
      <c r="CA417" s="44" t="str">
        <f t="shared" si="419"/>
        <v/>
      </c>
      <c r="CB417" s="44" t="str">
        <f t="shared" si="420"/>
        <v/>
      </c>
      <c r="CC417" s="44" t="str">
        <f t="shared" si="421"/>
        <v/>
      </c>
      <c r="CD417" s="44" t="str">
        <f t="shared" si="422"/>
        <v/>
      </c>
      <c r="CE417" s="44" t="str">
        <f t="shared" si="423"/>
        <v/>
      </c>
      <c r="CF417" s="44" t="str">
        <f t="shared" si="424"/>
        <v/>
      </c>
      <c r="CG417" s="44" t="str">
        <f t="shared" si="425"/>
        <v/>
      </c>
      <c r="CH417" s="44" t="str">
        <f t="shared" si="426"/>
        <v/>
      </c>
      <c r="CI417" s="44" t="str">
        <f t="shared" si="427"/>
        <v/>
      </c>
      <c r="CJ417" s="44" t="str">
        <f t="shared" si="428"/>
        <v/>
      </c>
      <c r="CK417" s="44" t="str">
        <f t="shared" si="429"/>
        <v/>
      </c>
      <c r="CL417" s="44" t="str">
        <f t="shared" si="430"/>
        <v/>
      </c>
      <c r="CM417" s="44" t="str">
        <f t="shared" si="431"/>
        <v/>
      </c>
      <c r="CN417" s="44" t="str">
        <f t="shared" si="432"/>
        <v/>
      </c>
      <c r="CO417" s="44" t="str">
        <f t="shared" si="433"/>
        <v/>
      </c>
      <c r="CP417" s="44" t="str">
        <f t="shared" si="434"/>
        <v/>
      </c>
      <c r="CQ417" s="44" t="str">
        <f t="shared" si="435"/>
        <v/>
      </c>
      <c r="CR417" s="44" t="str">
        <f t="shared" si="436"/>
        <v/>
      </c>
      <c r="CS417" s="44" t="str">
        <f t="shared" si="437"/>
        <v/>
      </c>
      <c r="CT417" s="44" t="str">
        <f t="shared" si="438"/>
        <v/>
      </c>
      <c r="CV417" s="44">
        <f t="shared" si="439"/>
        <v>0</v>
      </c>
    </row>
    <row r="418" spans="1:100" x14ac:dyDescent="0.25">
      <c r="A418" s="41"/>
      <c r="B418" s="42"/>
      <c r="C418" s="43" t="str" cm="1">
        <f t="array" ref="C418">IF(B418="","",INDEX(UWS!$B$10:$B$41,B418))</f>
        <v/>
      </c>
      <c r="D418" s="40" t="str">
        <f t="shared" si="396"/>
        <v/>
      </c>
      <c r="E418" s="69" t="str">
        <f t="shared" si="397"/>
        <v/>
      </c>
      <c r="F418" s="48" cm="1">
        <f t="array" ref="F418">0.1+IFERROR(INDEX($F$5:$F417,SUMPRODUCT(MAX(ROW($C$5:$C417)*($C418=$C$5:$C417))-ROW($A$4)))*0.9^($A418-INDEX($A$5:A417,SUMPRODUCT(MAX(ROW($C$5:$C417)*($C418=$C$5:$C417))-ROW($A$4)))),0)</f>
        <v>35.300000000000232</v>
      </c>
      <c r="G418" s="55" t="e">
        <f>INDEX(UWS!$AB$10:$AB$41,MATCH(C418,UWS!$B$10:$B$41,0))</f>
        <v>#N/A</v>
      </c>
      <c r="H418" s="48" t="e">
        <f>INDEX(UWS!$C$10:$C$41,MATCH(C418,UWS!$B$10:$B$41,0))</f>
        <v>#N/A</v>
      </c>
      <c r="I418" s="27">
        <f t="shared" si="398"/>
        <v>5</v>
      </c>
      <c r="J418" s="27" t="e">
        <f>INDEX(UWS!$E$10:$E$41,MATCH(C418,UWS!$B$10:$B$41,0))</f>
        <v>#N/A</v>
      </c>
      <c r="L418" s="108" t="str" cm="1">
        <f t="array" ref="L418">IF(K418="","",INDEX(UWS!$B$10:$B$41,K418))</f>
        <v/>
      </c>
      <c r="N418" s="108" t="str" cm="1">
        <f t="array" ref="N418">IF(M418="","",INDEX(UWS!$B$10:$B$41,M418))</f>
        <v/>
      </c>
      <c r="P418">
        <f>IFERROR(INDEX(UWS!$G$10:$Z$41,MATCH($C418,UWS!$B$10:$B$41,0),MATCH(P$4,UWS!$G$3:$Z$3,0)),0)</f>
        <v>0</v>
      </c>
      <c r="Q418">
        <f>IFERROR(INDEX(UWS!$G$10:$Z$41,MATCH($C418,UWS!$B$10:$B$41,0),MATCH(Q$4,UWS!$G$3:$Z$3,0)),0)</f>
        <v>0</v>
      </c>
      <c r="R418">
        <f>IFERROR(INDEX(UWS!$G$10:$Z$41,MATCH($C418,UWS!$B$10:$B$41,0),MATCH(R$4,UWS!$G$3:$Z$3,0)),0)</f>
        <v>0</v>
      </c>
      <c r="S418">
        <f>IFERROR(INDEX(UWS!$G$10:$Z$41,MATCH($C418,UWS!$B$10:$B$41,0),MATCH(S$4,UWS!$G$3:$Z$3,0)),0)</f>
        <v>0</v>
      </c>
      <c r="T418">
        <f>IFERROR(INDEX(UWS!$G$10:$Z$41,MATCH($C418,UWS!$B$10:$B$41,0),MATCH(T$4,UWS!$G$3:$Z$3,0)),0)</f>
        <v>0</v>
      </c>
      <c r="U418">
        <f>IFERROR(INDEX(UWS!$G$10:$Z$41,MATCH($C418,UWS!$B$10:$B$41,0),MATCH(U$4,UWS!$G$3:$Z$3,0)),0)</f>
        <v>0</v>
      </c>
      <c r="V418">
        <f>IFERROR(INDEX(UWS!$G$10:$Z$41,MATCH($C418,UWS!$B$10:$B$41,0),MATCH(V$4,UWS!$G$3:$Z$3,0)),0)</f>
        <v>0</v>
      </c>
      <c r="W418">
        <f>IFERROR(INDEX(UWS!$G$10:$Z$41,MATCH($C418,UWS!$B$10:$B$41,0),MATCH(W$4,UWS!$G$3:$Z$3,0)),0)</f>
        <v>0</v>
      </c>
      <c r="X418">
        <f>IFERROR(INDEX(UWS!$G$10:$Z$41,MATCH($C418,UWS!$B$10:$B$41,0),MATCH(X$4,UWS!$G$3:$Z$3,0)),0)</f>
        <v>0</v>
      </c>
      <c r="Y418">
        <f>IFERROR(INDEX(UWS!$G$10:$Z$41,MATCH($C418,UWS!$B$10:$B$41,0),MATCH(Y$4,UWS!$G$3:$Z$3,0)),0)</f>
        <v>0</v>
      </c>
      <c r="Z418">
        <f>IFERROR(INDEX(UWS!$G$10:$Z$41,MATCH($C418,UWS!$B$10:$B$41,0),MATCH(Z$4,UWS!$G$3:$Z$3,0)),0)</f>
        <v>0</v>
      </c>
      <c r="AA418">
        <f>IFERROR(INDEX(UWS!$G$10:$Z$41,MATCH($C418,UWS!$B$10:$B$41,0),MATCH(AA$4,UWS!$G$3:$Z$3,0)),0)</f>
        <v>0</v>
      </c>
      <c r="AB418">
        <f>IFERROR(INDEX(UWS!$G$10:$Z$41,MATCH($C418,UWS!$B$10:$B$41,0),MATCH(AB$4,UWS!$G$3:$Z$3,0)),0)</f>
        <v>0</v>
      </c>
      <c r="AC418">
        <f>IFERROR(INDEX(UWS!$G$10:$Z$41,MATCH($C418,UWS!$B$10:$B$41,0),MATCH(AC$4,UWS!$G$3:$Z$3,0)),0)</f>
        <v>0</v>
      </c>
      <c r="AD418">
        <f>IFERROR(INDEX(UWS!$G$10:$Z$41,MATCH($C418,UWS!$B$10:$B$41,0),MATCH(AD$4,UWS!$G$3:$Z$3,0)),0)</f>
        <v>0</v>
      </c>
      <c r="AE418">
        <f>IFERROR(INDEX(UWS!$G$10:$Z$41,MATCH($C418,UWS!$B$10:$B$41,0),MATCH(AE$4,UWS!$G$3:$Z$3,0)),0)</f>
        <v>0</v>
      </c>
      <c r="AF418">
        <f>IFERROR(INDEX(UWS!$G$10:$Z$41,MATCH($C418,UWS!$B$10:$B$41,0),MATCH(AF$4,UWS!$G$3:$Z$3,0)),0)</f>
        <v>0</v>
      </c>
      <c r="AG418">
        <f>IFERROR(INDEX(UWS!$G$10:$Z$41,MATCH($C418,UWS!$B$10:$B$41,0),MATCH(AG$4,UWS!$G$3:$Z$3,0)),0)</f>
        <v>0</v>
      </c>
      <c r="AH418">
        <f>IFERROR(INDEX(UWS!$G$10:$Z$41,MATCH($C418,UWS!$B$10:$B$41,0),MATCH(AH$4,UWS!$G$3:$Z$3,0)),0)</f>
        <v>0</v>
      </c>
      <c r="AI418">
        <f>IFERROR(INDEX(UWS!$G$10:$Z$41,MATCH($C418,UWS!$B$10:$B$41,0),MATCH(AI$4,UWS!$G$3:$Z$3,0)),0)</f>
        <v>0</v>
      </c>
      <c r="AK418" t="e">
        <f>IF(OR($J418=0,COUNTIFS($A$4:$A417,"&gt;="&amp;$A418-1,$A$4:$A417,"&lt;="&amp;$A418,$B$4:$B417,$B418)&gt;0,MIN(AK$1,IF($A418=$A417,AK417,1))-P418&lt;0),-1,MIN(1,IF($A418=$A417,AK417,1)-P418+$D$3))</f>
        <v>#N/A</v>
      </c>
      <c r="AL418" t="e">
        <f>IF(OR($J418=0,COUNTIFS($A$4:$A417,"&gt;="&amp;$A418-1,$A$4:$A417,"&lt;="&amp;$A418,$B$4:$B417,$B418)&gt;0,MIN(AL$1,IF($A418=$A417,AL417,1))-Q418&lt;0),-1,MIN(1,IF($A418=$A417,AL417,1)-Q418+$D$3))</f>
        <v>#N/A</v>
      </c>
      <c r="AM418" t="e">
        <f>IF(OR($J418=0,COUNTIFS($A$4:$A417,"&gt;="&amp;$A418-1,$A$4:$A417,"&lt;="&amp;$A418,$B$4:$B417,$B418)&gt;0,MIN(AM$1,IF($A418=$A417,AM417,1))-R418&lt;0),-1,MIN(1,IF($A418=$A417,AM417,1)-R418+$D$3))</f>
        <v>#N/A</v>
      </c>
      <c r="AN418" t="e">
        <f>IF(OR($J418=0,COUNTIFS($A$4:$A417,"&gt;="&amp;$A418-1,$A$4:$A417,"&lt;="&amp;$A418,$B$4:$B417,$B418)&gt;0,MIN(AN$1,IF($A418=$A417,AN417,1))-S418&lt;0),-1,MIN(1,IF($A418=$A417,AN417,1)-S418+$D$3))</f>
        <v>#N/A</v>
      </c>
      <c r="AO418" t="e">
        <f>IF(OR($J418=0,COUNTIFS($A$4:$A417,"&gt;="&amp;$A418-1,$A$4:$A417,"&lt;="&amp;$A418,$B$4:$B417,$B418)&gt;0,MIN(AO$1,IF($A418=$A417,AO417,1))-T418&lt;0),-1,MIN(1,IF($A418=$A417,AO417,1)-T418+$D$3))</f>
        <v>#N/A</v>
      </c>
      <c r="AP418" t="e">
        <f>IF(OR($J418=0,COUNTIFS($A$4:$A417,"&gt;="&amp;$A418-1,$A$4:$A417,"&lt;="&amp;$A418,$B$4:$B417,$B418)&gt;0,MIN(AP$1,IF($A418=$A417,AP417,1))-U418&lt;0),-1,MIN(1,IF($A418=$A417,AP417,1)-U418+$D$3))</f>
        <v>#N/A</v>
      </c>
      <c r="AQ418" t="e">
        <f>IF(OR($J418=0,COUNTIFS($A$4:$A417,"&gt;="&amp;$A418-1,$A$4:$A417,"&lt;="&amp;$A418,$B$4:$B417,$B418)&gt;0,MIN(AQ$1,IF($A418=$A417,AQ417,1))-V418&lt;0),-1,MIN(1,IF($A418=$A417,AQ417,1)-V418+$D$3))</f>
        <v>#N/A</v>
      </c>
      <c r="AR418" t="e">
        <f>IF(OR($J418=0,COUNTIFS($A$4:$A417,"&gt;="&amp;$A418-1,$A$4:$A417,"&lt;="&amp;$A418,$B$4:$B417,$B418)&gt;0,MIN(AR$1,IF($A418=$A417,AR417,1))-W418&lt;0),-1,MIN(1,IF($A418=$A417,AR417,1)-W418+$D$3))</f>
        <v>#N/A</v>
      </c>
      <c r="AS418" t="e">
        <f>IF(OR($J418=0,COUNTIFS($A$4:$A417,"&gt;="&amp;$A418-1,$A$4:$A417,"&lt;="&amp;$A418,$B$4:$B417,$B418)&gt;0,MIN(AS$1,IF($A418=$A417,AS417,1))-X418&lt;0),-1,MIN(1,IF($A418=$A417,AS417,1)-X418+$D$3))</f>
        <v>#N/A</v>
      </c>
      <c r="AT418" t="e">
        <f>IF(OR($J418=0,COUNTIFS($A$4:$A417,"&gt;="&amp;$A418-1,$A$4:$A417,"&lt;="&amp;$A418,$B$4:$B417,$B418)&gt;0,MIN(AT$1,IF($A418=$A417,AT417,1))-Y418&lt;0),-1,MIN(1,IF($A418=$A417,AT417,1)-Y418+$D$3))</f>
        <v>#N/A</v>
      </c>
      <c r="AU418" t="e">
        <f>IF(OR($J418=0,COUNTIFS($A$4:$A417,"&gt;="&amp;$A418-1,$A$4:$A417,"&lt;="&amp;$A418,$B$4:$B417,$B418)&gt;0,MIN(AU$1,IF($A418=$A417,AU417,1))-Z418&lt;0),-1,MIN(1,IF($A418=$A417,AU417,1)-Z418+$D$3))</f>
        <v>#N/A</v>
      </c>
      <c r="AV418" t="e">
        <f>IF(OR($J418=0,COUNTIFS($A$4:$A417,"&gt;="&amp;$A418-1,$A$4:$A417,"&lt;="&amp;$A418,$B$4:$B417,$B418)&gt;0,MIN(AV$1,IF($A418=$A417,AV417,1))-AA418&lt;0),-1,MIN(1,IF($A418=$A417,AV417,1)-AA418+$D$3))</f>
        <v>#N/A</v>
      </c>
      <c r="AW418" t="e">
        <f>IF(OR($J418=0,COUNTIFS($A$4:$A417,"&gt;="&amp;$A418-1,$A$4:$A417,"&lt;="&amp;$A418,$B$4:$B417,$B418)&gt;0,MIN(AW$1,IF($A418=$A417,AW417,1))-AB418&lt;0),-1,MIN(1,IF($A418=$A417,AW417,1)-AB418+$D$3))</f>
        <v>#N/A</v>
      </c>
      <c r="AX418" t="e">
        <f>IF(OR($J418=0,COUNTIFS($A$4:$A417,"&gt;="&amp;$A418-1,$A$4:$A417,"&lt;="&amp;$A418,$B$4:$B417,$B418)&gt;0,MIN(AX$1,IF($A418=$A417,AX417,1))-AC418&lt;0),-1,MIN(1,IF($A418=$A417,AX417,1)-AC418+$D$3))</f>
        <v>#N/A</v>
      </c>
      <c r="AY418" t="e">
        <f>IF(OR($J418=0,COUNTIFS($A$4:$A417,"&gt;="&amp;$A418-1,$A$4:$A417,"&lt;="&amp;$A418,$B$4:$B417,$B418)&gt;0,MIN(AY$1,IF($A418=$A417,AY417,1))-AD418&lt;0),-1,MIN(1,IF($A418=$A417,AY417,1)-AD418+$D$3))</f>
        <v>#N/A</v>
      </c>
      <c r="AZ418" t="e">
        <f>IF(OR($J418=0,COUNTIFS($A$4:$A417,"&gt;="&amp;$A418-1,$A$4:$A417,"&lt;="&amp;$A418,$B$4:$B417,$B418)&gt;0,MIN(AZ$1,IF($A418=$A417,AZ417,1))-AE418&lt;0),-1,MIN(1,IF($A418=$A417,AZ417,1)-AE418+$D$3))</f>
        <v>#N/A</v>
      </c>
      <c r="BA418" t="e">
        <f>IF(OR($J418=0,COUNTIFS($A$4:$A417,"&gt;="&amp;$A418-1,$A$4:$A417,"&lt;="&amp;$A418,$B$4:$B417,$B418)&gt;0,MIN(BA$1,IF($A418=$A417,BA417,1))-AF418&lt;0),-1,MIN(1,IF($A418=$A417,BA417,1)-AF418+$D$3))</f>
        <v>#N/A</v>
      </c>
      <c r="BB418" t="e">
        <f>IF(OR($J418=0,COUNTIFS($A$4:$A417,"&gt;="&amp;$A418-1,$A$4:$A417,"&lt;="&amp;$A418,$B$4:$B417,$B418)&gt;0,MIN(BB$1,IF($A418=$A417,BB417,1))-AG418&lt;0),-1,MIN(1,IF($A418=$A417,BB417,1)-AG418+$D$3))</f>
        <v>#N/A</v>
      </c>
      <c r="BC418" t="e">
        <f>IF(OR($J418=0,COUNTIFS($A$4:$A417,"&gt;="&amp;$A418-1,$A$4:$A417,"&lt;="&amp;$A418,$B$4:$B417,$B418)&gt;0,MIN(BC$1,IF($A418=$A417,BC417,1))-AH418&lt;0),-1,MIN(1,IF($A418=$A417,BC417,1)-AH418+$D$3))</f>
        <v>#N/A</v>
      </c>
      <c r="BD418" t="e">
        <f>IF(OR($J418=0,COUNTIFS($A$4:$A417,"&gt;="&amp;$A418-1,$A$4:$A417,"&lt;="&amp;$A418,$B$4:$B417,$B418)&gt;0,MIN(BD$1,IF($A418=$A417,BD417,1))-AI418&lt;0),-1,MIN(1,IF($A418=$A417,BD417,1)-AI418+$D$3))</f>
        <v>#N/A</v>
      </c>
      <c r="BF418" s="44">
        <f t="shared" si="399"/>
        <v>1.2702186451988013E-9</v>
      </c>
      <c r="BG418" s="44">
        <f t="shared" si="400"/>
        <v>3.1238260804434055E-9</v>
      </c>
      <c r="BH418" s="44">
        <f t="shared" si="401"/>
        <v>3.2015931381319526E-9</v>
      </c>
      <c r="BI418" s="44">
        <f t="shared" si="402"/>
        <v>2.9573831748217837E-9</v>
      </c>
      <c r="BJ418" s="44">
        <f t="shared" si="403"/>
        <v>3.0567362731885001E-9</v>
      </c>
      <c r="BK418" s="44">
        <f t="shared" si="404"/>
        <v>1.3126765259344281E-9</v>
      </c>
      <c r="BL418" s="44">
        <f t="shared" si="405"/>
        <v>7.0912851085446309E-10</v>
      </c>
      <c r="BM418" s="44">
        <f t="shared" si="406"/>
        <v>1.8039401231065442E-9</v>
      </c>
      <c r="BN418" s="44">
        <f t="shared" si="407"/>
        <v>1.8762383187918251E-9</v>
      </c>
      <c r="BO418" s="44">
        <f t="shared" si="408"/>
        <v>8.7927647125852447E-10</v>
      </c>
      <c r="BP418" s="44">
        <f t="shared" si="409"/>
        <v>2.9565475441525404E-9</v>
      </c>
      <c r="BQ418" s="44">
        <f t="shared" si="410"/>
        <v>7.9784979496656475E-10</v>
      </c>
      <c r="BR418" s="44">
        <f t="shared" si="411"/>
        <v>2.3570480170216478E-9</v>
      </c>
      <c r="BS418" s="44">
        <f t="shared" si="412"/>
        <v>1.2711872738752877E-9</v>
      </c>
      <c r="BT418" s="44">
        <f t="shared" si="413"/>
        <v>5.0304777588033816E-9</v>
      </c>
      <c r="BU418" s="44">
        <f t="shared" si="414"/>
        <v>4.8056199882694736E-9</v>
      </c>
      <c r="BV418" s="44">
        <f t="shared" si="415"/>
        <v>4.6151584462855483E-9</v>
      </c>
      <c r="BW418" s="44">
        <f t="shared" si="416"/>
        <v>3.0185675979655897E-9</v>
      </c>
      <c r="BX418" s="44">
        <f t="shared" si="417"/>
        <v>2.2300629264463697E-9</v>
      </c>
      <c r="BY418" s="44">
        <f t="shared" si="418"/>
        <v>1.9147653389835107E-9</v>
      </c>
      <c r="CA418" s="44" t="str">
        <f t="shared" si="419"/>
        <v/>
      </c>
      <c r="CB418" s="44" t="str">
        <f t="shared" si="420"/>
        <v/>
      </c>
      <c r="CC418" s="44" t="str">
        <f t="shared" si="421"/>
        <v/>
      </c>
      <c r="CD418" s="44" t="str">
        <f t="shared" si="422"/>
        <v/>
      </c>
      <c r="CE418" s="44" t="str">
        <f t="shared" si="423"/>
        <v/>
      </c>
      <c r="CF418" s="44" t="str">
        <f t="shared" si="424"/>
        <v/>
      </c>
      <c r="CG418" s="44" t="str">
        <f t="shared" si="425"/>
        <v/>
      </c>
      <c r="CH418" s="44" t="str">
        <f t="shared" si="426"/>
        <v/>
      </c>
      <c r="CI418" s="44" t="str">
        <f t="shared" si="427"/>
        <v/>
      </c>
      <c r="CJ418" s="44" t="str">
        <f t="shared" si="428"/>
        <v/>
      </c>
      <c r="CK418" s="44" t="str">
        <f t="shared" si="429"/>
        <v/>
      </c>
      <c r="CL418" s="44" t="str">
        <f t="shared" si="430"/>
        <v/>
      </c>
      <c r="CM418" s="44" t="str">
        <f t="shared" si="431"/>
        <v/>
      </c>
      <c r="CN418" s="44" t="str">
        <f t="shared" si="432"/>
        <v/>
      </c>
      <c r="CO418" s="44" t="str">
        <f t="shared" si="433"/>
        <v/>
      </c>
      <c r="CP418" s="44" t="str">
        <f t="shared" si="434"/>
        <v/>
      </c>
      <c r="CQ418" s="44" t="str">
        <f t="shared" si="435"/>
        <v/>
      </c>
      <c r="CR418" s="44" t="str">
        <f t="shared" si="436"/>
        <v/>
      </c>
      <c r="CS418" s="44" t="str">
        <f t="shared" si="437"/>
        <v/>
      </c>
      <c r="CT418" s="44" t="str">
        <f t="shared" si="438"/>
        <v/>
      </c>
      <c r="CV418" s="44">
        <f t="shared" si="439"/>
        <v>0</v>
      </c>
    </row>
    <row r="419" spans="1:100" x14ac:dyDescent="0.25">
      <c r="A419" s="41"/>
      <c r="B419" s="42"/>
      <c r="C419" s="43" t="str" cm="1">
        <f t="array" ref="C419">IF(B419="","",INDEX(UWS!$B$10:$B$41,B419))</f>
        <v/>
      </c>
      <c r="D419" s="40" t="str">
        <f t="shared" si="396"/>
        <v/>
      </c>
      <c r="E419" s="69" t="str">
        <f t="shared" si="397"/>
        <v/>
      </c>
      <c r="F419" s="48" cm="1">
        <f t="array" ref="F419">0.1+IFERROR(INDEX($F$5:$F418,SUMPRODUCT(MAX(ROW($C$5:$C418)*($C419=$C$5:$C418))-ROW($A$4)))*0.9^($A419-INDEX($A$5:A418,SUMPRODUCT(MAX(ROW($C$5:$C418)*($C419=$C$5:$C418))-ROW($A$4)))),0)</f>
        <v>35.400000000000233</v>
      </c>
      <c r="G419" s="55" t="e">
        <f>INDEX(UWS!$AB$10:$AB$41,MATCH(C419,UWS!$B$10:$B$41,0))</f>
        <v>#N/A</v>
      </c>
      <c r="H419" s="48" t="e">
        <f>INDEX(UWS!$C$10:$C$41,MATCH(C419,UWS!$B$10:$B$41,0))</f>
        <v>#N/A</v>
      </c>
      <c r="I419" s="27">
        <f t="shared" si="398"/>
        <v>5</v>
      </c>
      <c r="J419" s="27" t="e">
        <f>INDEX(UWS!$E$10:$E$41,MATCH(C419,UWS!$B$10:$B$41,0))</f>
        <v>#N/A</v>
      </c>
      <c r="L419" s="108" t="str" cm="1">
        <f t="array" ref="L419">IF(K419="","",INDEX(UWS!$B$10:$B$41,K419))</f>
        <v/>
      </c>
      <c r="N419" s="108" t="str" cm="1">
        <f t="array" ref="N419">IF(M419="","",INDEX(UWS!$B$10:$B$41,M419))</f>
        <v/>
      </c>
      <c r="P419">
        <f>IFERROR(INDEX(UWS!$G$10:$Z$41,MATCH($C419,UWS!$B$10:$B$41,0),MATCH(P$4,UWS!$G$3:$Z$3,0)),0)</f>
        <v>0</v>
      </c>
      <c r="Q419">
        <f>IFERROR(INDEX(UWS!$G$10:$Z$41,MATCH($C419,UWS!$B$10:$B$41,0),MATCH(Q$4,UWS!$G$3:$Z$3,0)),0)</f>
        <v>0</v>
      </c>
      <c r="R419">
        <f>IFERROR(INDEX(UWS!$G$10:$Z$41,MATCH($C419,UWS!$B$10:$B$41,0),MATCH(R$4,UWS!$G$3:$Z$3,0)),0)</f>
        <v>0</v>
      </c>
      <c r="S419">
        <f>IFERROR(INDEX(UWS!$G$10:$Z$41,MATCH($C419,UWS!$B$10:$B$41,0),MATCH(S$4,UWS!$G$3:$Z$3,0)),0)</f>
        <v>0</v>
      </c>
      <c r="T419">
        <f>IFERROR(INDEX(UWS!$G$10:$Z$41,MATCH($C419,UWS!$B$10:$B$41,0),MATCH(T$4,UWS!$G$3:$Z$3,0)),0)</f>
        <v>0</v>
      </c>
      <c r="U419">
        <f>IFERROR(INDEX(UWS!$G$10:$Z$41,MATCH($C419,UWS!$B$10:$B$41,0),MATCH(U$4,UWS!$G$3:$Z$3,0)),0)</f>
        <v>0</v>
      </c>
      <c r="V419">
        <f>IFERROR(INDEX(UWS!$G$10:$Z$41,MATCH($C419,UWS!$B$10:$B$41,0),MATCH(V$4,UWS!$G$3:$Z$3,0)),0)</f>
        <v>0</v>
      </c>
      <c r="W419">
        <f>IFERROR(INDEX(UWS!$G$10:$Z$41,MATCH($C419,UWS!$B$10:$B$41,0),MATCH(W$4,UWS!$G$3:$Z$3,0)),0)</f>
        <v>0</v>
      </c>
      <c r="X419">
        <f>IFERROR(INDEX(UWS!$G$10:$Z$41,MATCH($C419,UWS!$B$10:$B$41,0),MATCH(X$4,UWS!$G$3:$Z$3,0)),0)</f>
        <v>0</v>
      </c>
      <c r="Y419">
        <f>IFERROR(INDEX(UWS!$G$10:$Z$41,MATCH($C419,UWS!$B$10:$B$41,0),MATCH(Y$4,UWS!$G$3:$Z$3,0)),0)</f>
        <v>0</v>
      </c>
      <c r="Z419">
        <f>IFERROR(INDEX(UWS!$G$10:$Z$41,MATCH($C419,UWS!$B$10:$B$41,0),MATCH(Z$4,UWS!$G$3:$Z$3,0)),0)</f>
        <v>0</v>
      </c>
      <c r="AA419">
        <f>IFERROR(INDEX(UWS!$G$10:$Z$41,MATCH($C419,UWS!$B$10:$B$41,0),MATCH(AA$4,UWS!$G$3:$Z$3,0)),0)</f>
        <v>0</v>
      </c>
      <c r="AB419">
        <f>IFERROR(INDEX(UWS!$G$10:$Z$41,MATCH($C419,UWS!$B$10:$B$41,0),MATCH(AB$4,UWS!$G$3:$Z$3,0)),0)</f>
        <v>0</v>
      </c>
      <c r="AC419">
        <f>IFERROR(INDEX(UWS!$G$10:$Z$41,MATCH($C419,UWS!$B$10:$B$41,0),MATCH(AC$4,UWS!$G$3:$Z$3,0)),0)</f>
        <v>0</v>
      </c>
      <c r="AD419">
        <f>IFERROR(INDEX(UWS!$G$10:$Z$41,MATCH($C419,UWS!$B$10:$B$41,0),MATCH(AD$4,UWS!$G$3:$Z$3,0)),0)</f>
        <v>0</v>
      </c>
      <c r="AE419">
        <f>IFERROR(INDEX(UWS!$G$10:$Z$41,MATCH($C419,UWS!$B$10:$B$41,0),MATCH(AE$4,UWS!$G$3:$Z$3,0)),0)</f>
        <v>0</v>
      </c>
      <c r="AF419">
        <f>IFERROR(INDEX(UWS!$G$10:$Z$41,MATCH($C419,UWS!$B$10:$B$41,0),MATCH(AF$4,UWS!$G$3:$Z$3,0)),0)</f>
        <v>0</v>
      </c>
      <c r="AG419">
        <f>IFERROR(INDEX(UWS!$G$10:$Z$41,MATCH($C419,UWS!$B$10:$B$41,0),MATCH(AG$4,UWS!$G$3:$Z$3,0)),0)</f>
        <v>0</v>
      </c>
      <c r="AH419">
        <f>IFERROR(INDEX(UWS!$G$10:$Z$41,MATCH($C419,UWS!$B$10:$B$41,0),MATCH(AH$4,UWS!$G$3:$Z$3,0)),0)</f>
        <v>0</v>
      </c>
      <c r="AI419">
        <f>IFERROR(INDEX(UWS!$G$10:$Z$41,MATCH($C419,UWS!$B$10:$B$41,0),MATCH(AI$4,UWS!$G$3:$Z$3,0)),0)</f>
        <v>0</v>
      </c>
      <c r="AK419" t="e">
        <f>IF(OR($J419=0,COUNTIFS($A$4:$A418,"&gt;="&amp;$A419-1,$A$4:$A418,"&lt;="&amp;$A419,$B$4:$B418,$B419)&gt;0,MIN(AK$1,IF($A419=$A418,AK418,1))-P419&lt;0),-1,MIN(1,IF($A419=$A418,AK418,1)-P419+$D$3))</f>
        <v>#N/A</v>
      </c>
      <c r="AL419" t="e">
        <f>IF(OR($J419=0,COUNTIFS($A$4:$A418,"&gt;="&amp;$A419-1,$A$4:$A418,"&lt;="&amp;$A419,$B$4:$B418,$B419)&gt;0,MIN(AL$1,IF($A419=$A418,AL418,1))-Q419&lt;0),-1,MIN(1,IF($A419=$A418,AL418,1)-Q419+$D$3))</f>
        <v>#N/A</v>
      </c>
      <c r="AM419" t="e">
        <f>IF(OR($J419=0,COUNTIFS($A$4:$A418,"&gt;="&amp;$A419-1,$A$4:$A418,"&lt;="&amp;$A419,$B$4:$B418,$B419)&gt;0,MIN(AM$1,IF($A419=$A418,AM418,1))-R419&lt;0),-1,MIN(1,IF($A419=$A418,AM418,1)-R419+$D$3))</f>
        <v>#N/A</v>
      </c>
      <c r="AN419" t="e">
        <f>IF(OR($J419=0,COUNTIFS($A$4:$A418,"&gt;="&amp;$A419-1,$A$4:$A418,"&lt;="&amp;$A419,$B$4:$B418,$B419)&gt;0,MIN(AN$1,IF($A419=$A418,AN418,1))-S419&lt;0),-1,MIN(1,IF($A419=$A418,AN418,1)-S419+$D$3))</f>
        <v>#N/A</v>
      </c>
      <c r="AO419" t="e">
        <f>IF(OR($J419=0,COUNTIFS($A$4:$A418,"&gt;="&amp;$A419-1,$A$4:$A418,"&lt;="&amp;$A419,$B$4:$B418,$B419)&gt;0,MIN(AO$1,IF($A419=$A418,AO418,1))-T419&lt;0),-1,MIN(1,IF($A419=$A418,AO418,1)-T419+$D$3))</f>
        <v>#N/A</v>
      </c>
      <c r="AP419" t="e">
        <f>IF(OR($J419=0,COUNTIFS($A$4:$A418,"&gt;="&amp;$A419-1,$A$4:$A418,"&lt;="&amp;$A419,$B$4:$B418,$B419)&gt;0,MIN(AP$1,IF($A419=$A418,AP418,1))-U419&lt;0),-1,MIN(1,IF($A419=$A418,AP418,1)-U419+$D$3))</f>
        <v>#N/A</v>
      </c>
      <c r="AQ419" t="e">
        <f>IF(OR($J419=0,COUNTIFS($A$4:$A418,"&gt;="&amp;$A419-1,$A$4:$A418,"&lt;="&amp;$A419,$B$4:$B418,$B419)&gt;0,MIN(AQ$1,IF($A419=$A418,AQ418,1))-V419&lt;0),-1,MIN(1,IF($A419=$A418,AQ418,1)-V419+$D$3))</f>
        <v>#N/A</v>
      </c>
      <c r="AR419" t="e">
        <f>IF(OR($J419=0,COUNTIFS($A$4:$A418,"&gt;="&amp;$A419-1,$A$4:$A418,"&lt;="&amp;$A419,$B$4:$B418,$B419)&gt;0,MIN(AR$1,IF($A419=$A418,AR418,1))-W419&lt;0),-1,MIN(1,IF($A419=$A418,AR418,1)-W419+$D$3))</f>
        <v>#N/A</v>
      </c>
      <c r="AS419" t="e">
        <f>IF(OR($J419=0,COUNTIFS($A$4:$A418,"&gt;="&amp;$A419-1,$A$4:$A418,"&lt;="&amp;$A419,$B$4:$B418,$B419)&gt;0,MIN(AS$1,IF($A419=$A418,AS418,1))-X419&lt;0),-1,MIN(1,IF($A419=$A418,AS418,1)-X419+$D$3))</f>
        <v>#N/A</v>
      </c>
      <c r="AT419" t="e">
        <f>IF(OR($J419=0,COUNTIFS($A$4:$A418,"&gt;="&amp;$A419-1,$A$4:$A418,"&lt;="&amp;$A419,$B$4:$B418,$B419)&gt;0,MIN(AT$1,IF($A419=$A418,AT418,1))-Y419&lt;0),-1,MIN(1,IF($A419=$A418,AT418,1)-Y419+$D$3))</f>
        <v>#N/A</v>
      </c>
      <c r="AU419" t="e">
        <f>IF(OR($J419=0,COUNTIFS($A$4:$A418,"&gt;="&amp;$A419-1,$A$4:$A418,"&lt;="&amp;$A419,$B$4:$B418,$B419)&gt;0,MIN(AU$1,IF($A419=$A418,AU418,1))-Z419&lt;0),-1,MIN(1,IF($A419=$A418,AU418,1)-Z419+$D$3))</f>
        <v>#N/A</v>
      </c>
      <c r="AV419" t="e">
        <f>IF(OR($J419=0,COUNTIFS($A$4:$A418,"&gt;="&amp;$A419-1,$A$4:$A418,"&lt;="&amp;$A419,$B$4:$B418,$B419)&gt;0,MIN(AV$1,IF($A419=$A418,AV418,1))-AA419&lt;0),-1,MIN(1,IF($A419=$A418,AV418,1)-AA419+$D$3))</f>
        <v>#N/A</v>
      </c>
      <c r="AW419" t="e">
        <f>IF(OR($J419=0,COUNTIFS($A$4:$A418,"&gt;="&amp;$A419-1,$A$4:$A418,"&lt;="&amp;$A419,$B$4:$B418,$B419)&gt;0,MIN(AW$1,IF($A419=$A418,AW418,1))-AB419&lt;0),-1,MIN(1,IF($A419=$A418,AW418,1)-AB419+$D$3))</f>
        <v>#N/A</v>
      </c>
      <c r="AX419" t="e">
        <f>IF(OR($J419=0,COUNTIFS($A$4:$A418,"&gt;="&amp;$A419-1,$A$4:$A418,"&lt;="&amp;$A419,$B$4:$B418,$B419)&gt;0,MIN(AX$1,IF($A419=$A418,AX418,1))-AC419&lt;0),-1,MIN(1,IF($A419=$A418,AX418,1)-AC419+$D$3))</f>
        <v>#N/A</v>
      </c>
      <c r="AY419" t="e">
        <f>IF(OR($J419=0,COUNTIFS($A$4:$A418,"&gt;="&amp;$A419-1,$A$4:$A418,"&lt;="&amp;$A419,$B$4:$B418,$B419)&gt;0,MIN(AY$1,IF($A419=$A418,AY418,1))-AD419&lt;0),-1,MIN(1,IF($A419=$A418,AY418,1)-AD419+$D$3))</f>
        <v>#N/A</v>
      </c>
      <c r="AZ419" t="e">
        <f>IF(OR($J419=0,COUNTIFS($A$4:$A418,"&gt;="&amp;$A419-1,$A$4:$A418,"&lt;="&amp;$A419,$B$4:$B418,$B419)&gt;0,MIN(AZ$1,IF($A419=$A418,AZ418,1))-AE419&lt;0),-1,MIN(1,IF($A419=$A418,AZ418,1)-AE419+$D$3))</f>
        <v>#N/A</v>
      </c>
      <c r="BA419" t="e">
        <f>IF(OR($J419=0,COUNTIFS($A$4:$A418,"&gt;="&amp;$A419-1,$A$4:$A418,"&lt;="&amp;$A419,$B$4:$B418,$B419)&gt;0,MIN(BA$1,IF($A419=$A418,BA418,1))-AF419&lt;0),-1,MIN(1,IF($A419=$A418,BA418,1)-AF419+$D$3))</f>
        <v>#N/A</v>
      </c>
      <c r="BB419" t="e">
        <f>IF(OR($J419=0,COUNTIFS($A$4:$A418,"&gt;="&amp;$A419-1,$A$4:$A418,"&lt;="&amp;$A419,$B$4:$B418,$B419)&gt;0,MIN(BB$1,IF($A419=$A418,BB418,1))-AG419&lt;0),-1,MIN(1,IF($A419=$A418,BB418,1)-AG419+$D$3))</f>
        <v>#N/A</v>
      </c>
      <c r="BC419" t="e">
        <f>IF(OR($J419=0,COUNTIFS($A$4:$A418,"&gt;="&amp;$A419-1,$A$4:$A418,"&lt;="&amp;$A419,$B$4:$B418,$B419)&gt;0,MIN(BC$1,IF($A419=$A418,BC418,1))-AH419&lt;0),-1,MIN(1,IF($A419=$A418,BC418,1)-AH419+$D$3))</f>
        <v>#N/A</v>
      </c>
      <c r="BD419" t="e">
        <f>IF(OR($J419=0,COUNTIFS($A$4:$A418,"&gt;="&amp;$A419-1,$A$4:$A418,"&lt;="&amp;$A419,$B$4:$B418,$B419)&gt;0,MIN(BD$1,IF($A419=$A418,BD418,1))-AI419&lt;0),-1,MIN(1,IF($A419=$A418,BD418,1)-AI419+$D$3))</f>
        <v>#N/A</v>
      </c>
      <c r="BF419" s="44">
        <f t="shared" si="399"/>
        <v>1.2067077129388613E-9</v>
      </c>
      <c r="BG419" s="44">
        <f t="shared" si="400"/>
        <v>2.9676347764212351E-9</v>
      </c>
      <c r="BH419" s="44">
        <f t="shared" si="401"/>
        <v>3.0415134812253547E-9</v>
      </c>
      <c r="BI419" s="44">
        <f t="shared" si="402"/>
        <v>2.8095140160806945E-9</v>
      </c>
      <c r="BJ419" s="44">
        <f t="shared" si="403"/>
        <v>2.9038994595290749E-9</v>
      </c>
      <c r="BK419" s="44">
        <f t="shared" si="404"/>
        <v>1.2470426996377066E-9</v>
      </c>
      <c r="BL419" s="44">
        <f t="shared" si="405"/>
        <v>6.7367208531173986E-10</v>
      </c>
      <c r="BM419" s="44">
        <f t="shared" si="406"/>
        <v>1.7137431169512169E-9</v>
      </c>
      <c r="BN419" s="44">
        <f t="shared" si="407"/>
        <v>1.7824264028522336E-9</v>
      </c>
      <c r="BO419" s="44">
        <f t="shared" si="408"/>
        <v>8.3531264769559817E-10</v>
      </c>
      <c r="BP419" s="44">
        <f t="shared" si="409"/>
        <v>2.8087201669449134E-9</v>
      </c>
      <c r="BQ419" s="44">
        <f t="shared" si="410"/>
        <v>7.5795730521823643E-10</v>
      </c>
      <c r="BR419" s="44">
        <f t="shared" si="411"/>
        <v>2.2391956161705655E-9</v>
      </c>
      <c r="BS419" s="44">
        <f t="shared" si="412"/>
        <v>1.2076279101815232E-9</v>
      </c>
      <c r="BT419" s="44">
        <f t="shared" si="413"/>
        <v>4.7789538708632126E-9</v>
      </c>
      <c r="BU419" s="44">
        <f t="shared" si="414"/>
        <v>4.5653389888559998E-9</v>
      </c>
      <c r="BV419" s="44">
        <f t="shared" si="415"/>
        <v>4.3844005239712707E-9</v>
      </c>
      <c r="BW419" s="44">
        <f t="shared" si="416"/>
        <v>2.8676392180673099E-9</v>
      </c>
      <c r="BX419" s="44">
        <f t="shared" si="417"/>
        <v>2.1185597801240511E-9</v>
      </c>
      <c r="BY419" s="44">
        <f t="shared" si="418"/>
        <v>1.8190270720343352E-9</v>
      </c>
      <c r="CA419" s="44" t="str">
        <f t="shared" si="419"/>
        <v/>
      </c>
      <c r="CB419" s="44" t="str">
        <f t="shared" si="420"/>
        <v/>
      </c>
      <c r="CC419" s="44" t="str">
        <f t="shared" si="421"/>
        <v/>
      </c>
      <c r="CD419" s="44" t="str">
        <f t="shared" si="422"/>
        <v/>
      </c>
      <c r="CE419" s="44" t="str">
        <f t="shared" si="423"/>
        <v/>
      </c>
      <c r="CF419" s="44" t="str">
        <f t="shared" si="424"/>
        <v/>
      </c>
      <c r="CG419" s="44" t="str">
        <f t="shared" si="425"/>
        <v/>
      </c>
      <c r="CH419" s="44" t="str">
        <f t="shared" si="426"/>
        <v/>
      </c>
      <c r="CI419" s="44" t="str">
        <f t="shared" si="427"/>
        <v/>
      </c>
      <c r="CJ419" s="44" t="str">
        <f t="shared" si="428"/>
        <v/>
      </c>
      <c r="CK419" s="44" t="str">
        <f t="shared" si="429"/>
        <v/>
      </c>
      <c r="CL419" s="44" t="str">
        <f t="shared" si="430"/>
        <v/>
      </c>
      <c r="CM419" s="44" t="str">
        <f t="shared" si="431"/>
        <v/>
      </c>
      <c r="CN419" s="44" t="str">
        <f t="shared" si="432"/>
        <v/>
      </c>
      <c r="CO419" s="44" t="str">
        <f t="shared" si="433"/>
        <v/>
      </c>
      <c r="CP419" s="44" t="str">
        <f t="shared" si="434"/>
        <v/>
      </c>
      <c r="CQ419" s="44" t="str">
        <f t="shared" si="435"/>
        <v/>
      </c>
      <c r="CR419" s="44" t="str">
        <f t="shared" si="436"/>
        <v/>
      </c>
      <c r="CS419" s="44" t="str">
        <f t="shared" si="437"/>
        <v/>
      </c>
      <c r="CT419" s="44" t="str">
        <f t="shared" si="438"/>
        <v/>
      </c>
      <c r="CV419" s="44">
        <f t="shared" si="439"/>
        <v>0</v>
      </c>
    </row>
    <row r="420" spans="1:100" x14ac:dyDescent="0.25">
      <c r="A420" s="49"/>
      <c r="B420" s="50"/>
      <c r="C420" s="51" t="str" cm="1">
        <f t="array" ref="C420">IF(B420="","",INDEX(UWS!$B$10:$B$41,B420))</f>
        <v/>
      </c>
      <c r="D420" s="45" t="str">
        <f t="shared" si="396"/>
        <v/>
      </c>
      <c r="E420" s="70" t="str">
        <f t="shared" si="397"/>
        <v/>
      </c>
      <c r="F420" s="52" cm="1">
        <f t="array" ref="F420">0.1+IFERROR(INDEX($F$5:$F419,SUMPRODUCT(MAX(ROW($C$5:$C419)*($C420=$C$5:$C419))-ROW($A$4)))*0.9^($A420-INDEX($A$5:A419,SUMPRODUCT(MAX(ROW($C$5:$C419)*($C420=$C$5:$C419))-ROW($A$4)))),0)</f>
        <v>35.500000000000234</v>
      </c>
      <c r="G420" s="56" t="e">
        <f>INDEX(UWS!$AB$10:$AB$41,MATCH(C420,UWS!$B$10:$B$41,0))</f>
        <v>#N/A</v>
      </c>
      <c r="H420" s="52" t="e">
        <f>INDEX(UWS!$C$10:$C$41,MATCH(C420,UWS!$B$10:$B$41,0))</f>
        <v>#N/A</v>
      </c>
      <c r="I420" s="46">
        <f t="shared" si="398"/>
        <v>5</v>
      </c>
      <c r="J420" s="46" t="e">
        <f>INDEX(UWS!$E$10:$E$41,MATCH(C420,UWS!$B$10:$B$41,0))</f>
        <v>#N/A</v>
      </c>
      <c r="K420" s="46"/>
      <c r="L420" s="109" t="str" cm="1">
        <f t="array" ref="L420">IF(K420="","",INDEX(UWS!$B$10:$B$41,K420))</f>
        <v/>
      </c>
      <c r="M420" s="46"/>
      <c r="N420" s="109" t="str" cm="1">
        <f t="array" ref="N420">IF(M420="","",INDEX(UWS!$B$10:$B$41,M420))</f>
        <v/>
      </c>
      <c r="O420" s="47"/>
      <c r="P420" s="47">
        <f>IFERROR(INDEX(UWS!$G$10:$Z$41,MATCH($C420,UWS!$B$10:$B$41,0),MATCH(P$4,UWS!$G$3:$Z$3,0)),0)</f>
        <v>0</v>
      </c>
      <c r="Q420" s="47">
        <f>IFERROR(INDEX(UWS!$G$10:$Z$41,MATCH($C420,UWS!$B$10:$B$41,0),MATCH(Q$4,UWS!$G$3:$Z$3,0)),0)</f>
        <v>0</v>
      </c>
      <c r="R420" s="47">
        <f>IFERROR(INDEX(UWS!$G$10:$Z$41,MATCH($C420,UWS!$B$10:$B$41,0),MATCH(R$4,UWS!$G$3:$Z$3,0)),0)</f>
        <v>0</v>
      </c>
      <c r="S420" s="47">
        <f>IFERROR(INDEX(UWS!$G$10:$Z$41,MATCH($C420,UWS!$B$10:$B$41,0),MATCH(S$4,UWS!$G$3:$Z$3,0)),0)</f>
        <v>0</v>
      </c>
      <c r="T420" s="47">
        <f>IFERROR(INDEX(UWS!$G$10:$Z$41,MATCH($C420,UWS!$B$10:$B$41,0),MATCH(T$4,UWS!$G$3:$Z$3,0)),0)</f>
        <v>0</v>
      </c>
      <c r="U420" s="47">
        <f>IFERROR(INDEX(UWS!$G$10:$Z$41,MATCH($C420,UWS!$B$10:$B$41,0),MATCH(U$4,UWS!$G$3:$Z$3,0)),0)</f>
        <v>0</v>
      </c>
      <c r="V420" s="47">
        <f>IFERROR(INDEX(UWS!$G$10:$Z$41,MATCH($C420,UWS!$B$10:$B$41,0),MATCH(V$4,UWS!$G$3:$Z$3,0)),0)</f>
        <v>0</v>
      </c>
      <c r="W420" s="47">
        <f>IFERROR(INDEX(UWS!$G$10:$Z$41,MATCH($C420,UWS!$B$10:$B$41,0),MATCH(W$4,UWS!$G$3:$Z$3,0)),0)</f>
        <v>0</v>
      </c>
      <c r="X420" s="47">
        <f>IFERROR(INDEX(UWS!$G$10:$Z$41,MATCH($C420,UWS!$B$10:$B$41,0),MATCH(X$4,UWS!$G$3:$Z$3,0)),0)</f>
        <v>0</v>
      </c>
      <c r="Y420" s="47">
        <f>IFERROR(INDEX(UWS!$G$10:$Z$41,MATCH($C420,UWS!$B$10:$B$41,0),MATCH(Y$4,UWS!$G$3:$Z$3,0)),0)</f>
        <v>0</v>
      </c>
      <c r="Z420" s="47">
        <f>IFERROR(INDEX(UWS!$G$10:$Z$41,MATCH($C420,UWS!$B$10:$B$41,0),MATCH(Z$4,UWS!$G$3:$Z$3,0)),0)</f>
        <v>0</v>
      </c>
      <c r="AA420" s="47">
        <f>IFERROR(INDEX(UWS!$G$10:$Z$41,MATCH($C420,UWS!$B$10:$B$41,0),MATCH(AA$4,UWS!$G$3:$Z$3,0)),0)</f>
        <v>0</v>
      </c>
      <c r="AB420" s="47">
        <f>IFERROR(INDEX(UWS!$G$10:$Z$41,MATCH($C420,UWS!$B$10:$B$41,0),MATCH(AB$4,UWS!$G$3:$Z$3,0)),0)</f>
        <v>0</v>
      </c>
      <c r="AC420" s="47">
        <f>IFERROR(INDEX(UWS!$G$10:$Z$41,MATCH($C420,UWS!$B$10:$B$41,0),MATCH(AC$4,UWS!$G$3:$Z$3,0)),0)</f>
        <v>0</v>
      </c>
      <c r="AD420" s="47">
        <f>IFERROR(INDEX(UWS!$G$10:$Z$41,MATCH($C420,UWS!$B$10:$B$41,0),MATCH(AD$4,UWS!$G$3:$Z$3,0)),0)</f>
        <v>0</v>
      </c>
      <c r="AE420" s="47">
        <f>IFERROR(INDEX(UWS!$G$10:$Z$41,MATCH($C420,UWS!$B$10:$B$41,0),MATCH(AE$4,UWS!$G$3:$Z$3,0)),0)</f>
        <v>0</v>
      </c>
      <c r="AF420" s="47">
        <f>IFERROR(INDEX(UWS!$G$10:$Z$41,MATCH($C420,UWS!$B$10:$B$41,0),MATCH(AF$4,UWS!$G$3:$Z$3,0)),0)</f>
        <v>0</v>
      </c>
      <c r="AG420" s="47">
        <f>IFERROR(INDEX(UWS!$G$10:$Z$41,MATCH($C420,UWS!$B$10:$B$41,0),MATCH(AG$4,UWS!$G$3:$Z$3,0)),0)</f>
        <v>0</v>
      </c>
      <c r="AH420" s="47">
        <f>IFERROR(INDEX(UWS!$G$10:$Z$41,MATCH($C420,UWS!$B$10:$B$41,0),MATCH(AH$4,UWS!$G$3:$Z$3,0)),0)</f>
        <v>0</v>
      </c>
      <c r="AI420" s="47">
        <f>IFERROR(INDEX(UWS!$G$10:$Z$41,MATCH($C420,UWS!$B$10:$B$41,0),MATCH(AI$4,UWS!$G$3:$Z$3,0)),0)</f>
        <v>0</v>
      </c>
      <c r="AJ420" s="47"/>
      <c r="AK420" s="47" t="e">
        <f>IF(OR($J420=0,COUNTIFS($A$4:$A419,"&gt;="&amp;$A420-1,$A$4:$A419,"&lt;="&amp;$A420,$B$4:$B419,$B420)&gt;0,MIN(AK$1,IF($A420=$A419,AK419,1))-P420&lt;0),-1,MIN(1,IF($A420=$A419,AK419,1)-P420+$D$3))</f>
        <v>#N/A</v>
      </c>
      <c r="AL420" s="47" t="e">
        <f>IF(OR($J420=0,COUNTIFS($A$4:$A419,"&gt;="&amp;$A420-1,$A$4:$A419,"&lt;="&amp;$A420,$B$4:$B419,$B420)&gt;0,MIN(AL$1,IF($A420=$A419,AL419,1))-Q420&lt;0),-1,MIN(1,IF($A420=$A419,AL419,1)-Q420+$D$3))</f>
        <v>#N/A</v>
      </c>
      <c r="AM420" s="47" t="e">
        <f>IF(OR($J420=0,COUNTIFS($A$4:$A419,"&gt;="&amp;$A420-1,$A$4:$A419,"&lt;="&amp;$A420,$B$4:$B419,$B420)&gt;0,MIN(AM$1,IF($A420=$A419,AM419,1))-R420&lt;0),-1,MIN(1,IF($A420=$A419,AM419,1)-R420+$D$3))</f>
        <v>#N/A</v>
      </c>
      <c r="AN420" s="47" t="e">
        <f>IF(OR($J420=0,COUNTIFS($A$4:$A419,"&gt;="&amp;$A420-1,$A$4:$A419,"&lt;="&amp;$A420,$B$4:$B419,$B420)&gt;0,MIN(AN$1,IF($A420=$A419,AN419,1))-S420&lt;0),-1,MIN(1,IF($A420=$A419,AN419,1)-S420+$D$3))</f>
        <v>#N/A</v>
      </c>
      <c r="AO420" s="47" t="e">
        <f>IF(OR($J420=0,COUNTIFS($A$4:$A419,"&gt;="&amp;$A420-1,$A$4:$A419,"&lt;="&amp;$A420,$B$4:$B419,$B420)&gt;0,MIN(AO$1,IF($A420=$A419,AO419,1))-T420&lt;0),-1,MIN(1,IF($A420=$A419,AO419,1)-T420+$D$3))</f>
        <v>#N/A</v>
      </c>
      <c r="AP420" s="47" t="e">
        <f>IF(OR($J420=0,COUNTIFS($A$4:$A419,"&gt;="&amp;$A420-1,$A$4:$A419,"&lt;="&amp;$A420,$B$4:$B419,$B420)&gt;0,MIN(AP$1,IF($A420=$A419,AP419,1))-U420&lt;0),-1,MIN(1,IF($A420=$A419,AP419,1)-U420+$D$3))</f>
        <v>#N/A</v>
      </c>
      <c r="AQ420" s="47" t="e">
        <f>IF(OR($J420=0,COUNTIFS($A$4:$A419,"&gt;="&amp;$A420-1,$A$4:$A419,"&lt;="&amp;$A420,$B$4:$B419,$B420)&gt;0,MIN(AQ$1,IF($A420=$A419,AQ419,1))-V420&lt;0),-1,MIN(1,IF($A420=$A419,AQ419,1)-V420+$D$3))</f>
        <v>#N/A</v>
      </c>
      <c r="AR420" s="47" t="e">
        <f>IF(OR($J420=0,COUNTIFS($A$4:$A419,"&gt;="&amp;$A420-1,$A$4:$A419,"&lt;="&amp;$A420,$B$4:$B419,$B420)&gt;0,MIN(AR$1,IF($A420=$A419,AR419,1))-W420&lt;0),-1,MIN(1,IF($A420=$A419,AR419,1)-W420+$D$3))</f>
        <v>#N/A</v>
      </c>
      <c r="AS420" s="47" t="e">
        <f>IF(OR($J420=0,COUNTIFS($A$4:$A419,"&gt;="&amp;$A420-1,$A$4:$A419,"&lt;="&amp;$A420,$B$4:$B419,$B420)&gt;0,MIN(AS$1,IF($A420=$A419,AS419,1))-X420&lt;0),-1,MIN(1,IF($A420=$A419,AS419,1)-X420+$D$3))</f>
        <v>#N/A</v>
      </c>
      <c r="AT420" s="47" t="e">
        <f>IF(OR($J420=0,COUNTIFS($A$4:$A419,"&gt;="&amp;$A420-1,$A$4:$A419,"&lt;="&amp;$A420,$B$4:$B419,$B420)&gt;0,MIN(AT$1,IF($A420=$A419,AT419,1))-Y420&lt;0),-1,MIN(1,IF($A420=$A419,AT419,1)-Y420+$D$3))</f>
        <v>#N/A</v>
      </c>
      <c r="AU420" s="47" t="e">
        <f>IF(OR($J420=0,COUNTIFS($A$4:$A419,"&gt;="&amp;$A420-1,$A$4:$A419,"&lt;="&amp;$A420,$B$4:$B419,$B420)&gt;0,MIN(AU$1,IF($A420=$A419,AU419,1))-Z420&lt;0),-1,MIN(1,IF($A420=$A419,AU419,1)-Z420+$D$3))</f>
        <v>#N/A</v>
      </c>
      <c r="AV420" s="47" t="e">
        <f>IF(OR($J420=0,COUNTIFS($A$4:$A419,"&gt;="&amp;$A420-1,$A$4:$A419,"&lt;="&amp;$A420,$B$4:$B419,$B420)&gt;0,MIN(AV$1,IF($A420=$A419,AV419,1))-AA420&lt;0),-1,MIN(1,IF($A420=$A419,AV419,1)-AA420+$D$3))</f>
        <v>#N/A</v>
      </c>
      <c r="AW420" s="47" t="e">
        <f>IF(OR($J420=0,COUNTIFS($A$4:$A419,"&gt;="&amp;$A420-1,$A$4:$A419,"&lt;="&amp;$A420,$B$4:$B419,$B420)&gt;0,MIN(AW$1,IF($A420=$A419,AW419,1))-AB420&lt;0),-1,MIN(1,IF($A420=$A419,AW419,1)-AB420+$D$3))</f>
        <v>#N/A</v>
      </c>
      <c r="AX420" s="47" t="e">
        <f>IF(OR($J420=0,COUNTIFS($A$4:$A419,"&gt;="&amp;$A420-1,$A$4:$A419,"&lt;="&amp;$A420,$B$4:$B419,$B420)&gt;0,MIN(AX$1,IF($A420=$A419,AX419,1))-AC420&lt;0),-1,MIN(1,IF($A420=$A419,AX419,1)-AC420+$D$3))</f>
        <v>#N/A</v>
      </c>
      <c r="AY420" s="47" t="e">
        <f>IF(OR($J420=0,COUNTIFS($A$4:$A419,"&gt;="&amp;$A420-1,$A$4:$A419,"&lt;="&amp;$A420,$B$4:$B419,$B420)&gt;0,MIN(AY$1,IF($A420=$A419,AY419,1))-AD420&lt;0),-1,MIN(1,IF($A420=$A419,AY419,1)-AD420+$D$3))</f>
        <v>#N/A</v>
      </c>
      <c r="AZ420" s="47" t="e">
        <f>IF(OR($J420=0,COUNTIFS($A$4:$A419,"&gt;="&amp;$A420-1,$A$4:$A419,"&lt;="&amp;$A420,$B$4:$B419,$B420)&gt;0,MIN(AZ$1,IF($A420=$A419,AZ419,1))-AE420&lt;0),-1,MIN(1,IF($A420=$A419,AZ419,1)-AE420+$D$3))</f>
        <v>#N/A</v>
      </c>
      <c r="BA420" s="47" t="e">
        <f>IF(OR($J420=0,COUNTIFS($A$4:$A419,"&gt;="&amp;$A420-1,$A$4:$A419,"&lt;="&amp;$A420,$B$4:$B419,$B420)&gt;0,MIN(BA$1,IF($A420=$A419,BA419,1))-AF420&lt;0),-1,MIN(1,IF($A420=$A419,BA419,1)-AF420+$D$3))</f>
        <v>#N/A</v>
      </c>
      <c r="BB420" s="47" t="e">
        <f>IF(OR($J420=0,COUNTIFS($A$4:$A419,"&gt;="&amp;$A420-1,$A$4:$A419,"&lt;="&amp;$A420,$B$4:$B419,$B420)&gt;0,MIN(BB$1,IF($A420=$A419,BB419,1))-AG420&lt;0),-1,MIN(1,IF($A420=$A419,BB419,1)-AG420+$D$3))</f>
        <v>#N/A</v>
      </c>
      <c r="BC420" s="47" t="e">
        <f>IF(OR($J420=0,COUNTIFS($A$4:$A419,"&gt;="&amp;$A420-1,$A$4:$A419,"&lt;="&amp;$A420,$B$4:$B419,$B420)&gt;0,MIN(BC$1,IF($A420=$A419,BC419,1))-AH420&lt;0),-1,MIN(1,IF($A420=$A419,BC419,1)-AH420+$D$3))</f>
        <v>#N/A</v>
      </c>
      <c r="BD420" s="47" t="e">
        <f>IF(OR($J420=0,COUNTIFS($A$4:$A419,"&gt;="&amp;$A420-1,$A$4:$A419,"&lt;="&amp;$A420,$B$4:$B419,$B420)&gt;0,MIN(BD$1,IF($A420=$A419,BD419,1))-AI420&lt;0),-1,MIN(1,IF($A420=$A419,BD419,1)-AI420+$D$3))</f>
        <v>#N/A</v>
      </c>
      <c r="BE420" s="47"/>
      <c r="BF420" s="53">
        <f t="shared" si="399"/>
        <v>1.1463723272919181E-9</v>
      </c>
      <c r="BG420" s="53">
        <f t="shared" si="400"/>
        <v>2.8192530376001733E-9</v>
      </c>
      <c r="BH420" s="53">
        <f t="shared" si="401"/>
        <v>2.8894378071640868E-9</v>
      </c>
      <c r="BI420" s="53">
        <f t="shared" si="402"/>
        <v>2.6690383152766594E-9</v>
      </c>
      <c r="BJ420" s="53">
        <f t="shared" si="403"/>
        <v>2.7587044865526209E-9</v>
      </c>
      <c r="BK420" s="53">
        <f t="shared" si="404"/>
        <v>1.1846905646558212E-9</v>
      </c>
      <c r="BL420" s="53">
        <f t="shared" si="405"/>
        <v>6.3998848104615283E-10</v>
      </c>
      <c r="BM420" s="53">
        <f t="shared" si="406"/>
        <v>1.6280559611036561E-9</v>
      </c>
      <c r="BN420" s="53">
        <f t="shared" si="407"/>
        <v>1.6933050827096218E-9</v>
      </c>
      <c r="BO420" s="53">
        <f t="shared" si="408"/>
        <v>7.9354701531081824E-10</v>
      </c>
      <c r="BP420" s="53">
        <f t="shared" si="409"/>
        <v>2.6682841585976676E-9</v>
      </c>
      <c r="BQ420" s="53">
        <f t="shared" si="410"/>
        <v>7.2005943995732459E-10</v>
      </c>
      <c r="BR420" s="53">
        <f t="shared" si="411"/>
        <v>2.127235835362037E-9</v>
      </c>
      <c r="BS420" s="53">
        <f t="shared" si="412"/>
        <v>1.1472465146724471E-9</v>
      </c>
      <c r="BT420" s="53">
        <f t="shared" si="413"/>
        <v>4.5400061773200517E-9</v>
      </c>
      <c r="BU420" s="53">
        <f t="shared" si="414"/>
        <v>4.3370720394131999E-9</v>
      </c>
      <c r="BV420" s="53">
        <f t="shared" si="415"/>
        <v>4.1651804977727071E-9</v>
      </c>
      <c r="BW420" s="53">
        <f t="shared" si="416"/>
        <v>2.7242572571639443E-9</v>
      </c>
      <c r="BX420" s="53">
        <f t="shared" si="417"/>
        <v>2.0126317911178484E-9</v>
      </c>
      <c r="BY420" s="53">
        <f t="shared" si="418"/>
        <v>1.7280757184326183E-9</v>
      </c>
      <c r="BZ420" s="47"/>
      <c r="CA420" s="53" t="str">
        <f t="shared" si="419"/>
        <v/>
      </c>
      <c r="CB420" s="53" t="str">
        <f t="shared" si="420"/>
        <v/>
      </c>
      <c r="CC420" s="53" t="str">
        <f t="shared" si="421"/>
        <v/>
      </c>
      <c r="CD420" s="53" t="str">
        <f t="shared" si="422"/>
        <v/>
      </c>
      <c r="CE420" s="53" t="str">
        <f t="shared" si="423"/>
        <v/>
      </c>
      <c r="CF420" s="53" t="str">
        <f t="shared" si="424"/>
        <v/>
      </c>
      <c r="CG420" s="53" t="str">
        <f t="shared" si="425"/>
        <v/>
      </c>
      <c r="CH420" s="53" t="str">
        <f t="shared" si="426"/>
        <v/>
      </c>
      <c r="CI420" s="53" t="str">
        <f t="shared" si="427"/>
        <v/>
      </c>
      <c r="CJ420" s="53" t="str">
        <f t="shared" si="428"/>
        <v/>
      </c>
      <c r="CK420" s="53" t="str">
        <f t="shared" si="429"/>
        <v/>
      </c>
      <c r="CL420" s="53" t="str">
        <f t="shared" si="430"/>
        <v/>
      </c>
      <c r="CM420" s="53" t="str">
        <f t="shared" si="431"/>
        <v/>
      </c>
      <c r="CN420" s="53" t="str">
        <f t="shared" si="432"/>
        <v/>
      </c>
      <c r="CO420" s="53" t="str">
        <f t="shared" si="433"/>
        <v/>
      </c>
      <c r="CP420" s="53" t="str">
        <f t="shared" si="434"/>
        <v/>
      </c>
      <c r="CQ420" s="53" t="str">
        <f t="shared" si="435"/>
        <v/>
      </c>
      <c r="CR420" s="53" t="str">
        <f t="shared" si="436"/>
        <v/>
      </c>
      <c r="CS420" s="53" t="str">
        <f t="shared" si="437"/>
        <v/>
      </c>
      <c r="CT420" s="53" t="str">
        <f t="shared" si="438"/>
        <v/>
      </c>
      <c r="CU420" s="47"/>
      <c r="CV420" s="53">
        <f t="shared" si="439"/>
        <v>0</v>
      </c>
    </row>
    <row r="421" spans="1:100" x14ac:dyDescent="0.25">
      <c r="A421" s="41"/>
      <c r="B421" s="42"/>
      <c r="C421" s="43" t="str" cm="1">
        <f t="array" ref="C421">IF(B421="","",INDEX(UWS!$B$10:$B$41,B421))</f>
        <v/>
      </c>
      <c r="D421" s="40" t="str">
        <f t="shared" si="396"/>
        <v/>
      </c>
      <c r="E421" s="69" t="str">
        <f t="shared" si="397"/>
        <v/>
      </c>
      <c r="F421" s="48" cm="1">
        <f t="array" ref="F421">0.1+IFERROR(INDEX($F$5:$F420,SUMPRODUCT(MAX(ROW($C$5:$C420)*($C421=$C$5:$C420))-ROW($A$4)))*0.9^($A421-INDEX($A$5:A420,SUMPRODUCT(MAX(ROW($C$5:$C420)*($C421=$C$5:$C420))-ROW($A$4)))),0)</f>
        <v>35.600000000000236</v>
      </c>
      <c r="G421" s="55" t="e">
        <f>INDEX(UWS!$AB$10:$AB$41,MATCH(C421,UWS!$B$10:$B$41,0))</f>
        <v>#N/A</v>
      </c>
      <c r="H421" s="48" t="e">
        <f>INDEX(UWS!$C$10:$C$41,MATCH(C421,UWS!$B$10:$B$41,0))</f>
        <v>#N/A</v>
      </c>
      <c r="I421" s="82">
        <f t="shared" si="398"/>
        <v>5</v>
      </c>
      <c r="J421" s="27" t="e">
        <f>INDEX(UWS!$E$10:$E$41,MATCH(C421,UWS!$B$10:$B$41,0))</f>
        <v>#N/A</v>
      </c>
      <c r="L421" s="108" t="str" cm="1">
        <f t="array" ref="L421">IF(K421="","",INDEX(UWS!$B$10:$B$41,K421))</f>
        <v/>
      </c>
      <c r="N421" s="108" t="str" cm="1">
        <f t="array" ref="N421">IF(M421="","",INDEX(UWS!$B$10:$B$41,M421))</f>
        <v/>
      </c>
      <c r="P421">
        <f>IFERROR(INDEX(UWS!$G$10:$Z$41,MATCH($C421,UWS!$B$10:$B$41,0),MATCH(P$4,UWS!$G$3:$Z$3,0)),0)</f>
        <v>0</v>
      </c>
      <c r="Q421">
        <f>IFERROR(INDEX(UWS!$G$10:$Z$41,MATCH($C421,UWS!$B$10:$B$41,0),MATCH(Q$4,UWS!$G$3:$Z$3,0)),0)</f>
        <v>0</v>
      </c>
      <c r="R421">
        <f>IFERROR(INDEX(UWS!$G$10:$Z$41,MATCH($C421,UWS!$B$10:$B$41,0),MATCH(R$4,UWS!$G$3:$Z$3,0)),0)</f>
        <v>0</v>
      </c>
      <c r="S421">
        <f>IFERROR(INDEX(UWS!$G$10:$Z$41,MATCH($C421,UWS!$B$10:$B$41,0),MATCH(S$4,UWS!$G$3:$Z$3,0)),0)</f>
        <v>0</v>
      </c>
      <c r="T421">
        <f>IFERROR(INDEX(UWS!$G$10:$Z$41,MATCH($C421,UWS!$B$10:$B$41,0),MATCH(T$4,UWS!$G$3:$Z$3,0)),0)</f>
        <v>0</v>
      </c>
      <c r="U421">
        <f>IFERROR(INDEX(UWS!$G$10:$Z$41,MATCH($C421,UWS!$B$10:$B$41,0),MATCH(U$4,UWS!$G$3:$Z$3,0)),0)</f>
        <v>0</v>
      </c>
      <c r="V421">
        <f>IFERROR(INDEX(UWS!$G$10:$Z$41,MATCH($C421,UWS!$B$10:$B$41,0),MATCH(V$4,UWS!$G$3:$Z$3,0)),0)</f>
        <v>0</v>
      </c>
      <c r="W421">
        <f>IFERROR(INDEX(UWS!$G$10:$Z$41,MATCH($C421,UWS!$B$10:$B$41,0),MATCH(W$4,UWS!$G$3:$Z$3,0)),0)</f>
        <v>0</v>
      </c>
      <c r="X421">
        <f>IFERROR(INDEX(UWS!$G$10:$Z$41,MATCH($C421,UWS!$B$10:$B$41,0),MATCH(X$4,UWS!$G$3:$Z$3,0)),0)</f>
        <v>0</v>
      </c>
      <c r="Y421">
        <f>IFERROR(INDEX(UWS!$G$10:$Z$41,MATCH($C421,UWS!$B$10:$B$41,0),MATCH(Y$4,UWS!$G$3:$Z$3,0)),0)</f>
        <v>0</v>
      </c>
      <c r="Z421">
        <f>IFERROR(INDEX(UWS!$G$10:$Z$41,MATCH($C421,UWS!$B$10:$B$41,0),MATCH(Z$4,UWS!$G$3:$Z$3,0)),0)</f>
        <v>0</v>
      </c>
      <c r="AA421">
        <f>IFERROR(INDEX(UWS!$G$10:$Z$41,MATCH($C421,UWS!$B$10:$B$41,0),MATCH(AA$4,UWS!$G$3:$Z$3,0)),0)</f>
        <v>0</v>
      </c>
      <c r="AB421">
        <f>IFERROR(INDEX(UWS!$G$10:$Z$41,MATCH($C421,UWS!$B$10:$B$41,0),MATCH(AB$4,UWS!$G$3:$Z$3,0)),0)</f>
        <v>0</v>
      </c>
      <c r="AC421">
        <f>IFERROR(INDEX(UWS!$G$10:$Z$41,MATCH($C421,UWS!$B$10:$B$41,0),MATCH(AC$4,UWS!$G$3:$Z$3,0)),0)</f>
        <v>0</v>
      </c>
      <c r="AD421">
        <f>IFERROR(INDEX(UWS!$G$10:$Z$41,MATCH($C421,UWS!$B$10:$B$41,0),MATCH(AD$4,UWS!$G$3:$Z$3,0)),0)</f>
        <v>0</v>
      </c>
      <c r="AE421">
        <f>IFERROR(INDEX(UWS!$G$10:$Z$41,MATCH($C421,UWS!$B$10:$B$41,0),MATCH(AE$4,UWS!$G$3:$Z$3,0)),0)</f>
        <v>0</v>
      </c>
      <c r="AF421">
        <f>IFERROR(INDEX(UWS!$G$10:$Z$41,MATCH($C421,UWS!$B$10:$B$41,0),MATCH(AF$4,UWS!$G$3:$Z$3,0)),0)</f>
        <v>0</v>
      </c>
      <c r="AG421">
        <f>IFERROR(INDEX(UWS!$G$10:$Z$41,MATCH($C421,UWS!$B$10:$B$41,0),MATCH(AG$4,UWS!$G$3:$Z$3,0)),0)</f>
        <v>0</v>
      </c>
      <c r="AH421">
        <f>IFERROR(INDEX(UWS!$G$10:$Z$41,MATCH($C421,UWS!$B$10:$B$41,0),MATCH(AH$4,UWS!$G$3:$Z$3,0)),0)</f>
        <v>0</v>
      </c>
      <c r="AI421">
        <f>IFERROR(INDEX(UWS!$G$10:$Z$41,MATCH($C421,UWS!$B$10:$B$41,0),MATCH(AI$4,UWS!$G$3:$Z$3,0)),0)</f>
        <v>0</v>
      </c>
      <c r="AK421" t="e">
        <f>IF(OR($J421=0,COUNTIFS($A$4:$A420,"&gt;="&amp;$A421-1,$A$4:$A420,"&lt;="&amp;$A421,$B$4:$B420,$B421)&gt;0,MIN(AK$1,IF($A421=$A420,AK420,1))-P421&lt;0),-1,MIN(1,IF($A421=$A420,AK420,1)-P421+$D$3))</f>
        <v>#N/A</v>
      </c>
      <c r="AL421" t="e">
        <f>IF(OR($J421=0,COUNTIFS($A$4:$A420,"&gt;="&amp;$A421-1,$A$4:$A420,"&lt;="&amp;$A421,$B$4:$B420,$B421)&gt;0,MIN(AL$1,IF($A421=$A420,AL420,1))-Q421&lt;0),-1,MIN(1,IF($A421=$A420,AL420,1)-Q421+$D$3))</f>
        <v>#N/A</v>
      </c>
      <c r="AM421" t="e">
        <f>IF(OR($J421=0,COUNTIFS($A$4:$A420,"&gt;="&amp;$A421-1,$A$4:$A420,"&lt;="&amp;$A421,$B$4:$B420,$B421)&gt;0,MIN(AM$1,IF($A421=$A420,AM420,1))-R421&lt;0),-1,MIN(1,IF($A421=$A420,AM420,1)-R421+$D$3))</f>
        <v>#N/A</v>
      </c>
      <c r="AN421" t="e">
        <f>IF(OR($J421=0,COUNTIFS($A$4:$A420,"&gt;="&amp;$A421-1,$A$4:$A420,"&lt;="&amp;$A421,$B$4:$B420,$B421)&gt;0,MIN(AN$1,IF($A421=$A420,AN420,1))-S421&lt;0),-1,MIN(1,IF($A421=$A420,AN420,1)-S421+$D$3))</f>
        <v>#N/A</v>
      </c>
      <c r="AO421" t="e">
        <f>IF(OR($J421=0,COUNTIFS($A$4:$A420,"&gt;="&amp;$A421-1,$A$4:$A420,"&lt;="&amp;$A421,$B$4:$B420,$B421)&gt;0,MIN(AO$1,IF($A421=$A420,AO420,1))-T421&lt;0),-1,MIN(1,IF($A421=$A420,AO420,1)-T421+$D$3))</f>
        <v>#N/A</v>
      </c>
      <c r="AP421" t="e">
        <f>IF(OR($J421=0,COUNTIFS($A$4:$A420,"&gt;="&amp;$A421-1,$A$4:$A420,"&lt;="&amp;$A421,$B$4:$B420,$B421)&gt;0,MIN(AP$1,IF($A421=$A420,AP420,1))-U421&lt;0),-1,MIN(1,IF($A421=$A420,AP420,1)-U421+$D$3))</f>
        <v>#N/A</v>
      </c>
      <c r="AQ421" t="e">
        <f>IF(OR($J421=0,COUNTIFS($A$4:$A420,"&gt;="&amp;$A421-1,$A$4:$A420,"&lt;="&amp;$A421,$B$4:$B420,$B421)&gt;0,MIN(AQ$1,IF($A421=$A420,AQ420,1))-V421&lt;0),-1,MIN(1,IF($A421=$A420,AQ420,1)-V421+$D$3))</f>
        <v>#N/A</v>
      </c>
      <c r="AR421" t="e">
        <f>IF(OR($J421=0,COUNTIFS($A$4:$A420,"&gt;="&amp;$A421-1,$A$4:$A420,"&lt;="&amp;$A421,$B$4:$B420,$B421)&gt;0,MIN(AR$1,IF($A421=$A420,AR420,1))-W421&lt;0),-1,MIN(1,IF($A421=$A420,AR420,1)-W421+$D$3))</f>
        <v>#N/A</v>
      </c>
      <c r="AS421" t="e">
        <f>IF(OR($J421=0,COUNTIFS($A$4:$A420,"&gt;="&amp;$A421-1,$A$4:$A420,"&lt;="&amp;$A421,$B$4:$B420,$B421)&gt;0,MIN(AS$1,IF($A421=$A420,AS420,1))-X421&lt;0),-1,MIN(1,IF($A421=$A420,AS420,1)-X421+$D$3))</f>
        <v>#N/A</v>
      </c>
      <c r="AT421" t="e">
        <f>IF(OR($J421=0,COUNTIFS($A$4:$A420,"&gt;="&amp;$A421-1,$A$4:$A420,"&lt;="&amp;$A421,$B$4:$B420,$B421)&gt;0,MIN(AT$1,IF($A421=$A420,AT420,1))-Y421&lt;0),-1,MIN(1,IF($A421=$A420,AT420,1)-Y421+$D$3))</f>
        <v>#N/A</v>
      </c>
      <c r="AU421" t="e">
        <f>IF(OR($J421=0,COUNTIFS($A$4:$A420,"&gt;="&amp;$A421-1,$A$4:$A420,"&lt;="&amp;$A421,$B$4:$B420,$B421)&gt;0,MIN(AU$1,IF($A421=$A420,AU420,1))-Z421&lt;0),-1,MIN(1,IF($A421=$A420,AU420,1)-Z421+$D$3))</f>
        <v>#N/A</v>
      </c>
      <c r="AV421" t="e">
        <f>IF(OR($J421=0,COUNTIFS($A$4:$A420,"&gt;="&amp;$A421-1,$A$4:$A420,"&lt;="&amp;$A421,$B$4:$B420,$B421)&gt;0,MIN(AV$1,IF($A421=$A420,AV420,1))-AA421&lt;0),-1,MIN(1,IF($A421=$A420,AV420,1)-AA421+$D$3))</f>
        <v>#N/A</v>
      </c>
      <c r="AW421" t="e">
        <f>IF(OR($J421=0,COUNTIFS($A$4:$A420,"&gt;="&amp;$A421-1,$A$4:$A420,"&lt;="&amp;$A421,$B$4:$B420,$B421)&gt;0,MIN(AW$1,IF($A421=$A420,AW420,1))-AB421&lt;0),-1,MIN(1,IF($A421=$A420,AW420,1)-AB421+$D$3))</f>
        <v>#N/A</v>
      </c>
      <c r="AX421" t="e">
        <f>IF(OR($J421=0,COUNTIFS($A$4:$A420,"&gt;="&amp;$A421-1,$A$4:$A420,"&lt;="&amp;$A421,$B$4:$B420,$B421)&gt;0,MIN(AX$1,IF($A421=$A420,AX420,1))-AC421&lt;0),-1,MIN(1,IF($A421=$A420,AX420,1)-AC421+$D$3))</f>
        <v>#N/A</v>
      </c>
      <c r="AY421" t="e">
        <f>IF(OR($J421=0,COUNTIFS($A$4:$A420,"&gt;="&amp;$A421-1,$A$4:$A420,"&lt;="&amp;$A421,$B$4:$B420,$B421)&gt;0,MIN(AY$1,IF($A421=$A420,AY420,1))-AD421&lt;0),-1,MIN(1,IF($A421=$A420,AY420,1)-AD421+$D$3))</f>
        <v>#N/A</v>
      </c>
      <c r="AZ421" t="e">
        <f>IF(OR($J421=0,COUNTIFS($A$4:$A420,"&gt;="&amp;$A421-1,$A$4:$A420,"&lt;="&amp;$A421,$B$4:$B420,$B421)&gt;0,MIN(AZ$1,IF($A421=$A420,AZ420,1))-AE421&lt;0),-1,MIN(1,IF($A421=$A420,AZ420,1)-AE421+$D$3))</f>
        <v>#N/A</v>
      </c>
      <c r="BA421" t="e">
        <f>IF(OR($J421=0,COUNTIFS($A$4:$A420,"&gt;="&amp;$A421-1,$A$4:$A420,"&lt;="&amp;$A421,$B$4:$B420,$B421)&gt;0,MIN(BA$1,IF($A421=$A420,BA420,1))-AF421&lt;0),-1,MIN(1,IF($A421=$A420,BA420,1)-AF421+$D$3))</f>
        <v>#N/A</v>
      </c>
      <c r="BB421" t="e">
        <f>IF(OR($J421=0,COUNTIFS($A$4:$A420,"&gt;="&amp;$A421-1,$A$4:$A420,"&lt;="&amp;$A421,$B$4:$B420,$B421)&gt;0,MIN(BB$1,IF($A421=$A420,BB420,1))-AG421&lt;0),-1,MIN(1,IF($A421=$A420,BB420,1)-AG421+$D$3))</f>
        <v>#N/A</v>
      </c>
      <c r="BC421" t="e">
        <f>IF(OR($J421=0,COUNTIFS($A$4:$A420,"&gt;="&amp;$A421-1,$A$4:$A420,"&lt;="&amp;$A421,$B$4:$B420,$B421)&gt;0,MIN(BC$1,IF($A421=$A420,BC420,1))-AH421&lt;0),-1,MIN(1,IF($A421=$A420,BC420,1)-AH421+$D$3))</f>
        <v>#N/A</v>
      </c>
      <c r="BD421" t="e">
        <f>IF(OR($J421=0,COUNTIFS($A$4:$A420,"&gt;="&amp;$A421-1,$A$4:$A420,"&lt;="&amp;$A421,$B$4:$B420,$B421)&gt;0,MIN(BD$1,IF($A421=$A420,BD420,1))-AI421&lt;0),-1,MIN(1,IF($A421=$A420,BD420,1)-AI421+$D$3))</f>
        <v>#N/A</v>
      </c>
      <c r="BF421" s="44">
        <f t="shared" si="399"/>
        <v>1.0890537109273221E-9</v>
      </c>
      <c r="BG421" s="44">
        <f t="shared" si="400"/>
        <v>2.6782903857201643E-9</v>
      </c>
      <c r="BH421" s="44">
        <f t="shared" si="401"/>
        <v>2.7449659168058825E-9</v>
      </c>
      <c r="BI421" s="44">
        <f t="shared" si="402"/>
        <v>2.5355863995128262E-9</v>
      </c>
      <c r="BJ421" s="44">
        <f t="shared" si="403"/>
        <v>2.62076926222499E-9</v>
      </c>
      <c r="BK421" s="44">
        <f t="shared" si="404"/>
        <v>1.12545603642303E-9</v>
      </c>
      <c r="BL421" s="44">
        <f t="shared" si="405"/>
        <v>6.0798905699384516E-10</v>
      </c>
      <c r="BM421" s="44">
        <f t="shared" si="406"/>
        <v>1.5466531630484733E-9</v>
      </c>
      <c r="BN421" s="44">
        <f t="shared" si="407"/>
        <v>1.6086398285741406E-9</v>
      </c>
      <c r="BO421" s="44">
        <f t="shared" si="408"/>
        <v>7.5386966454527727E-10</v>
      </c>
      <c r="BP421" s="44">
        <f t="shared" si="409"/>
        <v>2.5348699506677841E-9</v>
      </c>
      <c r="BQ421" s="44">
        <f t="shared" si="410"/>
        <v>6.8405646795945834E-10</v>
      </c>
      <c r="BR421" s="44">
        <f t="shared" si="411"/>
        <v>2.0208740435939352E-9</v>
      </c>
      <c r="BS421" s="44">
        <f t="shared" si="412"/>
        <v>1.0898841889388247E-9</v>
      </c>
      <c r="BT421" s="44">
        <f t="shared" si="413"/>
        <v>4.3130058684540493E-9</v>
      </c>
      <c r="BU421" s="44">
        <f t="shared" si="414"/>
        <v>4.1202184374425397E-9</v>
      </c>
      <c r="BV421" s="44">
        <f t="shared" si="415"/>
        <v>3.9569214728840717E-9</v>
      </c>
      <c r="BW421" s="44">
        <f t="shared" si="416"/>
        <v>2.5880443943057468E-9</v>
      </c>
      <c r="BX421" s="44">
        <f t="shared" si="417"/>
        <v>1.9120002015619557E-9</v>
      </c>
      <c r="BY421" s="44">
        <f t="shared" si="418"/>
        <v>1.6416719325109873E-9</v>
      </c>
      <c r="CA421" s="44" t="str">
        <f t="shared" si="419"/>
        <v/>
      </c>
      <c r="CB421" s="44" t="str">
        <f t="shared" si="420"/>
        <v/>
      </c>
      <c r="CC421" s="44" t="str">
        <f t="shared" si="421"/>
        <v/>
      </c>
      <c r="CD421" s="44" t="str">
        <f t="shared" si="422"/>
        <v/>
      </c>
      <c r="CE421" s="44" t="str">
        <f t="shared" si="423"/>
        <v/>
      </c>
      <c r="CF421" s="44" t="str">
        <f t="shared" si="424"/>
        <v/>
      </c>
      <c r="CG421" s="44" t="str">
        <f t="shared" si="425"/>
        <v/>
      </c>
      <c r="CH421" s="44" t="str">
        <f t="shared" si="426"/>
        <v/>
      </c>
      <c r="CI421" s="44" t="str">
        <f t="shared" si="427"/>
        <v/>
      </c>
      <c r="CJ421" s="44" t="str">
        <f t="shared" si="428"/>
        <v/>
      </c>
      <c r="CK421" s="44" t="str">
        <f t="shared" si="429"/>
        <v/>
      </c>
      <c r="CL421" s="44" t="str">
        <f t="shared" si="430"/>
        <v/>
      </c>
      <c r="CM421" s="44" t="str">
        <f t="shared" si="431"/>
        <v/>
      </c>
      <c r="CN421" s="44" t="str">
        <f t="shared" si="432"/>
        <v/>
      </c>
      <c r="CO421" s="44" t="str">
        <f t="shared" si="433"/>
        <v/>
      </c>
      <c r="CP421" s="44" t="str">
        <f t="shared" si="434"/>
        <v/>
      </c>
      <c r="CQ421" s="44" t="str">
        <f t="shared" si="435"/>
        <v/>
      </c>
      <c r="CR421" s="44" t="str">
        <f t="shared" si="436"/>
        <v/>
      </c>
      <c r="CS421" s="44" t="str">
        <f t="shared" si="437"/>
        <v/>
      </c>
      <c r="CT421" s="44" t="str">
        <f t="shared" si="438"/>
        <v/>
      </c>
      <c r="CV421" s="44">
        <f t="shared" si="439"/>
        <v>0</v>
      </c>
    </row>
    <row r="422" spans="1:100" x14ac:dyDescent="0.25">
      <c r="A422" s="41"/>
      <c r="B422" s="42"/>
      <c r="C422" s="43" t="str" cm="1">
        <f t="array" ref="C422">IF(B422="","",INDEX(UWS!$B$10:$B$41,B422))</f>
        <v/>
      </c>
      <c r="D422" s="40" t="str">
        <f t="shared" si="396"/>
        <v/>
      </c>
      <c r="E422" s="69" t="str">
        <f t="shared" si="397"/>
        <v/>
      </c>
      <c r="F422" s="48" cm="1">
        <f t="array" ref="F422">0.1+IFERROR(INDEX($F$5:$F421,SUMPRODUCT(MAX(ROW($C$5:$C421)*($C422=$C$5:$C421))-ROW($A$4)))*0.9^($A422-INDEX($A$5:A421,SUMPRODUCT(MAX(ROW($C$5:$C421)*($C422=$C$5:$C421))-ROW($A$4)))),0)</f>
        <v>35.700000000000237</v>
      </c>
      <c r="G422" s="55" t="e">
        <f>INDEX(UWS!$AB$10:$AB$41,MATCH(C422,UWS!$B$10:$B$41,0))</f>
        <v>#N/A</v>
      </c>
      <c r="H422" s="48" t="e">
        <f>INDEX(UWS!$C$10:$C$41,MATCH(C422,UWS!$B$10:$B$41,0))</f>
        <v>#N/A</v>
      </c>
      <c r="I422" s="27">
        <f t="shared" si="398"/>
        <v>5</v>
      </c>
      <c r="J422" s="27" t="e">
        <f>INDEX(UWS!$E$10:$E$41,MATCH(C422,UWS!$B$10:$B$41,0))</f>
        <v>#N/A</v>
      </c>
      <c r="L422" s="108" t="str" cm="1">
        <f t="array" ref="L422">IF(K422="","",INDEX(UWS!$B$10:$B$41,K422))</f>
        <v/>
      </c>
      <c r="N422" s="108" t="str" cm="1">
        <f t="array" ref="N422">IF(M422="","",INDEX(UWS!$B$10:$B$41,M422))</f>
        <v/>
      </c>
      <c r="P422">
        <f>IFERROR(INDEX(UWS!$G$10:$Z$41,MATCH($C422,UWS!$B$10:$B$41,0),MATCH(P$4,UWS!$G$3:$Z$3,0)),0)</f>
        <v>0</v>
      </c>
      <c r="Q422">
        <f>IFERROR(INDEX(UWS!$G$10:$Z$41,MATCH($C422,UWS!$B$10:$B$41,0),MATCH(Q$4,UWS!$G$3:$Z$3,0)),0)</f>
        <v>0</v>
      </c>
      <c r="R422">
        <f>IFERROR(INDEX(UWS!$G$10:$Z$41,MATCH($C422,UWS!$B$10:$B$41,0),MATCH(R$4,UWS!$G$3:$Z$3,0)),0)</f>
        <v>0</v>
      </c>
      <c r="S422">
        <f>IFERROR(INDEX(UWS!$G$10:$Z$41,MATCH($C422,UWS!$B$10:$B$41,0),MATCH(S$4,UWS!$G$3:$Z$3,0)),0)</f>
        <v>0</v>
      </c>
      <c r="T422">
        <f>IFERROR(INDEX(UWS!$G$10:$Z$41,MATCH($C422,UWS!$B$10:$B$41,0),MATCH(T$4,UWS!$G$3:$Z$3,0)),0)</f>
        <v>0</v>
      </c>
      <c r="U422">
        <f>IFERROR(INDEX(UWS!$G$10:$Z$41,MATCH($C422,UWS!$B$10:$B$41,0),MATCH(U$4,UWS!$G$3:$Z$3,0)),0)</f>
        <v>0</v>
      </c>
      <c r="V422">
        <f>IFERROR(INDEX(UWS!$G$10:$Z$41,MATCH($C422,UWS!$B$10:$B$41,0),MATCH(V$4,UWS!$G$3:$Z$3,0)),0)</f>
        <v>0</v>
      </c>
      <c r="W422">
        <f>IFERROR(INDEX(UWS!$G$10:$Z$41,MATCH($C422,UWS!$B$10:$B$41,0),MATCH(W$4,UWS!$G$3:$Z$3,0)),0)</f>
        <v>0</v>
      </c>
      <c r="X422">
        <f>IFERROR(INDEX(UWS!$G$10:$Z$41,MATCH($C422,UWS!$B$10:$B$41,0),MATCH(X$4,UWS!$G$3:$Z$3,0)),0)</f>
        <v>0</v>
      </c>
      <c r="Y422">
        <f>IFERROR(INDEX(UWS!$G$10:$Z$41,MATCH($C422,UWS!$B$10:$B$41,0),MATCH(Y$4,UWS!$G$3:$Z$3,0)),0)</f>
        <v>0</v>
      </c>
      <c r="Z422">
        <f>IFERROR(INDEX(UWS!$G$10:$Z$41,MATCH($C422,UWS!$B$10:$B$41,0),MATCH(Z$4,UWS!$G$3:$Z$3,0)),0)</f>
        <v>0</v>
      </c>
      <c r="AA422">
        <f>IFERROR(INDEX(UWS!$G$10:$Z$41,MATCH($C422,UWS!$B$10:$B$41,0),MATCH(AA$4,UWS!$G$3:$Z$3,0)),0)</f>
        <v>0</v>
      </c>
      <c r="AB422">
        <f>IFERROR(INDEX(UWS!$G$10:$Z$41,MATCH($C422,UWS!$B$10:$B$41,0),MATCH(AB$4,UWS!$G$3:$Z$3,0)),0)</f>
        <v>0</v>
      </c>
      <c r="AC422">
        <f>IFERROR(INDEX(UWS!$G$10:$Z$41,MATCH($C422,UWS!$B$10:$B$41,0),MATCH(AC$4,UWS!$G$3:$Z$3,0)),0)</f>
        <v>0</v>
      </c>
      <c r="AD422">
        <f>IFERROR(INDEX(UWS!$G$10:$Z$41,MATCH($C422,UWS!$B$10:$B$41,0),MATCH(AD$4,UWS!$G$3:$Z$3,0)),0)</f>
        <v>0</v>
      </c>
      <c r="AE422">
        <f>IFERROR(INDEX(UWS!$G$10:$Z$41,MATCH($C422,UWS!$B$10:$B$41,0),MATCH(AE$4,UWS!$G$3:$Z$3,0)),0)</f>
        <v>0</v>
      </c>
      <c r="AF422">
        <f>IFERROR(INDEX(UWS!$G$10:$Z$41,MATCH($C422,UWS!$B$10:$B$41,0),MATCH(AF$4,UWS!$G$3:$Z$3,0)),0)</f>
        <v>0</v>
      </c>
      <c r="AG422">
        <f>IFERROR(INDEX(UWS!$G$10:$Z$41,MATCH($C422,UWS!$B$10:$B$41,0),MATCH(AG$4,UWS!$G$3:$Z$3,0)),0)</f>
        <v>0</v>
      </c>
      <c r="AH422">
        <f>IFERROR(INDEX(UWS!$G$10:$Z$41,MATCH($C422,UWS!$B$10:$B$41,0),MATCH(AH$4,UWS!$G$3:$Z$3,0)),0)</f>
        <v>0</v>
      </c>
      <c r="AI422">
        <f>IFERROR(INDEX(UWS!$G$10:$Z$41,MATCH($C422,UWS!$B$10:$B$41,0),MATCH(AI$4,UWS!$G$3:$Z$3,0)),0)</f>
        <v>0</v>
      </c>
      <c r="AK422" t="e">
        <f>IF(OR($J422=0,COUNTIFS($A$4:$A421,"&gt;="&amp;$A422-1,$A$4:$A421,"&lt;="&amp;$A422,$B$4:$B421,$B422)&gt;0,MIN(AK$1,IF($A422=$A421,AK421,1))-P422&lt;0),-1,MIN(1,IF($A422=$A421,AK421,1)-P422+$D$3))</f>
        <v>#N/A</v>
      </c>
      <c r="AL422" t="e">
        <f>IF(OR($J422=0,COUNTIFS($A$4:$A421,"&gt;="&amp;$A422-1,$A$4:$A421,"&lt;="&amp;$A422,$B$4:$B421,$B422)&gt;0,MIN(AL$1,IF($A422=$A421,AL421,1))-Q422&lt;0),-1,MIN(1,IF($A422=$A421,AL421,1)-Q422+$D$3))</f>
        <v>#N/A</v>
      </c>
      <c r="AM422" t="e">
        <f>IF(OR($J422=0,COUNTIFS($A$4:$A421,"&gt;="&amp;$A422-1,$A$4:$A421,"&lt;="&amp;$A422,$B$4:$B421,$B422)&gt;0,MIN(AM$1,IF($A422=$A421,AM421,1))-R422&lt;0),-1,MIN(1,IF($A422=$A421,AM421,1)-R422+$D$3))</f>
        <v>#N/A</v>
      </c>
      <c r="AN422" t="e">
        <f>IF(OR($J422=0,COUNTIFS($A$4:$A421,"&gt;="&amp;$A422-1,$A$4:$A421,"&lt;="&amp;$A422,$B$4:$B421,$B422)&gt;0,MIN(AN$1,IF($A422=$A421,AN421,1))-S422&lt;0),-1,MIN(1,IF($A422=$A421,AN421,1)-S422+$D$3))</f>
        <v>#N/A</v>
      </c>
      <c r="AO422" t="e">
        <f>IF(OR($J422=0,COUNTIFS($A$4:$A421,"&gt;="&amp;$A422-1,$A$4:$A421,"&lt;="&amp;$A422,$B$4:$B421,$B422)&gt;0,MIN(AO$1,IF($A422=$A421,AO421,1))-T422&lt;0),-1,MIN(1,IF($A422=$A421,AO421,1)-T422+$D$3))</f>
        <v>#N/A</v>
      </c>
      <c r="AP422" t="e">
        <f>IF(OR($J422=0,COUNTIFS($A$4:$A421,"&gt;="&amp;$A422-1,$A$4:$A421,"&lt;="&amp;$A422,$B$4:$B421,$B422)&gt;0,MIN(AP$1,IF($A422=$A421,AP421,1))-U422&lt;0),-1,MIN(1,IF($A422=$A421,AP421,1)-U422+$D$3))</f>
        <v>#N/A</v>
      </c>
      <c r="AQ422" t="e">
        <f>IF(OR($J422=0,COUNTIFS($A$4:$A421,"&gt;="&amp;$A422-1,$A$4:$A421,"&lt;="&amp;$A422,$B$4:$B421,$B422)&gt;0,MIN(AQ$1,IF($A422=$A421,AQ421,1))-V422&lt;0),-1,MIN(1,IF($A422=$A421,AQ421,1)-V422+$D$3))</f>
        <v>#N/A</v>
      </c>
      <c r="AR422" t="e">
        <f>IF(OR($J422=0,COUNTIFS($A$4:$A421,"&gt;="&amp;$A422-1,$A$4:$A421,"&lt;="&amp;$A422,$B$4:$B421,$B422)&gt;0,MIN(AR$1,IF($A422=$A421,AR421,1))-W422&lt;0),-1,MIN(1,IF($A422=$A421,AR421,1)-W422+$D$3))</f>
        <v>#N/A</v>
      </c>
      <c r="AS422" t="e">
        <f>IF(OR($J422=0,COUNTIFS($A$4:$A421,"&gt;="&amp;$A422-1,$A$4:$A421,"&lt;="&amp;$A422,$B$4:$B421,$B422)&gt;0,MIN(AS$1,IF($A422=$A421,AS421,1))-X422&lt;0),-1,MIN(1,IF($A422=$A421,AS421,1)-X422+$D$3))</f>
        <v>#N/A</v>
      </c>
      <c r="AT422" t="e">
        <f>IF(OR($J422=0,COUNTIFS($A$4:$A421,"&gt;="&amp;$A422-1,$A$4:$A421,"&lt;="&amp;$A422,$B$4:$B421,$B422)&gt;0,MIN(AT$1,IF($A422=$A421,AT421,1))-Y422&lt;0),-1,MIN(1,IF($A422=$A421,AT421,1)-Y422+$D$3))</f>
        <v>#N/A</v>
      </c>
      <c r="AU422" t="e">
        <f>IF(OR($J422=0,COUNTIFS($A$4:$A421,"&gt;="&amp;$A422-1,$A$4:$A421,"&lt;="&amp;$A422,$B$4:$B421,$B422)&gt;0,MIN(AU$1,IF($A422=$A421,AU421,1))-Z422&lt;0),-1,MIN(1,IF($A422=$A421,AU421,1)-Z422+$D$3))</f>
        <v>#N/A</v>
      </c>
      <c r="AV422" t="e">
        <f>IF(OR($J422=0,COUNTIFS($A$4:$A421,"&gt;="&amp;$A422-1,$A$4:$A421,"&lt;="&amp;$A422,$B$4:$B421,$B422)&gt;0,MIN(AV$1,IF($A422=$A421,AV421,1))-AA422&lt;0),-1,MIN(1,IF($A422=$A421,AV421,1)-AA422+$D$3))</f>
        <v>#N/A</v>
      </c>
      <c r="AW422" t="e">
        <f>IF(OR($J422=0,COUNTIFS($A$4:$A421,"&gt;="&amp;$A422-1,$A$4:$A421,"&lt;="&amp;$A422,$B$4:$B421,$B422)&gt;0,MIN(AW$1,IF($A422=$A421,AW421,1))-AB422&lt;0),-1,MIN(1,IF($A422=$A421,AW421,1)-AB422+$D$3))</f>
        <v>#N/A</v>
      </c>
      <c r="AX422" t="e">
        <f>IF(OR($J422=0,COUNTIFS($A$4:$A421,"&gt;="&amp;$A422-1,$A$4:$A421,"&lt;="&amp;$A422,$B$4:$B421,$B422)&gt;0,MIN(AX$1,IF($A422=$A421,AX421,1))-AC422&lt;0),-1,MIN(1,IF($A422=$A421,AX421,1)-AC422+$D$3))</f>
        <v>#N/A</v>
      </c>
      <c r="AY422" t="e">
        <f>IF(OR($J422=0,COUNTIFS($A$4:$A421,"&gt;="&amp;$A422-1,$A$4:$A421,"&lt;="&amp;$A422,$B$4:$B421,$B422)&gt;0,MIN(AY$1,IF($A422=$A421,AY421,1))-AD422&lt;0),-1,MIN(1,IF($A422=$A421,AY421,1)-AD422+$D$3))</f>
        <v>#N/A</v>
      </c>
      <c r="AZ422" t="e">
        <f>IF(OR($J422=0,COUNTIFS($A$4:$A421,"&gt;="&amp;$A422-1,$A$4:$A421,"&lt;="&amp;$A422,$B$4:$B421,$B422)&gt;0,MIN(AZ$1,IF($A422=$A421,AZ421,1))-AE422&lt;0),-1,MIN(1,IF($A422=$A421,AZ421,1)-AE422+$D$3))</f>
        <v>#N/A</v>
      </c>
      <c r="BA422" t="e">
        <f>IF(OR($J422=0,COUNTIFS($A$4:$A421,"&gt;="&amp;$A422-1,$A$4:$A421,"&lt;="&amp;$A422,$B$4:$B421,$B422)&gt;0,MIN(BA$1,IF($A422=$A421,BA421,1))-AF422&lt;0),-1,MIN(1,IF($A422=$A421,BA421,1)-AF422+$D$3))</f>
        <v>#N/A</v>
      </c>
      <c r="BB422" t="e">
        <f>IF(OR($J422=0,COUNTIFS($A$4:$A421,"&gt;="&amp;$A422-1,$A$4:$A421,"&lt;="&amp;$A422,$B$4:$B421,$B422)&gt;0,MIN(BB$1,IF($A422=$A421,BB421,1))-AG422&lt;0),-1,MIN(1,IF($A422=$A421,BB421,1)-AG422+$D$3))</f>
        <v>#N/A</v>
      </c>
      <c r="BC422" t="e">
        <f>IF(OR($J422=0,COUNTIFS($A$4:$A421,"&gt;="&amp;$A422-1,$A$4:$A421,"&lt;="&amp;$A422,$B$4:$B421,$B422)&gt;0,MIN(BC$1,IF($A422=$A421,BC421,1))-AH422&lt;0),-1,MIN(1,IF($A422=$A421,BC421,1)-AH422+$D$3))</f>
        <v>#N/A</v>
      </c>
      <c r="BD422" t="e">
        <f>IF(OR($J422=0,COUNTIFS($A$4:$A421,"&gt;="&amp;$A422-1,$A$4:$A421,"&lt;="&amp;$A422,$B$4:$B421,$B422)&gt;0,MIN(BD$1,IF($A422=$A421,BD421,1))-AI422&lt;0),-1,MIN(1,IF($A422=$A421,BD421,1)-AI422+$D$3))</f>
        <v>#N/A</v>
      </c>
      <c r="BF422" s="44">
        <f t="shared" si="399"/>
        <v>1.034601025380956E-9</v>
      </c>
      <c r="BG422" s="44">
        <f t="shared" si="400"/>
        <v>2.5443758664341562E-9</v>
      </c>
      <c r="BH422" s="44">
        <f t="shared" si="401"/>
        <v>2.6077176209655881E-9</v>
      </c>
      <c r="BI422" s="44">
        <f t="shared" si="402"/>
        <v>2.4088070795371849E-9</v>
      </c>
      <c r="BJ422" s="44">
        <f t="shared" si="403"/>
        <v>2.4897307991137402E-9</v>
      </c>
      <c r="BK422" s="44">
        <f t="shared" si="404"/>
        <v>1.0691832346018784E-9</v>
      </c>
      <c r="BL422" s="44">
        <f t="shared" si="405"/>
        <v>5.7758960414415289E-10</v>
      </c>
      <c r="BM422" s="44">
        <f t="shared" si="406"/>
        <v>1.4693205048960496E-9</v>
      </c>
      <c r="BN422" s="44">
        <f t="shared" si="407"/>
        <v>1.5282078371454336E-9</v>
      </c>
      <c r="BO422" s="44">
        <f t="shared" si="408"/>
        <v>7.161761813180134E-10</v>
      </c>
      <c r="BP422" s="44">
        <f t="shared" si="409"/>
        <v>2.4081264531343947E-9</v>
      </c>
      <c r="BQ422" s="44">
        <f t="shared" si="410"/>
        <v>6.4985364456148539E-10</v>
      </c>
      <c r="BR422" s="44">
        <f t="shared" si="411"/>
        <v>1.9198303414142384E-9</v>
      </c>
      <c r="BS422" s="44">
        <f t="shared" si="412"/>
        <v>1.0353899794918834E-9</v>
      </c>
      <c r="BT422" s="44">
        <f t="shared" si="413"/>
        <v>4.0973555750313467E-9</v>
      </c>
      <c r="BU422" s="44">
        <f t="shared" si="414"/>
        <v>3.9142075155704122E-9</v>
      </c>
      <c r="BV422" s="44">
        <f t="shared" si="415"/>
        <v>3.7590753992398682E-9</v>
      </c>
      <c r="BW422" s="44">
        <f t="shared" si="416"/>
        <v>2.4586421745904595E-9</v>
      </c>
      <c r="BX422" s="44">
        <f t="shared" si="417"/>
        <v>1.8164001914838579E-9</v>
      </c>
      <c r="BY422" s="44">
        <f t="shared" si="418"/>
        <v>1.5595883358854378E-9</v>
      </c>
      <c r="CA422" s="44" t="str">
        <f t="shared" si="419"/>
        <v/>
      </c>
      <c r="CB422" s="44" t="str">
        <f t="shared" si="420"/>
        <v/>
      </c>
      <c r="CC422" s="44" t="str">
        <f t="shared" si="421"/>
        <v/>
      </c>
      <c r="CD422" s="44" t="str">
        <f t="shared" si="422"/>
        <v/>
      </c>
      <c r="CE422" s="44" t="str">
        <f t="shared" si="423"/>
        <v/>
      </c>
      <c r="CF422" s="44" t="str">
        <f t="shared" si="424"/>
        <v/>
      </c>
      <c r="CG422" s="44" t="str">
        <f t="shared" si="425"/>
        <v/>
      </c>
      <c r="CH422" s="44" t="str">
        <f t="shared" si="426"/>
        <v/>
      </c>
      <c r="CI422" s="44" t="str">
        <f t="shared" si="427"/>
        <v/>
      </c>
      <c r="CJ422" s="44" t="str">
        <f t="shared" si="428"/>
        <v/>
      </c>
      <c r="CK422" s="44" t="str">
        <f t="shared" si="429"/>
        <v/>
      </c>
      <c r="CL422" s="44" t="str">
        <f t="shared" si="430"/>
        <v/>
      </c>
      <c r="CM422" s="44" t="str">
        <f t="shared" si="431"/>
        <v/>
      </c>
      <c r="CN422" s="44" t="str">
        <f t="shared" si="432"/>
        <v/>
      </c>
      <c r="CO422" s="44" t="str">
        <f t="shared" si="433"/>
        <v/>
      </c>
      <c r="CP422" s="44" t="str">
        <f t="shared" si="434"/>
        <v/>
      </c>
      <c r="CQ422" s="44" t="str">
        <f t="shared" si="435"/>
        <v/>
      </c>
      <c r="CR422" s="44" t="str">
        <f t="shared" si="436"/>
        <v/>
      </c>
      <c r="CS422" s="44" t="str">
        <f t="shared" si="437"/>
        <v/>
      </c>
      <c r="CT422" s="44" t="str">
        <f t="shared" si="438"/>
        <v/>
      </c>
      <c r="CV422" s="44">
        <f t="shared" si="439"/>
        <v>0</v>
      </c>
    </row>
    <row r="423" spans="1:100" x14ac:dyDescent="0.25">
      <c r="A423" s="41"/>
      <c r="B423" s="42"/>
      <c r="C423" s="43" t="str" cm="1">
        <f t="array" ref="C423">IF(B423="","",INDEX(UWS!$B$10:$B$41,B423))</f>
        <v/>
      </c>
      <c r="D423" s="40" t="str">
        <f t="shared" si="396"/>
        <v/>
      </c>
      <c r="E423" s="69" t="str">
        <f t="shared" si="397"/>
        <v/>
      </c>
      <c r="F423" s="48" cm="1">
        <f t="array" ref="F423">0.1+IFERROR(INDEX($F$5:$F422,SUMPRODUCT(MAX(ROW($C$5:$C422)*($C423=$C$5:$C422))-ROW($A$4)))*0.9^($A423-INDEX($A$5:A422,SUMPRODUCT(MAX(ROW($C$5:$C422)*($C423=$C$5:$C422))-ROW($A$4)))),0)</f>
        <v>35.800000000000239</v>
      </c>
      <c r="G423" s="55" t="e">
        <f>INDEX(UWS!$AB$10:$AB$41,MATCH(C423,UWS!$B$10:$B$41,0))</f>
        <v>#N/A</v>
      </c>
      <c r="H423" s="48" t="e">
        <f>INDEX(UWS!$C$10:$C$41,MATCH(C423,UWS!$B$10:$B$41,0))</f>
        <v>#N/A</v>
      </c>
      <c r="I423" s="27">
        <f t="shared" si="398"/>
        <v>5</v>
      </c>
      <c r="J423" s="27" t="e">
        <f>INDEX(UWS!$E$10:$E$41,MATCH(C423,UWS!$B$10:$B$41,0))</f>
        <v>#N/A</v>
      </c>
      <c r="L423" s="108" t="str" cm="1">
        <f t="array" ref="L423">IF(K423="","",INDEX(UWS!$B$10:$B$41,K423))</f>
        <v/>
      </c>
      <c r="N423" s="108" t="str" cm="1">
        <f t="array" ref="N423">IF(M423="","",INDEX(UWS!$B$10:$B$41,M423))</f>
        <v/>
      </c>
      <c r="P423">
        <f>IFERROR(INDEX(UWS!$G$10:$Z$41,MATCH($C423,UWS!$B$10:$B$41,0),MATCH(P$4,UWS!$G$3:$Z$3,0)),0)</f>
        <v>0</v>
      </c>
      <c r="Q423">
        <f>IFERROR(INDEX(UWS!$G$10:$Z$41,MATCH($C423,UWS!$B$10:$B$41,0),MATCH(Q$4,UWS!$G$3:$Z$3,0)),0)</f>
        <v>0</v>
      </c>
      <c r="R423">
        <f>IFERROR(INDEX(UWS!$G$10:$Z$41,MATCH($C423,UWS!$B$10:$B$41,0),MATCH(R$4,UWS!$G$3:$Z$3,0)),0)</f>
        <v>0</v>
      </c>
      <c r="S423">
        <f>IFERROR(INDEX(UWS!$G$10:$Z$41,MATCH($C423,UWS!$B$10:$B$41,0),MATCH(S$4,UWS!$G$3:$Z$3,0)),0)</f>
        <v>0</v>
      </c>
      <c r="T423">
        <f>IFERROR(INDEX(UWS!$G$10:$Z$41,MATCH($C423,UWS!$B$10:$B$41,0),MATCH(T$4,UWS!$G$3:$Z$3,0)),0)</f>
        <v>0</v>
      </c>
      <c r="U423">
        <f>IFERROR(INDEX(UWS!$G$10:$Z$41,MATCH($C423,UWS!$B$10:$B$41,0),MATCH(U$4,UWS!$G$3:$Z$3,0)),0)</f>
        <v>0</v>
      </c>
      <c r="V423">
        <f>IFERROR(INDEX(UWS!$G$10:$Z$41,MATCH($C423,UWS!$B$10:$B$41,0),MATCH(V$4,UWS!$G$3:$Z$3,0)),0)</f>
        <v>0</v>
      </c>
      <c r="W423">
        <f>IFERROR(INDEX(UWS!$G$10:$Z$41,MATCH($C423,UWS!$B$10:$B$41,0),MATCH(W$4,UWS!$G$3:$Z$3,0)),0)</f>
        <v>0</v>
      </c>
      <c r="X423">
        <f>IFERROR(INDEX(UWS!$G$10:$Z$41,MATCH($C423,UWS!$B$10:$B$41,0),MATCH(X$4,UWS!$G$3:$Z$3,0)),0)</f>
        <v>0</v>
      </c>
      <c r="Y423">
        <f>IFERROR(INDEX(UWS!$G$10:$Z$41,MATCH($C423,UWS!$B$10:$B$41,0),MATCH(Y$4,UWS!$G$3:$Z$3,0)),0)</f>
        <v>0</v>
      </c>
      <c r="Z423">
        <f>IFERROR(INDEX(UWS!$G$10:$Z$41,MATCH($C423,UWS!$B$10:$B$41,0),MATCH(Z$4,UWS!$G$3:$Z$3,0)),0)</f>
        <v>0</v>
      </c>
      <c r="AA423">
        <f>IFERROR(INDEX(UWS!$G$10:$Z$41,MATCH($C423,UWS!$B$10:$B$41,0),MATCH(AA$4,UWS!$G$3:$Z$3,0)),0)</f>
        <v>0</v>
      </c>
      <c r="AB423">
        <f>IFERROR(INDEX(UWS!$G$10:$Z$41,MATCH($C423,UWS!$B$10:$B$41,0),MATCH(AB$4,UWS!$G$3:$Z$3,0)),0)</f>
        <v>0</v>
      </c>
      <c r="AC423">
        <f>IFERROR(INDEX(UWS!$G$10:$Z$41,MATCH($C423,UWS!$B$10:$B$41,0),MATCH(AC$4,UWS!$G$3:$Z$3,0)),0)</f>
        <v>0</v>
      </c>
      <c r="AD423">
        <f>IFERROR(INDEX(UWS!$G$10:$Z$41,MATCH($C423,UWS!$B$10:$B$41,0),MATCH(AD$4,UWS!$G$3:$Z$3,0)),0)</f>
        <v>0</v>
      </c>
      <c r="AE423">
        <f>IFERROR(INDEX(UWS!$G$10:$Z$41,MATCH($C423,UWS!$B$10:$B$41,0),MATCH(AE$4,UWS!$G$3:$Z$3,0)),0)</f>
        <v>0</v>
      </c>
      <c r="AF423">
        <f>IFERROR(INDEX(UWS!$G$10:$Z$41,MATCH($C423,UWS!$B$10:$B$41,0),MATCH(AF$4,UWS!$G$3:$Z$3,0)),0)</f>
        <v>0</v>
      </c>
      <c r="AG423">
        <f>IFERROR(INDEX(UWS!$G$10:$Z$41,MATCH($C423,UWS!$B$10:$B$41,0),MATCH(AG$4,UWS!$G$3:$Z$3,0)),0)</f>
        <v>0</v>
      </c>
      <c r="AH423">
        <f>IFERROR(INDEX(UWS!$G$10:$Z$41,MATCH($C423,UWS!$B$10:$B$41,0),MATCH(AH$4,UWS!$G$3:$Z$3,0)),0)</f>
        <v>0</v>
      </c>
      <c r="AI423">
        <f>IFERROR(INDEX(UWS!$G$10:$Z$41,MATCH($C423,UWS!$B$10:$B$41,0),MATCH(AI$4,UWS!$G$3:$Z$3,0)),0)</f>
        <v>0</v>
      </c>
      <c r="AK423" t="e">
        <f>IF(OR($J423=0,COUNTIFS($A$4:$A422,"&gt;="&amp;$A423-1,$A$4:$A422,"&lt;="&amp;$A423,$B$4:$B422,$B423)&gt;0,MIN(AK$1,IF($A423=$A422,AK422,1))-P423&lt;0),-1,MIN(1,IF($A423=$A422,AK422,1)-P423+$D$3))</f>
        <v>#N/A</v>
      </c>
      <c r="AL423" t="e">
        <f>IF(OR($J423=0,COUNTIFS($A$4:$A422,"&gt;="&amp;$A423-1,$A$4:$A422,"&lt;="&amp;$A423,$B$4:$B422,$B423)&gt;0,MIN(AL$1,IF($A423=$A422,AL422,1))-Q423&lt;0),-1,MIN(1,IF($A423=$A422,AL422,1)-Q423+$D$3))</f>
        <v>#N/A</v>
      </c>
      <c r="AM423" t="e">
        <f>IF(OR($J423=0,COUNTIFS($A$4:$A422,"&gt;="&amp;$A423-1,$A$4:$A422,"&lt;="&amp;$A423,$B$4:$B422,$B423)&gt;0,MIN(AM$1,IF($A423=$A422,AM422,1))-R423&lt;0),-1,MIN(1,IF($A423=$A422,AM422,1)-R423+$D$3))</f>
        <v>#N/A</v>
      </c>
      <c r="AN423" t="e">
        <f>IF(OR($J423=0,COUNTIFS($A$4:$A422,"&gt;="&amp;$A423-1,$A$4:$A422,"&lt;="&amp;$A423,$B$4:$B422,$B423)&gt;0,MIN(AN$1,IF($A423=$A422,AN422,1))-S423&lt;0),-1,MIN(1,IF($A423=$A422,AN422,1)-S423+$D$3))</f>
        <v>#N/A</v>
      </c>
      <c r="AO423" t="e">
        <f>IF(OR($J423=0,COUNTIFS($A$4:$A422,"&gt;="&amp;$A423-1,$A$4:$A422,"&lt;="&amp;$A423,$B$4:$B422,$B423)&gt;0,MIN(AO$1,IF($A423=$A422,AO422,1))-T423&lt;0),-1,MIN(1,IF($A423=$A422,AO422,1)-T423+$D$3))</f>
        <v>#N/A</v>
      </c>
      <c r="AP423" t="e">
        <f>IF(OR($J423=0,COUNTIFS($A$4:$A422,"&gt;="&amp;$A423-1,$A$4:$A422,"&lt;="&amp;$A423,$B$4:$B422,$B423)&gt;0,MIN(AP$1,IF($A423=$A422,AP422,1))-U423&lt;0),-1,MIN(1,IF($A423=$A422,AP422,1)-U423+$D$3))</f>
        <v>#N/A</v>
      </c>
      <c r="AQ423" t="e">
        <f>IF(OR($J423=0,COUNTIFS($A$4:$A422,"&gt;="&amp;$A423-1,$A$4:$A422,"&lt;="&amp;$A423,$B$4:$B422,$B423)&gt;0,MIN(AQ$1,IF($A423=$A422,AQ422,1))-V423&lt;0),-1,MIN(1,IF($A423=$A422,AQ422,1)-V423+$D$3))</f>
        <v>#N/A</v>
      </c>
      <c r="AR423" t="e">
        <f>IF(OR($J423=0,COUNTIFS($A$4:$A422,"&gt;="&amp;$A423-1,$A$4:$A422,"&lt;="&amp;$A423,$B$4:$B422,$B423)&gt;0,MIN(AR$1,IF($A423=$A422,AR422,1))-W423&lt;0),-1,MIN(1,IF($A423=$A422,AR422,1)-W423+$D$3))</f>
        <v>#N/A</v>
      </c>
      <c r="AS423" t="e">
        <f>IF(OR($J423=0,COUNTIFS($A$4:$A422,"&gt;="&amp;$A423-1,$A$4:$A422,"&lt;="&amp;$A423,$B$4:$B422,$B423)&gt;0,MIN(AS$1,IF($A423=$A422,AS422,1))-X423&lt;0),-1,MIN(1,IF($A423=$A422,AS422,1)-X423+$D$3))</f>
        <v>#N/A</v>
      </c>
      <c r="AT423" t="e">
        <f>IF(OR($J423=0,COUNTIFS($A$4:$A422,"&gt;="&amp;$A423-1,$A$4:$A422,"&lt;="&amp;$A423,$B$4:$B422,$B423)&gt;0,MIN(AT$1,IF($A423=$A422,AT422,1))-Y423&lt;0),-1,MIN(1,IF($A423=$A422,AT422,1)-Y423+$D$3))</f>
        <v>#N/A</v>
      </c>
      <c r="AU423" t="e">
        <f>IF(OR($J423=0,COUNTIFS($A$4:$A422,"&gt;="&amp;$A423-1,$A$4:$A422,"&lt;="&amp;$A423,$B$4:$B422,$B423)&gt;0,MIN(AU$1,IF($A423=$A422,AU422,1))-Z423&lt;0),-1,MIN(1,IF($A423=$A422,AU422,1)-Z423+$D$3))</f>
        <v>#N/A</v>
      </c>
      <c r="AV423" t="e">
        <f>IF(OR($J423=0,COUNTIFS($A$4:$A422,"&gt;="&amp;$A423-1,$A$4:$A422,"&lt;="&amp;$A423,$B$4:$B422,$B423)&gt;0,MIN(AV$1,IF($A423=$A422,AV422,1))-AA423&lt;0),-1,MIN(1,IF($A423=$A422,AV422,1)-AA423+$D$3))</f>
        <v>#N/A</v>
      </c>
      <c r="AW423" t="e">
        <f>IF(OR($J423=0,COUNTIFS($A$4:$A422,"&gt;="&amp;$A423-1,$A$4:$A422,"&lt;="&amp;$A423,$B$4:$B422,$B423)&gt;0,MIN(AW$1,IF($A423=$A422,AW422,1))-AB423&lt;0),-1,MIN(1,IF($A423=$A422,AW422,1)-AB423+$D$3))</f>
        <v>#N/A</v>
      </c>
      <c r="AX423" t="e">
        <f>IF(OR($J423=0,COUNTIFS($A$4:$A422,"&gt;="&amp;$A423-1,$A$4:$A422,"&lt;="&amp;$A423,$B$4:$B422,$B423)&gt;0,MIN(AX$1,IF($A423=$A422,AX422,1))-AC423&lt;0),-1,MIN(1,IF($A423=$A422,AX422,1)-AC423+$D$3))</f>
        <v>#N/A</v>
      </c>
      <c r="AY423" t="e">
        <f>IF(OR($J423=0,COUNTIFS($A$4:$A422,"&gt;="&amp;$A423-1,$A$4:$A422,"&lt;="&amp;$A423,$B$4:$B422,$B423)&gt;0,MIN(AY$1,IF($A423=$A422,AY422,1))-AD423&lt;0),-1,MIN(1,IF($A423=$A422,AY422,1)-AD423+$D$3))</f>
        <v>#N/A</v>
      </c>
      <c r="AZ423" t="e">
        <f>IF(OR($J423=0,COUNTIFS($A$4:$A422,"&gt;="&amp;$A423-1,$A$4:$A422,"&lt;="&amp;$A423,$B$4:$B422,$B423)&gt;0,MIN(AZ$1,IF($A423=$A422,AZ422,1))-AE423&lt;0),-1,MIN(1,IF($A423=$A422,AZ422,1)-AE423+$D$3))</f>
        <v>#N/A</v>
      </c>
      <c r="BA423" t="e">
        <f>IF(OR($J423=0,COUNTIFS($A$4:$A422,"&gt;="&amp;$A423-1,$A$4:$A422,"&lt;="&amp;$A423,$B$4:$B422,$B423)&gt;0,MIN(BA$1,IF($A423=$A422,BA422,1))-AF423&lt;0),-1,MIN(1,IF($A423=$A422,BA422,1)-AF423+$D$3))</f>
        <v>#N/A</v>
      </c>
      <c r="BB423" t="e">
        <f>IF(OR($J423=0,COUNTIFS($A$4:$A422,"&gt;="&amp;$A423-1,$A$4:$A422,"&lt;="&amp;$A423,$B$4:$B422,$B423)&gt;0,MIN(BB$1,IF($A423=$A422,BB422,1))-AG423&lt;0),-1,MIN(1,IF($A423=$A422,BB422,1)-AG423+$D$3))</f>
        <v>#N/A</v>
      </c>
      <c r="BC423" t="e">
        <f>IF(OR($J423=0,COUNTIFS($A$4:$A422,"&gt;="&amp;$A423-1,$A$4:$A422,"&lt;="&amp;$A423,$B$4:$B422,$B423)&gt;0,MIN(BC$1,IF($A423=$A422,BC422,1))-AH423&lt;0),-1,MIN(1,IF($A423=$A422,BC422,1)-AH423+$D$3))</f>
        <v>#N/A</v>
      </c>
      <c r="BD423" t="e">
        <f>IF(OR($J423=0,COUNTIFS($A$4:$A422,"&gt;="&amp;$A423-1,$A$4:$A422,"&lt;="&amp;$A423,$B$4:$B422,$B423)&gt;0,MIN(BD$1,IF($A423=$A422,BD422,1))-AI423&lt;0),-1,MIN(1,IF($A423=$A422,BD422,1)-AI423+$D$3))</f>
        <v>#N/A</v>
      </c>
      <c r="BF423" s="44">
        <f t="shared" si="399"/>
        <v>9.8287097411190812E-10</v>
      </c>
      <c r="BG423" s="44">
        <f t="shared" si="400"/>
        <v>2.4171570731124481E-9</v>
      </c>
      <c r="BH423" s="44">
        <f t="shared" si="401"/>
        <v>2.4773317399173085E-9</v>
      </c>
      <c r="BI423" s="44">
        <f t="shared" si="402"/>
        <v>2.2883667255603253E-9</v>
      </c>
      <c r="BJ423" s="44">
        <f t="shared" si="403"/>
        <v>2.3652442591580529E-9</v>
      </c>
      <c r="BK423" s="44">
        <f t="shared" si="404"/>
        <v>1.0157240728717846E-9</v>
      </c>
      <c r="BL423" s="44">
        <f t="shared" si="405"/>
        <v>5.4871012393694522E-10</v>
      </c>
      <c r="BM423" s="44">
        <f t="shared" si="406"/>
        <v>1.395854479651247E-9</v>
      </c>
      <c r="BN423" s="44">
        <f t="shared" si="407"/>
        <v>1.4517974452881618E-9</v>
      </c>
      <c r="BO423" s="44">
        <f t="shared" si="408"/>
        <v>6.8036737225211272E-10</v>
      </c>
      <c r="BP423" s="44">
        <f t="shared" si="409"/>
        <v>2.2877201304776749E-9</v>
      </c>
      <c r="BQ423" s="44">
        <f t="shared" si="410"/>
        <v>6.1736096233341112E-10</v>
      </c>
      <c r="BR423" s="44">
        <f t="shared" si="411"/>
        <v>1.8238388243435263E-9</v>
      </c>
      <c r="BS423" s="44">
        <f t="shared" si="412"/>
        <v>9.8362048051728921E-10</v>
      </c>
      <c r="BT423" s="44">
        <f t="shared" si="413"/>
        <v>3.8924877962797794E-9</v>
      </c>
      <c r="BU423" s="44">
        <f t="shared" si="414"/>
        <v>3.7184971397918913E-9</v>
      </c>
      <c r="BV423" s="44">
        <f t="shared" si="415"/>
        <v>3.5711216292778746E-9</v>
      </c>
      <c r="BW423" s="44">
        <f t="shared" si="416"/>
        <v>2.3357100658609364E-9</v>
      </c>
      <c r="BX423" s="44">
        <f t="shared" si="417"/>
        <v>1.7255801819096649E-9</v>
      </c>
      <c r="BY423" s="44">
        <f t="shared" si="418"/>
        <v>1.4816089190911659E-9</v>
      </c>
      <c r="CA423" s="44" t="str">
        <f t="shared" si="419"/>
        <v/>
      </c>
      <c r="CB423" s="44" t="str">
        <f t="shared" si="420"/>
        <v/>
      </c>
      <c r="CC423" s="44" t="str">
        <f t="shared" si="421"/>
        <v/>
      </c>
      <c r="CD423" s="44" t="str">
        <f t="shared" si="422"/>
        <v/>
      </c>
      <c r="CE423" s="44" t="str">
        <f t="shared" si="423"/>
        <v/>
      </c>
      <c r="CF423" s="44" t="str">
        <f t="shared" si="424"/>
        <v/>
      </c>
      <c r="CG423" s="44" t="str">
        <f t="shared" si="425"/>
        <v/>
      </c>
      <c r="CH423" s="44" t="str">
        <f t="shared" si="426"/>
        <v/>
      </c>
      <c r="CI423" s="44" t="str">
        <f t="shared" si="427"/>
        <v/>
      </c>
      <c r="CJ423" s="44" t="str">
        <f t="shared" si="428"/>
        <v/>
      </c>
      <c r="CK423" s="44" t="str">
        <f t="shared" si="429"/>
        <v/>
      </c>
      <c r="CL423" s="44" t="str">
        <f t="shared" si="430"/>
        <v/>
      </c>
      <c r="CM423" s="44" t="str">
        <f t="shared" si="431"/>
        <v/>
      </c>
      <c r="CN423" s="44" t="str">
        <f t="shared" si="432"/>
        <v/>
      </c>
      <c r="CO423" s="44" t="str">
        <f t="shared" si="433"/>
        <v/>
      </c>
      <c r="CP423" s="44" t="str">
        <f t="shared" si="434"/>
        <v/>
      </c>
      <c r="CQ423" s="44" t="str">
        <f t="shared" si="435"/>
        <v/>
      </c>
      <c r="CR423" s="44" t="str">
        <f t="shared" si="436"/>
        <v/>
      </c>
      <c r="CS423" s="44" t="str">
        <f t="shared" si="437"/>
        <v/>
      </c>
      <c r="CT423" s="44" t="str">
        <f t="shared" si="438"/>
        <v/>
      </c>
      <c r="CV423" s="44">
        <f t="shared" si="439"/>
        <v>0</v>
      </c>
    </row>
    <row r="424" spans="1:100" x14ac:dyDescent="0.25">
      <c r="A424" s="41"/>
      <c r="B424" s="42"/>
      <c r="C424" s="43" t="str" cm="1">
        <f t="array" ref="C424">IF(B424="","",INDEX(UWS!$B$10:$B$41,B424))</f>
        <v/>
      </c>
      <c r="D424" s="40" t="str">
        <f t="shared" si="396"/>
        <v/>
      </c>
      <c r="E424" s="69" t="str">
        <f t="shared" si="397"/>
        <v/>
      </c>
      <c r="F424" s="48" cm="1">
        <f t="array" ref="F424">0.1+IFERROR(INDEX($F$5:$F423,SUMPRODUCT(MAX(ROW($C$5:$C423)*($C424=$C$5:$C423))-ROW($A$4)))*0.9^($A424-INDEX($A$5:A423,SUMPRODUCT(MAX(ROW($C$5:$C423)*($C424=$C$5:$C423))-ROW($A$4)))),0)</f>
        <v>35.90000000000024</v>
      </c>
      <c r="G424" s="55" t="e">
        <f>INDEX(UWS!$AB$10:$AB$41,MATCH(C424,UWS!$B$10:$B$41,0))</f>
        <v>#N/A</v>
      </c>
      <c r="H424" s="48" t="e">
        <f>INDEX(UWS!$C$10:$C$41,MATCH(C424,UWS!$B$10:$B$41,0))</f>
        <v>#N/A</v>
      </c>
      <c r="I424" s="27">
        <f t="shared" si="398"/>
        <v>5</v>
      </c>
      <c r="J424" s="27" t="e">
        <f>INDEX(UWS!$E$10:$E$41,MATCH(C424,UWS!$B$10:$B$41,0))</f>
        <v>#N/A</v>
      </c>
      <c r="L424" s="108" t="str" cm="1">
        <f t="array" ref="L424">IF(K424="","",INDEX(UWS!$B$10:$B$41,K424))</f>
        <v/>
      </c>
      <c r="N424" s="108" t="str" cm="1">
        <f t="array" ref="N424">IF(M424="","",INDEX(UWS!$B$10:$B$41,M424))</f>
        <v/>
      </c>
      <c r="P424">
        <f>IFERROR(INDEX(UWS!$G$10:$Z$41,MATCH($C424,UWS!$B$10:$B$41,0),MATCH(P$4,UWS!$G$3:$Z$3,0)),0)</f>
        <v>0</v>
      </c>
      <c r="Q424">
        <f>IFERROR(INDEX(UWS!$G$10:$Z$41,MATCH($C424,UWS!$B$10:$B$41,0),MATCH(Q$4,UWS!$G$3:$Z$3,0)),0)</f>
        <v>0</v>
      </c>
      <c r="R424">
        <f>IFERROR(INDEX(UWS!$G$10:$Z$41,MATCH($C424,UWS!$B$10:$B$41,0),MATCH(R$4,UWS!$G$3:$Z$3,0)),0)</f>
        <v>0</v>
      </c>
      <c r="S424">
        <f>IFERROR(INDEX(UWS!$G$10:$Z$41,MATCH($C424,UWS!$B$10:$B$41,0),MATCH(S$4,UWS!$G$3:$Z$3,0)),0)</f>
        <v>0</v>
      </c>
      <c r="T424">
        <f>IFERROR(INDEX(UWS!$G$10:$Z$41,MATCH($C424,UWS!$B$10:$B$41,0),MATCH(T$4,UWS!$G$3:$Z$3,0)),0)</f>
        <v>0</v>
      </c>
      <c r="U424">
        <f>IFERROR(INDEX(UWS!$G$10:$Z$41,MATCH($C424,UWS!$B$10:$B$41,0),MATCH(U$4,UWS!$G$3:$Z$3,0)),0)</f>
        <v>0</v>
      </c>
      <c r="V424">
        <f>IFERROR(INDEX(UWS!$G$10:$Z$41,MATCH($C424,UWS!$B$10:$B$41,0),MATCH(V$4,UWS!$G$3:$Z$3,0)),0)</f>
        <v>0</v>
      </c>
      <c r="W424">
        <f>IFERROR(INDEX(UWS!$G$10:$Z$41,MATCH($C424,UWS!$B$10:$B$41,0),MATCH(W$4,UWS!$G$3:$Z$3,0)),0)</f>
        <v>0</v>
      </c>
      <c r="X424">
        <f>IFERROR(INDEX(UWS!$G$10:$Z$41,MATCH($C424,UWS!$B$10:$B$41,0),MATCH(X$4,UWS!$G$3:$Z$3,0)),0)</f>
        <v>0</v>
      </c>
      <c r="Y424">
        <f>IFERROR(INDEX(UWS!$G$10:$Z$41,MATCH($C424,UWS!$B$10:$B$41,0),MATCH(Y$4,UWS!$G$3:$Z$3,0)),0)</f>
        <v>0</v>
      </c>
      <c r="Z424">
        <f>IFERROR(INDEX(UWS!$G$10:$Z$41,MATCH($C424,UWS!$B$10:$B$41,0),MATCH(Z$4,UWS!$G$3:$Z$3,0)),0)</f>
        <v>0</v>
      </c>
      <c r="AA424">
        <f>IFERROR(INDEX(UWS!$G$10:$Z$41,MATCH($C424,UWS!$B$10:$B$41,0),MATCH(AA$4,UWS!$G$3:$Z$3,0)),0)</f>
        <v>0</v>
      </c>
      <c r="AB424">
        <f>IFERROR(INDEX(UWS!$G$10:$Z$41,MATCH($C424,UWS!$B$10:$B$41,0),MATCH(AB$4,UWS!$G$3:$Z$3,0)),0)</f>
        <v>0</v>
      </c>
      <c r="AC424">
        <f>IFERROR(INDEX(UWS!$G$10:$Z$41,MATCH($C424,UWS!$B$10:$B$41,0),MATCH(AC$4,UWS!$G$3:$Z$3,0)),0)</f>
        <v>0</v>
      </c>
      <c r="AD424">
        <f>IFERROR(INDEX(UWS!$G$10:$Z$41,MATCH($C424,UWS!$B$10:$B$41,0),MATCH(AD$4,UWS!$G$3:$Z$3,0)),0)</f>
        <v>0</v>
      </c>
      <c r="AE424">
        <f>IFERROR(INDEX(UWS!$G$10:$Z$41,MATCH($C424,UWS!$B$10:$B$41,0),MATCH(AE$4,UWS!$G$3:$Z$3,0)),0)</f>
        <v>0</v>
      </c>
      <c r="AF424">
        <f>IFERROR(INDEX(UWS!$G$10:$Z$41,MATCH($C424,UWS!$B$10:$B$41,0),MATCH(AF$4,UWS!$G$3:$Z$3,0)),0)</f>
        <v>0</v>
      </c>
      <c r="AG424">
        <f>IFERROR(INDEX(UWS!$G$10:$Z$41,MATCH($C424,UWS!$B$10:$B$41,0),MATCH(AG$4,UWS!$G$3:$Z$3,0)),0)</f>
        <v>0</v>
      </c>
      <c r="AH424">
        <f>IFERROR(INDEX(UWS!$G$10:$Z$41,MATCH($C424,UWS!$B$10:$B$41,0),MATCH(AH$4,UWS!$G$3:$Z$3,0)),0)</f>
        <v>0</v>
      </c>
      <c r="AI424">
        <f>IFERROR(INDEX(UWS!$G$10:$Z$41,MATCH($C424,UWS!$B$10:$B$41,0),MATCH(AI$4,UWS!$G$3:$Z$3,0)),0)</f>
        <v>0</v>
      </c>
      <c r="AK424" t="e">
        <f>IF(OR($J424=0,COUNTIFS($A$4:$A423,"&gt;="&amp;$A424-1,$A$4:$A423,"&lt;="&amp;$A424,$B$4:$B423,$B424)&gt;0,MIN(AK$1,IF($A424=$A423,AK423,1))-P424&lt;0),-1,MIN(1,IF($A424=$A423,AK423,1)-P424+$D$3))</f>
        <v>#N/A</v>
      </c>
      <c r="AL424" t="e">
        <f>IF(OR($J424=0,COUNTIFS($A$4:$A423,"&gt;="&amp;$A424-1,$A$4:$A423,"&lt;="&amp;$A424,$B$4:$B423,$B424)&gt;0,MIN(AL$1,IF($A424=$A423,AL423,1))-Q424&lt;0),-1,MIN(1,IF($A424=$A423,AL423,1)-Q424+$D$3))</f>
        <v>#N/A</v>
      </c>
      <c r="AM424" t="e">
        <f>IF(OR($J424=0,COUNTIFS($A$4:$A423,"&gt;="&amp;$A424-1,$A$4:$A423,"&lt;="&amp;$A424,$B$4:$B423,$B424)&gt;0,MIN(AM$1,IF($A424=$A423,AM423,1))-R424&lt;0),-1,MIN(1,IF($A424=$A423,AM423,1)-R424+$D$3))</f>
        <v>#N/A</v>
      </c>
      <c r="AN424" t="e">
        <f>IF(OR($J424=0,COUNTIFS($A$4:$A423,"&gt;="&amp;$A424-1,$A$4:$A423,"&lt;="&amp;$A424,$B$4:$B423,$B424)&gt;0,MIN(AN$1,IF($A424=$A423,AN423,1))-S424&lt;0),-1,MIN(1,IF($A424=$A423,AN423,1)-S424+$D$3))</f>
        <v>#N/A</v>
      </c>
      <c r="AO424" t="e">
        <f>IF(OR($J424=0,COUNTIFS($A$4:$A423,"&gt;="&amp;$A424-1,$A$4:$A423,"&lt;="&amp;$A424,$B$4:$B423,$B424)&gt;0,MIN(AO$1,IF($A424=$A423,AO423,1))-T424&lt;0),-1,MIN(1,IF($A424=$A423,AO423,1)-T424+$D$3))</f>
        <v>#N/A</v>
      </c>
      <c r="AP424" t="e">
        <f>IF(OR($J424=0,COUNTIFS($A$4:$A423,"&gt;="&amp;$A424-1,$A$4:$A423,"&lt;="&amp;$A424,$B$4:$B423,$B424)&gt;0,MIN(AP$1,IF($A424=$A423,AP423,1))-U424&lt;0),-1,MIN(1,IF($A424=$A423,AP423,1)-U424+$D$3))</f>
        <v>#N/A</v>
      </c>
      <c r="AQ424" t="e">
        <f>IF(OR($J424=0,COUNTIFS($A$4:$A423,"&gt;="&amp;$A424-1,$A$4:$A423,"&lt;="&amp;$A424,$B$4:$B423,$B424)&gt;0,MIN(AQ$1,IF($A424=$A423,AQ423,1))-V424&lt;0),-1,MIN(1,IF($A424=$A423,AQ423,1)-V424+$D$3))</f>
        <v>#N/A</v>
      </c>
      <c r="AR424" t="e">
        <f>IF(OR($J424=0,COUNTIFS($A$4:$A423,"&gt;="&amp;$A424-1,$A$4:$A423,"&lt;="&amp;$A424,$B$4:$B423,$B424)&gt;0,MIN(AR$1,IF($A424=$A423,AR423,1))-W424&lt;0),-1,MIN(1,IF($A424=$A423,AR423,1)-W424+$D$3))</f>
        <v>#N/A</v>
      </c>
      <c r="AS424" t="e">
        <f>IF(OR($J424=0,COUNTIFS($A$4:$A423,"&gt;="&amp;$A424-1,$A$4:$A423,"&lt;="&amp;$A424,$B$4:$B423,$B424)&gt;0,MIN(AS$1,IF($A424=$A423,AS423,1))-X424&lt;0),-1,MIN(1,IF($A424=$A423,AS423,1)-X424+$D$3))</f>
        <v>#N/A</v>
      </c>
      <c r="AT424" t="e">
        <f>IF(OR($J424=0,COUNTIFS($A$4:$A423,"&gt;="&amp;$A424-1,$A$4:$A423,"&lt;="&amp;$A424,$B$4:$B423,$B424)&gt;0,MIN(AT$1,IF($A424=$A423,AT423,1))-Y424&lt;0),-1,MIN(1,IF($A424=$A423,AT423,1)-Y424+$D$3))</f>
        <v>#N/A</v>
      </c>
      <c r="AU424" t="e">
        <f>IF(OR($J424=0,COUNTIFS($A$4:$A423,"&gt;="&amp;$A424-1,$A$4:$A423,"&lt;="&amp;$A424,$B$4:$B423,$B424)&gt;0,MIN(AU$1,IF($A424=$A423,AU423,1))-Z424&lt;0),-1,MIN(1,IF($A424=$A423,AU423,1)-Z424+$D$3))</f>
        <v>#N/A</v>
      </c>
      <c r="AV424" t="e">
        <f>IF(OR($J424=0,COUNTIFS($A$4:$A423,"&gt;="&amp;$A424-1,$A$4:$A423,"&lt;="&amp;$A424,$B$4:$B423,$B424)&gt;0,MIN(AV$1,IF($A424=$A423,AV423,1))-AA424&lt;0),-1,MIN(1,IF($A424=$A423,AV423,1)-AA424+$D$3))</f>
        <v>#N/A</v>
      </c>
      <c r="AW424" t="e">
        <f>IF(OR($J424=0,COUNTIFS($A$4:$A423,"&gt;="&amp;$A424-1,$A$4:$A423,"&lt;="&amp;$A424,$B$4:$B423,$B424)&gt;0,MIN(AW$1,IF($A424=$A423,AW423,1))-AB424&lt;0),-1,MIN(1,IF($A424=$A423,AW423,1)-AB424+$D$3))</f>
        <v>#N/A</v>
      </c>
      <c r="AX424" t="e">
        <f>IF(OR($J424=0,COUNTIFS($A$4:$A423,"&gt;="&amp;$A424-1,$A$4:$A423,"&lt;="&amp;$A424,$B$4:$B423,$B424)&gt;0,MIN(AX$1,IF($A424=$A423,AX423,1))-AC424&lt;0),-1,MIN(1,IF($A424=$A423,AX423,1)-AC424+$D$3))</f>
        <v>#N/A</v>
      </c>
      <c r="AY424" t="e">
        <f>IF(OR($J424=0,COUNTIFS($A$4:$A423,"&gt;="&amp;$A424-1,$A$4:$A423,"&lt;="&amp;$A424,$B$4:$B423,$B424)&gt;0,MIN(AY$1,IF($A424=$A423,AY423,1))-AD424&lt;0),-1,MIN(1,IF($A424=$A423,AY423,1)-AD424+$D$3))</f>
        <v>#N/A</v>
      </c>
      <c r="AZ424" t="e">
        <f>IF(OR($J424=0,COUNTIFS($A$4:$A423,"&gt;="&amp;$A424-1,$A$4:$A423,"&lt;="&amp;$A424,$B$4:$B423,$B424)&gt;0,MIN(AZ$1,IF($A424=$A423,AZ423,1))-AE424&lt;0),-1,MIN(1,IF($A424=$A423,AZ423,1)-AE424+$D$3))</f>
        <v>#N/A</v>
      </c>
      <c r="BA424" t="e">
        <f>IF(OR($J424=0,COUNTIFS($A$4:$A423,"&gt;="&amp;$A424-1,$A$4:$A423,"&lt;="&amp;$A424,$B$4:$B423,$B424)&gt;0,MIN(BA$1,IF($A424=$A423,BA423,1))-AF424&lt;0),-1,MIN(1,IF($A424=$A423,BA423,1)-AF424+$D$3))</f>
        <v>#N/A</v>
      </c>
      <c r="BB424" t="e">
        <f>IF(OR($J424=0,COUNTIFS($A$4:$A423,"&gt;="&amp;$A424-1,$A$4:$A423,"&lt;="&amp;$A424,$B$4:$B423,$B424)&gt;0,MIN(BB$1,IF($A424=$A423,BB423,1))-AG424&lt;0),-1,MIN(1,IF($A424=$A423,BB423,1)-AG424+$D$3))</f>
        <v>#N/A</v>
      </c>
      <c r="BC424" t="e">
        <f>IF(OR($J424=0,COUNTIFS($A$4:$A423,"&gt;="&amp;$A424-1,$A$4:$A423,"&lt;="&amp;$A424,$B$4:$B423,$B424)&gt;0,MIN(BC$1,IF($A424=$A423,BC423,1))-AH424&lt;0),-1,MIN(1,IF($A424=$A423,BC423,1)-AH424+$D$3))</f>
        <v>#N/A</v>
      </c>
      <c r="BD424" t="e">
        <f>IF(OR($J424=0,COUNTIFS($A$4:$A423,"&gt;="&amp;$A424-1,$A$4:$A423,"&lt;="&amp;$A424,$B$4:$B423,$B424)&gt;0,MIN(BD$1,IF($A424=$A423,BD423,1))-AI424&lt;0),-1,MIN(1,IF($A424=$A423,BD423,1)-AI424+$D$3))</f>
        <v>#N/A</v>
      </c>
      <c r="BF424" s="44">
        <f t="shared" si="399"/>
        <v>9.3372742540631261E-10</v>
      </c>
      <c r="BG424" s="44">
        <f t="shared" si="400"/>
        <v>2.2962992194568255E-9</v>
      </c>
      <c r="BH424" s="44">
        <f t="shared" si="401"/>
        <v>2.3534651529214429E-9</v>
      </c>
      <c r="BI424" s="44">
        <f t="shared" si="402"/>
        <v>2.1739483892823091E-9</v>
      </c>
      <c r="BJ424" s="44">
        <f t="shared" si="403"/>
        <v>2.2469820462001501E-9</v>
      </c>
      <c r="BK424" s="44">
        <f t="shared" si="404"/>
        <v>9.649378692281952E-10</v>
      </c>
      <c r="BL424" s="44">
        <f t="shared" si="405"/>
        <v>5.212746177400979E-10</v>
      </c>
      <c r="BM424" s="44">
        <f t="shared" si="406"/>
        <v>1.3260617556686847E-9</v>
      </c>
      <c r="BN424" s="44">
        <f t="shared" si="407"/>
        <v>1.3792075730237537E-9</v>
      </c>
      <c r="BO424" s="44">
        <f t="shared" si="408"/>
        <v>6.4634900363950705E-10</v>
      </c>
      <c r="BP424" s="44">
        <f t="shared" si="409"/>
        <v>2.1733341239537911E-9</v>
      </c>
      <c r="BQ424" s="44">
        <f t="shared" si="410"/>
        <v>5.8649291421674058E-10</v>
      </c>
      <c r="BR424" s="44">
        <f t="shared" si="411"/>
        <v>1.73264688312635E-9</v>
      </c>
      <c r="BS424" s="44">
        <f t="shared" si="412"/>
        <v>9.3443945649142472E-10</v>
      </c>
      <c r="BT424" s="44">
        <f t="shared" si="413"/>
        <v>3.6978634064657902E-9</v>
      </c>
      <c r="BU424" s="44">
        <f t="shared" si="414"/>
        <v>3.5325722828022966E-9</v>
      </c>
      <c r="BV424" s="44">
        <f t="shared" si="415"/>
        <v>3.3925655478139807E-9</v>
      </c>
      <c r="BW424" s="44">
        <f t="shared" si="416"/>
        <v>2.2189245625678896E-9</v>
      </c>
      <c r="BX424" s="44">
        <f t="shared" si="417"/>
        <v>1.6393011728141815E-9</v>
      </c>
      <c r="BY424" s="44">
        <f t="shared" si="418"/>
        <v>1.4075284731366075E-9</v>
      </c>
      <c r="CA424" s="44" t="str">
        <f t="shared" si="419"/>
        <v/>
      </c>
      <c r="CB424" s="44" t="str">
        <f t="shared" si="420"/>
        <v/>
      </c>
      <c r="CC424" s="44" t="str">
        <f t="shared" si="421"/>
        <v/>
      </c>
      <c r="CD424" s="44" t="str">
        <f t="shared" si="422"/>
        <v/>
      </c>
      <c r="CE424" s="44" t="str">
        <f t="shared" si="423"/>
        <v/>
      </c>
      <c r="CF424" s="44" t="str">
        <f t="shared" si="424"/>
        <v/>
      </c>
      <c r="CG424" s="44" t="str">
        <f t="shared" si="425"/>
        <v/>
      </c>
      <c r="CH424" s="44" t="str">
        <f t="shared" si="426"/>
        <v/>
      </c>
      <c r="CI424" s="44" t="str">
        <f t="shared" si="427"/>
        <v/>
      </c>
      <c r="CJ424" s="44" t="str">
        <f t="shared" si="428"/>
        <v/>
      </c>
      <c r="CK424" s="44" t="str">
        <f t="shared" si="429"/>
        <v/>
      </c>
      <c r="CL424" s="44" t="str">
        <f t="shared" si="430"/>
        <v/>
      </c>
      <c r="CM424" s="44" t="str">
        <f t="shared" si="431"/>
        <v/>
      </c>
      <c r="CN424" s="44" t="str">
        <f t="shared" si="432"/>
        <v/>
      </c>
      <c r="CO424" s="44" t="str">
        <f t="shared" si="433"/>
        <v/>
      </c>
      <c r="CP424" s="44" t="str">
        <f t="shared" si="434"/>
        <v/>
      </c>
      <c r="CQ424" s="44" t="str">
        <f t="shared" si="435"/>
        <v/>
      </c>
      <c r="CR424" s="44" t="str">
        <f t="shared" si="436"/>
        <v/>
      </c>
      <c r="CS424" s="44" t="str">
        <f t="shared" si="437"/>
        <v/>
      </c>
      <c r="CT424" s="44" t="str">
        <f t="shared" si="438"/>
        <v/>
      </c>
      <c r="CV424" s="44">
        <f t="shared" si="439"/>
        <v>0</v>
      </c>
    </row>
    <row r="425" spans="1:100" x14ac:dyDescent="0.25">
      <c r="A425" s="49"/>
      <c r="B425" s="50"/>
      <c r="C425" s="51" t="str" cm="1">
        <f t="array" ref="C425">IF(B425="","",INDEX(UWS!$B$10:$B$41,B425))</f>
        <v/>
      </c>
      <c r="D425" s="45" t="str">
        <f t="shared" si="396"/>
        <v/>
      </c>
      <c r="E425" s="70" t="str">
        <f t="shared" si="397"/>
        <v/>
      </c>
      <c r="F425" s="52" cm="1">
        <f t="array" ref="F425">0.1+IFERROR(INDEX($F$5:$F424,SUMPRODUCT(MAX(ROW($C$5:$C424)*($C425=$C$5:$C424))-ROW($A$4)))*0.9^($A425-INDEX($A$5:A424,SUMPRODUCT(MAX(ROW($C$5:$C424)*($C425=$C$5:$C424))-ROW($A$4)))),0)</f>
        <v>36.000000000000242</v>
      </c>
      <c r="G425" s="56" t="e">
        <f>INDEX(UWS!$AB$10:$AB$41,MATCH(C425,UWS!$B$10:$B$41,0))</f>
        <v>#N/A</v>
      </c>
      <c r="H425" s="52" t="e">
        <f>INDEX(UWS!$C$10:$C$41,MATCH(C425,UWS!$B$10:$B$41,0))</f>
        <v>#N/A</v>
      </c>
      <c r="I425" s="46">
        <f t="shared" si="398"/>
        <v>5</v>
      </c>
      <c r="J425" s="46" t="e">
        <f>INDEX(UWS!$E$10:$E$41,MATCH(C425,UWS!$B$10:$B$41,0))</f>
        <v>#N/A</v>
      </c>
      <c r="K425" s="46"/>
      <c r="L425" s="109" t="str" cm="1">
        <f t="array" ref="L425">IF(K425="","",INDEX(UWS!$B$10:$B$41,K425))</f>
        <v/>
      </c>
      <c r="M425" s="46"/>
      <c r="N425" s="109" t="str" cm="1">
        <f t="array" ref="N425">IF(M425="","",INDEX(UWS!$B$10:$B$41,M425))</f>
        <v/>
      </c>
      <c r="O425" s="47"/>
      <c r="P425" s="47">
        <f>IFERROR(INDEX(UWS!$G$10:$Z$41,MATCH($C425,UWS!$B$10:$B$41,0),MATCH(P$4,UWS!$G$3:$Z$3,0)),0)</f>
        <v>0</v>
      </c>
      <c r="Q425" s="47">
        <f>IFERROR(INDEX(UWS!$G$10:$Z$41,MATCH($C425,UWS!$B$10:$B$41,0),MATCH(Q$4,UWS!$G$3:$Z$3,0)),0)</f>
        <v>0</v>
      </c>
      <c r="R425" s="47">
        <f>IFERROR(INDEX(UWS!$G$10:$Z$41,MATCH($C425,UWS!$B$10:$B$41,0),MATCH(R$4,UWS!$G$3:$Z$3,0)),0)</f>
        <v>0</v>
      </c>
      <c r="S425" s="47">
        <f>IFERROR(INDEX(UWS!$G$10:$Z$41,MATCH($C425,UWS!$B$10:$B$41,0),MATCH(S$4,UWS!$G$3:$Z$3,0)),0)</f>
        <v>0</v>
      </c>
      <c r="T425" s="47">
        <f>IFERROR(INDEX(UWS!$G$10:$Z$41,MATCH($C425,UWS!$B$10:$B$41,0),MATCH(T$4,UWS!$G$3:$Z$3,0)),0)</f>
        <v>0</v>
      </c>
      <c r="U425" s="47">
        <f>IFERROR(INDEX(UWS!$G$10:$Z$41,MATCH($C425,UWS!$B$10:$B$41,0),MATCH(U$4,UWS!$G$3:$Z$3,0)),0)</f>
        <v>0</v>
      </c>
      <c r="V425" s="47">
        <f>IFERROR(INDEX(UWS!$G$10:$Z$41,MATCH($C425,UWS!$B$10:$B$41,0),MATCH(V$4,UWS!$G$3:$Z$3,0)),0)</f>
        <v>0</v>
      </c>
      <c r="W425" s="47">
        <f>IFERROR(INDEX(UWS!$G$10:$Z$41,MATCH($C425,UWS!$B$10:$B$41,0),MATCH(W$4,UWS!$G$3:$Z$3,0)),0)</f>
        <v>0</v>
      </c>
      <c r="X425" s="47">
        <f>IFERROR(INDEX(UWS!$G$10:$Z$41,MATCH($C425,UWS!$B$10:$B$41,0),MATCH(X$4,UWS!$G$3:$Z$3,0)),0)</f>
        <v>0</v>
      </c>
      <c r="Y425" s="47">
        <f>IFERROR(INDEX(UWS!$G$10:$Z$41,MATCH($C425,UWS!$B$10:$B$41,0),MATCH(Y$4,UWS!$G$3:$Z$3,0)),0)</f>
        <v>0</v>
      </c>
      <c r="Z425" s="47">
        <f>IFERROR(INDEX(UWS!$G$10:$Z$41,MATCH($C425,UWS!$B$10:$B$41,0),MATCH(Z$4,UWS!$G$3:$Z$3,0)),0)</f>
        <v>0</v>
      </c>
      <c r="AA425" s="47">
        <f>IFERROR(INDEX(UWS!$G$10:$Z$41,MATCH($C425,UWS!$B$10:$B$41,0),MATCH(AA$4,UWS!$G$3:$Z$3,0)),0)</f>
        <v>0</v>
      </c>
      <c r="AB425" s="47">
        <f>IFERROR(INDEX(UWS!$G$10:$Z$41,MATCH($C425,UWS!$B$10:$B$41,0),MATCH(AB$4,UWS!$G$3:$Z$3,0)),0)</f>
        <v>0</v>
      </c>
      <c r="AC425" s="47">
        <f>IFERROR(INDEX(UWS!$G$10:$Z$41,MATCH($C425,UWS!$B$10:$B$41,0),MATCH(AC$4,UWS!$G$3:$Z$3,0)),0)</f>
        <v>0</v>
      </c>
      <c r="AD425" s="47">
        <f>IFERROR(INDEX(UWS!$G$10:$Z$41,MATCH($C425,UWS!$B$10:$B$41,0),MATCH(AD$4,UWS!$G$3:$Z$3,0)),0)</f>
        <v>0</v>
      </c>
      <c r="AE425" s="47">
        <f>IFERROR(INDEX(UWS!$G$10:$Z$41,MATCH($C425,UWS!$B$10:$B$41,0),MATCH(AE$4,UWS!$G$3:$Z$3,0)),0)</f>
        <v>0</v>
      </c>
      <c r="AF425" s="47">
        <f>IFERROR(INDEX(UWS!$G$10:$Z$41,MATCH($C425,UWS!$B$10:$B$41,0),MATCH(AF$4,UWS!$G$3:$Z$3,0)),0)</f>
        <v>0</v>
      </c>
      <c r="AG425" s="47">
        <f>IFERROR(INDEX(UWS!$G$10:$Z$41,MATCH($C425,UWS!$B$10:$B$41,0),MATCH(AG$4,UWS!$G$3:$Z$3,0)),0)</f>
        <v>0</v>
      </c>
      <c r="AH425" s="47">
        <f>IFERROR(INDEX(UWS!$G$10:$Z$41,MATCH($C425,UWS!$B$10:$B$41,0),MATCH(AH$4,UWS!$G$3:$Z$3,0)),0)</f>
        <v>0</v>
      </c>
      <c r="AI425" s="47">
        <f>IFERROR(INDEX(UWS!$G$10:$Z$41,MATCH($C425,UWS!$B$10:$B$41,0),MATCH(AI$4,UWS!$G$3:$Z$3,0)),0)</f>
        <v>0</v>
      </c>
      <c r="AJ425" s="47"/>
      <c r="AK425" s="47" t="e">
        <f>IF(OR($J425=0,COUNTIFS($A$4:$A424,"&gt;="&amp;$A425-1,$A$4:$A424,"&lt;="&amp;$A425,$B$4:$B424,$B425)&gt;0,MIN(AK$1,IF($A425=$A424,AK424,1))-P425&lt;0),-1,MIN(1,IF($A425=$A424,AK424,1)-P425+$D$3))</f>
        <v>#N/A</v>
      </c>
      <c r="AL425" s="47" t="e">
        <f>IF(OR($J425=0,COUNTIFS($A$4:$A424,"&gt;="&amp;$A425-1,$A$4:$A424,"&lt;="&amp;$A425,$B$4:$B424,$B425)&gt;0,MIN(AL$1,IF($A425=$A424,AL424,1))-Q425&lt;0),-1,MIN(1,IF($A425=$A424,AL424,1)-Q425+$D$3))</f>
        <v>#N/A</v>
      </c>
      <c r="AM425" s="47" t="e">
        <f>IF(OR($J425=0,COUNTIFS($A$4:$A424,"&gt;="&amp;$A425-1,$A$4:$A424,"&lt;="&amp;$A425,$B$4:$B424,$B425)&gt;0,MIN(AM$1,IF($A425=$A424,AM424,1))-R425&lt;0),-1,MIN(1,IF($A425=$A424,AM424,1)-R425+$D$3))</f>
        <v>#N/A</v>
      </c>
      <c r="AN425" s="47" t="e">
        <f>IF(OR($J425=0,COUNTIFS($A$4:$A424,"&gt;="&amp;$A425-1,$A$4:$A424,"&lt;="&amp;$A425,$B$4:$B424,$B425)&gt;0,MIN(AN$1,IF($A425=$A424,AN424,1))-S425&lt;0),-1,MIN(1,IF($A425=$A424,AN424,1)-S425+$D$3))</f>
        <v>#N/A</v>
      </c>
      <c r="AO425" s="47" t="e">
        <f>IF(OR($J425=0,COUNTIFS($A$4:$A424,"&gt;="&amp;$A425-1,$A$4:$A424,"&lt;="&amp;$A425,$B$4:$B424,$B425)&gt;0,MIN(AO$1,IF($A425=$A424,AO424,1))-T425&lt;0),-1,MIN(1,IF($A425=$A424,AO424,1)-T425+$D$3))</f>
        <v>#N/A</v>
      </c>
      <c r="AP425" s="47" t="e">
        <f>IF(OR($J425=0,COUNTIFS($A$4:$A424,"&gt;="&amp;$A425-1,$A$4:$A424,"&lt;="&amp;$A425,$B$4:$B424,$B425)&gt;0,MIN(AP$1,IF($A425=$A424,AP424,1))-U425&lt;0),-1,MIN(1,IF($A425=$A424,AP424,1)-U425+$D$3))</f>
        <v>#N/A</v>
      </c>
      <c r="AQ425" s="47" t="e">
        <f>IF(OR($J425=0,COUNTIFS($A$4:$A424,"&gt;="&amp;$A425-1,$A$4:$A424,"&lt;="&amp;$A425,$B$4:$B424,$B425)&gt;0,MIN(AQ$1,IF($A425=$A424,AQ424,1))-V425&lt;0),-1,MIN(1,IF($A425=$A424,AQ424,1)-V425+$D$3))</f>
        <v>#N/A</v>
      </c>
      <c r="AR425" s="47" t="e">
        <f>IF(OR($J425=0,COUNTIFS($A$4:$A424,"&gt;="&amp;$A425-1,$A$4:$A424,"&lt;="&amp;$A425,$B$4:$B424,$B425)&gt;0,MIN(AR$1,IF($A425=$A424,AR424,1))-W425&lt;0),-1,MIN(1,IF($A425=$A424,AR424,1)-W425+$D$3))</f>
        <v>#N/A</v>
      </c>
      <c r="AS425" s="47" t="e">
        <f>IF(OR($J425=0,COUNTIFS($A$4:$A424,"&gt;="&amp;$A425-1,$A$4:$A424,"&lt;="&amp;$A425,$B$4:$B424,$B425)&gt;0,MIN(AS$1,IF($A425=$A424,AS424,1))-X425&lt;0),-1,MIN(1,IF($A425=$A424,AS424,1)-X425+$D$3))</f>
        <v>#N/A</v>
      </c>
      <c r="AT425" s="47" t="e">
        <f>IF(OR($J425=0,COUNTIFS($A$4:$A424,"&gt;="&amp;$A425-1,$A$4:$A424,"&lt;="&amp;$A425,$B$4:$B424,$B425)&gt;0,MIN(AT$1,IF($A425=$A424,AT424,1))-Y425&lt;0),-1,MIN(1,IF($A425=$A424,AT424,1)-Y425+$D$3))</f>
        <v>#N/A</v>
      </c>
      <c r="AU425" s="47" t="e">
        <f>IF(OR($J425=0,COUNTIFS($A$4:$A424,"&gt;="&amp;$A425-1,$A$4:$A424,"&lt;="&amp;$A425,$B$4:$B424,$B425)&gt;0,MIN(AU$1,IF($A425=$A424,AU424,1))-Z425&lt;0),-1,MIN(1,IF($A425=$A424,AU424,1)-Z425+$D$3))</f>
        <v>#N/A</v>
      </c>
      <c r="AV425" s="47" t="e">
        <f>IF(OR($J425=0,COUNTIFS($A$4:$A424,"&gt;="&amp;$A425-1,$A$4:$A424,"&lt;="&amp;$A425,$B$4:$B424,$B425)&gt;0,MIN(AV$1,IF($A425=$A424,AV424,1))-AA425&lt;0),-1,MIN(1,IF($A425=$A424,AV424,1)-AA425+$D$3))</f>
        <v>#N/A</v>
      </c>
      <c r="AW425" s="47" t="e">
        <f>IF(OR($J425=0,COUNTIFS($A$4:$A424,"&gt;="&amp;$A425-1,$A$4:$A424,"&lt;="&amp;$A425,$B$4:$B424,$B425)&gt;0,MIN(AW$1,IF($A425=$A424,AW424,1))-AB425&lt;0),-1,MIN(1,IF($A425=$A424,AW424,1)-AB425+$D$3))</f>
        <v>#N/A</v>
      </c>
      <c r="AX425" s="47" t="e">
        <f>IF(OR($J425=0,COUNTIFS($A$4:$A424,"&gt;="&amp;$A425-1,$A$4:$A424,"&lt;="&amp;$A425,$B$4:$B424,$B425)&gt;0,MIN(AX$1,IF($A425=$A424,AX424,1))-AC425&lt;0),-1,MIN(1,IF($A425=$A424,AX424,1)-AC425+$D$3))</f>
        <v>#N/A</v>
      </c>
      <c r="AY425" s="47" t="e">
        <f>IF(OR($J425=0,COUNTIFS($A$4:$A424,"&gt;="&amp;$A425-1,$A$4:$A424,"&lt;="&amp;$A425,$B$4:$B424,$B425)&gt;0,MIN(AY$1,IF($A425=$A424,AY424,1))-AD425&lt;0),-1,MIN(1,IF($A425=$A424,AY424,1)-AD425+$D$3))</f>
        <v>#N/A</v>
      </c>
      <c r="AZ425" s="47" t="e">
        <f>IF(OR($J425=0,COUNTIFS($A$4:$A424,"&gt;="&amp;$A425-1,$A$4:$A424,"&lt;="&amp;$A425,$B$4:$B424,$B425)&gt;0,MIN(AZ$1,IF($A425=$A424,AZ424,1))-AE425&lt;0),-1,MIN(1,IF($A425=$A424,AZ424,1)-AE425+$D$3))</f>
        <v>#N/A</v>
      </c>
      <c r="BA425" s="47" t="e">
        <f>IF(OR($J425=0,COUNTIFS($A$4:$A424,"&gt;="&amp;$A425-1,$A$4:$A424,"&lt;="&amp;$A425,$B$4:$B424,$B425)&gt;0,MIN(BA$1,IF($A425=$A424,BA424,1))-AF425&lt;0),-1,MIN(1,IF($A425=$A424,BA424,1)-AF425+$D$3))</f>
        <v>#N/A</v>
      </c>
      <c r="BB425" s="47" t="e">
        <f>IF(OR($J425=0,COUNTIFS($A$4:$A424,"&gt;="&amp;$A425-1,$A$4:$A424,"&lt;="&amp;$A425,$B$4:$B424,$B425)&gt;0,MIN(BB$1,IF($A425=$A424,BB424,1))-AG425&lt;0),-1,MIN(1,IF($A425=$A424,BB424,1)-AG425+$D$3))</f>
        <v>#N/A</v>
      </c>
      <c r="BC425" s="47" t="e">
        <f>IF(OR($J425=0,COUNTIFS($A$4:$A424,"&gt;="&amp;$A425-1,$A$4:$A424,"&lt;="&amp;$A425,$B$4:$B424,$B425)&gt;0,MIN(BC$1,IF($A425=$A424,BC424,1))-AH425&lt;0),-1,MIN(1,IF($A425=$A424,BC424,1)-AH425+$D$3))</f>
        <v>#N/A</v>
      </c>
      <c r="BD425" s="47" t="e">
        <f>IF(OR($J425=0,COUNTIFS($A$4:$A424,"&gt;="&amp;$A425-1,$A$4:$A424,"&lt;="&amp;$A425,$B$4:$B424,$B425)&gt;0,MIN(BD$1,IF($A425=$A424,BD424,1))-AI425&lt;0),-1,MIN(1,IF($A425=$A424,BD424,1)-AI425+$D$3))</f>
        <v>#N/A</v>
      </c>
      <c r="BE425" s="47"/>
      <c r="BF425" s="53">
        <f t="shared" si="399"/>
        <v>8.8704105413599694E-10</v>
      </c>
      <c r="BG425" s="53">
        <f t="shared" si="400"/>
        <v>2.1814842584839841E-9</v>
      </c>
      <c r="BH425" s="53">
        <f t="shared" si="401"/>
        <v>2.2357918952753705E-9</v>
      </c>
      <c r="BI425" s="53">
        <f t="shared" si="402"/>
        <v>2.0652509698181936E-9</v>
      </c>
      <c r="BJ425" s="53">
        <f t="shared" si="403"/>
        <v>2.1346329438901423E-9</v>
      </c>
      <c r="BK425" s="53">
        <f t="shared" si="404"/>
        <v>9.1669097576678543E-10</v>
      </c>
      <c r="BL425" s="53">
        <f t="shared" si="405"/>
        <v>4.9521088685309302E-10</v>
      </c>
      <c r="BM425" s="53">
        <f t="shared" si="406"/>
        <v>1.2597586678852504E-9</v>
      </c>
      <c r="BN425" s="53">
        <f t="shared" si="407"/>
        <v>1.310247194372566E-9</v>
      </c>
      <c r="BO425" s="53">
        <f t="shared" si="408"/>
        <v>6.140315534575317E-10</v>
      </c>
      <c r="BP425" s="53">
        <f t="shared" si="409"/>
        <v>2.0646674177561015E-9</v>
      </c>
      <c r="BQ425" s="53">
        <f t="shared" si="410"/>
        <v>5.5716826850590357E-10</v>
      </c>
      <c r="BR425" s="53">
        <f t="shared" si="411"/>
        <v>1.6460145389700325E-9</v>
      </c>
      <c r="BS425" s="53">
        <f t="shared" si="412"/>
        <v>8.8771748366685345E-10</v>
      </c>
      <c r="BT425" s="53">
        <f t="shared" si="413"/>
        <v>3.5129702361425007E-9</v>
      </c>
      <c r="BU425" s="53">
        <f t="shared" si="414"/>
        <v>3.3559436686621817E-9</v>
      </c>
      <c r="BV425" s="53">
        <f t="shared" si="415"/>
        <v>3.2229372704232816E-9</v>
      </c>
      <c r="BW425" s="53">
        <f t="shared" si="416"/>
        <v>2.1079783344394951E-9</v>
      </c>
      <c r="BX425" s="53">
        <f t="shared" si="417"/>
        <v>1.5573361141734723E-9</v>
      </c>
      <c r="BY425" s="53">
        <f t="shared" si="418"/>
        <v>1.3371520494797771E-9</v>
      </c>
      <c r="BZ425" s="47"/>
      <c r="CA425" s="53" t="str">
        <f t="shared" si="419"/>
        <v/>
      </c>
      <c r="CB425" s="53" t="str">
        <f t="shared" si="420"/>
        <v/>
      </c>
      <c r="CC425" s="53" t="str">
        <f t="shared" si="421"/>
        <v/>
      </c>
      <c r="CD425" s="53" t="str">
        <f t="shared" si="422"/>
        <v/>
      </c>
      <c r="CE425" s="53" t="str">
        <f t="shared" si="423"/>
        <v/>
      </c>
      <c r="CF425" s="53" t="str">
        <f t="shared" si="424"/>
        <v/>
      </c>
      <c r="CG425" s="53" t="str">
        <f t="shared" si="425"/>
        <v/>
      </c>
      <c r="CH425" s="53" t="str">
        <f t="shared" si="426"/>
        <v/>
      </c>
      <c r="CI425" s="53" t="str">
        <f t="shared" si="427"/>
        <v/>
      </c>
      <c r="CJ425" s="53" t="str">
        <f t="shared" si="428"/>
        <v/>
      </c>
      <c r="CK425" s="53" t="str">
        <f t="shared" si="429"/>
        <v/>
      </c>
      <c r="CL425" s="53" t="str">
        <f t="shared" si="430"/>
        <v/>
      </c>
      <c r="CM425" s="53" t="str">
        <f t="shared" si="431"/>
        <v/>
      </c>
      <c r="CN425" s="53" t="str">
        <f t="shared" si="432"/>
        <v/>
      </c>
      <c r="CO425" s="53" t="str">
        <f t="shared" si="433"/>
        <v/>
      </c>
      <c r="CP425" s="53" t="str">
        <f t="shared" si="434"/>
        <v/>
      </c>
      <c r="CQ425" s="53" t="str">
        <f t="shared" si="435"/>
        <v/>
      </c>
      <c r="CR425" s="53" t="str">
        <f t="shared" si="436"/>
        <v/>
      </c>
      <c r="CS425" s="53" t="str">
        <f t="shared" si="437"/>
        <v/>
      </c>
      <c r="CT425" s="53" t="str">
        <f t="shared" si="438"/>
        <v/>
      </c>
      <c r="CU425" s="47"/>
      <c r="CV425" s="53">
        <f t="shared" si="439"/>
        <v>0</v>
      </c>
    </row>
    <row r="426" spans="1:100" x14ac:dyDescent="0.25">
      <c r="A426" s="41"/>
      <c r="B426" s="42"/>
      <c r="C426" s="43" t="str" cm="1">
        <f t="array" ref="C426">IF(B426="","",INDEX(UWS!$B$10:$B$41,B426))</f>
        <v/>
      </c>
      <c r="D426" s="40" t="str">
        <f t="shared" si="396"/>
        <v/>
      </c>
      <c r="E426" s="69" t="str">
        <f t="shared" si="397"/>
        <v/>
      </c>
      <c r="F426" s="48" cm="1">
        <f t="array" ref="F426">0.1+IFERROR(INDEX($F$5:$F425,SUMPRODUCT(MAX(ROW($C$5:$C425)*($C426=$C$5:$C425))-ROW($A$4)))*0.9^($A426-INDEX($A$5:A425,SUMPRODUCT(MAX(ROW($C$5:$C425)*($C426=$C$5:$C425))-ROW($A$4)))),0)</f>
        <v>36.100000000000243</v>
      </c>
      <c r="G426" s="55" t="e">
        <f>INDEX(UWS!$AB$10:$AB$41,MATCH(C426,UWS!$B$10:$B$41,0))</f>
        <v>#N/A</v>
      </c>
      <c r="H426" s="48" t="e">
        <f>INDEX(UWS!$C$10:$C$41,MATCH(C426,UWS!$B$10:$B$41,0))</f>
        <v>#N/A</v>
      </c>
      <c r="I426" s="82">
        <f t="shared" si="398"/>
        <v>5</v>
      </c>
      <c r="J426" s="27" t="e">
        <f>INDEX(UWS!$E$10:$E$41,MATCH(C426,UWS!$B$10:$B$41,0))</f>
        <v>#N/A</v>
      </c>
      <c r="L426" s="108" t="str" cm="1">
        <f t="array" ref="L426">IF(K426="","",INDEX(UWS!$B$10:$B$41,K426))</f>
        <v/>
      </c>
      <c r="N426" s="108" t="str" cm="1">
        <f t="array" ref="N426">IF(M426="","",INDEX(UWS!$B$10:$B$41,M426))</f>
        <v/>
      </c>
      <c r="P426">
        <f>IFERROR(INDEX(UWS!$G$10:$Z$41,MATCH($C426,UWS!$B$10:$B$41,0),MATCH(P$4,UWS!$G$3:$Z$3,0)),0)</f>
        <v>0</v>
      </c>
      <c r="Q426">
        <f>IFERROR(INDEX(UWS!$G$10:$Z$41,MATCH($C426,UWS!$B$10:$B$41,0),MATCH(Q$4,UWS!$G$3:$Z$3,0)),0)</f>
        <v>0</v>
      </c>
      <c r="R426">
        <f>IFERROR(INDEX(UWS!$G$10:$Z$41,MATCH($C426,UWS!$B$10:$B$41,0),MATCH(R$4,UWS!$G$3:$Z$3,0)),0)</f>
        <v>0</v>
      </c>
      <c r="S426">
        <f>IFERROR(INDEX(UWS!$G$10:$Z$41,MATCH($C426,UWS!$B$10:$B$41,0),MATCH(S$4,UWS!$G$3:$Z$3,0)),0)</f>
        <v>0</v>
      </c>
      <c r="T426">
        <f>IFERROR(INDEX(UWS!$G$10:$Z$41,MATCH($C426,UWS!$B$10:$B$41,0),MATCH(T$4,UWS!$G$3:$Z$3,0)),0)</f>
        <v>0</v>
      </c>
      <c r="U426">
        <f>IFERROR(INDEX(UWS!$G$10:$Z$41,MATCH($C426,UWS!$B$10:$B$41,0),MATCH(U$4,UWS!$G$3:$Z$3,0)),0)</f>
        <v>0</v>
      </c>
      <c r="V426">
        <f>IFERROR(INDEX(UWS!$G$10:$Z$41,MATCH($C426,UWS!$B$10:$B$41,0),MATCH(V$4,UWS!$G$3:$Z$3,0)),0)</f>
        <v>0</v>
      </c>
      <c r="W426">
        <f>IFERROR(INDEX(UWS!$G$10:$Z$41,MATCH($C426,UWS!$B$10:$B$41,0),MATCH(W$4,UWS!$G$3:$Z$3,0)),0)</f>
        <v>0</v>
      </c>
      <c r="X426">
        <f>IFERROR(INDEX(UWS!$G$10:$Z$41,MATCH($C426,UWS!$B$10:$B$41,0),MATCH(X$4,UWS!$G$3:$Z$3,0)),0)</f>
        <v>0</v>
      </c>
      <c r="Y426">
        <f>IFERROR(INDEX(UWS!$G$10:$Z$41,MATCH($C426,UWS!$B$10:$B$41,0),MATCH(Y$4,UWS!$G$3:$Z$3,0)),0)</f>
        <v>0</v>
      </c>
      <c r="Z426">
        <f>IFERROR(INDEX(UWS!$G$10:$Z$41,MATCH($C426,UWS!$B$10:$B$41,0),MATCH(Z$4,UWS!$G$3:$Z$3,0)),0)</f>
        <v>0</v>
      </c>
      <c r="AA426">
        <f>IFERROR(INDEX(UWS!$G$10:$Z$41,MATCH($C426,UWS!$B$10:$B$41,0),MATCH(AA$4,UWS!$G$3:$Z$3,0)),0)</f>
        <v>0</v>
      </c>
      <c r="AB426">
        <f>IFERROR(INDEX(UWS!$G$10:$Z$41,MATCH($C426,UWS!$B$10:$B$41,0),MATCH(AB$4,UWS!$G$3:$Z$3,0)),0)</f>
        <v>0</v>
      </c>
      <c r="AC426">
        <f>IFERROR(INDEX(UWS!$G$10:$Z$41,MATCH($C426,UWS!$B$10:$B$41,0),MATCH(AC$4,UWS!$G$3:$Z$3,0)),0)</f>
        <v>0</v>
      </c>
      <c r="AD426">
        <f>IFERROR(INDEX(UWS!$G$10:$Z$41,MATCH($C426,UWS!$B$10:$B$41,0),MATCH(AD$4,UWS!$G$3:$Z$3,0)),0)</f>
        <v>0</v>
      </c>
      <c r="AE426">
        <f>IFERROR(INDEX(UWS!$G$10:$Z$41,MATCH($C426,UWS!$B$10:$B$41,0),MATCH(AE$4,UWS!$G$3:$Z$3,0)),0)</f>
        <v>0</v>
      </c>
      <c r="AF426">
        <f>IFERROR(INDEX(UWS!$G$10:$Z$41,MATCH($C426,UWS!$B$10:$B$41,0),MATCH(AF$4,UWS!$G$3:$Z$3,0)),0)</f>
        <v>0</v>
      </c>
      <c r="AG426">
        <f>IFERROR(INDEX(UWS!$G$10:$Z$41,MATCH($C426,UWS!$B$10:$B$41,0),MATCH(AG$4,UWS!$G$3:$Z$3,0)),0)</f>
        <v>0</v>
      </c>
      <c r="AH426">
        <f>IFERROR(INDEX(UWS!$G$10:$Z$41,MATCH($C426,UWS!$B$10:$B$41,0),MATCH(AH$4,UWS!$G$3:$Z$3,0)),0)</f>
        <v>0</v>
      </c>
      <c r="AI426">
        <f>IFERROR(INDEX(UWS!$G$10:$Z$41,MATCH($C426,UWS!$B$10:$B$41,0),MATCH(AI$4,UWS!$G$3:$Z$3,0)),0)</f>
        <v>0</v>
      </c>
      <c r="AK426" t="e">
        <f>IF(OR($J426=0,COUNTIFS($A$4:$A425,"&gt;="&amp;$A426-1,$A$4:$A425,"&lt;="&amp;$A426,$B$4:$B425,$B426)&gt;0,MIN(AK$1,IF($A426=$A425,AK425,1))-P426&lt;0),-1,MIN(1,IF($A426=$A425,AK425,1)-P426+$D$3))</f>
        <v>#N/A</v>
      </c>
      <c r="AL426" t="e">
        <f>IF(OR($J426=0,COUNTIFS($A$4:$A425,"&gt;="&amp;$A426-1,$A$4:$A425,"&lt;="&amp;$A426,$B$4:$B425,$B426)&gt;0,MIN(AL$1,IF($A426=$A425,AL425,1))-Q426&lt;0),-1,MIN(1,IF($A426=$A425,AL425,1)-Q426+$D$3))</f>
        <v>#N/A</v>
      </c>
      <c r="AM426" t="e">
        <f>IF(OR($J426=0,COUNTIFS($A$4:$A425,"&gt;="&amp;$A426-1,$A$4:$A425,"&lt;="&amp;$A426,$B$4:$B425,$B426)&gt;0,MIN(AM$1,IF($A426=$A425,AM425,1))-R426&lt;0),-1,MIN(1,IF($A426=$A425,AM425,1)-R426+$D$3))</f>
        <v>#N/A</v>
      </c>
      <c r="AN426" t="e">
        <f>IF(OR($J426=0,COUNTIFS($A$4:$A425,"&gt;="&amp;$A426-1,$A$4:$A425,"&lt;="&amp;$A426,$B$4:$B425,$B426)&gt;0,MIN(AN$1,IF($A426=$A425,AN425,1))-S426&lt;0),-1,MIN(1,IF($A426=$A425,AN425,1)-S426+$D$3))</f>
        <v>#N/A</v>
      </c>
      <c r="AO426" t="e">
        <f>IF(OR($J426=0,COUNTIFS($A$4:$A425,"&gt;="&amp;$A426-1,$A$4:$A425,"&lt;="&amp;$A426,$B$4:$B425,$B426)&gt;0,MIN(AO$1,IF($A426=$A425,AO425,1))-T426&lt;0),-1,MIN(1,IF($A426=$A425,AO425,1)-T426+$D$3))</f>
        <v>#N/A</v>
      </c>
      <c r="AP426" t="e">
        <f>IF(OR($J426=0,COUNTIFS($A$4:$A425,"&gt;="&amp;$A426-1,$A$4:$A425,"&lt;="&amp;$A426,$B$4:$B425,$B426)&gt;0,MIN(AP$1,IF($A426=$A425,AP425,1))-U426&lt;0),-1,MIN(1,IF($A426=$A425,AP425,1)-U426+$D$3))</f>
        <v>#N/A</v>
      </c>
      <c r="AQ426" t="e">
        <f>IF(OR($J426=0,COUNTIFS($A$4:$A425,"&gt;="&amp;$A426-1,$A$4:$A425,"&lt;="&amp;$A426,$B$4:$B425,$B426)&gt;0,MIN(AQ$1,IF($A426=$A425,AQ425,1))-V426&lt;0),-1,MIN(1,IF($A426=$A425,AQ425,1)-V426+$D$3))</f>
        <v>#N/A</v>
      </c>
      <c r="AR426" t="e">
        <f>IF(OR($J426=0,COUNTIFS($A$4:$A425,"&gt;="&amp;$A426-1,$A$4:$A425,"&lt;="&amp;$A426,$B$4:$B425,$B426)&gt;0,MIN(AR$1,IF($A426=$A425,AR425,1))-W426&lt;0),-1,MIN(1,IF($A426=$A425,AR425,1)-W426+$D$3))</f>
        <v>#N/A</v>
      </c>
      <c r="AS426" t="e">
        <f>IF(OR($J426=0,COUNTIFS($A$4:$A425,"&gt;="&amp;$A426-1,$A$4:$A425,"&lt;="&amp;$A426,$B$4:$B425,$B426)&gt;0,MIN(AS$1,IF($A426=$A425,AS425,1))-X426&lt;0),-1,MIN(1,IF($A426=$A425,AS425,1)-X426+$D$3))</f>
        <v>#N/A</v>
      </c>
      <c r="AT426" t="e">
        <f>IF(OR($J426=0,COUNTIFS($A$4:$A425,"&gt;="&amp;$A426-1,$A$4:$A425,"&lt;="&amp;$A426,$B$4:$B425,$B426)&gt;0,MIN(AT$1,IF($A426=$A425,AT425,1))-Y426&lt;0),-1,MIN(1,IF($A426=$A425,AT425,1)-Y426+$D$3))</f>
        <v>#N/A</v>
      </c>
      <c r="AU426" t="e">
        <f>IF(OR($J426=0,COUNTIFS($A$4:$A425,"&gt;="&amp;$A426-1,$A$4:$A425,"&lt;="&amp;$A426,$B$4:$B425,$B426)&gt;0,MIN(AU$1,IF($A426=$A425,AU425,1))-Z426&lt;0),-1,MIN(1,IF($A426=$A425,AU425,1)-Z426+$D$3))</f>
        <v>#N/A</v>
      </c>
      <c r="AV426" t="e">
        <f>IF(OR($J426=0,COUNTIFS($A$4:$A425,"&gt;="&amp;$A426-1,$A$4:$A425,"&lt;="&amp;$A426,$B$4:$B425,$B426)&gt;0,MIN(AV$1,IF($A426=$A425,AV425,1))-AA426&lt;0),-1,MIN(1,IF($A426=$A425,AV425,1)-AA426+$D$3))</f>
        <v>#N/A</v>
      </c>
      <c r="AW426" t="e">
        <f>IF(OR($J426=0,COUNTIFS($A$4:$A425,"&gt;="&amp;$A426-1,$A$4:$A425,"&lt;="&amp;$A426,$B$4:$B425,$B426)&gt;0,MIN(AW$1,IF($A426=$A425,AW425,1))-AB426&lt;0),-1,MIN(1,IF($A426=$A425,AW425,1)-AB426+$D$3))</f>
        <v>#N/A</v>
      </c>
      <c r="AX426" t="e">
        <f>IF(OR($J426=0,COUNTIFS($A$4:$A425,"&gt;="&amp;$A426-1,$A$4:$A425,"&lt;="&amp;$A426,$B$4:$B425,$B426)&gt;0,MIN(AX$1,IF($A426=$A425,AX425,1))-AC426&lt;0),-1,MIN(1,IF($A426=$A425,AX425,1)-AC426+$D$3))</f>
        <v>#N/A</v>
      </c>
      <c r="AY426" t="e">
        <f>IF(OR($J426=0,COUNTIFS($A$4:$A425,"&gt;="&amp;$A426-1,$A$4:$A425,"&lt;="&amp;$A426,$B$4:$B425,$B426)&gt;0,MIN(AY$1,IF($A426=$A425,AY425,1))-AD426&lt;0),-1,MIN(1,IF($A426=$A425,AY425,1)-AD426+$D$3))</f>
        <v>#N/A</v>
      </c>
      <c r="AZ426" t="e">
        <f>IF(OR($J426=0,COUNTIFS($A$4:$A425,"&gt;="&amp;$A426-1,$A$4:$A425,"&lt;="&amp;$A426,$B$4:$B425,$B426)&gt;0,MIN(AZ$1,IF($A426=$A425,AZ425,1))-AE426&lt;0),-1,MIN(1,IF($A426=$A425,AZ425,1)-AE426+$D$3))</f>
        <v>#N/A</v>
      </c>
      <c r="BA426" t="e">
        <f>IF(OR($J426=0,COUNTIFS($A$4:$A425,"&gt;="&amp;$A426-1,$A$4:$A425,"&lt;="&amp;$A426,$B$4:$B425,$B426)&gt;0,MIN(BA$1,IF($A426=$A425,BA425,1))-AF426&lt;0),-1,MIN(1,IF($A426=$A425,BA425,1)-AF426+$D$3))</f>
        <v>#N/A</v>
      </c>
      <c r="BB426" t="e">
        <f>IF(OR($J426=0,COUNTIFS($A$4:$A425,"&gt;="&amp;$A426-1,$A$4:$A425,"&lt;="&amp;$A426,$B$4:$B425,$B426)&gt;0,MIN(BB$1,IF($A426=$A425,BB425,1))-AG426&lt;0),-1,MIN(1,IF($A426=$A425,BB425,1)-AG426+$D$3))</f>
        <v>#N/A</v>
      </c>
      <c r="BC426" t="e">
        <f>IF(OR($J426=0,COUNTIFS($A$4:$A425,"&gt;="&amp;$A426-1,$A$4:$A425,"&lt;="&amp;$A426,$B$4:$B425,$B426)&gt;0,MIN(BC$1,IF($A426=$A425,BC425,1))-AH426&lt;0),-1,MIN(1,IF($A426=$A425,BC425,1)-AH426+$D$3))</f>
        <v>#N/A</v>
      </c>
      <c r="BD426" t="e">
        <f>IF(OR($J426=0,COUNTIFS($A$4:$A425,"&gt;="&amp;$A426-1,$A$4:$A425,"&lt;="&amp;$A426,$B$4:$B425,$B426)&gt;0,MIN(BD$1,IF($A426=$A425,BD425,1))-AI426&lt;0),-1,MIN(1,IF($A426=$A425,BD425,1)-AI426+$D$3))</f>
        <v>#N/A</v>
      </c>
      <c r="BF426" s="44">
        <f t="shared" si="399"/>
        <v>8.4268900142919708E-10</v>
      </c>
      <c r="BG426" s="44">
        <f t="shared" si="400"/>
        <v>2.0724100455597849E-9</v>
      </c>
      <c r="BH426" s="44">
        <f t="shared" si="401"/>
        <v>2.1240023005116021E-9</v>
      </c>
      <c r="BI426" s="44">
        <f t="shared" si="402"/>
        <v>1.9619884213272838E-9</v>
      </c>
      <c r="BJ426" s="44">
        <f t="shared" si="403"/>
        <v>2.0279012966956351E-9</v>
      </c>
      <c r="BK426" s="44">
        <f t="shared" si="404"/>
        <v>8.7085642697844617E-10</v>
      </c>
      <c r="BL426" s="44">
        <f t="shared" si="405"/>
        <v>4.7045034251043839E-10</v>
      </c>
      <c r="BM426" s="44">
        <f t="shared" si="406"/>
        <v>1.1967707344909879E-9</v>
      </c>
      <c r="BN426" s="44">
        <f t="shared" si="407"/>
        <v>1.2447348346539377E-9</v>
      </c>
      <c r="BO426" s="44">
        <f t="shared" si="408"/>
        <v>5.8332997578465514E-10</v>
      </c>
      <c r="BP426" s="44">
        <f t="shared" si="409"/>
        <v>1.9614340468682962E-9</v>
      </c>
      <c r="BQ426" s="44">
        <f t="shared" si="410"/>
        <v>5.2930985508060832E-10</v>
      </c>
      <c r="BR426" s="44">
        <f t="shared" si="411"/>
        <v>1.5637138120215308E-9</v>
      </c>
      <c r="BS426" s="44">
        <f t="shared" si="412"/>
        <v>8.4333160948351076E-10</v>
      </c>
      <c r="BT426" s="44">
        <f t="shared" si="413"/>
        <v>3.3373217243353756E-9</v>
      </c>
      <c r="BU426" s="44">
        <f t="shared" si="414"/>
        <v>3.1881464852290723E-9</v>
      </c>
      <c r="BV426" s="44">
        <f t="shared" si="415"/>
        <v>3.0617904069021176E-9</v>
      </c>
      <c r="BW426" s="44">
        <f t="shared" si="416"/>
        <v>2.0025794177175202E-9</v>
      </c>
      <c r="BX426" s="44">
        <f t="shared" si="417"/>
        <v>1.4794693084647986E-9</v>
      </c>
      <c r="BY426" s="44">
        <f t="shared" si="418"/>
        <v>1.2702944470057883E-9</v>
      </c>
      <c r="CA426" s="44" t="str">
        <f t="shared" si="419"/>
        <v/>
      </c>
      <c r="CB426" s="44" t="str">
        <f t="shared" si="420"/>
        <v/>
      </c>
      <c r="CC426" s="44" t="str">
        <f t="shared" si="421"/>
        <v/>
      </c>
      <c r="CD426" s="44" t="str">
        <f t="shared" si="422"/>
        <v/>
      </c>
      <c r="CE426" s="44" t="str">
        <f t="shared" si="423"/>
        <v/>
      </c>
      <c r="CF426" s="44" t="str">
        <f t="shared" si="424"/>
        <v/>
      </c>
      <c r="CG426" s="44" t="str">
        <f t="shared" si="425"/>
        <v/>
      </c>
      <c r="CH426" s="44" t="str">
        <f t="shared" si="426"/>
        <v/>
      </c>
      <c r="CI426" s="44" t="str">
        <f t="shared" si="427"/>
        <v/>
      </c>
      <c r="CJ426" s="44" t="str">
        <f t="shared" si="428"/>
        <v/>
      </c>
      <c r="CK426" s="44" t="str">
        <f t="shared" si="429"/>
        <v/>
      </c>
      <c r="CL426" s="44" t="str">
        <f t="shared" si="430"/>
        <v/>
      </c>
      <c r="CM426" s="44" t="str">
        <f t="shared" si="431"/>
        <v/>
      </c>
      <c r="CN426" s="44" t="str">
        <f t="shared" si="432"/>
        <v/>
      </c>
      <c r="CO426" s="44" t="str">
        <f t="shared" si="433"/>
        <v/>
      </c>
      <c r="CP426" s="44" t="str">
        <f t="shared" si="434"/>
        <v/>
      </c>
      <c r="CQ426" s="44" t="str">
        <f t="shared" si="435"/>
        <v/>
      </c>
      <c r="CR426" s="44" t="str">
        <f t="shared" si="436"/>
        <v/>
      </c>
      <c r="CS426" s="44" t="str">
        <f t="shared" si="437"/>
        <v/>
      </c>
      <c r="CT426" s="44" t="str">
        <f t="shared" si="438"/>
        <v/>
      </c>
      <c r="CV426" s="44">
        <f t="shared" si="439"/>
        <v>0</v>
      </c>
    </row>
    <row r="427" spans="1:100" x14ac:dyDescent="0.25">
      <c r="A427" s="41"/>
      <c r="B427" s="42"/>
      <c r="C427" s="43" t="str" cm="1">
        <f t="array" ref="C427">IF(B427="","",INDEX(UWS!$B$10:$B$41,B427))</f>
        <v/>
      </c>
      <c r="D427" s="40" t="str">
        <f t="shared" si="396"/>
        <v/>
      </c>
      <c r="E427" s="69" t="str">
        <f t="shared" si="397"/>
        <v/>
      </c>
      <c r="F427" s="48" cm="1">
        <f t="array" ref="F427">0.1+IFERROR(INDEX($F$5:$F426,SUMPRODUCT(MAX(ROW($C$5:$C426)*($C427=$C$5:$C426))-ROW($A$4)))*0.9^($A427-INDEX($A$5:A426,SUMPRODUCT(MAX(ROW($C$5:$C426)*($C427=$C$5:$C426))-ROW($A$4)))),0)</f>
        <v>36.200000000000244</v>
      </c>
      <c r="G427" s="55" t="e">
        <f>INDEX(UWS!$AB$10:$AB$41,MATCH(C427,UWS!$B$10:$B$41,0))</f>
        <v>#N/A</v>
      </c>
      <c r="H427" s="48" t="e">
        <f>INDEX(UWS!$C$10:$C$41,MATCH(C427,UWS!$B$10:$B$41,0))</f>
        <v>#N/A</v>
      </c>
      <c r="I427" s="27">
        <f t="shared" si="398"/>
        <v>5</v>
      </c>
      <c r="J427" s="27" t="e">
        <f>INDEX(UWS!$E$10:$E$41,MATCH(C427,UWS!$B$10:$B$41,0))</f>
        <v>#N/A</v>
      </c>
      <c r="L427" s="108" t="str" cm="1">
        <f t="array" ref="L427">IF(K427="","",INDEX(UWS!$B$10:$B$41,K427))</f>
        <v/>
      </c>
      <c r="N427" s="108" t="str" cm="1">
        <f t="array" ref="N427">IF(M427="","",INDEX(UWS!$B$10:$B$41,M427))</f>
        <v/>
      </c>
      <c r="P427">
        <f>IFERROR(INDEX(UWS!$G$10:$Z$41,MATCH($C427,UWS!$B$10:$B$41,0),MATCH(P$4,UWS!$G$3:$Z$3,0)),0)</f>
        <v>0</v>
      </c>
      <c r="Q427">
        <f>IFERROR(INDEX(UWS!$G$10:$Z$41,MATCH($C427,UWS!$B$10:$B$41,0),MATCH(Q$4,UWS!$G$3:$Z$3,0)),0)</f>
        <v>0</v>
      </c>
      <c r="R427">
        <f>IFERROR(INDEX(UWS!$G$10:$Z$41,MATCH($C427,UWS!$B$10:$B$41,0),MATCH(R$4,UWS!$G$3:$Z$3,0)),0)</f>
        <v>0</v>
      </c>
      <c r="S427">
        <f>IFERROR(INDEX(UWS!$G$10:$Z$41,MATCH($C427,UWS!$B$10:$B$41,0),MATCH(S$4,UWS!$G$3:$Z$3,0)),0)</f>
        <v>0</v>
      </c>
      <c r="T427">
        <f>IFERROR(INDEX(UWS!$G$10:$Z$41,MATCH($C427,UWS!$B$10:$B$41,0),MATCH(T$4,UWS!$G$3:$Z$3,0)),0)</f>
        <v>0</v>
      </c>
      <c r="U427">
        <f>IFERROR(INDEX(UWS!$G$10:$Z$41,MATCH($C427,UWS!$B$10:$B$41,0),MATCH(U$4,UWS!$G$3:$Z$3,0)),0)</f>
        <v>0</v>
      </c>
      <c r="V427">
        <f>IFERROR(INDEX(UWS!$G$10:$Z$41,MATCH($C427,UWS!$B$10:$B$41,0),MATCH(V$4,UWS!$G$3:$Z$3,0)),0)</f>
        <v>0</v>
      </c>
      <c r="W427">
        <f>IFERROR(INDEX(UWS!$G$10:$Z$41,MATCH($C427,UWS!$B$10:$B$41,0),MATCH(W$4,UWS!$G$3:$Z$3,0)),0)</f>
        <v>0</v>
      </c>
      <c r="X427">
        <f>IFERROR(INDEX(UWS!$G$10:$Z$41,MATCH($C427,UWS!$B$10:$B$41,0),MATCH(X$4,UWS!$G$3:$Z$3,0)),0)</f>
        <v>0</v>
      </c>
      <c r="Y427">
        <f>IFERROR(INDEX(UWS!$G$10:$Z$41,MATCH($C427,UWS!$B$10:$B$41,0),MATCH(Y$4,UWS!$G$3:$Z$3,0)),0)</f>
        <v>0</v>
      </c>
      <c r="Z427">
        <f>IFERROR(INDEX(UWS!$G$10:$Z$41,MATCH($C427,UWS!$B$10:$B$41,0),MATCH(Z$4,UWS!$G$3:$Z$3,0)),0)</f>
        <v>0</v>
      </c>
      <c r="AA427">
        <f>IFERROR(INDEX(UWS!$G$10:$Z$41,MATCH($C427,UWS!$B$10:$B$41,0),MATCH(AA$4,UWS!$G$3:$Z$3,0)),0)</f>
        <v>0</v>
      </c>
      <c r="AB427">
        <f>IFERROR(INDEX(UWS!$G$10:$Z$41,MATCH($C427,UWS!$B$10:$B$41,0),MATCH(AB$4,UWS!$G$3:$Z$3,0)),0)</f>
        <v>0</v>
      </c>
      <c r="AC427">
        <f>IFERROR(INDEX(UWS!$G$10:$Z$41,MATCH($C427,UWS!$B$10:$B$41,0),MATCH(AC$4,UWS!$G$3:$Z$3,0)),0)</f>
        <v>0</v>
      </c>
      <c r="AD427">
        <f>IFERROR(INDEX(UWS!$G$10:$Z$41,MATCH($C427,UWS!$B$10:$B$41,0),MATCH(AD$4,UWS!$G$3:$Z$3,0)),0)</f>
        <v>0</v>
      </c>
      <c r="AE427">
        <f>IFERROR(INDEX(UWS!$G$10:$Z$41,MATCH($C427,UWS!$B$10:$B$41,0),MATCH(AE$4,UWS!$G$3:$Z$3,0)),0)</f>
        <v>0</v>
      </c>
      <c r="AF427">
        <f>IFERROR(INDEX(UWS!$G$10:$Z$41,MATCH($C427,UWS!$B$10:$B$41,0),MATCH(AF$4,UWS!$G$3:$Z$3,0)),0)</f>
        <v>0</v>
      </c>
      <c r="AG427">
        <f>IFERROR(INDEX(UWS!$G$10:$Z$41,MATCH($C427,UWS!$B$10:$B$41,0),MATCH(AG$4,UWS!$G$3:$Z$3,0)),0)</f>
        <v>0</v>
      </c>
      <c r="AH427">
        <f>IFERROR(INDEX(UWS!$G$10:$Z$41,MATCH($C427,UWS!$B$10:$B$41,0),MATCH(AH$4,UWS!$G$3:$Z$3,0)),0)</f>
        <v>0</v>
      </c>
      <c r="AI427">
        <f>IFERROR(INDEX(UWS!$G$10:$Z$41,MATCH($C427,UWS!$B$10:$B$41,0),MATCH(AI$4,UWS!$G$3:$Z$3,0)),0)</f>
        <v>0</v>
      </c>
      <c r="AK427" t="e">
        <f>IF(OR($J427=0,COUNTIFS($A$4:$A426,"&gt;="&amp;$A427-1,$A$4:$A426,"&lt;="&amp;$A427,$B$4:$B426,$B427)&gt;0,MIN(AK$1,IF($A427=$A426,AK426,1))-P427&lt;0),-1,MIN(1,IF($A427=$A426,AK426,1)-P427+$D$3))</f>
        <v>#N/A</v>
      </c>
      <c r="AL427" t="e">
        <f>IF(OR($J427=0,COUNTIFS($A$4:$A426,"&gt;="&amp;$A427-1,$A$4:$A426,"&lt;="&amp;$A427,$B$4:$B426,$B427)&gt;0,MIN(AL$1,IF($A427=$A426,AL426,1))-Q427&lt;0),-1,MIN(1,IF($A427=$A426,AL426,1)-Q427+$D$3))</f>
        <v>#N/A</v>
      </c>
      <c r="AM427" t="e">
        <f>IF(OR($J427=0,COUNTIFS($A$4:$A426,"&gt;="&amp;$A427-1,$A$4:$A426,"&lt;="&amp;$A427,$B$4:$B426,$B427)&gt;0,MIN(AM$1,IF($A427=$A426,AM426,1))-R427&lt;0),-1,MIN(1,IF($A427=$A426,AM426,1)-R427+$D$3))</f>
        <v>#N/A</v>
      </c>
      <c r="AN427" t="e">
        <f>IF(OR($J427=0,COUNTIFS($A$4:$A426,"&gt;="&amp;$A427-1,$A$4:$A426,"&lt;="&amp;$A427,$B$4:$B426,$B427)&gt;0,MIN(AN$1,IF($A427=$A426,AN426,1))-S427&lt;0),-1,MIN(1,IF($A427=$A426,AN426,1)-S427+$D$3))</f>
        <v>#N/A</v>
      </c>
      <c r="AO427" t="e">
        <f>IF(OR($J427=0,COUNTIFS($A$4:$A426,"&gt;="&amp;$A427-1,$A$4:$A426,"&lt;="&amp;$A427,$B$4:$B426,$B427)&gt;0,MIN(AO$1,IF($A427=$A426,AO426,1))-T427&lt;0),-1,MIN(1,IF($A427=$A426,AO426,1)-T427+$D$3))</f>
        <v>#N/A</v>
      </c>
      <c r="AP427" t="e">
        <f>IF(OR($J427=0,COUNTIFS($A$4:$A426,"&gt;="&amp;$A427-1,$A$4:$A426,"&lt;="&amp;$A427,$B$4:$B426,$B427)&gt;0,MIN(AP$1,IF($A427=$A426,AP426,1))-U427&lt;0),-1,MIN(1,IF($A427=$A426,AP426,1)-U427+$D$3))</f>
        <v>#N/A</v>
      </c>
      <c r="AQ427" t="e">
        <f>IF(OR($J427=0,COUNTIFS($A$4:$A426,"&gt;="&amp;$A427-1,$A$4:$A426,"&lt;="&amp;$A427,$B$4:$B426,$B427)&gt;0,MIN(AQ$1,IF($A427=$A426,AQ426,1))-V427&lt;0),-1,MIN(1,IF($A427=$A426,AQ426,1)-V427+$D$3))</f>
        <v>#N/A</v>
      </c>
      <c r="AR427" t="e">
        <f>IF(OR($J427=0,COUNTIFS($A$4:$A426,"&gt;="&amp;$A427-1,$A$4:$A426,"&lt;="&amp;$A427,$B$4:$B426,$B427)&gt;0,MIN(AR$1,IF($A427=$A426,AR426,1))-W427&lt;0),-1,MIN(1,IF($A427=$A426,AR426,1)-W427+$D$3))</f>
        <v>#N/A</v>
      </c>
      <c r="AS427" t="e">
        <f>IF(OR($J427=0,COUNTIFS($A$4:$A426,"&gt;="&amp;$A427-1,$A$4:$A426,"&lt;="&amp;$A427,$B$4:$B426,$B427)&gt;0,MIN(AS$1,IF($A427=$A426,AS426,1))-X427&lt;0),-1,MIN(1,IF($A427=$A426,AS426,1)-X427+$D$3))</f>
        <v>#N/A</v>
      </c>
      <c r="AT427" t="e">
        <f>IF(OR($J427=0,COUNTIFS($A$4:$A426,"&gt;="&amp;$A427-1,$A$4:$A426,"&lt;="&amp;$A427,$B$4:$B426,$B427)&gt;0,MIN(AT$1,IF($A427=$A426,AT426,1))-Y427&lt;0),-1,MIN(1,IF($A427=$A426,AT426,1)-Y427+$D$3))</f>
        <v>#N/A</v>
      </c>
      <c r="AU427" t="e">
        <f>IF(OR($J427=0,COUNTIFS($A$4:$A426,"&gt;="&amp;$A427-1,$A$4:$A426,"&lt;="&amp;$A427,$B$4:$B426,$B427)&gt;0,MIN(AU$1,IF($A427=$A426,AU426,1))-Z427&lt;0),-1,MIN(1,IF($A427=$A426,AU426,1)-Z427+$D$3))</f>
        <v>#N/A</v>
      </c>
      <c r="AV427" t="e">
        <f>IF(OR($J427=0,COUNTIFS($A$4:$A426,"&gt;="&amp;$A427-1,$A$4:$A426,"&lt;="&amp;$A427,$B$4:$B426,$B427)&gt;0,MIN(AV$1,IF($A427=$A426,AV426,1))-AA427&lt;0),-1,MIN(1,IF($A427=$A426,AV426,1)-AA427+$D$3))</f>
        <v>#N/A</v>
      </c>
      <c r="AW427" t="e">
        <f>IF(OR($J427=0,COUNTIFS($A$4:$A426,"&gt;="&amp;$A427-1,$A$4:$A426,"&lt;="&amp;$A427,$B$4:$B426,$B427)&gt;0,MIN(AW$1,IF($A427=$A426,AW426,1))-AB427&lt;0),-1,MIN(1,IF($A427=$A426,AW426,1)-AB427+$D$3))</f>
        <v>#N/A</v>
      </c>
      <c r="AX427" t="e">
        <f>IF(OR($J427=0,COUNTIFS($A$4:$A426,"&gt;="&amp;$A427-1,$A$4:$A426,"&lt;="&amp;$A427,$B$4:$B426,$B427)&gt;0,MIN(AX$1,IF($A427=$A426,AX426,1))-AC427&lt;0),-1,MIN(1,IF($A427=$A426,AX426,1)-AC427+$D$3))</f>
        <v>#N/A</v>
      </c>
      <c r="AY427" t="e">
        <f>IF(OR($J427=0,COUNTIFS($A$4:$A426,"&gt;="&amp;$A427-1,$A$4:$A426,"&lt;="&amp;$A427,$B$4:$B426,$B427)&gt;0,MIN(AY$1,IF($A427=$A426,AY426,1))-AD427&lt;0),-1,MIN(1,IF($A427=$A426,AY426,1)-AD427+$D$3))</f>
        <v>#N/A</v>
      </c>
      <c r="AZ427" t="e">
        <f>IF(OR($J427=0,COUNTIFS($A$4:$A426,"&gt;="&amp;$A427-1,$A$4:$A426,"&lt;="&amp;$A427,$B$4:$B426,$B427)&gt;0,MIN(AZ$1,IF($A427=$A426,AZ426,1))-AE427&lt;0),-1,MIN(1,IF($A427=$A426,AZ426,1)-AE427+$D$3))</f>
        <v>#N/A</v>
      </c>
      <c r="BA427" t="e">
        <f>IF(OR($J427=0,COUNTIFS($A$4:$A426,"&gt;="&amp;$A427-1,$A$4:$A426,"&lt;="&amp;$A427,$B$4:$B426,$B427)&gt;0,MIN(BA$1,IF($A427=$A426,BA426,1))-AF427&lt;0),-1,MIN(1,IF($A427=$A426,BA426,1)-AF427+$D$3))</f>
        <v>#N/A</v>
      </c>
      <c r="BB427" t="e">
        <f>IF(OR($J427=0,COUNTIFS($A$4:$A426,"&gt;="&amp;$A427-1,$A$4:$A426,"&lt;="&amp;$A427,$B$4:$B426,$B427)&gt;0,MIN(BB$1,IF($A427=$A426,BB426,1))-AG427&lt;0),-1,MIN(1,IF($A427=$A426,BB426,1)-AG427+$D$3))</f>
        <v>#N/A</v>
      </c>
      <c r="BC427" t="e">
        <f>IF(OR($J427=0,COUNTIFS($A$4:$A426,"&gt;="&amp;$A427-1,$A$4:$A426,"&lt;="&amp;$A427,$B$4:$B426,$B427)&gt;0,MIN(BC$1,IF($A427=$A426,BC426,1))-AH427&lt;0),-1,MIN(1,IF($A427=$A426,BC426,1)-AH427+$D$3))</f>
        <v>#N/A</v>
      </c>
      <c r="BD427" t="e">
        <f>IF(OR($J427=0,COUNTIFS($A$4:$A426,"&gt;="&amp;$A427-1,$A$4:$A426,"&lt;="&amp;$A427,$B$4:$B426,$B427)&gt;0,MIN(BD$1,IF($A427=$A426,BD426,1))-AI427&lt;0),-1,MIN(1,IF($A427=$A426,BD426,1)-AI427+$D$3))</f>
        <v>#N/A</v>
      </c>
      <c r="BF427" s="44">
        <f t="shared" si="399"/>
        <v>8.0055455135773715E-10</v>
      </c>
      <c r="BG427" s="44">
        <f t="shared" si="400"/>
        <v>1.9687895432817954E-9</v>
      </c>
      <c r="BH427" s="44">
        <f t="shared" si="401"/>
        <v>2.0178021854860219E-9</v>
      </c>
      <c r="BI427" s="44">
        <f t="shared" si="402"/>
        <v>1.8638890002609196E-9</v>
      </c>
      <c r="BJ427" s="44">
        <f t="shared" si="403"/>
        <v>1.9265062318608534E-9</v>
      </c>
      <c r="BK427" s="44">
        <f t="shared" si="404"/>
        <v>8.2731360562952378E-10</v>
      </c>
      <c r="BL427" s="44">
        <f t="shared" si="405"/>
        <v>4.4692782538491646E-10</v>
      </c>
      <c r="BM427" s="44">
        <f t="shared" si="406"/>
        <v>1.1369321977664384E-9</v>
      </c>
      <c r="BN427" s="44">
        <f t="shared" si="407"/>
        <v>1.1824980929212406E-9</v>
      </c>
      <c r="BO427" s="44">
        <f t="shared" si="408"/>
        <v>5.5416347699542232E-10</v>
      </c>
      <c r="BP427" s="44">
        <f t="shared" si="409"/>
        <v>1.8633623445248812E-9</v>
      </c>
      <c r="BQ427" s="44">
        <f t="shared" si="410"/>
        <v>5.028443623265779E-10</v>
      </c>
      <c r="BR427" s="44">
        <f t="shared" si="411"/>
        <v>1.4855281214204542E-9</v>
      </c>
      <c r="BS427" s="44">
        <f t="shared" si="412"/>
        <v>8.0116502900933523E-10</v>
      </c>
      <c r="BT427" s="44">
        <f t="shared" si="413"/>
        <v>3.1704556381186065E-9</v>
      </c>
      <c r="BU427" s="44">
        <f t="shared" si="414"/>
        <v>3.0287391609676185E-9</v>
      </c>
      <c r="BV427" s="44">
        <f t="shared" si="415"/>
        <v>2.9087008865570118E-9</v>
      </c>
      <c r="BW427" s="44">
        <f t="shared" si="416"/>
        <v>1.9024504468316442E-9</v>
      </c>
      <c r="BX427" s="44">
        <f t="shared" si="417"/>
        <v>1.4054958430415587E-9</v>
      </c>
      <c r="BY427" s="44">
        <f t="shared" si="418"/>
        <v>1.2067797246554989E-9</v>
      </c>
      <c r="CA427" s="44" t="str">
        <f t="shared" si="419"/>
        <v/>
      </c>
      <c r="CB427" s="44" t="str">
        <f t="shared" si="420"/>
        <v/>
      </c>
      <c r="CC427" s="44" t="str">
        <f t="shared" si="421"/>
        <v/>
      </c>
      <c r="CD427" s="44" t="str">
        <f t="shared" si="422"/>
        <v/>
      </c>
      <c r="CE427" s="44" t="str">
        <f t="shared" si="423"/>
        <v/>
      </c>
      <c r="CF427" s="44" t="str">
        <f t="shared" si="424"/>
        <v/>
      </c>
      <c r="CG427" s="44" t="str">
        <f t="shared" si="425"/>
        <v/>
      </c>
      <c r="CH427" s="44" t="str">
        <f t="shared" si="426"/>
        <v/>
      </c>
      <c r="CI427" s="44" t="str">
        <f t="shared" si="427"/>
        <v/>
      </c>
      <c r="CJ427" s="44" t="str">
        <f t="shared" si="428"/>
        <v/>
      </c>
      <c r="CK427" s="44" t="str">
        <f t="shared" si="429"/>
        <v/>
      </c>
      <c r="CL427" s="44" t="str">
        <f t="shared" si="430"/>
        <v/>
      </c>
      <c r="CM427" s="44" t="str">
        <f t="shared" si="431"/>
        <v/>
      </c>
      <c r="CN427" s="44" t="str">
        <f t="shared" si="432"/>
        <v/>
      </c>
      <c r="CO427" s="44" t="str">
        <f t="shared" si="433"/>
        <v/>
      </c>
      <c r="CP427" s="44" t="str">
        <f t="shared" si="434"/>
        <v/>
      </c>
      <c r="CQ427" s="44" t="str">
        <f t="shared" si="435"/>
        <v/>
      </c>
      <c r="CR427" s="44" t="str">
        <f t="shared" si="436"/>
        <v/>
      </c>
      <c r="CS427" s="44" t="str">
        <f t="shared" si="437"/>
        <v/>
      </c>
      <c r="CT427" s="44" t="str">
        <f t="shared" si="438"/>
        <v/>
      </c>
      <c r="CV427" s="44">
        <f t="shared" si="439"/>
        <v>0</v>
      </c>
    </row>
    <row r="428" spans="1:100" x14ac:dyDescent="0.25">
      <c r="A428" s="41"/>
      <c r="B428" s="42"/>
      <c r="C428" s="43" t="str" cm="1">
        <f t="array" ref="C428">IF(B428="","",INDEX(UWS!$B$10:$B$41,B428))</f>
        <v/>
      </c>
      <c r="D428" s="40" t="str">
        <f t="shared" si="396"/>
        <v/>
      </c>
      <c r="E428" s="69" t="str">
        <f t="shared" si="397"/>
        <v/>
      </c>
      <c r="F428" s="48" cm="1">
        <f t="array" ref="F428">0.1+IFERROR(INDEX($F$5:$F427,SUMPRODUCT(MAX(ROW($C$5:$C427)*($C428=$C$5:$C427))-ROW($A$4)))*0.9^($A428-INDEX($A$5:A427,SUMPRODUCT(MAX(ROW($C$5:$C427)*($C428=$C$5:$C427))-ROW($A$4)))),0)</f>
        <v>36.300000000000246</v>
      </c>
      <c r="G428" s="55" t="e">
        <f>INDEX(UWS!$AB$10:$AB$41,MATCH(C428,UWS!$B$10:$B$41,0))</f>
        <v>#N/A</v>
      </c>
      <c r="H428" s="48" t="e">
        <f>INDEX(UWS!$C$10:$C$41,MATCH(C428,UWS!$B$10:$B$41,0))</f>
        <v>#N/A</v>
      </c>
      <c r="I428" s="27">
        <f t="shared" si="398"/>
        <v>5</v>
      </c>
      <c r="J428" s="27" t="e">
        <f>INDEX(UWS!$E$10:$E$41,MATCH(C428,UWS!$B$10:$B$41,0))</f>
        <v>#N/A</v>
      </c>
      <c r="L428" s="108" t="str" cm="1">
        <f t="array" ref="L428">IF(K428="","",INDEX(UWS!$B$10:$B$41,K428))</f>
        <v/>
      </c>
      <c r="N428" s="108" t="str" cm="1">
        <f t="array" ref="N428">IF(M428="","",INDEX(UWS!$B$10:$B$41,M428))</f>
        <v/>
      </c>
      <c r="P428">
        <f>IFERROR(INDEX(UWS!$G$10:$Z$41,MATCH($C428,UWS!$B$10:$B$41,0),MATCH(P$4,UWS!$G$3:$Z$3,0)),0)</f>
        <v>0</v>
      </c>
      <c r="Q428">
        <f>IFERROR(INDEX(UWS!$G$10:$Z$41,MATCH($C428,UWS!$B$10:$B$41,0),MATCH(Q$4,UWS!$G$3:$Z$3,0)),0)</f>
        <v>0</v>
      </c>
      <c r="R428">
        <f>IFERROR(INDEX(UWS!$G$10:$Z$41,MATCH($C428,UWS!$B$10:$B$41,0),MATCH(R$4,UWS!$G$3:$Z$3,0)),0)</f>
        <v>0</v>
      </c>
      <c r="S428">
        <f>IFERROR(INDEX(UWS!$G$10:$Z$41,MATCH($C428,UWS!$B$10:$B$41,0),MATCH(S$4,UWS!$G$3:$Z$3,0)),0)</f>
        <v>0</v>
      </c>
      <c r="T428">
        <f>IFERROR(INDEX(UWS!$G$10:$Z$41,MATCH($C428,UWS!$B$10:$B$41,0),MATCH(T$4,UWS!$G$3:$Z$3,0)),0)</f>
        <v>0</v>
      </c>
      <c r="U428">
        <f>IFERROR(INDEX(UWS!$G$10:$Z$41,MATCH($C428,UWS!$B$10:$B$41,0),MATCH(U$4,UWS!$G$3:$Z$3,0)),0)</f>
        <v>0</v>
      </c>
      <c r="V428">
        <f>IFERROR(INDEX(UWS!$G$10:$Z$41,MATCH($C428,UWS!$B$10:$B$41,0),MATCH(V$4,UWS!$G$3:$Z$3,0)),0)</f>
        <v>0</v>
      </c>
      <c r="W428">
        <f>IFERROR(INDEX(UWS!$G$10:$Z$41,MATCH($C428,UWS!$B$10:$B$41,0),MATCH(W$4,UWS!$G$3:$Z$3,0)),0)</f>
        <v>0</v>
      </c>
      <c r="X428">
        <f>IFERROR(INDEX(UWS!$G$10:$Z$41,MATCH($C428,UWS!$B$10:$B$41,0),MATCH(X$4,UWS!$G$3:$Z$3,0)),0)</f>
        <v>0</v>
      </c>
      <c r="Y428">
        <f>IFERROR(INDEX(UWS!$G$10:$Z$41,MATCH($C428,UWS!$B$10:$B$41,0),MATCH(Y$4,UWS!$G$3:$Z$3,0)),0)</f>
        <v>0</v>
      </c>
      <c r="Z428">
        <f>IFERROR(INDEX(UWS!$G$10:$Z$41,MATCH($C428,UWS!$B$10:$B$41,0),MATCH(Z$4,UWS!$G$3:$Z$3,0)),0)</f>
        <v>0</v>
      </c>
      <c r="AA428">
        <f>IFERROR(INDEX(UWS!$G$10:$Z$41,MATCH($C428,UWS!$B$10:$B$41,0),MATCH(AA$4,UWS!$G$3:$Z$3,0)),0)</f>
        <v>0</v>
      </c>
      <c r="AB428">
        <f>IFERROR(INDEX(UWS!$G$10:$Z$41,MATCH($C428,UWS!$B$10:$B$41,0),MATCH(AB$4,UWS!$G$3:$Z$3,0)),0)</f>
        <v>0</v>
      </c>
      <c r="AC428">
        <f>IFERROR(INDEX(UWS!$G$10:$Z$41,MATCH($C428,UWS!$B$10:$B$41,0),MATCH(AC$4,UWS!$G$3:$Z$3,0)),0)</f>
        <v>0</v>
      </c>
      <c r="AD428">
        <f>IFERROR(INDEX(UWS!$G$10:$Z$41,MATCH($C428,UWS!$B$10:$B$41,0),MATCH(AD$4,UWS!$G$3:$Z$3,0)),0)</f>
        <v>0</v>
      </c>
      <c r="AE428">
        <f>IFERROR(INDEX(UWS!$G$10:$Z$41,MATCH($C428,UWS!$B$10:$B$41,0),MATCH(AE$4,UWS!$G$3:$Z$3,0)),0)</f>
        <v>0</v>
      </c>
      <c r="AF428">
        <f>IFERROR(INDEX(UWS!$G$10:$Z$41,MATCH($C428,UWS!$B$10:$B$41,0),MATCH(AF$4,UWS!$G$3:$Z$3,0)),0)</f>
        <v>0</v>
      </c>
      <c r="AG428">
        <f>IFERROR(INDEX(UWS!$G$10:$Z$41,MATCH($C428,UWS!$B$10:$B$41,0),MATCH(AG$4,UWS!$G$3:$Z$3,0)),0)</f>
        <v>0</v>
      </c>
      <c r="AH428">
        <f>IFERROR(INDEX(UWS!$G$10:$Z$41,MATCH($C428,UWS!$B$10:$B$41,0),MATCH(AH$4,UWS!$G$3:$Z$3,0)),0)</f>
        <v>0</v>
      </c>
      <c r="AI428">
        <f>IFERROR(INDEX(UWS!$G$10:$Z$41,MATCH($C428,UWS!$B$10:$B$41,0),MATCH(AI$4,UWS!$G$3:$Z$3,0)),0)</f>
        <v>0</v>
      </c>
      <c r="AK428" t="e">
        <f>IF(OR($J428=0,COUNTIFS($A$4:$A427,"&gt;="&amp;$A428-1,$A$4:$A427,"&lt;="&amp;$A428,$B$4:$B427,$B428)&gt;0,MIN(AK$1,IF($A428=$A427,AK427,1))-P428&lt;0),-1,MIN(1,IF($A428=$A427,AK427,1)-P428+$D$3))</f>
        <v>#N/A</v>
      </c>
      <c r="AL428" t="e">
        <f>IF(OR($J428=0,COUNTIFS($A$4:$A427,"&gt;="&amp;$A428-1,$A$4:$A427,"&lt;="&amp;$A428,$B$4:$B427,$B428)&gt;0,MIN(AL$1,IF($A428=$A427,AL427,1))-Q428&lt;0),-1,MIN(1,IF($A428=$A427,AL427,1)-Q428+$D$3))</f>
        <v>#N/A</v>
      </c>
      <c r="AM428" t="e">
        <f>IF(OR($J428=0,COUNTIFS($A$4:$A427,"&gt;="&amp;$A428-1,$A$4:$A427,"&lt;="&amp;$A428,$B$4:$B427,$B428)&gt;0,MIN(AM$1,IF($A428=$A427,AM427,1))-R428&lt;0),-1,MIN(1,IF($A428=$A427,AM427,1)-R428+$D$3))</f>
        <v>#N/A</v>
      </c>
      <c r="AN428" t="e">
        <f>IF(OR($J428=0,COUNTIFS($A$4:$A427,"&gt;="&amp;$A428-1,$A$4:$A427,"&lt;="&amp;$A428,$B$4:$B427,$B428)&gt;0,MIN(AN$1,IF($A428=$A427,AN427,1))-S428&lt;0),-1,MIN(1,IF($A428=$A427,AN427,1)-S428+$D$3))</f>
        <v>#N/A</v>
      </c>
      <c r="AO428" t="e">
        <f>IF(OR($J428=0,COUNTIFS($A$4:$A427,"&gt;="&amp;$A428-1,$A$4:$A427,"&lt;="&amp;$A428,$B$4:$B427,$B428)&gt;0,MIN(AO$1,IF($A428=$A427,AO427,1))-T428&lt;0),-1,MIN(1,IF($A428=$A427,AO427,1)-T428+$D$3))</f>
        <v>#N/A</v>
      </c>
      <c r="AP428" t="e">
        <f>IF(OR($J428=0,COUNTIFS($A$4:$A427,"&gt;="&amp;$A428-1,$A$4:$A427,"&lt;="&amp;$A428,$B$4:$B427,$B428)&gt;0,MIN(AP$1,IF($A428=$A427,AP427,1))-U428&lt;0),-1,MIN(1,IF($A428=$A427,AP427,1)-U428+$D$3))</f>
        <v>#N/A</v>
      </c>
      <c r="AQ428" t="e">
        <f>IF(OR($J428=0,COUNTIFS($A$4:$A427,"&gt;="&amp;$A428-1,$A$4:$A427,"&lt;="&amp;$A428,$B$4:$B427,$B428)&gt;0,MIN(AQ$1,IF($A428=$A427,AQ427,1))-V428&lt;0),-1,MIN(1,IF($A428=$A427,AQ427,1)-V428+$D$3))</f>
        <v>#N/A</v>
      </c>
      <c r="AR428" t="e">
        <f>IF(OR($J428=0,COUNTIFS($A$4:$A427,"&gt;="&amp;$A428-1,$A$4:$A427,"&lt;="&amp;$A428,$B$4:$B427,$B428)&gt;0,MIN(AR$1,IF($A428=$A427,AR427,1))-W428&lt;0),-1,MIN(1,IF($A428=$A427,AR427,1)-W428+$D$3))</f>
        <v>#N/A</v>
      </c>
      <c r="AS428" t="e">
        <f>IF(OR($J428=0,COUNTIFS($A$4:$A427,"&gt;="&amp;$A428-1,$A$4:$A427,"&lt;="&amp;$A428,$B$4:$B427,$B428)&gt;0,MIN(AS$1,IF($A428=$A427,AS427,1))-X428&lt;0),-1,MIN(1,IF($A428=$A427,AS427,1)-X428+$D$3))</f>
        <v>#N/A</v>
      </c>
      <c r="AT428" t="e">
        <f>IF(OR($J428=0,COUNTIFS($A$4:$A427,"&gt;="&amp;$A428-1,$A$4:$A427,"&lt;="&amp;$A428,$B$4:$B427,$B428)&gt;0,MIN(AT$1,IF($A428=$A427,AT427,1))-Y428&lt;0),-1,MIN(1,IF($A428=$A427,AT427,1)-Y428+$D$3))</f>
        <v>#N/A</v>
      </c>
      <c r="AU428" t="e">
        <f>IF(OR($J428=0,COUNTIFS($A$4:$A427,"&gt;="&amp;$A428-1,$A$4:$A427,"&lt;="&amp;$A428,$B$4:$B427,$B428)&gt;0,MIN(AU$1,IF($A428=$A427,AU427,1))-Z428&lt;0),-1,MIN(1,IF($A428=$A427,AU427,1)-Z428+$D$3))</f>
        <v>#N/A</v>
      </c>
      <c r="AV428" t="e">
        <f>IF(OR($J428=0,COUNTIFS($A$4:$A427,"&gt;="&amp;$A428-1,$A$4:$A427,"&lt;="&amp;$A428,$B$4:$B427,$B428)&gt;0,MIN(AV$1,IF($A428=$A427,AV427,1))-AA428&lt;0),-1,MIN(1,IF($A428=$A427,AV427,1)-AA428+$D$3))</f>
        <v>#N/A</v>
      </c>
      <c r="AW428" t="e">
        <f>IF(OR($J428=0,COUNTIFS($A$4:$A427,"&gt;="&amp;$A428-1,$A$4:$A427,"&lt;="&amp;$A428,$B$4:$B427,$B428)&gt;0,MIN(AW$1,IF($A428=$A427,AW427,1))-AB428&lt;0),-1,MIN(1,IF($A428=$A427,AW427,1)-AB428+$D$3))</f>
        <v>#N/A</v>
      </c>
      <c r="AX428" t="e">
        <f>IF(OR($J428=0,COUNTIFS($A$4:$A427,"&gt;="&amp;$A428-1,$A$4:$A427,"&lt;="&amp;$A428,$B$4:$B427,$B428)&gt;0,MIN(AX$1,IF($A428=$A427,AX427,1))-AC428&lt;0),-1,MIN(1,IF($A428=$A427,AX427,1)-AC428+$D$3))</f>
        <v>#N/A</v>
      </c>
      <c r="AY428" t="e">
        <f>IF(OR($J428=0,COUNTIFS($A$4:$A427,"&gt;="&amp;$A428-1,$A$4:$A427,"&lt;="&amp;$A428,$B$4:$B427,$B428)&gt;0,MIN(AY$1,IF($A428=$A427,AY427,1))-AD428&lt;0),-1,MIN(1,IF($A428=$A427,AY427,1)-AD428+$D$3))</f>
        <v>#N/A</v>
      </c>
      <c r="AZ428" t="e">
        <f>IF(OR($J428=0,COUNTIFS($A$4:$A427,"&gt;="&amp;$A428-1,$A$4:$A427,"&lt;="&amp;$A428,$B$4:$B427,$B428)&gt;0,MIN(AZ$1,IF($A428=$A427,AZ427,1))-AE428&lt;0),-1,MIN(1,IF($A428=$A427,AZ427,1)-AE428+$D$3))</f>
        <v>#N/A</v>
      </c>
      <c r="BA428" t="e">
        <f>IF(OR($J428=0,COUNTIFS($A$4:$A427,"&gt;="&amp;$A428-1,$A$4:$A427,"&lt;="&amp;$A428,$B$4:$B427,$B428)&gt;0,MIN(BA$1,IF($A428=$A427,BA427,1))-AF428&lt;0),-1,MIN(1,IF($A428=$A427,BA427,1)-AF428+$D$3))</f>
        <v>#N/A</v>
      </c>
      <c r="BB428" t="e">
        <f>IF(OR($J428=0,COUNTIFS($A$4:$A427,"&gt;="&amp;$A428-1,$A$4:$A427,"&lt;="&amp;$A428,$B$4:$B427,$B428)&gt;0,MIN(BB$1,IF($A428=$A427,BB427,1))-AG428&lt;0),-1,MIN(1,IF($A428=$A427,BB427,1)-AG428+$D$3))</f>
        <v>#N/A</v>
      </c>
      <c r="BC428" t="e">
        <f>IF(OR($J428=0,COUNTIFS($A$4:$A427,"&gt;="&amp;$A428-1,$A$4:$A427,"&lt;="&amp;$A428,$B$4:$B427,$B428)&gt;0,MIN(BC$1,IF($A428=$A427,BC427,1))-AH428&lt;0),-1,MIN(1,IF($A428=$A427,BC427,1)-AH428+$D$3))</f>
        <v>#N/A</v>
      </c>
      <c r="BD428" t="e">
        <f>IF(OR($J428=0,COUNTIFS($A$4:$A427,"&gt;="&amp;$A428-1,$A$4:$A427,"&lt;="&amp;$A428,$B$4:$B427,$B428)&gt;0,MIN(BD$1,IF($A428=$A427,BD427,1))-AI428&lt;0),-1,MIN(1,IF($A428=$A427,BD427,1)-AI428+$D$3))</f>
        <v>#N/A</v>
      </c>
      <c r="BF428" s="44">
        <f t="shared" si="399"/>
        <v>7.6052682378985025E-10</v>
      </c>
      <c r="BG428" s="44">
        <f t="shared" si="400"/>
        <v>1.8703500661177055E-9</v>
      </c>
      <c r="BH428" s="44">
        <f t="shared" si="401"/>
        <v>1.9169120762117207E-9</v>
      </c>
      <c r="BI428" s="44">
        <f t="shared" si="402"/>
        <v>1.7706945502478736E-9</v>
      </c>
      <c r="BJ428" s="44">
        <f t="shared" si="403"/>
        <v>1.8301809202678106E-9</v>
      </c>
      <c r="BK428" s="44">
        <f t="shared" si="404"/>
        <v>7.8594792534804753E-10</v>
      </c>
      <c r="BL428" s="44">
        <f t="shared" si="405"/>
        <v>4.2458143411567059E-10</v>
      </c>
      <c r="BM428" s="44">
        <f t="shared" si="406"/>
        <v>1.0800855878781164E-9</v>
      </c>
      <c r="BN428" s="44">
        <f t="shared" si="407"/>
        <v>1.1233731882751785E-9</v>
      </c>
      <c r="BO428" s="44">
        <f t="shared" si="408"/>
        <v>5.2645530314565114E-10</v>
      </c>
      <c r="BP428" s="44">
        <f t="shared" si="409"/>
        <v>1.7701942272986371E-9</v>
      </c>
      <c r="BQ428" s="44">
        <f t="shared" si="410"/>
        <v>4.7770214421024895E-10</v>
      </c>
      <c r="BR428" s="44">
        <f t="shared" si="411"/>
        <v>1.4112517153494314E-9</v>
      </c>
      <c r="BS428" s="44">
        <f t="shared" si="412"/>
        <v>7.6110677755886842E-10</v>
      </c>
      <c r="BT428" s="44">
        <f t="shared" si="413"/>
        <v>3.0119328562126761E-9</v>
      </c>
      <c r="BU428" s="44">
        <f t="shared" si="414"/>
        <v>2.8773022029192373E-9</v>
      </c>
      <c r="BV428" s="44">
        <f t="shared" si="415"/>
        <v>2.763265842229161E-9</v>
      </c>
      <c r="BW428" s="44">
        <f t="shared" si="416"/>
        <v>1.8073279244900619E-9</v>
      </c>
      <c r="BX428" s="44">
        <f t="shared" si="417"/>
        <v>1.3352210508894807E-9</v>
      </c>
      <c r="BY428" s="44">
        <f t="shared" si="418"/>
        <v>1.146440738422724E-9</v>
      </c>
      <c r="CA428" s="44" t="str">
        <f t="shared" si="419"/>
        <v/>
      </c>
      <c r="CB428" s="44" t="str">
        <f t="shared" si="420"/>
        <v/>
      </c>
      <c r="CC428" s="44" t="str">
        <f t="shared" si="421"/>
        <v/>
      </c>
      <c r="CD428" s="44" t="str">
        <f t="shared" si="422"/>
        <v/>
      </c>
      <c r="CE428" s="44" t="str">
        <f t="shared" si="423"/>
        <v/>
      </c>
      <c r="CF428" s="44" t="str">
        <f t="shared" si="424"/>
        <v/>
      </c>
      <c r="CG428" s="44" t="str">
        <f t="shared" si="425"/>
        <v/>
      </c>
      <c r="CH428" s="44" t="str">
        <f t="shared" si="426"/>
        <v/>
      </c>
      <c r="CI428" s="44" t="str">
        <f t="shared" si="427"/>
        <v/>
      </c>
      <c r="CJ428" s="44" t="str">
        <f t="shared" si="428"/>
        <v/>
      </c>
      <c r="CK428" s="44" t="str">
        <f t="shared" si="429"/>
        <v/>
      </c>
      <c r="CL428" s="44" t="str">
        <f t="shared" si="430"/>
        <v/>
      </c>
      <c r="CM428" s="44" t="str">
        <f t="shared" si="431"/>
        <v/>
      </c>
      <c r="CN428" s="44" t="str">
        <f t="shared" si="432"/>
        <v/>
      </c>
      <c r="CO428" s="44" t="str">
        <f t="shared" si="433"/>
        <v/>
      </c>
      <c r="CP428" s="44" t="str">
        <f t="shared" si="434"/>
        <v/>
      </c>
      <c r="CQ428" s="44" t="str">
        <f t="shared" si="435"/>
        <v/>
      </c>
      <c r="CR428" s="44" t="str">
        <f t="shared" si="436"/>
        <v/>
      </c>
      <c r="CS428" s="44" t="str">
        <f t="shared" si="437"/>
        <v/>
      </c>
      <c r="CT428" s="44" t="str">
        <f t="shared" si="438"/>
        <v/>
      </c>
      <c r="CV428" s="44">
        <f t="shared" si="439"/>
        <v>0</v>
      </c>
    </row>
    <row r="429" spans="1:100" x14ac:dyDescent="0.25">
      <c r="A429" s="41"/>
      <c r="B429" s="42"/>
      <c r="C429" s="43" t="str" cm="1">
        <f t="array" ref="C429">IF(B429="","",INDEX(UWS!$B$10:$B$41,B429))</f>
        <v/>
      </c>
      <c r="D429" s="40" t="str">
        <f t="shared" si="396"/>
        <v/>
      </c>
      <c r="E429" s="69" t="str">
        <f t="shared" si="397"/>
        <v/>
      </c>
      <c r="F429" s="48" cm="1">
        <f t="array" ref="F429">0.1+IFERROR(INDEX($F$5:$F428,SUMPRODUCT(MAX(ROW($C$5:$C428)*($C429=$C$5:$C428))-ROW($A$4)))*0.9^($A429-INDEX($A$5:A428,SUMPRODUCT(MAX(ROW($C$5:$C428)*($C429=$C$5:$C428))-ROW($A$4)))),0)</f>
        <v>36.400000000000247</v>
      </c>
      <c r="G429" s="55" t="e">
        <f>INDEX(UWS!$AB$10:$AB$41,MATCH(C429,UWS!$B$10:$B$41,0))</f>
        <v>#N/A</v>
      </c>
      <c r="H429" s="48" t="e">
        <f>INDEX(UWS!$C$10:$C$41,MATCH(C429,UWS!$B$10:$B$41,0))</f>
        <v>#N/A</v>
      </c>
      <c r="I429" s="27">
        <f t="shared" si="398"/>
        <v>5</v>
      </c>
      <c r="J429" s="27" t="e">
        <f>INDEX(UWS!$E$10:$E$41,MATCH(C429,UWS!$B$10:$B$41,0))</f>
        <v>#N/A</v>
      </c>
      <c r="L429" s="108" t="str" cm="1">
        <f t="array" ref="L429">IF(K429="","",INDEX(UWS!$B$10:$B$41,K429))</f>
        <v/>
      </c>
      <c r="N429" s="108" t="str" cm="1">
        <f t="array" ref="N429">IF(M429="","",INDEX(UWS!$B$10:$B$41,M429))</f>
        <v/>
      </c>
      <c r="P429">
        <f>IFERROR(INDEX(UWS!$G$10:$Z$41,MATCH($C429,UWS!$B$10:$B$41,0),MATCH(P$4,UWS!$G$3:$Z$3,0)),0)</f>
        <v>0</v>
      </c>
      <c r="Q429">
        <f>IFERROR(INDEX(UWS!$G$10:$Z$41,MATCH($C429,UWS!$B$10:$B$41,0),MATCH(Q$4,UWS!$G$3:$Z$3,0)),0)</f>
        <v>0</v>
      </c>
      <c r="R429">
        <f>IFERROR(INDEX(UWS!$G$10:$Z$41,MATCH($C429,UWS!$B$10:$B$41,0),MATCH(R$4,UWS!$G$3:$Z$3,0)),0)</f>
        <v>0</v>
      </c>
      <c r="S429">
        <f>IFERROR(INDEX(UWS!$G$10:$Z$41,MATCH($C429,UWS!$B$10:$B$41,0),MATCH(S$4,UWS!$G$3:$Z$3,0)),0)</f>
        <v>0</v>
      </c>
      <c r="T429">
        <f>IFERROR(INDEX(UWS!$G$10:$Z$41,MATCH($C429,UWS!$B$10:$B$41,0),MATCH(T$4,UWS!$G$3:$Z$3,0)),0)</f>
        <v>0</v>
      </c>
      <c r="U429">
        <f>IFERROR(INDEX(UWS!$G$10:$Z$41,MATCH($C429,UWS!$B$10:$B$41,0),MATCH(U$4,UWS!$G$3:$Z$3,0)),0)</f>
        <v>0</v>
      </c>
      <c r="V429">
        <f>IFERROR(INDEX(UWS!$G$10:$Z$41,MATCH($C429,UWS!$B$10:$B$41,0),MATCH(V$4,UWS!$G$3:$Z$3,0)),0)</f>
        <v>0</v>
      </c>
      <c r="W429">
        <f>IFERROR(INDEX(UWS!$G$10:$Z$41,MATCH($C429,UWS!$B$10:$B$41,0),MATCH(W$4,UWS!$G$3:$Z$3,0)),0)</f>
        <v>0</v>
      </c>
      <c r="X429">
        <f>IFERROR(INDEX(UWS!$G$10:$Z$41,MATCH($C429,UWS!$B$10:$B$41,0),MATCH(X$4,UWS!$G$3:$Z$3,0)),0)</f>
        <v>0</v>
      </c>
      <c r="Y429">
        <f>IFERROR(INDEX(UWS!$G$10:$Z$41,MATCH($C429,UWS!$B$10:$B$41,0),MATCH(Y$4,UWS!$G$3:$Z$3,0)),0)</f>
        <v>0</v>
      </c>
      <c r="Z429">
        <f>IFERROR(INDEX(UWS!$G$10:$Z$41,MATCH($C429,UWS!$B$10:$B$41,0),MATCH(Z$4,UWS!$G$3:$Z$3,0)),0)</f>
        <v>0</v>
      </c>
      <c r="AA429">
        <f>IFERROR(INDEX(UWS!$G$10:$Z$41,MATCH($C429,UWS!$B$10:$B$41,0),MATCH(AA$4,UWS!$G$3:$Z$3,0)),0)</f>
        <v>0</v>
      </c>
      <c r="AB429">
        <f>IFERROR(INDEX(UWS!$G$10:$Z$41,MATCH($C429,UWS!$B$10:$B$41,0),MATCH(AB$4,UWS!$G$3:$Z$3,0)),0)</f>
        <v>0</v>
      </c>
      <c r="AC429">
        <f>IFERROR(INDEX(UWS!$G$10:$Z$41,MATCH($C429,UWS!$B$10:$B$41,0),MATCH(AC$4,UWS!$G$3:$Z$3,0)),0)</f>
        <v>0</v>
      </c>
      <c r="AD429">
        <f>IFERROR(INDEX(UWS!$G$10:$Z$41,MATCH($C429,UWS!$B$10:$B$41,0),MATCH(AD$4,UWS!$G$3:$Z$3,0)),0)</f>
        <v>0</v>
      </c>
      <c r="AE429">
        <f>IFERROR(INDEX(UWS!$G$10:$Z$41,MATCH($C429,UWS!$B$10:$B$41,0),MATCH(AE$4,UWS!$G$3:$Z$3,0)),0)</f>
        <v>0</v>
      </c>
      <c r="AF429">
        <f>IFERROR(INDEX(UWS!$G$10:$Z$41,MATCH($C429,UWS!$B$10:$B$41,0),MATCH(AF$4,UWS!$G$3:$Z$3,0)),0)</f>
        <v>0</v>
      </c>
      <c r="AG429">
        <f>IFERROR(INDEX(UWS!$G$10:$Z$41,MATCH($C429,UWS!$B$10:$B$41,0),MATCH(AG$4,UWS!$G$3:$Z$3,0)),0)</f>
        <v>0</v>
      </c>
      <c r="AH429">
        <f>IFERROR(INDEX(UWS!$G$10:$Z$41,MATCH($C429,UWS!$B$10:$B$41,0),MATCH(AH$4,UWS!$G$3:$Z$3,0)),0)</f>
        <v>0</v>
      </c>
      <c r="AI429">
        <f>IFERROR(INDEX(UWS!$G$10:$Z$41,MATCH($C429,UWS!$B$10:$B$41,0),MATCH(AI$4,UWS!$G$3:$Z$3,0)),0)</f>
        <v>0</v>
      </c>
      <c r="AK429" t="e">
        <f>IF(OR($J429=0,COUNTIFS($A$4:$A428,"&gt;="&amp;$A429-1,$A$4:$A428,"&lt;="&amp;$A429,$B$4:$B428,$B429)&gt;0,MIN(AK$1,IF($A429=$A428,AK428,1))-P429&lt;0),-1,MIN(1,IF($A429=$A428,AK428,1)-P429+$D$3))</f>
        <v>#N/A</v>
      </c>
      <c r="AL429" t="e">
        <f>IF(OR($J429=0,COUNTIFS($A$4:$A428,"&gt;="&amp;$A429-1,$A$4:$A428,"&lt;="&amp;$A429,$B$4:$B428,$B429)&gt;0,MIN(AL$1,IF($A429=$A428,AL428,1))-Q429&lt;0),-1,MIN(1,IF($A429=$A428,AL428,1)-Q429+$D$3))</f>
        <v>#N/A</v>
      </c>
      <c r="AM429" t="e">
        <f>IF(OR($J429=0,COUNTIFS($A$4:$A428,"&gt;="&amp;$A429-1,$A$4:$A428,"&lt;="&amp;$A429,$B$4:$B428,$B429)&gt;0,MIN(AM$1,IF($A429=$A428,AM428,1))-R429&lt;0),-1,MIN(1,IF($A429=$A428,AM428,1)-R429+$D$3))</f>
        <v>#N/A</v>
      </c>
      <c r="AN429" t="e">
        <f>IF(OR($J429=0,COUNTIFS($A$4:$A428,"&gt;="&amp;$A429-1,$A$4:$A428,"&lt;="&amp;$A429,$B$4:$B428,$B429)&gt;0,MIN(AN$1,IF($A429=$A428,AN428,1))-S429&lt;0),-1,MIN(1,IF($A429=$A428,AN428,1)-S429+$D$3))</f>
        <v>#N/A</v>
      </c>
      <c r="AO429" t="e">
        <f>IF(OR($J429=0,COUNTIFS($A$4:$A428,"&gt;="&amp;$A429-1,$A$4:$A428,"&lt;="&amp;$A429,$B$4:$B428,$B429)&gt;0,MIN(AO$1,IF($A429=$A428,AO428,1))-T429&lt;0),-1,MIN(1,IF($A429=$A428,AO428,1)-T429+$D$3))</f>
        <v>#N/A</v>
      </c>
      <c r="AP429" t="e">
        <f>IF(OR($J429=0,COUNTIFS($A$4:$A428,"&gt;="&amp;$A429-1,$A$4:$A428,"&lt;="&amp;$A429,$B$4:$B428,$B429)&gt;0,MIN(AP$1,IF($A429=$A428,AP428,1))-U429&lt;0),-1,MIN(1,IF($A429=$A428,AP428,1)-U429+$D$3))</f>
        <v>#N/A</v>
      </c>
      <c r="AQ429" t="e">
        <f>IF(OR($J429=0,COUNTIFS($A$4:$A428,"&gt;="&amp;$A429-1,$A$4:$A428,"&lt;="&amp;$A429,$B$4:$B428,$B429)&gt;0,MIN(AQ$1,IF($A429=$A428,AQ428,1))-V429&lt;0),-1,MIN(1,IF($A429=$A428,AQ428,1)-V429+$D$3))</f>
        <v>#N/A</v>
      </c>
      <c r="AR429" t="e">
        <f>IF(OR($J429=0,COUNTIFS($A$4:$A428,"&gt;="&amp;$A429-1,$A$4:$A428,"&lt;="&amp;$A429,$B$4:$B428,$B429)&gt;0,MIN(AR$1,IF($A429=$A428,AR428,1))-W429&lt;0),-1,MIN(1,IF($A429=$A428,AR428,1)-W429+$D$3))</f>
        <v>#N/A</v>
      </c>
      <c r="AS429" t="e">
        <f>IF(OR($J429=0,COUNTIFS($A$4:$A428,"&gt;="&amp;$A429-1,$A$4:$A428,"&lt;="&amp;$A429,$B$4:$B428,$B429)&gt;0,MIN(AS$1,IF($A429=$A428,AS428,1))-X429&lt;0),-1,MIN(1,IF($A429=$A428,AS428,1)-X429+$D$3))</f>
        <v>#N/A</v>
      </c>
      <c r="AT429" t="e">
        <f>IF(OR($J429=0,COUNTIFS($A$4:$A428,"&gt;="&amp;$A429-1,$A$4:$A428,"&lt;="&amp;$A429,$B$4:$B428,$B429)&gt;0,MIN(AT$1,IF($A429=$A428,AT428,1))-Y429&lt;0),-1,MIN(1,IF($A429=$A428,AT428,1)-Y429+$D$3))</f>
        <v>#N/A</v>
      </c>
      <c r="AU429" t="e">
        <f>IF(OR($J429=0,COUNTIFS($A$4:$A428,"&gt;="&amp;$A429-1,$A$4:$A428,"&lt;="&amp;$A429,$B$4:$B428,$B429)&gt;0,MIN(AU$1,IF($A429=$A428,AU428,1))-Z429&lt;0),-1,MIN(1,IF($A429=$A428,AU428,1)-Z429+$D$3))</f>
        <v>#N/A</v>
      </c>
      <c r="AV429" t="e">
        <f>IF(OR($J429=0,COUNTIFS($A$4:$A428,"&gt;="&amp;$A429-1,$A$4:$A428,"&lt;="&amp;$A429,$B$4:$B428,$B429)&gt;0,MIN(AV$1,IF($A429=$A428,AV428,1))-AA429&lt;0),-1,MIN(1,IF($A429=$A428,AV428,1)-AA429+$D$3))</f>
        <v>#N/A</v>
      </c>
      <c r="AW429" t="e">
        <f>IF(OR($J429=0,COUNTIFS($A$4:$A428,"&gt;="&amp;$A429-1,$A$4:$A428,"&lt;="&amp;$A429,$B$4:$B428,$B429)&gt;0,MIN(AW$1,IF($A429=$A428,AW428,1))-AB429&lt;0),-1,MIN(1,IF($A429=$A428,AW428,1)-AB429+$D$3))</f>
        <v>#N/A</v>
      </c>
      <c r="AX429" t="e">
        <f>IF(OR($J429=0,COUNTIFS($A$4:$A428,"&gt;="&amp;$A429-1,$A$4:$A428,"&lt;="&amp;$A429,$B$4:$B428,$B429)&gt;0,MIN(AX$1,IF($A429=$A428,AX428,1))-AC429&lt;0),-1,MIN(1,IF($A429=$A428,AX428,1)-AC429+$D$3))</f>
        <v>#N/A</v>
      </c>
      <c r="AY429" t="e">
        <f>IF(OR($J429=0,COUNTIFS($A$4:$A428,"&gt;="&amp;$A429-1,$A$4:$A428,"&lt;="&amp;$A429,$B$4:$B428,$B429)&gt;0,MIN(AY$1,IF($A429=$A428,AY428,1))-AD429&lt;0),-1,MIN(1,IF($A429=$A428,AY428,1)-AD429+$D$3))</f>
        <v>#N/A</v>
      </c>
      <c r="AZ429" t="e">
        <f>IF(OR($J429=0,COUNTIFS($A$4:$A428,"&gt;="&amp;$A429-1,$A$4:$A428,"&lt;="&amp;$A429,$B$4:$B428,$B429)&gt;0,MIN(AZ$1,IF($A429=$A428,AZ428,1))-AE429&lt;0),-1,MIN(1,IF($A429=$A428,AZ428,1)-AE429+$D$3))</f>
        <v>#N/A</v>
      </c>
      <c r="BA429" t="e">
        <f>IF(OR($J429=0,COUNTIFS($A$4:$A428,"&gt;="&amp;$A429-1,$A$4:$A428,"&lt;="&amp;$A429,$B$4:$B428,$B429)&gt;0,MIN(BA$1,IF($A429=$A428,BA428,1))-AF429&lt;0),-1,MIN(1,IF($A429=$A428,BA428,1)-AF429+$D$3))</f>
        <v>#N/A</v>
      </c>
      <c r="BB429" t="e">
        <f>IF(OR($J429=0,COUNTIFS($A$4:$A428,"&gt;="&amp;$A429-1,$A$4:$A428,"&lt;="&amp;$A429,$B$4:$B428,$B429)&gt;0,MIN(BB$1,IF($A429=$A428,BB428,1))-AG429&lt;0),-1,MIN(1,IF($A429=$A428,BB428,1)-AG429+$D$3))</f>
        <v>#N/A</v>
      </c>
      <c r="BC429" t="e">
        <f>IF(OR($J429=0,COUNTIFS($A$4:$A428,"&gt;="&amp;$A429-1,$A$4:$A428,"&lt;="&amp;$A429,$B$4:$B428,$B429)&gt;0,MIN(BC$1,IF($A429=$A428,BC428,1))-AH429&lt;0),-1,MIN(1,IF($A429=$A428,BC428,1)-AH429+$D$3))</f>
        <v>#N/A</v>
      </c>
      <c r="BD429" t="e">
        <f>IF(OR($J429=0,COUNTIFS($A$4:$A428,"&gt;="&amp;$A429-1,$A$4:$A428,"&lt;="&amp;$A429,$B$4:$B428,$B429)&gt;0,MIN(BD$1,IF($A429=$A428,BD428,1))-AI429&lt;0),-1,MIN(1,IF($A429=$A428,BD428,1)-AI429+$D$3))</f>
        <v>#N/A</v>
      </c>
      <c r="BF429" s="44">
        <f t="shared" si="399"/>
        <v>7.2250048260035776E-10</v>
      </c>
      <c r="BG429" s="44">
        <f t="shared" si="400"/>
        <v>1.7768325628118202E-9</v>
      </c>
      <c r="BH429" s="44">
        <f t="shared" si="401"/>
        <v>1.8210664724011347E-9</v>
      </c>
      <c r="BI429" s="44">
        <f t="shared" si="402"/>
        <v>1.6821598227354798E-9</v>
      </c>
      <c r="BJ429" s="44">
        <f t="shared" si="403"/>
        <v>1.7386718742544201E-9</v>
      </c>
      <c r="BK429" s="44">
        <f t="shared" si="404"/>
        <v>7.4665052908064509E-10</v>
      </c>
      <c r="BL429" s="44">
        <f t="shared" si="405"/>
        <v>4.0335236240988703E-10</v>
      </c>
      <c r="BM429" s="44">
        <f t="shared" si="406"/>
        <v>1.0260813084842106E-9</v>
      </c>
      <c r="BN429" s="44">
        <f t="shared" si="407"/>
        <v>1.0672045288614195E-9</v>
      </c>
      <c r="BO429" s="44">
        <f t="shared" si="408"/>
        <v>5.0013253798836856E-10</v>
      </c>
      <c r="BP429" s="44">
        <f t="shared" si="409"/>
        <v>1.6816845159337052E-9</v>
      </c>
      <c r="BQ429" s="44">
        <f t="shared" si="410"/>
        <v>4.538170369997365E-10</v>
      </c>
      <c r="BR429" s="44">
        <f t="shared" si="411"/>
        <v>1.3406891295819598E-9</v>
      </c>
      <c r="BS429" s="44">
        <f t="shared" si="412"/>
        <v>7.2305143868092496E-10</v>
      </c>
      <c r="BT429" s="44">
        <f t="shared" si="413"/>
        <v>2.8613362134020423E-9</v>
      </c>
      <c r="BU429" s="44">
        <f t="shared" si="414"/>
        <v>2.7334370927732753E-9</v>
      </c>
      <c r="BV429" s="44">
        <f t="shared" si="415"/>
        <v>2.6251025501177028E-9</v>
      </c>
      <c r="BW429" s="44">
        <f t="shared" si="416"/>
        <v>1.7169615282655588E-9</v>
      </c>
      <c r="BX429" s="44">
        <f t="shared" si="417"/>
        <v>1.2684599983450066E-9</v>
      </c>
      <c r="BY429" s="44">
        <f t="shared" si="418"/>
        <v>1.0891187015015876E-9</v>
      </c>
      <c r="CA429" s="44" t="str">
        <f t="shared" si="419"/>
        <v/>
      </c>
      <c r="CB429" s="44" t="str">
        <f t="shared" si="420"/>
        <v/>
      </c>
      <c r="CC429" s="44" t="str">
        <f t="shared" si="421"/>
        <v/>
      </c>
      <c r="CD429" s="44" t="str">
        <f t="shared" si="422"/>
        <v/>
      </c>
      <c r="CE429" s="44" t="str">
        <f t="shared" si="423"/>
        <v/>
      </c>
      <c r="CF429" s="44" t="str">
        <f t="shared" si="424"/>
        <v/>
      </c>
      <c r="CG429" s="44" t="str">
        <f t="shared" si="425"/>
        <v/>
      </c>
      <c r="CH429" s="44" t="str">
        <f t="shared" si="426"/>
        <v/>
      </c>
      <c r="CI429" s="44" t="str">
        <f t="shared" si="427"/>
        <v/>
      </c>
      <c r="CJ429" s="44" t="str">
        <f t="shared" si="428"/>
        <v/>
      </c>
      <c r="CK429" s="44" t="str">
        <f t="shared" si="429"/>
        <v/>
      </c>
      <c r="CL429" s="44" t="str">
        <f t="shared" si="430"/>
        <v/>
      </c>
      <c r="CM429" s="44" t="str">
        <f t="shared" si="431"/>
        <v/>
      </c>
      <c r="CN429" s="44" t="str">
        <f t="shared" si="432"/>
        <v/>
      </c>
      <c r="CO429" s="44" t="str">
        <f t="shared" si="433"/>
        <v/>
      </c>
      <c r="CP429" s="44" t="str">
        <f t="shared" si="434"/>
        <v/>
      </c>
      <c r="CQ429" s="44" t="str">
        <f t="shared" si="435"/>
        <v/>
      </c>
      <c r="CR429" s="44" t="str">
        <f t="shared" si="436"/>
        <v/>
      </c>
      <c r="CS429" s="44" t="str">
        <f t="shared" si="437"/>
        <v/>
      </c>
      <c r="CT429" s="44" t="str">
        <f t="shared" si="438"/>
        <v/>
      </c>
      <c r="CV429" s="44">
        <f t="shared" si="439"/>
        <v>0</v>
      </c>
    </row>
    <row r="430" spans="1:100" x14ac:dyDescent="0.25">
      <c r="A430" s="49"/>
      <c r="B430" s="50"/>
      <c r="C430" s="51" t="str" cm="1">
        <f t="array" ref="C430">IF(B430="","",INDEX(UWS!$B$10:$B$41,B430))</f>
        <v/>
      </c>
      <c r="D430" s="45" t="str">
        <f t="shared" si="396"/>
        <v/>
      </c>
      <c r="E430" s="70" t="str">
        <f t="shared" si="397"/>
        <v/>
      </c>
      <c r="F430" s="52" cm="1">
        <f t="array" ref="F430">0.1+IFERROR(INDEX($F$5:$F429,SUMPRODUCT(MAX(ROW($C$5:$C429)*($C430=$C$5:$C429))-ROW($A$4)))*0.9^($A430-INDEX($A$5:A429,SUMPRODUCT(MAX(ROW($C$5:$C429)*($C430=$C$5:$C429))-ROW($A$4)))),0)</f>
        <v>36.500000000000249</v>
      </c>
      <c r="G430" s="56" t="e">
        <f>INDEX(UWS!$AB$10:$AB$41,MATCH(C430,UWS!$B$10:$B$41,0))</f>
        <v>#N/A</v>
      </c>
      <c r="H430" s="52" t="e">
        <f>INDEX(UWS!$C$10:$C$41,MATCH(C430,UWS!$B$10:$B$41,0))</f>
        <v>#N/A</v>
      </c>
      <c r="I430" s="46">
        <f t="shared" si="398"/>
        <v>5</v>
      </c>
      <c r="J430" s="46" t="e">
        <f>INDEX(UWS!$E$10:$E$41,MATCH(C430,UWS!$B$10:$B$41,0))</f>
        <v>#N/A</v>
      </c>
      <c r="K430" s="46"/>
      <c r="L430" s="109" t="str" cm="1">
        <f t="array" ref="L430">IF(K430="","",INDEX(UWS!$B$10:$B$41,K430))</f>
        <v/>
      </c>
      <c r="M430" s="46"/>
      <c r="N430" s="109" t="str" cm="1">
        <f t="array" ref="N430">IF(M430="","",INDEX(UWS!$B$10:$B$41,M430))</f>
        <v/>
      </c>
      <c r="O430" s="47"/>
      <c r="P430" s="47">
        <f>IFERROR(INDEX(UWS!$G$10:$Z$41,MATCH($C430,UWS!$B$10:$B$41,0),MATCH(P$4,UWS!$G$3:$Z$3,0)),0)</f>
        <v>0</v>
      </c>
      <c r="Q430" s="47">
        <f>IFERROR(INDEX(UWS!$G$10:$Z$41,MATCH($C430,UWS!$B$10:$B$41,0),MATCH(Q$4,UWS!$G$3:$Z$3,0)),0)</f>
        <v>0</v>
      </c>
      <c r="R430" s="47">
        <f>IFERROR(INDEX(UWS!$G$10:$Z$41,MATCH($C430,UWS!$B$10:$B$41,0),MATCH(R$4,UWS!$G$3:$Z$3,0)),0)</f>
        <v>0</v>
      </c>
      <c r="S430" s="47">
        <f>IFERROR(INDEX(UWS!$G$10:$Z$41,MATCH($C430,UWS!$B$10:$B$41,0),MATCH(S$4,UWS!$G$3:$Z$3,0)),0)</f>
        <v>0</v>
      </c>
      <c r="T430" s="47">
        <f>IFERROR(INDEX(UWS!$G$10:$Z$41,MATCH($C430,UWS!$B$10:$B$41,0),MATCH(T$4,UWS!$G$3:$Z$3,0)),0)</f>
        <v>0</v>
      </c>
      <c r="U430" s="47">
        <f>IFERROR(INDEX(UWS!$G$10:$Z$41,MATCH($C430,UWS!$B$10:$B$41,0),MATCH(U$4,UWS!$G$3:$Z$3,0)),0)</f>
        <v>0</v>
      </c>
      <c r="V430" s="47">
        <f>IFERROR(INDEX(UWS!$G$10:$Z$41,MATCH($C430,UWS!$B$10:$B$41,0),MATCH(V$4,UWS!$G$3:$Z$3,0)),0)</f>
        <v>0</v>
      </c>
      <c r="W430" s="47">
        <f>IFERROR(INDEX(UWS!$G$10:$Z$41,MATCH($C430,UWS!$B$10:$B$41,0),MATCH(W$4,UWS!$G$3:$Z$3,0)),0)</f>
        <v>0</v>
      </c>
      <c r="X430" s="47">
        <f>IFERROR(INDEX(UWS!$G$10:$Z$41,MATCH($C430,UWS!$B$10:$B$41,0),MATCH(X$4,UWS!$G$3:$Z$3,0)),0)</f>
        <v>0</v>
      </c>
      <c r="Y430" s="47">
        <f>IFERROR(INDEX(UWS!$G$10:$Z$41,MATCH($C430,UWS!$B$10:$B$41,0),MATCH(Y$4,UWS!$G$3:$Z$3,0)),0)</f>
        <v>0</v>
      </c>
      <c r="Z430" s="47">
        <f>IFERROR(INDEX(UWS!$G$10:$Z$41,MATCH($C430,UWS!$B$10:$B$41,0),MATCH(Z$4,UWS!$G$3:$Z$3,0)),0)</f>
        <v>0</v>
      </c>
      <c r="AA430" s="47">
        <f>IFERROR(INDEX(UWS!$G$10:$Z$41,MATCH($C430,UWS!$B$10:$B$41,0),MATCH(AA$4,UWS!$G$3:$Z$3,0)),0)</f>
        <v>0</v>
      </c>
      <c r="AB430" s="47">
        <f>IFERROR(INDEX(UWS!$G$10:$Z$41,MATCH($C430,UWS!$B$10:$B$41,0),MATCH(AB$4,UWS!$G$3:$Z$3,0)),0)</f>
        <v>0</v>
      </c>
      <c r="AC430" s="47">
        <f>IFERROR(INDEX(UWS!$G$10:$Z$41,MATCH($C430,UWS!$B$10:$B$41,0),MATCH(AC$4,UWS!$G$3:$Z$3,0)),0)</f>
        <v>0</v>
      </c>
      <c r="AD430" s="47">
        <f>IFERROR(INDEX(UWS!$G$10:$Z$41,MATCH($C430,UWS!$B$10:$B$41,0),MATCH(AD$4,UWS!$G$3:$Z$3,0)),0)</f>
        <v>0</v>
      </c>
      <c r="AE430" s="47">
        <f>IFERROR(INDEX(UWS!$G$10:$Z$41,MATCH($C430,UWS!$B$10:$B$41,0),MATCH(AE$4,UWS!$G$3:$Z$3,0)),0)</f>
        <v>0</v>
      </c>
      <c r="AF430" s="47">
        <f>IFERROR(INDEX(UWS!$G$10:$Z$41,MATCH($C430,UWS!$B$10:$B$41,0),MATCH(AF$4,UWS!$G$3:$Z$3,0)),0)</f>
        <v>0</v>
      </c>
      <c r="AG430" s="47">
        <f>IFERROR(INDEX(UWS!$G$10:$Z$41,MATCH($C430,UWS!$B$10:$B$41,0),MATCH(AG$4,UWS!$G$3:$Z$3,0)),0)</f>
        <v>0</v>
      </c>
      <c r="AH430" s="47">
        <f>IFERROR(INDEX(UWS!$G$10:$Z$41,MATCH($C430,UWS!$B$10:$B$41,0),MATCH(AH$4,UWS!$G$3:$Z$3,0)),0)</f>
        <v>0</v>
      </c>
      <c r="AI430" s="47">
        <f>IFERROR(INDEX(UWS!$G$10:$Z$41,MATCH($C430,UWS!$B$10:$B$41,0),MATCH(AI$4,UWS!$G$3:$Z$3,0)),0)</f>
        <v>0</v>
      </c>
      <c r="AJ430" s="47"/>
      <c r="AK430" s="47" t="e">
        <f>IF(OR($J430=0,COUNTIFS($A$4:$A429,"&gt;="&amp;$A430-1,$A$4:$A429,"&lt;="&amp;$A430,$B$4:$B429,$B430)&gt;0,MIN(AK$1,IF($A430=$A429,AK429,1))-P430&lt;0),-1,MIN(1,IF($A430=$A429,AK429,1)-P430+$D$3))</f>
        <v>#N/A</v>
      </c>
      <c r="AL430" s="47" t="e">
        <f>IF(OR($J430=0,COUNTIFS($A$4:$A429,"&gt;="&amp;$A430-1,$A$4:$A429,"&lt;="&amp;$A430,$B$4:$B429,$B430)&gt;0,MIN(AL$1,IF($A430=$A429,AL429,1))-Q430&lt;0),-1,MIN(1,IF($A430=$A429,AL429,1)-Q430+$D$3))</f>
        <v>#N/A</v>
      </c>
      <c r="AM430" s="47" t="e">
        <f>IF(OR($J430=0,COUNTIFS($A$4:$A429,"&gt;="&amp;$A430-1,$A$4:$A429,"&lt;="&amp;$A430,$B$4:$B429,$B430)&gt;0,MIN(AM$1,IF($A430=$A429,AM429,1))-R430&lt;0),-1,MIN(1,IF($A430=$A429,AM429,1)-R430+$D$3))</f>
        <v>#N/A</v>
      </c>
      <c r="AN430" s="47" t="e">
        <f>IF(OR($J430=0,COUNTIFS($A$4:$A429,"&gt;="&amp;$A430-1,$A$4:$A429,"&lt;="&amp;$A430,$B$4:$B429,$B430)&gt;0,MIN(AN$1,IF($A430=$A429,AN429,1))-S430&lt;0),-1,MIN(1,IF($A430=$A429,AN429,1)-S430+$D$3))</f>
        <v>#N/A</v>
      </c>
      <c r="AO430" s="47" t="e">
        <f>IF(OR($J430=0,COUNTIFS($A$4:$A429,"&gt;="&amp;$A430-1,$A$4:$A429,"&lt;="&amp;$A430,$B$4:$B429,$B430)&gt;0,MIN(AO$1,IF($A430=$A429,AO429,1))-T430&lt;0),-1,MIN(1,IF($A430=$A429,AO429,1)-T430+$D$3))</f>
        <v>#N/A</v>
      </c>
      <c r="AP430" s="47" t="e">
        <f>IF(OR($J430=0,COUNTIFS($A$4:$A429,"&gt;="&amp;$A430-1,$A$4:$A429,"&lt;="&amp;$A430,$B$4:$B429,$B430)&gt;0,MIN(AP$1,IF($A430=$A429,AP429,1))-U430&lt;0),-1,MIN(1,IF($A430=$A429,AP429,1)-U430+$D$3))</f>
        <v>#N/A</v>
      </c>
      <c r="AQ430" s="47" t="e">
        <f>IF(OR($J430=0,COUNTIFS($A$4:$A429,"&gt;="&amp;$A430-1,$A$4:$A429,"&lt;="&amp;$A430,$B$4:$B429,$B430)&gt;0,MIN(AQ$1,IF($A430=$A429,AQ429,1))-V430&lt;0),-1,MIN(1,IF($A430=$A429,AQ429,1)-V430+$D$3))</f>
        <v>#N/A</v>
      </c>
      <c r="AR430" s="47" t="e">
        <f>IF(OR($J430=0,COUNTIFS($A$4:$A429,"&gt;="&amp;$A430-1,$A$4:$A429,"&lt;="&amp;$A430,$B$4:$B429,$B430)&gt;0,MIN(AR$1,IF($A430=$A429,AR429,1))-W430&lt;0),-1,MIN(1,IF($A430=$A429,AR429,1)-W430+$D$3))</f>
        <v>#N/A</v>
      </c>
      <c r="AS430" s="47" t="e">
        <f>IF(OR($J430=0,COUNTIFS($A$4:$A429,"&gt;="&amp;$A430-1,$A$4:$A429,"&lt;="&amp;$A430,$B$4:$B429,$B430)&gt;0,MIN(AS$1,IF($A430=$A429,AS429,1))-X430&lt;0),-1,MIN(1,IF($A430=$A429,AS429,1)-X430+$D$3))</f>
        <v>#N/A</v>
      </c>
      <c r="AT430" s="47" t="e">
        <f>IF(OR($J430=0,COUNTIFS($A$4:$A429,"&gt;="&amp;$A430-1,$A$4:$A429,"&lt;="&amp;$A430,$B$4:$B429,$B430)&gt;0,MIN(AT$1,IF($A430=$A429,AT429,1))-Y430&lt;0),-1,MIN(1,IF($A430=$A429,AT429,1)-Y430+$D$3))</f>
        <v>#N/A</v>
      </c>
      <c r="AU430" s="47" t="e">
        <f>IF(OR($J430=0,COUNTIFS($A$4:$A429,"&gt;="&amp;$A430-1,$A$4:$A429,"&lt;="&amp;$A430,$B$4:$B429,$B430)&gt;0,MIN(AU$1,IF($A430=$A429,AU429,1))-Z430&lt;0),-1,MIN(1,IF($A430=$A429,AU429,1)-Z430+$D$3))</f>
        <v>#N/A</v>
      </c>
      <c r="AV430" s="47" t="e">
        <f>IF(OR($J430=0,COUNTIFS($A$4:$A429,"&gt;="&amp;$A430-1,$A$4:$A429,"&lt;="&amp;$A430,$B$4:$B429,$B430)&gt;0,MIN(AV$1,IF($A430=$A429,AV429,1))-AA430&lt;0),-1,MIN(1,IF($A430=$A429,AV429,1)-AA430+$D$3))</f>
        <v>#N/A</v>
      </c>
      <c r="AW430" s="47" t="e">
        <f>IF(OR($J430=0,COUNTIFS($A$4:$A429,"&gt;="&amp;$A430-1,$A$4:$A429,"&lt;="&amp;$A430,$B$4:$B429,$B430)&gt;0,MIN(AW$1,IF($A430=$A429,AW429,1))-AB430&lt;0),-1,MIN(1,IF($A430=$A429,AW429,1)-AB430+$D$3))</f>
        <v>#N/A</v>
      </c>
      <c r="AX430" s="47" t="e">
        <f>IF(OR($J430=0,COUNTIFS($A$4:$A429,"&gt;="&amp;$A430-1,$A$4:$A429,"&lt;="&amp;$A430,$B$4:$B429,$B430)&gt;0,MIN(AX$1,IF($A430=$A429,AX429,1))-AC430&lt;0),-1,MIN(1,IF($A430=$A429,AX429,1)-AC430+$D$3))</f>
        <v>#N/A</v>
      </c>
      <c r="AY430" s="47" t="e">
        <f>IF(OR($J430=0,COUNTIFS($A$4:$A429,"&gt;="&amp;$A430-1,$A$4:$A429,"&lt;="&amp;$A430,$B$4:$B429,$B430)&gt;0,MIN(AY$1,IF($A430=$A429,AY429,1))-AD430&lt;0),-1,MIN(1,IF($A430=$A429,AY429,1)-AD430+$D$3))</f>
        <v>#N/A</v>
      </c>
      <c r="AZ430" s="47" t="e">
        <f>IF(OR($J430=0,COUNTIFS($A$4:$A429,"&gt;="&amp;$A430-1,$A$4:$A429,"&lt;="&amp;$A430,$B$4:$B429,$B430)&gt;0,MIN(AZ$1,IF($A430=$A429,AZ429,1))-AE430&lt;0),-1,MIN(1,IF($A430=$A429,AZ429,1)-AE430+$D$3))</f>
        <v>#N/A</v>
      </c>
      <c r="BA430" s="47" t="e">
        <f>IF(OR($J430=0,COUNTIFS($A$4:$A429,"&gt;="&amp;$A430-1,$A$4:$A429,"&lt;="&amp;$A430,$B$4:$B429,$B430)&gt;0,MIN(BA$1,IF($A430=$A429,BA429,1))-AF430&lt;0),-1,MIN(1,IF($A430=$A429,BA429,1)-AF430+$D$3))</f>
        <v>#N/A</v>
      </c>
      <c r="BB430" s="47" t="e">
        <f>IF(OR($J430=0,COUNTIFS($A$4:$A429,"&gt;="&amp;$A430-1,$A$4:$A429,"&lt;="&amp;$A430,$B$4:$B429,$B430)&gt;0,MIN(BB$1,IF($A430=$A429,BB429,1))-AG430&lt;0),-1,MIN(1,IF($A430=$A429,BB429,1)-AG430+$D$3))</f>
        <v>#N/A</v>
      </c>
      <c r="BC430" s="47" t="e">
        <f>IF(OR($J430=0,COUNTIFS($A$4:$A429,"&gt;="&amp;$A430-1,$A$4:$A429,"&lt;="&amp;$A430,$B$4:$B429,$B430)&gt;0,MIN(BC$1,IF($A430=$A429,BC429,1))-AH430&lt;0),-1,MIN(1,IF($A430=$A429,BC429,1)-AH430+$D$3))</f>
        <v>#N/A</v>
      </c>
      <c r="BD430" s="47" t="e">
        <f>IF(OR($J430=0,COUNTIFS($A$4:$A429,"&gt;="&amp;$A430-1,$A$4:$A429,"&lt;="&amp;$A430,$B$4:$B429,$B430)&gt;0,MIN(BD$1,IF($A430=$A429,BD429,1))-AI430&lt;0),-1,MIN(1,IF($A430=$A429,BD429,1)-AI430+$D$3))</f>
        <v>#N/A</v>
      </c>
      <c r="BE430" s="47"/>
      <c r="BF430" s="53">
        <f t="shared" si="399"/>
        <v>6.8637545847033987E-10</v>
      </c>
      <c r="BG430" s="53">
        <f t="shared" si="400"/>
        <v>1.687990934671229E-9</v>
      </c>
      <c r="BH430" s="53">
        <f t="shared" si="401"/>
        <v>1.7300131487810779E-9</v>
      </c>
      <c r="BI430" s="53">
        <f t="shared" si="402"/>
        <v>1.5980518315987058E-9</v>
      </c>
      <c r="BJ430" s="53">
        <f t="shared" si="403"/>
        <v>1.651738280541699E-9</v>
      </c>
      <c r="BK430" s="53">
        <f t="shared" si="404"/>
        <v>7.0931800262661285E-10</v>
      </c>
      <c r="BL430" s="53">
        <f t="shared" si="405"/>
        <v>3.8318474428939267E-10</v>
      </c>
      <c r="BM430" s="53">
        <f t="shared" si="406"/>
        <v>9.7477724306000013E-10</v>
      </c>
      <c r="BN430" s="53">
        <f t="shared" si="407"/>
        <v>1.0138443024183486E-9</v>
      </c>
      <c r="BO430" s="53">
        <f t="shared" si="408"/>
        <v>4.7512591108895016E-10</v>
      </c>
      <c r="BP430" s="53">
        <f t="shared" si="409"/>
        <v>1.59760029013702E-9</v>
      </c>
      <c r="BQ430" s="53">
        <f t="shared" si="410"/>
        <v>4.3112618514974963E-10</v>
      </c>
      <c r="BR430" s="53">
        <f t="shared" si="411"/>
        <v>1.2736546731028618E-9</v>
      </c>
      <c r="BS430" s="53">
        <f t="shared" si="412"/>
        <v>6.8689886674687867E-10</v>
      </c>
      <c r="BT430" s="53">
        <f t="shared" si="413"/>
        <v>2.7182694027319399E-9</v>
      </c>
      <c r="BU430" s="53">
        <f t="shared" si="414"/>
        <v>2.5967652381346116E-9</v>
      </c>
      <c r="BV430" s="53">
        <f t="shared" si="415"/>
        <v>2.4938474226118175E-9</v>
      </c>
      <c r="BW430" s="53">
        <f t="shared" si="416"/>
        <v>1.6311134518522808E-9</v>
      </c>
      <c r="BX430" s="53">
        <f t="shared" si="417"/>
        <v>1.2050369984277562E-9</v>
      </c>
      <c r="BY430" s="53">
        <f t="shared" si="418"/>
        <v>1.0346627664265082E-9</v>
      </c>
      <c r="BZ430" s="47"/>
      <c r="CA430" s="53" t="str">
        <f t="shared" si="419"/>
        <v/>
      </c>
      <c r="CB430" s="53" t="str">
        <f t="shared" si="420"/>
        <v/>
      </c>
      <c r="CC430" s="53" t="str">
        <f t="shared" si="421"/>
        <v/>
      </c>
      <c r="CD430" s="53" t="str">
        <f t="shared" si="422"/>
        <v/>
      </c>
      <c r="CE430" s="53" t="str">
        <f t="shared" si="423"/>
        <v/>
      </c>
      <c r="CF430" s="53" t="str">
        <f t="shared" si="424"/>
        <v/>
      </c>
      <c r="CG430" s="53" t="str">
        <f t="shared" si="425"/>
        <v/>
      </c>
      <c r="CH430" s="53" t="str">
        <f t="shared" si="426"/>
        <v/>
      </c>
      <c r="CI430" s="53" t="str">
        <f t="shared" si="427"/>
        <v/>
      </c>
      <c r="CJ430" s="53" t="str">
        <f t="shared" si="428"/>
        <v/>
      </c>
      <c r="CK430" s="53" t="str">
        <f t="shared" si="429"/>
        <v/>
      </c>
      <c r="CL430" s="53" t="str">
        <f t="shared" si="430"/>
        <v/>
      </c>
      <c r="CM430" s="53" t="str">
        <f t="shared" si="431"/>
        <v/>
      </c>
      <c r="CN430" s="53" t="str">
        <f t="shared" si="432"/>
        <v/>
      </c>
      <c r="CO430" s="53" t="str">
        <f t="shared" si="433"/>
        <v/>
      </c>
      <c r="CP430" s="53" t="str">
        <f t="shared" si="434"/>
        <v/>
      </c>
      <c r="CQ430" s="53" t="str">
        <f t="shared" si="435"/>
        <v/>
      </c>
      <c r="CR430" s="53" t="str">
        <f t="shared" si="436"/>
        <v/>
      </c>
      <c r="CS430" s="53" t="str">
        <f t="shared" si="437"/>
        <v/>
      </c>
      <c r="CT430" s="53" t="str">
        <f t="shared" si="438"/>
        <v/>
      </c>
      <c r="CU430" s="47"/>
      <c r="CV430" s="53">
        <f t="shared" si="439"/>
        <v>0</v>
      </c>
    </row>
    <row r="431" spans="1:100" x14ac:dyDescent="0.25">
      <c r="A431" s="41"/>
      <c r="B431" s="42"/>
      <c r="C431" s="43" t="str" cm="1">
        <f t="array" ref="C431">IF(B431="","",INDEX(UWS!$B$10:$B$41,B431))</f>
        <v/>
      </c>
      <c r="D431" s="40" t="str">
        <f t="shared" si="396"/>
        <v/>
      </c>
      <c r="E431" s="69" t="str">
        <f t="shared" si="397"/>
        <v/>
      </c>
      <c r="F431" s="48" cm="1">
        <f t="array" ref="F431">0.1+IFERROR(INDEX($F$5:$F430,SUMPRODUCT(MAX(ROW($C$5:$C430)*($C431=$C$5:$C430))-ROW($A$4)))*0.9^($A431-INDEX($A$5:A430,SUMPRODUCT(MAX(ROW($C$5:$C430)*($C431=$C$5:$C430))-ROW($A$4)))),0)</f>
        <v>36.60000000000025</v>
      </c>
      <c r="G431" s="55" t="e">
        <f>INDEX(UWS!$AB$10:$AB$41,MATCH(C431,UWS!$B$10:$B$41,0))</f>
        <v>#N/A</v>
      </c>
      <c r="H431" s="48" t="e">
        <f>INDEX(UWS!$C$10:$C$41,MATCH(C431,UWS!$B$10:$B$41,0))</f>
        <v>#N/A</v>
      </c>
      <c r="I431" s="82">
        <f t="shared" si="398"/>
        <v>5</v>
      </c>
      <c r="J431" s="27" t="e">
        <f>INDEX(UWS!$E$10:$E$41,MATCH(C431,UWS!$B$10:$B$41,0))</f>
        <v>#N/A</v>
      </c>
      <c r="L431" s="108" t="str" cm="1">
        <f t="array" ref="L431">IF(K431="","",INDEX(UWS!$B$10:$B$41,K431))</f>
        <v/>
      </c>
      <c r="N431" s="108" t="str" cm="1">
        <f t="array" ref="N431">IF(M431="","",INDEX(UWS!$B$10:$B$41,M431))</f>
        <v/>
      </c>
      <c r="P431">
        <f>IFERROR(INDEX(UWS!$G$10:$Z$41,MATCH($C431,UWS!$B$10:$B$41,0),MATCH(P$4,UWS!$G$3:$Z$3,0)),0)</f>
        <v>0</v>
      </c>
      <c r="Q431">
        <f>IFERROR(INDEX(UWS!$G$10:$Z$41,MATCH($C431,UWS!$B$10:$B$41,0),MATCH(Q$4,UWS!$G$3:$Z$3,0)),0)</f>
        <v>0</v>
      </c>
      <c r="R431">
        <f>IFERROR(INDEX(UWS!$G$10:$Z$41,MATCH($C431,UWS!$B$10:$B$41,0),MATCH(R$4,UWS!$G$3:$Z$3,0)),0)</f>
        <v>0</v>
      </c>
      <c r="S431">
        <f>IFERROR(INDEX(UWS!$G$10:$Z$41,MATCH($C431,UWS!$B$10:$B$41,0),MATCH(S$4,UWS!$G$3:$Z$3,0)),0)</f>
        <v>0</v>
      </c>
      <c r="T431">
        <f>IFERROR(INDEX(UWS!$G$10:$Z$41,MATCH($C431,UWS!$B$10:$B$41,0),MATCH(T$4,UWS!$G$3:$Z$3,0)),0)</f>
        <v>0</v>
      </c>
      <c r="U431">
        <f>IFERROR(INDEX(UWS!$G$10:$Z$41,MATCH($C431,UWS!$B$10:$B$41,0),MATCH(U$4,UWS!$G$3:$Z$3,0)),0)</f>
        <v>0</v>
      </c>
      <c r="V431">
        <f>IFERROR(INDEX(UWS!$G$10:$Z$41,MATCH($C431,UWS!$B$10:$B$41,0),MATCH(V$4,UWS!$G$3:$Z$3,0)),0)</f>
        <v>0</v>
      </c>
      <c r="W431">
        <f>IFERROR(INDEX(UWS!$G$10:$Z$41,MATCH($C431,UWS!$B$10:$B$41,0),MATCH(W$4,UWS!$G$3:$Z$3,0)),0)</f>
        <v>0</v>
      </c>
      <c r="X431">
        <f>IFERROR(INDEX(UWS!$G$10:$Z$41,MATCH($C431,UWS!$B$10:$B$41,0),MATCH(X$4,UWS!$G$3:$Z$3,0)),0)</f>
        <v>0</v>
      </c>
      <c r="Y431">
        <f>IFERROR(INDEX(UWS!$G$10:$Z$41,MATCH($C431,UWS!$B$10:$B$41,0),MATCH(Y$4,UWS!$G$3:$Z$3,0)),0)</f>
        <v>0</v>
      </c>
      <c r="Z431">
        <f>IFERROR(INDEX(UWS!$G$10:$Z$41,MATCH($C431,UWS!$B$10:$B$41,0),MATCH(Z$4,UWS!$G$3:$Z$3,0)),0)</f>
        <v>0</v>
      </c>
      <c r="AA431">
        <f>IFERROR(INDEX(UWS!$G$10:$Z$41,MATCH($C431,UWS!$B$10:$B$41,0),MATCH(AA$4,UWS!$G$3:$Z$3,0)),0)</f>
        <v>0</v>
      </c>
      <c r="AB431">
        <f>IFERROR(INDEX(UWS!$G$10:$Z$41,MATCH($C431,UWS!$B$10:$B$41,0),MATCH(AB$4,UWS!$G$3:$Z$3,0)),0)</f>
        <v>0</v>
      </c>
      <c r="AC431">
        <f>IFERROR(INDEX(UWS!$G$10:$Z$41,MATCH($C431,UWS!$B$10:$B$41,0),MATCH(AC$4,UWS!$G$3:$Z$3,0)),0)</f>
        <v>0</v>
      </c>
      <c r="AD431">
        <f>IFERROR(INDEX(UWS!$G$10:$Z$41,MATCH($C431,UWS!$B$10:$B$41,0),MATCH(AD$4,UWS!$G$3:$Z$3,0)),0)</f>
        <v>0</v>
      </c>
      <c r="AE431">
        <f>IFERROR(INDEX(UWS!$G$10:$Z$41,MATCH($C431,UWS!$B$10:$B$41,0),MATCH(AE$4,UWS!$G$3:$Z$3,0)),0)</f>
        <v>0</v>
      </c>
      <c r="AF431">
        <f>IFERROR(INDEX(UWS!$G$10:$Z$41,MATCH($C431,UWS!$B$10:$B$41,0),MATCH(AF$4,UWS!$G$3:$Z$3,0)),0)</f>
        <v>0</v>
      </c>
      <c r="AG431">
        <f>IFERROR(INDEX(UWS!$G$10:$Z$41,MATCH($C431,UWS!$B$10:$B$41,0),MATCH(AG$4,UWS!$G$3:$Z$3,0)),0)</f>
        <v>0</v>
      </c>
      <c r="AH431">
        <f>IFERROR(INDEX(UWS!$G$10:$Z$41,MATCH($C431,UWS!$B$10:$B$41,0),MATCH(AH$4,UWS!$G$3:$Z$3,0)),0)</f>
        <v>0</v>
      </c>
      <c r="AI431">
        <f>IFERROR(INDEX(UWS!$G$10:$Z$41,MATCH($C431,UWS!$B$10:$B$41,0),MATCH(AI$4,UWS!$G$3:$Z$3,0)),0)</f>
        <v>0</v>
      </c>
      <c r="AK431" t="e">
        <f>IF(OR($J431=0,COUNTIFS($A$4:$A430,"&gt;="&amp;$A431-1,$A$4:$A430,"&lt;="&amp;$A431,$B$4:$B430,$B431)&gt;0,MIN(AK$1,IF($A431=$A430,AK430,1))-P431&lt;0),-1,MIN(1,IF($A431=$A430,AK430,1)-P431+$D$3))</f>
        <v>#N/A</v>
      </c>
      <c r="AL431" t="e">
        <f>IF(OR($J431=0,COUNTIFS($A$4:$A430,"&gt;="&amp;$A431-1,$A$4:$A430,"&lt;="&amp;$A431,$B$4:$B430,$B431)&gt;0,MIN(AL$1,IF($A431=$A430,AL430,1))-Q431&lt;0),-1,MIN(1,IF($A431=$A430,AL430,1)-Q431+$D$3))</f>
        <v>#N/A</v>
      </c>
      <c r="AM431" t="e">
        <f>IF(OR($J431=0,COUNTIFS($A$4:$A430,"&gt;="&amp;$A431-1,$A$4:$A430,"&lt;="&amp;$A431,$B$4:$B430,$B431)&gt;0,MIN(AM$1,IF($A431=$A430,AM430,1))-R431&lt;0),-1,MIN(1,IF($A431=$A430,AM430,1)-R431+$D$3))</f>
        <v>#N/A</v>
      </c>
      <c r="AN431" t="e">
        <f>IF(OR($J431=0,COUNTIFS($A$4:$A430,"&gt;="&amp;$A431-1,$A$4:$A430,"&lt;="&amp;$A431,$B$4:$B430,$B431)&gt;0,MIN(AN$1,IF($A431=$A430,AN430,1))-S431&lt;0),-1,MIN(1,IF($A431=$A430,AN430,1)-S431+$D$3))</f>
        <v>#N/A</v>
      </c>
      <c r="AO431" t="e">
        <f>IF(OR($J431=0,COUNTIFS($A$4:$A430,"&gt;="&amp;$A431-1,$A$4:$A430,"&lt;="&amp;$A431,$B$4:$B430,$B431)&gt;0,MIN(AO$1,IF($A431=$A430,AO430,1))-T431&lt;0),-1,MIN(1,IF($A431=$A430,AO430,1)-T431+$D$3))</f>
        <v>#N/A</v>
      </c>
      <c r="AP431" t="e">
        <f>IF(OR($J431=0,COUNTIFS($A$4:$A430,"&gt;="&amp;$A431-1,$A$4:$A430,"&lt;="&amp;$A431,$B$4:$B430,$B431)&gt;0,MIN(AP$1,IF($A431=$A430,AP430,1))-U431&lt;0),-1,MIN(1,IF($A431=$A430,AP430,1)-U431+$D$3))</f>
        <v>#N/A</v>
      </c>
      <c r="AQ431" t="e">
        <f>IF(OR($J431=0,COUNTIFS($A$4:$A430,"&gt;="&amp;$A431-1,$A$4:$A430,"&lt;="&amp;$A431,$B$4:$B430,$B431)&gt;0,MIN(AQ$1,IF($A431=$A430,AQ430,1))-V431&lt;0),-1,MIN(1,IF($A431=$A430,AQ430,1)-V431+$D$3))</f>
        <v>#N/A</v>
      </c>
      <c r="AR431" t="e">
        <f>IF(OR($J431=0,COUNTIFS($A$4:$A430,"&gt;="&amp;$A431-1,$A$4:$A430,"&lt;="&amp;$A431,$B$4:$B430,$B431)&gt;0,MIN(AR$1,IF($A431=$A430,AR430,1))-W431&lt;0),-1,MIN(1,IF($A431=$A430,AR430,1)-W431+$D$3))</f>
        <v>#N/A</v>
      </c>
      <c r="AS431" t="e">
        <f>IF(OR($J431=0,COUNTIFS($A$4:$A430,"&gt;="&amp;$A431-1,$A$4:$A430,"&lt;="&amp;$A431,$B$4:$B430,$B431)&gt;0,MIN(AS$1,IF($A431=$A430,AS430,1))-X431&lt;0),-1,MIN(1,IF($A431=$A430,AS430,1)-X431+$D$3))</f>
        <v>#N/A</v>
      </c>
      <c r="AT431" t="e">
        <f>IF(OR($J431=0,COUNTIFS($A$4:$A430,"&gt;="&amp;$A431-1,$A$4:$A430,"&lt;="&amp;$A431,$B$4:$B430,$B431)&gt;0,MIN(AT$1,IF($A431=$A430,AT430,1))-Y431&lt;0),-1,MIN(1,IF($A431=$A430,AT430,1)-Y431+$D$3))</f>
        <v>#N/A</v>
      </c>
      <c r="AU431" t="e">
        <f>IF(OR($J431=0,COUNTIFS($A$4:$A430,"&gt;="&amp;$A431-1,$A$4:$A430,"&lt;="&amp;$A431,$B$4:$B430,$B431)&gt;0,MIN(AU$1,IF($A431=$A430,AU430,1))-Z431&lt;0),-1,MIN(1,IF($A431=$A430,AU430,1)-Z431+$D$3))</f>
        <v>#N/A</v>
      </c>
      <c r="AV431" t="e">
        <f>IF(OR($J431=0,COUNTIFS($A$4:$A430,"&gt;="&amp;$A431-1,$A$4:$A430,"&lt;="&amp;$A431,$B$4:$B430,$B431)&gt;0,MIN(AV$1,IF($A431=$A430,AV430,1))-AA431&lt;0),-1,MIN(1,IF($A431=$A430,AV430,1)-AA431+$D$3))</f>
        <v>#N/A</v>
      </c>
      <c r="AW431" t="e">
        <f>IF(OR($J431=0,COUNTIFS($A$4:$A430,"&gt;="&amp;$A431-1,$A$4:$A430,"&lt;="&amp;$A431,$B$4:$B430,$B431)&gt;0,MIN(AW$1,IF($A431=$A430,AW430,1))-AB431&lt;0),-1,MIN(1,IF($A431=$A430,AW430,1)-AB431+$D$3))</f>
        <v>#N/A</v>
      </c>
      <c r="AX431" t="e">
        <f>IF(OR($J431=0,COUNTIFS($A$4:$A430,"&gt;="&amp;$A431-1,$A$4:$A430,"&lt;="&amp;$A431,$B$4:$B430,$B431)&gt;0,MIN(AX$1,IF($A431=$A430,AX430,1))-AC431&lt;0),-1,MIN(1,IF($A431=$A430,AX430,1)-AC431+$D$3))</f>
        <v>#N/A</v>
      </c>
      <c r="AY431" t="e">
        <f>IF(OR($J431=0,COUNTIFS($A$4:$A430,"&gt;="&amp;$A431-1,$A$4:$A430,"&lt;="&amp;$A431,$B$4:$B430,$B431)&gt;0,MIN(AY$1,IF($A431=$A430,AY430,1))-AD431&lt;0),-1,MIN(1,IF($A431=$A430,AY430,1)-AD431+$D$3))</f>
        <v>#N/A</v>
      </c>
      <c r="AZ431" t="e">
        <f>IF(OR($J431=0,COUNTIFS($A$4:$A430,"&gt;="&amp;$A431-1,$A$4:$A430,"&lt;="&amp;$A431,$B$4:$B430,$B431)&gt;0,MIN(AZ$1,IF($A431=$A430,AZ430,1))-AE431&lt;0),-1,MIN(1,IF($A431=$A430,AZ430,1)-AE431+$D$3))</f>
        <v>#N/A</v>
      </c>
      <c r="BA431" t="e">
        <f>IF(OR($J431=0,COUNTIFS($A$4:$A430,"&gt;="&amp;$A431-1,$A$4:$A430,"&lt;="&amp;$A431,$B$4:$B430,$B431)&gt;0,MIN(BA$1,IF($A431=$A430,BA430,1))-AF431&lt;0),-1,MIN(1,IF($A431=$A430,BA430,1)-AF431+$D$3))</f>
        <v>#N/A</v>
      </c>
      <c r="BB431" t="e">
        <f>IF(OR($J431=0,COUNTIFS($A$4:$A430,"&gt;="&amp;$A431-1,$A$4:$A430,"&lt;="&amp;$A431,$B$4:$B430,$B431)&gt;0,MIN(BB$1,IF($A431=$A430,BB430,1))-AG431&lt;0),-1,MIN(1,IF($A431=$A430,BB430,1)-AG431+$D$3))</f>
        <v>#N/A</v>
      </c>
      <c r="BC431" t="e">
        <f>IF(OR($J431=0,COUNTIFS($A$4:$A430,"&gt;="&amp;$A431-1,$A$4:$A430,"&lt;="&amp;$A431,$B$4:$B430,$B431)&gt;0,MIN(BC$1,IF($A431=$A430,BC430,1))-AH431&lt;0),-1,MIN(1,IF($A431=$A430,BC430,1)-AH431+$D$3))</f>
        <v>#N/A</v>
      </c>
      <c r="BD431" t="e">
        <f>IF(OR($J431=0,COUNTIFS($A$4:$A430,"&gt;="&amp;$A431-1,$A$4:$A430,"&lt;="&amp;$A431,$B$4:$B430,$B431)&gt;0,MIN(BD$1,IF($A431=$A430,BD430,1))-AI431&lt;0),-1,MIN(1,IF($A431=$A430,BD430,1)-AI431+$D$3))</f>
        <v>#N/A</v>
      </c>
      <c r="BF431" s="44">
        <f t="shared" si="399"/>
        <v>6.5205668554682288E-10</v>
      </c>
      <c r="BG431" s="44">
        <f t="shared" si="400"/>
        <v>1.6035913879376675E-9</v>
      </c>
      <c r="BH431" s="44">
        <f t="shared" si="401"/>
        <v>1.643512491342024E-9</v>
      </c>
      <c r="BI431" s="44">
        <f t="shared" si="402"/>
        <v>1.5181492400187705E-9</v>
      </c>
      <c r="BJ431" s="44">
        <f t="shared" si="403"/>
        <v>1.5691513665146139E-9</v>
      </c>
      <c r="BK431" s="44">
        <f t="shared" si="404"/>
        <v>6.7385210249528219E-10</v>
      </c>
      <c r="BL431" s="44">
        <f t="shared" si="405"/>
        <v>3.6402550707492303E-10</v>
      </c>
      <c r="BM431" s="44">
        <f t="shared" si="406"/>
        <v>9.2603838090700009E-10</v>
      </c>
      <c r="BN431" s="44">
        <f t="shared" si="407"/>
        <v>9.6315208729743109E-10</v>
      </c>
      <c r="BO431" s="44">
        <f t="shared" si="408"/>
        <v>4.5136961553450261E-10</v>
      </c>
      <c r="BP431" s="44">
        <f t="shared" si="409"/>
        <v>1.5177202756301688E-9</v>
      </c>
      <c r="BQ431" s="44">
        <f t="shared" si="410"/>
        <v>4.0956987589226212E-10</v>
      </c>
      <c r="BR431" s="44">
        <f t="shared" si="411"/>
        <v>1.2099719394477187E-9</v>
      </c>
      <c r="BS431" s="44">
        <f t="shared" si="412"/>
        <v>6.5255392340953475E-10</v>
      </c>
      <c r="BT431" s="44">
        <f t="shared" si="413"/>
        <v>2.5823559325953429E-9</v>
      </c>
      <c r="BU431" s="44">
        <f t="shared" si="414"/>
        <v>2.4669269762278807E-9</v>
      </c>
      <c r="BV431" s="44">
        <f t="shared" si="415"/>
        <v>2.3691550514812267E-9</v>
      </c>
      <c r="BW431" s="44">
        <f t="shared" si="416"/>
        <v>1.5495577792596667E-9</v>
      </c>
      <c r="BX431" s="44">
        <f t="shared" si="417"/>
        <v>1.1447851485063683E-9</v>
      </c>
      <c r="BY431" s="44">
        <f t="shared" si="418"/>
        <v>9.8292962810518279E-10</v>
      </c>
      <c r="CA431" s="44" t="str">
        <f t="shared" si="419"/>
        <v/>
      </c>
      <c r="CB431" s="44" t="str">
        <f t="shared" si="420"/>
        <v/>
      </c>
      <c r="CC431" s="44" t="str">
        <f t="shared" si="421"/>
        <v/>
      </c>
      <c r="CD431" s="44" t="str">
        <f t="shared" si="422"/>
        <v/>
      </c>
      <c r="CE431" s="44" t="str">
        <f t="shared" si="423"/>
        <v/>
      </c>
      <c r="CF431" s="44" t="str">
        <f t="shared" si="424"/>
        <v/>
      </c>
      <c r="CG431" s="44" t="str">
        <f t="shared" si="425"/>
        <v/>
      </c>
      <c r="CH431" s="44" t="str">
        <f t="shared" si="426"/>
        <v/>
      </c>
      <c r="CI431" s="44" t="str">
        <f t="shared" si="427"/>
        <v/>
      </c>
      <c r="CJ431" s="44" t="str">
        <f t="shared" si="428"/>
        <v/>
      </c>
      <c r="CK431" s="44" t="str">
        <f t="shared" si="429"/>
        <v/>
      </c>
      <c r="CL431" s="44" t="str">
        <f t="shared" si="430"/>
        <v/>
      </c>
      <c r="CM431" s="44" t="str">
        <f t="shared" si="431"/>
        <v/>
      </c>
      <c r="CN431" s="44" t="str">
        <f t="shared" si="432"/>
        <v/>
      </c>
      <c r="CO431" s="44" t="str">
        <f t="shared" si="433"/>
        <v/>
      </c>
      <c r="CP431" s="44" t="str">
        <f t="shared" si="434"/>
        <v/>
      </c>
      <c r="CQ431" s="44" t="str">
        <f t="shared" si="435"/>
        <v/>
      </c>
      <c r="CR431" s="44" t="str">
        <f t="shared" si="436"/>
        <v/>
      </c>
      <c r="CS431" s="44" t="str">
        <f t="shared" si="437"/>
        <v/>
      </c>
      <c r="CT431" s="44" t="str">
        <f t="shared" si="438"/>
        <v/>
      </c>
      <c r="CV431" s="44">
        <f t="shared" si="439"/>
        <v>0</v>
      </c>
    </row>
    <row r="432" spans="1:100" x14ac:dyDescent="0.25">
      <c r="A432" s="41"/>
      <c r="B432" s="42"/>
      <c r="C432" s="43" t="str" cm="1">
        <f t="array" ref="C432">IF(B432="","",INDEX(UWS!$B$10:$B$41,B432))</f>
        <v/>
      </c>
      <c r="D432" s="40" t="str">
        <f t="shared" si="396"/>
        <v/>
      </c>
      <c r="E432" s="69" t="str">
        <f t="shared" si="397"/>
        <v/>
      </c>
      <c r="F432" s="48" cm="1">
        <f t="array" ref="F432">0.1+IFERROR(INDEX($F$5:$F431,SUMPRODUCT(MAX(ROW($C$5:$C431)*($C432=$C$5:$C431))-ROW($A$4)))*0.9^($A432-INDEX($A$5:A431,SUMPRODUCT(MAX(ROW($C$5:$C431)*($C432=$C$5:$C431))-ROW($A$4)))),0)</f>
        <v>36.700000000000252</v>
      </c>
      <c r="G432" s="55" t="e">
        <f>INDEX(UWS!$AB$10:$AB$41,MATCH(C432,UWS!$B$10:$B$41,0))</f>
        <v>#N/A</v>
      </c>
      <c r="H432" s="48" t="e">
        <f>INDEX(UWS!$C$10:$C$41,MATCH(C432,UWS!$B$10:$B$41,0))</f>
        <v>#N/A</v>
      </c>
      <c r="I432" s="27">
        <f t="shared" si="398"/>
        <v>5</v>
      </c>
      <c r="J432" s="27" t="e">
        <f>INDEX(UWS!$E$10:$E$41,MATCH(C432,UWS!$B$10:$B$41,0))</f>
        <v>#N/A</v>
      </c>
      <c r="L432" s="108" t="str" cm="1">
        <f t="array" ref="L432">IF(K432="","",INDEX(UWS!$B$10:$B$41,K432))</f>
        <v/>
      </c>
      <c r="N432" s="108" t="str" cm="1">
        <f t="array" ref="N432">IF(M432="","",INDEX(UWS!$B$10:$B$41,M432))</f>
        <v/>
      </c>
      <c r="P432">
        <f>IFERROR(INDEX(UWS!$G$10:$Z$41,MATCH($C432,UWS!$B$10:$B$41,0),MATCH(P$4,UWS!$G$3:$Z$3,0)),0)</f>
        <v>0</v>
      </c>
      <c r="Q432">
        <f>IFERROR(INDEX(UWS!$G$10:$Z$41,MATCH($C432,UWS!$B$10:$B$41,0),MATCH(Q$4,UWS!$G$3:$Z$3,0)),0)</f>
        <v>0</v>
      </c>
      <c r="R432">
        <f>IFERROR(INDEX(UWS!$G$10:$Z$41,MATCH($C432,UWS!$B$10:$B$41,0),MATCH(R$4,UWS!$G$3:$Z$3,0)),0)</f>
        <v>0</v>
      </c>
      <c r="S432">
        <f>IFERROR(INDEX(UWS!$G$10:$Z$41,MATCH($C432,UWS!$B$10:$B$41,0),MATCH(S$4,UWS!$G$3:$Z$3,0)),0)</f>
        <v>0</v>
      </c>
      <c r="T432">
        <f>IFERROR(INDEX(UWS!$G$10:$Z$41,MATCH($C432,UWS!$B$10:$B$41,0),MATCH(T$4,UWS!$G$3:$Z$3,0)),0)</f>
        <v>0</v>
      </c>
      <c r="U432">
        <f>IFERROR(INDEX(UWS!$G$10:$Z$41,MATCH($C432,UWS!$B$10:$B$41,0),MATCH(U$4,UWS!$G$3:$Z$3,0)),0)</f>
        <v>0</v>
      </c>
      <c r="V432">
        <f>IFERROR(INDEX(UWS!$G$10:$Z$41,MATCH($C432,UWS!$B$10:$B$41,0),MATCH(V$4,UWS!$G$3:$Z$3,0)),0)</f>
        <v>0</v>
      </c>
      <c r="W432">
        <f>IFERROR(INDEX(UWS!$G$10:$Z$41,MATCH($C432,UWS!$B$10:$B$41,0),MATCH(W$4,UWS!$G$3:$Z$3,0)),0)</f>
        <v>0</v>
      </c>
      <c r="X432">
        <f>IFERROR(INDEX(UWS!$G$10:$Z$41,MATCH($C432,UWS!$B$10:$B$41,0),MATCH(X$4,UWS!$G$3:$Z$3,0)),0)</f>
        <v>0</v>
      </c>
      <c r="Y432">
        <f>IFERROR(INDEX(UWS!$G$10:$Z$41,MATCH($C432,UWS!$B$10:$B$41,0),MATCH(Y$4,UWS!$G$3:$Z$3,0)),0)</f>
        <v>0</v>
      </c>
      <c r="Z432">
        <f>IFERROR(INDEX(UWS!$G$10:$Z$41,MATCH($C432,UWS!$B$10:$B$41,0),MATCH(Z$4,UWS!$G$3:$Z$3,0)),0)</f>
        <v>0</v>
      </c>
      <c r="AA432">
        <f>IFERROR(INDEX(UWS!$G$10:$Z$41,MATCH($C432,UWS!$B$10:$B$41,0),MATCH(AA$4,UWS!$G$3:$Z$3,0)),0)</f>
        <v>0</v>
      </c>
      <c r="AB432">
        <f>IFERROR(INDEX(UWS!$G$10:$Z$41,MATCH($C432,UWS!$B$10:$B$41,0),MATCH(AB$4,UWS!$G$3:$Z$3,0)),0)</f>
        <v>0</v>
      </c>
      <c r="AC432">
        <f>IFERROR(INDEX(UWS!$G$10:$Z$41,MATCH($C432,UWS!$B$10:$B$41,0),MATCH(AC$4,UWS!$G$3:$Z$3,0)),0)</f>
        <v>0</v>
      </c>
      <c r="AD432">
        <f>IFERROR(INDEX(UWS!$G$10:$Z$41,MATCH($C432,UWS!$B$10:$B$41,0),MATCH(AD$4,UWS!$G$3:$Z$3,0)),0)</f>
        <v>0</v>
      </c>
      <c r="AE432">
        <f>IFERROR(INDEX(UWS!$G$10:$Z$41,MATCH($C432,UWS!$B$10:$B$41,0),MATCH(AE$4,UWS!$G$3:$Z$3,0)),0)</f>
        <v>0</v>
      </c>
      <c r="AF432">
        <f>IFERROR(INDEX(UWS!$G$10:$Z$41,MATCH($C432,UWS!$B$10:$B$41,0),MATCH(AF$4,UWS!$G$3:$Z$3,0)),0)</f>
        <v>0</v>
      </c>
      <c r="AG432">
        <f>IFERROR(INDEX(UWS!$G$10:$Z$41,MATCH($C432,UWS!$B$10:$B$41,0),MATCH(AG$4,UWS!$G$3:$Z$3,0)),0)</f>
        <v>0</v>
      </c>
      <c r="AH432">
        <f>IFERROR(INDEX(UWS!$G$10:$Z$41,MATCH($C432,UWS!$B$10:$B$41,0),MATCH(AH$4,UWS!$G$3:$Z$3,0)),0)</f>
        <v>0</v>
      </c>
      <c r="AI432">
        <f>IFERROR(INDEX(UWS!$G$10:$Z$41,MATCH($C432,UWS!$B$10:$B$41,0),MATCH(AI$4,UWS!$G$3:$Z$3,0)),0)</f>
        <v>0</v>
      </c>
      <c r="AK432" t="e">
        <f>IF(OR($J432=0,COUNTIFS($A$4:$A431,"&gt;="&amp;$A432-1,$A$4:$A431,"&lt;="&amp;$A432,$B$4:$B431,$B432)&gt;0,MIN(AK$1,IF($A432=$A431,AK431,1))-P432&lt;0),-1,MIN(1,IF($A432=$A431,AK431,1)-P432+$D$3))</f>
        <v>#N/A</v>
      </c>
      <c r="AL432" t="e">
        <f>IF(OR($J432=0,COUNTIFS($A$4:$A431,"&gt;="&amp;$A432-1,$A$4:$A431,"&lt;="&amp;$A432,$B$4:$B431,$B432)&gt;0,MIN(AL$1,IF($A432=$A431,AL431,1))-Q432&lt;0),-1,MIN(1,IF($A432=$A431,AL431,1)-Q432+$D$3))</f>
        <v>#N/A</v>
      </c>
      <c r="AM432" t="e">
        <f>IF(OR($J432=0,COUNTIFS($A$4:$A431,"&gt;="&amp;$A432-1,$A$4:$A431,"&lt;="&amp;$A432,$B$4:$B431,$B432)&gt;0,MIN(AM$1,IF($A432=$A431,AM431,1))-R432&lt;0),-1,MIN(1,IF($A432=$A431,AM431,1)-R432+$D$3))</f>
        <v>#N/A</v>
      </c>
      <c r="AN432" t="e">
        <f>IF(OR($J432=0,COUNTIFS($A$4:$A431,"&gt;="&amp;$A432-1,$A$4:$A431,"&lt;="&amp;$A432,$B$4:$B431,$B432)&gt;0,MIN(AN$1,IF($A432=$A431,AN431,1))-S432&lt;0),-1,MIN(1,IF($A432=$A431,AN431,1)-S432+$D$3))</f>
        <v>#N/A</v>
      </c>
      <c r="AO432" t="e">
        <f>IF(OR($J432=0,COUNTIFS($A$4:$A431,"&gt;="&amp;$A432-1,$A$4:$A431,"&lt;="&amp;$A432,$B$4:$B431,$B432)&gt;0,MIN(AO$1,IF($A432=$A431,AO431,1))-T432&lt;0),-1,MIN(1,IF($A432=$A431,AO431,1)-T432+$D$3))</f>
        <v>#N/A</v>
      </c>
      <c r="AP432" t="e">
        <f>IF(OR($J432=0,COUNTIFS($A$4:$A431,"&gt;="&amp;$A432-1,$A$4:$A431,"&lt;="&amp;$A432,$B$4:$B431,$B432)&gt;0,MIN(AP$1,IF($A432=$A431,AP431,1))-U432&lt;0),-1,MIN(1,IF($A432=$A431,AP431,1)-U432+$D$3))</f>
        <v>#N/A</v>
      </c>
      <c r="AQ432" t="e">
        <f>IF(OR($J432=0,COUNTIFS($A$4:$A431,"&gt;="&amp;$A432-1,$A$4:$A431,"&lt;="&amp;$A432,$B$4:$B431,$B432)&gt;0,MIN(AQ$1,IF($A432=$A431,AQ431,1))-V432&lt;0),-1,MIN(1,IF($A432=$A431,AQ431,1)-V432+$D$3))</f>
        <v>#N/A</v>
      </c>
      <c r="AR432" t="e">
        <f>IF(OR($J432=0,COUNTIFS($A$4:$A431,"&gt;="&amp;$A432-1,$A$4:$A431,"&lt;="&amp;$A432,$B$4:$B431,$B432)&gt;0,MIN(AR$1,IF($A432=$A431,AR431,1))-W432&lt;0),-1,MIN(1,IF($A432=$A431,AR431,1)-W432+$D$3))</f>
        <v>#N/A</v>
      </c>
      <c r="AS432" t="e">
        <f>IF(OR($J432=0,COUNTIFS($A$4:$A431,"&gt;="&amp;$A432-1,$A$4:$A431,"&lt;="&amp;$A432,$B$4:$B431,$B432)&gt;0,MIN(AS$1,IF($A432=$A431,AS431,1))-X432&lt;0),-1,MIN(1,IF($A432=$A431,AS431,1)-X432+$D$3))</f>
        <v>#N/A</v>
      </c>
      <c r="AT432" t="e">
        <f>IF(OR($J432=0,COUNTIFS($A$4:$A431,"&gt;="&amp;$A432-1,$A$4:$A431,"&lt;="&amp;$A432,$B$4:$B431,$B432)&gt;0,MIN(AT$1,IF($A432=$A431,AT431,1))-Y432&lt;0),-1,MIN(1,IF($A432=$A431,AT431,1)-Y432+$D$3))</f>
        <v>#N/A</v>
      </c>
      <c r="AU432" t="e">
        <f>IF(OR($J432=0,COUNTIFS($A$4:$A431,"&gt;="&amp;$A432-1,$A$4:$A431,"&lt;="&amp;$A432,$B$4:$B431,$B432)&gt;0,MIN(AU$1,IF($A432=$A431,AU431,1))-Z432&lt;0),-1,MIN(1,IF($A432=$A431,AU431,1)-Z432+$D$3))</f>
        <v>#N/A</v>
      </c>
      <c r="AV432" t="e">
        <f>IF(OR($J432=0,COUNTIFS($A$4:$A431,"&gt;="&amp;$A432-1,$A$4:$A431,"&lt;="&amp;$A432,$B$4:$B431,$B432)&gt;0,MIN(AV$1,IF($A432=$A431,AV431,1))-AA432&lt;0),-1,MIN(1,IF($A432=$A431,AV431,1)-AA432+$D$3))</f>
        <v>#N/A</v>
      </c>
      <c r="AW432" t="e">
        <f>IF(OR($J432=0,COUNTIFS($A$4:$A431,"&gt;="&amp;$A432-1,$A$4:$A431,"&lt;="&amp;$A432,$B$4:$B431,$B432)&gt;0,MIN(AW$1,IF($A432=$A431,AW431,1))-AB432&lt;0),-1,MIN(1,IF($A432=$A431,AW431,1)-AB432+$D$3))</f>
        <v>#N/A</v>
      </c>
      <c r="AX432" t="e">
        <f>IF(OR($J432=0,COUNTIFS($A$4:$A431,"&gt;="&amp;$A432-1,$A$4:$A431,"&lt;="&amp;$A432,$B$4:$B431,$B432)&gt;0,MIN(AX$1,IF($A432=$A431,AX431,1))-AC432&lt;0),-1,MIN(1,IF($A432=$A431,AX431,1)-AC432+$D$3))</f>
        <v>#N/A</v>
      </c>
      <c r="AY432" t="e">
        <f>IF(OR($J432=0,COUNTIFS($A$4:$A431,"&gt;="&amp;$A432-1,$A$4:$A431,"&lt;="&amp;$A432,$B$4:$B431,$B432)&gt;0,MIN(AY$1,IF($A432=$A431,AY431,1))-AD432&lt;0),-1,MIN(1,IF($A432=$A431,AY431,1)-AD432+$D$3))</f>
        <v>#N/A</v>
      </c>
      <c r="AZ432" t="e">
        <f>IF(OR($J432=0,COUNTIFS($A$4:$A431,"&gt;="&amp;$A432-1,$A$4:$A431,"&lt;="&amp;$A432,$B$4:$B431,$B432)&gt;0,MIN(AZ$1,IF($A432=$A431,AZ431,1))-AE432&lt;0),-1,MIN(1,IF($A432=$A431,AZ431,1)-AE432+$D$3))</f>
        <v>#N/A</v>
      </c>
      <c r="BA432" t="e">
        <f>IF(OR($J432=0,COUNTIFS($A$4:$A431,"&gt;="&amp;$A432-1,$A$4:$A431,"&lt;="&amp;$A432,$B$4:$B431,$B432)&gt;0,MIN(BA$1,IF($A432=$A431,BA431,1))-AF432&lt;0),-1,MIN(1,IF($A432=$A431,BA431,1)-AF432+$D$3))</f>
        <v>#N/A</v>
      </c>
      <c r="BB432" t="e">
        <f>IF(OR($J432=0,COUNTIFS($A$4:$A431,"&gt;="&amp;$A432-1,$A$4:$A431,"&lt;="&amp;$A432,$B$4:$B431,$B432)&gt;0,MIN(BB$1,IF($A432=$A431,BB431,1))-AG432&lt;0),-1,MIN(1,IF($A432=$A431,BB431,1)-AG432+$D$3))</f>
        <v>#N/A</v>
      </c>
      <c r="BC432" t="e">
        <f>IF(OR($J432=0,COUNTIFS($A$4:$A431,"&gt;="&amp;$A432-1,$A$4:$A431,"&lt;="&amp;$A432,$B$4:$B431,$B432)&gt;0,MIN(BC$1,IF($A432=$A431,BC431,1))-AH432&lt;0),-1,MIN(1,IF($A432=$A431,BC431,1)-AH432+$D$3))</f>
        <v>#N/A</v>
      </c>
      <c r="BD432" t="e">
        <f>IF(OR($J432=0,COUNTIFS($A$4:$A431,"&gt;="&amp;$A432-1,$A$4:$A431,"&lt;="&amp;$A432,$B$4:$B431,$B432)&gt;0,MIN(BD$1,IF($A432=$A431,BD431,1))-AI432&lt;0),-1,MIN(1,IF($A432=$A431,BD431,1)-AI432+$D$3))</f>
        <v>#N/A</v>
      </c>
      <c r="BF432" s="44">
        <f t="shared" si="399"/>
        <v>6.1945385126948169E-10</v>
      </c>
      <c r="BG432" s="44">
        <f t="shared" si="400"/>
        <v>1.5234118185407842E-9</v>
      </c>
      <c r="BH432" s="44">
        <f t="shared" si="401"/>
        <v>1.5613368667749227E-9</v>
      </c>
      <c r="BI432" s="44">
        <f t="shared" si="402"/>
        <v>1.4422417780178319E-9</v>
      </c>
      <c r="BJ432" s="44">
        <f t="shared" si="403"/>
        <v>1.4906937981888832E-9</v>
      </c>
      <c r="BK432" s="44">
        <f t="shared" si="404"/>
        <v>6.4015949737051808E-10</v>
      </c>
      <c r="BL432" s="44">
        <f t="shared" si="405"/>
        <v>3.4582423172117687E-10</v>
      </c>
      <c r="BM432" s="44">
        <f t="shared" si="406"/>
        <v>8.7973646186165005E-10</v>
      </c>
      <c r="BN432" s="44">
        <f t="shared" si="407"/>
        <v>9.1499448293255944E-10</v>
      </c>
      <c r="BO432" s="44">
        <f t="shared" si="408"/>
        <v>4.2880113475777747E-10</v>
      </c>
      <c r="BP432" s="44">
        <f t="shared" si="409"/>
        <v>1.4418342618486603E-9</v>
      </c>
      <c r="BQ432" s="44">
        <f t="shared" si="410"/>
        <v>3.8909138209764901E-10</v>
      </c>
      <c r="BR432" s="44">
        <f t="shared" si="411"/>
        <v>1.1494733424753328E-9</v>
      </c>
      <c r="BS432" s="44">
        <f t="shared" si="412"/>
        <v>6.1992622723905796E-10</v>
      </c>
      <c r="BT432" s="44">
        <f t="shared" si="413"/>
        <v>2.4532381359655755E-9</v>
      </c>
      <c r="BU432" s="44">
        <f t="shared" si="414"/>
        <v>2.3435806274164866E-9</v>
      </c>
      <c r="BV432" s="44">
        <f t="shared" si="415"/>
        <v>2.2506972989071654E-9</v>
      </c>
      <c r="BW432" s="44">
        <f t="shared" si="416"/>
        <v>1.4720798902966833E-9</v>
      </c>
      <c r="BX432" s="44">
        <f t="shared" si="417"/>
        <v>1.0875458910810499E-9</v>
      </c>
      <c r="BY432" s="44">
        <f t="shared" si="418"/>
        <v>9.3378314669992368E-10</v>
      </c>
      <c r="CA432" s="44" t="str">
        <f t="shared" si="419"/>
        <v/>
      </c>
      <c r="CB432" s="44" t="str">
        <f t="shared" si="420"/>
        <v/>
      </c>
      <c r="CC432" s="44" t="str">
        <f t="shared" si="421"/>
        <v/>
      </c>
      <c r="CD432" s="44" t="str">
        <f t="shared" si="422"/>
        <v/>
      </c>
      <c r="CE432" s="44" t="str">
        <f t="shared" si="423"/>
        <v/>
      </c>
      <c r="CF432" s="44" t="str">
        <f t="shared" si="424"/>
        <v/>
      </c>
      <c r="CG432" s="44" t="str">
        <f t="shared" si="425"/>
        <v/>
      </c>
      <c r="CH432" s="44" t="str">
        <f t="shared" si="426"/>
        <v/>
      </c>
      <c r="CI432" s="44" t="str">
        <f t="shared" si="427"/>
        <v/>
      </c>
      <c r="CJ432" s="44" t="str">
        <f t="shared" si="428"/>
        <v/>
      </c>
      <c r="CK432" s="44" t="str">
        <f t="shared" si="429"/>
        <v/>
      </c>
      <c r="CL432" s="44" t="str">
        <f t="shared" si="430"/>
        <v/>
      </c>
      <c r="CM432" s="44" t="str">
        <f t="shared" si="431"/>
        <v/>
      </c>
      <c r="CN432" s="44" t="str">
        <f t="shared" si="432"/>
        <v/>
      </c>
      <c r="CO432" s="44" t="str">
        <f t="shared" si="433"/>
        <v/>
      </c>
      <c r="CP432" s="44" t="str">
        <f t="shared" si="434"/>
        <v/>
      </c>
      <c r="CQ432" s="44" t="str">
        <f t="shared" si="435"/>
        <v/>
      </c>
      <c r="CR432" s="44" t="str">
        <f t="shared" si="436"/>
        <v/>
      </c>
      <c r="CS432" s="44" t="str">
        <f t="shared" si="437"/>
        <v/>
      </c>
      <c r="CT432" s="44" t="str">
        <f t="shared" si="438"/>
        <v/>
      </c>
      <c r="CV432" s="44">
        <f t="shared" si="439"/>
        <v>0</v>
      </c>
    </row>
    <row r="433" spans="1:100" x14ac:dyDescent="0.25">
      <c r="A433" s="41"/>
      <c r="B433" s="42"/>
      <c r="C433" s="43" t="str" cm="1">
        <f t="array" ref="C433">IF(B433="","",INDEX(UWS!$B$10:$B$41,B433))</f>
        <v/>
      </c>
      <c r="D433" s="40" t="str">
        <f t="shared" si="396"/>
        <v/>
      </c>
      <c r="E433" s="69" t="str">
        <f t="shared" si="397"/>
        <v/>
      </c>
      <c r="F433" s="48" cm="1">
        <f t="array" ref="F433">0.1+IFERROR(INDEX($F$5:$F432,SUMPRODUCT(MAX(ROW($C$5:$C432)*($C433=$C$5:$C432))-ROW($A$4)))*0.9^($A433-INDEX($A$5:A432,SUMPRODUCT(MAX(ROW($C$5:$C432)*($C433=$C$5:$C432))-ROW($A$4)))),0)</f>
        <v>36.800000000000253</v>
      </c>
      <c r="G433" s="55" t="e">
        <f>INDEX(UWS!$AB$10:$AB$41,MATCH(C433,UWS!$B$10:$B$41,0))</f>
        <v>#N/A</v>
      </c>
      <c r="H433" s="48" t="e">
        <f>INDEX(UWS!$C$10:$C$41,MATCH(C433,UWS!$B$10:$B$41,0))</f>
        <v>#N/A</v>
      </c>
      <c r="I433" s="27">
        <f t="shared" si="398"/>
        <v>5</v>
      </c>
      <c r="J433" s="27" t="e">
        <f>INDEX(UWS!$E$10:$E$41,MATCH(C433,UWS!$B$10:$B$41,0))</f>
        <v>#N/A</v>
      </c>
      <c r="L433" s="108" t="str" cm="1">
        <f t="array" ref="L433">IF(K433="","",INDEX(UWS!$B$10:$B$41,K433))</f>
        <v/>
      </c>
      <c r="N433" s="108" t="str" cm="1">
        <f t="array" ref="N433">IF(M433="","",INDEX(UWS!$B$10:$B$41,M433))</f>
        <v/>
      </c>
      <c r="P433">
        <f>IFERROR(INDEX(UWS!$G$10:$Z$41,MATCH($C433,UWS!$B$10:$B$41,0),MATCH(P$4,UWS!$G$3:$Z$3,0)),0)</f>
        <v>0</v>
      </c>
      <c r="Q433">
        <f>IFERROR(INDEX(UWS!$G$10:$Z$41,MATCH($C433,UWS!$B$10:$B$41,0),MATCH(Q$4,UWS!$G$3:$Z$3,0)),0)</f>
        <v>0</v>
      </c>
      <c r="R433">
        <f>IFERROR(INDEX(UWS!$G$10:$Z$41,MATCH($C433,UWS!$B$10:$B$41,0),MATCH(R$4,UWS!$G$3:$Z$3,0)),0)</f>
        <v>0</v>
      </c>
      <c r="S433">
        <f>IFERROR(INDEX(UWS!$G$10:$Z$41,MATCH($C433,UWS!$B$10:$B$41,0),MATCH(S$4,UWS!$G$3:$Z$3,0)),0)</f>
        <v>0</v>
      </c>
      <c r="T433">
        <f>IFERROR(INDEX(UWS!$G$10:$Z$41,MATCH($C433,UWS!$B$10:$B$41,0),MATCH(T$4,UWS!$G$3:$Z$3,0)),0)</f>
        <v>0</v>
      </c>
      <c r="U433">
        <f>IFERROR(INDEX(UWS!$G$10:$Z$41,MATCH($C433,UWS!$B$10:$B$41,0),MATCH(U$4,UWS!$G$3:$Z$3,0)),0)</f>
        <v>0</v>
      </c>
      <c r="V433">
        <f>IFERROR(INDEX(UWS!$G$10:$Z$41,MATCH($C433,UWS!$B$10:$B$41,0),MATCH(V$4,UWS!$G$3:$Z$3,0)),0)</f>
        <v>0</v>
      </c>
      <c r="W433">
        <f>IFERROR(INDEX(UWS!$G$10:$Z$41,MATCH($C433,UWS!$B$10:$B$41,0),MATCH(W$4,UWS!$G$3:$Z$3,0)),0)</f>
        <v>0</v>
      </c>
      <c r="X433">
        <f>IFERROR(INDEX(UWS!$G$10:$Z$41,MATCH($C433,UWS!$B$10:$B$41,0),MATCH(X$4,UWS!$G$3:$Z$3,0)),0)</f>
        <v>0</v>
      </c>
      <c r="Y433">
        <f>IFERROR(INDEX(UWS!$G$10:$Z$41,MATCH($C433,UWS!$B$10:$B$41,0),MATCH(Y$4,UWS!$G$3:$Z$3,0)),0)</f>
        <v>0</v>
      </c>
      <c r="Z433">
        <f>IFERROR(INDEX(UWS!$G$10:$Z$41,MATCH($C433,UWS!$B$10:$B$41,0),MATCH(Z$4,UWS!$G$3:$Z$3,0)),0)</f>
        <v>0</v>
      </c>
      <c r="AA433">
        <f>IFERROR(INDEX(UWS!$G$10:$Z$41,MATCH($C433,UWS!$B$10:$B$41,0),MATCH(AA$4,UWS!$G$3:$Z$3,0)),0)</f>
        <v>0</v>
      </c>
      <c r="AB433">
        <f>IFERROR(INDEX(UWS!$G$10:$Z$41,MATCH($C433,UWS!$B$10:$B$41,0),MATCH(AB$4,UWS!$G$3:$Z$3,0)),0)</f>
        <v>0</v>
      </c>
      <c r="AC433">
        <f>IFERROR(INDEX(UWS!$G$10:$Z$41,MATCH($C433,UWS!$B$10:$B$41,0),MATCH(AC$4,UWS!$G$3:$Z$3,0)),0)</f>
        <v>0</v>
      </c>
      <c r="AD433">
        <f>IFERROR(INDEX(UWS!$G$10:$Z$41,MATCH($C433,UWS!$B$10:$B$41,0),MATCH(AD$4,UWS!$G$3:$Z$3,0)),0)</f>
        <v>0</v>
      </c>
      <c r="AE433">
        <f>IFERROR(INDEX(UWS!$G$10:$Z$41,MATCH($C433,UWS!$B$10:$B$41,0),MATCH(AE$4,UWS!$G$3:$Z$3,0)),0)</f>
        <v>0</v>
      </c>
      <c r="AF433">
        <f>IFERROR(INDEX(UWS!$G$10:$Z$41,MATCH($C433,UWS!$B$10:$B$41,0),MATCH(AF$4,UWS!$G$3:$Z$3,0)),0)</f>
        <v>0</v>
      </c>
      <c r="AG433">
        <f>IFERROR(INDEX(UWS!$G$10:$Z$41,MATCH($C433,UWS!$B$10:$B$41,0),MATCH(AG$4,UWS!$G$3:$Z$3,0)),0)</f>
        <v>0</v>
      </c>
      <c r="AH433">
        <f>IFERROR(INDEX(UWS!$G$10:$Z$41,MATCH($C433,UWS!$B$10:$B$41,0),MATCH(AH$4,UWS!$G$3:$Z$3,0)),0)</f>
        <v>0</v>
      </c>
      <c r="AI433">
        <f>IFERROR(INDEX(UWS!$G$10:$Z$41,MATCH($C433,UWS!$B$10:$B$41,0),MATCH(AI$4,UWS!$G$3:$Z$3,0)),0)</f>
        <v>0</v>
      </c>
      <c r="AK433" t="e">
        <f>IF(OR($J433=0,COUNTIFS($A$4:$A432,"&gt;="&amp;$A433-1,$A$4:$A432,"&lt;="&amp;$A433,$B$4:$B432,$B433)&gt;0,MIN(AK$1,IF($A433=$A432,AK432,1))-P433&lt;0),-1,MIN(1,IF($A433=$A432,AK432,1)-P433+$D$3))</f>
        <v>#N/A</v>
      </c>
      <c r="AL433" t="e">
        <f>IF(OR($J433=0,COUNTIFS($A$4:$A432,"&gt;="&amp;$A433-1,$A$4:$A432,"&lt;="&amp;$A433,$B$4:$B432,$B433)&gt;0,MIN(AL$1,IF($A433=$A432,AL432,1))-Q433&lt;0),-1,MIN(1,IF($A433=$A432,AL432,1)-Q433+$D$3))</f>
        <v>#N/A</v>
      </c>
      <c r="AM433" t="e">
        <f>IF(OR($J433=0,COUNTIFS($A$4:$A432,"&gt;="&amp;$A433-1,$A$4:$A432,"&lt;="&amp;$A433,$B$4:$B432,$B433)&gt;0,MIN(AM$1,IF($A433=$A432,AM432,1))-R433&lt;0),-1,MIN(1,IF($A433=$A432,AM432,1)-R433+$D$3))</f>
        <v>#N/A</v>
      </c>
      <c r="AN433" t="e">
        <f>IF(OR($J433=0,COUNTIFS($A$4:$A432,"&gt;="&amp;$A433-1,$A$4:$A432,"&lt;="&amp;$A433,$B$4:$B432,$B433)&gt;0,MIN(AN$1,IF($A433=$A432,AN432,1))-S433&lt;0),-1,MIN(1,IF($A433=$A432,AN432,1)-S433+$D$3))</f>
        <v>#N/A</v>
      </c>
      <c r="AO433" t="e">
        <f>IF(OR($J433=0,COUNTIFS($A$4:$A432,"&gt;="&amp;$A433-1,$A$4:$A432,"&lt;="&amp;$A433,$B$4:$B432,$B433)&gt;0,MIN(AO$1,IF($A433=$A432,AO432,1))-T433&lt;0),-1,MIN(1,IF($A433=$A432,AO432,1)-T433+$D$3))</f>
        <v>#N/A</v>
      </c>
      <c r="AP433" t="e">
        <f>IF(OR($J433=0,COUNTIFS($A$4:$A432,"&gt;="&amp;$A433-1,$A$4:$A432,"&lt;="&amp;$A433,$B$4:$B432,$B433)&gt;0,MIN(AP$1,IF($A433=$A432,AP432,1))-U433&lt;0),-1,MIN(1,IF($A433=$A432,AP432,1)-U433+$D$3))</f>
        <v>#N/A</v>
      </c>
      <c r="AQ433" t="e">
        <f>IF(OR($J433=0,COUNTIFS($A$4:$A432,"&gt;="&amp;$A433-1,$A$4:$A432,"&lt;="&amp;$A433,$B$4:$B432,$B433)&gt;0,MIN(AQ$1,IF($A433=$A432,AQ432,1))-V433&lt;0),-1,MIN(1,IF($A433=$A432,AQ432,1)-V433+$D$3))</f>
        <v>#N/A</v>
      </c>
      <c r="AR433" t="e">
        <f>IF(OR($J433=0,COUNTIFS($A$4:$A432,"&gt;="&amp;$A433-1,$A$4:$A432,"&lt;="&amp;$A433,$B$4:$B432,$B433)&gt;0,MIN(AR$1,IF($A433=$A432,AR432,1))-W433&lt;0),-1,MIN(1,IF($A433=$A432,AR432,1)-W433+$D$3))</f>
        <v>#N/A</v>
      </c>
      <c r="AS433" t="e">
        <f>IF(OR($J433=0,COUNTIFS($A$4:$A432,"&gt;="&amp;$A433-1,$A$4:$A432,"&lt;="&amp;$A433,$B$4:$B432,$B433)&gt;0,MIN(AS$1,IF($A433=$A432,AS432,1))-X433&lt;0),-1,MIN(1,IF($A433=$A432,AS432,1)-X433+$D$3))</f>
        <v>#N/A</v>
      </c>
      <c r="AT433" t="e">
        <f>IF(OR($J433=0,COUNTIFS($A$4:$A432,"&gt;="&amp;$A433-1,$A$4:$A432,"&lt;="&amp;$A433,$B$4:$B432,$B433)&gt;0,MIN(AT$1,IF($A433=$A432,AT432,1))-Y433&lt;0),-1,MIN(1,IF($A433=$A432,AT432,1)-Y433+$D$3))</f>
        <v>#N/A</v>
      </c>
      <c r="AU433" t="e">
        <f>IF(OR($J433=0,COUNTIFS($A$4:$A432,"&gt;="&amp;$A433-1,$A$4:$A432,"&lt;="&amp;$A433,$B$4:$B432,$B433)&gt;0,MIN(AU$1,IF($A433=$A432,AU432,1))-Z433&lt;0),-1,MIN(1,IF($A433=$A432,AU432,1)-Z433+$D$3))</f>
        <v>#N/A</v>
      </c>
      <c r="AV433" t="e">
        <f>IF(OR($J433=0,COUNTIFS($A$4:$A432,"&gt;="&amp;$A433-1,$A$4:$A432,"&lt;="&amp;$A433,$B$4:$B432,$B433)&gt;0,MIN(AV$1,IF($A433=$A432,AV432,1))-AA433&lt;0),-1,MIN(1,IF($A433=$A432,AV432,1)-AA433+$D$3))</f>
        <v>#N/A</v>
      </c>
      <c r="AW433" t="e">
        <f>IF(OR($J433=0,COUNTIFS($A$4:$A432,"&gt;="&amp;$A433-1,$A$4:$A432,"&lt;="&amp;$A433,$B$4:$B432,$B433)&gt;0,MIN(AW$1,IF($A433=$A432,AW432,1))-AB433&lt;0),-1,MIN(1,IF($A433=$A432,AW432,1)-AB433+$D$3))</f>
        <v>#N/A</v>
      </c>
      <c r="AX433" t="e">
        <f>IF(OR($J433=0,COUNTIFS($A$4:$A432,"&gt;="&amp;$A433-1,$A$4:$A432,"&lt;="&amp;$A433,$B$4:$B432,$B433)&gt;0,MIN(AX$1,IF($A433=$A432,AX432,1))-AC433&lt;0),-1,MIN(1,IF($A433=$A432,AX432,1)-AC433+$D$3))</f>
        <v>#N/A</v>
      </c>
      <c r="AY433" t="e">
        <f>IF(OR($J433=0,COUNTIFS($A$4:$A432,"&gt;="&amp;$A433-1,$A$4:$A432,"&lt;="&amp;$A433,$B$4:$B432,$B433)&gt;0,MIN(AY$1,IF($A433=$A432,AY432,1))-AD433&lt;0),-1,MIN(1,IF($A433=$A432,AY432,1)-AD433+$D$3))</f>
        <v>#N/A</v>
      </c>
      <c r="AZ433" t="e">
        <f>IF(OR($J433=0,COUNTIFS($A$4:$A432,"&gt;="&amp;$A433-1,$A$4:$A432,"&lt;="&amp;$A433,$B$4:$B432,$B433)&gt;0,MIN(AZ$1,IF($A433=$A432,AZ432,1))-AE433&lt;0),-1,MIN(1,IF($A433=$A432,AZ432,1)-AE433+$D$3))</f>
        <v>#N/A</v>
      </c>
      <c r="BA433" t="e">
        <f>IF(OR($J433=0,COUNTIFS($A$4:$A432,"&gt;="&amp;$A433-1,$A$4:$A432,"&lt;="&amp;$A433,$B$4:$B432,$B433)&gt;0,MIN(BA$1,IF($A433=$A432,BA432,1))-AF433&lt;0),-1,MIN(1,IF($A433=$A432,BA432,1)-AF433+$D$3))</f>
        <v>#N/A</v>
      </c>
      <c r="BB433" t="e">
        <f>IF(OR($J433=0,COUNTIFS($A$4:$A432,"&gt;="&amp;$A433-1,$A$4:$A432,"&lt;="&amp;$A433,$B$4:$B432,$B433)&gt;0,MIN(BB$1,IF($A433=$A432,BB432,1))-AG433&lt;0),-1,MIN(1,IF($A433=$A432,BB432,1)-AG433+$D$3))</f>
        <v>#N/A</v>
      </c>
      <c r="BC433" t="e">
        <f>IF(OR($J433=0,COUNTIFS($A$4:$A432,"&gt;="&amp;$A433-1,$A$4:$A432,"&lt;="&amp;$A433,$B$4:$B432,$B433)&gt;0,MIN(BC$1,IF($A433=$A432,BC432,1))-AH433&lt;0),-1,MIN(1,IF($A433=$A432,BC432,1)-AH433+$D$3))</f>
        <v>#N/A</v>
      </c>
      <c r="BD433" t="e">
        <f>IF(OR($J433=0,COUNTIFS($A$4:$A432,"&gt;="&amp;$A433-1,$A$4:$A432,"&lt;="&amp;$A433,$B$4:$B432,$B433)&gt;0,MIN(BD$1,IF($A433=$A432,BD432,1))-AI433&lt;0),-1,MIN(1,IF($A433=$A432,BD432,1)-AI433+$D$3))</f>
        <v>#N/A</v>
      </c>
      <c r="BF433" s="44">
        <f t="shared" si="399"/>
        <v>5.8848115870600757E-10</v>
      </c>
      <c r="BG433" s="44">
        <f t="shared" si="400"/>
        <v>1.447241227613745E-9</v>
      </c>
      <c r="BH433" s="44">
        <f t="shared" si="401"/>
        <v>1.4832700234361766E-9</v>
      </c>
      <c r="BI433" s="44">
        <f t="shared" si="402"/>
        <v>1.3701296891169402E-9</v>
      </c>
      <c r="BJ433" s="44">
        <f t="shared" si="403"/>
        <v>1.4161591082794391E-9</v>
      </c>
      <c r="BK433" s="44">
        <f t="shared" si="404"/>
        <v>6.0815152250199219E-10</v>
      </c>
      <c r="BL433" s="44">
        <f t="shared" si="405"/>
        <v>3.28533020135118E-10</v>
      </c>
      <c r="BM433" s="44">
        <f t="shared" si="406"/>
        <v>8.3574963876856752E-10</v>
      </c>
      <c r="BN433" s="44">
        <f t="shared" si="407"/>
        <v>8.692447587859314E-10</v>
      </c>
      <c r="BO433" s="44">
        <f t="shared" si="408"/>
        <v>4.0736107801988857E-10</v>
      </c>
      <c r="BP433" s="44">
        <f t="shared" si="409"/>
        <v>1.3697425487562273E-9</v>
      </c>
      <c r="BQ433" s="44">
        <f t="shared" si="410"/>
        <v>3.6963681299276653E-10</v>
      </c>
      <c r="BR433" s="44">
        <f t="shared" si="411"/>
        <v>1.0919996753515661E-9</v>
      </c>
      <c r="BS433" s="44">
        <f t="shared" si="412"/>
        <v>5.8892991587710508E-10</v>
      </c>
      <c r="BT433" s="44">
        <f t="shared" si="413"/>
        <v>2.3305762291672967E-9</v>
      </c>
      <c r="BU433" s="44">
        <f t="shared" si="414"/>
        <v>2.226401596045662E-9</v>
      </c>
      <c r="BV433" s="44">
        <f t="shared" si="415"/>
        <v>2.138162433961807E-9</v>
      </c>
      <c r="BW433" s="44">
        <f t="shared" si="416"/>
        <v>1.398475895781849E-9</v>
      </c>
      <c r="BX433" s="44">
        <f t="shared" si="417"/>
        <v>1.0331685965269974E-9</v>
      </c>
      <c r="BY433" s="44">
        <f t="shared" si="418"/>
        <v>8.8709398936492741E-10</v>
      </c>
      <c r="CA433" s="44" t="str">
        <f t="shared" si="419"/>
        <v/>
      </c>
      <c r="CB433" s="44" t="str">
        <f t="shared" si="420"/>
        <v/>
      </c>
      <c r="CC433" s="44" t="str">
        <f t="shared" si="421"/>
        <v/>
      </c>
      <c r="CD433" s="44" t="str">
        <f t="shared" si="422"/>
        <v/>
      </c>
      <c r="CE433" s="44" t="str">
        <f t="shared" si="423"/>
        <v/>
      </c>
      <c r="CF433" s="44" t="str">
        <f t="shared" si="424"/>
        <v/>
      </c>
      <c r="CG433" s="44" t="str">
        <f t="shared" si="425"/>
        <v/>
      </c>
      <c r="CH433" s="44" t="str">
        <f t="shared" si="426"/>
        <v/>
      </c>
      <c r="CI433" s="44" t="str">
        <f t="shared" si="427"/>
        <v/>
      </c>
      <c r="CJ433" s="44" t="str">
        <f t="shared" si="428"/>
        <v/>
      </c>
      <c r="CK433" s="44" t="str">
        <f t="shared" si="429"/>
        <v/>
      </c>
      <c r="CL433" s="44" t="str">
        <f t="shared" si="430"/>
        <v/>
      </c>
      <c r="CM433" s="44" t="str">
        <f t="shared" si="431"/>
        <v/>
      </c>
      <c r="CN433" s="44" t="str">
        <f t="shared" si="432"/>
        <v/>
      </c>
      <c r="CO433" s="44" t="str">
        <f t="shared" si="433"/>
        <v/>
      </c>
      <c r="CP433" s="44" t="str">
        <f t="shared" si="434"/>
        <v/>
      </c>
      <c r="CQ433" s="44" t="str">
        <f t="shared" si="435"/>
        <v/>
      </c>
      <c r="CR433" s="44" t="str">
        <f t="shared" si="436"/>
        <v/>
      </c>
      <c r="CS433" s="44" t="str">
        <f t="shared" si="437"/>
        <v/>
      </c>
      <c r="CT433" s="44" t="str">
        <f t="shared" si="438"/>
        <v/>
      </c>
      <c r="CV433" s="44">
        <f t="shared" si="439"/>
        <v>0</v>
      </c>
    </row>
    <row r="434" spans="1:100" x14ac:dyDescent="0.25">
      <c r="A434" s="41"/>
      <c r="B434" s="42"/>
      <c r="C434" s="43" t="str" cm="1">
        <f t="array" ref="C434">IF(B434="","",INDEX(UWS!$B$10:$B$41,B434))</f>
        <v/>
      </c>
      <c r="D434" s="40" t="str">
        <f t="shared" si="396"/>
        <v/>
      </c>
      <c r="E434" s="69" t="str">
        <f t="shared" si="397"/>
        <v/>
      </c>
      <c r="F434" s="48" cm="1">
        <f t="array" ref="F434">0.1+IFERROR(INDEX($F$5:$F433,SUMPRODUCT(MAX(ROW($C$5:$C433)*($C434=$C$5:$C433))-ROW($A$4)))*0.9^($A434-INDEX($A$5:A433,SUMPRODUCT(MAX(ROW($C$5:$C433)*($C434=$C$5:$C433))-ROW($A$4)))),0)</f>
        <v>36.900000000000254</v>
      </c>
      <c r="G434" s="55" t="e">
        <f>INDEX(UWS!$AB$10:$AB$41,MATCH(C434,UWS!$B$10:$B$41,0))</f>
        <v>#N/A</v>
      </c>
      <c r="H434" s="48" t="e">
        <f>INDEX(UWS!$C$10:$C$41,MATCH(C434,UWS!$B$10:$B$41,0))</f>
        <v>#N/A</v>
      </c>
      <c r="I434" s="27">
        <f t="shared" si="398"/>
        <v>5</v>
      </c>
      <c r="J434" s="27" t="e">
        <f>INDEX(UWS!$E$10:$E$41,MATCH(C434,UWS!$B$10:$B$41,0))</f>
        <v>#N/A</v>
      </c>
      <c r="L434" s="108" t="str" cm="1">
        <f t="array" ref="L434">IF(K434="","",INDEX(UWS!$B$10:$B$41,K434))</f>
        <v/>
      </c>
      <c r="N434" s="108" t="str" cm="1">
        <f t="array" ref="N434">IF(M434="","",INDEX(UWS!$B$10:$B$41,M434))</f>
        <v/>
      </c>
      <c r="P434">
        <f>IFERROR(INDEX(UWS!$G$10:$Z$41,MATCH($C434,UWS!$B$10:$B$41,0),MATCH(P$4,UWS!$G$3:$Z$3,0)),0)</f>
        <v>0</v>
      </c>
      <c r="Q434">
        <f>IFERROR(INDEX(UWS!$G$10:$Z$41,MATCH($C434,UWS!$B$10:$B$41,0),MATCH(Q$4,UWS!$G$3:$Z$3,0)),0)</f>
        <v>0</v>
      </c>
      <c r="R434">
        <f>IFERROR(INDEX(UWS!$G$10:$Z$41,MATCH($C434,UWS!$B$10:$B$41,0),MATCH(R$4,UWS!$G$3:$Z$3,0)),0)</f>
        <v>0</v>
      </c>
      <c r="S434">
        <f>IFERROR(INDEX(UWS!$G$10:$Z$41,MATCH($C434,UWS!$B$10:$B$41,0),MATCH(S$4,UWS!$G$3:$Z$3,0)),0)</f>
        <v>0</v>
      </c>
      <c r="T434">
        <f>IFERROR(INDEX(UWS!$G$10:$Z$41,MATCH($C434,UWS!$B$10:$B$41,0),MATCH(T$4,UWS!$G$3:$Z$3,0)),0)</f>
        <v>0</v>
      </c>
      <c r="U434">
        <f>IFERROR(INDEX(UWS!$G$10:$Z$41,MATCH($C434,UWS!$B$10:$B$41,0),MATCH(U$4,UWS!$G$3:$Z$3,0)),0)</f>
        <v>0</v>
      </c>
      <c r="V434">
        <f>IFERROR(INDEX(UWS!$G$10:$Z$41,MATCH($C434,UWS!$B$10:$B$41,0),MATCH(V$4,UWS!$G$3:$Z$3,0)),0)</f>
        <v>0</v>
      </c>
      <c r="W434">
        <f>IFERROR(INDEX(UWS!$G$10:$Z$41,MATCH($C434,UWS!$B$10:$B$41,0),MATCH(W$4,UWS!$G$3:$Z$3,0)),0)</f>
        <v>0</v>
      </c>
      <c r="X434">
        <f>IFERROR(INDEX(UWS!$G$10:$Z$41,MATCH($C434,UWS!$B$10:$B$41,0),MATCH(X$4,UWS!$G$3:$Z$3,0)),0)</f>
        <v>0</v>
      </c>
      <c r="Y434">
        <f>IFERROR(INDEX(UWS!$G$10:$Z$41,MATCH($C434,UWS!$B$10:$B$41,0),MATCH(Y$4,UWS!$G$3:$Z$3,0)),0)</f>
        <v>0</v>
      </c>
      <c r="Z434">
        <f>IFERROR(INDEX(UWS!$G$10:$Z$41,MATCH($C434,UWS!$B$10:$B$41,0),MATCH(Z$4,UWS!$G$3:$Z$3,0)),0)</f>
        <v>0</v>
      </c>
      <c r="AA434">
        <f>IFERROR(INDEX(UWS!$G$10:$Z$41,MATCH($C434,UWS!$B$10:$B$41,0),MATCH(AA$4,UWS!$G$3:$Z$3,0)),0)</f>
        <v>0</v>
      </c>
      <c r="AB434">
        <f>IFERROR(INDEX(UWS!$G$10:$Z$41,MATCH($C434,UWS!$B$10:$B$41,0),MATCH(AB$4,UWS!$G$3:$Z$3,0)),0)</f>
        <v>0</v>
      </c>
      <c r="AC434">
        <f>IFERROR(INDEX(UWS!$G$10:$Z$41,MATCH($C434,UWS!$B$10:$B$41,0),MATCH(AC$4,UWS!$G$3:$Z$3,0)),0)</f>
        <v>0</v>
      </c>
      <c r="AD434">
        <f>IFERROR(INDEX(UWS!$G$10:$Z$41,MATCH($C434,UWS!$B$10:$B$41,0),MATCH(AD$4,UWS!$G$3:$Z$3,0)),0)</f>
        <v>0</v>
      </c>
      <c r="AE434">
        <f>IFERROR(INDEX(UWS!$G$10:$Z$41,MATCH($C434,UWS!$B$10:$B$41,0),MATCH(AE$4,UWS!$G$3:$Z$3,0)),0)</f>
        <v>0</v>
      </c>
      <c r="AF434">
        <f>IFERROR(INDEX(UWS!$G$10:$Z$41,MATCH($C434,UWS!$B$10:$B$41,0),MATCH(AF$4,UWS!$G$3:$Z$3,0)),0)</f>
        <v>0</v>
      </c>
      <c r="AG434">
        <f>IFERROR(INDEX(UWS!$G$10:$Z$41,MATCH($C434,UWS!$B$10:$B$41,0),MATCH(AG$4,UWS!$G$3:$Z$3,0)),0)</f>
        <v>0</v>
      </c>
      <c r="AH434">
        <f>IFERROR(INDEX(UWS!$G$10:$Z$41,MATCH($C434,UWS!$B$10:$B$41,0),MATCH(AH$4,UWS!$G$3:$Z$3,0)),0)</f>
        <v>0</v>
      </c>
      <c r="AI434">
        <f>IFERROR(INDEX(UWS!$G$10:$Z$41,MATCH($C434,UWS!$B$10:$B$41,0),MATCH(AI$4,UWS!$G$3:$Z$3,0)),0)</f>
        <v>0</v>
      </c>
      <c r="AK434" t="e">
        <f>IF(OR($J434=0,COUNTIFS($A$4:$A433,"&gt;="&amp;$A434-1,$A$4:$A433,"&lt;="&amp;$A434,$B$4:$B433,$B434)&gt;0,MIN(AK$1,IF($A434=$A433,AK433,1))-P434&lt;0),-1,MIN(1,IF($A434=$A433,AK433,1)-P434+$D$3))</f>
        <v>#N/A</v>
      </c>
      <c r="AL434" t="e">
        <f>IF(OR($J434=0,COUNTIFS($A$4:$A433,"&gt;="&amp;$A434-1,$A$4:$A433,"&lt;="&amp;$A434,$B$4:$B433,$B434)&gt;0,MIN(AL$1,IF($A434=$A433,AL433,1))-Q434&lt;0),-1,MIN(1,IF($A434=$A433,AL433,1)-Q434+$D$3))</f>
        <v>#N/A</v>
      </c>
      <c r="AM434" t="e">
        <f>IF(OR($J434=0,COUNTIFS($A$4:$A433,"&gt;="&amp;$A434-1,$A$4:$A433,"&lt;="&amp;$A434,$B$4:$B433,$B434)&gt;0,MIN(AM$1,IF($A434=$A433,AM433,1))-R434&lt;0),-1,MIN(1,IF($A434=$A433,AM433,1)-R434+$D$3))</f>
        <v>#N/A</v>
      </c>
      <c r="AN434" t="e">
        <f>IF(OR($J434=0,COUNTIFS($A$4:$A433,"&gt;="&amp;$A434-1,$A$4:$A433,"&lt;="&amp;$A434,$B$4:$B433,$B434)&gt;0,MIN(AN$1,IF($A434=$A433,AN433,1))-S434&lt;0),-1,MIN(1,IF($A434=$A433,AN433,1)-S434+$D$3))</f>
        <v>#N/A</v>
      </c>
      <c r="AO434" t="e">
        <f>IF(OR($J434=0,COUNTIFS($A$4:$A433,"&gt;="&amp;$A434-1,$A$4:$A433,"&lt;="&amp;$A434,$B$4:$B433,$B434)&gt;0,MIN(AO$1,IF($A434=$A433,AO433,1))-T434&lt;0),-1,MIN(1,IF($A434=$A433,AO433,1)-T434+$D$3))</f>
        <v>#N/A</v>
      </c>
      <c r="AP434" t="e">
        <f>IF(OR($J434=0,COUNTIFS($A$4:$A433,"&gt;="&amp;$A434-1,$A$4:$A433,"&lt;="&amp;$A434,$B$4:$B433,$B434)&gt;0,MIN(AP$1,IF($A434=$A433,AP433,1))-U434&lt;0),-1,MIN(1,IF($A434=$A433,AP433,1)-U434+$D$3))</f>
        <v>#N/A</v>
      </c>
      <c r="AQ434" t="e">
        <f>IF(OR($J434=0,COUNTIFS($A$4:$A433,"&gt;="&amp;$A434-1,$A$4:$A433,"&lt;="&amp;$A434,$B$4:$B433,$B434)&gt;0,MIN(AQ$1,IF($A434=$A433,AQ433,1))-V434&lt;0),-1,MIN(1,IF($A434=$A433,AQ433,1)-V434+$D$3))</f>
        <v>#N/A</v>
      </c>
      <c r="AR434" t="e">
        <f>IF(OR($J434=0,COUNTIFS($A$4:$A433,"&gt;="&amp;$A434-1,$A$4:$A433,"&lt;="&amp;$A434,$B$4:$B433,$B434)&gt;0,MIN(AR$1,IF($A434=$A433,AR433,1))-W434&lt;0),-1,MIN(1,IF($A434=$A433,AR433,1)-W434+$D$3))</f>
        <v>#N/A</v>
      </c>
      <c r="AS434" t="e">
        <f>IF(OR($J434=0,COUNTIFS($A$4:$A433,"&gt;="&amp;$A434-1,$A$4:$A433,"&lt;="&amp;$A434,$B$4:$B433,$B434)&gt;0,MIN(AS$1,IF($A434=$A433,AS433,1))-X434&lt;0),-1,MIN(1,IF($A434=$A433,AS433,1)-X434+$D$3))</f>
        <v>#N/A</v>
      </c>
      <c r="AT434" t="e">
        <f>IF(OR($J434=0,COUNTIFS($A$4:$A433,"&gt;="&amp;$A434-1,$A$4:$A433,"&lt;="&amp;$A434,$B$4:$B433,$B434)&gt;0,MIN(AT$1,IF($A434=$A433,AT433,1))-Y434&lt;0),-1,MIN(1,IF($A434=$A433,AT433,1)-Y434+$D$3))</f>
        <v>#N/A</v>
      </c>
      <c r="AU434" t="e">
        <f>IF(OR($J434=0,COUNTIFS($A$4:$A433,"&gt;="&amp;$A434-1,$A$4:$A433,"&lt;="&amp;$A434,$B$4:$B433,$B434)&gt;0,MIN(AU$1,IF($A434=$A433,AU433,1))-Z434&lt;0),-1,MIN(1,IF($A434=$A433,AU433,1)-Z434+$D$3))</f>
        <v>#N/A</v>
      </c>
      <c r="AV434" t="e">
        <f>IF(OR($J434=0,COUNTIFS($A$4:$A433,"&gt;="&amp;$A434-1,$A$4:$A433,"&lt;="&amp;$A434,$B$4:$B433,$B434)&gt;0,MIN(AV$1,IF($A434=$A433,AV433,1))-AA434&lt;0),-1,MIN(1,IF($A434=$A433,AV433,1)-AA434+$D$3))</f>
        <v>#N/A</v>
      </c>
      <c r="AW434" t="e">
        <f>IF(OR($J434=0,COUNTIFS($A$4:$A433,"&gt;="&amp;$A434-1,$A$4:$A433,"&lt;="&amp;$A434,$B$4:$B433,$B434)&gt;0,MIN(AW$1,IF($A434=$A433,AW433,1))-AB434&lt;0),-1,MIN(1,IF($A434=$A433,AW433,1)-AB434+$D$3))</f>
        <v>#N/A</v>
      </c>
      <c r="AX434" t="e">
        <f>IF(OR($J434=0,COUNTIFS($A$4:$A433,"&gt;="&amp;$A434-1,$A$4:$A433,"&lt;="&amp;$A434,$B$4:$B433,$B434)&gt;0,MIN(AX$1,IF($A434=$A433,AX433,1))-AC434&lt;0),-1,MIN(1,IF($A434=$A433,AX433,1)-AC434+$D$3))</f>
        <v>#N/A</v>
      </c>
      <c r="AY434" t="e">
        <f>IF(OR($J434=0,COUNTIFS($A$4:$A433,"&gt;="&amp;$A434-1,$A$4:$A433,"&lt;="&amp;$A434,$B$4:$B433,$B434)&gt;0,MIN(AY$1,IF($A434=$A433,AY433,1))-AD434&lt;0),-1,MIN(1,IF($A434=$A433,AY433,1)-AD434+$D$3))</f>
        <v>#N/A</v>
      </c>
      <c r="AZ434" t="e">
        <f>IF(OR($J434=0,COUNTIFS($A$4:$A433,"&gt;="&amp;$A434-1,$A$4:$A433,"&lt;="&amp;$A434,$B$4:$B433,$B434)&gt;0,MIN(AZ$1,IF($A434=$A433,AZ433,1))-AE434&lt;0),-1,MIN(1,IF($A434=$A433,AZ433,1)-AE434+$D$3))</f>
        <v>#N/A</v>
      </c>
      <c r="BA434" t="e">
        <f>IF(OR($J434=0,COUNTIFS($A$4:$A433,"&gt;="&amp;$A434-1,$A$4:$A433,"&lt;="&amp;$A434,$B$4:$B433,$B434)&gt;0,MIN(BA$1,IF($A434=$A433,BA433,1))-AF434&lt;0),-1,MIN(1,IF($A434=$A433,BA433,1)-AF434+$D$3))</f>
        <v>#N/A</v>
      </c>
      <c r="BB434" t="e">
        <f>IF(OR($J434=0,COUNTIFS($A$4:$A433,"&gt;="&amp;$A434-1,$A$4:$A433,"&lt;="&amp;$A434,$B$4:$B433,$B434)&gt;0,MIN(BB$1,IF($A434=$A433,BB433,1))-AG434&lt;0),-1,MIN(1,IF($A434=$A433,BB433,1)-AG434+$D$3))</f>
        <v>#N/A</v>
      </c>
      <c r="BC434" t="e">
        <f>IF(OR($J434=0,COUNTIFS($A$4:$A433,"&gt;="&amp;$A434-1,$A$4:$A433,"&lt;="&amp;$A434,$B$4:$B433,$B434)&gt;0,MIN(BC$1,IF($A434=$A433,BC433,1))-AH434&lt;0),-1,MIN(1,IF($A434=$A433,BC433,1)-AH434+$D$3))</f>
        <v>#N/A</v>
      </c>
      <c r="BD434" t="e">
        <f>IF(OR($J434=0,COUNTIFS($A$4:$A433,"&gt;="&amp;$A434-1,$A$4:$A433,"&lt;="&amp;$A434,$B$4:$B433,$B434)&gt;0,MIN(BD$1,IF($A434=$A433,BD433,1))-AI434&lt;0),-1,MIN(1,IF($A434=$A433,BD433,1)-AI434+$D$3))</f>
        <v>#N/A</v>
      </c>
      <c r="BF434" s="44">
        <f t="shared" si="399"/>
        <v>5.5905710077070717E-10</v>
      </c>
      <c r="BG434" s="44">
        <f t="shared" si="400"/>
        <v>1.3748791662330577E-9</v>
      </c>
      <c r="BH434" s="44">
        <f t="shared" si="401"/>
        <v>1.4091065222643678E-9</v>
      </c>
      <c r="BI434" s="44">
        <f t="shared" si="402"/>
        <v>1.3016232046610932E-9</v>
      </c>
      <c r="BJ434" s="44">
        <f t="shared" si="403"/>
        <v>1.345351152865467E-9</v>
      </c>
      <c r="BK434" s="44">
        <f t="shared" si="404"/>
        <v>5.777439463768926E-10</v>
      </c>
      <c r="BL434" s="44">
        <f t="shared" si="405"/>
        <v>3.1210636912836208E-10</v>
      </c>
      <c r="BM434" s="44">
        <f t="shared" si="406"/>
        <v>7.9396215683013907E-10</v>
      </c>
      <c r="BN434" s="44">
        <f t="shared" si="407"/>
        <v>8.2578252084663484E-10</v>
      </c>
      <c r="BO434" s="44">
        <f t="shared" si="408"/>
        <v>3.8699302411889409E-10</v>
      </c>
      <c r="BP434" s="44">
        <f t="shared" si="409"/>
        <v>1.3012554213184159E-9</v>
      </c>
      <c r="BQ434" s="44">
        <f t="shared" si="410"/>
        <v>3.5115497234312819E-10</v>
      </c>
      <c r="BR434" s="44">
        <f t="shared" si="411"/>
        <v>1.0373996915839878E-9</v>
      </c>
      <c r="BS434" s="44">
        <f t="shared" si="412"/>
        <v>5.5948342008324978E-10</v>
      </c>
      <c r="BT434" s="44">
        <f t="shared" si="413"/>
        <v>2.2140474177089317E-9</v>
      </c>
      <c r="BU434" s="44">
        <f t="shared" si="414"/>
        <v>2.1150815162433789E-9</v>
      </c>
      <c r="BV434" s="44">
        <f t="shared" si="415"/>
        <v>2.0312543122637166E-9</v>
      </c>
      <c r="BW434" s="44">
        <f t="shared" si="416"/>
        <v>1.3285521009927565E-9</v>
      </c>
      <c r="BX434" s="44">
        <f t="shared" si="417"/>
        <v>9.8151016670064743E-10</v>
      </c>
      <c r="BY434" s="44">
        <f t="shared" si="418"/>
        <v>8.4273928989668097E-10</v>
      </c>
      <c r="CA434" s="44" t="str">
        <f t="shared" si="419"/>
        <v/>
      </c>
      <c r="CB434" s="44" t="str">
        <f t="shared" si="420"/>
        <v/>
      </c>
      <c r="CC434" s="44" t="str">
        <f t="shared" si="421"/>
        <v/>
      </c>
      <c r="CD434" s="44" t="str">
        <f t="shared" si="422"/>
        <v/>
      </c>
      <c r="CE434" s="44" t="str">
        <f t="shared" si="423"/>
        <v/>
      </c>
      <c r="CF434" s="44" t="str">
        <f t="shared" si="424"/>
        <v/>
      </c>
      <c r="CG434" s="44" t="str">
        <f t="shared" si="425"/>
        <v/>
      </c>
      <c r="CH434" s="44" t="str">
        <f t="shared" si="426"/>
        <v/>
      </c>
      <c r="CI434" s="44" t="str">
        <f t="shared" si="427"/>
        <v/>
      </c>
      <c r="CJ434" s="44" t="str">
        <f t="shared" si="428"/>
        <v/>
      </c>
      <c r="CK434" s="44" t="str">
        <f t="shared" si="429"/>
        <v/>
      </c>
      <c r="CL434" s="44" t="str">
        <f t="shared" si="430"/>
        <v/>
      </c>
      <c r="CM434" s="44" t="str">
        <f t="shared" si="431"/>
        <v/>
      </c>
      <c r="CN434" s="44" t="str">
        <f t="shared" si="432"/>
        <v/>
      </c>
      <c r="CO434" s="44" t="str">
        <f t="shared" si="433"/>
        <v/>
      </c>
      <c r="CP434" s="44" t="str">
        <f t="shared" si="434"/>
        <v/>
      </c>
      <c r="CQ434" s="44" t="str">
        <f t="shared" si="435"/>
        <v/>
      </c>
      <c r="CR434" s="44" t="str">
        <f t="shared" si="436"/>
        <v/>
      </c>
      <c r="CS434" s="44" t="str">
        <f t="shared" si="437"/>
        <v/>
      </c>
      <c r="CT434" s="44" t="str">
        <f t="shared" si="438"/>
        <v/>
      </c>
      <c r="CV434" s="44">
        <f t="shared" si="439"/>
        <v>0</v>
      </c>
    </row>
    <row r="435" spans="1:100" x14ac:dyDescent="0.25">
      <c r="A435" s="49"/>
      <c r="B435" s="50"/>
      <c r="C435" s="51" t="str" cm="1">
        <f t="array" ref="C435">IF(B435="","",INDEX(UWS!$B$10:$B$41,B435))</f>
        <v/>
      </c>
      <c r="D435" s="45" t="str">
        <f t="shared" ref="D435:D455" si="440">IF(C435="","",MIN(AK435:BD435))</f>
        <v/>
      </c>
      <c r="E435" s="70" t="str">
        <f t="shared" ref="E435:E455" si="441">IF(C435="","",IFERROR((H435/$H$2)^$H$1*(CV435/$CV434)^$CV$1*(F435/$F$2)^$F$1*(G435/$G$2)^IF(B435&lt;=5,0,($G$1-$G$3*(I435-1))),0))</f>
        <v/>
      </c>
      <c r="F435" s="52" cm="1">
        <f t="array" ref="F435">0.1+IFERROR(INDEX($F$5:$F434,SUMPRODUCT(MAX(ROW($C$5:$C434)*($C435=$C$5:$C434))-ROW($A$4)))*0.9^($A435-INDEX($A$5:A434,SUMPRODUCT(MAX(ROW($C$5:$C434)*($C435=$C$5:$C434))-ROW($A$4)))),0)</f>
        <v>37.000000000000256</v>
      </c>
      <c r="G435" s="56" t="e">
        <f>INDEX(UWS!$AB$10:$AB$41,MATCH(C435,UWS!$B$10:$B$41,0))</f>
        <v>#N/A</v>
      </c>
      <c r="H435" s="52" t="e">
        <f>INDEX(UWS!$C$10:$C$41,MATCH(C435,UWS!$B$10:$B$41,0))</f>
        <v>#N/A</v>
      </c>
      <c r="I435" s="46">
        <f t="shared" ref="I435:I455" si="442">IF(A435&gt;A434,1,IF(A435&gt;A433,2,IF(A435&gt;A432,3,IF(A435&gt;A431,4,5))))</f>
        <v>5</v>
      </c>
      <c r="J435" s="46" t="e">
        <f>INDEX(UWS!$E$10:$E$41,MATCH(C435,UWS!$B$10:$B$41,0))</f>
        <v>#N/A</v>
      </c>
      <c r="K435" s="46"/>
      <c r="L435" s="109" t="str" cm="1">
        <f t="array" ref="L435">IF(K435="","",INDEX(UWS!$B$10:$B$41,K435))</f>
        <v/>
      </c>
      <c r="M435" s="46"/>
      <c r="N435" s="109" t="str" cm="1">
        <f t="array" ref="N435">IF(M435="","",INDEX(UWS!$B$10:$B$41,M435))</f>
        <v/>
      </c>
      <c r="O435" s="47"/>
      <c r="P435" s="47">
        <f>IFERROR(INDEX(UWS!$G$10:$Z$41,MATCH($C435,UWS!$B$10:$B$41,0),MATCH(P$4,UWS!$G$3:$Z$3,0)),0)</f>
        <v>0</v>
      </c>
      <c r="Q435" s="47">
        <f>IFERROR(INDEX(UWS!$G$10:$Z$41,MATCH($C435,UWS!$B$10:$B$41,0),MATCH(Q$4,UWS!$G$3:$Z$3,0)),0)</f>
        <v>0</v>
      </c>
      <c r="R435" s="47">
        <f>IFERROR(INDEX(UWS!$G$10:$Z$41,MATCH($C435,UWS!$B$10:$B$41,0),MATCH(R$4,UWS!$G$3:$Z$3,0)),0)</f>
        <v>0</v>
      </c>
      <c r="S435" s="47">
        <f>IFERROR(INDEX(UWS!$G$10:$Z$41,MATCH($C435,UWS!$B$10:$B$41,0),MATCH(S$4,UWS!$G$3:$Z$3,0)),0)</f>
        <v>0</v>
      </c>
      <c r="T435" s="47">
        <f>IFERROR(INDEX(UWS!$G$10:$Z$41,MATCH($C435,UWS!$B$10:$B$41,0),MATCH(T$4,UWS!$G$3:$Z$3,0)),0)</f>
        <v>0</v>
      </c>
      <c r="U435" s="47">
        <f>IFERROR(INDEX(UWS!$G$10:$Z$41,MATCH($C435,UWS!$B$10:$B$41,0),MATCH(U$4,UWS!$G$3:$Z$3,0)),0)</f>
        <v>0</v>
      </c>
      <c r="V435" s="47">
        <f>IFERROR(INDEX(UWS!$G$10:$Z$41,MATCH($C435,UWS!$B$10:$B$41,0),MATCH(V$4,UWS!$G$3:$Z$3,0)),0)</f>
        <v>0</v>
      </c>
      <c r="W435" s="47">
        <f>IFERROR(INDEX(UWS!$G$10:$Z$41,MATCH($C435,UWS!$B$10:$B$41,0),MATCH(W$4,UWS!$G$3:$Z$3,0)),0)</f>
        <v>0</v>
      </c>
      <c r="X435" s="47">
        <f>IFERROR(INDEX(UWS!$G$10:$Z$41,MATCH($C435,UWS!$B$10:$B$41,0),MATCH(X$4,UWS!$G$3:$Z$3,0)),0)</f>
        <v>0</v>
      </c>
      <c r="Y435" s="47">
        <f>IFERROR(INDEX(UWS!$G$10:$Z$41,MATCH($C435,UWS!$B$10:$B$41,0),MATCH(Y$4,UWS!$G$3:$Z$3,0)),0)</f>
        <v>0</v>
      </c>
      <c r="Z435" s="47">
        <f>IFERROR(INDEX(UWS!$G$10:$Z$41,MATCH($C435,UWS!$B$10:$B$41,0),MATCH(Z$4,UWS!$G$3:$Z$3,0)),0)</f>
        <v>0</v>
      </c>
      <c r="AA435" s="47">
        <f>IFERROR(INDEX(UWS!$G$10:$Z$41,MATCH($C435,UWS!$B$10:$B$41,0),MATCH(AA$4,UWS!$G$3:$Z$3,0)),0)</f>
        <v>0</v>
      </c>
      <c r="AB435" s="47">
        <f>IFERROR(INDEX(UWS!$G$10:$Z$41,MATCH($C435,UWS!$B$10:$B$41,0),MATCH(AB$4,UWS!$G$3:$Z$3,0)),0)</f>
        <v>0</v>
      </c>
      <c r="AC435" s="47">
        <f>IFERROR(INDEX(UWS!$G$10:$Z$41,MATCH($C435,UWS!$B$10:$B$41,0),MATCH(AC$4,UWS!$G$3:$Z$3,0)),0)</f>
        <v>0</v>
      </c>
      <c r="AD435" s="47">
        <f>IFERROR(INDEX(UWS!$G$10:$Z$41,MATCH($C435,UWS!$B$10:$B$41,0),MATCH(AD$4,UWS!$G$3:$Z$3,0)),0)</f>
        <v>0</v>
      </c>
      <c r="AE435" s="47">
        <f>IFERROR(INDEX(UWS!$G$10:$Z$41,MATCH($C435,UWS!$B$10:$B$41,0),MATCH(AE$4,UWS!$G$3:$Z$3,0)),0)</f>
        <v>0</v>
      </c>
      <c r="AF435" s="47">
        <f>IFERROR(INDEX(UWS!$G$10:$Z$41,MATCH($C435,UWS!$B$10:$B$41,0),MATCH(AF$4,UWS!$G$3:$Z$3,0)),0)</f>
        <v>0</v>
      </c>
      <c r="AG435" s="47">
        <f>IFERROR(INDEX(UWS!$G$10:$Z$41,MATCH($C435,UWS!$B$10:$B$41,0),MATCH(AG$4,UWS!$G$3:$Z$3,0)),0)</f>
        <v>0</v>
      </c>
      <c r="AH435" s="47">
        <f>IFERROR(INDEX(UWS!$G$10:$Z$41,MATCH($C435,UWS!$B$10:$B$41,0),MATCH(AH$4,UWS!$G$3:$Z$3,0)),0)</f>
        <v>0</v>
      </c>
      <c r="AI435" s="47">
        <f>IFERROR(INDEX(UWS!$G$10:$Z$41,MATCH($C435,UWS!$B$10:$B$41,0),MATCH(AI$4,UWS!$G$3:$Z$3,0)),0)</f>
        <v>0</v>
      </c>
      <c r="AJ435" s="47"/>
      <c r="AK435" s="47" t="e">
        <f>IF(OR($J435=0,COUNTIFS($A$4:$A434,"&gt;="&amp;$A435-1,$A$4:$A434,"&lt;="&amp;$A435,$B$4:$B434,$B435)&gt;0,MIN(AK$1,IF($A435=$A434,AK434,1))-P435&lt;0),-1,MIN(1,IF($A435=$A434,AK434,1)-P435+$D$3))</f>
        <v>#N/A</v>
      </c>
      <c r="AL435" s="47" t="e">
        <f>IF(OR($J435=0,COUNTIFS($A$4:$A434,"&gt;="&amp;$A435-1,$A$4:$A434,"&lt;="&amp;$A435,$B$4:$B434,$B435)&gt;0,MIN(AL$1,IF($A435=$A434,AL434,1))-Q435&lt;0),-1,MIN(1,IF($A435=$A434,AL434,1)-Q435+$D$3))</f>
        <v>#N/A</v>
      </c>
      <c r="AM435" s="47" t="e">
        <f>IF(OR($J435=0,COUNTIFS($A$4:$A434,"&gt;="&amp;$A435-1,$A$4:$A434,"&lt;="&amp;$A435,$B$4:$B434,$B435)&gt;0,MIN(AM$1,IF($A435=$A434,AM434,1))-R435&lt;0),-1,MIN(1,IF($A435=$A434,AM434,1)-R435+$D$3))</f>
        <v>#N/A</v>
      </c>
      <c r="AN435" s="47" t="e">
        <f>IF(OR($J435=0,COUNTIFS($A$4:$A434,"&gt;="&amp;$A435-1,$A$4:$A434,"&lt;="&amp;$A435,$B$4:$B434,$B435)&gt;0,MIN(AN$1,IF($A435=$A434,AN434,1))-S435&lt;0),-1,MIN(1,IF($A435=$A434,AN434,1)-S435+$D$3))</f>
        <v>#N/A</v>
      </c>
      <c r="AO435" s="47" t="e">
        <f>IF(OR($J435=0,COUNTIFS($A$4:$A434,"&gt;="&amp;$A435-1,$A$4:$A434,"&lt;="&amp;$A435,$B$4:$B434,$B435)&gt;0,MIN(AO$1,IF($A435=$A434,AO434,1))-T435&lt;0),-1,MIN(1,IF($A435=$A434,AO434,1)-T435+$D$3))</f>
        <v>#N/A</v>
      </c>
      <c r="AP435" s="47" t="e">
        <f>IF(OR($J435=0,COUNTIFS($A$4:$A434,"&gt;="&amp;$A435-1,$A$4:$A434,"&lt;="&amp;$A435,$B$4:$B434,$B435)&gt;0,MIN(AP$1,IF($A435=$A434,AP434,1))-U435&lt;0),-1,MIN(1,IF($A435=$A434,AP434,1)-U435+$D$3))</f>
        <v>#N/A</v>
      </c>
      <c r="AQ435" s="47" t="e">
        <f>IF(OR($J435=0,COUNTIFS($A$4:$A434,"&gt;="&amp;$A435-1,$A$4:$A434,"&lt;="&amp;$A435,$B$4:$B434,$B435)&gt;0,MIN(AQ$1,IF($A435=$A434,AQ434,1))-V435&lt;0),-1,MIN(1,IF($A435=$A434,AQ434,1)-V435+$D$3))</f>
        <v>#N/A</v>
      </c>
      <c r="AR435" s="47" t="e">
        <f>IF(OR($J435=0,COUNTIFS($A$4:$A434,"&gt;="&amp;$A435-1,$A$4:$A434,"&lt;="&amp;$A435,$B$4:$B434,$B435)&gt;0,MIN(AR$1,IF($A435=$A434,AR434,1))-W435&lt;0),-1,MIN(1,IF($A435=$A434,AR434,1)-W435+$D$3))</f>
        <v>#N/A</v>
      </c>
      <c r="AS435" s="47" t="e">
        <f>IF(OR($J435=0,COUNTIFS($A$4:$A434,"&gt;="&amp;$A435-1,$A$4:$A434,"&lt;="&amp;$A435,$B$4:$B434,$B435)&gt;0,MIN(AS$1,IF($A435=$A434,AS434,1))-X435&lt;0),-1,MIN(1,IF($A435=$A434,AS434,1)-X435+$D$3))</f>
        <v>#N/A</v>
      </c>
      <c r="AT435" s="47" t="e">
        <f>IF(OR($J435=0,COUNTIFS($A$4:$A434,"&gt;="&amp;$A435-1,$A$4:$A434,"&lt;="&amp;$A435,$B$4:$B434,$B435)&gt;0,MIN(AT$1,IF($A435=$A434,AT434,1))-Y435&lt;0),-1,MIN(1,IF($A435=$A434,AT434,1)-Y435+$D$3))</f>
        <v>#N/A</v>
      </c>
      <c r="AU435" s="47" t="e">
        <f>IF(OR($J435=0,COUNTIFS($A$4:$A434,"&gt;="&amp;$A435-1,$A$4:$A434,"&lt;="&amp;$A435,$B$4:$B434,$B435)&gt;0,MIN(AU$1,IF($A435=$A434,AU434,1))-Z435&lt;0),-1,MIN(1,IF($A435=$A434,AU434,1)-Z435+$D$3))</f>
        <v>#N/A</v>
      </c>
      <c r="AV435" s="47" t="e">
        <f>IF(OR($J435=0,COUNTIFS($A$4:$A434,"&gt;="&amp;$A435-1,$A$4:$A434,"&lt;="&amp;$A435,$B$4:$B434,$B435)&gt;0,MIN(AV$1,IF($A435=$A434,AV434,1))-AA435&lt;0),-1,MIN(1,IF($A435=$A434,AV434,1)-AA435+$D$3))</f>
        <v>#N/A</v>
      </c>
      <c r="AW435" s="47" t="e">
        <f>IF(OR($J435=0,COUNTIFS($A$4:$A434,"&gt;="&amp;$A435-1,$A$4:$A434,"&lt;="&amp;$A435,$B$4:$B434,$B435)&gt;0,MIN(AW$1,IF($A435=$A434,AW434,1))-AB435&lt;0),-1,MIN(1,IF($A435=$A434,AW434,1)-AB435+$D$3))</f>
        <v>#N/A</v>
      </c>
      <c r="AX435" s="47" t="e">
        <f>IF(OR($J435=0,COUNTIFS($A$4:$A434,"&gt;="&amp;$A435-1,$A$4:$A434,"&lt;="&amp;$A435,$B$4:$B434,$B435)&gt;0,MIN(AX$1,IF($A435=$A434,AX434,1))-AC435&lt;0),-1,MIN(1,IF($A435=$A434,AX434,1)-AC435+$D$3))</f>
        <v>#N/A</v>
      </c>
      <c r="AY435" s="47" t="e">
        <f>IF(OR($J435=0,COUNTIFS($A$4:$A434,"&gt;="&amp;$A435-1,$A$4:$A434,"&lt;="&amp;$A435,$B$4:$B434,$B435)&gt;0,MIN(AY$1,IF($A435=$A434,AY434,1))-AD435&lt;0),-1,MIN(1,IF($A435=$A434,AY434,1)-AD435+$D$3))</f>
        <v>#N/A</v>
      </c>
      <c r="AZ435" s="47" t="e">
        <f>IF(OR($J435=0,COUNTIFS($A$4:$A434,"&gt;="&amp;$A435-1,$A$4:$A434,"&lt;="&amp;$A435,$B$4:$B434,$B435)&gt;0,MIN(AZ$1,IF($A435=$A434,AZ434,1))-AE435&lt;0),-1,MIN(1,IF($A435=$A434,AZ434,1)-AE435+$D$3))</f>
        <v>#N/A</v>
      </c>
      <c r="BA435" s="47" t="e">
        <f>IF(OR($J435=0,COUNTIFS($A$4:$A434,"&gt;="&amp;$A435-1,$A$4:$A434,"&lt;="&amp;$A435,$B$4:$B434,$B435)&gt;0,MIN(BA$1,IF($A435=$A434,BA434,1))-AF435&lt;0),-1,MIN(1,IF($A435=$A434,BA434,1)-AF435+$D$3))</f>
        <v>#N/A</v>
      </c>
      <c r="BB435" s="47" t="e">
        <f>IF(OR($J435=0,COUNTIFS($A$4:$A434,"&gt;="&amp;$A435-1,$A$4:$A434,"&lt;="&amp;$A435,$B$4:$B434,$B435)&gt;0,MIN(BB$1,IF($A435=$A434,BB434,1))-AG435&lt;0),-1,MIN(1,IF($A435=$A434,BB434,1)-AG435+$D$3))</f>
        <v>#N/A</v>
      </c>
      <c r="BC435" s="47" t="e">
        <f>IF(OR($J435=0,COUNTIFS($A$4:$A434,"&gt;="&amp;$A435-1,$A$4:$A434,"&lt;="&amp;$A435,$B$4:$B434,$B435)&gt;0,MIN(BC$1,IF($A435=$A434,BC434,1))-AH435&lt;0),-1,MIN(1,IF($A435=$A434,BC434,1)-AH435+$D$3))</f>
        <v>#N/A</v>
      </c>
      <c r="BD435" s="47" t="e">
        <f>IF(OR($J435=0,COUNTIFS($A$4:$A434,"&gt;="&amp;$A435-1,$A$4:$A434,"&lt;="&amp;$A435,$B$4:$B434,$B435)&gt;0,MIN(BD$1,IF($A435=$A434,BD434,1))-AI435&lt;0),-1,MIN(1,IF($A435=$A434,BD434,1)-AI435+$D$3))</f>
        <v>#N/A</v>
      </c>
      <c r="BE435" s="47"/>
      <c r="BF435" s="53">
        <f t="shared" ref="BF435:BF455" si="443">$AN$2*P435+(1-$AN$2)*BF434</f>
        <v>5.3110424573217183E-10</v>
      </c>
      <c r="BG435" s="53">
        <f t="shared" ref="BG435:BG455" si="444">$AN$2*Q435+(1-$AN$2)*BG434</f>
        <v>1.3061352079214047E-9</v>
      </c>
      <c r="BH435" s="53">
        <f t="shared" ref="BH435:BH455" si="445">$AN$2*R435+(1-$AN$2)*BH434</f>
        <v>1.3386511961511494E-9</v>
      </c>
      <c r="BI435" s="53">
        <f t="shared" ref="BI435:BI455" si="446">$AN$2*S435+(1-$AN$2)*BI434</f>
        <v>1.2365420444280384E-9</v>
      </c>
      <c r="BJ435" s="53">
        <f t="shared" ref="BJ435:BJ455" si="447">$AN$2*T435+(1-$AN$2)*BJ434</f>
        <v>1.2780835952221937E-9</v>
      </c>
      <c r="BK435" s="53">
        <f t="shared" ref="BK435:BK455" si="448">$AN$2*U435+(1-$AN$2)*BK434</f>
        <v>5.4885674905804798E-10</v>
      </c>
      <c r="BL435" s="53">
        <f t="shared" ref="BL435:BL455" si="449">$AN$2*V435+(1-$AN$2)*BL434</f>
        <v>2.9650105067194397E-10</v>
      </c>
      <c r="BM435" s="53">
        <f t="shared" ref="BM435:BM455" si="450">$AN$2*W435+(1-$AN$2)*BM434</f>
        <v>7.542640489886321E-10</v>
      </c>
      <c r="BN435" s="53">
        <f t="shared" ref="BN435:BN455" si="451">$AN$2*X435+(1-$AN$2)*BN434</f>
        <v>7.844933948043031E-10</v>
      </c>
      <c r="BO435" s="53">
        <f t="shared" ref="BO435:BO455" si="452">$AN$2*Y435+(1-$AN$2)*BO434</f>
        <v>3.6764337291294936E-10</v>
      </c>
      <c r="BP435" s="53">
        <f t="shared" ref="BP435:BP455" si="453">$AN$2*Z435+(1-$AN$2)*BP434</f>
        <v>1.2361926502524951E-9</v>
      </c>
      <c r="BQ435" s="53">
        <f t="shared" ref="BQ435:BQ455" si="454">$AN$2*AA435+(1-$AN$2)*BQ434</f>
        <v>3.3359722372597178E-10</v>
      </c>
      <c r="BR435" s="53">
        <f t="shared" ref="BR435:BR455" si="455">$AN$2*AB435+(1-$AN$2)*BR434</f>
        <v>9.8552970700478847E-10</v>
      </c>
      <c r="BS435" s="53">
        <f t="shared" ref="BS435:BS455" si="456">$AN$2*AC435+(1-$AN$2)*BS434</f>
        <v>5.3150924907908724E-10</v>
      </c>
      <c r="BT435" s="53">
        <f t="shared" ref="BT435:BT455" si="457">$AN$2*AD435+(1-$AN$2)*BT434</f>
        <v>2.1033450468234848E-9</v>
      </c>
      <c r="BU435" s="53">
        <f t="shared" ref="BU435:BU455" si="458">$AN$2*AE435+(1-$AN$2)*BU434</f>
        <v>2.00932744043121E-9</v>
      </c>
      <c r="BV435" s="53">
        <f t="shared" ref="BV435:BV455" si="459">$AN$2*AF435+(1-$AN$2)*BV434</f>
        <v>1.9296915966505305E-9</v>
      </c>
      <c r="BW435" s="53">
        <f t="shared" ref="BW435:BW455" si="460">$AN$2*AG435+(1-$AN$2)*BW434</f>
        <v>1.2621244959431187E-9</v>
      </c>
      <c r="BX435" s="53">
        <f t="shared" ref="BX435:BX455" si="461">$AN$2*AH435+(1-$AN$2)*BX434</f>
        <v>9.3243465836561491E-10</v>
      </c>
      <c r="BY435" s="53">
        <f t="shared" ref="BY435:BY455" si="462">$AN$2*AI435+(1-$AN$2)*BY434</f>
        <v>8.0060232540184685E-10</v>
      </c>
      <c r="BZ435" s="47"/>
      <c r="CA435" s="53" t="str">
        <f t="shared" ref="CA435:CA455" si="463">IF($A435="","",BF435/SUM($BF435:$BY435)/CA$2-1)</f>
        <v/>
      </c>
      <c r="CB435" s="53" t="str">
        <f t="shared" ref="CB435:CB455" si="464">IF($A435="","",BG435/SUM($BF435:$BY435)/CB$2-1)</f>
        <v/>
      </c>
      <c r="CC435" s="53" t="str">
        <f t="shared" ref="CC435:CC455" si="465">IF($A435="","",BH435/SUM($BF435:$BY435)/CC$2-1)</f>
        <v/>
      </c>
      <c r="CD435" s="53" t="str">
        <f t="shared" ref="CD435:CD455" si="466">IF($A435="","",BI435/SUM($BF435:$BY435)/CD$2-1)</f>
        <v/>
      </c>
      <c r="CE435" s="53" t="str">
        <f t="shared" ref="CE435:CE455" si="467">IF($A435="","",BJ435/SUM($BF435:$BY435)/CE$2-1)</f>
        <v/>
      </c>
      <c r="CF435" s="53" t="str">
        <f t="shared" ref="CF435:CF455" si="468">IF($A435="","",BK435/SUM($BF435:$BY435)/CF$2-1)</f>
        <v/>
      </c>
      <c r="CG435" s="53" t="str">
        <f t="shared" ref="CG435:CG455" si="469">IF($A435="","",BL435/SUM($BF435:$BY435)/CG$2-1)</f>
        <v/>
      </c>
      <c r="CH435" s="53" t="str">
        <f t="shared" ref="CH435:CH455" si="470">IF($A435="","",BM435/SUM($BF435:$BY435)/CH$2-1)</f>
        <v/>
      </c>
      <c r="CI435" s="53" t="str">
        <f t="shared" ref="CI435:CI455" si="471">IF($A435="","",BN435/SUM($BF435:$BY435)/CI$2-1)</f>
        <v/>
      </c>
      <c r="CJ435" s="53" t="str">
        <f t="shared" ref="CJ435:CJ455" si="472">IF($A435="","",BO435/SUM($BF435:$BY435)/CJ$2-1)</f>
        <v/>
      </c>
      <c r="CK435" s="53" t="str">
        <f t="shared" ref="CK435:CK455" si="473">IF($A435="","",BP435/SUM($BF435:$BY435)/CK$2-1)</f>
        <v/>
      </c>
      <c r="CL435" s="53" t="str">
        <f t="shared" ref="CL435:CL455" si="474">IF($A435="","",BQ435/SUM($BF435:$BY435)/CL$2-1)</f>
        <v/>
      </c>
      <c r="CM435" s="53" t="str">
        <f t="shared" ref="CM435:CM455" si="475">IF($A435="","",BR435/SUM($BF435:$BY435)/CM$2-1)</f>
        <v/>
      </c>
      <c r="CN435" s="53" t="str">
        <f t="shared" ref="CN435:CN455" si="476">IF($A435="","",BS435/SUM($BF435:$BY435)/CN$2-1)</f>
        <v/>
      </c>
      <c r="CO435" s="53" t="str">
        <f t="shared" ref="CO435:CO455" si="477">IF($A435="","",BT435/SUM($BF435:$BY435)/CO$2-1)</f>
        <v/>
      </c>
      <c r="CP435" s="53" t="str">
        <f t="shared" ref="CP435:CP455" si="478">IF($A435="","",BU435/SUM($BF435:$BY435)/CP$2-1)</f>
        <v/>
      </c>
      <c r="CQ435" s="53" t="str">
        <f t="shared" ref="CQ435:CQ455" si="479">IF($A435="","",BV435/SUM($BF435:$BY435)/CQ$2-1)</f>
        <v/>
      </c>
      <c r="CR435" s="53" t="str">
        <f t="shared" ref="CR435:CR455" si="480">IF($A435="","",BW435/SUM($BF435:$BY435)/CR$2-1)</f>
        <v/>
      </c>
      <c r="CS435" s="53" t="str">
        <f t="shared" ref="CS435:CS455" si="481">IF($A435="","",BX435/SUM($BF435:$BY435)/CS$2-1)</f>
        <v/>
      </c>
      <c r="CT435" s="53" t="str">
        <f t="shared" ref="CT435:CT455" si="482">IF($A435="","",BY435/SUM($BF435:$BY435)/CT$2-1)</f>
        <v/>
      </c>
      <c r="CU435" s="47"/>
      <c r="CV435" s="53">
        <f t="shared" ref="CV435:CV455" si="483">SQRT(SUMPRODUCT(CA435:CT435,CA435:CT435)/20)</f>
        <v>0</v>
      </c>
    </row>
    <row r="436" spans="1:100" x14ac:dyDescent="0.25">
      <c r="A436" s="41"/>
      <c r="B436" s="42"/>
      <c r="C436" s="43" t="str" cm="1">
        <f t="array" ref="C436">IF(B436="","",INDEX(UWS!$B$10:$B$41,B436))</f>
        <v/>
      </c>
      <c r="D436" s="40" t="str">
        <f t="shared" si="440"/>
        <v/>
      </c>
      <c r="E436" s="69" t="str">
        <f t="shared" si="441"/>
        <v/>
      </c>
      <c r="F436" s="48" cm="1">
        <f t="array" ref="F436">0.1+IFERROR(INDEX($F$5:$F435,SUMPRODUCT(MAX(ROW($C$5:$C435)*($C436=$C$5:$C435))-ROW($A$4)))*0.9^($A436-INDEX($A$5:A435,SUMPRODUCT(MAX(ROW($C$5:$C435)*($C436=$C$5:$C435))-ROW($A$4)))),0)</f>
        <v>37.100000000000257</v>
      </c>
      <c r="G436" s="55" t="e">
        <f>INDEX(UWS!$AB$10:$AB$41,MATCH(C436,UWS!$B$10:$B$41,0))</f>
        <v>#N/A</v>
      </c>
      <c r="H436" s="48" t="e">
        <f>INDEX(UWS!$C$10:$C$41,MATCH(C436,UWS!$B$10:$B$41,0))</f>
        <v>#N/A</v>
      </c>
      <c r="I436" s="82">
        <f t="shared" si="442"/>
        <v>5</v>
      </c>
      <c r="J436" s="27" t="e">
        <f>INDEX(UWS!$E$10:$E$41,MATCH(C436,UWS!$B$10:$B$41,0))</f>
        <v>#N/A</v>
      </c>
      <c r="L436" s="108" t="str" cm="1">
        <f t="array" ref="L436">IF(K436="","",INDEX(UWS!$B$10:$B$41,K436))</f>
        <v/>
      </c>
      <c r="N436" s="108" t="str" cm="1">
        <f t="array" ref="N436">IF(M436="","",INDEX(UWS!$B$10:$B$41,M436))</f>
        <v/>
      </c>
      <c r="P436">
        <f>IFERROR(INDEX(UWS!$G$10:$Z$41,MATCH($C436,UWS!$B$10:$B$41,0),MATCH(P$4,UWS!$G$3:$Z$3,0)),0)</f>
        <v>0</v>
      </c>
      <c r="Q436">
        <f>IFERROR(INDEX(UWS!$G$10:$Z$41,MATCH($C436,UWS!$B$10:$B$41,0),MATCH(Q$4,UWS!$G$3:$Z$3,0)),0)</f>
        <v>0</v>
      </c>
      <c r="R436">
        <f>IFERROR(INDEX(UWS!$G$10:$Z$41,MATCH($C436,UWS!$B$10:$B$41,0),MATCH(R$4,UWS!$G$3:$Z$3,0)),0)</f>
        <v>0</v>
      </c>
      <c r="S436">
        <f>IFERROR(INDEX(UWS!$G$10:$Z$41,MATCH($C436,UWS!$B$10:$B$41,0),MATCH(S$4,UWS!$G$3:$Z$3,0)),0)</f>
        <v>0</v>
      </c>
      <c r="T436">
        <f>IFERROR(INDEX(UWS!$G$10:$Z$41,MATCH($C436,UWS!$B$10:$B$41,0),MATCH(T$4,UWS!$G$3:$Z$3,0)),0)</f>
        <v>0</v>
      </c>
      <c r="U436">
        <f>IFERROR(INDEX(UWS!$G$10:$Z$41,MATCH($C436,UWS!$B$10:$B$41,0),MATCH(U$4,UWS!$G$3:$Z$3,0)),0)</f>
        <v>0</v>
      </c>
      <c r="V436">
        <f>IFERROR(INDEX(UWS!$G$10:$Z$41,MATCH($C436,UWS!$B$10:$B$41,0),MATCH(V$4,UWS!$G$3:$Z$3,0)),0)</f>
        <v>0</v>
      </c>
      <c r="W436">
        <f>IFERROR(INDEX(UWS!$G$10:$Z$41,MATCH($C436,UWS!$B$10:$B$41,0),MATCH(W$4,UWS!$G$3:$Z$3,0)),0)</f>
        <v>0</v>
      </c>
      <c r="X436">
        <f>IFERROR(INDEX(UWS!$G$10:$Z$41,MATCH($C436,UWS!$B$10:$B$41,0),MATCH(X$4,UWS!$G$3:$Z$3,0)),0)</f>
        <v>0</v>
      </c>
      <c r="Y436">
        <f>IFERROR(INDEX(UWS!$G$10:$Z$41,MATCH($C436,UWS!$B$10:$B$41,0),MATCH(Y$4,UWS!$G$3:$Z$3,0)),0)</f>
        <v>0</v>
      </c>
      <c r="Z436">
        <f>IFERROR(INDEX(UWS!$G$10:$Z$41,MATCH($C436,UWS!$B$10:$B$41,0),MATCH(Z$4,UWS!$G$3:$Z$3,0)),0)</f>
        <v>0</v>
      </c>
      <c r="AA436">
        <f>IFERROR(INDEX(UWS!$G$10:$Z$41,MATCH($C436,UWS!$B$10:$B$41,0),MATCH(AA$4,UWS!$G$3:$Z$3,0)),0)</f>
        <v>0</v>
      </c>
      <c r="AB436">
        <f>IFERROR(INDEX(UWS!$G$10:$Z$41,MATCH($C436,UWS!$B$10:$B$41,0),MATCH(AB$4,UWS!$G$3:$Z$3,0)),0)</f>
        <v>0</v>
      </c>
      <c r="AC436">
        <f>IFERROR(INDEX(UWS!$G$10:$Z$41,MATCH($C436,UWS!$B$10:$B$41,0),MATCH(AC$4,UWS!$G$3:$Z$3,0)),0)</f>
        <v>0</v>
      </c>
      <c r="AD436">
        <f>IFERROR(INDEX(UWS!$G$10:$Z$41,MATCH($C436,UWS!$B$10:$B$41,0),MATCH(AD$4,UWS!$G$3:$Z$3,0)),0)</f>
        <v>0</v>
      </c>
      <c r="AE436">
        <f>IFERROR(INDEX(UWS!$G$10:$Z$41,MATCH($C436,UWS!$B$10:$B$41,0),MATCH(AE$4,UWS!$G$3:$Z$3,0)),0)</f>
        <v>0</v>
      </c>
      <c r="AF436">
        <f>IFERROR(INDEX(UWS!$G$10:$Z$41,MATCH($C436,UWS!$B$10:$B$41,0),MATCH(AF$4,UWS!$G$3:$Z$3,0)),0)</f>
        <v>0</v>
      </c>
      <c r="AG436">
        <f>IFERROR(INDEX(UWS!$G$10:$Z$41,MATCH($C436,UWS!$B$10:$B$41,0),MATCH(AG$4,UWS!$G$3:$Z$3,0)),0)</f>
        <v>0</v>
      </c>
      <c r="AH436">
        <f>IFERROR(INDEX(UWS!$G$10:$Z$41,MATCH($C436,UWS!$B$10:$B$41,0),MATCH(AH$4,UWS!$G$3:$Z$3,0)),0)</f>
        <v>0</v>
      </c>
      <c r="AI436">
        <f>IFERROR(INDEX(UWS!$G$10:$Z$41,MATCH($C436,UWS!$B$10:$B$41,0),MATCH(AI$4,UWS!$G$3:$Z$3,0)),0)</f>
        <v>0</v>
      </c>
      <c r="AK436" t="e">
        <f>IF(OR($J436=0,COUNTIFS($A$4:$A435,"&gt;="&amp;$A436-1,$A$4:$A435,"&lt;="&amp;$A436,$B$4:$B435,$B436)&gt;0,MIN(AK$1,IF($A436=$A435,AK435,1))-P436&lt;0),-1,MIN(1,IF($A436=$A435,AK435,1)-P436+$D$3))</f>
        <v>#N/A</v>
      </c>
      <c r="AL436" t="e">
        <f>IF(OR($J436=0,COUNTIFS($A$4:$A435,"&gt;="&amp;$A436-1,$A$4:$A435,"&lt;="&amp;$A436,$B$4:$B435,$B436)&gt;0,MIN(AL$1,IF($A436=$A435,AL435,1))-Q436&lt;0),-1,MIN(1,IF($A436=$A435,AL435,1)-Q436+$D$3))</f>
        <v>#N/A</v>
      </c>
      <c r="AM436" t="e">
        <f>IF(OR($J436=0,COUNTIFS($A$4:$A435,"&gt;="&amp;$A436-1,$A$4:$A435,"&lt;="&amp;$A436,$B$4:$B435,$B436)&gt;0,MIN(AM$1,IF($A436=$A435,AM435,1))-R436&lt;0),-1,MIN(1,IF($A436=$A435,AM435,1)-R436+$D$3))</f>
        <v>#N/A</v>
      </c>
      <c r="AN436" t="e">
        <f>IF(OR($J436=0,COUNTIFS($A$4:$A435,"&gt;="&amp;$A436-1,$A$4:$A435,"&lt;="&amp;$A436,$B$4:$B435,$B436)&gt;0,MIN(AN$1,IF($A436=$A435,AN435,1))-S436&lt;0),-1,MIN(1,IF($A436=$A435,AN435,1)-S436+$D$3))</f>
        <v>#N/A</v>
      </c>
      <c r="AO436" t="e">
        <f>IF(OR($J436=0,COUNTIFS($A$4:$A435,"&gt;="&amp;$A436-1,$A$4:$A435,"&lt;="&amp;$A436,$B$4:$B435,$B436)&gt;0,MIN(AO$1,IF($A436=$A435,AO435,1))-T436&lt;0),-1,MIN(1,IF($A436=$A435,AO435,1)-T436+$D$3))</f>
        <v>#N/A</v>
      </c>
      <c r="AP436" t="e">
        <f>IF(OR($J436=0,COUNTIFS($A$4:$A435,"&gt;="&amp;$A436-1,$A$4:$A435,"&lt;="&amp;$A436,$B$4:$B435,$B436)&gt;0,MIN(AP$1,IF($A436=$A435,AP435,1))-U436&lt;0),-1,MIN(1,IF($A436=$A435,AP435,1)-U436+$D$3))</f>
        <v>#N/A</v>
      </c>
      <c r="AQ436" t="e">
        <f>IF(OR($J436=0,COUNTIFS($A$4:$A435,"&gt;="&amp;$A436-1,$A$4:$A435,"&lt;="&amp;$A436,$B$4:$B435,$B436)&gt;0,MIN(AQ$1,IF($A436=$A435,AQ435,1))-V436&lt;0),-1,MIN(1,IF($A436=$A435,AQ435,1)-V436+$D$3))</f>
        <v>#N/A</v>
      </c>
      <c r="AR436" t="e">
        <f>IF(OR($J436=0,COUNTIFS($A$4:$A435,"&gt;="&amp;$A436-1,$A$4:$A435,"&lt;="&amp;$A436,$B$4:$B435,$B436)&gt;0,MIN(AR$1,IF($A436=$A435,AR435,1))-W436&lt;0),-1,MIN(1,IF($A436=$A435,AR435,1)-W436+$D$3))</f>
        <v>#N/A</v>
      </c>
      <c r="AS436" t="e">
        <f>IF(OR($J436=0,COUNTIFS($A$4:$A435,"&gt;="&amp;$A436-1,$A$4:$A435,"&lt;="&amp;$A436,$B$4:$B435,$B436)&gt;0,MIN(AS$1,IF($A436=$A435,AS435,1))-X436&lt;0),-1,MIN(1,IF($A436=$A435,AS435,1)-X436+$D$3))</f>
        <v>#N/A</v>
      </c>
      <c r="AT436" t="e">
        <f>IF(OR($J436=0,COUNTIFS($A$4:$A435,"&gt;="&amp;$A436-1,$A$4:$A435,"&lt;="&amp;$A436,$B$4:$B435,$B436)&gt;0,MIN(AT$1,IF($A436=$A435,AT435,1))-Y436&lt;0),-1,MIN(1,IF($A436=$A435,AT435,1)-Y436+$D$3))</f>
        <v>#N/A</v>
      </c>
      <c r="AU436" t="e">
        <f>IF(OR($J436=0,COUNTIFS($A$4:$A435,"&gt;="&amp;$A436-1,$A$4:$A435,"&lt;="&amp;$A436,$B$4:$B435,$B436)&gt;0,MIN(AU$1,IF($A436=$A435,AU435,1))-Z436&lt;0),-1,MIN(1,IF($A436=$A435,AU435,1)-Z436+$D$3))</f>
        <v>#N/A</v>
      </c>
      <c r="AV436" t="e">
        <f>IF(OR($J436=0,COUNTIFS($A$4:$A435,"&gt;="&amp;$A436-1,$A$4:$A435,"&lt;="&amp;$A436,$B$4:$B435,$B436)&gt;0,MIN(AV$1,IF($A436=$A435,AV435,1))-AA436&lt;0),-1,MIN(1,IF($A436=$A435,AV435,1)-AA436+$D$3))</f>
        <v>#N/A</v>
      </c>
      <c r="AW436" t="e">
        <f>IF(OR($J436=0,COUNTIFS($A$4:$A435,"&gt;="&amp;$A436-1,$A$4:$A435,"&lt;="&amp;$A436,$B$4:$B435,$B436)&gt;0,MIN(AW$1,IF($A436=$A435,AW435,1))-AB436&lt;0),-1,MIN(1,IF($A436=$A435,AW435,1)-AB436+$D$3))</f>
        <v>#N/A</v>
      </c>
      <c r="AX436" t="e">
        <f>IF(OR($J436=0,COUNTIFS($A$4:$A435,"&gt;="&amp;$A436-1,$A$4:$A435,"&lt;="&amp;$A436,$B$4:$B435,$B436)&gt;0,MIN(AX$1,IF($A436=$A435,AX435,1))-AC436&lt;0),-1,MIN(1,IF($A436=$A435,AX435,1)-AC436+$D$3))</f>
        <v>#N/A</v>
      </c>
      <c r="AY436" t="e">
        <f>IF(OR($J436=0,COUNTIFS($A$4:$A435,"&gt;="&amp;$A436-1,$A$4:$A435,"&lt;="&amp;$A436,$B$4:$B435,$B436)&gt;0,MIN(AY$1,IF($A436=$A435,AY435,1))-AD436&lt;0),-1,MIN(1,IF($A436=$A435,AY435,1)-AD436+$D$3))</f>
        <v>#N/A</v>
      </c>
      <c r="AZ436" t="e">
        <f>IF(OR($J436=0,COUNTIFS($A$4:$A435,"&gt;="&amp;$A436-1,$A$4:$A435,"&lt;="&amp;$A436,$B$4:$B435,$B436)&gt;0,MIN(AZ$1,IF($A436=$A435,AZ435,1))-AE436&lt;0),-1,MIN(1,IF($A436=$A435,AZ435,1)-AE436+$D$3))</f>
        <v>#N/A</v>
      </c>
      <c r="BA436" t="e">
        <f>IF(OR($J436=0,COUNTIFS($A$4:$A435,"&gt;="&amp;$A436-1,$A$4:$A435,"&lt;="&amp;$A436,$B$4:$B435,$B436)&gt;0,MIN(BA$1,IF($A436=$A435,BA435,1))-AF436&lt;0),-1,MIN(1,IF($A436=$A435,BA435,1)-AF436+$D$3))</f>
        <v>#N/A</v>
      </c>
      <c r="BB436" t="e">
        <f>IF(OR($J436=0,COUNTIFS($A$4:$A435,"&gt;="&amp;$A436-1,$A$4:$A435,"&lt;="&amp;$A436,$B$4:$B435,$B436)&gt;0,MIN(BB$1,IF($A436=$A435,BB435,1))-AG436&lt;0),-1,MIN(1,IF($A436=$A435,BB435,1)-AG436+$D$3))</f>
        <v>#N/A</v>
      </c>
      <c r="BC436" t="e">
        <f>IF(OR($J436=0,COUNTIFS($A$4:$A435,"&gt;="&amp;$A436-1,$A$4:$A435,"&lt;="&amp;$A436,$B$4:$B435,$B436)&gt;0,MIN(BC$1,IF($A436=$A435,BC435,1))-AH436&lt;0),-1,MIN(1,IF($A436=$A435,BC435,1)-AH436+$D$3))</f>
        <v>#N/A</v>
      </c>
      <c r="BD436" t="e">
        <f>IF(OR($J436=0,COUNTIFS($A$4:$A435,"&gt;="&amp;$A436-1,$A$4:$A435,"&lt;="&amp;$A436,$B$4:$B435,$B436)&gt;0,MIN(BD$1,IF($A436=$A435,BD435,1))-AI436&lt;0),-1,MIN(1,IF($A436=$A435,BD435,1)-AI436+$D$3))</f>
        <v>#N/A</v>
      </c>
      <c r="BF436" s="44">
        <f t="shared" si="443"/>
        <v>5.0454903344556325E-10</v>
      </c>
      <c r="BG436" s="44">
        <f t="shared" si="444"/>
        <v>1.2408284475253344E-9</v>
      </c>
      <c r="BH436" s="44">
        <f t="shared" si="445"/>
        <v>1.2717186363435918E-9</v>
      </c>
      <c r="BI436" s="44">
        <f t="shared" si="446"/>
        <v>1.1747149422066365E-9</v>
      </c>
      <c r="BJ436" s="44">
        <f t="shared" si="447"/>
        <v>1.2141794154610839E-9</v>
      </c>
      <c r="BK436" s="44">
        <f t="shared" si="448"/>
        <v>5.2141391160514554E-10</v>
      </c>
      <c r="BL436" s="44">
        <f t="shared" si="449"/>
        <v>2.8167599813834677E-10</v>
      </c>
      <c r="BM436" s="44">
        <f t="shared" si="450"/>
        <v>7.1655084653920043E-10</v>
      </c>
      <c r="BN436" s="44">
        <f t="shared" si="451"/>
        <v>7.4526872506408795E-10</v>
      </c>
      <c r="BO436" s="44">
        <f t="shared" si="452"/>
        <v>3.4926120426730185E-10</v>
      </c>
      <c r="BP436" s="44">
        <f t="shared" si="453"/>
        <v>1.1743830177398703E-9</v>
      </c>
      <c r="BQ436" s="44">
        <f t="shared" si="454"/>
        <v>3.169173625396732E-10</v>
      </c>
      <c r="BR436" s="44">
        <f t="shared" si="455"/>
        <v>9.3625322165454902E-10</v>
      </c>
      <c r="BS436" s="44">
        <f t="shared" si="456"/>
        <v>5.0493378662513284E-10</v>
      </c>
      <c r="BT436" s="44">
        <f t="shared" si="457"/>
        <v>1.9981777944823107E-9</v>
      </c>
      <c r="BU436" s="44">
        <f t="shared" si="458"/>
        <v>1.9088610684096493E-9</v>
      </c>
      <c r="BV436" s="44">
        <f t="shared" si="459"/>
        <v>1.833207016818004E-9</v>
      </c>
      <c r="BW436" s="44">
        <f t="shared" si="460"/>
        <v>1.1990182711459628E-9</v>
      </c>
      <c r="BX436" s="44">
        <f t="shared" si="461"/>
        <v>8.8581292544733407E-10</v>
      </c>
      <c r="BY436" s="44">
        <f t="shared" si="462"/>
        <v>7.6057220913175443E-10</v>
      </c>
      <c r="CA436" s="44" t="str">
        <f t="shared" si="463"/>
        <v/>
      </c>
      <c r="CB436" s="44" t="str">
        <f t="shared" si="464"/>
        <v/>
      </c>
      <c r="CC436" s="44" t="str">
        <f t="shared" si="465"/>
        <v/>
      </c>
      <c r="CD436" s="44" t="str">
        <f t="shared" si="466"/>
        <v/>
      </c>
      <c r="CE436" s="44" t="str">
        <f t="shared" si="467"/>
        <v/>
      </c>
      <c r="CF436" s="44" t="str">
        <f t="shared" si="468"/>
        <v/>
      </c>
      <c r="CG436" s="44" t="str">
        <f t="shared" si="469"/>
        <v/>
      </c>
      <c r="CH436" s="44" t="str">
        <f t="shared" si="470"/>
        <v/>
      </c>
      <c r="CI436" s="44" t="str">
        <f t="shared" si="471"/>
        <v/>
      </c>
      <c r="CJ436" s="44" t="str">
        <f t="shared" si="472"/>
        <v/>
      </c>
      <c r="CK436" s="44" t="str">
        <f t="shared" si="473"/>
        <v/>
      </c>
      <c r="CL436" s="44" t="str">
        <f t="shared" si="474"/>
        <v/>
      </c>
      <c r="CM436" s="44" t="str">
        <f t="shared" si="475"/>
        <v/>
      </c>
      <c r="CN436" s="44" t="str">
        <f t="shared" si="476"/>
        <v/>
      </c>
      <c r="CO436" s="44" t="str">
        <f t="shared" si="477"/>
        <v/>
      </c>
      <c r="CP436" s="44" t="str">
        <f t="shared" si="478"/>
        <v/>
      </c>
      <c r="CQ436" s="44" t="str">
        <f t="shared" si="479"/>
        <v/>
      </c>
      <c r="CR436" s="44" t="str">
        <f t="shared" si="480"/>
        <v/>
      </c>
      <c r="CS436" s="44" t="str">
        <f t="shared" si="481"/>
        <v/>
      </c>
      <c r="CT436" s="44" t="str">
        <f t="shared" si="482"/>
        <v/>
      </c>
      <c r="CV436" s="44">
        <f t="shared" si="483"/>
        <v>0</v>
      </c>
    </row>
    <row r="437" spans="1:100" x14ac:dyDescent="0.25">
      <c r="A437" s="41"/>
      <c r="B437" s="42"/>
      <c r="C437" s="43" t="str" cm="1">
        <f t="array" ref="C437">IF(B437="","",INDEX(UWS!$B$10:$B$41,B437))</f>
        <v/>
      </c>
      <c r="D437" s="40" t="str">
        <f t="shared" si="440"/>
        <v/>
      </c>
      <c r="E437" s="69" t="str">
        <f t="shared" si="441"/>
        <v/>
      </c>
      <c r="F437" s="48" cm="1">
        <f t="array" ref="F437">0.1+IFERROR(INDEX($F$5:$F436,SUMPRODUCT(MAX(ROW($C$5:$C436)*($C437=$C$5:$C436))-ROW($A$4)))*0.9^($A437-INDEX($A$5:A436,SUMPRODUCT(MAX(ROW($C$5:$C436)*($C437=$C$5:$C436))-ROW($A$4)))),0)</f>
        <v>37.200000000000259</v>
      </c>
      <c r="G437" s="55" t="e">
        <f>INDEX(UWS!$AB$10:$AB$41,MATCH(C437,UWS!$B$10:$B$41,0))</f>
        <v>#N/A</v>
      </c>
      <c r="H437" s="48" t="e">
        <f>INDEX(UWS!$C$10:$C$41,MATCH(C437,UWS!$B$10:$B$41,0))</f>
        <v>#N/A</v>
      </c>
      <c r="I437" s="27">
        <f t="shared" si="442"/>
        <v>5</v>
      </c>
      <c r="J437" s="27" t="e">
        <f>INDEX(UWS!$E$10:$E$41,MATCH(C437,UWS!$B$10:$B$41,0))</f>
        <v>#N/A</v>
      </c>
      <c r="L437" s="108" t="str" cm="1">
        <f t="array" ref="L437">IF(K437="","",INDEX(UWS!$B$10:$B$41,K437))</f>
        <v/>
      </c>
      <c r="N437" s="108" t="str" cm="1">
        <f t="array" ref="N437">IF(M437="","",INDEX(UWS!$B$10:$B$41,M437))</f>
        <v/>
      </c>
      <c r="P437">
        <f>IFERROR(INDEX(UWS!$G$10:$Z$41,MATCH($C437,UWS!$B$10:$B$41,0),MATCH(P$4,UWS!$G$3:$Z$3,0)),0)</f>
        <v>0</v>
      </c>
      <c r="Q437">
        <f>IFERROR(INDEX(UWS!$G$10:$Z$41,MATCH($C437,UWS!$B$10:$B$41,0),MATCH(Q$4,UWS!$G$3:$Z$3,0)),0)</f>
        <v>0</v>
      </c>
      <c r="R437">
        <f>IFERROR(INDEX(UWS!$G$10:$Z$41,MATCH($C437,UWS!$B$10:$B$41,0),MATCH(R$4,UWS!$G$3:$Z$3,0)),0)</f>
        <v>0</v>
      </c>
      <c r="S437">
        <f>IFERROR(INDEX(UWS!$G$10:$Z$41,MATCH($C437,UWS!$B$10:$B$41,0),MATCH(S$4,UWS!$G$3:$Z$3,0)),0)</f>
        <v>0</v>
      </c>
      <c r="T437">
        <f>IFERROR(INDEX(UWS!$G$10:$Z$41,MATCH($C437,UWS!$B$10:$B$41,0),MATCH(T$4,UWS!$G$3:$Z$3,0)),0)</f>
        <v>0</v>
      </c>
      <c r="U437">
        <f>IFERROR(INDEX(UWS!$G$10:$Z$41,MATCH($C437,UWS!$B$10:$B$41,0),MATCH(U$4,UWS!$G$3:$Z$3,0)),0)</f>
        <v>0</v>
      </c>
      <c r="V437">
        <f>IFERROR(INDEX(UWS!$G$10:$Z$41,MATCH($C437,UWS!$B$10:$B$41,0),MATCH(V$4,UWS!$G$3:$Z$3,0)),0)</f>
        <v>0</v>
      </c>
      <c r="W437">
        <f>IFERROR(INDEX(UWS!$G$10:$Z$41,MATCH($C437,UWS!$B$10:$B$41,0),MATCH(W$4,UWS!$G$3:$Z$3,0)),0)</f>
        <v>0</v>
      </c>
      <c r="X437">
        <f>IFERROR(INDEX(UWS!$G$10:$Z$41,MATCH($C437,UWS!$B$10:$B$41,0),MATCH(X$4,UWS!$G$3:$Z$3,0)),0)</f>
        <v>0</v>
      </c>
      <c r="Y437">
        <f>IFERROR(INDEX(UWS!$G$10:$Z$41,MATCH($C437,UWS!$B$10:$B$41,0),MATCH(Y$4,UWS!$G$3:$Z$3,0)),0)</f>
        <v>0</v>
      </c>
      <c r="Z437">
        <f>IFERROR(INDEX(UWS!$G$10:$Z$41,MATCH($C437,UWS!$B$10:$B$41,0),MATCH(Z$4,UWS!$G$3:$Z$3,0)),0)</f>
        <v>0</v>
      </c>
      <c r="AA437">
        <f>IFERROR(INDEX(UWS!$G$10:$Z$41,MATCH($C437,UWS!$B$10:$B$41,0),MATCH(AA$4,UWS!$G$3:$Z$3,0)),0)</f>
        <v>0</v>
      </c>
      <c r="AB437">
        <f>IFERROR(INDEX(UWS!$G$10:$Z$41,MATCH($C437,UWS!$B$10:$B$41,0),MATCH(AB$4,UWS!$G$3:$Z$3,0)),0)</f>
        <v>0</v>
      </c>
      <c r="AC437">
        <f>IFERROR(INDEX(UWS!$G$10:$Z$41,MATCH($C437,UWS!$B$10:$B$41,0),MATCH(AC$4,UWS!$G$3:$Z$3,0)),0)</f>
        <v>0</v>
      </c>
      <c r="AD437">
        <f>IFERROR(INDEX(UWS!$G$10:$Z$41,MATCH($C437,UWS!$B$10:$B$41,0),MATCH(AD$4,UWS!$G$3:$Z$3,0)),0)</f>
        <v>0</v>
      </c>
      <c r="AE437">
        <f>IFERROR(INDEX(UWS!$G$10:$Z$41,MATCH($C437,UWS!$B$10:$B$41,0),MATCH(AE$4,UWS!$G$3:$Z$3,0)),0)</f>
        <v>0</v>
      </c>
      <c r="AF437">
        <f>IFERROR(INDEX(UWS!$G$10:$Z$41,MATCH($C437,UWS!$B$10:$B$41,0),MATCH(AF$4,UWS!$G$3:$Z$3,0)),0)</f>
        <v>0</v>
      </c>
      <c r="AG437">
        <f>IFERROR(INDEX(UWS!$G$10:$Z$41,MATCH($C437,UWS!$B$10:$B$41,0),MATCH(AG$4,UWS!$G$3:$Z$3,0)),0)</f>
        <v>0</v>
      </c>
      <c r="AH437">
        <f>IFERROR(INDEX(UWS!$G$10:$Z$41,MATCH($C437,UWS!$B$10:$B$41,0),MATCH(AH$4,UWS!$G$3:$Z$3,0)),0)</f>
        <v>0</v>
      </c>
      <c r="AI437">
        <f>IFERROR(INDEX(UWS!$G$10:$Z$41,MATCH($C437,UWS!$B$10:$B$41,0),MATCH(AI$4,UWS!$G$3:$Z$3,0)),0)</f>
        <v>0</v>
      </c>
      <c r="AK437" t="e">
        <f>IF(OR($J437=0,COUNTIFS($A$4:$A436,"&gt;="&amp;$A437-1,$A$4:$A436,"&lt;="&amp;$A437,$B$4:$B436,$B437)&gt;0,MIN(AK$1,IF($A437=$A436,AK436,1))-P437&lt;0),-1,MIN(1,IF($A437=$A436,AK436,1)-P437+$D$3))</f>
        <v>#N/A</v>
      </c>
      <c r="AL437" t="e">
        <f>IF(OR($J437=0,COUNTIFS($A$4:$A436,"&gt;="&amp;$A437-1,$A$4:$A436,"&lt;="&amp;$A437,$B$4:$B436,$B437)&gt;0,MIN(AL$1,IF($A437=$A436,AL436,1))-Q437&lt;0),-1,MIN(1,IF($A437=$A436,AL436,1)-Q437+$D$3))</f>
        <v>#N/A</v>
      </c>
      <c r="AM437" t="e">
        <f>IF(OR($J437=0,COUNTIFS($A$4:$A436,"&gt;="&amp;$A437-1,$A$4:$A436,"&lt;="&amp;$A437,$B$4:$B436,$B437)&gt;0,MIN(AM$1,IF($A437=$A436,AM436,1))-R437&lt;0),-1,MIN(1,IF($A437=$A436,AM436,1)-R437+$D$3))</f>
        <v>#N/A</v>
      </c>
      <c r="AN437" t="e">
        <f>IF(OR($J437=0,COUNTIFS($A$4:$A436,"&gt;="&amp;$A437-1,$A$4:$A436,"&lt;="&amp;$A437,$B$4:$B436,$B437)&gt;0,MIN(AN$1,IF($A437=$A436,AN436,1))-S437&lt;0),-1,MIN(1,IF($A437=$A436,AN436,1)-S437+$D$3))</f>
        <v>#N/A</v>
      </c>
      <c r="AO437" t="e">
        <f>IF(OR($J437=0,COUNTIFS($A$4:$A436,"&gt;="&amp;$A437-1,$A$4:$A436,"&lt;="&amp;$A437,$B$4:$B436,$B437)&gt;0,MIN(AO$1,IF($A437=$A436,AO436,1))-T437&lt;0),-1,MIN(1,IF($A437=$A436,AO436,1)-T437+$D$3))</f>
        <v>#N/A</v>
      </c>
      <c r="AP437" t="e">
        <f>IF(OR($J437=0,COUNTIFS($A$4:$A436,"&gt;="&amp;$A437-1,$A$4:$A436,"&lt;="&amp;$A437,$B$4:$B436,$B437)&gt;0,MIN(AP$1,IF($A437=$A436,AP436,1))-U437&lt;0),-1,MIN(1,IF($A437=$A436,AP436,1)-U437+$D$3))</f>
        <v>#N/A</v>
      </c>
      <c r="AQ437" t="e">
        <f>IF(OR($J437=0,COUNTIFS($A$4:$A436,"&gt;="&amp;$A437-1,$A$4:$A436,"&lt;="&amp;$A437,$B$4:$B436,$B437)&gt;0,MIN(AQ$1,IF($A437=$A436,AQ436,1))-V437&lt;0),-1,MIN(1,IF($A437=$A436,AQ436,1)-V437+$D$3))</f>
        <v>#N/A</v>
      </c>
      <c r="AR437" t="e">
        <f>IF(OR($J437=0,COUNTIFS($A$4:$A436,"&gt;="&amp;$A437-1,$A$4:$A436,"&lt;="&amp;$A437,$B$4:$B436,$B437)&gt;0,MIN(AR$1,IF($A437=$A436,AR436,1))-W437&lt;0),-1,MIN(1,IF($A437=$A436,AR436,1)-W437+$D$3))</f>
        <v>#N/A</v>
      </c>
      <c r="AS437" t="e">
        <f>IF(OR($J437=0,COUNTIFS($A$4:$A436,"&gt;="&amp;$A437-1,$A$4:$A436,"&lt;="&amp;$A437,$B$4:$B436,$B437)&gt;0,MIN(AS$1,IF($A437=$A436,AS436,1))-X437&lt;0),-1,MIN(1,IF($A437=$A436,AS436,1)-X437+$D$3))</f>
        <v>#N/A</v>
      </c>
      <c r="AT437" t="e">
        <f>IF(OR($J437=0,COUNTIFS($A$4:$A436,"&gt;="&amp;$A437-1,$A$4:$A436,"&lt;="&amp;$A437,$B$4:$B436,$B437)&gt;0,MIN(AT$1,IF($A437=$A436,AT436,1))-Y437&lt;0),-1,MIN(1,IF($A437=$A436,AT436,1)-Y437+$D$3))</f>
        <v>#N/A</v>
      </c>
      <c r="AU437" t="e">
        <f>IF(OR($J437=0,COUNTIFS($A$4:$A436,"&gt;="&amp;$A437-1,$A$4:$A436,"&lt;="&amp;$A437,$B$4:$B436,$B437)&gt;0,MIN(AU$1,IF($A437=$A436,AU436,1))-Z437&lt;0),-1,MIN(1,IF($A437=$A436,AU436,1)-Z437+$D$3))</f>
        <v>#N/A</v>
      </c>
      <c r="AV437" t="e">
        <f>IF(OR($J437=0,COUNTIFS($A$4:$A436,"&gt;="&amp;$A437-1,$A$4:$A436,"&lt;="&amp;$A437,$B$4:$B436,$B437)&gt;0,MIN(AV$1,IF($A437=$A436,AV436,1))-AA437&lt;0),-1,MIN(1,IF($A437=$A436,AV436,1)-AA437+$D$3))</f>
        <v>#N/A</v>
      </c>
      <c r="AW437" t="e">
        <f>IF(OR($J437=0,COUNTIFS($A$4:$A436,"&gt;="&amp;$A437-1,$A$4:$A436,"&lt;="&amp;$A437,$B$4:$B436,$B437)&gt;0,MIN(AW$1,IF($A437=$A436,AW436,1))-AB437&lt;0),-1,MIN(1,IF($A437=$A436,AW436,1)-AB437+$D$3))</f>
        <v>#N/A</v>
      </c>
      <c r="AX437" t="e">
        <f>IF(OR($J437=0,COUNTIFS($A$4:$A436,"&gt;="&amp;$A437-1,$A$4:$A436,"&lt;="&amp;$A437,$B$4:$B436,$B437)&gt;0,MIN(AX$1,IF($A437=$A436,AX436,1))-AC437&lt;0),-1,MIN(1,IF($A437=$A436,AX436,1)-AC437+$D$3))</f>
        <v>#N/A</v>
      </c>
      <c r="AY437" t="e">
        <f>IF(OR($J437=0,COUNTIFS($A$4:$A436,"&gt;="&amp;$A437-1,$A$4:$A436,"&lt;="&amp;$A437,$B$4:$B436,$B437)&gt;0,MIN(AY$1,IF($A437=$A436,AY436,1))-AD437&lt;0),-1,MIN(1,IF($A437=$A436,AY436,1)-AD437+$D$3))</f>
        <v>#N/A</v>
      </c>
      <c r="AZ437" t="e">
        <f>IF(OR($J437=0,COUNTIFS($A$4:$A436,"&gt;="&amp;$A437-1,$A$4:$A436,"&lt;="&amp;$A437,$B$4:$B436,$B437)&gt;0,MIN(AZ$1,IF($A437=$A436,AZ436,1))-AE437&lt;0),-1,MIN(1,IF($A437=$A436,AZ436,1)-AE437+$D$3))</f>
        <v>#N/A</v>
      </c>
      <c r="BA437" t="e">
        <f>IF(OR($J437=0,COUNTIFS($A$4:$A436,"&gt;="&amp;$A437-1,$A$4:$A436,"&lt;="&amp;$A437,$B$4:$B436,$B437)&gt;0,MIN(BA$1,IF($A437=$A436,BA436,1))-AF437&lt;0),-1,MIN(1,IF($A437=$A436,BA436,1)-AF437+$D$3))</f>
        <v>#N/A</v>
      </c>
      <c r="BB437" t="e">
        <f>IF(OR($J437=0,COUNTIFS($A$4:$A436,"&gt;="&amp;$A437-1,$A$4:$A436,"&lt;="&amp;$A437,$B$4:$B436,$B437)&gt;0,MIN(BB$1,IF($A437=$A436,BB436,1))-AG437&lt;0),-1,MIN(1,IF($A437=$A436,BB436,1)-AG437+$D$3))</f>
        <v>#N/A</v>
      </c>
      <c r="BC437" t="e">
        <f>IF(OR($J437=0,COUNTIFS($A$4:$A436,"&gt;="&amp;$A437-1,$A$4:$A436,"&lt;="&amp;$A437,$B$4:$B436,$B437)&gt;0,MIN(BC$1,IF($A437=$A436,BC436,1))-AH437&lt;0),-1,MIN(1,IF($A437=$A436,BC436,1)-AH437+$D$3))</f>
        <v>#N/A</v>
      </c>
      <c r="BD437" t="e">
        <f>IF(OR($J437=0,COUNTIFS($A$4:$A436,"&gt;="&amp;$A437-1,$A$4:$A436,"&lt;="&amp;$A437,$B$4:$B436,$B437)&gt;0,MIN(BD$1,IF($A437=$A436,BD436,1))-AI437&lt;0),-1,MIN(1,IF($A437=$A436,BD436,1)-AI437+$D$3))</f>
        <v>#N/A</v>
      </c>
      <c r="BF437" s="44">
        <f t="shared" si="443"/>
        <v>4.7932158177328505E-10</v>
      </c>
      <c r="BG437" s="44">
        <f t="shared" si="444"/>
        <v>1.1787870251490676E-9</v>
      </c>
      <c r="BH437" s="44">
        <f t="shared" si="445"/>
        <v>1.2081327045264122E-9</v>
      </c>
      <c r="BI437" s="44">
        <f t="shared" si="446"/>
        <v>1.1159791950963046E-9</v>
      </c>
      <c r="BJ437" s="44">
        <f t="shared" si="447"/>
        <v>1.1534704446880296E-9</v>
      </c>
      <c r="BK437" s="44">
        <f t="shared" si="448"/>
        <v>4.9534321602488828E-10</v>
      </c>
      <c r="BL437" s="44">
        <f t="shared" si="449"/>
        <v>2.6759219823142941E-10</v>
      </c>
      <c r="BM437" s="44">
        <f t="shared" si="450"/>
        <v>6.8072330421224038E-10</v>
      </c>
      <c r="BN437" s="44">
        <f t="shared" si="451"/>
        <v>7.0800528881088354E-10</v>
      </c>
      <c r="BO437" s="44">
        <f t="shared" si="452"/>
        <v>3.3179814405393672E-10</v>
      </c>
      <c r="BP437" s="44">
        <f t="shared" si="453"/>
        <v>1.1156638668528767E-9</v>
      </c>
      <c r="BQ437" s="44">
        <f t="shared" si="454"/>
        <v>3.0107149441268953E-10</v>
      </c>
      <c r="BR437" s="44">
        <f t="shared" si="455"/>
        <v>8.8944056057182147E-10</v>
      </c>
      <c r="BS437" s="44">
        <f t="shared" si="456"/>
        <v>4.7968709729387618E-10</v>
      </c>
      <c r="BT437" s="44">
        <f t="shared" si="457"/>
        <v>1.8982689047581951E-9</v>
      </c>
      <c r="BU437" s="44">
        <f t="shared" si="458"/>
        <v>1.8134180149891667E-9</v>
      </c>
      <c r="BV437" s="44">
        <f t="shared" si="459"/>
        <v>1.7415466659771038E-9</v>
      </c>
      <c r="BW437" s="44">
        <f t="shared" si="460"/>
        <v>1.1390673575886646E-9</v>
      </c>
      <c r="BX437" s="44">
        <f t="shared" si="461"/>
        <v>8.4152227917496729E-10</v>
      </c>
      <c r="BY437" s="44">
        <f t="shared" si="462"/>
        <v>7.2254359867516673E-10</v>
      </c>
      <c r="CA437" s="44" t="str">
        <f t="shared" si="463"/>
        <v/>
      </c>
      <c r="CB437" s="44" t="str">
        <f t="shared" si="464"/>
        <v/>
      </c>
      <c r="CC437" s="44" t="str">
        <f t="shared" si="465"/>
        <v/>
      </c>
      <c r="CD437" s="44" t="str">
        <f t="shared" si="466"/>
        <v/>
      </c>
      <c r="CE437" s="44" t="str">
        <f t="shared" si="467"/>
        <v/>
      </c>
      <c r="CF437" s="44" t="str">
        <f t="shared" si="468"/>
        <v/>
      </c>
      <c r="CG437" s="44" t="str">
        <f t="shared" si="469"/>
        <v/>
      </c>
      <c r="CH437" s="44" t="str">
        <f t="shared" si="470"/>
        <v/>
      </c>
      <c r="CI437" s="44" t="str">
        <f t="shared" si="471"/>
        <v/>
      </c>
      <c r="CJ437" s="44" t="str">
        <f t="shared" si="472"/>
        <v/>
      </c>
      <c r="CK437" s="44" t="str">
        <f t="shared" si="473"/>
        <v/>
      </c>
      <c r="CL437" s="44" t="str">
        <f t="shared" si="474"/>
        <v/>
      </c>
      <c r="CM437" s="44" t="str">
        <f t="shared" si="475"/>
        <v/>
      </c>
      <c r="CN437" s="44" t="str">
        <f t="shared" si="476"/>
        <v/>
      </c>
      <c r="CO437" s="44" t="str">
        <f t="shared" si="477"/>
        <v/>
      </c>
      <c r="CP437" s="44" t="str">
        <f t="shared" si="478"/>
        <v/>
      </c>
      <c r="CQ437" s="44" t="str">
        <f t="shared" si="479"/>
        <v/>
      </c>
      <c r="CR437" s="44" t="str">
        <f t="shared" si="480"/>
        <v/>
      </c>
      <c r="CS437" s="44" t="str">
        <f t="shared" si="481"/>
        <v/>
      </c>
      <c r="CT437" s="44" t="str">
        <f t="shared" si="482"/>
        <v/>
      </c>
      <c r="CV437" s="44">
        <f t="shared" si="483"/>
        <v>0</v>
      </c>
    </row>
    <row r="438" spans="1:100" x14ac:dyDescent="0.25">
      <c r="A438" s="41"/>
      <c r="B438" s="42"/>
      <c r="C438" s="43" t="str" cm="1">
        <f t="array" ref="C438">IF(B438="","",INDEX(UWS!$B$10:$B$41,B438))</f>
        <v/>
      </c>
      <c r="D438" s="40" t="str">
        <f t="shared" si="440"/>
        <v/>
      </c>
      <c r="E438" s="69" t="str">
        <f t="shared" si="441"/>
        <v/>
      </c>
      <c r="F438" s="48" cm="1">
        <f t="array" ref="F438">0.1+IFERROR(INDEX($F$5:$F437,SUMPRODUCT(MAX(ROW($C$5:$C437)*($C438=$C$5:$C437))-ROW($A$4)))*0.9^($A438-INDEX($A$5:A437,SUMPRODUCT(MAX(ROW($C$5:$C437)*($C438=$C$5:$C437))-ROW($A$4)))),0)</f>
        <v>37.30000000000026</v>
      </c>
      <c r="G438" s="55" t="e">
        <f>INDEX(UWS!$AB$10:$AB$41,MATCH(C438,UWS!$B$10:$B$41,0))</f>
        <v>#N/A</v>
      </c>
      <c r="H438" s="48" t="e">
        <f>INDEX(UWS!$C$10:$C$41,MATCH(C438,UWS!$B$10:$B$41,0))</f>
        <v>#N/A</v>
      </c>
      <c r="I438" s="27">
        <f t="shared" si="442"/>
        <v>5</v>
      </c>
      <c r="J438" s="27" t="e">
        <f>INDEX(UWS!$E$10:$E$41,MATCH(C438,UWS!$B$10:$B$41,0))</f>
        <v>#N/A</v>
      </c>
      <c r="L438" s="108" t="str" cm="1">
        <f t="array" ref="L438">IF(K438="","",INDEX(UWS!$B$10:$B$41,K438))</f>
        <v/>
      </c>
      <c r="N438" s="108" t="str" cm="1">
        <f t="array" ref="N438">IF(M438="","",INDEX(UWS!$B$10:$B$41,M438))</f>
        <v/>
      </c>
      <c r="P438">
        <f>IFERROR(INDEX(UWS!$G$10:$Z$41,MATCH($C438,UWS!$B$10:$B$41,0),MATCH(P$4,UWS!$G$3:$Z$3,0)),0)</f>
        <v>0</v>
      </c>
      <c r="Q438">
        <f>IFERROR(INDEX(UWS!$G$10:$Z$41,MATCH($C438,UWS!$B$10:$B$41,0),MATCH(Q$4,UWS!$G$3:$Z$3,0)),0)</f>
        <v>0</v>
      </c>
      <c r="R438">
        <f>IFERROR(INDEX(UWS!$G$10:$Z$41,MATCH($C438,UWS!$B$10:$B$41,0),MATCH(R$4,UWS!$G$3:$Z$3,0)),0)</f>
        <v>0</v>
      </c>
      <c r="S438">
        <f>IFERROR(INDEX(UWS!$G$10:$Z$41,MATCH($C438,UWS!$B$10:$B$41,0),MATCH(S$4,UWS!$G$3:$Z$3,0)),0)</f>
        <v>0</v>
      </c>
      <c r="T438">
        <f>IFERROR(INDEX(UWS!$G$10:$Z$41,MATCH($C438,UWS!$B$10:$B$41,0),MATCH(T$4,UWS!$G$3:$Z$3,0)),0)</f>
        <v>0</v>
      </c>
      <c r="U438">
        <f>IFERROR(INDEX(UWS!$G$10:$Z$41,MATCH($C438,UWS!$B$10:$B$41,0),MATCH(U$4,UWS!$G$3:$Z$3,0)),0)</f>
        <v>0</v>
      </c>
      <c r="V438">
        <f>IFERROR(INDEX(UWS!$G$10:$Z$41,MATCH($C438,UWS!$B$10:$B$41,0),MATCH(V$4,UWS!$G$3:$Z$3,0)),0)</f>
        <v>0</v>
      </c>
      <c r="W438">
        <f>IFERROR(INDEX(UWS!$G$10:$Z$41,MATCH($C438,UWS!$B$10:$B$41,0),MATCH(W$4,UWS!$G$3:$Z$3,0)),0)</f>
        <v>0</v>
      </c>
      <c r="X438">
        <f>IFERROR(INDEX(UWS!$G$10:$Z$41,MATCH($C438,UWS!$B$10:$B$41,0),MATCH(X$4,UWS!$G$3:$Z$3,0)),0)</f>
        <v>0</v>
      </c>
      <c r="Y438">
        <f>IFERROR(INDEX(UWS!$G$10:$Z$41,MATCH($C438,UWS!$B$10:$B$41,0),MATCH(Y$4,UWS!$G$3:$Z$3,0)),0)</f>
        <v>0</v>
      </c>
      <c r="Z438">
        <f>IFERROR(INDEX(UWS!$G$10:$Z$41,MATCH($C438,UWS!$B$10:$B$41,0),MATCH(Z$4,UWS!$G$3:$Z$3,0)),0)</f>
        <v>0</v>
      </c>
      <c r="AA438">
        <f>IFERROR(INDEX(UWS!$G$10:$Z$41,MATCH($C438,UWS!$B$10:$B$41,0),MATCH(AA$4,UWS!$G$3:$Z$3,0)),0)</f>
        <v>0</v>
      </c>
      <c r="AB438">
        <f>IFERROR(INDEX(UWS!$G$10:$Z$41,MATCH($C438,UWS!$B$10:$B$41,0),MATCH(AB$4,UWS!$G$3:$Z$3,0)),0)</f>
        <v>0</v>
      </c>
      <c r="AC438">
        <f>IFERROR(INDEX(UWS!$G$10:$Z$41,MATCH($C438,UWS!$B$10:$B$41,0),MATCH(AC$4,UWS!$G$3:$Z$3,0)),0)</f>
        <v>0</v>
      </c>
      <c r="AD438">
        <f>IFERROR(INDEX(UWS!$G$10:$Z$41,MATCH($C438,UWS!$B$10:$B$41,0),MATCH(AD$4,UWS!$G$3:$Z$3,0)),0)</f>
        <v>0</v>
      </c>
      <c r="AE438">
        <f>IFERROR(INDEX(UWS!$G$10:$Z$41,MATCH($C438,UWS!$B$10:$B$41,0),MATCH(AE$4,UWS!$G$3:$Z$3,0)),0)</f>
        <v>0</v>
      </c>
      <c r="AF438">
        <f>IFERROR(INDEX(UWS!$G$10:$Z$41,MATCH($C438,UWS!$B$10:$B$41,0),MATCH(AF$4,UWS!$G$3:$Z$3,0)),0)</f>
        <v>0</v>
      </c>
      <c r="AG438">
        <f>IFERROR(INDEX(UWS!$G$10:$Z$41,MATCH($C438,UWS!$B$10:$B$41,0),MATCH(AG$4,UWS!$G$3:$Z$3,0)),0)</f>
        <v>0</v>
      </c>
      <c r="AH438">
        <f>IFERROR(INDEX(UWS!$G$10:$Z$41,MATCH($C438,UWS!$B$10:$B$41,0),MATCH(AH$4,UWS!$G$3:$Z$3,0)),0)</f>
        <v>0</v>
      </c>
      <c r="AI438">
        <f>IFERROR(INDEX(UWS!$G$10:$Z$41,MATCH($C438,UWS!$B$10:$B$41,0),MATCH(AI$4,UWS!$G$3:$Z$3,0)),0)</f>
        <v>0</v>
      </c>
      <c r="AK438" t="e">
        <f>IF(OR($J438=0,COUNTIFS($A$4:$A437,"&gt;="&amp;$A438-1,$A$4:$A437,"&lt;="&amp;$A438,$B$4:$B437,$B438)&gt;0,MIN(AK$1,IF($A438=$A437,AK437,1))-P438&lt;0),-1,MIN(1,IF($A438=$A437,AK437,1)-P438+$D$3))</f>
        <v>#N/A</v>
      </c>
      <c r="AL438" t="e">
        <f>IF(OR($J438=0,COUNTIFS($A$4:$A437,"&gt;="&amp;$A438-1,$A$4:$A437,"&lt;="&amp;$A438,$B$4:$B437,$B438)&gt;0,MIN(AL$1,IF($A438=$A437,AL437,1))-Q438&lt;0),-1,MIN(1,IF($A438=$A437,AL437,1)-Q438+$D$3))</f>
        <v>#N/A</v>
      </c>
      <c r="AM438" t="e">
        <f>IF(OR($J438=0,COUNTIFS($A$4:$A437,"&gt;="&amp;$A438-1,$A$4:$A437,"&lt;="&amp;$A438,$B$4:$B437,$B438)&gt;0,MIN(AM$1,IF($A438=$A437,AM437,1))-R438&lt;0),-1,MIN(1,IF($A438=$A437,AM437,1)-R438+$D$3))</f>
        <v>#N/A</v>
      </c>
      <c r="AN438" t="e">
        <f>IF(OR($J438=0,COUNTIFS($A$4:$A437,"&gt;="&amp;$A438-1,$A$4:$A437,"&lt;="&amp;$A438,$B$4:$B437,$B438)&gt;0,MIN(AN$1,IF($A438=$A437,AN437,1))-S438&lt;0),-1,MIN(1,IF($A438=$A437,AN437,1)-S438+$D$3))</f>
        <v>#N/A</v>
      </c>
      <c r="AO438" t="e">
        <f>IF(OR($J438=0,COUNTIFS($A$4:$A437,"&gt;="&amp;$A438-1,$A$4:$A437,"&lt;="&amp;$A438,$B$4:$B437,$B438)&gt;0,MIN(AO$1,IF($A438=$A437,AO437,1))-T438&lt;0),-1,MIN(1,IF($A438=$A437,AO437,1)-T438+$D$3))</f>
        <v>#N/A</v>
      </c>
      <c r="AP438" t="e">
        <f>IF(OR($J438=0,COUNTIFS($A$4:$A437,"&gt;="&amp;$A438-1,$A$4:$A437,"&lt;="&amp;$A438,$B$4:$B437,$B438)&gt;0,MIN(AP$1,IF($A438=$A437,AP437,1))-U438&lt;0),-1,MIN(1,IF($A438=$A437,AP437,1)-U438+$D$3))</f>
        <v>#N/A</v>
      </c>
      <c r="AQ438" t="e">
        <f>IF(OR($J438=0,COUNTIFS($A$4:$A437,"&gt;="&amp;$A438-1,$A$4:$A437,"&lt;="&amp;$A438,$B$4:$B437,$B438)&gt;0,MIN(AQ$1,IF($A438=$A437,AQ437,1))-V438&lt;0),-1,MIN(1,IF($A438=$A437,AQ437,1)-V438+$D$3))</f>
        <v>#N/A</v>
      </c>
      <c r="AR438" t="e">
        <f>IF(OR($J438=0,COUNTIFS($A$4:$A437,"&gt;="&amp;$A438-1,$A$4:$A437,"&lt;="&amp;$A438,$B$4:$B437,$B438)&gt;0,MIN(AR$1,IF($A438=$A437,AR437,1))-W438&lt;0),-1,MIN(1,IF($A438=$A437,AR437,1)-W438+$D$3))</f>
        <v>#N/A</v>
      </c>
      <c r="AS438" t="e">
        <f>IF(OR($J438=0,COUNTIFS($A$4:$A437,"&gt;="&amp;$A438-1,$A$4:$A437,"&lt;="&amp;$A438,$B$4:$B437,$B438)&gt;0,MIN(AS$1,IF($A438=$A437,AS437,1))-X438&lt;0),-1,MIN(1,IF($A438=$A437,AS437,1)-X438+$D$3))</f>
        <v>#N/A</v>
      </c>
      <c r="AT438" t="e">
        <f>IF(OR($J438=0,COUNTIFS($A$4:$A437,"&gt;="&amp;$A438-1,$A$4:$A437,"&lt;="&amp;$A438,$B$4:$B437,$B438)&gt;0,MIN(AT$1,IF($A438=$A437,AT437,1))-Y438&lt;0),-1,MIN(1,IF($A438=$A437,AT437,1)-Y438+$D$3))</f>
        <v>#N/A</v>
      </c>
      <c r="AU438" t="e">
        <f>IF(OR($J438=0,COUNTIFS($A$4:$A437,"&gt;="&amp;$A438-1,$A$4:$A437,"&lt;="&amp;$A438,$B$4:$B437,$B438)&gt;0,MIN(AU$1,IF($A438=$A437,AU437,1))-Z438&lt;0),-1,MIN(1,IF($A438=$A437,AU437,1)-Z438+$D$3))</f>
        <v>#N/A</v>
      </c>
      <c r="AV438" t="e">
        <f>IF(OR($J438=0,COUNTIFS($A$4:$A437,"&gt;="&amp;$A438-1,$A$4:$A437,"&lt;="&amp;$A438,$B$4:$B437,$B438)&gt;0,MIN(AV$1,IF($A438=$A437,AV437,1))-AA438&lt;0),-1,MIN(1,IF($A438=$A437,AV437,1)-AA438+$D$3))</f>
        <v>#N/A</v>
      </c>
      <c r="AW438" t="e">
        <f>IF(OR($J438=0,COUNTIFS($A$4:$A437,"&gt;="&amp;$A438-1,$A$4:$A437,"&lt;="&amp;$A438,$B$4:$B437,$B438)&gt;0,MIN(AW$1,IF($A438=$A437,AW437,1))-AB438&lt;0),-1,MIN(1,IF($A438=$A437,AW437,1)-AB438+$D$3))</f>
        <v>#N/A</v>
      </c>
      <c r="AX438" t="e">
        <f>IF(OR($J438=0,COUNTIFS($A$4:$A437,"&gt;="&amp;$A438-1,$A$4:$A437,"&lt;="&amp;$A438,$B$4:$B437,$B438)&gt;0,MIN(AX$1,IF($A438=$A437,AX437,1))-AC438&lt;0),-1,MIN(1,IF($A438=$A437,AX437,1)-AC438+$D$3))</f>
        <v>#N/A</v>
      </c>
      <c r="AY438" t="e">
        <f>IF(OR($J438=0,COUNTIFS($A$4:$A437,"&gt;="&amp;$A438-1,$A$4:$A437,"&lt;="&amp;$A438,$B$4:$B437,$B438)&gt;0,MIN(AY$1,IF($A438=$A437,AY437,1))-AD438&lt;0),-1,MIN(1,IF($A438=$A437,AY437,1)-AD438+$D$3))</f>
        <v>#N/A</v>
      </c>
      <c r="AZ438" t="e">
        <f>IF(OR($J438=0,COUNTIFS($A$4:$A437,"&gt;="&amp;$A438-1,$A$4:$A437,"&lt;="&amp;$A438,$B$4:$B437,$B438)&gt;0,MIN(AZ$1,IF($A438=$A437,AZ437,1))-AE438&lt;0),-1,MIN(1,IF($A438=$A437,AZ437,1)-AE438+$D$3))</f>
        <v>#N/A</v>
      </c>
      <c r="BA438" t="e">
        <f>IF(OR($J438=0,COUNTIFS($A$4:$A437,"&gt;="&amp;$A438-1,$A$4:$A437,"&lt;="&amp;$A438,$B$4:$B437,$B438)&gt;0,MIN(BA$1,IF($A438=$A437,BA437,1))-AF438&lt;0),-1,MIN(1,IF($A438=$A437,BA437,1)-AF438+$D$3))</f>
        <v>#N/A</v>
      </c>
      <c r="BB438" t="e">
        <f>IF(OR($J438=0,COUNTIFS($A$4:$A437,"&gt;="&amp;$A438-1,$A$4:$A437,"&lt;="&amp;$A438,$B$4:$B437,$B438)&gt;0,MIN(BB$1,IF($A438=$A437,BB437,1))-AG438&lt;0),-1,MIN(1,IF($A438=$A437,BB437,1)-AG438+$D$3))</f>
        <v>#N/A</v>
      </c>
      <c r="BC438" t="e">
        <f>IF(OR($J438=0,COUNTIFS($A$4:$A437,"&gt;="&amp;$A438-1,$A$4:$A437,"&lt;="&amp;$A438,$B$4:$B437,$B438)&gt;0,MIN(BC$1,IF($A438=$A437,BC437,1))-AH438&lt;0),-1,MIN(1,IF($A438=$A437,BC437,1)-AH438+$D$3))</f>
        <v>#N/A</v>
      </c>
      <c r="BD438" t="e">
        <f>IF(OR($J438=0,COUNTIFS($A$4:$A437,"&gt;="&amp;$A438-1,$A$4:$A437,"&lt;="&amp;$A438,$B$4:$B437,$B438)&gt;0,MIN(BD$1,IF($A438=$A437,BD437,1))-AI438&lt;0),-1,MIN(1,IF($A438=$A437,BD437,1)-AI438+$D$3))</f>
        <v>#N/A</v>
      </c>
      <c r="BF438" s="44">
        <f t="shared" si="443"/>
        <v>4.5535550268462076E-10</v>
      </c>
      <c r="BG438" s="44">
        <f t="shared" si="444"/>
        <v>1.1198476738916141E-9</v>
      </c>
      <c r="BH438" s="44">
        <f t="shared" si="445"/>
        <v>1.1477260693000915E-9</v>
      </c>
      <c r="BI438" s="44">
        <f t="shared" si="446"/>
        <v>1.0601802353414894E-9</v>
      </c>
      <c r="BJ438" s="44">
        <f t="shared" si="447"/>
        <v>1.095796922453628E-9</v>
      </c>
      <c r="BK438" s="44">
        <f t="shared" si="448"/>
        <v>4.7057605522364384E-10</v>
      </c>
      <c r="BL438" s="44">
        <f t="shared" si="449"/>
        <v>2.5421258831985794E-10</v>
      </c>
      <c r="BM438" s="44">
        <f t="shared" si="450"/>
        <v>6.4668713900162831E-10</v>
      </c>
      <c r="BN438" s="44">
        <f t="shared" si="451"/>
        <v>6.7260502437033935E-10</v>
      </c>
      <c r="BO438" s="44">
        <f t="shared" si="452"/>
        <v>3.1520823685123986E-10</v>
      </c>
      <c r="BP438" s="44">
        <f t="shared" si="453"/>
        <v>1.0598806735102329E-9</v>
      </c>
      <c r="BQ438" s="44">
        <f t="shared" si="454"/>
        <v>2.8601791969205503E-10</v>
      </c>
      <c r="BR438" s="44">
        <f t="shared" si="455"/>
        <v>8.4496853254323038E-10</v>
      </c>
      <c r="BS438" s="44">
        <f t="shared" si="456"/>
        <v>4.5570274242918233E-10</v>
      </c>
      <c r="BT438" s="44">
        <f t="shared" si="457"/>
        <v>1.8033554595202852E-9</v>
      </c>
      <c r="BU438" s="44">
        <f t="shared" si="458"/>
        <v>1.7227471142397083E-9</v>
      </c>
      <c r="BV438" s="44">
        <f t="shared" si="459"/>
        <v>1.6544693326782486E-9</v>
      </c>
      <c r="BW438" s="44">
        <f t="shared" si="460"/>
        <v>1.0821139897092314E-9</v>
      </c>
      <c r="BX438" s="44">
        <f t="shared" si="461"/>
        <v>7.9944616521621885E-10</v>
      </c>
      <c r="BY438" s="44">
        <f t="shared" si="462"/>
        <v>6.8641641874140837E-10</v>
      </c>
      <c r="CA438" s="44" t="str">
        <f t="shared" si="463"/>
        <v/>
      </c>
      <c r="CB438" s="44" t="str">
        <f t="shared" si="464"/>
        <v/>
      </c>
      <c r="CC438" s="44" t="str">
        <f t="shared" si="465"/>
        <v/>
      </c>
      <c r="CD438" s="44" t="str">
        <f t="shared" si="466"/>
        <v/>
      </c>
      <c r="CE438" s="44" t="str">
        <f t="shared" si="467"/>
        <v/>
      </c>
      <c r="CF438" s="44" t="str">
        <f t="shared" si="468"/>
        <v/>
      </c>
      <c r="CG438" s="44" t="str">
        <f t="shared" si="469"/>
        <v/>
      </c>
      <c r="CH438" s="44" t="str">
        <f t="shared" si="470"/>
        <v/>
      </c>
      <c r="CI438" s="44" t="str">
        <f t="shared" si="471"/>
        <v/>
      </c>
      <c r="CJ438" s="44" t="str">
        <f t="shared" si="472"/>
        <v/>
      </c>
      <c r="CK438" s="44" t="str">
        <f t="shared" si="473"/>
        <v/>
      </c>
      <c r="CL438" s="44" t="str">
        <f t="shared" si="474"/>
        <v/>
      </c>
      <c r="CM438" s="44" t="str">
        <f t="shared" si="475"/>
        <v/>
      </c>
      <c r="CN438" s="44" t="str">
        <f t="shared" si="476"/>
        <v/>
      </c>
      <c r="CO438" s="44" t="str">
        <f t="shared" si="477"/>
        <v/>
      </c>
      <c r="CP438" s="44" t="str">
        <f t="shared" si="478"/>
        <v/>
      </c>
      <c r="CQ438" s="44" t="str">
        <f t="shared" si="479"/>
        <v/>
      </c>
      <c r="CR438" s="44" t="str">
        <f t="shared" si="480"/>
        <v/>
      </c>
      <c r="CS438" s="44" t="str">
        <f t="shared" si="481"/>
        <v/>
      </c>
      <c r="CT438" s="44" t="str">
        <f t="shared" si="482"/>
        <v/>
      </c>
      <c r="CV438" s="44">
        <f t="shared" si="483"/>
        <v>0</v>
      </c>
    </row>
    <row r="439" spans="1:100" x14ac:dyDescent="0.25">
      <c r="A439" s="41"/>
      <c r="B439" s="42"/>
      <c r="C439" s="43" t="str" cm="1">
        <f t="array" ref="C439">IF(B439="","",INDEX(UWS!$B$10:$B$41,B439))</f>
        <v/>
      </c>
      <c r="D439" s="40" t="str">
        <f t="shared" si="440"/>
        <v/>
      </c>
      <c r="E439" s="69" t="str">
        <f t="shared" si="441"/>
        <v/>
      </c>
      <c r="F439" s="48" cm="1">
        <f t="array" ref="F439">0.1+IFERROR(INDEX($F$5:$F438,SUMPRODUCT(MAX(ROW($C$5:$C438)*($C439=$C$5:$C438))-ROW($A$4)))*0.9^($A439-INDEX($A$5:A438,SUMPRODUCT(MAX(ROW($C$5:$C438)*($C439=$C$5:$C438))-ROW($A$4)))),0)</f>
        <v>37.400000000000261</v>
      </c>
      <c r="G439" s="55" t="e">
        <f>INDEX(UWS!$AB$10:$AB$41,MATCH(C439,UWS!$B$10:$B$41,0))</f>
        <v>#N/A</v>
      </c>
      <c r="H439" s="48" t="e">
        <f>INDEX(UWS!$C$10:$C$41,MATCH(C439,UWS!$B$10:$B$41,0))</f>
        <v>#N/A</v>
      </c>
      <c r="I439" s="27">
        <f t="shared" si="442"/>
        <v>5</v>
      </c>
      <c r="J439" s="27" t="e">
        <f>INDEX(UWS!$E$10:$E$41,MATCH(C439,UWS!$B$10:$B$41,0))</f>
        <v>#N/A</v>
      </c>
      <c r="L439" s="108" t="str" cm="1">
        <f t="array" ref="L439">IF(K439="","",INDEX(UWS!$B$10:$B$41,K439))</f>
        <v/>
      </c>
      <c r="N439" s="108" t="str" cm="1">
        <f t="array" ref="N439">IF(M439="","",INDEX(UWS!$B$10:$B$41,M439))</f>
        <v/>
      </c>
      <c r="P439">
        <f>IFERROR(INDEX(UWS!$G$10:$Z$41,MATCH($C439,UWS!$B$10:$B$41,0),MATCH(P$4,UWS!$G$3:$Z$3,0)),0)</f>
        <v>0</v>
      </c>
      <c r="Q439">
        <f>IFERROR(INDEX(UWS!$G$10:$Z$41,MATCH($C439,UWS!$B$10:$B$41,0),MATCH(Q$4,UWS!$G$3:$Z$3,0)),0)</f>
        <v>0</v>
      </c>
      <c r="R439">
        <f>IFERROR(INDEX(UWS!$G$10:$Z$41,MATCH($C439,UWS!$B$10:$B$41,0),MATCH(R$4,UWS!$G$3:$Z$3,0)),0)</f>
        <v>0</v>
      </c>
      <c r="S439">
        <f>IFERROR(INDEX(UWS!$G$10:$Z$41,MATCH($C439,UWS!$B$10:$B$41,0),MATCH(S$4,UWS!$G$3:$Z$3,0)),0)</f>
        <v>0</v>
      </c>
      <c r="T439">
        <f>IFERROR(INDEX(UWS!$G$10:$Z$41,MATCH($C439,UWS!$B$10:$B$41,0),MATCH(T$4,UWS!$G$3:$Z$3,0)),0)</f>
        <v>0</v>
      </c>
      <c r="U439">
        <f>IFERROR(INDEX(UWS!$G$10:$Z$41,MATCH($C439,UWS!$B$10:$B$41,0),MATCH(U$4,UWS!$G$3:$Z$3,0)),0)</f>
        <v>0</v>
      </c>
      <c r="V439">
        <f>IFERROR(INDEX(UWS!$G$10:$Z$41,MATCH($C439,UWS!$B$10:$B$41,0),MATCH(V$4,UWS!$G$3:$Z$3,0)),0)</f>
        <v>0</v>
      </c>
      <c r="W439">
        <f>IFERROR(INDEX(UWS!$G$10:$Z$41,MATCH($C439,UWS!$B$10:$B$41,0),MATCH(W$4,UWS!$G$3:$Z$3,0)),0)</f>
        <v>0</v>
      </c>
      <c r="X439">
        <f>IFERROR(INDEX(UWS!$G$10:$Z$41,MATCH($C439,UWS!$B$10:$B$41,0),MATCH(X$4,UWS!$G$3:$Z$3,0)),0)</f>
        <v>0</v>
      </c>
      <c r="Y439">
        <f>IFERROR(INDEX(UWS!$G$10:$Z$41,MATCH($C439,UWS!$B$10:$B$41,0),MATCH(Y$4,UWS!$G$3:$Z$3,0)),0)</f>
        <v>0</v>
      </c>
      <c r="Z439">
        <f>IFERROR(INDEX(UWS!$G$10:$Z$41,MATCH($C439,UWS!$B$10:$B$41,0),MATCH(Z$4,UWS!$G$3:$Z$3,0)),0)</f>
        <v>0</v>
      </c>
      <c r="AA439">
        <f>IFERROR(INDEX(UWS!$G$10:$Z$41,MATCH($C439,UWS!$B$10:$B$41,0),MATCH(AA$4,UWS!$G$3:$Z$3,0)),0)</f>
        <v>0</v>
      </c>
      <c r="AB439">
        <f>IFERROR(INDEX(UWS!$G$10:$Z$41,MATCH($C439,UWS!$B$10:$B$41,0),MATCH(AB$4,UWS!$G$3:$Z$3,0)),0)</f>
        <v>0</v>
      </c>
      <c r="AC439">
        <f>IFERROR(INDEX(UWS!$G$10:$Z$41,MATCH($C439,UWS!$B$10:$B$41,0),MATCH(AC$4,UWS!$G$3:$Z$3,0)),0)</f>
        <v>0</v>
      </c>
      <c r="AD439">
        <f>IFERROR(INDEX(UWS!$G$10:$Z$41,MATCH($C439,UWS!$B$10:$B$41,0),MATCH(AD$4,UWS!$G$3:$Z$3,0)),0)</f>
        <v>0</v>
      </c>
      <c r="AE439">
        <f>IFERROR(INDEX(UWS!$G$10:$Z$41,MATCH($C439,UWS!$B$10:$B$41,0),MATCH(AE$4,UWS!$G$3:$Z$3,0)),0)</f>
        <v>0</v>
      </c>
      <c r="AF439">
        <f>IFERROR(INDEX(UWS!$G$10:$Z$41,MATCH($C439,UWS!$B$10:$B$41,0),MATCH(AF$4,UWS!$G$3:$Z$3,0)),0)</f>
        <v>0</v>
      </c>
      <c r="AG439">
        <f>IFERROR(INDEX(UWS!$G$10:$Z$41,MATCH($C439,UWS!$B$10:$B$41,0),MATCH(AG$4,UWS!$G$3:$Z$3,0)),0)</f>
        <v>0</v>
      </c>
      <c r="AH439">
        <f>IFERROR(INDEX(UWS!$G$10:$Z$41,MATCH($C439,UWS!$B$10:$B$41,0),MATCH(AH$4,UWS!$G$3:$Z$3,0)),0)</f>
        <v>0</v>
      </c>
      <c r="AI439">
        <f>IFERROR(INDEX(UWS!$G$10:$Z$41,MATCH($C439,UWS!$B$10:$B$41,0),MATCH(AI$4,UWS!$G$3:$Z$3,0)),0)</f>
        <v>0</v>
      </c>
      <c r="AK439" t="e">
        <f>IF(OR($J439=0,COUNTIFS($A$4:$A438,"&gt;="&amp;$A439-1,$A$4:$A438,"&lt;="&amp;$A439,$B$4:$B438,$B439)&gt;0,MIN(AK$1,IF($A439=$A438,AK438,1))-P439&lt;0),-1,MIN(1,IF($A439=$A438,AK438,1)-P439+$D$3))</f>
        <v>#N/A</v>
      </c>
      <c r="AL439" t="e">
        <f>IF(OR($J439=0,COUNTIFS($A$4:$A438,"&gt;="&amp;$A439-1,$A$4:$A438,"&lt;="&amp;$A439,$B$4:$B438,$B439)&gt;0,MIN(AL$1,IF($A439=$A438,AL438,1))-Q439&lt;0),-1,MIN(1,IF($A439=$A438,AL438,1)-Q439+$D$3))</f>
        <v>#N/A</v>
      </c>
      <c r="AM439" t="e">
        <f>IF(OR($J439=0,COUNTIFS($A$4:$A438,"&gt;="&amp;$A439-1,$A$4:$A438,"&lt;="&amp;$A439,$B$4:$B438,$B439)&gt;0,MIN(AM$1,IF($A439=$A438,AM438,1))-R439&lt;0),-1,MIN(1,IF($A439=$A438,AM438,1)-R439+$D$3))</f>
        <v>#N/A</v>
      </c>
      <c r="AN439" t="e">
        <f>IF(OR($J439=0,COUNTIFS($A$4:$A438,"&gt;="&amp;$A439-1,$A$4:$A438,"&lt;="&amp;$A439,$B$4:$B438,$B439)&gt;0,MIN(AN$1,IF($A439=$A438,AN438,1))-S439&lt;0),-1,MIN(1,IF($A439=$A438,AN438,1)-S439+$D$3))</f>
        <v>#N/A</v>
      </c>
      <c r="AO439" t="e">
        <f>IF(OR($J439=0,COUNTIFS($A$4:$A438,"&gt;="&amp;$A439-1,$A$4:$A438,"&lt;="&amp;$A439,$B$4:$B438,$B439)&gt;0,MIN(AO$1,IF($A439=$A438,AO438,1))-T439&lt;0),-1,MIN(1,IF($A439=$A438,AO438,1)-T439+$D$3))</f>
        <v>#N/A</v>
      </c>
      <c r="AP439" t="e">
        <f>IF(OR($J439=0,COUNTIFS($A$4:$A438,"&gt;="&amp;$A439-1,$A$4:$A438,"&lt;="&amp;$A439,$B$4:$B438,$B439)&gt;0,MIN(AP$1,IF($A439=$A438,AP438,1))-U439&lt;0),-1,MIN(1,IF($A439=$A438,AP438,1)-U439+$D$3))</f>
        <v>#N/A</v>
      </c>
      <c r="AQ439" t="e">
        <f>IF(OR($J439=0,COUNTIFS($A$4:$A438,"&gt;="&amp;$A439-1,$A$4:$A438,"&lt;="&amp;$A439,$B$4:$B438,$B439)&gt;0,MIN(AQ$1,IF($A439=$A438,AQ438,1))-V439&lt;0),-1,MIN(1,IF($A439=$A438,AQ438,1)-V439+$D$3))</f>
        <v>#N/A</v>
      </c>
      <c r="AR439" t="e">
        <f>IF(OR($J439=0,COUNTIFS($A$4:$A438,"&gt;="&amp;$A439-1,$A$4:$A438,"&lt;="&amp;$A439,$B$4:$B438,$B439)&gt;0,MIN(AR$1,IF($A439=$A438,AR438,1))-W439&lt;0),-1,MIN(1,IF($A439=$A438,AR438,1)-W439+$D$3))</f>
        <v>#N/A</v>
      </c>
      <c r="AS439" t="e">
        <f>IF(OR($J439=0,COUNTIFS($A$4:$A438,"&gt;="&amp;$A439-1,$A$4:$A438,"&lt;="&amp;$A439,$B$4:$B438,$B439)&gt;0,MIN(AS$1,IF($A439=$A438,AS438,1))-X439&lt;0),-1,MIN(1,IF($A439=$A438,AS438,1)-X439+$D$3))</f>
        <v>#N/A</v>
      </c>
      <c r="AT439" t="e">
        <f>IF(OR($J439=0,COUNTIFS($A$4:$A438,"&gt;="&amp;$A439-1,$A$4:$A438,"&lt;="&amp;$A439,$B$4:$B438,$B439)&gt;0,MIN(AT$1,IF($A439=$A438,AT438,1))-Y439&lt;0),-1,MIN(1,IF($A439=$A438,AT438,1)-Y439+$D$3))</f>
        <v>#N/A</v>
      </c>
      <c r="AU439" t="e">
        <f>IF(OR($J439=0,COUNTIFS($A$4:$A438,"&gt;="&amp;$A439-1,$A$4:$A438,"&lt;="&amp;$A439,$B$4:$B438,$B439)&gt;0,MIN(AU$1,IF($A439=$A438,AU438,1))-Z439&lt;0),-1,MIN(1,IF($A439=$A438,AU438,1)-Z439+$D$3))</f>
        <v>#N/A</v>
      </c>
      <c r="AV439" t="e">
        <f>IF(OR($J439=0,COUNTIFS($A$4:$A438,"&gt;="&amp;$A439-1,$A$4:$A438,"&lt;="&amp;$A439,$B$4:$B438,$B439)&gt;0,MIN(AV$1,IF($A439=$A438,AV438,1))-AA439&lt;0),-1,MIN(1,IF($A439=$A438,AV438,1)-AA439+$D$3))</f>
        <v>#N/A</v>
      </c>
      <c r="AW439" t="e">
        <f>IF(OR($J439=0,COUNTIFS($A$4:$A438,"&gt;="&amp;$A439-1,$A$4:$A438,"&lt;="&amp;$A439,$B$4:$B438,$B439)&gt;0,MIN(AW$1,IF($A439=$A438,AW438,1))-AB439&lt;0),-1,MIN(1,IF($A439=$A438,AW438,1)-AB439+$D$3))</f>
        <v>#N/A</v>
      </c>
      <c r="AX439" t="e">
        <f>IF(OR($J439=0,COUNTIFS($A$4:$A438,"&gt;="&amp;$A439-1,$A$4:$A438,"&lt;="&amp;$A439,$B$4:$B438,$B439)&gt;0,MIN(AX$1,IF($A439=$A438,AX438,1))-AC439&lt;0),-1,MIN(1,IF($A439=$A438,AX438,1)-AC439+$D$3))</f>
        <v>#N/A</v>
      </c>
      <c r="AY439" t="e">
        <f>IF(OR($J439=0,COUNTIFS($A$4:$A438,"&gt;="&amp;$A439-1,$A$4:$A438,"&lt;="&amp;$A439,$B$4:$B438,$B439)&gt;0,MIN(AY$1,IF($A439=$A438,AY438,1))-AD439&lt;0),-1,MIN(1,IF($A439=$A438,AY438,1)-AD439+$D$3))</f>
        <v>#N/A</v>
      </c>
      <c r="AZ439" t="e">
        <f>IF(OR($J439=0,COUNTIFS($A$4:$A438,"&gt;="&amp;$A439-1,$A$4:$A438,"&lt;="&amp;$A439,$B$4:$B438,$B439)&gt;0,MIN(AZ$1,IF($A439=$A438,AZ438,1))-AE439&lt;0),-1,MIN(1,IF($A439=$A438,AZ438,1)-AE439+$D$3))</f>
        <v>#N/A</v>
      </c>
      <c r="BA439" t="e">
        <f>IF(OR($J439=0,COUNTIFS($A$4:$A438,"&gt;="&amp;$A439-1,$A$4:$A438,"&lt;="&amp;$A439,$B$4:$B438,$B439)&gt;0,MIN(BA$1,IF($A439=$A438,BA438,1))-AF439&lt;0),-1,MIN(1,IF($A439=$A438,BA438,1)-AF439+$D$3))</f>
        <v>#N/A</v>
      </c>
      <c r="BB439" t="e">
        <f>IF(OR($J439=0,COUNTIFS($A$4:$A438,"&gt;="&amp;$A439-1,$A$4:$A438,"&lt;="&amp;$A439,$B$4:$B438,$B439)&gt;0,MIN(BB$1,IF($A439=$A438,BB438,1))-AG439&lt;0),-1,MIN(1,IF($A439=$A438,BB438,1)-AG439+$D$3))</f>
        <v>#N/A</v>
      </c>
      <c r="BC439" t="e">
        <f>IF(OR($J439=0,COUNTIFS($A$4:$A438,"&gt;="&amp;$A439-1,$A$4:$A438,"&lt;="&amp;$A439,$B$4:$B438,$B439)&gt;0,MIN(BC$1,IF($A439=$A438,BC438,1))-AH439&lt;0),-1,MIN(1,IF($A439=$A438,BC438,1)-AH439+$D$3))</f>
        <v>#N/A</v>
      </c>
      <c r="BD439" t="e">
        <f>IF(OR($J439=0,COUNTIFS($A$4:$A438,"&gt;="&amp;$A439-1,$A$4:$A438,"&lt;="&amp;$A439,$B$4:$B438,$B439)&gt;0,MIN(BD$1,IF($A439=$A438,BD438,1))-AI439&lt;0),-1,MIN(1,IF($A439=$A438,BD438,1)-AI439+$D$3))</f>
        <v>#N/A</v>
      </c>
      <c r="BF439" s="44">
        <f t="shared" si="443"/>
        <v>4.3258772755038968E-10</v>
      </c>
      <c r="BG439" s="44">
        <f t="shared" si="444"/>
        <v>1.0638552901970334E-9</v>
      </c>
      <c r="BH439" s="44">
        <f t="shared" si="445"/>
        <v>1.0903397658350869E-9</v>
      </c>
      <c r="BI439" s="44">
        <f t="shared" si="446"/>
        <v>1.0071712235744149E-9</v>
      </c>
      <c r="BJ439" s="44">
        <f t="shared" si="447"/>
        <v>1.0410070763309466E-9</v>
      </c>
      <c r="BK439" s="44">
        <f t="shared" si="448"/>
        <v>4.470472524624616E-10</v>
      </c>
      <c r="BL439" s="44">
        <f t="shared" si="449"/>
        <v>2.4150195890386501E-10</v>
      </c>
      <c r="BM439" s="44">
        <f t="shared" si="450"/>
        <v>6.1435278205154681E-10</v>
      </c>
      <c r="BN439" s="44">
        <f t="shared" si="451"/>
        <v>6.3897477315182238E-10</v>
      </c>
      <c r="BO439" s="44">
        <f t="shared" si="452"/>
        <v>2.9944782500867786E-10</v>
      </c>
      <c r="BP439" s="44">
        <f t="shared" si="453"/>
        <v>1.0068866398347212E-9</v>
      </c>
      <c r="BQ439" s="44">
        <f t="shared" si="454"/>
        <v>2.7171702370745228E-10</v>
      </c>
      <c r="BR439" s="44">
        <f t="shared" si="455"/>
        <v>8.0272010591606887E-10</v>
      </c>
      <c r="BS439" s="44">
        <f t="shared" si="456"/>
        <v>4.329176053077232E-10</v>
      </c>
      <c r="BT439" s="44">
        <f t="shared" si="457"/>
        <v>1.7131876865442708E-9</v>
      </c>
      <c r="BU439" s="44">
        <f t="shared" si="458"/>
        <v>1.6366097585277227E-9</v>
      </c>
      <c r="BV439" s="44">
        <f t="shared" si="459"/>
        <v>1.5717458660443362E-9</v>
      </c>
      <c r="BW439" s="44">
        <f t="shared" si="460"/>
        <v>1.0280082902237698E-9</v>
      </c>
      <c r="BX439" s="44">
        <f t="shared" si="461"/>
        <v>7.5947385695540789E-10</v>
      </c>
      <c r="BY439" s="44">
        <f t="shared" si="462"/>
        <v>6.5209559780433788E-10</v>
      </c>
      <c r="CA439" s="44" t="str">
        <f t="shared" si="463"/>
        <v/>
      </c>
      <c r="CB439" s="44" t="str">
        <f t="shared" si="464"/>
        <v/>
      </c>
      <c r="CC439" s="44" t="str">
        <f t="shared" si="465"/>
        <v/>
      </c>
      <c r="CD439" s="44" t="str">
        <f t="shared" si="466"/>
        <v/>
      </c>
      <c r="CE439" s="44" t="str">
        <f t="shared" si="467"/>
        <v/>
      </c>
      <c r="CF439" s="44" t="str">
        <f t="shared" si="468"/>
        <v/>
      </c>
      <c r="CG439" s="44" t="str">
        <f t="shared" si="469"/>
        <v/>
      </c>
      <c r="CH439" s="44" t="str">
        <f t="shared" si="470"/>
        <v/>
      </c>
      <c r="CI439" s="44" t="str">
        <f t="shared" si="471"/>
        <v/>
      </c>
      <c r="CJ439" s="44" t="str">
        <f t="shared" si="472"/>
        <v/>
      </c>
      <c r="CK439" s="44" t="str">
        <f t="shared" si="473"/>
        <v/>
      </c>
      <c r="CL439" s="44" t="str">
        <f t="shared" si="474"/>
        <v/>
      </c>
      <c r="CM439" s="44" t="str">
        <f t="shared" si="475"/>
        <v/>
      </c>
      <c r="CN439" s="44" t="str">
        <f t="shared" si="476"/>
        <v/>
      </c>
      <c r="CO439" s="44" t="str">
        <f t="shared" si="477"/>
        <v/>
      </c>
      <c r="CP439" s="44" t="str">
        <f t="shared" si="478"/>
        <v/>
      </c>
      <c r="CQ439" s="44" t="str">
        <f t="shared" si="479"/>
        <v/>
      </c>
      <c r="CR439" s="44" t="str">
        <f t="shared" si="480"/>
        <v/>
      </c>
      <c r="CS439" s="44" t="str">
        <f t="shared" si="481"/>
        <v/>
      </c>
      <c r="CT439" s="44" t="str">
        <f t="shared" si="482"/>
        <v/>
      </c>
      <c r="CV439" s="44">
        <f t="shared" si="483"/>
        <v>0</v>
      </c>
    </row>
    <row r="440" spans="1:100" x14ac:dyDescent="0.25">
      <c r="A440" s="49"/>
      <c r="B440" s="50"/>
      <c r="C440" s="51" t="str" cm="1">
        <f t="array" ref="C440">IF(B440="","",INDEX(UWS!$B$10:$B$41,B440))</f>
        <v/>
      </c>
      <c r="D440" s="45" t="str">
        <f t="shared" si="440"/>
        <v/>
      </c>
      <c r="E440" s="70" t="str">
        <f t="shared" si="441"/>
        <v/>
      </c>
      <c r="F440" s="52" cm="1">
        <f t="array" ref="F440">0.1+IFERROR(INDEX($F$5:$F439,SUMPRODUCT(MAX(ROW($C$5:$C439)*($C440=$C$5:$C439))-ROW($A$4)))*0.9^($A440-INDEX($A$5:A439,SUMPRODUCT(MAX(ROW($C$5:$C439)*($C440=$C$5:$C439))-ROW($A$4)))),0)</f>
        <v>37.500000000000263</v>
      </c>
      <c r="G440" s="56" t="e">
        <f>INDEX(UWS!$AB$10:$AB$41,MATCH(C440,UWS!$B$10:$B$41,0))</f>
        <v>#N/A</v>
      </c>
      <c r="H440" s="52" t="e">
        <f>INDEX(UWS!$C$10:$C$41,MATCH(C440,UWS!$B$10:$B$41,0))</f>
        <v>#N/A</v>
      </c>
      <c r="I440" s="46">
        <f t="shared" si="442"/>
        <v>5</v>
      </c>
      <c r="J440" s="46" t="e">
        <f>INDEX(UWS!$E$10:$E$41,MATCH(C440,UWS!$B$10:$B$41,0))</f>
        <v>#N/A</v>
      </c>
      <c r="K440" s="46"/>
      <c r="L440" s="109" t="str" cm="1">
        <f t="array" ref="L440">IF(K440="","",INDEX(UWS!$B$10:$B$41,K440))</f>
        <v/>
      </c>
      <c r="M440" s="46"/>
      <c r="N440" s="109" t="str" cm="1">
        <f t="array" ref="N440">IF(M440="","",INDEX(UWS!$B$10:$B$41,M440))</f>
        <v/>
      </c>
      <c r="O440" s="47"/>
      <c r="P440" s="47">
        <f>IFERROR(INDEX(UWS!$G$10:$Z$41,MATCH($C440,UWS!$B$10:$B$41,0),MATCH(P$4,UWS!$G$3:$Z$3,0)),0)</f>
        <v>0</v>
      </c>
      <c r="Q440" s="47">
        <f>IFERROR(INDEX(UWS!$G$10:$Z$41,MATCH($C440,UWS!$B$10:$B$41,0),MATCH(Q$4,UWS!$G$3:$Z$3,0)),0)</f>
        <v>0</v>
      </c>
      <c r="R440" s="47">
        <f>IFERROR(INDEX(UWS!$G$10:$Z$41,MATCH($C440,UWS!$B$10:$B$41,0),MATCH(R$4,UWS!$G$3:$Z$3,0)),0)</f>
        <v>0</v>
      </c>
      <c r="S440" s="47">
        <f>IFERROR(INDEX(UWS!$G$10:$Z$41,MATCH($C440,UWS!$B$10:$B$41,0),MATCH(S$4,UWS!$G$3:$Z$3,0)),0)</f>
        <v>0</v>
      </c>
      <c r="T440" s="47">
        <f>IFERROR(INDEX(UWS!$G$10:$Z$41,MATCH($C440,UWS!$B$10:$B$41,0),MATCH(T$4,UWS!$G$3:$Z$3,0)),0)</f>
        <v>0</v>
      </c>
      <c r="U440" s="47">
        <f>IFERROR(INDEX(UWS!$G$10:$Z$41,MATCH($C440,UWS!$B$10:$B$41,0),MATCH(U$4,UWS!$G$3:$Z$3,0)),0)</f>
        <v>0</v>
      </c>
      <c r="V440" s="47">
        <f>IFERROR(INDEX(UWS!$G$10:$Z$41,MATCH($C440,UWS!$B$10:$B$41,0),MATCH(V$4,UWS!$G$3:$Z$3,0)),0)</f>
        <v>0</v>
      </c>
      <c r="W440" s="47">
        <f>IFERROR(INDEX(UWS!$G$10:$Z$41,MATCH($C440,UWS!$B$10:$B$41,0),MATCH(W$4,UWS!$G$3:$Z$3,0)),0)</f>
        <v>0</v>
      </c>
      <c r="X440" s="47">
        <f>IFERROR(INDEX(UWS!$G$10:$Z$41,MATCH($C440,UWS!$B$10:$B$41,0),MATCH(X$4,UWS!$G$3:$Z$3,0)),0)</f>
        <v>0</v>
      </c>
      <c r="Y440" s="47">
        <f>IFERROR(INDEX(UWS!$G$10:$Z$41,MATCH($C440,UWS!$B$10:$B$41,0),MATCH(Y$4,UWS!$G$3:$Z$3,0)),0)</f>
        <v>0</v>
      </c>
      <c r="Z440" s="47">
        <f>IFERROR(INDEX(UWS!$G$10:$Z$41,MATCH($C440,UWS!$B$10:$B$41,0),MATCH(Z$4,UWS!$G$3:$Z$3,0)),0)</f>
        <v>0</v>
      </c>
      <c r="AA440" s="47">
        <f>IFERROR(INDEX(UWS!$G$10:$Z$41,MATCH($C440,UWS!$B$10:$B$41,0),MATCH(AA$4,UWS!$G$3:$Z$3,0)),0)</f>
        <v>0</v>
      </c>
      <c r="AB440" s="47">
        <f>IFERROR(INDEX(UWS!$G$10:$Z$41,MATCH($C440,UWS!$B$10:$B$41,0),MATCH(AB$4,UWS!$G$3:$Z$3,0)),0)</f>
        <v>0</v>
      </c>
      <c r="AC440" s="47">
        <f>IFERROR(INDEX(UWS!$G$10:$Z$41,MATCH($C440,UWS!$B$10:$B$41,0),MATCH(AC$4,UWS!$G$3:$Z$3,0)),0)</f>
        <v>0</v>
      </c>
      <c r="AD440" s="47">
        <f>IFERROR(INDEX(UWS!$G$10:$Z$41,MATCH($C440,UWS!$B$10:$B$41,0),MATCH(AD$4,UWS!$G$3:$Z$3,0)),0)</f>
        <v>0</v>
      </c>
      <c r="AE440" s="47">
        <f>IFERROR(INDEX(UWS!$G$10:$Z$41,MATCH($C440,UWS!$B$10:$B$41,0),MATCH(AE$4,UWS!$G$3:$Z$3,0)),0)</f>
        <v>0</v>
      </c>
      <c r="AF440" s="47">
        <f>IFERROR(INDEX(UWS!$G$10:$Z$41,MATCH($C440,UWS!$B$10:$B$41,0),MATCH(AF$4,UWS!$G$3:$Z$3,0)),0)</f>
        <v>0</v>
      </c>
      <c r="AG440" s="47">
        <f>IFERROR(INDEX(UWS!$G$10:$Z$41,MATCH($C440,UWS!$B$10:$B$41,0),MATCH(AG$4,UWS!$G$3:$Z$3,0)),0)</f>
        <v>0</v>
      </c>
      <c r="AH440" s="47">
        <f>IFERROR(INDEX(UWS!$G$10:$Z$41,MATCH($C440,UWS!$B$10:$B$41,0),MATCH(AH$4,UWS!$G$3:$Z$3,0)),0)</f>
        <v>0</v>
      </c>
      <c r="AI440" s="47">
        <f>IFERROR(INDEX(UWS!$G$10:$Z$41,MATCH($C440,UWS!$B$10:$B$41,0),MATCH(AI$4,UWS!$G$3:$Z$3,0)),0)</f>
        <v>0</v>
      </c>
      <c r="AJ440" s="47"/>
      <c r="AK440" s="47" t="e">
        <f>IF(OR($J440=0,COUNTIFS($A$4:$A439,"&gt;="&amp;$A440-1,$A$4:$A439,"&lt;="&amp;$A440,$B$4:$B439,$B440)&gt;0,MIN(AK$1,IF($A440=$A439,AK439,1))-P440&lt;0),-1,MIN(1,IF($A440=$A439,AK439,1)-P440+$D$3))</f>
        <v>#N/A</v>
      </c>
      <c r="AL440" s="47" t="e">
        <f>IF(OR($J440=0,COUNTIFS($A$4:$A439,"&gt;="&amp;$A440-1,$A$4:$A439,"&lt;="&amp;$A440,$B$4:$B439,$B440)&gt;0,MIN(AL$1,IF($A440=$A439,AL439,1))-Q440&lt;0),-1,MIN(1,IF($A440=$A439,AL439,1)-Q440+$D$3))</f>
        <v>#N/A</v>
      </c>
      <c r="AM440" s="47" t="e">
        <f>IF(OR($J440=0,COUNTIFS($A$4:$A439,"&gt;="&amp;$A440-1,$A$4:$A439,"&lt;="&amp;$A440,$B$4:$B439,$B440)&gt;0,MIN(AM$1,IF($A440=$A439,AM439,1))-R440&lt;0),-1,MIN(1,IF($A440=$A439,AM439,1)-R440+$D$3))</f>
        <v>#N/A</v>
      </c>
      <c r="AN440" s="47" t="e">
        <f>IF(OR($J440=0,COUNTIFS($A$4:$A439,"&gt;="&amp;$A440-1,$A$4:$A439,"&lt;="&amp;$A440,$B$4:$B439,$B440)&gt;0,MIN(AN$1,IF($A440=$A439,AN439,1))-S440&lt;0),-1,MIN(1,IF($A440=$A439,AN439,1)-S440+$D$3))</f>
        <v>#N/A</v>
      </c>
      <c r="AO440" s="47" t="e">
        <f>IF(OR($J440=0,COUNTIFS($A$4:$A439,"&gt;="&amp;$A440-1,$A$4:$A439,"&lt;="&amp;$A440,$B$4:$B439,$B440)&gt;0,MIN(AO$1,IF($A440=$A439,AO439,1))-T440&lt;0),-1,MIN(1,IF($A440=$A439,AO439,1)-T440+$D$3))</f>
        <v>#N/A</v>
      </c>
      <c r="AP440" s="47" t="e">
        <f>IF(OR($J440=0,COUNTIFS($A$4:$A439,"&gt;="&amp;$A440-1,$A$4:$A439,"&lt;="&amp;$A440,$B$4:$B439,$B440)&gt;0,MIN(AP$1,IF($A440=$A439,AP439,1))-U440&lt;0),-1,MIN(1,IF($A440=$A439,AP439,1)-U440+$D$3))</f>
        <v>#N/A</v>
      </c>
      <c r="AQ440" s="47" t="e">
        <f>IF(OR($J440=0,COUNTIFS($A$4:$A439,"&gt;="&amp;$A440-1,$A$4:$A439,"&lt;="&amp;$A440,$B$4:$B439,$B440)&gt;0,MIN(AQ$1,IF($A440=$A439,AQ439,1))-V440&lt;0),-1,MIN(1,IF($A440=$A439,AQ439,1)-V440+$D$3))</f>
        <v>#N/A</v>
      </c>
      <c r="AR440" s="47" t="e">
        <f>IF(OR($J440=0,COUNTIFS($A$4:$A439,"&gt;="&amp;$A440-1,$A$4:$A439,"&lt;="&amp;$A440,$B$4:$B439,$B440)&gt;0,MIN(AR$1,IF($A440=$A439,AR439,1))-W440&lt;0),-1,MIN(1,IF($A440=$A439,AR439,1)-W440+$D$3))</f>
        <v>#N/A</v>
      </c>
      <c r="AS440" s="47" t="e">
        <f>IF(OR($J440=0,COUNTIFS($A$4:$A439,"&gt;="&amp;$A440-1,$A$4:$A439,"&lt;="&amp;$A440,$B$4:$B439,$B440)&gt;0,MIN(AS$1,IF($A440=$A439,AS439,1))-X440&lt;0),-1,MIN(1,IF($A440=$A439,AS439,1)-X440+$D$3))</f>
        <v>#N/A</v>
      </c>
      <c r="AT440" s="47" t="e">
        <f>IF(OR($J440=0,COUNTIFS($A$4:$A439,"&gt;="&amp;$A440-1,$A$4:$A439,"&lt;="&amp;$A440,$B$4:$B439,$B440)&gt;0,MIN(AT$1,IF($A440=$A439,AT439,1))-Y440&lt;0),-1,MIN(1,IF($A440=$A439,AT439,1)-Y440+$D$3))</f>
        <v>#N/A</v>
      </c>
      <c r="AU440" s="47" t="e">
        <f>IF(OR($J440=0,COUNTIFS($A$4:$A439,"&gt;="&amp;$A440-1,$A$4:$A439,"&lt;="&amp;$A440,$B$4:$B439,$B440)&gt;0,MIN(AU$1,IF($A440=$A439,AU439,1))-Z440&lt;0),-1,MIN(1,IF($A440=$A439,AU439,1)-Z440+$D$3))</f>
        <v>#N/A</v>
      </c>
      <c r="AV440" s="47" t="e">
        <f>IF(OR($J440=0,COUNTIFS($A$4:$A439,"&gt;="&amp;$A440-1,$A$4:$A439,"&lt;="&amp;$A440,$B$4:$B439,$B440)&gt;0,MIN(AV$1,IF($A440=$A439,AV439,1))-AA440&lt;0),-1,MIN(1,IF($A440=$A439,AV439,1)-AA440+$D$3))</f>
        <v>#N/A</v>
      </c>
      <c r="AW440" s="47" t="e">
        <f>IF(OR($J440=0,COUNTIFS($A$4:$A439,"&gt;="&amp;$A440-1,$A$4:$A439,"&lt;="&amp;$A440,$B$4:$B439,$B440)&gt;0,MIN(AW$1,IF($A440=$A439,AW439,1))-AB440&lt;0),-1,MIN(1,IF($A440=$A439,AW439,1)-AB440+$D$3))</f>
        <v>#N/A</v>
      </c>
      <c r="AX440" s="47" t="e">
        <f>IF(OR($J440=0,COUNTIFS($A$4:$A439,"&gt;="&amp;$A440-1,$A$4:$A439,"&lt;="&amp;$A440,$B$4:$B439,$B440)&gt;0,MIN(AX$1,IF($A440=$A439,AX439,1))-AC440&lt;0),-1,MIN(1,IF($A440=$A439,AX439,1)-AC440+$D$3))</f>
        <v>#N/A</v>
      </c>
      <c r="AY440" s="47" t="e">
        <f>IF(OR($J440=0,COUNTIFS($A$4:$A439,"&gt;="&amp;$A440-1,$A$4:$A439,"&lt;="&amp;$A440,$B$4:$B439,$B440)&gt;0,MIN(AY$1,IF($A440=$A439,AY439,1))-AD440&lt;0),-1,MIN(1,IF($A440=$A439,AY439,1)-AD440+$D$3))</f>
        <v>#N/A</v>
      </c>
      <c r="AZ440" s="47" t="e">
        <f>IF(OR($J440=0,COUNTIFS($A$4:$A439,"&gt;="&amp;$A440-1,$A$4:$A439,"&lt;="&amp;$A440,$B$4:$B439,$B440)&gt;0,MIN(AZ$1,IF($A440=$A439,AZ439,1))-AE440&lt;0),-1,MIN(1,IF($A440=$A439,AZ439,1)-AE440+$D$3))</f>
        <v>#N/A</v>
      </c>
      <c r="BA440" s="47" t="e">
        <f>IF(OR($J440=0,COUNTIFS($A$4:$A439,"&gt;="&amp;$A440-1,$A$4:$A439,"&lt;="&amp;$A440,$B$4:$B439,$B440)&gt;0,MIN(BA$1,IF($A440=$A439,BA439,1))-AF440&lt;0),-1,MIN(1,IF($A440=$A439,BA439,1)-AF440+$D$3))</f>
        <v>#N/A</v>
      </c>
      <c r="BB440" s="47" t="e">
        <f>IF(OR($J440=0,COUNTIFS($A$4:$A439,"&gt;="&amp;$A440-1,$A$4:$A439,"&lt;="&amp;$A440,$B$4:$B439,$B440)&gt;0,MIN(BB$1,IF($A440=$A439,BB439,1))-AG440&lt;0),-1,MIN(1,IF($A440=$A439,BB439,1)-AG440+$D$3))</f>
        <v>#N/A</v>
      </c>
      <c r="BC440" s="47" t="e">
        <f>IF(OR($J440=0,COUNTIFS($A$4:$A439,"&gt;="&amp;$A440-1,$A$4:$A439,"&lt;="&amp;$A440,$B$4:$B439,$B440)&gt;0,MIN(BC$1,IF($A440=$A439,BC439,1))-AH440&lt;0),-1,MIN(1,IF($A440=$A439,BC439,1)-AH440+$D$3))</f>
        <v>#N/A</v>
      </c>
      <c r="BD440" s="47" t="e">
        <f>IF(OR($J440=0,COUNTIFS($A$4:$A439,"&gt;="&amp;$A440-1,$A$4:$A439,"&lt;="&amp;$A440,$B$4:$B439,$B440)&gt;0,MIN(BD$1,IF($A440=$A439,BD439,1))-AI440&lt;0),-1,MIN(1,IF($A440=$A439,BD439,1)-AI440+$D$3))</f>
        <v>#N/A</v>
      </c>
      <c r="BE440" s="47"/>
      <c r="BF440" s="53">
        <f t="shared" si="443"/>
        <v>4.1095834117287019E-10</v>
      </c>
      <c r="BG440" s="53">
        <f t="shared" si="444"/>
        <v>1.0106625256871816E-9</v>
      </c>
      <c r="BH440" s="53">
        <f t="shared" si="445"/>
        <v>1.0358227775433325E-9</v>
      </c>
      <c r="BI440" s="53">
        <f t="shared" si="446"/>
        <v>9.5681266239569413E-10</v>
      </c>
      <c r="BJ440" s="53">
        <f t="shared" si="447"/>
        <v>9.8895672251439924E-10</v>
      </c>
      <c r="BK440" s="53">
        <f t="shared" si="448"/>
        <v>4.2469488983933849E-10</v>
      </c>
      <c r="BL440" s="53">
        <f t="shared" si="449"/>
        <v>2.2942686095867175E-10</v>
      </c>
      <c r="BM440" s="53">
        <f t="shared" si="450"/>
        <v>5.8363514294896943E-10</v>
      </c>
      <c r="BN440" s="53">
        <f t="shared" si="451"/>
        <v>6.0702603449423121E-10</v>
      </c>
      <c r="BO440" s="53">
        <f t="shared" si="452"/>
        <v>2.8447543375824398E-10</v>
      </c>
      <c r="BP440" s="53">
        <f t="shared" si="453"/>
        <v>9.5654230784298515E-10</v>
      </c>
      <c r="BQ440" s="53">
        <f t="shared" si="454"/>
        <v>2.5813117252207964E-10</v>
      </c>
      <c r="BR440" s="53">
        <f t="shared" si="455"/>
        <v>7.6258410062026534E-10</v>
      </c>
      <c r="BS440" s="53">
        <f t="shared" si="456"/>
        <v>4.1127172504233702E-10</v>
      </c>
      <c r="BT440" s="53">
        <f t="shared" si="457"/>
        <v>1.6275283022170572E-9</v>
      </c>
      <c r="BU440" s="53">
        <f t="shared" si="458"/>
        <v>1.5547792706013365E-9</v>
      </c>
      <c r="BV440" s="53">
        <f t="shared" si="459"/>
        <v>1.4931585727421193E-9</v>
      </c>
      <c r="BW440" s="53">
        <f t="shared" si="460"/>
        <v>9.766078757125813E-10</v>
      </c>
      <c r="BX440" s="53">
        <f t="shared" si="461"/>
        <v>7.215001641076375E-10</v>
      </c>
      <c r="BY440" s="53">
        <f t="shared" si="462"/>
        <v>6.1949081791412091E-10</v>
      </c>
      <c r="BZ440" s="47"/>
      <c r="CA440" s="53" t="str">
        <f t="shared" si="463"/>
        <v/>
      </c>
      <c r="CB440" s="53" t="str">
        <f t="shared" si="464"/>
        <v/>
      </c>
      <c r="CC440" s="53" t="str">
        <f t="shared" si="465"/>
        <v/>
      </c>
      <c r="CD440" s="53" t="str">
        <f t="shared" si="466"/>
        <v/>
      </c>
      <c r="CE440" s="53" t="str">
        <f t="shared" si="467"/>
        <v/>
      </c>
      <c r="CF440" s="53" t="str">
        <f t="shared" si="468"/>
        <v/>
      </c>
      <c r="CG440" s="53" t="str">
        <f t="shared" si="469"/>
        <v/>
      </c>
      <c r="CH440" s="53" t="str">
        <f t="shared" si="470"/>
        <v/>
      </c>
      <c r="CI440" s="53" t="str">
        <f t="shared" si="471"/>
        <v/>
      </c>
      <c r="CJ440" s="53" t="str">
        <f t="shared" si="472"/>
        <v/>
      </c>
      <c r="CK440" s="53" t="str">
        <f t="shared" si="473"/>
        <v/>
      </c>
      <c r="CL440" s="53" t="str">
        <f t="shared" si="474"/>
        <v/>
      </c>
      <c r="CM440" s="53" t="str">
        <f t="shared" si="475"/>
        <v/>
      </c>
      <c r="CN440" s="53" t="str">
        <f t="shared" si="476"/>
        <v/>
      </c>
      <c r="CO440" s="53" t="str">
        <f t="shared" si="477"/>
        <v/>
      </c>
      <c r="CP440" s="53" t="str">
        <f t="shared" si="478"/>
        <v/>
      </c>
      <c r="CQ440" s="53" t="str">
        <f t="shared" si="479"/>
        <v/>
      </c>
      <c r="CR440" s="53" t="str">
        <f t="shared" si="480"/>
        <v/>
      </c>
      <c r="CS440" s="53" t="str">
        <f t="shared" si="481"/>
        <v/>
      </c>
      <c r="CT440" s="53" t="str">
        <f t="shared" si="482"/>
        <v/>
      </c>
      <c r="CU440" s="47"/>
      <c r="CV440" s="53">
        <f t="shared" si="483"/>
        <v>0</v>
      </c>
    </row>
    <row r="441" spans="1:100" x14ac:dyDescent="0.25">
      <c r="A441" s="41"/>
      <c r="B441" s="42"/>
      <c r="C441" s="43" t="str" cm="1">
        <f t="array" ref="C441">IF(B441="","",INDEX(UWS!$B$10:$B$41,B441))</f>
        <v/>
      </c>
      <c r="D441" s="40" t="str">
        <f t="shared" si="440"/>
        <v/>
      </c>
      <c r="E441" s="69" t="str">
        <f t="shared" si="441"/>
        <v/>
      </c>
      <c r="F441" s="48" cm="1">
        <f t="array" ref="F441">0.1+IFERROR(INDEX($F$5:$F440,SUMPRODUCT(MAX(ROW($C$5:$C440)*($C441=$C$5:$C440))-ROW($A$4)))*0.9^($A441-INDEX($A$5:A440,SUMPRODUCT(MAX(ROW($C$5:$C440)*($C441=$C$5:$C440))-ROW($A$4)))),0)</f>
        <v>37.600000000000264</v>
      </c>
      <c r="G441" s="55" t="e">
        <f>INDEX(UWS!$AB$10:$AB$41,MATCH(C441,UWS!$B$10:$B$41,0))</f>
        <v>#N/A</v>
      </c>
      <c r="H441" s="48" t="e">
        <f>INDEX(UWS!$C$10:$C$41,MATCH(C441,UWS!$B$10:$B$41,0))</f>
        <v>#N/A</v>
      </c>
      <c r="I441" s="82">
        <f t="shared" si="442"/>
        <v>5</v>
      </c>
      <c r="J441" s="27" t="e">
        <f>INDEX(UWS!$E$10:$E$41,MATCH(C441,UWS!$B$10:$B$41,0))</f>
        <v>#N/A</v>
      </c>
      <c r="L441" s="108" t="str" cm="1">
        <f t="array" ref="L441">IF(K441="","",INDEX(UWS!$B$10:$B$41,K441))</f>
        <v/>
      </c>
      <c r="N441" s="108" t="str" cm="1">
        <f t="array" ref="N441">IF(M441="","",INDEX(UWS!$B$10:$B$41,M441))</f>
        <v/>
      </c>
      <c r="P441">
        <f>IFERROR(INDEX(UWS!$G$10:$Z$41,MATCH($C441,UWS!$B$10:$B$41,0),MATCH(P$4,UWS!$G$3:$Z$3,0)),0)</f>
        <v>0</v>
      </c>
      <c r="Q441">
        <f>IFERROR(INDEX(UWS!$G$10:$Z$41,MATCH($C441,UWS!$B$10:$B$41,0),MATCH(Q$4,UWS!$G$3:$Z$3,0)),0)</f>
        <v>0</v>
      </c>
      <c r="R441">
        <f>IFERROR(INDEX(UWS!$G$10:$Z$41,MATCH($C441,UWS!$B$10:$B$41,0),MATCH(R$4,UWS!$G$3:$Z$3,0)),0)</f>
        <v>0</v>
      </c>
      <c r="S441">
        <f>IFERROR(INDEX(UWS!$G$10:$Z$41,MATCH($C441,UWS!$B$10:$B$41,0),MATCH(S$4,UWS!$G$3:$Z$3,0)),0)</f>
        <v>0</v>
      </c>
      <c r="T441">
        <f>IFERROR(INDEX(UWS!$G$10:$Z$41,MATCH($C441,UWS!$B$10:$B$41,0),MATCH(T$4,UWS!$G$3:$Z$3,0)),0)</f>
        <v>0</v>
      </c>
      <c r="U441">
        <f>IFERROR(INDEX(UWS!$G$10:$Z$41,MATCH($C441,UWS!$B$10:$B$41,0),MATCH(U$4,UWS!$G$3:$Z$3,0)),0)</f>
        <v>0</v>
      </c>
      <c r="V441">
        <f>IFERROR(INDEX(UWS!$G$10:$Z$41,MATCH($C441,UWS!$B$10:$B$41,0),MATCH(V$4,UWS!$G$3:$Z$3,0)),0)</f>
        <v>0</v>
      </c>
      <c r="W441">
        <f>IFERROR(INDEX(UWS!$G$10:$Z$41,MATCH($C441,UWS!$B$10:$B$41,0),MATCH(W$4,UWS!$G$3:$Z$3,0)),0)</f>
        <v>0</v>
      </c>
      <c r="X441">
        <f>IFERROR(INDEX(UWS!$G$10:$Z$41,MATCH($C441,UWS!$B$10:$B$41,0),MATCH(X$4,UWS!$G$3:$Z$3,0)),0)</f>
        <v>0</v>
      </c>
      <c r="Y441">
        <f>IFERROR(INDEX(UWS!$G$10:$Z$41,MATCH($C441,UWS!$B$10:$B$41,0),MATCH(Y$4,UWS!$G$3:$Z$3,0)),0)</f>
        <v>0</v>
      </c>
      <c r="Z441">
        <f>IFERROR(INDEX(UWS!$G$10:$Z$41,MATCH($C441,UWS!$B$10:$B$41,0),MATCH(Z$4,UWS!$G$3:$Z$3,0)),0)</f>
        <v>0</v>
      </c>
      <c r="AA441">
        <f>IFERROR(INDEX(UWS!$G$10:$Z$41,MATCH($C441,UWS!$B$10:$B$41,0),MATCH(AA$4,UWS!$G$3:$Z$3,0)),0)</f>
        <v>0</v>
      </c>
      <c r="AB441">
        <f>IFERROR(INDEX(UWS!$G$10:$Z$41,MATCH($C441,UWS!$B$10:$B$41,0),MATCH(AB$4,UWS!$G$3:$Z$3,0)),0)</f>
        <v>0</v>
      </c>
      <c r="AC441">
        <f>IFERROR(INDEX(UWS!$G$10:$Z$41,MATCH($C441,UWS!$B$10:$B$41,0),MATCH(AC$4,UWS!$G$3:$Z$3,0)),0)</f>
        <v>0</v>
      </c>
      <c r="AD441">
        <f>IFERROR(INDEX(UWS!$G$10:$Z$41,MATCH($C441,UWS!$B$10:$B$41,0),MATCH(AD$4,UWS!$G$3:$Z$3,0)),0)</f>
        <v>0</v>
      </c>
      <c r="AE441">
        <f>IFERROR(INDEX(UWS!$G$10:$Z$41,MATCH($C441,UWS!$B$10:$B$41,0),MATCH(AE$4,UWS!$G$3:$Z$3,0)),0)</f>
        <v>0</v>
      </c>
      <c r="AF441">
        <f>IFERROR(INDEX(UWS!$G$10:$Z$41,MATCH($C441,UWS!$B$10:$B$41,0),MATCH(AF$4,UWS!$G$3:$Z$3,0)),0)</f>
        <v>0</v>
      </c>
      <c r="AG441">
        <f>IFERROR(INDEX(UWS!$G$10:$Z$41,MATCH($C441,UWS!$B$10:$B$41,0),MATCH(AG$4,UWS!$G$3:$Z$3,0)),0)</f>
        <v>0</v>
      </c>
      <c r="AH441">
        <f>IFERROR(INDEX(UWS!$G$10:$Z$41,MATCH($C441,UWS!$B$10:$B$41,0),MATCH(AH$4,UWS!$G$3:$Z$3,0)),0)</f>
        <v>0</v>
      </c>
      <c r="AI441">
        <f>IFERROR(INDEX(UWS!$G$10:$Z$41,MATCH($C441,UWS!$B$10:$B$41,0),MATCH(AI$4,UWS!$G$3:$Z$3,0)),0)</f>
        <v>0</v>
      </c>
      <c r="AK441" t="e">
        <f>IF(OR($J441=0,COUNTIFS($A$4:$A440,"&gt;="&amp;$A441-1,$A$4:$A440,"&lt;="&amp;$A441,$B$4:$B440,$B441)&gt;0,MIN(AK$1,IF($A441=$A440,AK440,1))-P441&lt;0),-1,MIN(1,IF($A441=$A440,AK440,1)-P441+$D$3))</f>
        <v>#N/A</v>
      </c>
      <c r="AL441" t="e">
        <f>IF(OR($J441=0,COUNTIFS($A$4:$A440,"&gt;="&amp;$A441-1,$A$4:$A440,"&lt;="&amp;$A441,$B$4:$B440,$B441)&gt;0,MIN(AL$1,IF($A441=$A440,AL440,1))-Q441&lt;0),-1,MIN(1,IF($A441=$A440,AL440,1)-Q441+$D$3))</f>
        <v>#N/A</v>
      </c>
      <c r="AM441" t="e">
        <f>IF(OR($J441=0,COUNTIFS($A$4:$A440,"&gt;="&amp;$A441-1,$A$4:$A440,"&lt;="&amp;$A441,$B$4:$B440,$B441)&gt;0,MIN(AM$1,IF($A441=$A440,AM440,1))-R441&lt;0),-1,MIN(1,IF($A441=$A440,AM440,1)-R441+$D$3))</f>
        <v>#N/A</v>
      </c>
      <c r="AN441" t="e">
        <f>IF(OR($J441=0,COUNTIFS($A$4:$A440,"&gt;="&amp;$A441-1,$A$4:$A440,"&lt;="&amp;$A441,$B$4:$B440,$B441)&gt;0,MIN(AN$1,IF($A441=$A440,AN440,1))-S441&lt;0),-1,MIN(1,IF($A441=$A440,AN440,1)-S441+$D$3))</f>
        <v>#N/A</v>
      </c>
      <c r="AO441" t="e">
        <f>IF(OR($J441=0,COUNTIFS($A$4:$A440,"&gt;="&amp;$A441-1,$A$4:$A440,"&lt;="&amp;$A441,$B$4:$B440,$B441)&gt;0,MIN(AO$1,IF($A441=$A440,AO440,1))-T441&lt;0),-1,MIN(1,IF($A441=$A440,AO440,1)-T441+$D$3))</f>
        <v>#N/A</v>
      </c>
      <c r="AP441" t="e">
        <f>IF(OR($J441=0,COUNTIFS($A$4:$A440,"&gt;="&amp;$A441-1,$A$4:$A440,"&lt;="&amp;$A441,$B$4:$B440,$B441)&gt;0,MIN(AP$1,IF($A441=$A440,AP440,1))-U441&lt;0),-1,MIN(1,IF($A441=$A440,AP440,1)-U441+$D$3))</f>
        <v>#N/A</v>
      </c>
      <c r="AQ441" t="e">
        <f>IF(OR($J441=0,COUNTIFS($A$4:$A440,"&gt;="&amp;$A441-1,$A$4:$A440,"&lt;="&amp;$A441,$B$4:$B440,$B441)&gt;0,MIN(AQ$1,IF($A441=$A440,AQ440,1))-V441&lt;0),-1,MIN(1,IF($A441=$A440,AQ440,1)-V441+$D$3))</f>
        <v>#N/A</v>
      </c>
      <c r="AR441" t="e">
        <f>IF(OR($J441=0,COUNTIFS($A$4:$A440,"&gt;="&amp;$A441-1,$A$4:$A440,"&lt;="&amp;$A441,$B$4:$B440,$B441)&gt;0,MIN(AR$1,IF($A441=$A440,AR440,1))-W441&lt;0),-1,MIN(1,IF($A441=$A440,AR440,1)-W441+$D$3))</f>
        <v>#N/A</v>
      </c>
      <c r="AS441" t="e">
        <f>IF(OR($J441=0,COUNTIFS($A$4:$A440,"&gt;="&amp;$A441-1,$A$4:$A440,"&lt;="&amp;$A441,$B$4:$B440,$B441)&gt;0,MIN(AS$1,IF($A441=$A440,AS440,1))-X441&lt;0),-1,MIN(1,IF($A441=$A440,AS440,1)-X441+$D$3))</f>
        <v>#N/A</v>
      </c>
      <c r="AT441" t="e">
        <f>IF(OR($J441=0,COUNTIFS($A$4:$A440,"&gt;="&amp;$A441-1,$A$4:$A440,"&lt;="&amp;$A441,$B$4:$B440,$B441)&gt;0,MIN(AT$1,IF($A441=$A440,AT440,1))-Y441&lt;0),-1,MIN(1,IF($A441=$A440,AT440,1)-Y441+$D$3))</f>
        <v>#N/A</v>
      </c>
      <c r="AU441" t="e">
        <f>IF(OR($J441=0,COUNTIFS($A$4:$A440,"&gt;="&amp;$A441-1,$A$4:$A440,"&lt;="&amp;$A441,$B$4:$B440,$B441)&gt;0,MIN(AU$1,IF($A441=$A440,AU440,1))-Z441&lt;0),-1,MIN(1,IF($A441=$A440,AU440,1)-Z441+$D$3))</f>
        <v>#N/A</v>
      </c>
      <c r="AV441" t="e">
        <f>IF(OR($J441=0,COUNTIFS($A$4:$A440,"&gt;="&amp;$A441-1,$A$4:$A440,"&lt;="&amp;$A441,$B$4:$B440,$B441)&gt;0,MIN(AV$1,IF($A441=$A440,AV440,1))-AA441&lt;0),-1,MIN(1,IF($A441=$A440,AV440,1)-AA441+$D$3))</f>
        <v>#N/A</v>
      </c>
      <c r="AW441" t="e">
        <f>IF(OR($J441=0,COUNTIFS($A$4:$A440,"&gt;="&amp;$A441-1,$A$4:$A440,"&lt;="&amp;$A441,$B$4:$B440,$B441)&gt;0,MIN(AW$1,IF($A441=$A440,AW440,1))-AB441&lt;0),-1,MIN(1,IF($A441=$A440,AW440,1)-AB441+$D$3))</f>
        <v>#N/A</v>
      </c>
      <c r="AX441" t="e">
        <f>IF(OR($J441=0,COUNTIFS($A$4:$A440,"&gt;="&amp;$A441-1,$A$4:$A440,"&lt;="&amp;$A441,$B$4:$B440,$B441)&gt;0,MIN(AX$1,IF($A441=$A440,AX440,1))-AC441&lt;0),-1,MIN(1,IF($A441=$A440,AX440,1)-AC441+$D$3))</f>
        <v>#N/A</v>
      </c>
      <c r="AY441" t="e">
        <f>IF(OR($J441=0,COUNTIFS($A$4:$A440,"&gt;="&amp;$A441-1,$A$4:$A440,"&lt;="&amp;$A441,$B$4:$B440,$B441)&gt;0,MIN(AY$1,IF($A441=$A440,AY440,1))-AD441&lt;0),-1,MIN(1,IF($A441=$A440,AY440,1)-AD441+$D$3))</f>
        <v>#N/A</v>
      </c>
      <c r="AZ441" t="e">
        <f>IF(OR($J441=0,COUNTIFS($A$4:$A440,"&gt;="&amp;$A441-1,$A$4:$A440,"&lt;="&amp;$A441,$B$4:$B440,$B441)&gt;0,MIN(AZ$1,IF($A441=$A440,AZ440,1))-AE441&lt;0),-1,MIN(1,IF($A441=$A440,AZ440,1)-AE441+$D$3))</f>
        <v>#N/A</v>
      </c>
      <c r="BA441" t="e">
        <f>IF(OR($J441=0,COUNTIFS($A$4:$A440,"&gt;="&amp;$A441-1,$A$4:$A440,"&lt;="&amp;$A441,$B$4:$B440,$B441)&gt;0,MIN(BA$1,IF($A441=$A440,BA440,1))-AF441&lt;0),-1,MIN(1,IF($A441=$A440,BA440,1)-AF441+$D$3))</f>
        <v>#N/A</v>
      </c>
      <c r="BB441" t="e">
        <f>IF(OR($J441=0,COUNTIFS($A$4:$A440,"&gt;="&amp;$A441-1,$A$4:$A440,"&lt;="&amp;$A441,$B$4:$B440,$B441)&gt;0,MIN(BB$1,IF($A441=$A440,BB440,1))-AG441&lt;0),-1,MIN(1,IF($A441=$A440,BB440,1)-AG441+$D$3))</f>
        <v>#N/A</v>
      </c>
      <c r="BC441" t="e">
        <f>IF(OR($J441=0,COUNTIFS($A$4:$A440,"&gt;="&amp;$A441-1,$A$4:$A440,"&lt;="&amp;$A441,$B$4:$B440,$B441)&gt;0,MIN(BC$1,IF($A441=$A440,BC440,1))-AH441&lt;0),-1,MIN(1,IF($A441=$A440,BC440,1)-AH441+$D$3))</f>
        <v>#N/A</v>
      </c>
      <c r="BD441" t="e">
        <f>IF(OR($J441=0,COUNTIFS($A$4:$A440,"&gt;="&amp;$A441-1,$A$4:$A440,"&lt;="&amp;$A441,$B$4:$B440,$B441)&gt;0,MIN(BD$1,IF($A441=$A440,BD440,1))-AI441&lt;0),-1,MIN(1,IF($A441=$A440,BD440,1)-AI441+$D$3))</f>
        <v>#N/A</v>
      </c>
      <c r="BF441" s="44">
        <f t="shared" si="443"/>
        <v>3.9041042411422665E-10</v>
      </c>
      <c r="BG441" s="44">
        <f t="shared" si="444"/>
        <v>9.6012939940282242E-10</v>
      </c>
      <c r="BH441" s="44">
        <f t="shared" si="445"/>
        <v>9.8403163866616591E-10</v>
      </c>
      <c r="BI441" s="44">
        <f t="shared" si="446"/>
        <v>9.0897202927590942E-10</v>
      </c>
      <c r="BJ441" s="44">
        <f t="shared" si="447"/>
        <v>9.3950888638867918E-10</v>
      </c>
      <c r="BK441" s="44">
        <f t="shared" si="448"/>
        <v>4.0346014534737155E-10</v>
      </c>
      <c r="BL441" s="44">
        <f t="shared" si="449"/>
        <v>2.1795551791073816E-10</v>
      </c>
      <c r="BM441" s="44">
        <f t="shared" si="450"/>
        <v>5.5445338580152092E-10</v>
      </c>
      <c r="BN441" s="44">
        <f t="shared" si="451"/>
        <v>5.7667473276951961E-10</v>
      </c>
      <c r="BO441" s="44">
        <f t="shared" si="452"/>
        <v>2.7025166207033177E-10</v>
      </c>
      <c r="BP441" s="44">
        <f t="shared" si="453"/>
        <v>9.0871519245083588E-10</v>
      </c>
      <c r="BQ441" s="44">
        <f t="shared" si="454"/>
        <v>2.4522461389597562E-10</v>
      </c>
      <c r="BR441" s="44">
        <f t="shared" si="455"/>
        <v>7.2445489558925204E-10</v>
      </c>
      <c r="BS441" s="44">
        <f t="shared" si="456"/>
        <v>3.9070813879022015E-10</v>
      </c>
      <c r="BT441" s="44">
        <f t="shared" si="457"/>
        <v>1.5461518871062042E-9</v>
      </c>
      <c r="BU441" s="44">
        <f t="shared" si="458"/>
        <v>1.4770403070712695E-9</v>
      </c>
      <c r="BV441" s="44">
        <f t="shared" si="459"/>
        <v>1.4185006441050132E-9</v>
      </c>
      <c r="BW441" s="44">
        <f t="shared" si="460"/>
        <v>9.277774819269522E-10</v>
      </c>
      <c r="BX441" s="44">
        <f t="shared" si="461"/>
        <v>6.8542515590225563E-10</v>
      </c>
      <c r="BY441" s="44">
        <f t="shared" si="462"/>
        <v>5.8851627701841479E-10</v>
      </c>
      <c r="CA441" s="44" t="str">
        <f t="shared" si="463"/>
        <v/>
      </c>
      <c r="CB441" s="44" t="str">
        <f t="shared" si="464"/>
        <v/>
      </c>
      <c r="CC441" s="44" t="str">
        <f t="shared" si="465"/>
        <v/>
      </c>
      <c r="CD441" s="44" t="str">
        <f t="shared" si="466"/>
        <v/>
      </c>
      <c r="CE441" s="44" t="str">
        <f t="shared" si="467"/>
        <v/>
      </c>
      <c r="CF441" s="44" t="str">
        <f t="shared" si="468"/>
        <v/>
      </c>
      <c r="CG441" s="44" t="str">
        <f t="shared" si="469"/>
        <v/>
      </c>
      <c r="CH441" s="44" t="str">
        <f t="shared" si="470"/>
        <v/>
      </c>
      <c r="CI441" s="44" t="str">
        <f t="shared" si="471"/>
        <v/>
      </c>
      <c r="CJ441" s="44" t="str">
        <f t="shared" si="472"/>
        <v/>
      </c>
      <c r="CK441" s="44" t="str">
        <f t="shared" si="473"/>
        <v/>
      </c>
      <c r="CL441" s="44" t="str">
        <f t="shared" si="474"/>
        <v/>
      </c>
      <c r="CM441" s="44" t="str">
        <f t="shared" si="475"/>
        <v/>
      </c>
      <c r="CN441" s="44" t="str">
        <f t="shared" si="476"/>
        <v/>
      </c>
      <c r="CO441" s="44" t="str">
        <f t="shared" si="477"/>
        <v/>
      </c>
      <c r="CP441" s="44" t="str">
        <f t="shared" si="478"/>
        <v/>
      </c>
      <c r="CQ441" s="44" t="str">
        <f t="shared" si="479"/>
        <v/>
      </c>
      <c r="CR441" s="44" t="str">
        <f t="shared" si="480"/>
        <v/>
      </c>
      <c r="CS441" s="44" t="str">
        <f t="shared" si="481"/>
        <v/>
      </c>
      <c r="CT441" s="44" t="str">
        <f t="shared" si="482"/>
        <v/>
      </c>
      <c r="CV441" s="44">
        <f t="shared" si="483"/>
        <v>0</v>
      </c>
    </row>
    <row r="442" spans="1:100" x14ac:dyDescent="0.25">
      <c r="A442" s="41"/>
      <c r="B442" s="42"/>
      <c r="C442" s="43" t="str" cm="1">
        <f t="array" ref="C442">IF(B442="","",INDEX(UWS!$B$10:$B$41,B442))</f>
        <v/>
      </c>
      <c r="D442" s="40" t="str">
        <f t="shared" si="440"/>
        <v/>
      </c>
      <c r="E442" s="69" t="str">
        <f t="shared" si="441"/>
        <v/>
      </c>
      <c r="F442" s="48" cm="1">
        <f t="array" ref="F442">0.1+IFERROR(INDEX($F$5:$F441,SUMPRODUCT(MAX(ROW($C$5:$C441)*($C442=$C$5:$C441))-ROW($A$4)))*0.9^($A442-INDEX($A$5:A441,SUMPRODUCT(MAX(ROW($C$5:$C441)*($C442=$C$5:$C441))-ROW($A$4)))),0)</f>
        <v>37.700000000000266</v>
      </c>
      <c r="G442" s="55" t="e">
        <f>INDEX(UWS!$AB$10:$AB$41,MATCH(C442,UWS!$B$10:$B$41,0))</f>
        <v>#N/A</v>
      </c>
      <c r="H442" s="48" t="e">
        <f>INDEX(UWS!$C$10:$C$41,MATCH(C442,UWS!$B$10:$B$41,0))</f>
        <v>#N/A</v>
      </c>
      <c r="I442" s="27">
        <f t="shared" si="442"/>
        <v>5</v>
      </c>
      <c r="J442" s="27" t="e">
        <f>INDEX(UWS!$E$10:$E$41,MATCH(C442,UWS!$B$10:$B$41,0))</f>
        <v>#N/A</v>
      </c>
      <c r="L442" s="108" t="str" cm="1">
        <f t="array" ref="L442">IF(K442="","",INDEX(UWS!$B$10:$B$41,K442))</f>
        <v/>
      </c>
      <c r="N442" s="108" t="str" cm="1">
        <f t="array" ref="N442">IF(M442="","",INDEX(UWS!$B$10:$B$41,M442))</f>
        <v/>
      </c>
      <c r="P442">
        <f>IFERROR(INDEX(UWS!$G$10:$Z$41,MATCH($C442,UWS!$B$10:$B$41,0),MATCH(P$4,UWS!$G$3:$Z$3,0)),0)</f>
        <v>0</v>
      </c>
      <c r="Q442">
        <f>IFERROR(INDEX(UWS!$G$10:$Z$41,MATCH($C442,UWS!$B$10:$B$41,0),MATCH(Q$4,UWS!$G$3:$Z$3,0)),0)</f>
        <v>0</v>
      </c>
      <c r="R442">
        <f>IFERROR(INDEX(UWS!$G$10:$Z$41,MATCH($C442,UWS!$B$10:$B$41,0),MATCH(R$4,UWS!$G$3:$Z$3,0)),0)</f>
        <v>0</v>
      </c>
      <c r="S442">
        <f>IFERROR(INDEX(UWS!$G$10:$Z$41,MATCH($C442,UWS!$B$10:$B$41,0),MATCH(S$4,UWS!$G$3:$Z$3,0)),0)</f>
        <v>0</v>
      </c>
      <c r="T442">
        <f>IFERROR(INDEX(UWS!$G$10:$Z$41,MATCH($C442,UWS!$B$10:$B$41,0),MATCH(T$4,UWS!$G$3:$Z$3,0)),0)</f>
        <v>0</v>
      </c>
      <c r="U442">
        <f>IFERROR(INDEX(UWS!$G$10:$Z$41,MATCH($C442,UWS!$B$10:$B$41,0),MATCH(U$4,UWS!$G$3:$Z$3,0)),0)</f>
        <v>0</v>
      </c>
      <c r="V442">
        <f>IFERROR(INDEX(UWS!$G$10:$Z$41,MATCH($C442,UWS!$B$10:$B$41,0),MATCH(V$4,UWS!$G$3:$Z$3,0)),0)</f>
        <v>0</v>
      </c>
      <c r="W442">
        <f>IFERROR(INDEX(UWS!$G$10:$Z$41,MATCH($C442,UWS!$B$10:$B$41,0),MATCH(W$4,UWS!$G$3:$Z$3,0)),0)</f>
        <v>0</v>
      </c>
      <c r="X442">
        <f>IFERROR(INDEX(UWS!$G$10:$Z$41,MATCH($C442,UWS!$B$10:$B$41,0),MATCH(X$4,UWS!$G$3:$Z$3,0)),0)</f>
        <v>0</v>
      </c>
      <c r="Y442">
        <f>IFERROR(INDEX(UWS!$G$10:$Z$41,MATCH($C442,UWS!$B$10:$B$41,0),MATCH(Y$4,UWS!$G$3:$Z$3,0)),0)</f>
        <v>0</v>
      </c>
      <c r="Z442">
        <f>IFERROR(INDEX(UWS!$G$10:$Z$41,MATCH($C442,UWS!$B$10:$B$41,0),MATCH(Z$4,UWS!$G$3:$Z$3,0)),0)</f>
        <v>0</v>
      </c>
      <c r="AA442">
        <f>IFERROR(INDEX(UWS!$G$10:$Z$41,MATCH($C442,UWS!$B$10:$B$41,0),MATCH(AA$4,UWS!$G$3:$Z$3,0)),0)</f>
        <v>0</v>
      </c>
      <c r="AB442">
        <f>IFERROR(INDEX(UWS!$G$10:$Z$41,MATCH($C442,UWS!$B$10:$B$41,0),MATCH(AB$4,UWS!$G$3:$Z$3,0)),0)</f>
        <v>0</v>
      </c>
      <c r="AC442">
        <f>IFERROR(INDEX(UWS!$G$10:$Z$41,MATCH($C442,UWS!$B$10:$B$41,0),MATCH(AC$4,UWS!$G$3:$Z$3,0)),0)</f>
        <v>0</v>
      </c>
      <c r="AD442">
        <f>IFERROR(INDEX(UWS!$G$10:$Z$41,MATCH($C442,UWS!$B$10:$B$41,0),MATCH(AD$4,UWS!$G$3:$Z$3,0)),0)</f>
        <v>0</v>
      </c>
      <c r="AE442">
        <f>IFERROR(INDEX(UWS!$G$10:$Z$41,MATCH($C442,UWS!$B$10:$B$41,0),MATCH(AE$4,UWS!$G$3:$Z$3,0)),0)</f>
        <v>0</v>
      </c>
      <c r="AF442">
        <f>IFERROR(INDEX(UWS!$G$10:$Z$41,MATCH($C442,UWS!$B$10:$B$41,0),MATCH(AF$4,UWS!$G$3:$Z$3,0)),0)</f>
        <v>0</v>
      </c>
      <c r="AG442">
        <f>IFERROR(INDEX(UWS!$G$10:$Z$41,MATCH($C442,UWS!$B$10:$B$41,0),MATCH(AG$4,UWS!$G$3:$Z$3,0)),0)</f>
        <v>0</v>
      </c>
      <c r="AH442">
        <f>IFERROR(INDEX(UWS!$G$10:$Z$41,MATCH($C442,UWS!$B$10:$B$41,0),MATCH(AH$4,UWS!$G$3:$Z$3,0)),0)</f>
        <v>0</v>
      </c>
      <c r="AI442">
        <f>IFERROR(INDEX(UWS!$G$10:$Z$41,MATCH($C442,UWS!$B$10:$B$41,0),MATCH(AI$4,UWS!$G$3:$Z$3,0)),0)</f>
        <v>0</v>
      </c>
      <c r="AK442" t="e">
        <f>IF(OR($J442=0,COUNTIFS($A$4:$A441,"&gt;="&amp;$A442-1,$A$4:$A441,"&lt;="&amp;$A442,$B$4:$B441,$B442)&gt;0,MIN(AK$1,IF($A442=$A441,AK441,1))-P442&lt;0),-1,MIN(1,IF($A442=$A441,AK441,1)-P442+$D$3))</f>
        <v>#N/A</v>
      </c>
      <c r="AL442" t="e">
        <f>IF(OR($J442=0,COUNTIFS($A$4:$A441,"&gt;="&amp;$A442-1,$A$4:$A441,"&lt;="&amp;$A442,$B$4:$B441,$B442)&gt;0,MIN(AL$1,IF($A442=$A441,AL441,1))-Q442&lt;0),-1,MIN(1,IF($A442=$A441,AL441,1)-Q442+$D$3))</f>
        <v>#N/A</v>
      </c>
      <c r="AM442" t="e">
        <f>IF(OR($J442=0,COUNTIFS($A$4:$A441,"&gt;="&amp;$A442-1,$A$4:$A441,"&lt;="&amp;$A442,$B$4:$B441,$B442)&gt;0,MIN(AM$1,IF($A442=$A441,AM441,1))-R442&lt;0),-1,MIN(1,IF($A442=$A441,AM441,1)-R442+$D$3))</f>
        <v>#N/A</v>
      </c>
      <c r="AN442" t="e">
        <f>IF(OR($J442=0,COUNTIFS($A$4:$A441,"&gt;="&amp;$A442-1,$A$4:$A441,"&lt;="&amp;$A442,$B$4:$B441,$B442)&gt;0,MIN(AN$1,IF($A442=$A441,AN441,1))-S442&lt;0),-1,MIN(1,IF($A442=$A441,AN441,1)-S442+$D$3))</f>
        <v>#N/A</v>
      </c>
      <c r="AO442" t="e">
        <f>IF(OR($J442=0,COUNTIFS($A$4:$A441,"&gt;="&amp;$A442-1,$A$4:$A441,"&lt;="&amp;$A442,$B$4:$B441,$B442)&gt;0,MIN(AO$1,IF($A442=$A441,AO441,1))-T442&lt;0),-1,MIN(1,IF($A442=$A441,AO441,1)-T442+$D$3))</f>
        <v>#N/A</v>
      </c>
      <c r="AP442" t="e">
        <f>IF(OR($J442=0,COUNTIFS($A$4:$A441,"&gt;="&amp;$A442-1,$A$4:$A441,"&lt;="&amp;$A442,$B$4:$B441,$B442)&gt;0,MIN(AP$1,IF($A442=$A441,AP441,1))-U442&lt;0),-1,MIN(1,IF($A442=$A441,AP441,1)-U442+$D$3))</f>
        <v>#N/A</v>
      </c>
      <c r="AQ442" t="e">
        <f>IF(OR($J442=0,COUNTIFS($A$4:$A441,"&gt;="&amp;$A442-1,$A$4:$A441,"&lt;="&amp;$A442,$B$4:$B441,$B442)&gt;0,MIN(AQ$1,IF($A442=$A441,AQ441,1))-V442&lt;0),-1,MIN(1,IF($A442=$A441,AQ441,1)-V442+$D$3))</f>
        <v>#N/A</v>
      </c>
      <c r="AR442" t="e">
        <f>IF(OR($J442=0,COUNTIFS($A$4:$A441,"&gt;="&amp;$A442-1,$A$4:$A441,"&lt;="&amp;$A442,$B$4:$B441,$B442)&gt;0,MIN(AR$1,IF($A442=$A441,AR441,1))-W442&lt;0),-1,MIN(1,IF($A442=$A441,AR441,1)-W442+$D$3))</f>
        <v>#N/A</v>
      </c>
      <c r="AS442" t="e">
        <f>IF(OR($J442=0,COUNTIFS($A$4:$A441,"&gt;="&amp;$A442-1,$A$4:$A441,"&lt;="&amp;$A442,$B$4:$B441,$B442)&gt;0,MIN(AS$1,IF($A442=$A441,AS441,1))-X442&lt;0),-1,MIN(1,IF($A442=$A441,AS441,1)-X442+$D$3))</f>
        <v>#N/A</v>
      </c>
      <c r="AT442" t="e">
        <f>IF(OR($J442=0,COUNTIFS($A$4:$A441,"&gt;="&amp;$A442-1,$A$4:$A441,"&lt;="&amp;$A442,$B$4:$B441,$B442)&gt;0,MIN(AT$1,IF($A442=$A441,AT441,1))-Y442&lt;0),-1,MIN(1,IF($A442=$A441,AT441,1)-Y442+$D$3))</f>
        <v>#N/A</v>
      </c>
      <c r="AU442" t="e">
        <f>IF(OR($J442=0,COUNTIFS($A$4:$A441,"&gt;="&amp;$A442-1,$A$4:$A441,"&lt;="&amp;$A442,$B$4:$B441,$B442)&gt;0,MIN(AU$1,IF($A442=$A441,AU441,1))-Z442&lt;0),-1,MIN(1,IF($A442=$A441,AU441,1)-Z442+$D$3))</f>
        <v>#N/A</v>
      </c>
      <c r="AV442" t="e">
        <f>IF(OR($J442=0,COUNTIFS($A$4:$A441,"&gt;="&amp;$A442-1,$A$4:$A441,"&lt;="&amp;$A442,$B$4:$B441,$B442)&gt;0,MIN(AV$1,IF($A442=$A441,AV441,1))-AA442&lt;0),-1,MIN(1,IF($A442=$A441,AV441,1)-AA442+$D$3))</f>
        <v>#N/A</v>
      </c>
      <c r="AW442" t="e">
        <f>IF(OR($J442=0,COUNTIFS($A$4:$A441,"&gt;="&amp;$A442-1,$A$4:$A441,"&lt;="&amp;$A442,$B$4:$B441,$B442)&gt;0,MIN(AW$1,IF($A442=$A441,AW441,1))-AB442&lt;0),-1,MIN(1,IF($A442=$A441,AW441,1)-AB442+$D$3))</f>
        <v>#N/A</v>
      </c>
      <c r="AX442" t="e">
        <f>IF(OR($J442=0,COUNTIFS($A$4:$A441,"&gt;="&amp;$A442-1,$A$4:$A441,"&lt;="&amp;$A442,$B$4:$B441,$B442)&gt;0,MIN(AX$1,IF($A442=$A441,AX441,1))-AC442&lt;0),-1,MIN(1,IF($A442=$A441,AX441,1)-AC442+$D$3))</f>
        <v>#N/A</v>
      </c>
      <c r="AY442" t="e">
        <f>IF(OR($J442=0,COUNTIFS($A$4:$A441,"&gt;="&amp;$A442-1,$A$4:$A441,"&lt;="&amp;$A442,$B$4:$B441,$B442)&gt;0,MIN(AY$1,IF($A442=$A441,AY441,1))-AD442&lt;0),-1,MIN(1,IF($A442=$A441,AY441,1)-AD442+$D$3))</f>
        <v>#N/A</v>
      </c>
      <c r="AZ442" t="e">
        <f>IF(OR($J442=0,COUNTIFS($A$4:$A441,"&gt;="&amp;$A442-1,$A$4:$A441,"&lt;="&amp;$A442,$B$4:$B441,$B442)&gt;0,MIN(AZ$1,IF($A442=$A441,AZ441,1))-AE442&lt;0),-1,MIN(1,IF($A442=$A441,AZ441,1)-AE442+$D$3))</f>
        <v>#N/A</v>
      </c>
      <c r="BA442" t="e">
        <f>IF(OR($J442=0,COUNTIFS($A$4:$A441,"&gt;="&amp;$A442-1,$A$4:$A441,"&lt;="&amp;$A442,$B$4:$B441,$B442)&gt;0,MIN(BA$1,IF($A442=$A441,BA441,1))-AF442&lt;0),-1,MIN(1,IF($A442=$A441,BA441,1)-AF442+$D$3))</f>
        <v>#N/A</v>
      </c>
      <c r="BB442" t="e">
        <f>IF(OR($J442=0,COUNTIFS($A$4:$A441,"&gt;="&amp;$A442-1,$A$4:$A441,"&lt;="&amp;$A442,$B$4:$B441,$B442)&gt;0,MIN(BB$1,IF($A442=$A441,BB441,1))-AG442&lt;0),-1,MIN(1,IF($A442=$A441,BB441,1)-AG442+$D$3))</f>
        <v>#N/A</v>
      </c>
      <c r="BC442" t="e">
        <f>IF(OR($J442=0,COUNTIFS($A$4:$A441,"&gt;="&amp;$A442-1,$A$4:$A441,"&lt;="&amp;$A442,$B$4:$B441,$B442)&gt;0,MIN(BC$1,IF($A442=$A441,BC441,1))-AH442&lt;0),-1,MIN(1,IF($A442=$A441,BC441,1)-AH442+$D$3))</f>
        <v>#N/A</v>
      </c>
      <c r="BD442" t="e">
        <f>IF(OR($J442=0,COUNTIFS($A$4:$A441,"&gt;="&amp;$A442-1,$A$4:$A441,"&lt;="&amp;$A442,$B$4:$B441,$B442)&gt;0,MIN(BD$1,IF($A442=$A441,BD441,1))-AI442&lt;0),-1,MIN(1,IF($A442=$A441,BD441,1)-AI442+$D$3))</f>
        <v>#N/A</v>
      </c>
      <c r="BF442" s="44">
        <f t="shared" si="443"/>
        <v>3.7088990290851532E-10</v>
      </c>
      <c r="BG442" s="44">
        <f t="shared" si="444"/>
        <v>9.1212292943268125E-10</v>
      </c>
      <c r="BH442" s="44">
        <f t="shared" si="445"/>
        <v>9.3483005673285767E-10</v>
      </c>
      <c r="BI442" s="44">
        <f t="shared" si="446"/>
        <v>8.6352342781211391E-10</v>
      </c>
      <c r="BJ442" s="44">
        <f t="shared" si="447"/>
        <v>8.9253344206924518E-10</v>
      </c>
      <c r="BK442" s="44">
        <f t="shared" si="448"/>
        <v>3.8328713808000296E-10</v>
      </c>
      <c r="BL442" s="44">
        <f t="shared" si="449"/>
        <v>2.0705774201520124E-10</v>
      </c>
      <c r="BM442" s="44">
        <f t="shared" si="450"/>
        <v>5.2673071651144487E-10</v>
      </c>
      <c r="BN442" s="44">
        <f t="shared" si="451"/>
        <v>5.4784099613104358E-10</v>
      </c>
      <c r="BO442" s="44">
        <f t="shared" si="452"/>
        <v>2.5673907896681514E-10</v>
      </c>
      <c r="BP442" s="44">
        <f t="shared" si="453"/>
        <v>8.6327943282829407E-10</v>
      </c>
      <c r="BQ442" s="44">
        <f t="shared" si="454"/>
        <v>2.3296338320117682E-10</v>
      </c>
      <c r="BR442" s="44">
        <f t="shared" si="455"/>
        <v>6.8823215080978942E-10</v>
      </c>
      <c r="BS442" s="44">
        <f t="shared" si="456"/>
        <v>3.7117273185070912E-10</v>
      </c>
      <c r="BT442" s="44">
        <f t="shared" si="457"/>
        <v>1.4688442927508939E-9</v>
      </c>
      <c r="BU442" s="44">
        <f t="shared" si="458"/>
        <v>1.4031882917177059E-9</v>
      </c>
      <c r="BV442" s="44">
        <f t="shared" si="459"/>
        <v>1.3475756118997624E-9</v>
      </c>
      <c r="BW442" s="44">
        <f t="shared" si="460"/>
        <v>8.8138860783060459E-10</v>
      </c>
      <c r="BX442" s="44">
        <f t="shared" si="461"/>
        <v>6.5115389810714283E-10</v>
      </c>
      <c r="BY442" s="44">
        <f t="shared" si="462"/>
        <v>5.5909046316749404E-10</v>
      </c>
      <c r="CA442" s="44" t="str">
        <f t="shared" si="463"/>
        <v/>
      </c>
      <c r="CB442" s="44" t="str">
        <f t="shared" si="464"/>
        <v/>
      </c>
      <c r="CC442" s="44" t="str">
        <f t="shared" si="465"/>
        <v/>
      </c>
      <c r="CD442" s="44" t="str">
        <f t="shared" si="466"/>
        <v/>
      </c>
      <c r="CE442" s="44" t="str">
        <f t="shared" si="467"/>
        <v/>
      </c>
      <c r="CF442" s="44" t="str">
        <f t="shared" si="468"/>
        <v/>
      </c>
      <c r="CG442" s="44" t="str">
        <f t="shared" si="469"/>
        <v/>
      </c>
      <c r="CH442" s="44" t="str">
        <f t="shared" si="470"/>
        <v/>
      </c>
      <c r="CI442" s="44" t="str">
        <f t="shared" si="471"/>
        <v/>
      </c>
      <c r="CJ442" s="44" t="str">
        <f t="shared" si="472"/>
        <v/>
      </c>
      <c r="CK442" s="44" t="str">
        <f t="shared" si="473"/>
        <v/>
      </c>
      <c r="CL442" s="44" t="str">
        <f t="shared" si="474"/>
        <v/>
      </c>
      <c r="CM442" s="44" t="str">
        <f t="shared" si="475"/>
        <v/>
      </c>
      <c r="CN442" s="44" t="str">
        <f t="shared" si="476"/>
        <v/>
      </c>
      <c r="CO442" s="44" t="str">
        <f t="shared" si="477"/>
        <v/>
      </c>
      <c r="CP442" s="44" t="str">
        <f t="shared" si="478"/>
        <v/>
      </c>
      <c r="CQ442" s="44" t="str">
        <f t="shared" si="479"/>
        <v/>
      </c>
      <c r="CR442" s="44" t="str">
        <f t="shared" si="480"/>
        <v/>
      </c>
      <c r="CS442" s="44" t="str">
        <f t="shared" si="481"/>
        <v/>
      </c>
      <c r="CT442" s="44" t="str">
        <f t="shared" si="482"/>
        <v/>
      </c>
      <c r="CV442" s="44">
        <f t="shared" si="483"/>
        <v>0</v>
      </c>
    </row>
    <row r="443" spans="1:100" x14ac:dyDescent="0.25">
      <c r="A443" s="41"/>
      <c r="B443" s="42"/>
      <c r="C443" s="43" t="str" cm="1">
        <f t="array" ref="C443">IF(B443="","",INDEX(UWS!$B$10:$B$41,B443))</f>
        <v/>
      </c>
      <c r="D443" s="40" t="str">
        <f t="shared" si="440"/>
        <v/>
      </c>
      <c r="E443" s="69" t="str">
        <f t="shared" si="441"/>
        <v/>
      </c>
      <c r="F443" s="48" cm="1">
        <f t="array" ref="F443">0.1+IFERROR(INDEX($F$5:$F442,SUMPRODUCT(MAX(ROW($C$5:$C442)*($C443=$C$5:$C442))-ROW($A$4)))*0.9^($A443-INDEX($A$5:A442,SUMPRODUCT(MAX(ROW($C$5:$C442)*($C443=$C$5:$C442))-ROW($A$4)))),0)</f>
        <v>37.800000000000267</v>
      </c>
      <c r="G443" s="55" t="e">
        <f>INDEX(UWS!$AB$10:$AB$41,MATCH(C443,UWS!$B$10:$B$41,0))</f>
        <v>#N/A</v>
      </c>
      <c r="H443" s="48" t="e">
        <f>INDEX(UWS!$C$10:$C$41,MATCH(C443,UWS!$B$10:$B$41,0))</f>
        <v>#N/A</v>
      </c>
      <c r="I443" s="27">
        <f t="shared" si="442"/>
        <v>5</v>
      </c>
      <c r="J443" s="27" t="e">
        <f>INDEX(UWS!$E$10:$E$41,MATCH(C443,UWS!$B$10:$B$41,0))</f>
        <v>#N/A</v>
      </c>
      <c r="L443" s="108" t="str" cm="1">
        <f t="array" ref="L443">IF(K443="","",INDEX(UWS!$B$10:$B$41,K443))</f>
        <v/>
      </c>
      <c r="N443" s="108" t="str" cm="1">
        <f t="array" ref="N443">IF(M443="","",INDEX(UWS!$B$10:$B$41,M443))</f>
        <v/>
      </c>
      <c r="P443">
        <f>IFERROR(INDEX(UWS!$G$10:$Z$41,MATCH($C443,UWS!$B$10:$B$41,0),MATCH(P$4,UWS!$G$3:$Z$3,0)),0)</f>
        <v>0</v>
      </c>
      <c r="Q443">
        <f>IFERROR(INDEX(UWS!$G$10:$Z$41,MATCH($C443,UWS!$B$10:$B$41,0),MATCH(Q$4,UWS!$G$3:$Z$3,0)),0)</f>
        <v>0</v>
      </c>
      <c r="R443">
        <f>IFERROR(INDEX(UWS!$G$10:$Z$41,MATCH($C443,UWS!$B$10:$B$41,0),MATCH(R$4,UWS!$G$3:$Z$3,0)),0)</f>
        <v>0</v>
      </c>
      <c r="S443">
        <f>IFERROR(INDEX(UWS!$G$10:$Z$41,MATCH($C443,UWS!$B$10:$B$41,0),MATCH(S$4,UWS!$G$3:$Z$3,0)),0)</f>
        <v>0</v>
      </c>
      <c r="T443">
        <f>IFERROR(INDEX(UWS!$G$10:$Z$41,MATCH($C443,UWS!$B$10:$B$41,0),MATCH(T$4,UWS!$G$3:$Z$3,0)),0)</f>
        <v>0</v>
      </c>
      <c r="U443">
        <f>IFERROR(INDEX(UWS!$G$10:$Z$41,MATCH($C443,UWS!$B$10:$B$41,0),MATCH(U$4,UWS!$G$3:$Z$3,0)),0)</f>
        <v>0</v>
      </c>
      <c r="V443">
        <f>IFERROR(INDEX(UWS!$G$10:$Z$41,MATCH($C443,UWS!$B$10:$B$41,0),MATCH(V$4,UWS!$G$3:$Z$3,0)),0)</f>
        <v>0</v>
      </c>
      <c r="W443">
        <f>IFERROR(INDEX(UWS!$G$10:$Z$41,MATCH($C443,UWS!$B$10:$B$41,0),MATCH(W$4,UWS!$G$3:$Z$3,0)),0)</f>
        <v>0</v>
      </c>
      <c r="X443">
        <f>IFERROR(INDEX(UWS!$G$10:$Z$41,MATCH($C443,UWS!$B$10:$B$41,0),MATCH(X$4,UWS!$G$3:$Z$3,0)),0)</f>
        <v>0</v>
      </c>
      <c r="Y443">
        <f>IFERROR(INDEX(UWS!$G$10:$Z$41,MATCH($C443,UWS!$B$10:$B$41,0),MATCH(Y$4,UWS!$G$3:$Z$3,0)),0)</f>
        <v>0</v>
      </c>
      <c r="Z443">
        <f>IFERROR(INDEX(UWS!$G$10:$Z$41,MATCH($C443,UWS!$B$10:$B$41,0),MATCH(Z$4,UWS!$G$3:$Z$3,0)),0)</f>
        <v>0</v>
      </c>
      <c r="AA443">
        <f>IFERROR(INDEX(UWS!$G$10:$Z$41,MATCH($C443,UWS!$B$10:$B$41,0),MATCH(AA$4,UWS!$G$3:$Z$3,0)),0)</f>
        <v>0</v>
      </c>
      <c r="AB443">
        <f>IFERROR(INDEX(UWS!$G$10:$Z$41,MATCH($C443,UWS!$B$10:$B$41,0),MATCH(AB$4,UWS!$G$3:$Z$3,0)),0)</f>
        <v>0</v>
      </c>
      <c r="AC443">
        <f>IFERROR(INDEX(UWS!$G$10:$Z$41,MATCH($C443,UWS!$B$10:$B$41,0),MATCH(AC$4,UWS!$G$3:$Z$3,0)),0)</f>
        <v>0</v>
      </c>
      <c r="AD443">
        <f>IFERROR(INDEX(UWS!$G$10:$Z$41,MATCH($C443,UWS!$B$10:$B$41,0),MATCH(AD$4,UWS!$G$3:$Z$3,0)),0)</f>
        <v>0</v>
      </c>
      <c r="AE443">
        <f>IFERROR(INDEX(UWS!$G$10:$Z$41,MATCH($C443,UWS!$B$10:$B$41,0),MATCH(AE$4,UWS!$G$3:$Z$3,0)),0)</f>
        <v>0</v>
      </c>
      <c r="AF443">
        <f>IFERROR(INDEX(UWS!$G$10:$Z$41,MATCH($C443,UWS!$B$10:$B$41,0),MATCH(AF$4,UWS!$G$3:$Z$3,0)),0)</f>
        <v>0</v>
      </c>
      <c r="AG443">
        <f>IFERROR(INDEX(UWS!$G$10:$Z$41,MATCH($C443,UWS!$B$10:$B$41,0),MATCH(AG$4,UWS!$G$3:$Z$3,0)),0)</f>
        <v>0</v>
      </c>
      <c r="AH443">
        <f>IFERROR(INDEX(UWS!$G$10:$Z$41,MATCH($C443,UWS!$B$10:$B$41,0),MATCH(AH$4,UWS!$G$3:$Z$3,0)),0)</f>
        <v>0</v>
      </c>
      <c r="AI443">
        <f>IFERROR(INDEX(UWS!$G$10:$Z$41,MATCH($C443,UWS!$B$10:$B$41,0),MATCH(AI$4,UWS!$G$3:$Z$3,0)),0)</f>
        <v>0</v>
      </c>
      <c r="AK443" t="e">
        <f>IF(OR($J443=0,COUNTIFS($A$4:$A442,"&gt;="&amp;$A443-1,$A$4:$A442,"&lt;="&amp;$A443,$B$4:$B442,$B443)&gt;0,MIN(AK$1,IF($A443=$A442,AK442,1))-P443&lt;0),-1,MIN(1,IF($A443=$A442,AK442,1)-P443+$D$3))</f>
        <v>#N/A</v>
      </c>
      <c r="AL443" t="e">
        <f>IF(OR($J443=0,COUNTIFS($A$4:$A442,"&gt;="&amp;$A443-1,$A$4:$A442,"&lt;="&amp;$A443,$B$4:$B442,$B443)&gt;0,MIN(AL$1,IF($A443=$A442,AL442,1))-Q443&lt;0),-1,MIN(1,IF($A443=$A442,AL442,1)-Q443+$D$3))</f>
        <v>#N/A</v>
      </c>
      <c r="AM443" t="e">
        <f>IF(OR($J443=0,COUNTIFS($A$4:$A442,"&gt;="&amp;$A443-1,$A$4:$A442,"&lt;="&amp;$A443,$B$4:$B442,$B443)&gt;0,MIN(AM$1,IF($A443=$A442,AM442,1))-R443&lt;0),-1,MIN(1,IF($A443=$A442,AM442,1)-R443+$D$3))</f>
        <v>#N/A</v>
      </c>
      <c r="AN443" t="e">
        <f>IF(OR($J443=0,COUNTIFS($A$4:$A442,"&gt;="&amp;$A443-1,$A$4:$A442,"&lt;="&amp;$A443,$B$4:$B442,$B443)&gt;0,MIN(AN$1,IF($A443=$A442,AN442,1))-S443&lt;0),-1,MIN(1,IF($A443=$A442,AN442,1)-S443+$D$3))</f>
        <v>#N/A</v>
      </c>
      <c r="AO443" t="e">
        <f>IF(OR($J443=0,COUNTIFS($A$4:$A442,"&gt;="&amp;$A443-1,$A$4:$A442,"&lt;="&amp;$A443,$B$4:$B442,$B443)&gt;0,MIN(AO$1,IF($A443=$A442,AO442,1))-T443&lt;0),-1,MIN(1,IF($A443=$A442,AO442,1)-T443+$D$3))</f>
        <v>#N/A</v>
      </c>
      <c r="AP443" t="e">
        <f>IF(OR($J443=0,COUNTIFS($A$4:$A442,"&gt;="&amp;$A443-1,$A$4:$A442,"&lt;="&amp;$A443,$B$4:$B442,$B443)&gt;0,MIN(AP$1,IF($A443=$A442,AP442,1))-U443&lt;0),-1,MIN(1,IF($A443=$A442,AP442,1)-U443+$D$3))</f>
        <v>#N/A</v>
      </c>
      <c r="AQ443" t="e">
        <f>IF(OR($J443=0,COUNTIFS($A$4:$A442,"&gt;="&amp;$A443-1,$A$4:$A442,"&lt;="&amp;$A443,$B$4:$B442,$B443)&gt;0,MIN(AQ$1,IF($A443=$A442,AQ442,1))-V443&lt;0),-1,MIN(1,IF($A443=$A442,AQ442,1)-V443+$D$3))</f>
        <v>#N/A</v>
      </c>
      <c r="AR443" t="e">
        <f>IF(OR($J443=0,COUNTIFS($A$4:$A442,"&gt;="&amp;$A443-1,$A$4:$A442,"&lt;="&amp;$A443,$B$4:$B442,$B443)&gt;0,MIN(AR$1,IF($A443=$A442,AR442,1))-W443&lt;0),-1,MIN(1,IF($A443=$A442,AR442,1)-W443+$D$3))</f>
        <v>#N/A</v>
      </c>
      <c r="AS443" t="e">
        <f>IF(OR($J443=0,COUNTIFS($A$4:$A442,"&gt;="&amp;$A443-1,$A$4:$A442,"&lt;="&amp;$A443,$B$4:$B442,$B443)&gt;0,MIN(AS$1,IF($A443=$A442,AS442,1))-X443&lt;0),-1,MIN(1,IF($A443=$A442,AS442,1)-X443+$D$3))</f>
        <v>#N/A</v>
      </c>
      <c r="AT443" t="e">
        <f>IF(OR($J443=0,COUNTIFS($A$4:$A442,"&gt;="&amp;$A443-1,$A$4:$A442,"&lt;="&amp;$A443,$B$4:$B442,$B443)&gt;0,MIN(AT$1,IF($A443=$A442,AT442,1))-Y443&lt;0),-1,MIN(1,IF($A443=$A442,AT442,1)-Y443+$D$3))</f>
        <v>#N/A</v>
      </c>
      <c r="AU443" t="e">
        <f>IF(OR($J443=0,COUNTIFS($A$4:$A442,"&gt;="&amp;$A443-1,$A$4:$A442,"&lt;="&amp;$A443,$B$4:$B442,$B443)&gt;0,MIN(AU$1,IF($A443=$A442,AU442,1))-Z443&lt;0),-1,MIN(1,IF($A443=$A442,AU442,1)-Z443+$D$3))</f>
        <v>#N/A</v>
      </c>
      <c r="AV443" t="e">
        <f>IF(OR($J443=0,COUNTIFS($A$4:$A442,"&gt;="&amp;$A443-1,$A$4:$A442,"&lt;="&amp;$A443,$B$4:$B442,$B443)&gt;0,MIN(AV$1,IF($A443=$A442,AV442,1))-AA443&lt;0),-1,MIN(1,IF($A443=$A442,AV442,1)-AA443+$D$3))</f>
        <v>#N/A</v>
      </c>
      <c r="AW443" t="e">
        <f>IF(OR($J443=0,COUNTIFS($A$4:$A442,"&gt;="&amp;$A443-1,$A$4:$A442,"&lt;="&amp;$A443,$B$4:$B442,$B443)&gt;0,MIN(AW$1,IF($A443=$A442,AW442,1))-AB443&lt;0),-1,MIN(1,IF($A443=$A442,AW442,1)-AB443+$D$3))</f>
        <v>#N/A</v>
      </c>
      <c r="AX443" t="e">
        <f>IF(OR($J443=0,COUNTIFS($A$4:$A442,"&gt;="&amp;$A443-1,$A$4:$A442,"&lt;="&amp;$A443,$B$4:$B442,$B443)&gt;0,MIN(AX$1,IF($A443=$A442,AX442,1))-AC443&lt;0),-1,MIN(1,IF($A443=$A442,AX442,1)-AC443+$D$3))</f>
        <v>#N/A</v>
      </c>
      <c r="AY443" t="e">
        <f>IF(OR($J443=0,COUNTIFS($A$4:$A442,"&gt;="&amp;$A443-1,$A$4:$A442,"&lt;="&amp;$A443,$B$4:$B442,$B443)&gt;0,MIN(AY$1,IF($A443=$A442,AY442,1))-AD443&lt;0),-1,MIN(1,IF($A443=$A442,AY442,1)-AD443+$D$3))</f>
        <v>#N/A</v>
      </c>
      <c r="AZ443" t="e">
        <f>IF(OR($J443=0,COUNTIFS($A$4:$A442,"&gt;="&amp;$A443-1,$A$4:$A442,"&lt;="&amp;$A443,$B$4:$B442,$B443)&gt;0,MIN(AZ$1,IF($A443=$A442,AZ442,1))-AE443&lt;0),-1,MIN(1,IF($A443=$A442,AZ442,1)-AE443+$D$3))</f>
        <v>#N/A</v>
      </c>
      <c r="BA443" t="e">
        <f>IF(OR($J443=0,COUNTIFS($A$4:$A442,"&gt;="&amp;$A443-1,$A$4:$A442,"&lt;="&amp;$A443,$B$4:$B442,$B443)&gt;0,MIN(BA$1,IF($A443=$A442,BA442,1))-AF443&lt;0),-1,MIN(1,IF($A443=$A442,BA442,1)-AF443+$D$3))</f>
        <v>#N/A</v>
      </c>
      <c r="BB443" t="e">
        <f>IF(OR($J443=0,COUNTIFS($A$4:$A442,"&gt;="&amp;$A443-1,$A$4:$A442,"&lt;="&amp;$A443,$B$4:$B442,$B443)&gt;0,MIN(BB$1,IF($A443=$A442,BB442,1))-AG443&lt;0),-1,MIN(1,IF($A443=$A442,BB442,1)-AG443+$D$3))</f>
        <v>#N/A</v>
      </c>
      <c r="BC443" t="e">
        <f>IF(OR($J443=0,COUNTIFS($A$4:$A442,"&gt;="&amp;$A443-1,$A$4:$A442,"&lt;="&amp;$A443,$B$4:$B442,$B443)&gt;0,MIN(BC$1,IF($A443=$A442,BC442,1))-AH443&lt;0),-1,MIN(1,IF($A443=$A442,BC442,1)-AH443+$D$3))</f>
        <v>#N/A</v>
      </c>
      <c r="BD443" t="e">
        <f>IF(OR($J443=0,COUNTIFS($A$4:$A442,"&gt;="&amp;$A443-1,$A$4:$A442,"&lt;="&amp;$A443,$B$4:$B442,$B443)&gt;0,MIN(BD$1,IF($A443=$A442,BD442,1))-AI443&lt;0),-1,MIN(1,IF($A443=$A442,BD442,1)-AI443+$D$3))</f>
        <v>#N/A</v>
      </c>
      <c r="BF443" s="44">
        <f t="shared" si="443"/>
        <v>3.5234540776308954E-10</v>
      </c>
      <c r="BG443" s="44">
        <f t="shared" si="444"/>
        <v>8.6651678296104712E-10</v>
      </c>
      <c r="BH443" s="44">
        <f t="shared" si="445"/>
        <v>8.8808855389621469E-10</v>
      </c>
      <c r="BI443" s="44">
        <f t="shared" si="446"/>
        <v>8.2034725642150817E-10</v>
      </c>
      <c r="BJ443" s="44">
        <f t="shared" si="447"/>
        <v>8.4790676996578285E-10</v>
      </c>
      <c r="BK443" s="44">
        <f t="shared" si="448"/>
        <v>3.6412278117600279E-10</v>
      </c>
      <c r="BL443" s="44">
        <f t="shared" si="449"/>
        <v>1.9670485491444116E-10</v>
      </c>
      <c r="BM443" s="44">
        <f t="shared" si="450"/>
        <v>5.003941806858726E-10</v>
      </c>
      <c r="BN443" s="44">
        <f t="shared" si="451"/>
        <v>5.2044894632449137E-10</v>
      </c>
      <c r="BO443" s="44">
        <f t="shared" si="452"/>
        <v>2.4390212501847437E-10</v>
      </c>
      <c r="BP443" s="44">
        <f t="shared" si="453"/>
        <v>8.2011546118687938E-10</v>
      </c>
      <c r="BQ443" s="44">
        <f t="shared" si="454"/>
        <v>2.2131521404111797E-10</v>
      </c>
      <c r="BR443" s="44">
        <f t="shared" si="455"/>
        <v>6.538205432692999E-10</v>
      </c>
      <c r="BS443" s="44">
        <f t="shared" si="456"/>
        <v>3.5261409525817364E-10</v>
      </c>
      <c r="BT443" s="44">
        <f t="shared" si="457"/>
        <v>1.3954020781133492E-9</v>
      </c>
      <c r="BU443" s="44">
        <f t="shared" si="458"/>
        <v>1.3330288771318206E-9</v>
      </c>
      <c r="BV443" s="44">
        <f t="shared" si="459"/>
        <v>1.2801968313047744E-9</v>
      </c>
      <c r="BW443" s="44">
        <f t="shared" si="460"/>
        <v>8.3731917743907429E-10</v>
      </c>
      <c r="BX443" s="44">
        <f t="shared" si="461"/>
        <v>6.1859620320178562E-10</v>
      </c>
      <c r="BY443" s="44">
        <f t="shared" si="462"/>
        <v>5.3113594000911935E-10</v>
      </c>
      <c r="CA443" s="44" t="str">
        <f t="shared" si="463"/>
        <v/>
      </c>
      <c r="CB443" s="44" t="str">
        <f t="shared" si="464"/>
        <v/>
      </c>
      <c r="CC443" s="44" t="str">
        <f t="shared" si="465"/>
        <v/>
      </c>
      <c r="CD443" s="44" t="str">
        <f t="shared" si="466"/>
        <v/>
      </c>
      <c r="CE443" s="44" t="str">
        <f t="shared" si="467"/>
        <v/>
      </c>
      <c r="CF443" s="44" t="str">
        <f t="shared" si="468"/>
        <v/>
      </c>
      <c r="CG443" s="44" t="str">
        <f t="shared" si="469"/>
        <v/>
      </c>
      <c r="CH443" s="44" t="str">
        <f t="shared" si="470"/>
        <v/>
      </c>
      <c r="CI443" s="44" t="str">
        <f t="shared" si="471"/>
        <v/>
      </c>
      <c r="CJ443" s="44" t="str">
        <f t="shared" si="472"/>
        <v/>
      </c>
      <c r="CK443" s="44" t="str">
        <f t="shared" si="473"/>
        <v/>
      </c>
      <c r="CL443" s="44" t="str">
        <f t="shared" si="474"/>
        <v/>
      </c>
      <c r="CM443" s="44" t="str">
        <f t="shared" si="475"/>
        <v/>
      </c>
      <c r="CN443" s="44" t="str">
        <f t="shared" si="476"/>
        <v/>
      </c>
      <c r="CO443" s="44" t="str">
        <f t="shared" si="477"/>
        <v/>
      </c>
      <c r="CP443" s="44" t="str">
        <f t="shared" si="478"/>
        <v/>
      </c>
      <c r="CQ443" s="44" t="str">
        <f t="shared" si="479"/>
        <v/>
      </c>
      <c r="CR443" s="44" t="str">
        <f t="shared" si="480"/>
        <v/>
      </c>
      <c r="CS443" s="44" t="str">
        <f t="shared" si="481"/>
        <v/>
      </c>
      <c r="CT443" s="44" t="str">
        <f t="shared" si="482"/>
        <v/>
      </c>
      <c r="CV443" s="44">
        <f t="shared" si="483"/>
        <v>0</v>
      </c>
    </row>
    <row r="444" spans="1:100" x14ac:dyDescent="0.25">
      <c r="A444" s="41"/>
      <c r="B444" s="42"/>
      <c r="C444" s="43" t="str" cm="1">
        <f t="array" ref="C444">IF(B444="","",INDEX(UWS!$B$10:$B$41,B444))</f>
        <v/>
      </c>
      <c r="D444" s="40" t="str">
        <f t="shared" si="440"/>
        <v/>
      </c>
      <c r="E444" s="69" t="str">
        <f t="shared" si="441"/>
        <v/>
      </c>
      <c r="F444" s="48" cm="1">
        <f t="array" ref="F444">0.1+IFERROR(INDEX($F$5:$F443,SUMPRODUCT(MAX(ROW($C$5:$C443)*($C444=$C$5:$C443))-ROW($A$4)))*0.9^($A444-INDEX($A$5:A443,SUMPRODUCT(MAX(ROW($C$5:$C443)*($C444=$C$5:$C443))-ROW($A$4)))),0)</f>
        <v>37.900000000000269</v>
      </c>
      <c r="G444" s="55" t="e">
        <f>INDEX(UWS!$AB$10:$AB$41,MATCH(C444,UWS!$B$10:$B$41,0))</f>
        <v>#N/A</v>
      </c>
      <c r="H444" s="48" t="e">
        <f>INDEX(UWS!$C$10:$C$41,MATCH(C444,UWS!$B$10:$B$41,0))</f>
        <v>#N/A</v>
      </c>
      <c r="I444" s="27">
        <f t="shared" si="442"/>
        <v>5</v>
      </c>
      <c r="J444" s="27" t="e">
        <f>INDEX(UWS!$E$10:$E$41,MATCH(C444,UWS!$B$10:$B$41,0))</f>
        <v>#N/A</v>
      </c>
      <c r="L444" s="108" t="str" cm="1">
        <f t="array" ref="L444">IF(K444="","",INDEX(UWS!$B$10:$B$41,K444))</f>
        <v/>
      </c>
      <c r="N444" s="108" t="str" cm="1">
        <f t="array" ref="N444">IF(M444="","",INDEX(UWS!$B$10:$B$41,M444))</f>
        <v/>
      </c>
      <c r="P444">
        <f>IFERROR(INDEX(UWS!$G$10:$Z$41,MATCH($C444,UWS!$B$10:$B$41,0),MATCH(P$4,UWS!$G$3:$Z$3,0)),0)</f>
        <v>0</v>
      </c>
      <c r="Q444">
        <f>IFERROR(INDEX(UWS!$G$10:$Z$41,MATCH($C444,UWS!$B$10:$B$41,0),MATCH(Q$4,UWS!$G$3:$Z$3,0)),0)</f>
        <v>0</v>
      </c>
      <c r="R444">
        <f>IFERROR(INDEX(UWS!$G$10:$Z$41,MATCH($C444,UWS!$B$10:$B$41,0),MATCH(R$4,UWS!$G$3:$Z$3,0)),0)</f>
        <v>0</v>
      </c>
      <c r="S444">
        <f>IFERROR(INDEX(UWS!$G$10:$Z$41,MATCH($C444,UWS!$B$10:$B$41,0),MATCH(S$4,UWS!$G$3:$Z$3,0)),0)</f>
        <v>0</v>
      </c>
      <c r="T444">
        <f>IFERROR(INDEX(UWS!$G$10:$Z$41,MATCH($C444,UWS!$B$10:$B$41,0),MATCH(T$4,UWS!$G$3:$Z$3,0)),0)</f>
        <v>0</v>
      </c>
      <c r="U444">
        <f>IFERROR(INDEX(UWS!$G$10:$Z$41,MATCH($C444,UWS!$B$10:$B$41,0),MATCH(U$4,UWS!$G$3:$Z$3,0)),0)</f>
        <v>0</v>
      </c>
      <c r="V444">
        <f>IFERROR(INDEX(UWS!$G$10:$Z$41,MATCH($C444,UWS!$B$10:$B$41,0),MATCH(V$4,UWS!$G$3:$Z$3,0)),0)</f>
        <v>0</v>
      </c>
      <c r="W444">
        <f>IFERROR(INDEX(UWS!$G$10:$Z$41,MATCH($C444,UWS!$B$10:$B$41,0),MATCH(W$4,UWS!$G$3:$Z$3,0)),0)</f>
        <v>0</v>
      </c>
      <c r="X444">
        <f>IFERROR(INDEX(UWS!$G$10:$Z$41,MATCH($C444,UWS!$B$10:$B$41,0),MATCH(X$4,UWS!$G$3:$Z$3,0)),0)</f>
        <v>0</v>
      </c>
      <c r="Y444">
        <f>IFERROR(INDEX(UWS!$G$10:$Z$41,MATCH($C444,UWS!$B$10:$B$41,0),MATCH(Y$4,UWS!$G$3:$Z$3,0)),0)</f>
        <v>0</v>
      </c>
      <c r="Z444">
        <f>IFERROR(INDEX(UWS!$G$10:$Z$41,MATCH($C444,UWS!$B$10:$B$41,0),MATCH(Z$4,UWS!$G$3:$Z$3,0)),0)</f>
        <v>0</v>
      </c>
      <c r="AA444">
        <f>IFERROR(INDEX(UWS!$G$10:$Z$41,MATCH($C444,UWS!$B$10:$B$41,0),MATCH(AA$4,UWS!$G$3:$Z$3,0)),0)</f>
        <v>0</v>
      </c>
      <c r="AB444">
        <f>IFERROR(INDEX(UWS!$G$10:$Z$41,MATCH($C444,UWS!$B$10:$B$41,0),MATCH(AB$4,UWS!$G$3:$Z$3,0)),0)</f>
        <v>0</v>
      </c>
      <c r="AC444">
        <f>IFERROR(INDEX(UWS!$G$10:$Z$41,MATCH($C444,UWS!$B$10:$B$41,0),MATCH(AC$4,UWS!$G$3:$Z$3,0)),0)</f>
        <v>0</v>
      </c>
      <c r="AD444">
        <f>IFERROR(INDEX(UWS!$G$10:$Z$41,MATCH($C444,UWS!$B$10:$B$41,0),MATCH(AD$4,UWS!$G$3:$Z$3,0)),0)</f>
        <v>0</v>
      </c>
      <c r="AE444">
        <f>IFERROR(INDEX(UWS!$G$10:$Z$41,MATCH($C444,UWS!$B$10:$B$41,0),MATCH(AE$4,UWS!$G$3:$Z$3,0)),0)</f>
        <v>0</v>
      </c>
      <c r="AF444">
        <f>IFERROR(INDEX(UWS!$G$10:$Z$41,MATCH($C444,UWS!$B$10:$B$41,0),MATCH(AF$4,UWS!$G$3:$Z$3,0)),0)</f>
        <v>0</v>
      </c>
      <c r="AG444">
        <f>IFERROR(INDEX(UWS!$G$10:$Z$41,MATCH($C444,UWS!$B$10:$B$41,0),MATCH(AG$4,UWS!$G$3:$Z$3,0)),0)</f>
        <v>0</v>
      </c>
      <c r="AH444">
        <f>IFERROR(INDEX(UWS!$G$10:$Z$41,MATCH($C444,UWS!$B$10:$B$41,0),MATCH(AH$4,UWS!$G$3:$Z$3,0)),0)</f>
        <v>0</v>
      </c>
      <c r="AI444">
        <f>IFERROR(INDEX(UWS!$G$10:$Z$41,MATCH($C444,UWS!$B$10:$B$41,0),MATCH(AI$4,UWS!$G$3:$Z$3,0)),0)</f>
        <v>0</v>
      </c>
      <c r="AK444" t="e">
        <f>IF(OR($J444=0,COUNTIFS($A$4:$A443,"&gt;="&amp;$A444-1,$A$4:$A443,"&lt;="&amp;$A444,$B$4:$B443,$B444)&gt;0,MIN(AK$1,IF($A444=$A443,AK443,1))-P444&lt;0),-1,MIN(1,IF($A444=$A443,AK443,1)-P444+$D$3))</f>
        <v>#N/A</v>
      </c>
      <c r="AL444" t="e">
        <f>IF(OR($J444=0,COUNTIFS($A$4:$A443,"&gt;="&amp;$A444-1,$A$4:$A443,"&lt;="&amp;$A444,$B$4:$B443,$B444)&gt;0,MIN(AL$1,IF($A444=$A443,AL443,1))-Q444&lt;0),-1,MIN(1,IF($A444=$A443,AL443,1)-Q444+$D$3))</f>
        <v>#N/A</v>
      </c>
      <c r="AM444" t="e">
        <f>IF(OR($J444=0,COUNTIFS($A$4:$A443,"&gt;="&amp;$A444-1,$A$4:$A443,"&lt;="&amp;$A444,$B$4:$B443,$B444)&gt;0,MIN(AM$1,IF($A444=$A443,AM443,1))-R444&lt;0),-1,MIN(1,IF($A444=$A443,AM443,1)-R444+$D$3))</f>
        <v>#N/A</v>
      </c>
      <c r="AN444" t="e">
        <f>IF(OR($J444=0,COUNTIFS($A$4:$A443,"&gt;="&amp;$A444-1,$A$4:$A443,"&lt;="&amp;$A444,$B$4:$B443,$B444)&gt;0,MIN(AN$1,IF($A444=$A443,AN443,1))-S444&lt;0),-1,MIN(1,IF($A444=$A443,AN443,1)-S444+$D$3))</f>
        <v>#N/A</v>
      </c>
      <c r="AO444" t="e">
        <f>IF(OR($J444=0,COUNTIFS($A$4:$A443,"&gt;="&amp;$A444-1,$A$4:$A443,"&lt;="&amp;$A444,$B$4:$B443,$B444)&gt;0,MIN(AO$1,IF($A444=$A443,AO443,1))-T444&lt;0),-1,MIN(1,IF($A444=$A443,AO443,1)-T444+$D$3))</f>
        <v>#N/A</v>
      </c>
      <c r="AP444" t="e">
        <f>IF(OR($J444=0,COUNTIFS($A$4:$A443,"&gt;="&amp;$A444-1,$A$4:$A443,"&lt;="&amp;$A444,$B$4:$B443,$B444)&gt;0,MIN(AP$1,IF($A444=$A443,AP443,1))-U444&lt;0),-1,MIN(1,IF($A444=$A443,AP443,1)-U444+$D$3))</f>
        <v>#N/A</v>
      </c>
      <c r="AQ444" t="e">
        <f>IF(OR($J444=0,COUNTIFS($A$4:$A443,"&gt;="&amp;$A444-1,$A$4:$A443,"&lt;="&amp;$A444,$B$4:$B443,$B444)&gt;0,MIN(AQ$1,IF($A444=$A443,AQ443,1))-V444&lt;0),-1,MIN(1,IF($A444=$A443,AQ443,1)-V444+$D$3))</f>
        <v>#N/A</v>
      </c>
      <c r="AR444" t="e">
        <f>IF(OR($J444=0,COUNTIFS($A$4:$A443,"&gt;="&amp;$A444-1,$A$4:$A443,"&lt;="&amp;$A444,$B$4:$B443,$B444)&gt;0,MIN(AR$1,IF($A444=$A443,AR443,1))-W444&lt;0),-1,MIN(1,IF($A444=$A443,AR443,1)-W444+$D$3))</f>
        <v>#N/A</v>
      </c>
      <c r="AS444" t="e">
        <f>IF(OR($J444=0,COUNTIFS($A$4:$A443,"&gt;="&amp;$A444-1,$A$4:$A443,"&lt;="&amp;$A444,$B$4:$B443,$B444)&gt;0,MIN(AS$1,IF($A444=$A443,AS443,1))-X444&lt;0),-1,MIN(1,IF($A444=$A443,AS443,1)-X444+$D$3))</f>
        <v>#N/A</v>
      </c>
      <c r="AT444" t="e">
        <f>IF(OR($J444=0,COUNTIFS($A$4:$A443,"&gt;="&amp;$A444-1,$A$4:$A443,"&lt;="&amp;$A444,$B$4:$B443,$B444)&gt;0,MIN(AT$1,IF($A444=$A443,AT443,1))-Y444&lt;0),-1,MIN(1,IF($A444=$A443,AT443,1)-Y444+$D$3))</f>
        <v>#N/A</v>
      </c>
      <c r="AU444" t="e">
        <f>IF(OR($J444=0,COUNTIFS($A$4:$A443,"&gt;="&amp;$A444-1,$A$4:$A443,"&lt;="&amp;$A444,$B$4:$B443,$B444)&gt;0,MIN(AU$1,IF($A444=$A443,AU443,1))-Z444&lt;0),-1,MIN(1,IF($A444=$A443,AU443,1)-Z444+$D$3))</f>
        <v>#N/A</v>
      </c>
      <c r="AV444" t="e">
        <f>IF(OR($J444=0,COUNTIFS($A$4:$A443,"&gt;="&amp;$A444-1,$A$4:$A443,"&lt;="&amp;$A444,$B$4:$B443,$B444)&gt;0,MIN(AV$1,IF($A444=$A443,AV443,1))-AA444&lt;0),-1,MIN(1,IF($A444=$A443,AV443,1)-AA444+$D$3))</f>
        <v>#N/A</v>
      </c>
      <c r="AW444" t="e">
        <f>IF(OR($J444=0,COUNTIFS($A$4:$A443,"&gt;="&amp;$A444-1,$A$4:$A443,"&lt;="&amp;$A444,$B$4:$B443,$B444)&gt;0,MIN(AW$1,IF($A444=$A443,AW443,1))-AB444&lt;0),-1,MIN(1,IF($A444=$A443,AW443,1)-AB444+$D$3))</f>
        <v>#N/A</v>
      </c>
      <c r="AX444" t="e">
        <f>IF(OR($J444=0,COUNTIFS($A$4:$A443,"&gt;="&amp;$A444-1,$A$4:$A443,"&lt;="&amp;$A444,$B$4:$B443,$B444)&gt;0,MIN(AX$1,IF($A444=$A443,AX443,1))-AC444&lt;0),-1,MIN(1,IF($A444=$A443,AX443,1)-AC444+$D$3))</f>
        <v>#N/A</v>
      </c>
      <c r="AY444" t="e">
        <f>IF(OR($J444=0,COUNTIFS($A$4:$A443,"&gt;="&amp;$A444-1,$A$4:$A443,"&lt;="&amp;$A444,$B$4:$B443,$B444)&gt;0,MIN(AY$1,IF($A444=$A443,AY443,1))-AD444&lt;0),-1,MIN(1,IF($A444=$A443,AY443,1)-AD444+$D$3))</f>
        <v>#N/A</v>
      </c>
      <c r="AZ444" t="e">
        <f>IF(OR($J444=0,COUNTIFS($A$4:$A443,"&gt;="&amp;$A444-1,$A$4:$A443,"&lt;="&amp;$A444,$B$4:$B443,$B444)&gt;0,MIN(AZ$1,IF($A444=$A443,AZ443,1))-AE444&lt;0),-1,MIN(1,IF($A444=$A443,AZ443,1)-AE444+$D$3))</f>
        <v>#N/A</v>
      </c>
      <c r="BA444" t="e">
        <f>IF(OR($J444=0,COUNTIFS($A$4:$A443,"&gt;="&amp;$A444-1,$A$4:$A443,"&lt;="&amp;$A444,$B$4:$B443,$B444)&gt;0,MIN(BA$1,IF($A444=$A443,BA443,1))-AF444&lt;0),-1,MIN(1,IF($A444=$A443,BA443,1)-AF444+$D$3))</f>
        <v>#N/A</v>
      </c>
      <c r="BB444" t="e">
        <f>IF(OR($J444=0,COUNTIFS($A$4:$A443,"&gt;="&amp;$A444-1,$A$4:$A443,"&lt;="&amp;$A444,$B$4:$B443,$B444)&gt;0,MIN(BB$1,IF($A444=$A443,BB443,1))-AG444&lt;0),-1,MIN(1,IF($A444=$A443,BB443,1)-AG444+$D$3))</f>
        <v>#N/A</v>
      </c>
      <c r="BC444" t="e">
        <f>IF(OR($J444=0,COUNTIFS($A$4:$A443,"&gt;="&amp;$A444-1,$A$4:$A443,"&lt;="&amp;$A444,$B$4:$B443,$B444)&gt;0,MIN(BC$1,IF($A444=$A443,BC443,1))-AH444&lt;0),-1,MIN(1,IF($A444=$A443,BC443,1)-AH444+$D$3))</f>
        <v>#N/A</v>
      </c>
      <c r="BD444" t="e">
        <f>IF(OR($J444=0,COUNTIFS($A$4:$A443,"&gt;="&amp;$A444-1,$A$4:$A443,"&lt;="&amp;$A444,$B$4:$B443,$B444)&gt;0,MIN(BD$1,IF($A444=$A443,BD443,1))-AI444&lt;0),-1,MIN(1,IF($A444=$A443,BD443,1)-AI444+$D$3))</f>
        <v>#N/A</v>
      </c>
      <c r="BF444" s="44">
        <f t="shared" si="443"/>
        <v>3.3472813737493507E-10</v>
      </c>
      <c r="BG444" s="44">
        <f t="shared" si="444"/>
        <v>8.2319094381299468E-10</v>
      </c>
      <c r="BH444" s="44">
        <f t="shared" si="445"/>
        <v>8.4368412620140394E-10</v>
      </c>
      <c r="BI444" s="44">
        <f t="shared" si="446"/>
        <v>7.7932989360043272E-10</v>
      </c>
      <c r="BJ444" s="44">
        <f t="shared" si="447"/>
        <v>8.0551143146749368E-10</v>
      </c>
      <c r="BK444" s="44">
        <f t="shared" si="448"/>
        <v>3.4591664211720265E-10</v>
      </c>
      <c r="BL444" s="44">
        <f t="shared" si="449"/>
        <v>1.868696121687191E-10</v>
      </c>
      <c r="BM444" s="44">
        <f t="shared" si="450"/>
        <v>4.7537447165157894E-10</v>
      </c>
      <c r="BN444" s="44">
        <f t="shared" si="451"/>
        <v>4.9442649900826673E-10</v>
      </c>
      <c r="BO444" s="44">
        <f t="shared" si="452"/>
        <v>2.3170701876755063E-10</v>
      </c>
      <c r="BP444" s="44">
        <f t="shared" si="453"/>
        <v>7.7910968812753542E-10</v>
      </c>
      <c r="BQ444" s="44">
        <f t="shared" si="454"/>
        <v>2.1024945333906207E-10</v>
      </c>
      <c r="BR444" s="44">
        <f t="shared" si="455"/>
        <v>6.2112951610583493E-10</v>
      </c>
      <c r="BS444" s="44">
        <f t="shared" si="456"/>
        <v>3.3498339049526495E-10</v>
      </c>
      <c r="BT444" s="44">
        <f t="shared" si="457"/>
        <v>1.3256319742076816E-9</v>
      </c>
      <c r="BU444" s="44">
        <f t="shared" si="458"/>
        <v>1.2663774332752295E-9</v>
      </c>
      <c r="BV444" s="44">
        <f t="shared" si="459"/>
        <v>1.2161869897395357E-9</v>
      </c>
      <c r="BW444" s="44">
        <f t="shared" si="460"/>
        <v>7.9545321856712057E-10</v>
      </c>
      <c r="BX444" s="44">
        <f t="shared" si="461"/>
        <v>5.8766639304169629E-10</v>
      </c>
      <c r="BY444" s="44">
        <f t="shared" si="462"/>
        <v>5.0457914300866333E-10</v>
      </c>
      <c r="CA444" s="44" t="str">
        <f t="shared" si="463"/>
        <v/>
      </c>
      <c r="CB444" s="44" t="str">
        <f t="shared" si="464"/>
        <v/>
      </c>
      <c r="CC444" s="44" t="str">
        <f t="shared" si="465"/>
        <v/>
      </c>
      <c r="CD444" s="44" t="str">
        <f t="shared" si="466"/>
        <v/>
      </c>
      <c r="CE444" s="44" t="str">
        <f t="shared" si="467"/>
        <v/>
      </c>
      <c r="CF444" s="44" t="str">
        <f t="shared" si="468"/>
        <v/>
      </c>
      <c r="CG444" s="44" t="str">
        <f t="shared" si="469"/>
        <v/>
      </c>
      <c r="CH444" s="44" t="str">
        <f t="shared" si="470"/>
        <v/>
      </c>
      <c r="CI444" s="44" t="str">
        <f t="shared" si="471"/>
        <v/>
      </c>
      <c r="CJ444" s="44" t="str">
        <f t="shared" si="472"/>
        <v/>
      </c>
      <c r="CK444" s="44" t="str">
        <f t="shared" si="473"/>
        <v/>
      </c>
      <c r="CL444" s="44" t="str">
        <f t="shared" si="474"/>
        <v/>
      </c>
      <c r="CM444" s="44" t="str">
        <f t="shared" si="475"/>
        <v/>
      </c>
      <c r="CN444" s="44" t="str">
        <f t="shared" si="476"/>
        <v/>
      </c>
      <c r="CO444" s="44" t="str">
        <f t="shared" si="477"/>
        <v/>
      </c>
      <c r="CP444" s="44" t="str">
        <f t="shared" si="478"/>
        <v/>
      </c>
      <c r="CQ444" s="44" t="str">
        <f t="shared" si="479"/>
        <v/>
      </c>
      <c r="CR444" s="44" t="str">
        <f t="shared" si="480"/>
        <v/>
      </c>
      <c r="CS444" s="44" t="str">
        <f t="shared" si="481"/>
        <v/>
      </c>
      <c r="CT444" s="44" t="str">
        <f t="shared" si="482"/>
        <v/>
      </c>
      <c r="CV444" s="44">
        <f t="shared" si="483"/>
        <v>0</v>
      </c>
    </row>
    <row r="445" spans="1:100" x14ac:dyDescent="0.25">
      <c r="A445" s="49"/>
      <c r="B445" s="50"/>
      <c r="C445" s="51" t="str" cm="1">
        <f t="array" ref="C445">IF(B445="","",INDEX(UWS!$B$10:$B$41,B445))</f>
        <v/>
      </c>
      <c r="D445" s="45" t="str">
        <f t="shared" si="440"/>
        <v/>
      </c>
      <c r="E445" s="70" t="str">
        <f t="shared" si="441"/>
        <v/>
      </c>
      <c r="F445" s="52" cm="1">
        <f t="array" ref="F445">0.1+IFERROR(INDEX($F$5:$F444,SUMPRODUCT(MAX(ROW($C$5:$C444)*($C445=$C$5:$C444))-ROW($A$4)))*0.9^($A445-INDEX($A$5:A444,SUMPRODUCT(MAX(ROW($C$5:$C444)*($C445=$C$5:$C444))-ROW($A$4)))),0)</f>
        <v>38.00000000000027</v>
      </c>
      <c r="G445" s="56" t="e">
        <f>INDEX(UWS!$AB$10:$AB$41,MATCH(C445,UWS!$B$10:$B$41,0))</f>
        <v>#N/A</v>
      </c>
      <c r="H445" s="52" t="e">
        <f>INDEX(UWS!$C$10:$C$41,MATCH(C445,UWS!$B$10:$B$41,0))</f>
        <v>#N/A</v>
      </c>
      <c r="I445" s="46">
        <f t="shared" si="442"/>
        <v>5</v>
      </c>
      <c r="J445" s="46" t="e">
        <f>INDEX(UWS!$E$10:$E$41,MATCH(C445,UWS!$B$10:$B$41,0))</f>
        <v>#N/A</v>
      </c>
      <c r="K445" s="46"/>
      <c r="L445" s="109" t="str" cm="1">
        <f t="array" ref="L445">IF(K445="","",INDEX(UWS!$B$10:$B$41,K445))</f>
        <v/>
      </c>
      <c r="M445" s="46"/>
      <c r="N445" s="109" t="str" cm="1">
        <f t="array" ref="N445">IF(M445="","",INDEX(UWS!$B$10:$B$41,M445))</f>
        <v/>
      </c>
      <c r="O445" s="47"/>
      <c r="P445" s="47">
        <f>IFERROR(INDEX(UWS!$G$10:$Z$41,MATCH($C445,UWS!$B$10:$B$41,0),MATCH(P$4,UWS!$G$3:$Z$3,0)),0)</f>
        <v>0</v>
      </c>
      <c r="Q445" s="47">
        <f>IFERROR(INDEX(UWS!$G$10:$Z$41,MATCH($C445,UWS!$B$10:$B$41,0),MATCH(Q$4,UWS!$G$3:$Z$3,0)),0)</f>
        <v>0</v>
      </c>
      <c r="R445" s="47">
        <f>IFERROR(INDEX(UWS!$G$10:$Z$41,MATCH($C445,UWS!$B$10:$B$41,0),MATCH(R$4,UWS!$G$3:$Z$3,0)),0)</f>
        <v>0</v>
      </c>
      <c r="S445" s="47">
        <f>IFERROR(INDEX(UWS!$G$10:$Z$41,MATCH($C445,UWS!$B$10:$B$41,0),MATCH(S$4,UWS!$G$3:$Z$3,0)),0)</f>
        <v>0</v>
      </c>
      <c r="T445" s="47">
        <f>IFERROR(INDEX(UWS!$G$10:$Z$41,MATCH($C445,UWS!$B$10:$B$41,0),MATCH(T$4,UWS!$G$3:$Z$3,0)),0)</f>
        <v>0</v>
      </c>
      <c r="U445" s="47">
        <f>IFERROR(INDEX(UWS!$G$10:$Z$41,MATCH($C445,UWS!$B$10:$B$41,0),MATCH(U$4,UWS!$G$3:$Z$3,0)),0)</f>
        <v>0</v>
      </c>
      <c r="V445" s="47">
        <f>IFERROR(INDEX(UWS!$G$10:$Z$41,MATCH($C445,UWS!$B$10:$B$41,0),MATCH(V$4,UWS!$G$3:$Z$3,0)),0)</f>
        <v>0</v>
      </c>
      <c r="W445" s="47">
        <f>IFERROR(INDEX(UWS!$G$10:$Z$41,MATCH($C445,UWS!$B$10:$B$41,0),MATCH(W$4,UWS!$G$3:$Z$3,0)),0)</f>
        <v>0</v>
      </c>
      <c r="X445" s="47">
        <f>IFERROR(INDEX(UWS!$G$10:$Z$41,MATCH($C445,UWS!$B$10:$B$41,0),MATCH(X$4,UWS!$G$3:$Z$3,0)),0)</f>
        <v>0</v>
      </c>
      <c r="Y445" s="47">
        <f>IFERROR(INDEX(UWS!$G$10:$Z$41,MATCH($C445,UWS!$B$10:$B$41,0),MATCH(Y$4,UWS!$G$3:$Z$3,0)),0)</f>
        <v>0</v>
      </c>
      <c r="Z445" s="47">
        <f>IFERROR(INDEX(UWS!$G$10:$Z$41,MATCH($C445,UWS!$B$10:$B$41,0),MATCH(Z$4,UWS!$G$3:$Z$3,0)),0)</f>
        <v>0</v>
      </c>
      <c r="AA445" s="47">
        <f>IFERROR(INDEX(UWS!$G$10:$Z$41,MATCH($C445,UWS!$B$10:$B$41,0),MATCH(AA$4,UWS!$G$3:$Z$3,0)),0)</f>
        <v>0</v>
      </c>
      <c r="AB445" s="47">
        <f>IFERROR(INDEX(UWS!$G$10:$Z$41,MATCH($C445,UWS!$B$10:$B$41,0),MATCH(AB$4,UWS!$G$3:$Z$3,0)),0)</f>
        <v>0</v>
      </c>
      <c r="AC445" s="47">
        <f>IFERROR(INDEX(UWS!$G$10:$Z$41,MATCH($C445,UWS!$B$10:$B$41,0),MATCH(AC$4,UWS!$G$3:$Z$3,0)),0)</f>
        <v>0</v>
      </c>
      <c r="AD445" s="47">
        <f>IFERROR(INDEX(UWS!$G$10:$Z$41,MATCH($C445,UWS!$B$10:$B$41,0),MATCH(AD$4,UWS!$G$3:$Z$3,0)),0)</f>
        <v>0</v>
      </c>
      <c r="AE445" s="47">
        <f>IFERROR(INDEX(UWS!$G$10:$Z$41,MATCH($C445,UWS!$B$10:$B$41,0),MATCH(AE$4,UWS!$G$3:$Z$3,0)),0)</f>
        <v>0</v>
      </c>
      <c r="AF445" s="47">
        <f>IFERROR(INDEX(UWS!$G$10:$Z$41,MATCH($C445,UWS!$B$10:$B$41,0),MATCH(AF$4,UWS!$G$3:$Z$3,0)),0)</f>
        <v>0</v>
      </c>
      <c r="AG445" s="47">
        <f>IFERROR(INDEX(UWS!$G$10:$Z$41,MATCH($C445,UWS!$B$10:$B$41,0),MATCH(AG$4,UWS!$G$3:$Z$3,0)),0)</f>
        <v>0</v>
      </c>
      <c r="AH445" s="47">
        <f>IFERROR(INDEX(UWS!$G$10:$Z$41,MATCH($C445,UWS!$B$10:$B$41,0),MATCH(AH$4,UWS!$G$3:$Z$3,0)),0)</f>
        <v>0</v>
      </c>
      <c r="AI445" s="47">
        <f>IFERROR(INDEX(UWS!$G$10:$Z$41,MATCH($C445,UWS!$B$10:$B$41,0),MATCH(AI$4,UWS!$G$3:$Z$3,0)),0)</f>
        <v>0</v>
      </c>
      <c r="AJ445" s="47"/>
      <c r="AK445" s="47" t="e">
        <f>IF(OR($J445=0,COUNTIFS($A$4:$A444,"&gt;="&amp;$A445-1,$A$4:$A444,"&lt;="&amp;$A445,$B$4:$B444,$B445)&gt;0,MIN(AK$1,IF($A445=$A444,AK444,1))-P445&lt;0),-1,MIN(1,IF($A445=$A444,AK444,1)-P445+$D$3))</f>
        <v>#N/A</v>
      </c>
      <c r="AL445" s="47" t="e">
        <f>IF(OR($J445=0,COUNTIFS($A$4:$A444,"&gt;="&amp;$A445-1,$A$4:$A444,"&lt;="&amp;$A445,$B$4:$B444,$B445)&gt;0,MIN(AL$1,IF($A445=$A444,AL444,1))-Q445&lt;0),-1,MIN(1,IF($A445=$A444,AL444,1)-Q445+$D$3))</f>
        <v>#N/A</v>
      </c>
      <c r="AM445" s="47" t="e">
        <f>IF(OR($J445=0,COUNTIFS($A$4:$A444,"&gt;="&amp;$A445-1,$A$4:$A444,"&lt;="&amp;$A445,$B$4:$B444,$B445)&gt;0,MIN(AM$1,IF($A445=$A444,AM444,1))-R445&lt;0),-1,MIN(1,IF($A445=$A444,AM444,1)-R445+$D$3))</f>
        <v>#N/A</v>
      </c>
      <c r="AN445" s="47" t="e">
        <f>IF(OR($J445=0,COUNTIFS($A$4:$A444,"&gt;="&amp;$A445-1,$A$4:$A444,"&lt;="&amp;$A445,$B$4:$B444,$B445)&gt;0,MIN(AN$1,IF($A445=$A444,AN444,1))-S445&lt;0),-1,MIN(1,IF($A445=$A444,AN444,1)-S445+$D$3))</f>
        <v>#N/A</v>
      </c>
      <c r="AO445" s="47" t="e">
        <f>IF(OR($J445=0,COUNTIFS($A$4:$A444,"&gt;="&amp;$A445-1,$A$4:$A444,"&lt;="&amp;$A445,$B$4:$B444,$B445)&gt;0,MIN(AO$1,IF($A445=$A444,AO444,1))-T445&lt;0),-1,MIN(1,IF($A445=$A444,AO444,1)-T445+$D$3))</f>
        <v>#N/A</v>
      </c>
      <c r="AP445" s="47" t="e">
        <f>IF(OR($J445=0,COUNTIFS($A$4:$A444,"&gt;="&amp;$A445-1,$A$4:$A444,"&lt;="&amp;$A445,$B$4:$B444,$B445)&gt;0,MIN(AP$1,IF($A445=$A444,AP444,1))-U445&lt;0),-1,MIN(1,IF($A445=$A444,AP444,1)-U445+$D$3))</f>
        <v>#N/A</v>
      </c>
      <c r="AQ445" s="47" t="e">
        <f>IF(OR($J445=0,COUNTIFS($A$4:$A444,"&gt;="&amp;$A445-1,$A$4:$A444,"&lt;="&amp;$A445,$B$4:$B444,$B445)&gt;0,MIN(AQ$1,IF($A445=$A444,AQ444,1))-V445&lt;0),-1,MIN(1,IF($A445=$A444,AQ444,1)-V445+$D$3))</f>
        <v>#N/A</v>
      </c>
      <c r="AR445" s="47" t="e">
        <f>IF(OR($J445=0,COUNTIFS($A$4:$A444,"&gt;="&amp;$A445-1,$A$4:$A444,"&lt;="&amp;$A445,$B$4:$B444,$B445)&gt;0,MIN(AR$1,IF($A445=$A444,AR444,1))-W445&lt;0),-1,MIN(1,IF($A445=$A444,AR444,1)-W445+$D$3))</f>
        <v>#N/A</v>
      </c>
      <c r="AS445" s="47" t="e">
        <f>IF(OR($J445=0,COUNTIFS($A$4:$A444,"&gt;="&amp;$A445-1,$A$4:$A444,"&lt;="&amp;$A445,$B$4:$B444,$B445)&gt;0,MIN(AS$1,IF($A445=$A444,AS444,1))-X445&lt;0),-1,MIN(1,IF($A445=$A444,AS444,1)-X445+$D$3))</f>
        <v>#N/A</v>
      </c>
      <c r="AT445" s="47" t="e">
        <f>IF(OR($J445=0,COUNTIFS($A$4:$A444,"&gt;="&amp;$A445-1,$A$4:$A444,"&lt;="&amp;$A445,$B$4:$B444,$B445)&gt;0,MIN(AT$1,IF($A445=$A444,AT444,1))-Y445&lt;0),-1,MIN(1,IF($A445=$A444,AT444,1)-Y445+$D$3))</f>
        <v>#N/A</v>
      </c>
      <c r="AU445" s="47" t="e">
        <f>IF(OR($J445=0,COUNTIFS($A$4:$A444,"&gt;="&amp;$A445-1,$A$4:$A444,"&lt;="&amp;$A445,$B$4:$B444,$B445)&gt;0,MIN(AU$1,IF($A445=$A444,AU444,1))-Z445&lt;0),-1,MIN(1,IF($A445=$A444,AU444,1)-Z445+$D$3))</f>
        <v>#N/A</v>
      </c>
      <c r="AV445" s="47" t="e">
        <f>IF(OR($J445=0,COUNTIFS($A$4:$A444,"&gt;="&amp;$A445-1,$A$4:$A444,"&lt;="&amp;$A445,$B$4:$B444,$B445)&gt;0,MIN(AV$1,IF($A445=$A444,AV444,1))-AA445&lt;0),-1,MIN(1,IF($A445=$A444,AV444,1)-AA445+$D$3))</f>
        <v>#N/A</v>
      </c>
      <c r="AW445" s="47" t="e">
        <f>IF(OR($J445=0,COUNTIFS($A$4:$A444,"&gt;="&amp;$A445-1,$A$4:$A444,"&lt;="&amp;$A445,$B$4:$B444,$B445)&gt;0,MIN(AW$1,IF($A445=$A444,AW444,1))-AB445&lt;0),-1,MIN(1,IF($A445=$A444,AW444,1)-AB445+$D$3))</f>
        <v>#N/A</v>
      </c>
      <c r="AX445" s="47" t="e">
        <f>IF(OR($J445=0,COUNTIFS($A$4:$A444,"&gt;="&amp;$A445-1,$A$4:$A444,"&lt;="&amp;$A445,$B$4:$B444,$B445)&gt;0,MIN(AX$1,IF($A445=$A444,AX444,1))-AC445&lt;0),-1,MIN(1,IF($A445=$A444,AX444,1)-AC445+$D$3))</f>
        <v>#N/A</v>
      </c>
      <c r="AY445" s="47" t="e">
        <f>IF(OR($J445=0,COUNTIFS($A$4:$A444,"&gt;="&amp;$A445-1,$A$4:$A444,"&lt;="&amp;$A445,$B$4:$B444,$B445)&gt;0,MIN(AY$1,IF($A445=$A444,AY444,1))-AD445&lt;0),-1,MIN(1,IF($A445=$A444,AY444,1)-AD445+$D$3))</f>
        <v>#N/A</v>
      </c>
      <c r="AZ445" s="47" t="e">
        <f>IF(OR($J445=0,COUNTIFS($A$4:$A444,"&gt;="&amp;$A445-1,$A$4:$A444,"&lt;="&amp;$A445,$B$4:$B444,$B445)&gt;0,MIN(AZ$1,IF($A445=$A444,AZ444,1))-AE445&lt;0),-1,MIN(1,IF($A445=$A444,AZ444,1)-AE445+$D$3))</f>
        <v>#N/A</v>
      </c>
      <c r="BA445" s="47" t="e">
        <f>IF(OR($J445=0,COUNTIFS($A$4:$A444,"&gt;="&amp;$A445-1,$A$4:$A444,"&lt;="&amp;$A445,$B$4:$B444,$B445)&gt;0,MIN(BA$1,IF($A445=$A444,BA444,1))-AF445&lt;0),-1,MIN(1,IF($A445=$A444,BA444,1)-AF445+$D$3))</f>
        <v>#N/A</v>
      </c>
      <c r="BB445" s="47" t="e">
        <f>IF(OR($J445=0,COUNTIFS($A$4:$A444,"&gt;="&amp;$A445-1,$A$4:$A444,"&lt;="&amp;$A445,$B$4:$B444,$B445)&gt;0,MIN(BB$1,IF($A445=$A444,BB444,1))-AG445&lt;0),-1,MIN(1,IF($A445=$A444,BB444,1)-AG445+$D$3))</f>
        <v>#N/A</v>
      </c>
      <c r="BC445" s="47" t="e">
        <f>IF(OR($J445=0,COUNTIFS($A$4:$A444,"&gt;="&amp;$A445-1,$A$4:$A444,"&lt;="&amp;$A445,$B$4:$B444,$B445)&gt;0,MIN(BC$1,IF($A445=$A444,BC444,1))-AH445&lt;0),-1,MIN(1,IF($A445=$A444,BC444,1)-AH445+$D$3))</f>
        <v>#N/A</v>
      </c>
      <c r="BD445" s="47" t="e">
        <f>IF(OR($J445=0,COUNTIFS($A$4:$A444,"&gt;="&amp;$A445-1,$A$4:$A444,"&lt;="&amp;$A445,$B$4:$B444,$B445)&gt;0,MIN(BD$1,IF($A445=$A444,BD444,1))-AI445&lt;0),-1,MIN(1,IF($A445=$A444,BD444,1)-AI445+$D$3))</f>
        <v>#N/A</v>
      </c>
      <c r="BE445" s="47"/>
      <c r="BF445" s="53">
        <f t="shared" si="443"/>
        <v>3.1799173050618827E-10</v>
      </c>
      <c r="BG445" s="53">
        <f t="shared" si="444"/>
        <v>7.8203139662234494E-10</v>
      </c>
      <c r="BH445" s="53">
        <f t="shared" si="445"/>
        <v>8.0149991989133373E-10</v>
      </c>
      <c r="BI445" s="53">
        <f t="shared" si="446"/>
        <v>7.4036339892041108E-10</v>
      </c>
      <c r="BJ445" s="53">
        <f t="shared" si="447"/>
        <v>7.6523585989411892E-10</v>
      </c>
      <c r="BK445" s="53">
        <f t="shared" si="448"/>
        <v>3.286208100113425E-10</v>
      </c>
      <c r="BL445" s="53">
        <f t="shared" si="449"/>
        <v>1.7752613156028314E-10</v>
      </c>
      <c r="BM445" s="53">
        <f t="shared" si="450"/>
        <v>4.5160574806899995E-10</v>
      </c>
      <c r="BN445" s="53">
        <f t="shared" si="451"/>
        <v>4.6970517405785342E-10</v>
      </c>
      <c r="BO445" s="53">
        <f t="shared" si="452"/>
        <v>2.2012166782917308E-10</v>
      </c>
      <c r="BP445" s="53">
        <f t="shared" si="453"/>
        <v>7.401542037211586E-10</v>
      </c>
      <c r="BQ445" s="53">
        <f t="shared" si="454"/>
        <v>1.9973698067210895E-10</v>
      </c>
      <c r="BR445" s="53">
        <f t="shared" si="455"/>
        <v>5.9007304030054316E-10</v>
      </c>
      <c r="BS445" s="53">
        <f t="shared" si="456"/>
        <v>3.1823422097050168E-10</v>
      </c>
      <c r="BT445" s="53">
        <f t="shared" si="457"/>
        <v>1.2593503754972976E-9</v>
      </c>
      <c r="BU445" s="53">
        <f t="shared" si="458"/>
        <v>1.203058561611468E-9</v>
      </c>
      <c r="BV445" s="53">
        <f t="shared" si="459"/>
        <v>1.1553776402525587E-9</v>
      </c>
      <c r="BW445" s="53">
        <f t="shared" si="460"/>
        <v>7.5568055763876448E-10</v>
      </c>
      <c r="BX445" s="53">
        <f t="shared" si="461"/>
        <v>5.582830733896115E-10</v>
      </c>
      <c r="BY445" s="53">
        <f t="shared" si="462"/>
        <v>4.7935018585823018E-10</v>
      </c>
      <c r="BZ445" s="47"/>
      <c r="CA445" s="53" t="str">
        <f t="shared" si="463"/>
        <v/>
      </c>
      <c r="CB445" s="53" t="str">
        <f t="shared" si="464"/>
        <v/>
      </c>
      <c r="CC445" s="53" t="str">
        <f t="shared" si="465"/>
        <v/>
      </c>
      <c r="CD445" s="53" t="str">
        <f t="shared" si="466"/>
        <v/>
      </c>
      <c r="CE445" s="53" t="str">
        <f t="shared" si="467"/>
        <v/>
      </c>
      <c r="CF445" s="53" t="str">
        <f t="shared" si="468"/>
        <v/>
      </c>
      <c r="CG445" s="53" t="str">
        <f t="shared" si="469"/>
        <v/>
      </c>
      <c r="CH445" s="53" t="str">
        <f t="shared" si="470"/>
        <v/>
      </c>
      <c r="CI445" s="53" t="str">
        <f t="shared" si="471"/>
        <v/>
      </c>
      <c r="CJ445" s="53" t="str">
        <f t="shared" si="472"/>
        <v/>
      </c>
      <c r="CK445" s="53" t="str">
        <f t="shared" si="473"/>
        <v/>
      </c>
      <c r="CL445" s="53" t="str">
        <f t="shared" si="474"/>
        <v/>
      </c>
      <c r="CM445" s="53" t="str">
        <f t="shared" si="475"/>
        <v/>
      </c>
      <c r="CN445" s="53" t="str">
        <f t="shared" si="476"/>
        <v/>
      </c>
      <c r="CO445" s="53" t="str">
        <f t="shared" si="477"/>
        <v/>
      </c>
      <c r="CP445" s="53" t="str">
        <f t="shared" si="478"/>
        <v/>
      </c>
      <c r="CQ445" s="53" t="str">
        <f t="shared" si="479"/>
        <v/>
      </c>
      <c r="CR445" s="53" t="str">
        <f t="shared" si="480"/>
        <v/>
      </c>
      <c r="CS445" s="53" t="str">
        <f t="shared" si="481"/>
        <v/>
      </c>
      <c r="CT445" s="53" t="str">
        <f t="shared" si="482"/>
        <v/>
      </c>
      <c r="CU445" s="47"/>
      <c r="CV445" s="53">
        <f t="shared" si="483"/>
        <v>0</v>
      </c>
    </row>
    <row r="446" spans="1:100" x14ac:dyDescent="0.25">
      <c r="A446" s="41"/>
      <c r="B446" s="42"/>
      <c r="C446" s="43" t="str" cm="1">
        <f t="array" ref="C446">IF(B446="","",INDEX(UWS!$B$10:$B$41,B446))</f>
        <v/>
      </c>
      <c r="D446" s="40" t="str">
        <f t="shared" si="440"/>
        <v/>
      </c>
      <c r="E446" s="69" t="str">
        <f t="shared" si="441"/>
        <v/>
      </c>
      <c r="F446" s="48" cm="1">
        <f t="array" ref="F446">0.1+IFERROR(INDEX($F$5:$F445,SUMPRODUCT(MAX(ROW($C$5:$C445)*($C446=$C$5:$C445))-ROW($A$4)))*0.9^($A446-INDEX($A$5:A445,SUMPRODUCT(MAX(ROW($C$5:$C445)*($C446=$C$5:$C445))-ROW($A$4)))),0)</f>
        <v>38.100000000000271</v>
      </c>
      <c r="G446" s="55" t="e">
        <f>INDEX(UWS!$AB$10:$AB$41,MATCH(C446,UWS!$B$10:$B$41,0))</f>
        <v>#N/A</v>
      </c>
      <c r="H446" s="48" t="e">
        <f>INDEX(UWS!$C$10:$C$41,MATCH(C446,UWS!$B$10:$B$41,0))</f>
        <v>#N/A</v>
      </c>
      <c r="I446" s="82">
        <f t="shared" si="442"/>
        <v>5</v>
      </c>
      <c r="J446" s="27" t="e">
        <f>INDEX(UWS!$E$10:$E$41,MATCH(C446,UWS!$B$10:$B$41,0))</f>
        <v>#N/A</v>
      </c>
      <c r="L446" s="108" t="str" cm="1">
        <f t="array" ref="L446">IF(K446="","",INDEX(UWS!$B$10:$B$41,K446))</f>
        <v/>
      </c>
      <c r="N446" s="108" t="str" cm="1">
        <f t="array" ref="N446">IF(M446="","",INDEX(UWS!$B$10:$B$41,M446))</f>
        <v/>
      </c>
      <c r="P446">
        <f>IFERROR(INDEX(UWS!$G$10:$Z$41,MATCH($C446,UWS!$B$10:$B$41,0),MATCH(P$4,UWS!$G$3:$Z$3,0)),0)</f>
        <v>0</v>
      </c>
      <c r="Q446">
        <f>IFERROR(INDEX(UWS!$G$10:$Z$41,MATCH($C446,UWS!$B$10:$B$41,0),MATCH(Q$4,UWS!$G$3:$Z$3,0)),0)</f>
        <v>0</v>
      </c>
      <c r="R446">
        <f>IFERROR(INDEX(UWS!$G$10:$Z$41,MATCH($C446,UWS!$B$10:$B$41,0),MATCH(R$4,UWS!$G$3:$Z$3,0)),0)</f>
        <v>0</v>
      </c>
      <c r="S446">
        <f>IFERROR(INDEX(UWS!$G$10:$Z$41,MATCH($C446,UWS!$B$10:$B$41,0),MATCH(S$4,UWS!$G$3:$Z$3,0)),0)</f>
        <v>0</v>
      </c>
      <c r="T446">
        <f>IFERROR(INDEX(UWS!$G$10:$Z$41,MATCH($C446,UWS!$B$10:$B$41,0),MATCH(T$4,UWS!$G$3:$Z$3,0)),0)</f>
        <v>0</v>
      </c>
      <c r="U446">
        <f>IFERROR(INDEX(UWS!$G$10:$Z$41,MATCH($C446,UWS!$B$10:$B$41,0),MATCH(U$4,UWS!$G$3:$Z$3,0)),0)</f>
        <v>0</v>
      </c>
      <c r="V446">
        <f>IFERROR(INDEX(UWS!$G$10:$Z$41,MATCH($C446,UWS!$B$10:$B$41,0),MATCH(V$4,UWS!$G$3:$Z$3,0)),0)</f>
        <v>0</v>
      </c>
      <c r="W446">
        <f>IFERROR(INDEX(UWS!$G$10:$Z$41,MATCH($C446,UWS!$B$10:$B$41,0),MATCH(W$4,UWS!$G$3:$Z$3,0)),0)</f>
        <v>0</v>
      </c>
      <c r="X446">
        <f>IFERROR(INDEX(UWS!$G$10:$Z$41,MATCH($C446,UWS!$B$10:$B$41,0),MATCH(X$4,UWS!$G$3:$Z$3,0)),0)</f>
        <v>0</v>
      </c>
      <c r="Y446">
        <f>IFERROR(INDEX(UWS!$G$10:$Z$41,MATCH($C446,UWS!$B$10:$B$41,0),MATCH(Y$4,UWS!$G$3:$Z$3,0)),0)</f>
        <v>0</v>
      </c>
      <c r="Z446">
        <f>IFERROR(INDEX(UWS!$G$10:$Z$41,MATCH($C446,UWS!$B$10:$B$41,0),MATCH(Z$4,UWS!$G$3:$Z$3,0)),0)</f>
        <v>0</v>
      </c>
      <c r="AA446">
        <f>IFERROR(INDEX(UWS!$G$10:$Z$41,MATCH($C446,UWS!$B$10:$B$41,0),MATCH(AA$4,UWS!$G$3:$Z$3,0)),0)</f>
        <v>0</v>
      </c>
      <c r="AB446">
        <f>IFERROR(INDEX(UWS!$G$10:$Z$41,MATCH($C446,UWS!$B$10:$B$41,0),MATCH(AB$4,UWS!$G$3:$Z$3,0)),0)</f>
        <v>0</v>
      </c>
      <c r="AC446">
        <f>IFERROR(INDEX(UWS!$G$10:$Z$41,MATCH($C446,UWS!$B$10:$B$41,0),MATCH(AC$4,UWS!$G$3:$Z$3,0)),0)</f>
        <v>0</v>
      </c>
      <c r="AD446">
        <f>IFERROR(INDEX(UWS!$G$10:$Z$41,MATCH($C446,UWS!$B$10:$B$41,0),MATCH(AD$4,UWS!$G$3:$Z$3,0)),0)</f>
        <v>0</v>
      </c>
      <c r="AE446">
        <f>IFERROR(INDEX(UWS!$G$10:$Z$41,MATCH($C446,UWS!$B$10:$B$41,0),MATCH(AE$4,UWS!$G$3:$Z$3,0)),0)</f>
        <v>0</v>
      </c>
      <c r="AF446">
        <f>IFERROR(INDEX(UWS!$G$10:$Z$41,MATCH($C446,UWS!$B$10:$B$41,0),MATCH(AF$4,UWS!$G$3:$Z$3,0)),0)</f>
        <v>0</v>
      </c>
      <c r="AG446">
        <f>IFERROR(INDEX(UWS!$G$10:$Z$41,MATCH($C446,UWS!$B$10:$B$41,0),MATCH(AG$4,UWS!$G$3:$Z$3,0)),0)</f>
        <v>0</v>
      </c>
      <c r="AH446">
        <f>IFERROR(INDEX(UWS!$G$10:$Z$41,MATCH($C446,UWS!$B$10:$B$41,0),MATCH(AH$4,UWS!$G$3:$Z$3,0)),0)</f>
        <v>0</v>
      </c>
      <c r="AI446">
        <f>IFERROR(INDEX(UWS!$G$10:$Z$41,MATCH($C446,UWS!$B$10:$B$41,0),MATCH(AI$4,UWS!$G$3:$Z$3,0)),0)</f>
        <v>0</v>
      </c>
      <c r="AK446" t="e">
        <f>IF(OR($J446=0,COUNTIFS($A$4:$A445,"&gt;="&amp;$A446-1,$A$4:$A445,"&lt;="&amp;$A446,$B$4:$B445,$B446)&gt;0,MIN(AK$1,IF($A446=$A445,AK445,1))-P446&lt;0),-1,MIN(1,IF($A446=$A445,AK445,1)-P446+$D$3))</f>
        <v>#N/A</v>
      </c>
      <c r="AL446" t="e">
        <f>IF(OR($J446=0,COUNTIFS($A$4:$A445,"&gt;="&amp;$A446-1,$A$4:$A445,"&lt;="&amp;$A446,$B$4:$B445,$B446)&gt;0,MIN(AL$1,IF($A446=$A445,AL445,1))-Q446&lt;0),-1,MIN(1,IF($A446=$A445,AL445,1)-Q446+$D$3))</f>
        <v>#N/A</v>
      </c>
      <c r="AM446" t="e">
        <f>IF(OR($J446=0,COUNTIFS($A$4:$A445,"&gt;="&amp;$A446-1,$A$4:$A445,"&lt;="&amp;$A446,$B$4:$B445,$B446)&gt;0,MIN(AM$1,IF($A446=$A445,AM445,1))-R446&lt;0),-1,MIN(1,IF($A446=$A445,AM445,1)-R446+$D$3))</f>
        <v>#N/A</v>
      </c>
      <c r="AN446" t="e">
        <f>IF(OR($J446=0,COUNTIFS($A$4:$A445,"&gt;="&amp;$A446-1,$A$4:$A445,"&lt;="&amp;$A446,$B$4:$B445,$B446)&gt;0,MIN(AN$1,IF($A446=$A445,AN445,1))-S446&lt;0),-1,MIN(1,IF($A446=$A445,AN445,1)-S446+$D$3))</f>
        <v>#N/A</v>
      </c>
      <c r="AO446" t="e">
        <f>IF(OR($J446=0,COUNTIFS($A$4:$A445,"&gt;="&amp;$A446-1,$A$4:$A445,"&lt;="&amp;$A446,$B$4:$B445,$B446)&gt;0,MIN(AO$1,IF($A446=$A445,AO445,1))-T446&lt;0),-1,MIN(1,IF($A446=$A445,AO445,1)-T446+$D$3))</f>
        <v>#N/A</v>
      </c>
      <c r="AP446" t="e">
        <f>IF(OR($J446=0,COUNTIFS($A$4:$A445,"&gt;="&amp;$A446-1,$A$4:$A445,"&lt;="&amp;$A446,$B$4:$B445,$B446)&gt;0,MIN(AP$1,IF($A446=$A445,AP445,1))-U446&lt;0),-1,MIN(1,IF($A446=$A445,AP445,1)-U446+$D$3))</f>
        <v>#N/A</v>
      </c>
      <c r="AQ446" t="e">
        <f>IF(OR($J446=0,COUNTIFS($A$4:$A445,"&gt;="&amp;$A446-1,$A$4:$A445,"&lt;="&amp;$A446,$B$4:$B445,$B446)&gt;0,MIN(AQ$1,IF($A446=$A445,AQ445,1))-V446&lt;0),-1,MIN(1,IF($A446=$A445,AQ445,1)-V446+$D$3))</f>
        <v>#N/A</v>
      </c>
      <c r="AR446" t="e">
        <f>IF(OR($J446=0,COUNTIFS($A$4:$A445,"&gt;="&amp;$A446-1,$A$4:$A445,"&lt;="&amp;$A446,$B$4:$B445,$B446)&gt;0,MIN(AR$1,IF($A446=$A445,AR445,1))-W446&lt;0),-1,MIN(1,IF($A446=$A445,AR445,1)-W446+$D$3))</f>
        <v>#N/A</v>
      </c>
      <c r="AS446" t="e">
        <f>IF(OR($J446=0,COUNTIFS($A$4:$A445,"&gt;="&amp;$A446-1,$A$4:$A445,"&lt;="&amp;$A446,$B$4:$B445,$B446)&gt;0,MIN(AS$1,IF($A446=$A445,AS445,1))-X446&lt;0),-1,MIN(1,IF($A446=$A445,AS445,1)-X446+$D$3))</f>
        <v>#N/A</v>
      </c>
      <c r="AT446" t="e">
        <f>IF(OR($J446=0,COUNTIFS($A$4:$A445,"&gt;="&amp;$A446-1,$A$4:$A445,"&lt;="&amp;$A446,$B$4:$B445,$B446)&gt;0,MIN(AT$1,IF($A446=$A445,AT445,1))-Y446&lt;0),-1,MIN(1,IF($A446=$A445,AT445,1)-Y446+$D$3))</f>
        <v>#N/A</v>
      </c>
      <c r="AU446" t="e">
        <f>IF(OR($J446=0,COUNTIFS($A$4:$A445,"&gt;="&amp;$A446-1,$A$4:$A445,"&lt;="&amp;$A446,$B$4:$B445,$B446)&gt;0,MIN(AU$1,IF($A446=$A445,AU445,1))-Z446&lt;0),-1,MIN(1,IF($A446=$A445,AU445,1)-Z446+$D$3))</f>
        <v>#N/A</v>
      </c>
      <c r="AV446" t="e">
        <f>IF(OR($J446=0,COUNTIFS($A$4:$A445,"&gt;="&amp;$A446-1,$A$4:$A445,"&lt;="&amp;$A446,$B$4:$B445,$B446)&gt;0,MIN(AV$1,IF($A446=$A445,AV445,1))-AA446&lt;0),-1,MIN(1,IF($A446=$A445,AV445,1)-AA446+$D$3))</f>
        <v>#N/A</v>
      </c>
      <c r="AW446" t="e">
        <f>IF(OR($J446=0,COUNTIFS($A$4:$A445,"&gt;="&amp;$A446-1,$A$4:$A445,"&lt;="&amp;$A446,$B$4:$B445,$B446)&gt;0,MIN(AW$1,IF($A446=$A445,AW445,1))-AB446&lt;0),-1,MIN(1,IF($A446=$A445,AW445,1)-AB446+$D$3))</f>
        <v>#N/A</v>
      </c>
      <c r="AX446" t="e">
        <f>IF(OR($J446=0,COUNTIFS($A$4:$A445,"&gt;="&amp;$A446-1,$A$4:$A445,"&lt;="&amp;$A446,$B$4:$B445,$B446)&gt;0,MIN(AX$1,IF($A446=$A445,AX445,1))-AC446&lt;0),-1,MIN(1,IF($A446=$A445,AX445,1)-AC446+$D$3))</f>
        <v>#N/A</v>
      </c>
      <c r="AY446" t="e">
        <f>IF(OR($J446=0,COUNTIFS($A$4:$A445,"&gt;="&amp;$A446-1,$A$4:$A445,"&lt;="&amp;$A446,$B$4:$B445,$B446)&gt;0,MIN(AY$1,IF($A446=$A445,AY445,1))-AD446&lt;0),-1,MIN(1,IF($A446=$A445,AY445,1)-AD446+$D$3))</f>
        <v>#N/A</v>
      </c>
      <c r="AZ446" t="e">
        <f>IF(OR($J446=0,COUNTIFS($A$4:$A445,"&gt;="&amp;$A446-1,$A$4:$A445,"&lt;="&amp;$A446,$B$4:$B445,$B446)&gt;0,MIN(AZ$1,IF($A446=$A445,AZ445,1))-AE446&lt;0),-1,MIN(1,IF($A446=$A445,AZ445,1)-AE446+$D$3))</f>
        <v>#N/A</v>
      </c>
      <c r="BA446" t="e">
        <f>IF(OR($J446=0,COUNTIFS($A$4:$A445,"&gt;="&amp;$A446-1,$A$4:$A445,"&lt;="&amp;$A446,$B$4:$B445,$B446)&gt;0,MIN(BA$1,IF($A446=$A445,BA445,1))-AF446&lt;0),-1,MIN(1,IF($A446=$A445,BA445,1)-AF446+$D$3))</f>
        <v>#N/A</v>
      </c>
      <c r="BB446" t="e">
        <f>IF(OR($J446=0,COUNTIFS($A$4:$A445,"&gt;="&amp;$A446-1,$A$4:$A445,"&lt;="&amp;$A446,$B$4:$B445,$B446)&gt;0,MIN(BB$1,IF($A446=$A445,BB445,1))-AG446&lt;0),-1,MIN(1,IF($A446=$A445,BB445,1)-AG446+$D$3))</f>
        <v>#N/A</v>
      </c>
      <c r="BC446" t="e">
        <f>IF(OR($J446=0,COUNTIFS($A$4:$A445,"&gt;="&amp;$A446-1,$A$4:$A445,"&lt;="&amp;$A446,$B$4:$B445,$B446)&gt;0,MIN(BC$1,IF($A446=$A445,BC445,1))-AH446&lt;0),-1,MIN(1,IF($A446=$A445,BC445,1)-AH446+$D$3))</f>
        <v>#N/A</v>
      </c>
      <c r="BD446" t="e">
        <f>IF(OR($J446=0,COUNTIFS($A$4:$A445,"&gt;="&amp;$A446-1,$A$4:$A445,"&lt;="&amp;$A446,$B$4:$B445,$B446)&gt;0,MIN(BD$1,IF($A446=$A445,BD445,1))-AI446&lt;0),-1,MIN(1,IF($A446=$A445,BD445,1)-AI446+$D$3))</f>
        <v>#N/A</v>
      </c>
      <c r="BF446" s="44">
        <f t="shared" si="443"/>
        <v>3.0209214398087883E-10</v>
      </c>
      <c r="BG446" s="44">
        <f t="shared" si="444"/>
        <v>7.4292982679122765E-10</v>
      </c>
      <c r="BH446" s="44">
        <f t="shared" si="445"/>
        <v>7.6142492389676705E-10</v>
      </c>
      <c r="BI446" s="44">
        <f t="shared" si="446"/>
        <v>7.0334522897439045E-10</v>
      </c>
      <c r="BJ446" s="44">
        <f t="shared" si="447"/>
        <v>7.269740668994129E-10</v>
      </c>
      <c r="BK446" s="44">
        <f t="shared" si="448"/>
        <v>3.1218976951077534E-10</v>
      </c>
      <c r="BL446" s="44">
        <f t="shared" si="449"/>
        <v>1.6864982498226897E-10</v>
      </c>
      <c r="BM446" s="44">
        <f t="shared" si="450"/>
        <v>4.2902546066554994E-10</v>
      </c>
      <c r="BN446" s="44">
        <f t="shared" si="451"/>
        <v>4.4621991535496075E-10</v>
      </c>
      <c r="BO446" s="44">
        <f t="shared" si="452"/>
        <v>2.0911558443771442E-10</v>
      </c>
      <c r="BP446" s="44">
        <f t="shared" si="453"/>
        <v>7.0314649353510066E-10</v>
      </c>
      <c r="BQ446" s="44">
        <f t="shared" si="454"/>
        <v>1.897501316385035E-10</v>
      </c>
      <c r="BR446" s="44">
        <f t="shared" si="455"/>
        <v>5.6056938828551601E-10</v>
      </c>
      <c r="BS446" s="44">
        <f t="shared" si="456"/>
        <v>3.0232250992197656E-10</v>
      </c>
      <c r="BT446" s="44">
        <f t="shared" si="457"/>
        <v>1.1963828567224326E-9</v>
      </c>
      <c r="BU446" s="44">
        <f t="shared" si="458"/>
        <v>1.1429056335308946E-9</v>
      </c>
      <c r="BV446" s="44">
        <f t="shared" si="459"/>
        <v>1.0976087582399308E-9</v>
      </c>
      <c r="BW446" s="44">
        <f t="shared" si="460"/>
        <v>7.1789652975682619E-10</v>
      </c>
      <c r="BX446" s="44">
        <f t="shared" si="461"/>
        <v>5.3036891972013093E-10</v>
      </c>
      <c r="BY446" s="44">
        <f t="shared" si="462"/>
        <v>4.5538267656531865E-10</v>
      </c>
      <c r="CA446" s="44" t="str">
        <f t="shared" si="463"/>
        <v/>
      </c>
      <c r="CB446" s="44" t="str">
        <f t="shared" si="464"/>
        <v/>
      </c>
      <c r="CC446" s="44" t="str">
        <f t="shared" si="465"/>
        <v/>
      </c>
      <c r="CD446" s="44" t="str">
        <f t="shared" si="466"/>
        <v/>
      </c>
      <c r="CE446" s="44" t="str">
        <f t="shared" si="467"/>
        <v/>
      </c>
      <c r="CF446" s="44" t="str">
        <f t="shared" si="468"/>
        <v/>
      </c>
      <c r="CG446" s="44" t="str">
        <f t="shared" si="469"/>
        <v/>
      </c>
      <c r="CH446" s="44" t="str">
        <f t="shared" si="470"/>
        <v/>
      </c>
      <c r="CI446" s="44" t="str">
        <f t="shared" si="471"/>
        <v/>
      </c>
      <c r="CJ446" s="44" t="str">
        <f t="shared" si="472"/>
        <v/>
      </c>
      <c r="CK446" s="44" t="str">
        <f t="shared" si="473"/>
        <v/>
      </c>
      <c r="CL446" s="44" t="str">
        <f t="shared" si="474"/>
        <v/>
      </c>
      <c r="CM446" s="44" t="str">
        <f t="shared" si="475"/>
        <v/>
      </c>
      <c r="CN446" s="44" t="str">
        <f t="shared" si="476"/>
        <v/>
      </c>
      <c r="CO446" s="44" t="str">
        <f t="shared" si="477"/>
        <v/>
      </c>
      <c r="CP446" s="44" t="str">
        <f t="shared" si="478"/>
        <v/>
      </c>
      <c r="CQ446" s="44" t="str">
        <f t="shared" si="479"/>
        <v/>
      </c>
      <c r="CR446" s="44" t="str">
        <f t="shared" si="480"/>
        <v/>
      </c>
      <c r="CS446" s="44" t="str">
        <f t="shared" si="481"/>
        <v/>
      </c>
      <c r="CT446" s="44" t="str">
        <f t="shared" si="482"/>
        <v/>
      </c>
      <c r="CV446" s="44">
        <f t="shared" si="483"/>
        <v>0</v>
      </c>
    </row>
    <row r="447" spans="1:100" x14ac:dyDescent="0.25">
      <c r="A447" s="41"/>
      <c r="B447" s="42"/>
      <c r="C447" s="43" t="str" cm="1">
        <f t="array" ref="C447">IF(B447="","",INDEX(UWS!$B$10:$B$41,B447))</f>
        <v/>
      </c>
      <c r="D447" s="40" t="str">
        <f t="shared" si="440"/>
        <v/>
      </c>
      <c r="E447" s="69" t="str">
        <f t="shared" si="441"/>
        <v/>
      </c>
      <c r="F447" s="48" cm="1">
        <f t="array" ref="F447">0.1+IFERROR(INDEX($F$5:$F446,SUMPRODUCT(MAX(ROW($C$5:$C446)*($C447=$C$5:$C446))-ROW($A$4)))*0.9^($A447-INDEX($A$5:A446,SUMPRODUCT(MAX(ROW($C$5:$C446)*($C447=$C$5:$C446))-ROW($A$4)))),0)</f>
        <v>38.200000000000273</v>
      </c>
      <c r="G447" s="55" t="e">
        <f>INDEX(UWS!$AB$10:$AB$41,MATCH(C447,UWS!$B$10:$B$41,0))</f>
        <v>#N/A</v>
      </c>
      <c r="H447" s="48" t="e">
        <f>INDEX(UWS!$C$10:$C$41,MATCH(C447,UWS!$B$10:$B$41,0))</f>
        <v>#N/A</v>
      </c>
      <c r="I447" s="27">
        <f t="shared" si="442"/>
        <v>5</v>
      </c>
      <c r="J447" s="27" t="e">
        <f>INDEX(UWS!$E$10:$E$41,MATCH(C447,UWS!$B$10:$B$41,0))</f>
        <v>#N/A</v>
      </c>
      <c r="L447" s="108" t="str" cm="1">
        <f t="array" ref="L447">IF(K447="","",INDEX(UWS!$B$10:$B$41,K447))</f>
        <v/>
      </c>
      <c r="N447" s="108" t="str" cm="1">
        <f t="array" ref="N447">IF(M447="","",INDEX(UWS!$B$10:$B$41,M447))</f>
        <v/>
      </c>
      <c r="P447">
        <f>IFERROR(INDEX(UWS!$G$10:$Z$41,MATCH($C447,UWS!$B$10:$B$41,0),MATCH(P$4,UWS!$G$3:$Z$3,0)),0)</f>
        <v>0</v>
      </c>
      <c r="Q447">
        <f>IFERROR(INDEX(UWS!$G$10:$Z$41,MATCH($C447,UWS!$B$10:$B$41,0),MATCH(Q$4,UWS!$G$3:$Z$3,0)),0)</f>
        <v>0</v>
      </c>
      <c r="R447">
        <f>IFERROR(INDEX(UWS!$G$10:$Z$41,MATCH($C447,UWS!$B$10:$B$41,0),MATCH(R$4,UWS!$G$3:$Z$3,0)),0)</f>
        <v>0</v>
      </c>
      <c r="S447">
        <f>IFERROR(INDEX(UWS!$G$10:$Z$41,MATCH($C447,UWS!$B$10:$B$41,0),MATCH(S$4,UWS!$G$3:$Z$3,0)),0)</f>
        <v>0</v>
      </c>
      <c r="T447">
        <f>IFERROR(INDEX(UWS!$G$10:$Z$41,MATCH($C447,UWS!$B$10:$B$41,0),MATCH(T$4,UWS!$G$3:$Z$3,0)),0)</f>
        <v>0</v>
      </c>
      <c r="U447">
        <f>IFERROR(INDEX(UWS!$G$10:$Z$41,MATCH($C447,UWS!$B$10:$B$41,0),MATCH(U$4,UWS!$G$3:$Z$3,0)),0)</f>
        <v>0</v>
      </c>
      <c r="V447">
        <f>IFERROR(INDEX(UWS!$G$10:$Z$41,MATCH($C447,UWS!$B$10:$B$41,0),MATCH(V$4,UWS!$G$3:$Z$3,0)),0)</f>
        <v>0</v>
      </c>
      <c r="W447">
        <f>IFERROR(INDEX(UWS!$G$10:$Z$41,MATCH($C447,UWS!$B$10:$B$41,0),MATCH(W$4,UWS!$G$3:$Z$3,0)),0)</f>
        <v>0</v>
      </c>
      <c r="X447">
        <f>IFERROR(INDEX(UWS!$G$10:$Z$41,MATCH($C447,UWS!$B$10:$B$41,0),MATCH(X$4,UWS!$G$3:$Z$3,0)),0)</f>
        <v>0</v>
      </c>
      <c r="Y447">
        <f>IFERROR(INDEX(UWS!$G$10:$Z$41,MATCH($C447,UWS!$B$10:$B$41,0),MATCH(Y$4,UWS!$G$3:$Z$3,0)),0)</f>
        <v>0</v>
      </c>
      <c r="Z447">
        <f>IFERROR(INDEX(UWS!$G$10:$Z$41,MATCH($C447,UWS!$B$10:$B$41,0),MATCH(Z$4,UWS!$G$3:$Z$3,0)),0)</f>
        <v>0</v>
      </c>
      <c r="AA447">
        <f>IFERROR(INDEX(UWS!$G$10:$Z$41,MATCH($C447,UWS!$B$10:$B$41,0),MATCH(AA$4,UWS!$G$3:$Z$3,0)),0)</f>
        <v>0</v>
      </c>
      <c r="AB447">
        <f>IFERROR(INDEX(UWS!$G$10:$Z$41,MATCH($C447,UWS!$B$10:$B$41,0),MATCH(AB$4,UWS!$G$3:$Z$3,0)),0)</f>
        <v>0</v>
      </c>
      <c r="AC447">
        <f>IFERROR(INDEX(UWS!$G$10:$Z$41,MATCH($C447,UWS!$B$10:$B$41,0),MATCH(AC$4,UWS!$G$3:$Z$3,0)),0)</f>
        <v>0</v>
      </c>
      <c r="AD447">
        <f>IFERROR(INDEX(UWS!$G$10:$Z$41,MATCH($C447,UWS!$B$10:$B$41,0),MATCH(AD$4,UWS!$G$3:$Z$3,0)),0)</f>
        <v>0</v>
      </c>
      <c r="AE447">
        <f>IFERROR(INDEX(UWS!$G$10:$Z$41,MATCH($C447,UWS!$B$10:$B$41,0),MATCH(AE$4,UWS!$G$3:$Z$3,0)),0)</f>
        <v>0</v>
      </c>
      <c r="AF447">
        <f>IFERROR(INDEX(UWS!$G$10:$Z$41,MATCH($C447,UWS!$B$10:$B$41,0),MATCH(AF$4,UWS!$G$3:$Z$3,0)),0)</f>
        <v>0</v>
      </c>
      <c r="AG447">
        <f>IFERROR(INDEX(UWS!$G$10:$Z$41,MATCH($C447,UWS!$B$10:$B$41,0),MATCH(AG$4,UWS!$G$3:$Z$3,0)),0)</f>
        <v>0</v>
      </c>
      <c r="AH447">
        <f>IFERROR(INDEX(UWS!$G$10:$Z$41,MATCH($C447,UWS!$B$10:$B$41,0),MATCH(AH$4,UWS!$G$3:$Z$3,0)),0)</f>
        <v>0</v>
      </c>
      <c r="AI447">
        <f>IFERROR(INDEX(UWS!$G$10:$Z$41,MATCH($C447,UWS!$B$10:$B$41,0),MATCH(AI$4,UWS!$G$3:$Z$3,0)),0)</f>
        <v>0</v>
      </c>
      <c r="AK447" t="e">
        <f>IF(OR($J447=0,COUNTIFS($A$4:$A446,"&gt;="&amp;$A447-1,$A$4:$A446,"&lt;="&amp;$A447,$B$4:$B446,$B447)&gt;0,MIN(AK$1,IF($A447=$A446,AK446,1))-P447&lt;0),-1,MIN(1,IF($A447=$A446,AK446,1)-P447+$D$3))</f>
        <v>#N/A</v>
      </c>
      <c r="AL447" t="e">
        <f>IF(OR($J447=0,COUNTIFS($A$4:$A446,"&gt;="&amp;$A447-1,$A$4:$A446,"&lt;="&amp;$A447,$B$4:$B446,$B447)&gt;0,MIN(AL$1,IF($A447=$A446,AL446,1))-Q447&lt;0),-1,MIN(1,IF($A447=$A446,AL446,1)-Q447+$D$3))</f>
        <v>#N/A</v>
      </c>
      <c r="AM447" t="e">
        <f>IF(OR($J447=0,COUNTIFS($A$4:$A446,"&gt;="&amp;$A447-1,$A$4:$A446,"&lt;="&amp;$A447,$B$4:$B446,$B447)&gt;0,MIN(AM$1,IF($A447=$A446,AM446,1))-R447&lt;0),-1,MIN(1,IF($A447=$A446,AM446,1)-R447+$D$3))</f>
        <v>#N/A</v>
      </c>
      <c r="AN447" t="e">
        <f>IF(OR($J447=0,COUNTIFS($A$4:$A446,"&gt;="&amp;$A447-1,$A$4:$A446,"&lt;="&amp;$A447,$B$4:$B446,$B447)&gt;0,MIN(AN$1,IF($A447=$A446,AN446,1))-S447&lt;0),-1,MIN(1,IF($A447=$A446,AN446,1)-S447+$D$3))</f>
        <v>#N/A</v>
      </c>
      <c r="AO447" t="e">
        <f>IF(OR($J447=0,COUNTIFS($A$4:$A446,"&gt;="&amp;$A447-1,$A$4:$A446,"&lt;="&amp;$A447,$B$4:$B446,$B447)&gt;0,MIN(AO$1,IF($A447=$A446,AO446,1))-T447&lt;0),-1,MIN(1,IF($A447=$A446,AO446,1)-T447+$D$3))</f>
        <v>#N/A</v>
      </c>
      <c r="AP447" t="e">
        <f>IF(OR($J447=0,COUNTIFS($A$4:$A446,"&gt;="&amp;$A447-1,$A$4:$A446,"&lt;="&amp;$A447,$B$4:$B446,$B447)&gt;0,MIN(AP$1,IF($A447=$A446,AP446,1))-U447&lt;0),-1,MIN(1,IF($A447=$A446,AP446,1)-U447+$D$3))</f>
        <v>#N/A</v>
      </c>
      <c r="AQ447" t="e">
        <f>IF(OR($J447=0,COUNTIFS($A$4:$A446,"&gt;="&amp;$A447-1,$A$4:$A446,"&lt;="&amp;$A447,$B$4:$B446,$B447)&gt;0,MIN(AQ$1,IF($A447=$A446,AQ446,1))-V447&lt;0),-1,MIN(1,IF($A447=$A446,AQ446,1)-V447+$D$3))</f>
        <v>#N/A</v>
      </c>
      <c r="AR447" t="e">
        <f>IF(OR($J447=0,COUNTIFS($A$4:$A446,"&gt;="&amp;$A447-1,$A$4:$A446,"&lt;="&amp;$A447,$B$4:$B446,$B447)&gt;0,MIN(AR$1,IF($A447=$A446,AR446,1))-W447&lt;0),-1,MIN(1,IF($A447=$A446,AR446,1)-W447+$D$3))</f>
        <v>#N/A</v>
      </c>
      <c r="AS447" t="e">
        <f>IF(OR($J447=0,COUNTIFS($A$4:$A446,"&gt;="&amp;$A447-1,$A$4:$A446,"&lt;="&amp;$A447,$B$4:$B446,$B447)&gt;0,MIN(AS$1,IF($A447=$A446,AS446,1))-X447&lt;0),-1,MIN(1,IF($A447=$A446,AS446,1)-X447+$D$3))</f>
        <v>#N/A</v>
      </c>
      <c r="AT447" t="e">
        <f>IF(OR($J447=0,COUNTIFS($A$4:$A446,"&gt;="&amp;$A447-1,$A$4:$A446,"&lt;="&amp;$A447,$B$4:$B446,$B447)&gt;0,MIN(AT$1,IF($A447=$A446,AT446,1))-Y447&lt;0),-1,MIN(1,IF($A447=$A446,AT446,1)-Y447+$D$3))</f>
        <v>#N/A</v>
      </c>
      <c r="AU447" t="e">
        <f>IF(OR($J447=0,COUNTIFS($A$4:$A446,"&gt;="&amp;$A447-1,$A$4:$A446,"&lt;="&amp;$A447,$B$4:$B446,$B447)&gt;0,MIN(AU$1,IF($A447=$A446,AU446,1))-Z447&lt;0),-1,MIN(1,IF($A447=$A446,AU446,1)-Z447+$D$3))</f>
        <v>#N/A</v>
      </c>
      <c r="AV447" t="e">
        <f>IF(OR($J447=0,COUNTIFS($A$4:$A446,"&gt;="&amp;$A447-1,$A$4:$A446,"&lt;="&amp;$A447,$B$4:$B446,$B447)&gt;0,MIN(AV$1,IF($A447=$A446,AV446,1))-AA447&lt;0),-1,MIN(1,IF($A447=$A446,AV446,1)-AA447+$D$3))</f>
        <v>#N/A</v>
      </c>
      <c r="AW447" t="e">
        <f>IF(OR($J447=0,COUNTIFS($A$4:$A446,"&gt;="&amp;$A447-1,$A$4:$A446,"&lt;="&amp;$A447,$B$4:$B446,$B447)&gt;0,MIN(AW$1,IF($A447=$A446,AW446,1))-AB447&lt;0),-1,MIN(1,IF($A447=$A446,AW446,1)-AB447+$D$3))</f>
        <v>#N/A</v>
      </c>
      <c r="AX447" t="e">
        <f>IF(OR($J447=0,COUNTIFS($A$4:$A446,"&gt;="&amp;$A447-1,$A$4:$A446,"&lt;="&amp;$A447,$B$4:$B446,$B447)&gt;0,MIN(AX$1,IF($A447=$A446,AX446,1))-AC447&lt;0),-1,MIN(1,IF($A447=$A446,AX446,1)-AC447+$D$3))</f>
        <v>#N/A</v>
      </c>
      <c r="AY447" t="e">
        <f>IF(OR($J447=0,COUNTIFS($A$4:$A446,"&gt;="&amp;$A447-1,$A$4:$A446,"&lt;="&amp;$A447,$B$4:$B446,$B447)&gt;0,MIN(AY$1,IF($A447=$A446,AY446,1))-AD447&lt;0),-1,MIN(1,IF($A447=$A446,AY446,1)-AD447+$D$3))</f>
        <v>#N/A</v>
      </c>
      <c r="AZ447" t="e">
        <f>IF(OR($J447=0,COUNTIFS($A$4:$A446,"&gt;="&amp;$A447-1,$A$4:$A446,"&lt;="&amp;$A447,$B$4:$B446,$B447)&gt;0,MIN(AZ$1,IF($A447=$A446,AZ446,1))-AE447&lt;0),-1,MIN(1,IF($A447=$A446,AZ446,1)-AE447+$D$3))</f>
        <v>#N/A</v>
      </c>
      <c r="BA447" t="e">
        <f>IF(OR($J447=0,COUNTIFS($A$4:$A446,"&gt;="&amp;$A447-1,$A$4:$A446,"&lt;="&amp;$A447,$B$4:$B446,$B447)&gt;0,MIN(BA$1,IF($A447=$A446,BA446,1))-AF447&lt;0),-1,MIN(1,IF($A447=$A446,BA446,1)-AF447+$D$3))</f>
        <v>#N/A</v>
      </c>
      <c r="BB447" t="e">
        <f>IF(OR($J447=0,COUNTIFS($A$4:$A446,"&gt;="&amp;$A447-1,$A$4:$A446,"&lt;="&amp;$A447,$B$4:$B446,$B447)&gt;0,MIN(BB$1,IF($A447=$A446,BB446,1))-AG447&lt;0),-1,MIN(1,IF($A447=$A446,BB446,1)-AG447+$D$3))</f>
        <v>#N/A</v>
      </c>
      <c r="BC447" t="e">
        <f>IF(OR($J447=0,COUNTIFS($A$4:$A446,"&gt;="&amp;$A447-1,$A$4:$A446,"&lt;="&amp;$A447,$B$4:$B446,$B447)&gt;0,MIN(BC$1,IF($A447=$A446,BC446,1))-AH447&lt;0),-1,MIN(1,IF($A447=$A446,BC446,1)-AH447+$D$3))</f>
        <v>#N/A</v>
      </c>
      <c r="BD447" t="e">
        <f>IF(OR($J447=0,COUNTIFS($A$4:$A446,"&gt;="&amp;$A447-1,$A$4:$A446,"&lt;="&amp;$A447,$B$4:$B446,$B447)&gt;0,MIN(BD$1,IF($A447=$A446,BD446,1))-AI447&lt;0),-1,MIN(1,IF($A447=$A446,BD446,1)-AI447+$D$3))</f>
        <v>#N/A</v>
      </c>
      <c r="BF447" s="44">
        <f t="shared" si="443"/>
        <v>2.8698753678183486E-10</v>
      </c>
      <c r="BG447" s="44">
        <f t="shared" si="444"/>
        <v>7.0578333545166624E-10</v>
      </c>
      <c r="BH447" s="44">
        <f t="shared" si="445"/>
        <v>7.2335367770192863E-10</v>
      </c>
      <c r="BI447" s="44">
        <f t="shared" si="446"/>
        <v>6.6817796752567088E-10</v>
      </c>
      <c r="BJ447" s="44">
        <f t="shared" si="447"/>
        <v>6.9062536355444217E-10</v>
      </c>
      <c r="BK447" s="44">
        <f t="shared" si="448"/>
        <v>2.9658028103523657E-10</v>
      </c>
      <c r="BL447" s="44">
        <f t="shared" si="449"/>
        <v>1.602173337331555E-10</v>
      </c>
      <c r="BM447" s="44">
        <f t="shared" si="450"/>
        <v>4.0757418763227245E-10</v>
      </c>
      <c r="BN447" s="44">
        <f t="shared" si="451"/>
        <v>4.2390891958721271E-10</v>
      </c>
      <c r="BO447" s="44">
        <f t="shared" si="452"/>
        <v>1.9865980521582869E-10</v>
      </c>
      <c r="BP447" s="44">
        <f t="shared" si="453"/>
        <v>6.679891688583456E-10</v>
      </c>
      <c r="BQ447" s="44">
        <f t="shared" si="454"/>
        <v>1.8026262505657832E-10</v>
      </c>
      <c r="BR447" s="44">
        <f t="shared" si="455"/>
        <v>5.3254091887124016E-10</v>
      </c>
      <c r="BS447" s="44">
        <f t="shared" si="456"/>
        <v>2.8720638442587773E-10</v>
      </c>
      <c r="BT447" s="44">
        <f t="shared" si="457"/>
        <v>1.1365637138863109E-9</v>
      </c>
      <c r="BU447" s="44">
        <f t="shared" si="458"/>
        <v>1.0857603518543498E-9</v>
      </c>
      <c r="BV447" s="44">
        <f t="shared" si="459"/>
        <v>1.0427283203279342E-9</v>
      </c>
      <c r="BW447" s="44">
        <f t="shared" si="460"/>
        <v>6.8200170326898484E-10</v>
      </c>
      <c r="BX447" s="44">
        <f t="shared" si="461"/>
        <v>5.0385047373412438E-10</v>
      </c>
      <c r="BY447" s="44">
        <f t="shared" si="462"/>
        <v>4.3261354273705268E-10</v>
      </c>
      <c r="CA447" s="44" t="str">
        <f t="shared" si="463"/>
        <v/>
      </c>
      <c r="CB447" s="44" t="str">
        <f t="shared" si="464"/>
        <v/>
      </c>
      <c r="CC447" s="44" t="str">
        <f t="shared" si="465"/>
        <v/>
      </c>
      <c r="CD447" s="44" t="str">
        <f t="shared" si="466"/>
        <v/>
      </c>
      <c r="CE447" s="44" t="str">
        <f t="shared" si="467"/>
        <v/>
      </c>
      <c r="CF447" s="44" t="str">
        <f t="shared" si="468"/>
        <v/>
      </c>
      <c r="CG447" s="44" t="str">
        <f t="shared" si="469"/>
        <v/>
      </c>
      <c r="CH447" s="44" t="str">
        <f t="shared" si="470"/>
        <v/>
      </c>
      <c r="CI447" s="44" t="str">
        <f t="shared" si="471"/>
        <v/>
      </c>
      <c r="CJ447" s="44" t="str">
        <f t="shared" si="472"/>
        <v/>
      </c>
      <c r="CK447" s="44" t="str">
        <f t="shared" si="473"/>
        <v/>
      </c>
      <c r="CL447" s="44" t="str">
        <f t="shared" si="474"/>
        <v/>
      </c>
      <c r="CM447" s="44" t="str">
        <f t="shared" si="475"/>
        <v/>
      </c>
      <c r="CN447" s="44" t="str">
        <f t="shared" si="476"/>
        <v/>
      </c>
      <c r="CO447" s="44" t="str">
        <f t="shared" si="477"/>
        <v/>
      </c>
      <c r="CP447" s="44" t="str">
        <f t="shared" si="478"/>
        <v/>
      </c>
      <c r="CQ447" s="44" t="str">
        <f t="shared" si="479"/>
        <v/>
      </c>
      <c r="CR447" s="44" t="str">
        <f t="shared" si="480"/>
        <v/>
      </c>
      <c r="CS447" s="44" t="str">
        <f t="shared" si="481"/>
        <v/>
      </c>
      <c r="CT447" s="44" t="str">
        <f t="shared" si="482"/>
        <v/>
      </c>
      <c r="CV447" s="44">
        <f t="shared" si="483"/>
        <v>0</v>
      </c>
    </row>
    <row r="448" spans="1:100" x14ac:dyDescent="0.25">
      <c r="A448" s="41"/>
      <c r="B448" s="42"/>
      <c r="C448" s="43" t="str" cm="1">
        <f t="array" ref="C448">IF(B448="","",INDEX(UWS!$B$10:$B$41,B448))</f>
        <v/>
      </c>
      <c r="D448" s="40" t="str">
        <f t="shared" si="440"/>
        <v/>
      </c>
      <c r="E448" s="69" t="str">
        <f t="shared" si="441"/>
        <v/>
      </c>
      <c r="F448" s="48" cm="1">
        <f t="array" ref="F448">0.1+IFERROR(INDEX($F$5:$F447,SUMPRODUCT(MAX(ROW($C$5:$C447)*($C448=$C$5:$C447))-ROW($A$4)))*0.9^($A448-INDEX($A$5:A447,SUMPRODUCT(MAX(ROW($C$5:$C447)*($C448=$C$5:$C447))-ROW($A$4)))),0)</f>
        <v>38.300000000000274</v>
      </c>
      <c r="G448" s="55" t="e">
        <f>INDEX(UWS!$AB$10:$AB$41,MATCH(C448,UWS!$B$10:$B$41,0))</f>
        <v>#N/A</v>
      </c>
      <c r="H448" s="48" t="e">
        <f>INDEX(UWS!$C$10:$C$41,MATCH(C448,UWS!$B$10:$B$41,0))</f>
        <v>#N/A</v>
      </c>
      <c r="I448" s="27">
        <f t="shared" si="442"/>
        <v>5</v>
      </c>
      <c r="J448" s="27" t="e">
        <f>INDEX(UWS!$E$10:$E$41,MATCH(C448,UWS!$B$10:$B$41,0))</f>
        <v>#N/A</v>
      </c>
      <c r="L448" s="108" t="str" cm="1">
        <f t="array" ref="L448">IF(K448="","",INDEX(UWS!$B$10:$B$41,K448))</f>
        <v/>
      </c>
      <c r="N448" s="108" t="str" cm="1">
        <f t="array" ref="N448">IF(M448="","",INDEX(UWS!$B$10:$B$41,M448))</f>
        <v/>
      </c>
      <c r="P448">
        <f>IFERROR(INDEX(UWS!$G$10:$Z$41,MATCH($C448,UWS!$B$10:$B$41,0),MATCH(P$4,UWS!$G$3:$Z$3,0)),0)</f>
        <v>0</v>
      </c>
      <c r="Q448">
        <f>IFERROR(INDEX(UWS!$G$10:$Z$41,MATCH($C448,UWS!$B$10:$B$41,0),MATCH(Q$4,UWS!$G$3:$Z$3,0)),0)</f>
        <v>0</v>
      </c>
      <c r="R448">
        <f>IFERROR(INDEX(UWS!$G$10:$Z$41,MATCH($C448,UWS!$B$10:$B$41,0),MATCH(R$4,UWS!$G$3:$Z$3,0)),0)</f>
        <v>0</v>
      </c>
      <c r="S448">
        <f>IFERROR(INDEX(UWS!$G$10:$Z$41,MATCH($C448,UWS!$B$10:$B$41,0),MATCH(S$4,UWS!$G$3:$Z$3,0)),0)</f>
        <v>0</v>
      </c>
      <c r="T448">
        <f>IFERROR(INDEX(UWS!$G$10:$Z$41,MATCH($C448,UWS!$B$10:$B$41,0),MATCH(T$4,UWS!$G$3:$Z$3,0)),0)</f>
        <v>0</v>
      </c>
      <c r="U448">
        <f>IFERROR(INDEX(UWS!$G$10:$Z$41,MATCH($C448,UWS!$B$10:$B$41,0),MATCH(U$4,UWS!$G$3:$Z$3,0)),0)</f>
        <v>0</v>
      </c>
      <c r="V448">
        <f>IFERROR(INDEX(UWS!$G$10:$Z$41,MATCH($C448,UWS!$B$10:$B$41,0),MATCH(V$4,UWS!$G$3:$Z$3,0)),0)</f>
        <v>0</v>
      </c>
      <c r="W448">
        <f>IFERROR(INDEX(UWS!$G$10:$Z$41,MATCH($C448,UWS!$B$10:$B$41,0),MATCH(W$4,UWS!$G$3:$Z$3,0)),0)</f>
        <v>0</v>
      </c>
      <c r="X448">
        <f>IFERROR(INDEX(UWS!$G$10:$Z$41,MATCH($C448,UWS!$B$10:$B$41,0),MATCH(X$4,UWS!$G$3:$Z$3,0)),0)</f>
        <v>0</v>
      </c>
      <c r="Y448">
        <f>IFERROR(INDEX(UWS!$G$10:$Z$41,MATCH($C448,UWS!$B$10:$B$41,0),MATCH(Y$4,UWS!$G$3:$Z$3,0)),0)</f>
        <v>0</v>
      </c>
      <c r="Z448">
        <f>IFERROR(INDEX(UWS!$G$10:$Z$41,MATCH($C448,UWS!$B$10:$B$41,0),MATCH(Z$4,UWS!$G$3:$Z$3,0)),0)</f>
        <v>0</v>
      </c>
      <c r="AA448">
        <f>IFERROR(INDEX(UWS!$G$10:$Z$41,MATCH($C448,UWS!$B$10:$B$41,0),MATCH(AA$4,UWS!$G$3:$Z$3,0)),0)</f>
        <v>0</v>
      </c>
      <c r="AB448">
        <f>IFERROR(INDEX(UWS!$G$10:$Z$41,MATCH($C448,UWS!$B$10:$B$41,0),MATCH(AB$4,UWS!$G$3:$Z$3,0)),0)</f>
        <v>0</v>
      </c>
      <c r="AC448">
        <f>IFERROR(INDEX(UWS!$G$10:$Z$41,MATCH($C448,UWS!$B$10:$B$41,0),MATCH(AC$4,UWS!$G$3:$Z$3,0)),0)</f>
        <v>0</v>
      </c>
      <c r="AD448">
        <f>IFERROR(INDEX(UWS!$G$10:$Z$41,MATCH($C448,UWS!$B$10:$B$41,0),MATCH(AD$4,UWS!$G$3:$Z$3,0)),0)</f>
        <v>0</v>
      </c>
      <c r="AE448">
        <f>IFERROR(INDEX(UWS!$G$10:$Z$41,MATCH($C448,UWS!$B$10:$B$41,0),MATCH(AE$4,UWS!$G$3:$Z$3,0)),0)</f>
        <v>0</v>
      </c>
      <c r="AF448">
        <f>IFERROR(INDEX(UWS!$G$10:$Z$41,MATCH($C448,UWS!$B$10:$B$41,0),MATCH(AF$4,UWS!$G$3:$Z$3,0)),0)</f>
        <v>0</v>
      </c>
      <c r="AG448">
        <f>IFERROR(INDEX(UWS!$G$10:$Z$41,MATCH($C448,UWS!$B$10:$B$41,0),MATCH(AG$4,UWS!$G$3:$Z$3,0)),0)</f>
        <v>0</v>
      </c>
      <c r="AH448">
        <f>IFERROR(INDEX(UWS!$G$10:$Z$41,MATCH($C448,UWS!$B$10:$B$41,0),MATCH(AH$4,UWS!$G$3:$Z$3,0)),0)</f>
        <v>0</v>
      </c>
      <c r="AI448">
        <f>IFERROR(INDEX(UWS!$G$10:$Z$41,MATCH($C448,UWS!$B$10:$B$41,0),MATCH(AI$4,UWS!$G$3:$Z$3,0)),0)</f>
        <v>0</v>
      </c>
      <c r="AK448" t="e">
        <f>IF(OR($J448=0,COUNTIFS($A$4:$A447,"&gt;="&amp;$A448-1,$A$4:$A447,"&lt;="&amp;$A448,$B$4:$B447,$B448)&gt;0,MIN(AK$1,IF($A448=$A447,AK447,1))-P448&lt;0),-1,MIN(1,IF($A448=$A447,AK447,1)-P448+$D$3))</f>
        <v>#N/A</v>
      </c>
      <c r="AL448" t="e">
        <f>IF(OR($J448=0,COUNTIFS($A$4:$A447,"&gt;="&amp;$A448-1,$A$4:$A447,"&lt;="&amp;$A448,$B$4:$B447,$B448)&gt;0,MIN(AL$1,IF($A448=$A447,AL447,1))-Q448&lt;0),-1,MIN(1,IF($A448=$A447,AL447,1)-Q448+$D$3))</f>
        <v>#N/A</v>
      </c>
      <c r="AM448" t="e">
        <f>IF(OR($J448=0,COUNTIFS($A$4:$A447,"&gt;="&amp;$A448-1,$A$4:$A447,"&lt;="&amp;$A448,$B$4:$B447,$B448)&gt;0,MIN(AM$1,IF($A448=$A447,AM447,1))-R448&lt;0),-1,MIN(1,IF($A448=$A447,AM447,1)-R448+$D$3))</f>
        <v>#N/A</v>
      </c>
      <c r="AN448" t="e">
        <f>IF(OR($J448=0,COUNTIFS($A$4:$A447,"&gt;="&amp;$A448-1,$A$4:$A447,"&lt;="&amp;$A448,$B$4:$B447,$B448)&gt;0,MIN(AN$1,IF($A448=$A447,AN447,1))-S448&lt;0),-1,MIN(1,IF($A448=$A447,AN447,1)-S448+$D$3))</f>
        <v>#N/A</v>
      </c>
      <c r="AO448" t="e">
        <f>IF(OR($J448=0,COUNTIFS($A$4:$A447,"&gt;="&amp;$A448-1,$A$4:$A447,"&lt;="&amp;$A448,$B$4:$B447,$B448)&gt;0,MIN(AO$1,IF($A448=$A447,AO447,1))-T448&lt;0),-1,MIN(1,IF($A448=$A447,AO447,1)-T448+$D$3))</f>
        <v>#N/A</v>
      </c>
      <c r="AP448" t="e">
        <f>IF(OR($J448=0,COUNTIFS($A$4:$A447,"&gt;="&amp;$A448-1,$A$4:$A447,"&lt;="&amp;$A448,$B$4:$B447,$B448)&gt;0,MIN(AP$1,IF($A448=$A447,AP447,1))-U448&lt;0),-1,MIN(1,IF($A448=$A447,AP447,1)-U448+$D$3))</f>
        <v>#N/A</v>
      </c>
      <c r="AQ448" t="e">
        <f>IF(OR($J448=0,COUNTIFS($A$4:$A447,"&gt;="&amp;$A448-1,$A$4:$A447,"&lt;="&amp;$A448,$B$4:$B447,$B448)&gt;0,MIN(AQ$1,IF($A448=$A447,AQ447,1))-V448&lt;0),-1,MIN(1,IF($A448=$A447,AQ447,1)-V448+$D$3))</f>
        <v>#N/A</v>
      </c>
      <c r="AR448" t="e">
        <f>IF(OR($J448=0,COUNTIFS($A$4:$A447,"&gt;="&amp;$A448-1,$A$4:$A447,"&lt;="&amp;$A448,$B$4:$B447,$B448)&gt;0,MIN(AR$1,IF($A448=$A447,AR447,1))-W448&lt;0),-1,MIN(1,IF($A448=$A447,AR447,1)-W448+$D$3))</f>
        <v>#N/A</v>
      </c>
      <c r="AS448" t="e">
        <f>IF(OR($J448=0,COUNTIFS($A$4:$A447,"&gt;="&amp;$A448-1,$A$4:$A447,"&lt;="&amp;$A448,$B$4:$B447,$B448)&gt;0,MIN(AS$1,IF($A448=$A447,AS447,1))-X448&lt;0),-1,MIN(1,IF($A448=$A447,AS447,1)-X448+$D$3))</f>
        <v>#N/A</v>
      </c>
      <c r="AT448" t="e">
        <f>IF(OR($J448=0,COUNTIFS($A$4:$A447,"&gt;="&amp;$A448-1,$A$4:$A447,"&lt;="&amp;$A448,$B$4:$B447,$B448)&gt;0,MIN(AT$1,IF($A448=$A447,AT447,1))-Y448&lt;0),-1,MIN(1,IF($A448=$A447,AT447,1)-Y448+$D$3))</f>
        <v>#N/A</v>
      </c>
      <c r="AU448" t="e">
        <f>IF(OR($J448=0,COUNTIFS($A$4:$A447,"&gt;="&amp;$A448-1,$A$4:$A447,"&lt;="&amp;$A448,$B$4:$B447,$B448)&gt;0,MIN(AU$1,IF($A448=$A447,AU447,1))-Z448&lt;0),-1,MIN(1,IF($A448=$A447,AU447,1)-Z448+$D$3))</f>
        <v>#N/A</v>
      </c>
      <c r="AV448" t="e">
        <f>IF(OR($J448=0,COUNTIFS($A$4:$A447,"&gt;="&amp;$A448-1,$A$4:$A447,"&lt;="&amp;$A448,$B$4:$B447,$B448)&gt;0,MIN(AV$1,IF($A448=$A447,AV447,1))-AA448&lt;0),-1,MIN(1,IF($A448=$A447,AV447,1)-AA448+$D$3))</f>
        <v>#N/A</v>
      </c>
      <c r="AW448" t="e">
        <f>IF(OR($J448=0,COUNTIFS($A$4:$A447,"&gt;="&amp;$A448-1,$A$4:$A447,"&lt;="&amp;$A448,$B$4:$B447,$B448)&gt;0,MIN(AW$1,IF($A448=$A447,AW447,1))-AB448&lt;0),-1,MIN(1,IF($A448=$A447,AW447,1)-AB448+$D$3))</f>
        <v>#N/A</v>
      </c>
      <c r="AX448" t="e">
        <f>IF(OR($J448=0,COUNTIFS($A$4:$A447,"&gt;="&amp;$A448-1,$A$4:$A447,"&lt;="&amp;$A448,$B$4:$B447,$B448)&gt;0,MIN(AX$1,IF($A448=$A447,AX447,1))-AC448&lt;0),-1,MIN(1,IF($A448=$A447,AX447,1)-AC448+$D$3))</f>
        <v>#N/A</v>
      </c>
      <c r="AY448" t="e">
        <f>IF(OR($J448=0,COUNTIFS($A$4:$A447,"&gt;="&amp;$A448-1,$A$4:$A447,"&lt;="&amp;$A448,$B$4:$B447,$B448)&gt;0,MIN(AY$1,IF($A448=$A447,AY447,1))-AD448&lt;0),-1,MIN(1,IF($A448=$A447,AY447,1)-AD448+$D$3))</f>
        <v>#N/A</v>
      </c>
      <c r="AZ448" t="e">
        <f>IF(OR($J448=0,COUNTIFS($A$4:$A447,"&gt;="&amp;$A448-1,$A$4:$A447,"&lt;="&amp;$A448,$B$4:$B447,$B448)&gt;0,MIN(AZ$1,IF($A448=$A447,AZ447,1))-AE448&lt;0),-1,MIN(1,IF($A448=$A447,AZ447,1)-AE448+$D$3))</f>
        <v>#N/A</v>
      </c>
      <c r="BA448" t="e">
        <f>IF(OR($J448=0,COUNTIFS($A$4:$A447,"&gt;="&amp;$A448-1,$A$4:$A447,"&lt;="&amp;$A448,$B$4:$B447,$B448)&gt;0,MIN(BA$1,IF($A448=$A447,BA447,1))-AF448&lt;0),-1,MIN(1,IF($A448=$A447,BA447,1)-AF448+$D$3))</f>
        <v>#N/A</v>
      </c>
      <c r="BB448" t="e">
        <f>IF(OR($J448=0,COUNTIFS($A$4:$A447,"&gt;="&amp;$A448-1,$A$4:$A447,"&lt;="&amp;$A448,$B$4:$B447,$B448)&gt;0,MIN(BB$1,IF($A448=$A447,BB447,1))-AG448&lt;0),-1,MIN(1,IF($A448=$A447,BB447,1)-AG448+$D$3))</f>
        <v>#N/A</v>
      </c>
      <c r="BC448" t="e">
        <f>IF(OR($J448=0,COUNTIFS($A$4:$A447,"&gt;="&amp;$A448-1,$A$4:$A447,"&lt;="&amp;$A448,$B$4:$B447,$B448)&gt;0,MIN(BC$1,IF($A448=$A447,BC447,1))-AH448&lt;0),-1,MIN(1,IF($A448=$A447,BC447,1)-AH448+$D$3))</f>
        <v>#N/A</v>
      </c>
      <c r="BD448" t="e">
        <f>IF(OR($J448=0,COUNTIFS($A$4:$A447,"&gt;="&amp;$A448-1,$A$4:$A447,"&lt;="&amp;$A448,$B$4:$B447,$B448)&gt;0,MIN(BD$1,IF($A448=$A447,BD447,1))-AI448&lt;0),-1,MIN(1,IF($A448=$A447,BD447,1)-AI448+$D$3))</f>
        <v>#N/A</v>
      </c>
      <c r="BF448" s="44">
        <f t="shared" si="443"/>
        <v>2.726381599427431E-10</v>
      </c>
      <c r="BG448" s="44">
        <f t="shared" si="444"/>
        <v>6.7049416867908292E-10</v>
      </c>
      <c r="BH448" s="44">
        <f t="shared" si="445"/>
        <v>6.8718599381683221E-10</v>
      </c>
      <c r="BI448" s="44">
        <f t="shared" si="446"/>
        <v>6.3476906914938729E-10</v>
      </c>
      <c r="BJ448" s="44">
        <f t="shared" si="447"/>
        <v>6.5609409537672007E-10</v>
      </c>
      <c r="BK448" s="44">
        <f t="shared" si="448"/>
        <v>2.8175126698347471E-10</v>
      </c>
      <c r="BL448" s="44">
        <f t="shared" si="449"/>
        <v>1.5220646704649773E-10</v>
      </c>
      <c r="BM448" s="44">
        <f t="shared" si="450"/>
        <v>3.8719547825065879E-10</v>
      </c>
      <c r="BN448" s="44">
        <f t="shared" si="451"/>
        <v>4.0271347360785205E-10</v>
      </c>
      <c r="BO448" s="44">
        <f t="shared" si="452"/>
        <v>1.8872681495503723E-10</v>
      </c>
      <c r="BP448" s="44">
        <f t="shared" si="453"/>
        <v>6.3458971041542833E-10</v>
      </c>
      <c r="BQ448" s="44">
        <f t="shared" si="454"/>
        <v>1.7124949380374939E-10</v>
      </c>
      <c r="BR448" s="44">
        <f t="shared" si="455"/>
        <v>5.0591387292767812E-10</v>
      </c>
      <c r="BS448" s="44">
        <f t="shared" si="456"/>
        <v>2.7284606520458383E-10</v>
      </c>
      <c r="BT448" s="44">
        <f t="shared" si="457"/>
        <v>1.0797355281919953E-9</v>
      </c>
      <c r="BU448" s="44">
        <f t="shared" si="458"/>
        <v>1.0314723342616322E-9</v>
      </c>
      <c r="BV448" s="44">
        <f t="shared" si="459"/>
        <v>9.9059190431153747E-10</v>
      </c>
      <c r="BW448" s="44">
        <f t="shared" si="460"/>
        <v>6.4790161810553553E-10</v>
      </c>
      <c r="BX448" s="44">
        <f t="shared" si="461"/>
        <v>4.7865795004741818E-10</v>
      </c>
      <c r="BY448" s="44">
        <f t="shared" si="462"/>
        <v>4.1098286560020003E-10</v>
      </c>
      <c r="CA448" s="44" t="str">
        <f t="shared" si="463"/>
        <v/>
      </c>
      <c r="CB448" s="44" t="str">
        <f t="shared" si="464"/>
        <v/>
      </c>
      <c r="CC448" s="44" t="str">
        <f t="shared" si="465"/>
        <v/>
      </c>
      <c r="CD448" s="44" t="str">
        <f t="shared" si="466"/>
        <v/>
      </c>
      <c r="CE448" s="44" t="str">
        <f t="shared" si="467"/>
        <v/>
      </c>
      <c r="CF448" s="44" t="str">
        <f t="shared" si="468"/>
        <v/>
      </c>
      <c r="CG448" s="44" t="str">
        <f t="shared" si="469"/>
        <v/>
      </c>
      <c r="CH448" s="44" t="str">
        <f t="shared" si="470"/>
        <v/>
      </c>
      <c r="CI448" s="44" t="str">
        <f t="shared" si="471"/>
        <v/>
      </c>
      <c r="CJ448" s="44" t="str">
        <f t="shared" si="472"/>
        <v/>
      </c>
      <c r="CK448" s="44" t="str">
        <f t="shared" si="473"/>
        <v/>
      </c>
      <c r="CL448" s="44" t="str">
        <f t="shared" si="474"/>
        <v/>
      </c>
      <c r="CM448" s="44" t="str">
        <f t="shared" si="475"/>
        <v/>
      </c>
      <c r="CN448" s="44" t="str">
        <f t="shared" si="476"/>
        <v/>
      </c>
      <c r="CO448" s="44" t="str">
        <f t="shared" si="477"/>
        <v/>
      </c>
      <c r="CP448" s="44" t="str">
        <f t="shared" si="478"/>
        <v/>
      </c>
      <c r="CQ448" s="44" t="str">
        <f t="shared" si="479"/>
        <v/>
      </c>
      <c r="CR448" s="44" t="str">
        <f t="shared" si="480"/>
        <v/>
      </c>
      <c r="CS448" s="44" t="str">
        <f t="shared" si="481"/>
        <v/>
      </c>
      <c r="CT448" s="44" t="str">
        <f t="shared" si="482"/>
        <v/>
      </c>
      <c r="CV448" s="44">
        <f t="shared" si="483"/>
        <v>0</v>
      </c>
    </row>
    <row r="449" spans="1:100" x14ac:dyDescent="0.25">
      <c r="A449" s="41"/>
      <c r="B449" s="42"/>
      <c r="C449" s="43" t="str" cm="1">
        <f t="array" ref="C449">IF(B449="","",INDEX(UWS!$B$10:$B$41,B449))</f>
        <v/>
      </c>
      <c r="D449" s="40" t="str">
        <f t="shared" si="440"/>
        <v/>
      </c>
      <c r="E449" s="69" t="str">
        <f t="shared" si="441"/>
        <v/>
      </c>
      <c r="F449" s="48" cm="1">
        <f t="array" ref="F449">0.1+IFERROR(INDEX($F$5:$F448,SUMPRODUCT(MAX(ROW($C$5:$C448)*($C449=$C$5:$C448))-ROW($A$4)))*0.9^($A449-INDEX($A$5:A448,SUMPRODUCT(MAX(ROW($C$5:$C448)*($C449=$C$5:$C448))-ROW($A$4)))),0)</f>
        <v>38.400000000000276</v>
      </c>
      <c r="G449" s="55" t="e">
        <f>INDEX(UWS!$AB$10:$AB$41,MATCH(C449,UWS!$B$10:$B$41,0))</f>
        <v>#N/A</v>
      </c>
      <c r="H449" s="48" t="e">
        <f>INDEX(UWS!$C$10:$C$41,MATCH(C449,UWS!$B$10:$B$41,0))</f>
        <v>#N/A</v>
      </c>
      <c r="I449" s="27">
        <f t="shared" si="442"/>
        <v>5</v>
      </c>
      <c r="J449" s="27" t="e">
        <f>INDEX(UWS!$E$10:$E$41,MATCH(C449,UWS!$B$10:$B$41,0))</f>
        <v>#N/A</v>
      </c>
      <c r="L449" s="108" t="str" cm="1">
        <f t="array" ref="L449">IF(K449="","",INDEX(UWS!$B$10:$B$41,K449))</f>
        <v/>
      </c>
      <c r="N449" s="108" t="str" cm="1">
        <f t="array" ref="N449">IF(M449="","",INDEX(UWS!$B$10:$B$41,M449))</f>
        <v/>
      </c>
      <c r="P449">
        <f>IFERROR(INDEX(UWS!$G$10:$Z$41,MATCH($C449,UWS!$B$10:$B$41,0),MATCH(P$4,UWS!$G$3:$Z$3,0)),0)</f>
        <v>0</v>
      </c>
      <c r="Q449">
        <f>IFERROR(INDEX(UWS!$G$10:$Z$41,MATCH($C449,UWS!$B$10:$B$41,0),MATCH(Q$4,UWS!$G$3:$Z$3,0)),0)</f>
        <v>0</v>
      </c>
      <c r="R449">
        <f>IFERROR(INDEX(UWS!$G$10:$Z$41,MATCH($C449,UWS!$B$10:$B$41,0),MATCH(R$4,UWS!$G$3:$Z$3,0)),0)</f>
        <v>0</v>
      </c>
      <c r="S449">
        <f>IFERROR(INDEX(UWS!$G$10:$Z$41,MATCH($C449,UWS!$B$10:$B$41,0),MATCH(S$4,UWS!$G$3:$Z$3,0)),0)</f>
        <v>0</v>
      </c>
      <c r="T449">
        <f>IFERROR(INDEX(UWS!$G$10:$Z$41,MATCH($C449,UWS!$B$10:$B$41,0),MATCH(T$4,UWS!$G$3:$Z$3,0)),0)</f>
        <v>0</v>
      </c>
      <c r="U449">
        <f>IFERROR(INDEX(UWS!$G$10:$Z$41,MATCH($C449,UWS!$B$10:$B$41,0),MATCH(U$4,UWS!$G$3:$Z$3,0)),0)</f>
        <v>0</v>
      </c>
      <c r="V449">
        <f>IFERROR(INDEX(UWS!$G$10:$Z$41,MATCH($C449,UWS!$B$10:$B$41,0),MATCH(V$4,UWS!$G$3:$Z$3,0)),0)</f>
        <v>0</v>
      </c>
      <c r="W449">
        <f>IFERROR(INDEX(UWS!$G$10:$Z$41,MATCH($C449,UWS!$B$10:$B$41,0),MATCH(W$4,UWS!$G$3:$Z$3,0)),0)</f>
        <v>0</v>
      </c>
      <c r="X449">
        <f>IFERROR(INDEX(UWS!$G$10:$Z$41,MATCH($C449,UWS!$B$10:$B$41,0),MATCH(X$4,UWS!$G$3:$Z$3,0)),0)</f>
        <v>0</v>
      </c>
      <c r="Y449">
        <f>IFERROR(INDEX(UWS!$G$10:$Z$41,MATCH($C449,UWS!$B$10:$B$41,0),MATCH(Y$4,UWS!$G$3:$Z$3,0)),0)</f>
        <v>0</v>
      </c>
      <c r="Z449">
        <f>IFERROR(INDEX(UWS!$G$10:$Z$41,MATCH($C449,UWS!$B$10:$B$41,0),MATCH(Z$4,UWS!$G$3:$Z$3,0)),0)</f>
        <v>0</v>
      </c>
      <c r="AA449">
        <f>IFERROR(INDEX(UWS!$G$10:$Z$41,MATCH($C449,UWS!$B$10:$B$41,0),MATCH(AA$4,UWS!$G$3:$Z$3,0)),0)</f>
        <v>0</v>
      </c>
      <c r="AB449">
        <f>IFERROR(INDEX(UWS!$G$10:$Z$41,MATCH($C449,UWS!$B$10:$B$41,0),MATCH(AB$4,UWS!$G$3:$Z$3,0)),0)</f>
        <v>0</v>
      </c>
      <c r="AC449">
        <f>IFERROR(INDEX(UWS!$G$10:$Z$41,MATCH($C449,UWS!$B$10:$B$41,0),MATCH(AC$4,UWS!$G$3:$Z$3,0)),0)</f>
        <v>0</v>
      </c>
      <c r="AD449">
        <f>IFERROR(INDEX(UWS!$G$10:$Z$41,MATCH($C449,UWS!$B$10:$B$41,0),MATCH(AD$4,UWS!$G$3:$Z$3,0)),0)</f>
        <v>0</v>
      </c>
      <c r="AE449">
        <f>IFERROR(INDEX(UWS!$G$10:$Z$41,MATCH($C449,UWS!$B$10:$B$41,0),MATCH(AE$4,UWS!$G$3:$Z$3,0)),0)</f>
        <v>0</v>
      </c>
      <c r="AF449">
        <f>IFERROR(INDEX(UWS!$G$10:$Z$41,MATCH($C449,UWS!$B$10:$B$41,0),MATCH(AF$4,UWS!$G$3:$Z$3,0)),0)</f>
        <v>0</v>
      </c>
      <c r="AG449">
        <f>IFERROR(INDEX(UWS!$G$10:$Z$41,MATCH($C449,UWS!$B$10:$B$41,0),MATCH(AG$4,UWS!$G$3:$Z$3,0)),0)</f>
        <v>0</v>
      </c>
      <c r="AH449">
        <f>IFERROR(INDEX(UWS!$G$10:$Z$41,MATCH($C449,UWS!$B$10:$B$41,0),MATCH(AH$4,UWS!$G$3:$Z$3,0)),0)</f>
        <v>0</v>
      </c>
      <c r="AI449">
        <f>IFERROR(INDEX(UWS!$G$10:$Z$41,MATCH($C449,UWS!$B$10:$B$41,0),MATCH(AI$4,UWS!$G$3:$Z$3,0)),0)</f>
        <v>0</v>
      </c>
      <c r="AK449" t="e">
        <f>IF(OR($J449=0,COUNTIFS($A$4:$A448,"&gt;="&amp;$A449-1,$A$4:$A448,"&lt;="&amp;$A449,$B$4:$B448,$B449)&gt;0,MIN(AK$1,IF($A449=$A448,AK448,1))-P449&lt;0),-1,MIN(1,IF($A449=$A448,AK448,1)-P449+$D$3))</f>
        <v>#N/A</v>
      </c>
      <c r="AL449" t="e">
        <f>IF(OR($J449=0,COUNTIFS($A$4:$A448,"&gt;="&amp;$A449-1,$A$4:$A448,"&lt;="&amp;$A449,$B$4:$B448,$B449)&gt;0,MIN(AL$1,IF($A449=$A448,AL448,1))-Q449&lt;0),-1,MIN(1,IF($A449=$A448,AL448,1)-Q449+$D$3))</f>
        <v>#N/A</v>
      </c>
      <c r="AM449" t="e">
        <f>IF(OR($J449=0,COUNTIFS($A$4:$A448,"&gt;="&amp;$A449-1,$A$4:$A448,"&lt;="&amp;$A449,$B$4:$B448,$B449)&gt;0,MIN(AM$1,IF($A449=$A448,AM448,1))-R449&lt;0),-1,MIN(1,IF($A449=$A448,AM448,1)-R449+$D$3))</f>
        <v>#N/A</v>
      </c>
      <c r="AN449" t="e">
        <f>IF(OR($J449=0,COUNTIFS($A$4:$A448,"&gt;="&amp;$A449-1,$A$4:$A448,"&lt;="&amp;$A449,$B$4:$B448,$B449)&gt;0,MIN(AN$1,IF($A449=$A448,AN448,1))-S449&lt;0),-1,MIN(1,IF($A449=$A448,AN448,1)-S449+$D$3))</f>
        <v>#N/A</v>
      </c>
      <c r="AO449" t="e">
        <f>IF(OR($J449=0,COUNTIFS($A$4:$A448,"&gt;="&amp;$A449-1,$A$4:$A448,"&lt;="&amp;$A449,$B$4:$B448,$B449)&gt;0,MIN(AO$1,IF($A449=$A448,AO448,1))-T449&lt;0),-1,MIN(1,IF($A449=$A448,AO448,1)-T449+$D$3))</f>
        <v>#N/A</v>
      </c>
      <c r="AP449" t="e">
        <f>IF(OR($J449=0,COUNTIFS($A$4:$A448,"&gt;="&amp;$A449-1,$A$4:$A448,"&lt;="&amp;$A449,$B$4:$B448,$B449)&gt;0,MIN(AP$1,IF($A449=$A448,AP448,1))-U449&lt;0),-1,MIN(1,IF($A449=$A448,AP448,1)-U449+$D$3))</f>
        <v>#N/A</v>
      </c>
      <c r="AQ449" t="e">
        <f>IF(OR($J449=0,COUNTIFS($A$4:$A448,"&gt;="&amp;$A449-1,$A$4:$A448,"&lt;="&amp;$A449,$B$4:$B448,$B449)&gt;0,MIN(AQ$1,IF($A449=$A448,AQ448,1))-V449&lt;0),-1,MIN(1,IF($A449=$A448,AQ448,1)-V449+$D$3))</f>
        <v>#N/A</v>
      </c>
      <c r="AR449" t="e">
        <f>IF(OR($J449=0,COUNTIFS($A$4:$A448,"&gt;="&amp;$A449-1,$A$4:$A448,"&lt;="&amp;$A449,$B$4:$B448,$B449)&gt;0,MIN(AR$1,IF($A449=$A448,AR448,1))-W449&lt;0),-1,MIN(1,IF($A449=$A448,AR448,1)-W449+$D$3))</f>
        <v>#N/A</v>
      </c>
      <c r="AS449" t="e">
        <f>IF(OR($J449=0,COUNTIFS($A$4:$A448,"&gt;="&amp;$A449-1,$A$4:$A448,"&lt;="&amp;$A449,$B$4:$B448,$B449)&gt;0,MIN(AS$1,IF($A449=$A448,AS448,1))-X449&lt;0),-1,MIN(1,IF($A449=$A448,AS448,1)-X449+$D$3))</f>
        <v>#N/A</v>
      </c>
      <c r="AT449" t="e">
        <f>IF(OR($J449=0,COUNTIFS($A$4:$A448,"&gt;="&amp;$A449-1,$A$4:$A448,"&lt;="&amp;$A449,$B$4:$B448,$B449)&gt;0,MIN(AT$1,IF($A449=$A448,AT448,1))-Y449&lt;0),-1,MIN(1,IF($A449=$A448,AT448,1)-Y449+$D$3))</f>
        <v>#N/A</v>
      </c>
      <c r="AU449" t="e">
        <f>IF(OR($J449=0,COUNTIFS($A$4:$A448,"&gt;="&amp;$A449-1,$A$4:$A448,"&lt;="&amp;$A449,$B$4:$B448,$B449)&gt;0,MIN(AU$1,IF($A449=$A448,AU448,1))-Z449&lt;0),-1,MIN(1,IF($A449=$A448,AU448,1)-Z449+$D$3))</f>
        <v>#N/A</v>
      </c>
      <c r="AV449" t="e">
        <f>IF(OR($J449=0,COUNTIFS($A$4:$A448,"&gt;="&amp;$A449-1,$A$4:$A448,"&lt;="&amp;$A449,$B$4:$B448,$B449)&gt;0,MIN(AV$1,IF($A449=$A448,AV448,1))-AA449&lt;0),-1,MIN(1,IF($A449=$A448,AV448,1)-AA449+$D$3))</f>
        <v>#N/A</v>
      </c>
      <c r="AW449" t="e">
        <f>IF(OR($J449=0,COUNTIFS($A$4:$A448,"&gt;="&amp;$A449-1,$A$4:$A448,"&lt;="&amp;$A449,$B$4:$B448,$B449)&gt;0,MIN(AW$1,IF($A449=$A448,AW448,1))-AB449&lt;0),-1,MIN(1,IF($A449=$A448,AW448,1)-AB449+$D$3))</f>
        <v>#N/A</v>
      </c>
      <c r="AX449" t="e">
        <f>IF(OR($J449=0,COUNTIFS($A$4:$A448,"&gt;="&amp;$A449-1,$A$4:$A448,"&lt;="&amp;$A449,$B$4:$B448,$B449)&gt;0,MIN(AX$1,IF($A449=$A448,AX448,1))-AC449&lt;0),-1,MIN(1,IF($A449=$A448,AX448,1)-AC449+$D$3))</f>
        <v>#N/A</v>
      </c>
      <c r="AY449" t="e">
        <f>IF(OR($J449=0,COUNTIFS($A$4:$A448,"&gt;="&amp;$A449-1,$A$4:$A448,"&lt;="&amp;$A449,$B$4:$B448,$B449)&gt;0,MIN(AY$1,IF($A449=$A448,AY448,1))-AD449&lt;0),-1,MIN(1,IF($A449=$A448,AY448,1)-AD449+$D$3))</f>
        <v>#N/A</v>
      </c>
      <c r="AZ449" t="e">
        <f>IF(OR($J449=0,COUNTIFS($A$4:$A448,"&gt;="&amp;$A449-1,$A$4:$A448,"&lt;="&amp;$A449,$B$4:$B448,$B449)&gt;0,MIN(AZ$1,IF($A449=$A448,AZ448,1))-AE449&lt;0),-1,MIN(1,IF($A449=$A448,AZ448,1)-AE449+$D$3))</f>
        <v>#N/A</v>
      </c>
      <c r="BA449" t="e">
        <f>IF(OR($J449=0,COUNTIFS($A$4:$A448,"&gt;="&amp;$A449-1,$A$4:$A448,"&lt;="&amp;$A449,$B$4:$B448,$B449)&gt;0,MIN(BA$1,IF($A449=$A448,BA448,1))-AF449&lt;0),-1,MIN(1,IF($A449=$A448,BA448,1)-AF449+$D$3))</f>
        <v>#N/A</v>
      </c>
      <c r="BB449" t="e">
        <f>IF(OR($J449=0,COUNTIFS($A$4:$A448,"&gt;="&amp;$A449-1,$A$4:$A448,"&lt;="&amp;$A449,$B$4:$B448,$B449)&gt;0,MIN(BB$1,IF($A449=$A448,BB448,1))-AG449&lt;0),-1,MIN(1,IF($A449=$A448,BB448,1)-AG449+$D$3))</f>
        <v>#N/A</v>
      </c>
      <c r="BC449" t="e">
        <f>IF(OR($J449=0,COUNTIFS($A$4:$A448,"&gt;="&amp;$A449-1,$A$4:$A448,"&lt;="&amp;$A449,$B$4:$B448,$B449)&gt;0,MIN(BC$1,IF($A449=$A448,BC448,1))-AH449&lt;0),-1,MIN(1,IF($A449=$A448,BC448,1)-AH449+$D$3))</f>
        <v>#N/A</v>
      </c>
      <c r="BD449" t="e">
        <f>IF(OR($J449=0,COUNTIFS($A$4:$A448,"&gt;="&amp;$A449-1,$A$4:$A448,"&lt;="&amp;$A449,$B$4:$B448,$B449)&gt;0,MIN(BD$1,IF($A449=$A448,BD448,1))-AI449&lt;0),-1,MIN(1,IF($A449=$A448,BD448,1)-AI449+$D$3))</f>
        <v>#N/A</v>
      </c>
      <c r="BF449" s="44">
        <f t="shared" si="443"/>
        <v>2.5900625194560595E-10</v>
      </c>
      <c r="BG449" s="44">
        <f t="shared" si="444"/>
        <v>6.3696946024512877E-10</v>
      </c>
      <c r="BH449" s="44">
        <f t="shared" si="445"/>
        <v>6.5282669412599059E-10</v>
      </c>
      <c r="BI449" s="44">
        <f t="shared" si="446"/>
        <v>6.0303061569191785E-10</v>
      </c>
      <c r="BJ449" s="44">
        <f t="shared" si="447"/>
        <v>6.2328939060788407E-10</v>
      </c>
      <c r="BK449" s="44">
        <f t="shared" si="448"/>
        <v>2.6766370363430097E-10</v>
      </c>
      <c r="BL449" s="44">
        <f t="shared" si="449"/>
        <v>1.4459614369417284E-10</v>
      </c>
      <c r="BM449" s="44">
        <f t="shared" si="450"/>
        <v>3.6783570433812584E-10</v>
      </c>
      <c r="BN449" s="44">
        <f t="shared" si="451"/>
        <v>3.8257779992745942E-10</v>
      </c>
      <c r="BO449" s="44">
        <f t="shared" si="452"/>
        <v>1.7929047420728537E-10</v>
      </c>
      <c r="BP449" s="44">
        <f t="shared" si="453"/>
        <v>6.0286022489465689E-10</v>
      </c>
      <c r="BQ449" s="44">
        <f t="shared" si="454"/>
        <v>1.6268701911356192E-10</v>
      </c>
      <c r="BR449" s="44">
        <f t="shared" si="455"/>
        <v>4.806181792812942E-10</v>
      </c>
      <c r="BS449" s="44">
        <f t="shared" si="456"/>
        <v>2.5920376194435461E-10</v>
      </c>
      <c r="BT449" s="44">
        <f t="shared" si="457"/>
        <v>1.0257487517823955E-9</v>
      </c>
      <c r="BU449" s="44">
        <f t="shared" si="458"/>
        <v>9.7989871754855056E-10</v>
      </c>
      <c r="BV449" s="44">
        <f t="shared" si="459"/>
        <v>9.4106230909596046E-10</v>
      </c>
      <c r="BW449" s="44">
        <f t="shared" si="460"/>
        <v>6.1550653720025871E-10</v>
      </c>
      <c r="BX449" s="44">
        <f t="shared" si="461"/>
        <v>4.5472505254504725E-10</v>
      </c>
      <c r="BY449" s="44">
        <f t="shared" si="462"/>
        <v>3.9043372232019001E-10</v>
      </c>
      <c r="CA449" s="44" t="str">
        <f t="shared" si="463"/>
        <v/>
      </c>
      <c r="CB449" s="44" t="str">
        <f t="shared" si="464"/>
        <v/>
      </c>
      <c r="CC449" s="44" t="str">
        <f t="shared" si="465"/>
        <v/>
      </c>
      <c r="CD449" s="44" t="str">
        <f t="shared" si="466"/>
        <v/>
      </c>
      <c r="CE449" s="44" t="str">
        <f t="shared" si="467"/>
        <v/>
      </c>
      <c r="CF449" s="44" t="str">
        <f t="shared" si="468"/>
        <v/>
      </c>
      <c r="CG449" s="44" t="str">
        <f t="shared" si="469"/>
        <v/>
      </c>
      <c r="CH449" s="44" t="str">
        <f t="shared" si="470"/>
        <v/>
      </c>
      <c r="CI449" s="44" t="str">
        <f t="shared" si="471"/>
        <v/>
      </c>
      <c r="CJ449" s="44" t="str">
        <f t="shared" si="472"/>
        <v/>
      </c>
      <c r="CK449" s="44" t="str">
        <f t="shared" si="473"/>
        <v/>
      </c>
      <c r="CL449" s="44" t="str">
        <f t="shared" si="474"/>
        <v/>
      </c>
      <c r="CM449" s="44" t="str">
        <f t="shared" si="475"/>
        <v/>
      </c>
      <c r="CN449" s="44" t="str">
        <f t="shared" si="476"/>
        <v/>
      </c>
      <c r="CO449" s="44" t="str">
        <f t="shared" si="477"/>
        <v/>
      </c>
      <c r="CP449" s="44" t="str">
        <f t="shared" si="478"/>
        <v/>
      </c>
      <c r="CQ449" s="44" t="str">
        <f t="shared" si="479"/>
        <v/>
      </c>
      <c r="CR449" s="44" t="str">
        <f t="shared" si="480"/>
        <v/>
      </c>
      <c r="CS449" s="44" t="str">
        <f t="shared" si="481"/>
        <v/>
      </c>
      <c r="CT449" s="44" t="str">
        <f t="shared" si="482"/>
        <v/>
      </c>
      <c r="CV449" s="44">
        <f t="shared" si="483"/>
        <v>0</v>
      </c>
    </row>
    <row r="450" spans="1:100" x14ac:dyDescent="0.25">
      <c r="A450" s="49"/>
      <c r="B450" s="50"/>
      <c r="C450" s="51" t="str" cm="1">
        <f t="array" ref="C450">IF(B450="","",INDEX(UWS!$B$10:$B$41,B450))</f>
        <v/>
      </c>
      <c r="D450" s="45" t="str">
        <f t="shared" si="440"/>
        <v/>
      </c>
      <c r="E450" s="70" t="str">
        <f t="shared" si="441"/>
        <v/>
      </c>
      <c r="F450" s="52" cm="1">
        <f t="array" ref="F450">0.1+IFERROR(INDEX($F$5:$F449,SUMPRODUCT(MAX(ROW($C$5:$C449)*($C450=$C$5:$C449))-ROW($A$4)))*0.9^($A450-INDEX($A$5:A449,SUMPRODUCT(MAX(ROW($C$5:$C449)*($C450=$C$5:$C449))-ROW($A$4)))),0)</f>
        <v>38.500000000000277</v>
      </c>
      <c r="G450" s="56" t="e">
        <f>INDEX(UWS!$AB$10:$AB$41,MATCH(C450,UWS!$B$10:$B$41,0))</f>
        <v>#N/A</v>
      </c>
      <c r="H450" s="52" t="e">
        <f>INDEX(UWS!$C$10:$C$41,MATCH(C450,UWS!$B$10:$B$41,0))</f>
        <v>#N/A</v>
      </c>
      <c r="I450" s="46">
        <f t="shared" si="442"/>
        <v>5</v>
      </c>
      <c r="J450" s="46" t="e">
        <f>INDEX(UWS!$E$10:$E$41,MATCH(C450,UWS!$B$10:$B$41,0))</f>
        <v>#N/A</v>
      </c>
      <c r="K450" s="46"/>
      <c r="L450" s="109" t="str" cm="1">
        <f t="array" ref="L450">IF(K450="","",INDEX(UWS!$B$10:$B$41,K450))</f>
        <v/>
      </c>
      <c r="M450" s="46"/>
      <c r="N450" s="109" t="str" cm="1">
        <f t="array" ref="N450">IF(M450="","",INDEX(UWS!$B$10:$B$41,M450))</f>
        <v/>
      </c>
      <c r="O450" s="47"/>
      <c r="P450" s="47">
        <f>IFERROR(INDEX(UWS!$G$10:$Z$41,MATCH($C450,UWS!$B$10:$B$41,0),MATCH(P$4,UWS!$G$3:$Z$3,0)),0)</f>
        <v>0</v>
      </c>
      <c r="Q450" s="47">
        <f>IFERROR(INDEX(UWS!$G$10:$Z$41,MATCH($C450,UWS!$B$10:$B$41,0),MATCH(Q$4,UWS!$G$3:$Z$3,0)),0)</f>
        <v>0</v>
      </c>
      <c r="R450" s="47">
        <f>IFERROR(INDEX(UWS!$G$10:$Z$41,MATCH($C450,UWS!$B$10:$B$41,0),MATCH(R$4,UWS!$G$3:$Z$3,0)),0)</f>
        <v>0</v>
      </c>
      <c r="S450" s="47">
        <f>IFERROR(INDEX(UWS!$G$10:$Z$41,MATCH($C450,UWS!$B$10:$B$41,0),MATCH(S$4,UWS!$G$3:$Z$3,0)),0)</f>
        <v>0</v>
      </c>
      <c r="T450" s="47">
        <f>IFERROR(INDEX(UWS!$G$10:$Z$41,MATCH($C450,UWS!$B$10:$B$41,0),MATCH(T$4,UWS!$G$3:$Z$3,0)),0)</f>
        <v>0</v>
      </c>
      <c r="U450" s="47">
        <f>IFERROR(INDEX(UWS!$G$10:$Z$41,MATCH($C450,UWS!$B$10:$B$41,0),MATCH(U$4,UWS!$G$3:$Z$3,0)),0)</f>
        <v>0</v>
      </c>
      <c r="V450" s="47">
        <f>IFERROR(INDEX(UWS!$G$10:$Z$41,MATCH($C450,UWS!$B$10:$B$41,0),MATCH(V$4,UWS!$G$3:$Z$3,0)),0)</f>
        <v>0</v>
      </c>
      <c r="W450" s="47">
        <f>IFERROR(INDEX(UWS!$G$10:$Z$41,MATCH($C450,UWS!$B$10:$B$41,0),MATCH(W$4,UWS!$G$3:$Z$3,0)),0)</f>
        <v>0</v>
      </c>
      <c r="X450" s="47">
        <f>IFERROR(INDEX(UWS!$G$10:$Z$41,MATCH($C450,UWS!$B$10:$B$41,0),MATCH(X$4,UWS!$G$3:$Z$3,0)),0)</f>
        <v>0</v>
      </c>
      <c r="Y450" s="47">
        <f>IFERROR(INDEX(UWS!$G$10:$Z$41,MATCH($C450,UWS!$B$10:$B$41,0),MATCH(Y$4,UWS!$G$3:$Z$3,0)),0)</f>
        <v>0</v>
      </c>
      <c r="Z450" s="47">
        <f>IFERROR(INDEX(UWS!$G$10:$Z$41,MATCH($C450,UWS!$B$10:$B$41,0),MATCH(Z$4,UWS!$G$3:$Z$3,0)),0)</f>
        <v>0</v>
      </c>
      <c r="AA450" s="47">
        <f>IFERROR(INDEX(UWS!$G$10:$Z$41,MATCH($C450,UWS!$B$10:$B$41,0),MATCH(AA$4,UWS!$G$3:$Z$3,0)),0)</f>
        <v>0</v>
      </c>
      <c r="AB450" s="47">
        <f>IFERROR(INDEX(UWS!$G$10:$Z$41,MATCH($C450,UWS!$B$10:$B$41,0),MATCH(AB$4,UWS!$G$3:$Z$3,0)),0)</f>
        <v>0</v>
      </c>
      <c r="AC450" s="47">
        <f>IFERROR(INDEX(UWS!$G$10:$Z$41,MATCH($C450,UWS!$B$10:$B$41,0),MATCH(AC$4,UWS!$G$3:$Z$3,0)),0)</f>
        <v>0</v>
      </c>
      <c r="AD450" s="47">
        <f>IFERROR(INDEX(UWS!$G$10:$Z$41,MATCH($C450,UWS!$B$10:$B$41,0),MATCH(AD$4,UWS!$G$3:$Z$3,0)),0)</f>
        <v>0</v>
      </c>
      <c r="AE450" s="47">
        <f>IFERROR(INDEX(UWS!$G$10:$Z$41,MATCH($C450,UWS!$B$10:$B$41,0),MATCH(AE$4,UWS!$G$3:$Z$3,0)),0)</f>
        <v>0</v>
      </c>
      <c r="AF450" s="47">
        <f>IFERROR(INDEX(UWS!$G$10:$Z$41,MATCH($C450,UWS!$B$10:$B$41,0),MATCH(AF$4,UWS!$G$3:$Z$3,0)),0)</f>
        <v>0</v>
      </c>
      <c r="AG450" s="47">
        <f>IFERROR(INDEX(UWS!$G$10:$Z$41,MATCH($C450,UWS!$B$10:$B$41,0),MATCH(AG$4,UWS!$G$3:$Z$3,0)),0)</f>
        <v>0</v>
      </c>
      <c r="AH450" s="47">
        <f>IFERROR(INDEX(UWS!$G$10:$Z$41,MATCH($C450,UWS!$B$10:$B$41,0),MATCH(AH$4,UWS!$G$3:$Z$3,0)),0)</f>
        <v>0</v>
      </c>
      <c r="AI450" s="47">
        <f>IFERROR(INDEX(UWS!$G$10:$Z$41,MATCH($C450,UWS!$B$10:$B$41,0),MATCH(AI$4,UWS!$G$3:$Z$3,0)),0)</f>
        <v>0</v>
      </c>
      <c r="AJ450" s="47"/>
      <c r="AK450" s="47" t="e">
        <f>IF(OR($J450=0,COUNTIFS($A$4:$A449,"&gt;="&amp;$A450-1,$A$4:$A449,"&lt;="&amp;$A450,$B$4:$B449,$B450)&gt;0,MIN(AK$1,IF($A450=$A449,AK449,1))-P450&lt;0),-1,MIN(1,IF($A450=$A449,AK449,1)-P450+$D$3))</f>
        <v>#N/A</v>
      </c>
      <c r="AL450" s="47" t="e">
        <f>IF(OR($J450=0,COUNTIFS($A$4:$A449,"&gt;="&amp;$A450-1,$A$4:$A449,"&lt;="&amp;$A450,$B$4:$B449,$B450)&gt;0,MIN(AL$1,IF($A450=$A449,AL449,1))-Q450&lt;0),-1,MIN(1,IF($A450=$A449,AL449,1)-Q450+$D$3))</f>
        <v>#N/A</v>
      </c>
      <c r="AM450" s="47" t="e">
        <f>IF(OR($J450=0,COUNTIFS($A$4:$A449,"&gt;="&amp;$A450-1,$A$4:$A449,"&lt;="&amp;$A450,$B$4:$B449,$B450)&gt;0,MIN(AM$1,IF($A450=$A449,AM449,1))-R450&lt;0),-1,MIN(1,IF($A450=$A449,AM449,1)-R450+$D$3))</f>
        <v>#N/A</v>
      </c>
      <c r="AN450" s="47" t="e">
        <f>IF(OR($J450=0,COUNTIFS($A$4:$A449,"&gt;="&amp;$A450-1,$A$4:$A449,"&lt;="&amp;$A450,$B$4:$B449,$B450)&gt;0,MIN(AN$1,IF($A450=$A449,AN449,1))-S450&lt;0),-1,MIN(1,IF($A450=$A449,AN449,1)-S450+$D$3))</f>
        <v>#N/A</v>
      </c>
      <c r="AO450" s="47" t="e">
        <f>IF(OR($J450=0,COUNTIFS($A$4:$A449,"&gt;="&amp;$A450-1,$A$4:$A449,"&lt;="&amp;$A450,$B$4:$B449,$B450)&gt;0,MIN(AO$1,IF($A450=$A449,AO449,1))-T450&lt;0),-1,MIN(1,IF($A450=$A449,AO449,1)-T450+$D$3))</f>
        <v>#N/A</v>
      </c>
      <c r="AP450" s="47" t="e">
        <f>IF(OR($J450=0,COUNTIFS($A$4:$A449,"&gt;="&amp;$A450-1,$A$4:$A449,"&lt;="&amp;$A450,$B$4:$B449,$B450)&gt;0,MIN(AP$1,IF($A450=$A449,AP449,1))-U450&lt;0),-1,MIN(1,IF($A450=$A449,AP449,1)-U450+$D$3))</f>
        <v>#N/A</v>
      </c>
      <c r="AQ450" s="47" t="e">
        <f>IF(OR($J450=0,COUNTIFS($A$4:$A449,"&gt;="&amp;$A450-1,$A$4:$A449,"&lt;="&amp;$A450,$B$4:$B449,$B450)&gt;0,MIN(AQ$1,IF($A450=$A449,AQ449,1))-V450&lt;0),-1,MIN(1,IF($A450=$A449,AQ449,1)-V450+$D$3))</f>
        <v>#N/A</v>
      </c>
      <c r="AR450" s="47" t="e">
        <f>IF(OR($J450=0,COUNTIFS($A$4:$A449,"&gt;="&amp;$A450-1,$A$4:$A449,"&lt;="&amp;$A450,$B$4:$B449,$B450)&gt;0,MIN(AR$1,IF($A450=$A449,AR449,1))-W450&lt;0),-1,MIN(1,IF($A450=$A449,AR449,1)-W450+$D$3))</f>
        <v>#N/A</v>
      </c>
      <c r="AS450" s="47" t="e">
        <f>IF(OR($J450=0,COUNTIFS($A$4:$A449,"&gt;="&amp;$A450-1,$A$4:$A449,"&lt;="&amp;$A450,$B$4:$B449,$B450)&gt;0,MIN(AS$1,IF($A450=$A449,AS449,1))-X450&lt;0),-1,MIN(1,IF($A450=$A449,AS449,1)-X450+$D$3))</f>
        <v>#N/A</v>
      </c>
      <c r="AT450" s="47" t="e">
        <f>IF(OR($J450=0,COUNTIFS($A$4:$A449,"&gt;="&amp;$A450-1,$A$4:$A449,"&lt;="&amp;$A450,$B$4:$B449,$B450)&gt;0,MIN(AT$1,IF($A450=$A449,AT449,1))-Y450&lt;0),-1,MIN(1,IF($A450=$A449,AT449,1)-Y450+$D$3))</f>
        <v>#N/A</v>
      </c>
      <c r="AU450" s="47" t="e">
        <f>IF(OR($J450=0,COUNTIFS($A$4:$A449,"&gt;="&amp;$A450-1,$A$4:$A449,"&lt;="&amp;$A450,$B$4:$B449,$B450)&gt;0,MIN(AU$1,IF($A450=$A449,AU449,1))-Z450&lt;0),-1,MIN(1,IF($A450=$A449,AU449,1)-Z450+$D$3))</f>
        <v>#N/A</v>
      </c>
      <c r="AV450" s="47" t="e">
        <f>IF(OR($J450=0,COUNTIFS($A$4:$A449,"&gt;="&amp;$A450-1,$A$4:$A449,"&lt;="&amp;$A450,$B$4:$B449,$B450)&gt;0,MIN(AV$1,IF($A450=$A449,AV449,1))-AA450&lt;0),-1,MIN(1,IF($A450=$A449,AV449,1)-AA450+$D$3))</f>
        <v>#N/A</v>
      </c>
      <c r="AW450" s="47" t="e">
        <f>IF(OR($J450=0,COUNTIFS($A$4:$A449,"&gt;="&amp;$A450-1,$A$4:$A449,"&lt;="&amp;$A450,$B$4:$B449,$B450)&gt;0,MIN(AW$1,IF($A450=$A449,AW449,1))-AB450&lt;0),-1,MIN(1,IF($A450=$A449,AW449,1)-AB450+$D$3))</f>
        <v>#N/A</v>
      </c>
      <c r="AX450" s="47" t="e">
        <f>IF(OR($J450=0,COUNTIFS($A$4:$A449,"&gt;="&amp;$A450-1,$A$4:$A449,"&lt;="&amp;$A450,$B$4:$B449,$B450)&gt;0,MIN(AX$1,IF($A450=$A449,AX449,1))-AC450&lt;0),-1,MIN(1,IF($A450=$A449,AX449,1)-AC450+$D$3))</f>
        <v>#N/A</v>
      </c>
      <c r="AY450" s="47" t="e">
        <f>IF(OR($J450=0,COUNTIFS($A$4:$A449,"&gt;="&amp;$A450-1,$A$4:$A449,"&lt;="&amp;$A450,$B$4:$B449,$B450)&gt;0,MIN(AY$1,IF($A450=$A449,AY449,1))-AD450&lt;0),-1,MIN(1,IF($A450=$A449,AY449,1)-AD450+$D$3))</f>
        <v>#N/A</v>
      </c>
      <c r="AZ450" s="47" t="e">
        <f>IF(OR($J450=0,COUNTIFS($A$4:$A449,"&gt;="&amp;$A450-1,$A$4:$A449,"&lt;="&amp;$A450,$B$4:$B449,$B450)&gt;0,MIN(AZ$1,IF($A450=$A449,AZ449,1))-AE450&lt;0),-1,MIN(1,IF($A450=$A449,AZ449,1)-AE450+$D$3))</f>
        <v>#N/A</v>
      </c>
      <c r="BA450" s="47" t="e">
        <f>IF(OR($J450=0,COUNTIFS($A$4:$A449,"&gt;="&amp;$A450-1,$A$4:$A449,"&lt;="&amp;$A450,$B$4:$B449,$B450)&gt;0,MIN(BA$1,IF($A450=$A449,BA449,1))-AF450&lt;0),-1,MIN(1,IF($A450=$A449,BA449,1)-AF450+$D$3))</f>
        <v>#N/A</v>
      </c>
      <c r="BB450" s="47" t="e">
        <f>IF(OR($J450=0,COUNTIFS($A$4:$A449,"&gt;="&amp;$A450-1,$A$4:$A449,"&lt;="&amp;$A450,$B$4:$B449,$B450)&gt;0,MIN(BB$1,IF($A450=$A449,BB449,1))-AG450&lt;0),-1,MIN(1,IF($A450=$A449,BB449,1)-AG450+$D$3))</f>
        <v>#N/A</v>
      </c>
      <c r="BC450" s="47" t="e">
        <f>IF(OR($J450=0,COUNTIFS($A$4:$A449,"&gt;="&amp;$A450-1,$A$4:$A449,"&lt;="&amp;$A450,$B$4:$B449,$B450)&gt;0,MIN(BC$1,IF($A450=$A449,BC449,1))-AH450&lt;0),-1,MIN(1,IF($A450=$A449,BC449,1)-AH450+$D$3))</f>
        <v>#N/A</v>
      </c>
      <c r="BD450" s="47" t="e">
        <f>IF(OR($J450=0,COUNTIFS($A$4:$A449,"&gt;="&amp;$A450-1,$A$4:$A449,"&lt;="&amp;$A450,$B$4:$B449,$B450)&gt;0,MIN(BD$1,IF($A450=$A449,BD449,1))-AI450&lt;0),-1,MIN(1,IF($A450=$A449,BD449,1)-AI450+$D$3))</f>
        <v>#N/A</v>
      </c>
      <c r="BE450" s="47"/>
      <c r="BF450" s="53">
        <f t="shared" si="443"/>
        <v>2.4605593934832564E-10</v>
      </c>
      <c r="BG450" s="53">
        <f t="shared" si="444"/>
        <v>6.0512098723287234E-10</v>
      </c>
      <c r="BH450" s="53">
        <f t="shared" si="445"/>
        <v>6.2018535941969104E-10</v>
      </c>
      <c r="BI450" s="53">
        <f t="shared" si="446"/>
        <v>5.7287908490732191E-10</v>
      </c>
      <c r="BJ450" s="53">
        <f t="shared" si="447"/>
        <v>5.9212492107748982E-10</v>
      </c>
      <c r="BK450" s="53">
        <f t="shared" si="448"/>
        <v>2.542805184525859E-10</v>
      </c>
      <c r="BL450" s="53">
        <f t="shared" si="449"/>
        <v>1.373663365094642E-10</v>
      </c>
      <c r="BM450" s="53">
        <f t="shared" si="450"/>
        <v>3.4944391912121952E-10</v>
      </c>
      <c r="BN450" s="53">
        <f t="shared" si="451"/>
        <v>3.6344890993108642E-10</v>
      </c>
      <c r="BO450" s="53">
        <f t="shared" si="452"/>
        <v>1.703259504969211E-10</v>
      </c>
      <c r="BP450" s="53">
        <f t="shared" si="453"/>
        <v>5.7271721364992405E-10</v>
      </c>
      <c r="BQ450" s="53">
        <f t="shared" si="454"/>
        <v>1.5455266815788382E-10</v>
      </c>
      <c r="BR450" s="53">
        <f t="shared" si="455"/>
        <v>4.5658727031722946E-10</v>
      </c>
      <c r="BS450" s="53">
        <f t="shared" si="456"/>
        <v>2.4624357384713684E-10</v>
      </c>
      <c r="BT450" s="53">
        <f t="shared" si="457"/>
        <v>9.744613141932757E-10</v>
      </c>
      <c r="BU450" s="53">
        <f t="shared" si="458"/>
        <v>9.3090378167112295E-10</v>
      </c>
      <c r="BV450" s="53">
        <f t="shared" si="459"/>
        <v>8.9400919364116242E-10</v>
      </c>
      <c r="BW450" s="53">
        <f t="shared" si="460"/>
        <v>5.8473121034024577E-10</v>
      </c>
      <c r="BX450" s="53">
        <f t="shared" si="461"/>
        <v>4.3198879991779485E-10</v>
      </c>
      <c r="BY450" s="53">
        <f t="shared" si="462"/>
        <v>3.7091203620418051E-10</v>
      </c>
      <c r="BZ450" s="47"/>
      <c r="CA450" s="53" t="str">
        <f t="shared" si="463"/>
        <v/>
      </c>
      <c r="CB450" s="53" t="str">
        <f t="shared" si="464"/>
        <v/>
      </c>
      <c r="CC450" s="53" t="str">
        <f t="shared" si="465"/>
        <v/>
      </c>
      <c r="CD450" s="53" t="str">
        <f t="shared" si="466"/>
        <v/>
      </c>
      <c r="CE450" s="53" t="str">
        <f t="shared" si="467"/>
        <v/>
      </c>
      <c r="CF450" s="53" t="str">
        <f t="shared" si="468"/>
        <v/>
      </c>
      <c r="CG450" s="53" t="str">
        <f t="shared" si="469"/>
        <v/>
      </c>
      <c r="CH450" s="53" t="str">
        <f t="shared" si="470"/>
        <v/>
      </c>
      <c r="CI450" s="53" t="str">
        <f t="shared" si="471"/>
        <v/>
      </c>
      <c r="CJ450" s="53" t="str">
        <f t="shared" si="472"/>
        <v/>
      </c>
      <c r="CK450" s="53" t="str">
        <f t="shared" si="473"/>
        <v/>
      </c>
      <c r="CL450" s="53" t="str">
        <f t="shared" si="474"/>
        <v/>
      </c>
      <c r="CM450" s="53" t="str">
        <f t="shared" si="475"/>
        <v/>
      </c>
      <c r="CN450" s="53" t="str">
        <f t="shared" si="476"/>
        <v/>
      </c>
      <c r="CO450" s="53" t="str">
        <f t="shared" si="477"/>
        <v/>
      </c>
      <c r="CP450" s="53" t="str">
        <f t="shared" si="478"/>
        <v/>
      </c>
      <c r="CQ450" s="53" t="str">
        <f t="shared" si="479"/>
        <v/>
      </c>
      <c r="CR450" s="53" t="str">
        <f t="shared" si="480"/>
        <v/>
      </c>
      <c r="CS450" s="53" t="str">
        <f t="shared" si="481"/>
        <v/>
      </c>
      <c r="CT450" s="53" t="str">
        <f t="shared" si="482"/>
        <v/>
      </c>
      <c r="CU450" s="47"/>
      <c r="CV450" s="53">
        <f t="shared" si="483"/>
        <v>0</v>
      </c>
    </row>
    <row r="451" spans="1:100" x14ac:dyDescent="0.25">
      <c r="A451" s="41"/>
      <c r="B451" s="42"/>
      <c r="C451" s="43" t="str" cm="1">
        <f t="array" ref="C451">IF(B451="","",INDEX(UWS!$B$10:$B$41,B451))</f>
        <v/>
      </c>
      <c r="D451" s="40" t="str">
        <f t="shared" si="440"/>
        <v/>
      </c>
      <c r="E451" s="69" t="str">
        <f t="shared" si="441"/>
        <v/>
      </c>
      <c r="F451" s="48" cm="1">
        <f t="array" ref="F451">0.1+IFERROR(INDEX($F$5:$F450,SUMPRODUCT(MAX(ROW($C$5:$C450)*($C451=$C$5:$C450))-ROW($A$4)))*0.9^($A451-INDEX($A$5:A450,SUMPRODUCT(MAX(ROW($C$5:$C450)*($C451=$C$5:$C450))-ROW($A$4)))),0)</f>
        <v>38.600000000000279</v>
      </c>
      <c r="G451" s="55" t="e">
        <f>INDEX(UWS!$AB$10:$AB$41,MATCH(C451,UWS!$B$10:$B$41,0))</f>
        <v>#N/A</v>
      </c>
      <c r="H451" s="48" t="e">
        <f>INDEX(UWS!$C$10:$C$41,MATCH(C451,UWS!$B$10:$B$41,0))</f>
        <v>#N/A</v>
      </c>
      <c r="I451" s="82">
        <f t="shared" si="442"/>
        <v>5</v>
      </c>
      <c r="J451" s="27" t="e">
        <f>INDEX(UWS!$E$10:$E$41,MATCH(C451,UWS!$B$10:$B$41,0))</f>
        <v>#N/A</v>
      </c>
      <c r="L451" s="108" t="str" cm="1">
        <f t="array" ref="L451">IF(K451="","",INDEX(UWS!$B$10:$B$41,K451))</f>
        <v/>
      </c>
      <c r="N451" s="108" t="str" cm="1">
        <f t="array" ref="N451">IF(M451="","",INDEX(UWS!$B$10:$B$41,M451))</f>
        <v/>
      </c>
      <c r="P451">
        <f>IFERROR(INDEX(UWS!$G$10:$Z$41,MATCH($C451,UWS!$B$10:$B$41,0),MATCH(P$4,UWS!$G$3:$Z$3,0)),0)</f>
        <v>0</v>
      </c>
      <c r="Q451">
        <f>IFERROR(INDEX(UWS!$G$10:$Z$41,MATCH($C451,UWS!$B$10:$B$41,0),MATCH(Q$4,UWS!$G$3:$Z$3,0)),0)</f>
        <v>0</v>
      </c>
      <c r="R451">
        <f>IFERROR(INDEX(UWS!$G$10:$Z$41,MATCH($C451,UWS!$B$10:$B$41,0),MATCH(R$4,UWS!$G$3:$Z$3,0)),0)</f>
        <v>0</v>
      </c>
      <c r="S451">
        <f>IFERROR(INDEX(UWS!$G$10:$Z$41,MATCH($C451,UWS!$B$10:$B$41,0),MATCH(S$4,UWS!$G$3:$Z$3,0)),0)</f>
        <v>0</v>
      </c>
      <c r="T451">
        <f>IFERROR(INDEX(UWS!$G$10:$Z$41,MATCH($C451,UWS!$B$10:$B$41,0),MATCH(T$4,UWS!$G$3:$Z$3,0)),0)</f>
        <v>0</v>
      </c>
      <c r="U451">
        <f>IFERROR(INDEX(UWS!$G$10:$Z$41,MATCH($C451,UWS!$B$10:$B$41,0),MATCH(U$4,UWS!$G$3:$Z$3,0)),0)</f>
        <v>0</v>
      </c>
      <c r="V451">
        <f>IFERROR(INDEX(UWS!$G$10:$Z$41,MATCH($C451,UWS!$B$10:$B$41,0),MATCH(V$4,UWS!$G$3:$Z$3,0)),0)</f>
        <v>0</v>
      </c>
      <c r="W451">
        <f>IFERROR(INDEX(UWS!$G$10:$Z$41,MATCH($C451,UWS!$B$10:$B$41,0),MATCH(W$4,UWS!$G$3:$Z$3,0)),0)</f>
        <v>0</v>
      </c>
      <c r="X451">
        <f>IFERROR(INDEX(UWS!$G$10:$Z$41,MATCH($C451,UWS!$B$10:$B$41,0),MATCH(X$4,UWS!$G$3:$Z$3,0)),0)</f>
        <v>0</v>
      </c>
      <c r="Y451">
        <f>IFERROR(INDEX(UWS!$G$10:$Z$41,MATCH($C451,UWS!$B$10:$B$41,0),MATCH(Y$4,UWS!$G$3:$Z$3,0)),0)</f>
        <v>0</v>
      </c>
      <c r="Z451">
        <f>IFERROR(INDEX(UWS!$G$10:$Z$41,MATCH($C451,UWS!$B$10:$B$41,0),MATCH(Z$4,UWS!$G$3:$Z$3,0)),0)</f>
        <v>0</v>
      </c>
      <c r="AA451">
        <f>IFERROR(INDEX(UWS!$G$10:$Z$41,MATCH($C451,UWS!$B$10:$B$41,0),MATCH(AA$4,UWS!$G$3:$Z$3,0)),0)</f>
        <v>0</v>
      </c>
      <c r="AB451">
        <f>IFERROR(INDEX(UWS!$G$10:$Z$41,MATCH($C451,UWS!$B$10:$B$41,0),MATCH(AB$4,UWS!$G$3:$Z$3,0)),0)</f>
        <v>0</v>
      </c>
      <c r="AC451">
        <f>IFERROR(INDEX(UWS!$G$10:$Z$41,MATCH($C451,UWS!$B$10:$B$41,0),MATCH(AC$4,UWS!$G$3:$Z$3,0)),0)</f>
        <v>0</v>
      </c>
      <c r="AD451">
        <f>IFERROR(INDEX(UWS!$G$10:$Z$41,MATCH($C451,UWS!$B$10:$B$41,0),MATCH(AD$4,UWS!$G$3:$Z$3,0)),0)</f>
        <v>0</v>
      </c>
      <c r="AE451">
        <f>IFERROR(INDEX(UWS!$G$10:$Z$41,MATCH($C451,UWS!$B$10:$B$41,0),MATCH(AE$4,UWS!$G$3:$Z$3,0)),0)</f>
        <v>0</v>
      </c>
      <c r="AF451">
        <f>IFERROR(INDEX(UWS!$G$10:$Z$41,MATCH($C451,UWS!$B$10:$B$41,0),MATCH(AF$4,UWS!$G$3:$Z$3,0)),0)</f>
        <v>0</v>
      </c>
      <c r="AG451">
        <f>IFERROR(INDEX(UWS!$G$10:$Z$41,MATCH($C451,UWS!$B$10:$B$41,0),MATCH(AG$4,UWS!$G$3:$Z$3,0)),0)</f>
        <v>0</v>
      </c>
      <c r="AH451">
        <f>IFERROR(INDEX(UWS!$G$10:$Z$41,MATCH($C451,UWS!$B$10:$B$41,0),MATCH(AH$4,UWS!$G$3:$Z$3,0)),0)</f>
        <v>0</v>
      </c>
      <c r="AI451">
        <f>IFERROR(INDEX(UWS!$G$10:$Z$41,MATCH($C451,UWS!$B$10:$B$41,0),MATCH(AI$4,UWS!$G$3:$Z$3,0)),0)</f>
        <v>0</v>
      </c>
      <c r="AK451" t="e">
        <f>IF(OR($J451=0,COUNTIFS($A$4:$A450,"&gt;="&amp;$A451-1,$A$4:$A450,"&lt;="&amp;$A451,$B$4:$B450,$B451)&gt;0,MIN(AK$1,IF($A451=$A450,AK450,1))-P451&lt;0),-1,MIN(1,IF($A451=$A450,AK450,1)-P451+$D$3))</f>
        <v>#N/A</v>
      </c>
      <c r="AL451" t="e">
        <f>IF(OR($J451=0,COUNTIFS($A$4:$A450,"&gt;="&amp;$A451-1,$A$4:$A450,"&lt;="&amp;$A451,$B$4:$B450,$B451)&gt;0,MIN(AL$1,IF($A451=$A450,AL450,1))-Q451&lt;0),-1,MIN(1,IF($A451=$A450,AL450,1)-Q451+$D$3))</f>
        <v>#N/A</v>
      </c>
      <c r="AM451" t="e">
        <f>IF(OR($J451=0,COUNTIFS($A$4:$A450,"&gt;="&amp;$A451-1,$A$4:$A450,"&lt;="&amp;$A451,$B$4:$B450,$B451)&gt;0,MIN(AM$1,IF($A451=$A450,AM450,1))-R451&lt;0),-1,MIN(1,IF($A451=$A450,AM450,1)-R451+$D$3))</f>
        <v>#N/A</v>
      </c>
      <c r="AN451" t="e">
        <f>IF(OR($J451=0,COUNTIFS($A$4:$A450,"&gt;="&amp;$A451-1,$A$4:$A450,"&lt;="&amp;$A451,$B$4:$B450,$B451)&gt;0,MIN(AN$1,IF($A451=$A450,AN450,1))-S451&lt;0),-1,MIN(1,IF($A451=$A450,AN450,1)-S451+$D$3))</f>
        <v>#N/A</v>
      </c>
      <c r="AO451" t="e">
        <f>IF(OR($J451=0,COUNTIFS($A$4:$A450,"&gt;="&amp;$A451-1,$A$4:$A450,"&lt;="&amp;$A451,$B$4:$B450,$B451)&gt;0,MIN(AO$1,IF($A451=$A450,AO450,1))-T451&lt;0),-1,MIN(1,IF($A451=$A450,AO450,1)-T451+$D$3))</f>
        <v>#N/A</v>
      </c>
      <c r="AP451" t="e">
        <f>IF(OR($J451=0,COUNTIFS($A$4:$A450,"&gt;="&amp;$A451-1,$A$4:$A450,"&lt;="&amp;$A451,$B$4:$B450,$B451)&gt;0,MIN(AP$1,IF($A451=$A450,AP450,1))-U451&lt;0),-1,MIN(1,IF($A451=$A450,AP450,1)-U451+$D$3))</f>
        <v>#N/A</v>
      </c>
      <c r="AQ451" t="e">
        <f>IF(OR($J451=0,COUNTIFS($A$4:$A450,"&gt;="&amp;$A451-1,$A$4:$A450,"&lt;="&amp;$A451,$B$4:$B450,$B451)&gt;0,MIN(AQ$1,IF($A451=$A450,AQ450,1))-V451&lt;0),-1,MIN(1,IF($A451=$A450,AQ450,1)-V451+$D$3))</f>
        <v>#N/A</v>
      </c>
      <c r="AR451" t="e">
        <f>IF(OR($J451=0,COUNTIFS($A$4:$A450,"&gt;="&amp;$A451-1,$A$4:$A450,"&lt;="&amp;$A451,$B$4:$B450,$B451)&gt;0,MIN(AR$1,IF($A451=$A450,AR450,1))-W451&lt;0),-1,MIN(1,IF($A451=$A450,AR450,1)-W451+$D$3))</f>
        <v>#N/A</v>
      </c>
      <c r="AS451" t="e">
        <f>IF(OR($J451=0,COUNTIFS($A$4:$A450,"&gt;="&amp;$A451-1,$A$4:$A450,"&lt;="&amp;$A451,$B$4:$B450,$B451)&gt;0,MIN(AS$1,IF($A451=$A450,AS450,1))-X451&lt;0),-1,MIN(1,IF($A451=$A450,AS450,1)-X451+$D$3))</f>
        <v>#N/A</v>
      </c>
      <c r="AT451" t="e">
        <f>IF(OR($J451=0,COUNTIFS($A$4:$A450,"&gt;="&amp;$A451-1,$A$4:$A450,"&lt;="&amp;$A451,$B$4:$B450,$B451)&gt;0,MIN(AT$1,IF($A451=$A450,AT450,1))-Y451&lt;0),-1,MIN(1,IF($A451=$A450,AT450,1)-Y451+$D$3))</f>
        <v>#N/A</v>
      </c>
      <c r="AU451" t="e">
        <f>IF(OR($J451=0,COUNTIFS($A$4:$A450,"&gt;="&amp;$A451-1,$A$4:$A450,"&lt;="&amp;$A451,$B$4:$B450,$B451)&gt;0,MIN(AU$1,IF($A451=$A450,AU450,1))-Z451&lt;0),-1,MIN(1,IF($A451=$A450,AU450,1)-Z451+$D$3))</f>
        <v>#N/A</v>
      </c>
      <c r="AV451" t="e">
        <f>IF(OR($J451=0,COUNTIFS($A$4:$A450,"&gt;="&amp;$A451-1,$A$4:$A450,"&lt;="&amp;$A451,$B$4:$B450,$B451)&gt;0,MIN(AV$1,IF($A451=$A450,AV450,1))-AA451&lt;0),-1,MIN(1,IF($A451=$A450,AV450,1)-AA451+$D$3))</f>
        <v>#N/A</v>
      </c>
      <c r="AW451" t="e">
        <f>IF(OR($J451=0,COUNTIFS($A$4:$A450,"&gt;="&amp;$A451-1,$A$4:$A450,"&lt;="&amp;$A451,$B$4:$B450,$B451)&gt;0,MIN(AW$1,IF($A451=$A450,AW450,1))-AB451&lt;0),-1,MIN(1,IF($A451=$A450,AW450,1)-AB451+$D$3))</f>
        <v>#N/A</v>
      </c>
      <c r="AX451" t="e">
        <f>IF(OR($J451=0,COUNTIFS($A$4:$A450,"&gt;="&amp;$A451-1,$A$4:$A450,"&lt;="&amp;$A451,$B$4:$B450,$B451)&gt;0,MIN(AX$1,IF($A451=$A450,AX450,1))-AC451&lt;0),-1,MIN(1,IF($A451=$A450,AX450,1)-AC451+$D$3))</f>
        <v>#N/A</v>
      </c>
      <c r="AY451" t="e">
        <f>IF(OR($J451=0,COUNTIFS($A$4:$A450,"&gt;="&amp;$A451-1,$A$4:$A450,"&lt;="&amp;$A451,$B$4:$B450,$B451)&gt;0,MIN(AY$1,IF($A451=$A450,AY450,1))-AD451&lt;0),-1,MIN(1,IF($A451=$A450,AY450,1)-AD451+$D$3))</f>
        <v>#N/A</v>
      </c>
      <c r="AZ451" t="e">
        <f>IF(OR($J451=0,COUNTIFS($A$4:$A450,"&gt;="&amp;$A451-1,$A$4:$A450,"&lt;="&amp;$A451,$B$4:$B450,$B451)&gt;0,MIN(AZ$1,IF($A451=$A450,AZ450,1))-AE451&lt;0),-1,MIN(1,IF($A451=$A450,AZ450,1)-AE451+$D$3))</f>
        <v>#N/A</v>
      </c>
      <c r="BA451" t="e">
        <f>IF(OR($J451=0,COUNTIFS($A$4:$A450,"&gt;="&amp;$A451-1,$A$4:$A450,"&lt;="&amp;$A451,$B$4:$B450,$B451)&gt;0,MIN(BA$1,IF($A451=$A450,BA450,1))-AF451&lt;0),-1,MIN(1,IF($A451=$A450,BA450,1)-AF451+$D$3))</f>
        <v>#N/A</v>
      </c>
      <c r="BB451" t="e">
        <f>IF(OR($J451=0,COUNTIFS($A$4:$A450,"&gt;="&amp;$A451-1,$A$4:$A450,"&lt;="&amp;$A451,$B$4:$B450,$B451)&gt;0,MIN(BB$1,IF($A451=$A450,BB450,1))-AG451&lt;0),-1,MIN(1,IF($A451=$A450,BB450,1)-AG451+$D$3))</f>
        <v>#N/A</v>
      </c>
      <c r="BC451" t="e">
        <f>IF(OR($J451=0,COUNTIFS($A$4:$A450,"&gt;="&amp;$A451-1,$A$4:$A450,"&lt;="&amp;$A451,$B$4:$B450,$B451)&gt;0,MIN(BC$1,IF($A451=$A450,BC450,1))-AH451&lt;0),-1,MIN(1,IF($A451=$A450,BC450,1)-AH451+$D$3))</f>
        <v>#N/A</v>
      </c>
      <c r="BD451" t="e">
        <f>IF(OR($J451=0,COUNTIFS($A$4:$A450,"&gt;="&amp;$A451-1,$A$4:$A450,"&lt;="&amp;$A451,$B$4:$B450,$B451)&gt;0,MIN(BD$1,IF($A451=$A450,BD450,1))-AI451&lt;0),-1,MIN(1,IF($A451=$A450,BD450,1)-AI451+$D$3))</f>
        <v>#N/A</v>
      </c>
      <c r="BF451" s="44">
        <f t="shared" si="443"/>
        <v>2.3375314238090934E-10</v>
      </c>
      <c r="BG451" s="44">
        <f t="shared" si="444"/>
        <v>5.7486493787122867E-10</v>
      </c>
      <c r="BH451" s="44">
        <f t="shared" si="445"/>
        <v>5.8917609144870642E-10</v>
      </c>
      <c r="BI451" s="44">
        <f t="shared" si="446"/>
        <v>5.4423513066195583E-10</v>
      </c>
      <c r="BJ451" s="44">
        <f t="shared" si="447"/>
        <v>5.6251867502361531E-10</v>
      </c>
      <c r="BK451" s="44">
        <f t="shared" si="448"/>
        <v>2.4156649252995662E-10</v>
      </c>
      <c r="BL451" s="44">
        <f t="shared" si="449"/>
        <v>1.3049801968399098E-10</v>
      </c>
      <c r="BM451" s="44">
        <f t="shared" si="450"/>
        <v>3.3197172316515854E-10</v>
      </c>
      <c r="BN451" s="44">
        <f t="shared" si="451"/>
        <v>3.4527646443453209E-10</v>
      </c>
      <c r="BO451" s="44">
        <f t="shared" si="452"/>
        <v>1.6180965297207504E-10</v>
      </c>
      <c r="BP451" s="44">
        <f t="shared" si="453"/>
        <v>5.4408135296742779E-10</v>
      </c>
      <c r="BQ451" s="44">
        <f t="shared" si="454"/>
        <v>1.4682503474998963E-10</v>
      </c>
      <c r="BR451" s="44">
        <f t="shared" si="455"/>
        <v>4.3375790680136795E-10</v>
      </c>
      <c r="BS451" s="44">
        <f t="shared" si="456"/>
        <v>2.3393139515477997E-10</v>
      </c>
      <c r="BT451" s="44">
        <f t="shared" si="457"/>
        <v>9.2573824848361189E-10</v>
      </c>
      <c r="BU451" s="44">
        <f t="shared" si="458"/>
        <v>8.8435859258756681E-10</v>
      </c>
      <c r="BV451" s="44">
        <f t="shared" si="459"/>
        <v>8.4930873395910423E-10</v>
      </c>
      <c r="BW451" s="44">
        <f t="shared" si="460"/>
        <v>5.5549464982323341E-10</v>
      </c>
      <c r="BX451" s="44">
        <f t="shared" si="461"/>
        <v>4.1038935992190506E-10</v>
      </c>
      <c r="BY451" s="44">
        <f t="shared" si="462"/>
        <v>3.5236643439397149E-10</v>
      </c>
      <c r="CA451" s="44" t="str">
        <f t="shared" si="463"/>
        <v/>
      </c>
      <c r="CB451" s="44" t="str">
        <f t="shared" si="464"/>
        <v/>
      </c>
      <c r="CC451" s="44" t="str">
        <f t="shared" si="465"/>
        <v/>
      </c>
      <c r="CD451" s="44" t="str">
        <f t="shared" si="466"/>
        <v/>
      </c>
      <c r="CE451" s="44" t="str">
        <f t="shared" si="467"/>
        <v/>
      </c>
      <c r="CF451" s="44" t="str">
        <f t="shared" si="468"/>
        <v/>
      </c>
      <c r="CG451" s="44" t="str">
        <f t="shared" si="469"/>
        <v/>
      </c>
      <c r="CH451" s="44" t="str">
        <f t="shared" si="470"/>
        <v/>
      </c>
      <c r="CI451" s="44" t="str">
        <f t="shared" si="471"/>
        <v/>
      </c>
      <c r="CJ451" s="44" t="str">
        <f t="shared" si="472"/>
        <v/>
      </c>
      <c r="CK451" s="44" t="str">
        <f t="shared" si="473"/>
        <v/>
      </c>
      <c r="CL451" s="44" t="str">
        <f t="shared" si="474"/>
        <v/>
      </c>
      <c r="CM451" s="44" t="str">
        <f t="shared" si="475"/>
        <v/>
      </c>
      <c r="CN451" s="44" t="str">
        <f t="shared" si="476"/>
        <v/>
      </c>
      <c r="CO451" s="44" t="str">
        <f t="shared" si="477"/>
        <v/>
      </c>
      <c r="CP451" s="44" t="str">
        <f t="shared" si="478"/>
        <v/>
      </c>
      <c r="CQ451" s="44" t="str">
        <f t="shared" si="479"/>
        <v/>
      </c>
      <c r="CR451" s="44" t="str">
        <f t="shared" si="480"/>
        <v/>
      </c>
      <c r="CS451" s="44" t="str">
        <f t="shared" si="481"/>
        <v/>
      </c>
      <c r="CT451" s="44" t="str">
        <f t="shared" si="482"/>
        <v/>
      </c>
      <c r="CV451" s="44">
        <f t="shared" si="483"/>
        <v>0</v>
      </c>
    </row>
    <row r="452" spans="1:100" x14ac:dyDescent="0.25">
      <c r="A452" s="41"/>
      <c r="B452" s="42"/>
      <c r="C452" s="43" t="str" cm="1">
        <f t="array" ref="C452">IF(B452="","",INDEX(UWS!$B$10:$B$41,B452))</f>
        <v/>
      </c>
      <c r="D452" s="40" t="str">
        <f t="shared" si="440"/>
        <v/>
      </c>
      <c r="E452" s="69" t="str">
        <f t="shared" si="441"/>
        <v/>
      </c>
      <c r="F452" s="48" cm="1">
        <f t="array" ref="F452">0.1+IFERROR(INDEX($F$5:$F451,SUMPRODUCT(MAX(ROW($C$5:$C451)*($C452=$C$5:$C451))-ROW($A$4)))*0.9^($A452-INDEX($A$5:A451,SUMPRODUCT(MAX(ROW($C$5:$C451)*($C452=$C$5:$C451))-ROW($A$4)))),0)</f>
        <v>38.70000000000028</v>
      </c>
      <c r="G452" s="55" t="e">
        <f>INDEX(UWS!$AB$10:$AB$41,MATCH(C452,UWS!$B$10:$B$41,0))</f>
        <v>#N/A</v>
      </c>
      <c r="H452" s="48" t="e">
        <f>INDEX(UWS!$C$10:$C$41,MATCH(C452,UWS!$B$10:$B$41,0))</f>
        <v>#N/A</v>
      </c>
      <c r="I452" s="27">
        <f t="shared" si="442"/>
        <v>5</v>
      </c>
      <c r="J452" s="27" t="e">
        <f>INDEX(UWS!$E$10:$E$41,MATCH(C452,UWS!$B$10:$B$41,0))</f>
        <v>#N/A</v>
      </c>
      <c r="L452" s="108" t="str" cm="1">
        <f t="array" ref="L452">IF(K452="","",INDEX(UWS!$B$10:$B$41,K452))</f>
        <v/>
      </c>
      <c r="N452" s="108" t="str" cm="1">
        <f t="array" ref="N452">IF(M452="","",INDEX(UWS!$B$10:$B$41,M452))</f>
        <v/>
      </c>
      <c r="P452">
        <f>IFERROR(INDEX(UWS!$G$10:$Z$41,MATCH($C452,UWS!$B$10:$B$41,0),MATCH(P$4,UWS!$G$3:$Z$3,0)),0)</f>
        <v>0</v>
      </c>
      <c r="Q452">
        <f>IFERROR(INDEX(UWS!$G$10:$Z$41,MATCH($C452,UWS!$B$10:$B$41,0),MATCH(Q$4,UWS!$G$3:$Z$3,0)),0)</f>
        <v>0</v>
      </c>
      <c r="R452">
        <f>IFERROR(INDEX(UWS!$G$10:$Z$41,MATCH($C452,UWS!$B$10:$B$41,0),MATCH(R$4,UWS!$G$3:$Z$3,0)),0)</f>
        <v>0</v>
      </c>
      <c r="S452">
        <f>IFERROR(INDEX(UWS!$G$10:$Z$41,MATCH($C452,UWS!$B$10:$B$41,0),MATCH(S$4,UWS!$G$3:$Z$3,0)),0)</f>
        <v>0</v>
      </c>
      <c r="T452">
        <f>IFERROR(INDEX(UWS!$G$10:$Z$41,MATCH($C452,UWS!$B$10:$B$41,0),MATCH(T$4,UWS!$G$3:$Z$3,0)),0)</f>
        <v>0</v>
      </c>
      <c r="U452">
        <f>IFERROR(INDEX(UWS!$G$10:$Z$41,MATCH($C452,UWS!$B$10:$B$41,0),MATCH(U$4,UWS!$G$3:$Z$3,0)),0)</f>
        <v>0</v>
      </c>
      <c r="V452">
        <f>IFERROR(INDEX(UWS!$G$10:$Z$41,MATCH($C452,UWS!$B$10:$B$41,0),MATCH(V$4,UWS!$G$3:$Z$3,0)),0)</f>
        <v>0</v>
      </c>
      <c r="W452">
        <f>IFERROR(INDEX(UWS!$G$10:$Z$41,MATCH($C452,UWS!$B$10:$B$41,0),MATCH(W$4,UWS!$G$3:$Z$3,0)),0)</f>
        <v>0</v>
      </c>
      <c r="X452">
        <f>IFERROR(INDEX(UWS!$G$10:$Z$41,MATCH($C452,UWS!$B$10:$B$41,0),MATCH(X$4,UWS!$G$3:$Z$3,0)),0)</f>
        <v>0</v>
      </c>
      <c r="Y452">
        <f>IFERROR(INDEX(UWS!$G$10:$Z$41,MATCH($C452,UWS!$B$10:$B$41,0),MATCH(Y$4,UWS!$G$3:$Z$3,0)),0)</f>
        <v>0</v>
      </c>
      <c r="Z452">
        <f>IFERROR(INDEX(UWS!$G$10:$Z$41,MATCH($C452,UWS!$B$10:$B$41,0),MATCH(Z$4,UWS!$G$3:$Z$3,0)),0)</f>
        <v>0</v>
      </c>
      <c r="AA452">
        <f>IFERROR(INDEX(UWS!$G$10:$Z$41,MATCH($C452,UWS!$B$10:$B$41,0),MATCH(AA$4,UWS!$G$3:$Z$3,0)),0)</f>
        <v>0</v>
      </c>
      <c r="AB452">
        <f>IFERROR(INDEX(UWS!$G$10:$Z$41,MATCH($C452,UWS!$B$10:$B$41,0),MATCH(AB$4,UWS!$G$3:$Z$3,0)),0)</f>
        <v>0</v>
      </c>
      <c r="AC452">
        <f>IFERROR(INDEX(UWS!$G$10:$Z$41,MATCH($C452,UWS!$B$10:$B$41,0),MATCH(AC$4,UWS!$G$3:$Z$3,0)),0)</f>
        <v>0</v>
      </c>
      <c r="AD452">
        <f>IFERROR(INDEX(UWS!$G$10:$Z$41,MATCH($C452,UWS!$B$10:$B$41,0),MATCH(AD$4,UWS!$G$3:$Z$3,0)),0)</f>
        <v>0</v>
      </c>
      <c r="AE452">
        <f>IFERROR(INDEX(UWS!$G$10:$Z$41,MATCH($C452,UWS!$B$10:$B$41,0),MATCH(AE$4,UWS!$G$3:$Z$3,0)),0)</f>
        <v>0</v>
      </c>
      <c r="AF452">
        <f>IFERROR(INDEX(UWS!$G$10:$Z$41,MATCH($C452,UWS!$B$10:$B$41,0),MATCH(AF$4,UWS!$G$3:$Z$3,0)),0)</f>
        <v>0</v>
      </c>
      <c r="AG452">
        <f>IFERROR(INDEX(UWS!$G$10:$Z$41,MATCH($C452,UWS!$B$10:$B$41,0),MATCH(AG$4,UWS!$G$3:$Z$3,0)),0)</f>
        <v>0</v>
      </c>
      <c r="AH452">
        <f>IFERROR(INDEX(UWS!$G$10:$Z$41,MATCH($C452,UWS!$B$10:$B$41,0),MATCH(AH$4,UWS!$G$3:$Z$3,0)),0)</f>
        <v>0</v>
      </c>
      <c r="AI452">
        <f>IFERROR(INDEX(UWS!$G$10:$Z$41,MATCH($C452,UWS!$B$10:$B$41,0),MATCH(AI$4,UWS!$G$3:$Z$3,0)),0)</f>
        <v>0</v>
      </c>
      <c r="AK452" t="e">
        <f>IF(OR($J452=0,COUNTIFS($A$4:$A451,"&gt;="&amp;$A452-1,$A$4:$A451,"&lt;="&amp;$A452,$B$4:$B451,$B452)&gt;0,MIN(AK$1,IF($A452=$A451,AK451,1))-P452&lt;0),-1,MIN(1,IF($A452=$A451,AK451,1)-P452+$D$3))</f>
        <v>#N/A</v>
      </c>
      <c r="AL452" t="e">
        <f>IF(OR($J452=0,COUNTIFS($A$4:$A451,"&gt;="&amp;$A452-1,$A$4:$A451,"&lt;="&amp;$A452,$B$4:$B451,$B452)&gt;0,MIN(AL$1,IF($A452=$A451,AL451,1))-Q452&lt;0),-1,MIN(1,IF($A452=$A451,AL451,1)-Q452+$D$3))</f>
        <v>#N/A</v>
      </c>
      <c r="AM452" t="e">
        <f>IF(OR($J452=0,COUNTIFS($A$4:$A451,"&gt;="&amp;$A452-1,$A$4:$A451,"&lt;="&amp;$A452,$B$4:$B451,$B452)&gt;0,MIN(AM$1,IF($A452=$A451,AM451,1))-R452&lt;0),-1,MIN(1,IF($A452=$A451,AM451,1)-R452+$D$3))</f>
        <v>#N/A</v>
      </c>
      <c r="AN452" t="e">
        <f>IF(OR($J452=0,COUNTIFS($A$4:$A451,"&gt;="&amp;$A452-1,$A$4:$A451,"&lt;="&amp;$A452,$B$4:$B451,$B452)&gt;0,MIN(AN$1,IF($A452=$A451,AN451,1))-S452&lt;0),-1,MIN(1,IF($A452=$A451,AN451,1)-S452+$D$3))</f>
        <v>#N/A</v>
      </c>
      <c r="AO452" t="e">
        <f>IF(OR($J452=0,COUNTIFS($A$4:$A451,"&gt;="&amp;$A452-1,$A$4:$A451,"&lt;="&amp;$A452,$B$4:$B451,$B452)&gt;0,MIN(AO$1,IF($A452=$A451,AO451,1))-T452&lt;0),-1,MIN(1,IF($A452=$A451,AO451,1)-T452+$D$3))</f>
        <v>#N/A</v>
      </c>
      <c r="AP452" t="e">
        <f>IF(OR($J452=0,COUNTIFS($A$4:$A451,"&gt;="&amp;$A452-1,$A$4:$A451,"&lt;="&amp;$A452,$B$4:$B451,$B452)&gt;0,MIN(AP$1,IF($A452=$A451,AP451,1))-U452&lt;0),-1,MIN(1,IF($A452=$A451,AP451,1)-U452+$D$3))</f>
        <v>#N/A</v>
      </c>
      <c r="AQ452" t="e">
        <f>IF(OR($J452=0,COUNTIFS($A$4:$A451,"&gt;="&amp;$A452-1,$A$4:$A451,"&lt;="&amp;$A452,$B$4:$B451,$B452)&gt;0,MIN(AQ$1,IF($A452=$A451,AQ451,1))-V452&lt;0),-1,MIN(1,IF($A452=$A451,AQ451,1)-V452+$D$3))</f>
        <v>#N/A</v>
      </c>
      <c r="AR452" t="e">
        <f>IF(OR($J452=0,COUNTIFS($A$4:$A451,"&gt;="&amp;$A452-1,$A$4:$A451,"&lt;="&amp;$A452,$B$4:$B451,$B452)&gt;0,MIN(AR$1,IF($A452=$A451,AR451,1))-W452&lt;0),-1,MIN(1,IF($A452=$A451,AR451,1)-W452+$D$3))</f>
        <v>#N/A</v>
      </c>
      <c r="AS452" t="e">
        <f>IF(OR($J452=0,COUNTIFS($A$4:$A451,"&gt;="&amp;$A452-1,$A$4:$A451,"&lt;="&amp;$A452,$B$4:$B451,$B452)&gt;0,MIN(AS$1,IF($A452=$A451,AS451,1))-X452&lt;0),-1,MIN(1,IF($A452=$A451,AS451,1)-X452+$D$3))</f>
        <v>#N/A</v>
      </c>
      <c r="AT452" t="e">
        <f>IF(OR($J452=0,COUNTIFS($A$4:$A451,"&gt;="&amp;$A452-1,$A$4:$A451,"&lt;="&amp;$A452,$B$4:$B451,$B452)&gt;0,MIN(AT$1,IF($A452=$A451,AT451,1))-Y452&lt;0),-1,MIN(1,IF($A452=$A451,AT451,1)-Y452+$D$3))</f>
        <v>#N/A</v>
      </c>
      <c r="AU452" t="e">
        <f>IF(OR($J452=0,COUNTIFS($A$4:$A451,"&gt;="&amp;$A452-1,$A$4:$A451,"&lt;="&amp;$A452,$B$4:$B451,$B452)&gt;0,MIN(AU$1,IF($A452=$A451,AU451,1))-Z452&lt;0),-1,MIN(1,IF($A452=$A451,AU451,1)-Z452+$D$3))</f>
        <v>#N/A</v>
      </c>
      <c r="AV452" t="e">
        <f>IF(OR($J452=0,COUNTIFS($A$4:$A451,"&gt;="&amp;$A452-1,$A$4:$A451,"&lt;="&amp;$A452,$B$4:$B451,$B452)&gt;0,MIN(AV$1,IF($A452=$A451,AV451,1))-AA452&lt;0),-1,MIN(1,IF($A452=$A451,AV451,1)-AA452+$D$3))</f>
        <v>#N/A</v>
      </c>
      <c r="AW452" t="e">
        <f>IF(OR($J452=0,COUNTIFS($A$4:$A451,"&gt;="&amp;$A452-1,$A$4:$A451,"&lt;="&amp;$A452,$B$4:$B451,$B452)&gt;0,MIN(AW$1,IF($A452=$A451,AW451,1))-AB452&lt;0),-1,MIN(1,IF($A452=$A451,AW451,1)-AB452+$D$3))</f>
        <v>#N/A</v>
      </c>
      <c r="AX452" t="e">
        <f>IF(OR($J452=0,COUNTIFS($A$4:$A451,"&gt;="&amp;$A452-1,$A$4:$A451,"&lt;="&amp;$A452,$B$4:$B451,$B452)&gt;0,MIN(AX$1,IF($A452=$A451,AX451,1))-AC452&lt;0),-1,MIN(1,IF($A452=$A451,AX451,1)-AC452+$D$3))</f>
        <v>#N/A</v>
      </c>
      <c r="AY452" t="e">
        <f>IF(OR($J452=0,COUNTIFS($A$4:$A451,"&gt;="&amp;$A452-1,$A$4:$A451,"&lt;="&amp;$A452,$B$4:$B451,$B452)&gt;0,MIN(AY$1,IF($A452=$A451,AY451,1))-AD452&lt;0),-1,MIN(1,IF($A452=$A451,AY451,1)-AD452+$D$3))</f>
        <v>#N/A</v>
      </c>
      <c r="AZ452" t="e">
        <f>IF(OR($J452=0,COUNTIFS($A$4:$A451,"&gt;="&amp;$A452-1,$A$4:$A451,"&lt;="&amp;$A452,$B$4:$B451,$B452)&gt;0,MIN(AZ$1,IF($A452=$A451,AZ451,1))-AE452&lt;0),-1,MIN(1,IF($A452=$A451,AZ451,1)-AE452+$D$3))</f>
        <v>#N/A</v>
      </c>
      <c r="BA452" t="e">
        <f>IF(OR($J452=0,COUNTIFS($A$4:$A451,"&gt;="&amp;$A452-1,$A$4:$A451,"&lt;="&amp;$A452,$B$4:$B451,$B452)&gt;0,MIN(BA$1,IF($A452=$A451,BA451,1))-AF452&lt;0),-1,MIN(1,IF($A452=$A451,BA451,1)-AF452+$D$3))</f>
        <v>#N/A</v>
      </c>
      <c r="BB452" t="e">
        <f>IF(OR($J452=0,COUNTIFS($A$4:$A451,"&gt;="&amp;$A452-1,$A$4:$A451,"&lt;="&amp;$A452,$B$4:$B451,$B452)&gt;0,MIN(BB$1,IF($A452=$A451,BB451,1))-AG452&lt;0),-1,MIN(1,IF($A452=$A451,BB451,1)-AG452+$D$3))</f>
        <v>#N/A</v>
      </c>
      <c r="BC452" t="e">
        <f>IF(OR($J452=0,COUNTIFS($A$4:$A451,"&gt;="&amp;$A452-1,$A$4:$A451,"&lt;="&amp;$A452,$B$4:$B451,$B452)&gt;0,MIN(BC$1,IF($A452=$A451,BC451,1))-AH452&lt;0),-1,MIN(1,IF($A452=$A451,BC451,1)-AH452+$D$3))</f>
        <v>#N/A</v>
      </c>
      <c r="BD452" t="e">
        <f>IF(OR($J452=0,COUNTIFS($A$4:$A451,"&gt;="&amp;$A452-1,$A$4:$A451,"&lt;="&amp;$A452,$B$4:$B451,$B452)&gt;0,MIN(BD$1,IF($A452=$A451,BD451,1))-AI452&lt;0),-1,MIN(1,IF($A452=$A451,BD451,1)-AI452+$D$3))</f>
        <v>#N/A</v>
      </c>
      <c r="BF452" s="44">
        <f t="shared" si="443"/>
        <v>2.2206548526186386E-10</v>
      </c>
      <c r="BG452" s="44">
        <f t="shared" si="444"/>
        <v>5.4612169097766726E-10</v>
      </c>
      <c r="BH452" s="44">
        <f t="shared" si="445"/>
        <v>5.5971728687627105E-10</v>
      </c>
      <c r="BI452" s="44">
        <f t="shared" si="446"/>
        <v>5.1702337412885803E-10</v>
      </c>
      <c r="BJ452" s="44">
        <f t="shared" si="447"/>
        <v>5.3439274127243452E-10</v>
      </c>
      <c r="BK452" s="44">
        <f t="shared" si="448"/>
        <v>2.2948816790345877E-10</v>
      </c>
      <c r="BL452" s="44">
        <f t="shared" si="449"/>
        <v>1.2397311869979143E-10</v>
      </c>
      <c r="BM452" s="44">
        <f t="shared" si="450"/>
        <v>3.1537313700690061E-10</v>
      </c>
      <c r="BN452" s="44">
        <f t="shared" si="451"/>
        <v>3.2801264121280545E-10</v>
      </c>
      <c r="BO452" s="44">
        <f t="shared" si="452"/>
        <v>1.5371917032347127E-10</v>
      </c>
      <c r="BP452" s="44">
        <f t="shared" si="453"/>
        <v>5.1687728531905636E-10</v>
      </c>
      <c r="BQ452" s="44">
        <f t="shared" si="454"/>
        <v>1.3948378301249015E-10</v>
      </c>
      <c r="BR452" s="44">
        <f t="shared" si="455"/>
        <v>4.1207001146129954E-10</v>
      </c>
      <c r="BS452" s="44">
        <f t="shared" si="456"/>
        <v>2.2223482539704096E-10</v>
      </c>
      <c r="BT452" s="44">
        <f t="shared" si="457"/>
        <v>8.7945133605943127E-10</v>
      </c>
      <c r="BU452" s="44">
        <f t="shared" si="458"/>
        <v>8.4014066295818843E-10</v>
      </c>
      <c r="BV452" s="44">
        <f t="shared" si="459"/>
        <v>8.0684329726114894E-10</v>
      </c>
      <c r="BW452" s="44">
        <f t="shared" si="460"/>
        <v>5.2771991733207169E-10</v>
      </c>
      <c r="BX452" s="44">
        <f t="shared" si="461"/>
        <v>3.8986989192580979E-10</v>
      </c>
      <c r="BY452" s="44">
        <f t="shared" si="462"/>
        <v>3.3474811267427292E-10</v>
      </c>
      <c r="CA452" s="44" t="str">
        <f t="shared" si="463"/>
        <v/>
      </c>
      <c r="CB452" s="44" t="str">
        <f t="shared" si="464"/>
        <v/>
      </c>
      <c r="CC452" s="44" t="str">
        <f t="shared" si="465"/>
        <v/>
      </c>
      <c r="CD452" s="44" t="str">
        <f t="shared" si="466"/>
        <v/>
      </c>
      <c r="CE452" s="44" t="str">
        <f t="shared" si="467"/>
        <v/>
      </c>
      <c r="CF452" s="44" t="str">
        <f t="shared" si="468"/>
        <v/>
      </c>
      <c r="CG452" s="44" t="str">
        <f t="shared" si="469"/>
        <v/>
      </c>
      <c r="CH452" s="44" t="str">
        <f t="shared" si="470"/>
        <v/>
      </c>
      <c r="CI452" s="44" t="str">
        <f t="shared" si="471"/>
        <v/>
      </c>
      <c r="CJ452" s="44" t="str">
        <f t="shared" si="472"/>
        <v/>
      </c>
      <c r="CK452" s="44" t="str">
        <f t="shared" si="473"/>
        <v/>
      </c>
      <c r="CL452" s="44" t="str">
        <f t="shared" si="474"/>
        <v/>
      </c>
      <c r="CM452" s="44" t="str">
        <f t="shared" si="475"/>
        <v/>
      </c>
      <c r="CN452" s="44" t="str">
        <f t="shared" si="476"/>
        <v/>
      </c>
      <c r="CO452" s="44" t="str">
        <f t="shared" si="477"/>
        <v/>
      </c>
      <c r="CP452" s="44" t="str">
        <f t="shared" si="478"/>
        <v/>
      </c>
      <c r="CQ452" s="44" t="str">
        <f t="shared" si="479"/>
        <v/>
      </c>
      <c r="CR452" s="44" t="str">
        <f t="shared" si="480"/>
        <v/>
      </c>
      <c r="CS452" s="44" t="str">
        <f t="shared" si="481"/>
        <v/>
      </c>
      <c r="CT452" s="44" t="str">
        <f t="shared" si="482"/>
        <v/>
      </c>
      <c r="CV452" s="44">
        <f t="shared" si="483"/>
        <v>0</v>
      </c>
    </row>
    <row r="453" spans="1:100" x14ac:dyDescent="0.25">
      <c r="A453" s="41"/>
      <c r="B453" s="42"/>
      <c r="C453" s="43" t="str" cm="1">
        <f t="array" ref="C453">IF(B453="","",INDEX(UWS!$B$10:$B$41,B453))</f>
        <v/>
      </c>
      <c r="D453" s="40" t="str">
        <f t="shared" si="440"/>
        <v/>
      </c>
      <c r="E453" s="69" t="str">
        <f t="shared" si="441"/>
        <v/>
      </c>
      <c r="F453" s="48" cm="1">
        <f t="array" ref="F453">0.1+IFERROR(INDEX($F$5:$F452,SUMPRODUCT(MAX(ROW($C$5:$C452)*($C453=$C$5:$C452))-ROW($A$4)))*0.9^($A453-INDEX($A$5:A452,SUMPRODUCT(MAX(ROW($C$5:$C452)*($C453=$C$5:$C452))-ROW($A$4)))),0)</f>
        <v>38.800000000000281</v>
      </c>
      <c r="G453" s="55" t="e">
        <f>INDEX(UWS!$AB$10:$AB$41,MATCH(C453,UWS!$B$10:$B$41,0))</f>
        <v>#N/A</v>
      </c>
      <c r="H453" s="48" t="e">
        <f>INDEX(UWS!$C$10:$C$41,MATCH(C453,UWS!$B$10:$B$41,0))</f>
        <v>#N/A</v>
      </c>
      <c r="I453" s="27">
        <f t="shared" si="442"/>
        <v>5</v>
      </c>
      <c r="J453" s="27" t="e">
        <f>INDEX(UWS!$E$10:$E$41,MATCH(C453,UWS!$B$10:$B$41,0))</f>
        <v>#N/A</v>
      </c>
      <c r="L453" s="108" t="str" cm="1">
        <f t="array" ref="L453">IF(K453="","",INDEX(UWS!$B$10:$B$41,K453))</f>
        <v/>
      </c>
      <c r="N453" s="108" t="str" cm="1">
        <f t="array" ref="N453">IF(M453="","",INDEX(UWS!$B$10:$B$41,M453))</f>
        <v/>
      </c>
      <c r="P453">
        <f>IFERROR(INDEX(UWS!$G$10:$Z$41,MATCH($C453,UWS!$B$10:$B$41,0),MATCH(P$4,UWS!$G$3:$Z$3,0)),0)</f>
        <v>0</v>
      </c>
      <c r="Q453">
        <f>IFERROR(INDEX(UWS!$G$10:$Z$41,MATCH($C453,UWS!$B$10:$B$41,0),MATCH(Q$4,UWS!$G$3:$Z$3,0)),0)</f>
        <v>0</v>
      </c>
      <c r="R453">
        <f>IFERROR(INDEX(UWS!$G$10:$Z$41,MATCH($C453,UWS!$B$10:$B$41,0),MATCH(R$4,UWS!$G$3:$Z$3,0)),0)</f>
        <v>0</v>
      </c>
      <c r="S453">
        <f>IFERROR(INDEX(UWS!$G$10:$Z$41,MATCH($C453,UWS!$B$10:$B$41,0),MATCH(S$4,UWS!$G$3:$Z$3,0)),0)</f>
        <v>0</v>
      </c>
      <c r="T453">
        <f>IFERROR(INDEX(UWS!$G$10:$Z$41,MATCH($C453,UWS!$B$10:$B$41,0),MATCH(T$4,UWS!$G$3:$Z$3,0)),0)</f>
        <v>0</v>
      </c>
      <c r="U453">
        <f>IFERROR(INDEX(UWS!$G$10:$Z$41,MATCH($C453,UWS!$B$10:$B$41,0),MATCH(U$4,UWS!$G$3:$Z$3,0)),0)</f>
        <v>0</v>
      </c>
      <c r="V453">
        <f>IFERROR(INDEX(UWS!$G$10:$Z$41,MATCH($C453,UWS!$B$10:$B$41,0),MATCH(V$4,UWS!$G$3:$Z$3,0)),0)</f>
        <v>0</v>
      </c>
      <c r="W453">
        <f>IFERROR(INDEX(UWS!$G$10:$Z$41,MATCH($C453,UWS!$B$10:$B$41,0),MATCH(W$4,UWS!$G$3:$Z$3,0)),0)</f>
        <v>0</v>
      </c>
      <c r="X453">
        <f>IFERROR(INDEX(UWS!$G$10:$Z$41,MATCH($C453,UWS!$B$10:$B$41,0),MATCH(X$4,UWS!$G$3:$Z$3,0)),0)</f>
        <v>0</v>
      </c>
      <c r="Y453">
        <f>IFERROR(INDEX(UWS!$G$10:$Z$41,MATCH($C453,UWS!$B$10:$B$41,0),MATCH(Y$4,UWS!$G$3:$Z$3,0)),0)</f>
        <v>0</v>
      </c>
      <c r="Z453">
        <f>IFERROR(INDEX(UWS!$G$10:$Z$41,MATCH($C453,UWS!$B$10:$B$41,0),MATCH(Z$4,UWS!$G$3:$Z$3,0)),0)</f>
        <v>0</v>
      </c>
      <c r="AA453">
        <f>IFERROR(INDEX(UWS!$G$10:$Z$41,MATCH($C453,UWS!$B$10:$B$41,0),MATCH(AA$4,UWS!$G$3:$Z$3,0)),0)</f>
        <v>0</v>
      </c>
      <c r="AB453">
        <f>IFERROR(INDEX(UWS!$G$10:$Z$41,MATCH($C453,UWS!$B$10:$B$41,0),MATCH(AB$4,UWS!$G$3:$Z$3,0)),0)</f>
        <v>0</v>
      </c>
      <c r="AC453">
        <f>IFERROR(INDEX(UWS!$G$10:$Z$41,MATCH($C453,UWS!$B$10:$B$41,0),MATCH(AC$4,UWS!$G$3:$Z$3,0)),0)</f>
        <v>0</v>
      </c>
      <c r="AD453">
        <f>IFERROR(INDEX(UWS!$G$10:$Z$41,MATCH($C453,UWS!$B$10:$B$41,0),MATCH(AD$4,UWS!$G$3:$Z$3,0)),0)</f>
        <v>0</v>
      </c>
      <c r="AE453">
        <f>IFERROR(INDEX(UWS!$G$10:$Z$41,MATCH($C453,UWS!$B$10:$B$41,0),MATCH(AE$4,UWS!$G$3:$Z$3,0)),0)</f>
        <v>0</v>
      </c>
      <c r="AF453">
        <f>IFERROR(INDEX(UWS!$G$10:$Z$41,MATCH($C453,UWS!$B$10:$B$41,0),MATCH(AF$4,UWS!$G$3:$Z$3,0)),0)</f>
        <v>0</v>
      </c>
      <c r="AG453">
        <f>IFERROR(INDEX(UWS!$G$10:$Z$41,MATCH($C453,UWS!$B$10:$B$41,0),MATCH(AG$4,UWS!$G$3:$Z$3,0)),0)</f>
        <v>0</v>
      </c>
      <c r="AH453">
        <f>IFERROR(INDEX(UWS!$G$10:$Z$41,MATCH($C453,UWS!$B$10:$B$41,0),MATCH(AH$4,UWS!$G$3:$Z$3,0)),0)</f>
        <v>0</v>
      </c>
      <c r="AI453">
        <f>IFERROR(INDEX(UWS!$G$10:$Z$41,MATCH($C453,UWS!$B$10:$B$41,0),MATCH(AI$4,UWS!$G$3:$Z$3,0)),0)</f>
        <v>0</v>
      </c>
      <c r="AK453" t="e">
        <f>IF(OR($J453=0,COUNTIFS($A$4:$A452,"&gt;="&amp;$A453-1,$A$4:$A452,"&lt;="&amp;$A453,$B$4:$B452,$B453)&gt;0,MIN(AK$1,IF($A453=$A452,AK452,1))-P453&lt;0),-1,MIN(1,IF($A453=$A452,AK452,1)-P453+$D$3))</f>
        <v>#N/A</v>
      </c>
      <c r="AL453" t="e">
        <f>IF(OR($J453=0,COUNTIFS($A$4:$A452,"&gt;="&amp;$A453-1,$A$4:$A452,"&lt;="&amp;$A453,$B$4:$B452,$B453)&gt;0,MIN(AL$1,IF($A453=$A452,AL452,1))-Q453&lt;0),-1,MIN(1,IF($A453=$A452,AL452,1)-Q453+$D$3))</f>
        <v>#N/A</v>
      </c>
      <c r="AM453" t="e">
        <f>IF(OR($J453=0,COUNTIFS($A$4:$A452,"&gt;="&amp;$A453-1,$A$4:$A452,"&lt;="&amp;$A453,$B$4:$B452,$B453)&gt;0,MIN(AM$1,IF($A453=$A452,AM452,1))-R453&lt;0),-1,MIN(1,IF($A453=$A452,AM452,1)-R453+$D$3))</f>
        <v>#N/A</v>
      </c>
      <c r="AN453" t="e">
        <f>IF(OR($J453=0,COUNTIFS($A$4:$A452,"&gt;="&amp;$A453-1,$A$4:$A452,"&lt;="&amp;$A453,$B$4:$B452,$B453)&gt;0,MIN(AN$1,IF($A453=$A452,AN452,1))-S453&lt;0),-1,MIN(1,IF($A453=$A452,AN452,1)-S453+$D$3))</f>
        <v>#N/A</v>
      </c>
      <c r="AO453" t="e">
        <f>IF(OR($J453=0,COUNTIFS($A$4:$A452,"&gt;="&amp;$A453-1,$A$4:$A452,"&lt;="&amp;$A453,$B$4:$B452,$B453)&gt;0,MIN(AO$1,IF($A453=$A452,AO452,1))-T453&lt;0),-1,MIN(1,IF($A453=$A452,AO452,1)-T453+$D$3))</f>
        <v>#N/A</v>
      </c>
      <c r="AP453" t="e">
        <f>IF(OR($J453=0,COUNTIFS($A$4:$A452,"&gt;="&amp;$A453-1,$A$4:$A452,"&lt;="&amp;$A453,$B$4:$B452,$B453)&gt;0,MIN(AP$1,IF($A453=$A452,AP452,1))-U453&lt;0),-1,MIN(1,IF($A453=$A452,AP452,1)-U453+$D$3))</f>
        <v>#N/A</v>
      </c>
      <c r="AQ453" t="e">
        <f>IF(OR($J453=0,COUNTIFS($A$4:$A452,"&gt;="&amp;$A453-1,$A$4:$A452,"&lt;="&amp;$A453,$B$4:$B452,$B453)&gt;0,MIN(AQ$1,IF($A453=$A452,AQ452,1))-V453&lt;0),-1,MIN(1,IF($A453=$A452,AQ452,1)-V453+$D$3))</f>
        <v>#N/A</v>
      </c>
      <c r="AR453" t="e">
        <f>IF(OR($J453=0,COUNTIFS($A$4:$A452,"&gt;="&amp;$A453-1,$A$4:$A452,"&lt;="&amp;$A453,$B$4:$B452,$B453)&gt;0,MIN(AR$1,IF($A453=$A452,AR452,1))-W453&lt;0),-1,MIN(1,IF($A453=$A452,AR452,1)-W453+$D$3))</f>
        <v>#N/A</v>
      </c>
      <c r="AS453" t="e">
        <f>IF(OR($J453=0,COUNTIFS($A$4:$A452,"&gt;="&amp;$A453-1,$A$4:$A452,"&lt;="&amp;$A453,$B$4:$B452,$B453)&gt;0,MIN(AS$1,IF($A453=$A452,AS452,1))-X453&lt;0),-1,MIN(1,IF($A453=$A452,AS452,1)-X453+$D$3))</f>
        <v>#N/A</v>
      </c>
      <c r="AT453" t="e">
        <f>IF(OR($J453=0,COUNTIFS($A$4:$A452,"&gt;="&amp;$A453-1,$A$4:$A452,"&lt;="&amp;$A453,$B$4:$B452,$B453)&gt;0,MIN(AT$1,IF($A453=$A452,AT452,1))-Y453&lt;0),-1,MIN(1,IF($A453=$A452,AT452,1)-Y453+$D$3))</f>
        <v>#N/A</v>
      </c>
      <c r="AU453" t="e">
        <f>IF(OR($J453=0,COUNTIFS($A$4:$A452,"&gt;="&amp;$A453-1,$A$4:$A452,"&lt;="&amp;$A453,$B$4:$B452,$B453)&gt;0,MIN(AU$1,IF($A453=$A452,AU452,1))-Z453&lt;0),-1,MIN(1,IF($A453=$A452,AU452,1)-Z453+$D$3))</f>
        <v>#N/A</v>
      </c>
      <c r="AV453" t="e">
        <f>IF(OR($J453=0,COUNTIFS($A$4:$A452,"&gt;="&amp;$A453-1,$A$4:$A452,"&lt;="&amp;$A453,$B$4:$B452,$B453)&gt;0,MIN(AV$1,IF($A453=$A452,AV452,1))-AA453&lt;0),-1,MIN(1,IF($A453=$A452,AV452,1)-AA453+$D$3))</f>
        <v>#N/A</v>
      </c>
      <c r="AW453" t="e">
        <f>IF(OR($J453=0,COUNTIFS($A$4:$A452,"&gt;="&amp;$A453-1,$A$4:$A452,"&lt;="&amp;$A453,$B$4:$B452,$B453)&gt;0,MIN(AW$1,IF($A453=$A452,AW452,1))-AB453&lt;0),-1,MIN(1,IF($A453=$A452,AW452,1)-AB453+$D$3))</f>
        <v>#N/A</v>
      </c>
      <c r="AX453" t="e">
        <f>IF(OR($J453=0,COUNTIFS($A$4:$A452,"&gt;="&amp;$A453-1,$A$4:$A452,"&lt;="&amp;$A453,$B$4:$B452,$B453)&gt;0,MIN(AX$1,IF($A453=$A452,AX452,1))-AC453&lt;0),-1,MIN(1,IF($A453=$A452,AX452,1)-AC453+$D$3))</f>
        <v>#N/A</v>
      </c>
      <c r="AY453" t="e">
        <f>IF(OR($J453=0,COUNTIFS($A$4:$A452,"&gt;="&amp;$A453-1,$A$4:$A452,"&lt;="&amp;$A453,$B$4:$B452,$B453)&gt;0,MIN(AY$1,IF($A453=$A452,AY452,1))-AD453&lt;0),-1,MIN(1,IF($A453=$A452,AY452,1)-AD453+$D$3))</f>
        <v>#N/A</v>
      </c>
      <c r="AZ453" t="e">
        <f>IF(OR($J453=0,COUNTIFS($A$4:$A452,"&gt;="&amp;$A453-1,$A$4:$A452,"&lt;="&amp;$A453,$B$4:$B452,$B453)&gt;0,MIN(AZ$1,IF($A453=$A452,AZ452,1))-AE453&lt;0),-1,MIN(1,IF($A453=$A452,AZ452,1)-AE453+$D$3))</f>
        <v>#N/A</v>
      </c>
      <c r="BA453" t="e">
        <f>IF(OR($J453=0,COUNTIFS($A$4:$A452,"&gt;="&amp;$A453-1,$A$4:$A452,"&lt;="&amp;$A453,$B$4:$B452,$B453)&gt;0,MIN(BA$1,IF($A453=$A452,BA452,1))-AF453&lt;0),-1,MIN(1,IF($A453=$A452,BA452,1)-AF453+$D$3))</f>
        <v>#N/A</v>
      </c>
      <c r="BB453" t="e">
        <f>IF(OR($J453=0,COUNTIFS($A$4:$A452,"&gt;="&amp;$A453-1,$A$4:$A452,"&lt;="&amp;$A453,$B$4:$B452,$B453)&gt;0,MIN(BB$1,IF($A453=$A452,BB452,1))-AG453&lt;0),-1,MIN(1,IF($A453=$A452,BB452,1)-AG453+$D$3))</f>
        <v>#N/A</v>
      </c>
      <c r="BC453" t="e">
        <f>IF(OR($J453=0,COUNTIFS($A$4:$A452,"&gt;="&amp;$A453-1,$A$4:$A452,"&lt;="&amp;$A453,$B$4:$B452,$B453)&gt;0,MIN(BC$1,IF($A453=$A452,BC452,1))-AH453&lt;0),-1,MIN(1,IF($A453=$A452,BC452,1)-AH453+$D$3))</f>
        <v>#N/A</v>
      </c>
      <c r="BD453" t="e">
        <f>IF(OR($J453=0,COUNTIFS($A$4:$A452,"&gt;="&amp;$A453-1,$A$4:$A452,"&lt;="&amp;$A453,$B$4:$B452,$B453)&gt;0,MIN(BD$1,IF($A453=$A452,BD452,1))-AI453&lt;0),-1,MIN(1,IF($A453=$A452,BD452,1)-AI453+$D$3))</f>
        <v>#N/A</v>
      </c>
      <c r="BF453" s="44">
        <f t="shared" si="443"/>
        <v>2.1096221099877066E-10</v>
      </c>
      <c r="BG453" s="44">
        <f t="shared" si="444"/>
        <v>5.1881560642878384E-10</v>
      </c>
      <c r="BH453" s="44">
        <f t="shared" si="445"/>
        <v>5.3173142253245749E-10</v>
      </c>
      <c r="BI453" s="44">
        <f t="shared" si="446"/>
        <v>4.9117220542241505E-10</v>
      </c>
      <c r="BJ453" s="44">
        <f t="shared" si="447"/>
        <v>5.0767310420881275E-10</v>
      </c>
      <c r="BK453" s="44">
        <f t="shared" si="448"/>
        <v>2.1801375950828582E-10</v>
      </c>
      <c r="BL453" s="44">
        <f t="shared" si="449"/>
        <v>1.1777446276480184E-10</v>
      </c>
      <c r="BM453" s="44">
        <f t="shared" si="450"/>
        <v>2.9960448015655554E-10</v>
      </c>
      <c r="BN453" s="44">
        <f t="shared" si="451"/>
        <v>3.1161200915216519E-10</v>
      </c>
      <c r="BO453" s="44">
        <f t="shared" si="452"/>
        <v>1.4603321180729768E-10</v>
      </c>
      <c r="BP453" s="44">
        <f t="shared" si="453"/>
        <v>4.9103342105310354E-10</v>
      </c>
      <c r="BQ453" s="44">
        <f t="shared" si="454"/>
        <v>1.3250959386186565E-10</v>
      </c>
      <c r="BR453" s="44">
        <f t="shared" si="455"/>
        <v>3.9146651088823456E-10</v>
      </c>
      <c r="BS453" s="44">
        <f t="shared" si="456"/>
        <v>2.1112308412718891E-10</v>
      </c>
      <c r="BT453" s="44">
        <f t="shared" si="457"/>
        <v>8.3547876925645965E-10</v>
      </c>
      <c r="BU453" s="44">
        <f t="shared" si="458"/>
        <v>7.9813362981027894E-10</v>
      </c>
      <c r="BV453" s="44">
        <f t="shared" si="459"/>
        <v>7.6650113239809147E-10</v>
      </c>
      <c r="BW453" s="44">
        <f t="shared" si="460"/>
        <v>5.0133392146546807E-10</v>
      </c>
      <c r="BX453" s="44">
        <f t="shared" si="461"/>
        <v>3.7037639732951926E-10</v>
      </c>
      <c r="BY453" s="44">
        <f t="shared" si="462"/>
        <v>3.1801070704055925E-10</v>
      </c>
      <c r="CA453" s="44" t="str">
        <f t="shared" si="463"/>
        <v/>
      </c>
      <c r="CB453" s="44" t="str">
        <f t="shared" si="464"/>
        <v/>
      </c>
      <c r="CC453" s="44" t="str">
        <f t="shared" si="465"/>
        <v/>
      </c>
      <c r="CD453" s="44" t="str">
        <f t="shared" si="466"/>
        <v/>
      </c>
      <c r="CE453" s="44" t="str">
        <f t="shared" si="467"/>
        <v/>
      </c>
      <c r="CF453" s="44" t="str">
        <f t="shared" si="468"/>
        <v/>
      </c>
      <c r="CG453" s="44" t="str">
        <f t="shared" si="469"/>
        <v/>
      </c>
      <c r="CH453" s="44" t="str">
        <f t="shared" si="470"/>
        <v/>
      </c>
      <c r="CI453" s="44" t="str">
        <f t="shared" si="471"/>
        <v/>
      </c>
      <c r="CJ453" s="44" t="str">
        <f t="shared" si="472"/>
        <v/>
      </c>
      <c r="CK453" s="44" t="str">
        <f t="shared" si="473"/>
        <v/>
      </c>
      <c r="CL453" s="44" t="str">
        <f t="shared" si="474"/>
        <v/>
      </c>
      <c r="CM453" s="44" t="str">
        <f t="shared" si="475"/>
        <v/>
      </c>
      <c r="CN453" s="44" t="str">
        <f t="shared" si="476"/>
        <v/>
      </c>
      <c r="CO453" s="44" t="str">
        <f t="shared" si="477"/>
        <v/>
      </c>
      <c r="CP453" s="44" t="str">
        <f t="shared" si="478"/>
        <v/>
      </c>
      <c r="CQ453" s="44" t="str">
        <f t="shared" si="479"/>
        <v/>
      </c>
      <c r="CR453" s="44" t="str">
        <f t="shared" si="480"/>
        <v/>
      </c>
      <c r="CS453" s="44" t="str">
        <f t="shared" si="481"/>
        <v/>
      </c>
      <c r="CT453" s="44" t="str">
        <f t="shared" si="482"/>
        <v/>
      </c>
      <c r="CV453" s="44">
        <f t="shared" si="483"/>
        <v>0</v>
      </c>
    </row>
    <row r="454" spans="1:100" x14ac:dyDescent="0.25">
      <c r="A454" s="41"/>
      <c r="B454" s="42"/>
      <c r="C454" s="43" t="str" cm="1">
        <f t="array" ref="C454">IF(B454="","",INDEX(UWS!$B$10:$B$41,B454))</f>
        <v/>
      </c>
      <c r="D454" s="40" t="str">
        <f t="shared" si="440"/>
        <v/>
      </c>
      <c r="E454" s="69" t="str">
        <f t="shared" si="441"/>
        <v/>
      </c>
      <c r="F454" s="48" cm="1">
        <f t="array" ref="F454">0.1+IFERROR(INDEX($F$5:$F453,SUMPRODUCT(MAX(ROW($C$5:$C453)*($C454=$C$5:$C453))-ROW($A$4)))*0.9^($A454-INDEX($A$5:A453,SUMPRODUCT(MAX(ROW($C$5:$C453)*($C454=$C$5:$C453))-ROW($A$4)))),0)</f>
        <v>38.900000000000283</v>
      </c>
      <c r="G454" s="55" t="e">
        <f>INDEX(UWS!$AB$10:$AB$41,MATCH(C454,UWS!$B$10:$B$41,0))</f>
        <v>#N/A</v>
      </c>
      <c r="H454" s="48" t="e">
        <f>INDEX(UWS!$C$10:$C$41,MATCH(C454,UWS!$B$10:$B$41,0))</f>
        <v>#N/A</v>
      </c>
      <c r="I454" s="27">
        <f t="shared" si="442"/>
        <v>5</v>
      </c>
      <c r="J454" s="27" t="e">
        <f>INDEX(UWS!$E$10:$E$41,MATCH(C454,UWS!$B$10:$B$41,0))</f>
        <v>#N/A</v>
      </c>
      <c r="L454" s="108" t="str" cm="1">
        <f t="array" ref="L454">IF(K454="","",INDEX(UWS!$B$10:$B$41,K454))</f>
        <v/>
      </c>
      <c r="N454" s="108" t="str" cm="1">
        <f t="array" ref="N454">IF(M454="","",INDEX(UWS!$B$10:$B$41,M454))</f>
        <v/>
      </c>
      <c r="P454">
        <f>IFERROR(INDEX(UWS!$G$10:$Z$41,MATCH($C454,UWS!$B$10:$B$41,0),MATCH(P$4,UWS!$G$3:$Z$3,0)),0)</f>
        <v>0</v>
      </c>
      <c r="Q454">
        <f>IFERROR(INDEX(UWS!$G$10:$Z$41,MATCH($C454,UWS!$B$10:$B$41,0),MATCH(Q$4,UWS!$G$3:$Z$3,0)),0)</f>
        <v>0</v>
      </c>
      <c r="R454">
        <f>IFERROR(INDEX(UWS!$G$10:$Z$41,MATCH($C454,UWS!$B$10:$B$41,0),MATCH(R$4,UWS!$G$3:$Z$3,0)),0)</f>
        <v>0</v>
      </c>
      <c r="S454">
        <f>IFERROR(INDEX(UWS!$G$10:$Z$41,MATCH($C454,UWS!$B$10:$B$41,0),MATCH(S$4,UWS!$G$3:$Z$3,0)),0)</f>
        <v>0</v>
      </c>
      <c r="T454">
        <f>IFERROR(INDEX(UWS!$G$10:$Z$41,MATCH($C454,UWS!$B$10:$B$41,0),MATCH(T$4,UWS!$G$3:$Z$3,0)),0)</f>
        <v>0</v>
      </c>
      <c r="U454">
        <f>IFERROR(INDEX(UWS!$G$10:$Z$41,MATCH($C454,UWS!$B$10:$B$41,0),MATCH(U$4,UWS!$G$3:$Z$3,0)),0)</f>
        <v>0</v>
      </c>
      <c r="V454">
        <f>IFERROR(INDEX(UWS!$G$10:$Z$41,MATCH($C454,UWS!$B$10:$B$41,0),MATCH(V$4,UWS!$G$3:$Z$3,0)),0)</f>
        <v>0</v>
      </c>
      <c r="W454">
        <f>IFERROR(INDEX(UWS!$G$10:$Z$41,MATCH($C454,UWS!$B$10:$B$41,0),MATCH(W$4,UWS!$G$3:$Z$3,0)),0)</f>
        <v>0</v>
      </c>
      <c r="X454">
        <f>IFERROR(INDEX(UWS!$G$10:$Z$41,MATCH($C454,UWS!$B$10:$B$41,0),MATCH(X$4,UWS!$G$3:$Z$3,0)),0)</f>
        <v>0</v>
      </c>
      <c r="Y454">
        <f>IFERROR(INDEX(UWS!$G$10:$Z$41,MATCH($C454,UWS!$B$10:$B$41,0),MATCH(Y$4,UWS!$G$3:$Z$3,0)),0)</f>
        <v>0</v>
      </c>
      <c r="Z454">
        <f>IFERROR(INDEX(UWS!$G$10:$Z$41,MATCH($C454,UWS!$B$10:$B$41,0),MATCH(Z$4,UWS!$G$3:$Z$3,0)),0)</f>
        <v>0</v>
      </c>
      <c r="AA454">
        <f>IFERROR(INDEX(UWS!$G$10:$Z$41,MATCH($C454,UWS!$B$10:$B$41,0),MATCH(AA$4,UWS!$G$3:$Z$3,0)),0)</f>
        <v>0</v>
      </c>
      <c r="AB454">
        <f>IFERROR(INDEX(UWS!$G$10:$Z$41,MATCH($C454,UWS!$B$10:$B$41,0),MATCH(AB$4,UWS!$G$3:$Z$3,0)),0)</f>
        <v>0</v>
      </c>
      <c r="AC454">
        <f>IFERROR(INDEX(UWS!$G$10:$Z$41,MATCH($C454,UWS!$B$10:$B$41,0),MATCH(AC$4,UWS!$G$3:$Z$3,0)),0)</f>
        <v>0</v>
      </c>
      <c r="AD454">
        <f>IFERROR(INDEX(UWS!$G$10:$Z$41,MATCH($C454,UWS!$B$10:$B$41,0),MATCH(AD$4,UWS!$G$3:$Z$3,0)),0)</f>
        <v>0</v>
      </c>
      <c r="AE454">
        <f>IFERROR(INDEX(UWS!$G$10:$Z$41,MATCH($C454,UWS!$B$10:$B$41,0),MATCH(AE$4,UWS!$G$3:$Z$3,0)),0)</f>
        <v>0</v>
      </c>
      <c r="AF454">
        <f>IFERROR(INDEX(UWS!$G$10:$Z$41,MATCH($C454,UWS!$B$10:$B$41,0),MATCH(AF$4,UWS!$G$3:$Z$3,0)),0)</f>
        <v>0</v>
      </c>
      <c r="AG454">
        <f>IFERROR(INDEX(UWS!$G$10:$Z$41,MATCH($C454,UWS!$B$10:$B$41,0),MATCH(AG$4,UWS!$G$3:$Z$3,0)),0)</f>
        <v>0</v>
      </c>
      <c r="AH454">
        <f>IFERROR(INDEX(UWS!$G$10:$Z$41,MATCH($C454,UWS!$B$10:$B$41,0),MATCH(AH$4,UWS!$G$3:$Z$3,0)),0)</f>
        <v>0</v>
      </c>
      <c r="AI454">
        <f>IFERROR(INDEX(UWS!$G$10:$Z$41,MATCH($C454,UWS!$B$10:$B$41,0),MATCH(AI$4,UWS!$G$3:$Z$3,0)),0)</f>
        <v>0</v>
      </c>
      <c r="AK454" t="e">
        <f>IF(OR($J454=0,COUNTIFS($A$4:$A453,"&gt;="&amp;$A454-1,$A$4:$A453,"&lt;="&amp;$A454,$B$4:$B453,$B454)&gt;0,MIN(AK$1,IF($A454=$A453,AK453,1))-P454&lt;0),-1,MIN(1,IF($A454=$A453,AK453,1)-P454+$D$3))</f>
        <v>#N/A</v>
      </c>
      <c r="AL454" t="e">
        <f>IF(OR($J454=0,COUNTIFS($A$4:$A453,"&gt;="&amp;$A454-1,$A$4:$A453,"&lt;="&amp;$A454,$B$4:$B453,$B454)&gt;0,MIN(AL$1,IF($A454=$A453,AL453,1))-Q454&lt;0),-1,MIN(1,IF($A454=$A453,AL453,1)-Q454+$D$3))</f>
        <v>#N/A</v>
      </c>
      <c r="AM454" t="e">
        <f>IF(OR($J454=0,COUNTIFS($A$4:$A453,"&gt;="&amp;$A454-1,$A$4:$A453,"&lt;="&amp;$A454,$B$4:$B453,$B454)&gt;0,MIN(AM$1,IF($A454=$A453,AM453,1))-R454&lt;0),-1,MIN(1,IF($A454=$A453,AM453,1)-R454+$D$3))</f>
        <v>#N/A</v>
      </c>
      <c r="AN454" t="e">
        <f>IF(OR($J454=0,COUNTIFS($A$4:$A453,"&gt;="&amp;$A454-1,$A$4:$A453,"&lt;="&amp;$A454,$B$4:$B453,$B454)&gt;0,MIN(AN$1,IF($A454=$A453,AN453,1))-S454&lt;0),-1,MIN(1,IF($A454=$A453,AN453,1)-S454+$D$3))</f>
        <v>#N/A</v>
      </c>
      <c r="AO454" t="e">
        <f>IF(OR($J454=0,COUNTIFS($A$4:$A453,"&gt;="&amp;$A454-1,$A$4:$A453,"&lt;="&amp;$A454,$B$4:$B453,$B454)&gt;0,MIN(AO$1,IF($A454=$A453,AO453,1))-T454&lt;0),-1,MIN(1,IF($A454=$A453,AO453,1)-T454+$D$3))</f>
        <v>#N/A</v>
      </c>
      <c r="AP454" t="e">
        <f>IF(OR($J454=0,COUNTIFS($A$4:$A453,"&gt;="&amp;$A454-1,$A$4:$A453,"&lt;="&amp;$A454,$B$4:$B453,$B454)&gt;0,MIN(AP$1,IF($A454=$A453,AP453,1))-U454&lt;0),-1,MIN(1,IF($A454=$A453,AP453,1)-U454+$D$3))</f>
        <v>#N/A</v>
      </c>
      <c r="AQ454" t="e">
        <f>IF(OR($J454=0,COUNTIFS($A$4:$A453,"&gt;="&amp;$A454-1,$A$4:$A453,"&lt;="&amp;$A454,$B$4:$B453,$B454)&gt;0,MIN(AQ$1,IF($A454=$A453,AQ453,1))-V454&lt;0),-1,MIN(1,IF($A454=$A453,AQ453,1)-V454+$D$3))</f>
        <v>#N/A</v>
      </c>
      <c r="AR454" t="e">
        <f>IF(OR($J454=0,COUNTIFS($A$4:$A453,"&gt;="&amp;$A454-1,$A$4:$A453,"&lt;="&amp;$A454,$B$4:$B453,$B454)&gt;0,MIN(AR$1,IF($A454=$A453,AR453,1))-W454&lt;0),-1,MIN(1,IF($A454=$A453,AR453,1)-W454+$D$3))</f>
        <v>#N/A</v>
      </c>
      <c r="AS454" t="e">
        <f>IF(OR($J454=0,COUNTIFS($A$4:$A453,"&gt;="&amp;$A454-1,$A$4:$A453,"&lt;="&amp;$A454,$B$4:$B453,$B454)&gt;0,MIN(AS$1,IF($A454=$A453,AS453,1))-X454&lt;0),-1,MIN(1,IF($A454=$A453,AS453,1)-X454+$D$3))</f>
        <v>#N/A</v>
      </c>
      <c r="AT454" t="e">
        <f>IF(OR($J454=0,COUNTIFS($A$4:$A453,"&gt;="&amp;$A454-1,$A$4:$A453,"&lt;="&amp;$A454,$B$4:$B453,$B454)&gt;0,MIN(AT$1,IF($A454=$A453,AT453,1))-Y454&lt;0),-1,MIN(1,IF($A454=$A453,AT453,1)-Y454+$D$3))</f>
        <v>#N/A</v>
      </c>
      <c r="AU454" t="e">
        <f>IF(OR($J454=0,COUNTIFS($A$4:$A453,"&gt;="&amp;$A454-1,$A$4:$A453,"&lt;="&amp;$A454,$B$4:$B453,$B454)&gt;0,MIN(AU$1,IF($A454=$A453,AU453,1))-Z454&lt;0),-1,MIN(1,IF($A454=$A453,AU453,1)-Z454+$D$3))</f>
        <v>#N/A</v>
      </c>
      <c r="AV454" t="e">
        <f>IF(OR($J454=0,COUNTIFS($A$4:$A453,"&gt;="&amp;$A454-1,$A$4:$A453,"&lt;="&amp;$A454,$B$4:$B453,$B454)&gt;0,MIN(AV$1,IF($A454=$A453,AV453,1))-AA454&lt;0),-1,MIN(1,IF($A454=$A453,AV453,1)-AA454+$D$3))</f>
        <v>#N/A</v>
      </c>
      <c r="AW454" t="e">
        <f>IF(OR($J454=0,COUNTIFS($A$4:$A453,"&gt;="&amp;$A454-1,$A$4:$A453,"&lt;="&amp;$A454,$B$4:$B453,$B454)&gt;0,MIN(AW$1,IF($A454=$A453,AW453,1))-AB454&lt;0),-1,MIN(1,IF($A454=$A453,AW453,1)-AB454+$D$3))</f>
        <v>#N/A</v>
      </c>
      <c r="AX454" t="e">
        <f>IF(OR($J454=0,COUNTIFS($A$4:$A453,"&gt;="&amp;$A454-1,$A$4:$A453,"&lt;="&amp;$A454,$B$4:$B453,$B454)&gt;0,MIN(AX$1,IF($A454=$A453,AX453,1))-AC454&lt;0),-1,MIN(1,IF($A454=$A453,AX453,1)-AC454+$D$3))</f>
        <v>#N/A</v>
      </c>
      <c r="AY454" t="e">
        <f>IF(OR($J454=0,COUNTIFS($A$4:$A453,"&gt;="&amp;$A454-1,$A$4:$A453,"&lt;="&amp;$A454,$B$4:$B453,$B454)&gt;0,MIN(AY$1,IF($A454=$A453,AY453,1))-AD454&lt;0),-1,MIN(1,IF($A454=$A453,AY453,1)-AD454+$D$3))</f>
        <v>#N/A</v>
      </c>
      <c r="AZ454" t="e">
        <f>IF(OR($J454=0,COUNTIFS($A$4:$A453,"&gt;="&amp;$A454-1,$A$4:$A453,"&lt;="&amp;$A454,$B$4:$B453,$B454)&gt;0,MIN(AZ$1,IF($A454=$A453,AZ453,1))-AE454&lt;0),-1,MIN(1,IF($A454=$A453,AZ453,1)-AE454+$D$3))</f>
        <v>#N/A</v>
      </c>
      <c r="BA454" t="e">
        <f>IF(OR($J454=0,COUNTIFS($A$4:$A453,"&gt;="&amp;$A454-1,$A$4:$A453,"&lt;="&amp;$A454,$B$4:$B453,$B454)&gt;0,MIN(BA$1,IF($A454=$A453,BA453,1))-AF454&lt;0),-1,MIN(1,IF($A454=$A453,BA453,1)-AF454+$D$3))</f>
        <v>#N/A</v>
      </c>
      <c r="BB454" t="e">
        <f>IF(OR($J454=0,COUNTIFS($A$4:$A453,"&gt;="&amp;$A454-1,$A$4:$A453,"&lt;="&amp;$A454,$B$4:$B453,$B454)&gt;0,MIN(BB$1,IF($A454=$A453,BB453,1))-AG454&lt;0),-1,MIN(1,IF($A454=$A453,BB453,1)-AG454+$D$3))</f>
        <v>#N/A</v>
      </c>
      <c r="BC454" t="e">
        <f>IF(OR($J454=0,COUNTIFS($A$4:$A453,"&gt;="&amp;$A454-1,$A$4:$A453,"&lt;="&amp;$A454,$B$4:$B453,$B454)&gt;0,MIN(BC$1,IF($A454=$A453,BC453,1))-AH454&lt;0),-1,MIN(1,IF($A454=$A453,BC453,1)-AH454+$D$3))</f>
        <v>#N/A</v>
      </c>
      <c r="BD454" t="e">
        <f>IF(OR($J454=0,COUNTIFS($A$4:$A453,"&gt;="&amp;$A454-1,$A$4:$A453,"&lt;="&amp;$A454,$B$4:$B453,$B454)&gt;0,MIN(BD$1,IF($A454=$A453,BD453,1))-AI454&lt;0),-1,MIN(1,IF($A454=$A453,BD453,1)-AI454+$D$3))</f>
        <v>#N/A</v>
      </c>
      <c r="BF454" s="44">
        <f t="shared" si="443"/>
        <v>2.0041410044883213E-10</v>
      </c>
      <c r="BG454" s="44">
        <f t="shared" si="444"/>
        <v>4.9287482610734458E-10</v>
      </c>
      <c r="BH454" s="44">
        <f t="shared" si="445"/>
        <v>5.0514485140583457E-10</v>
      </c>
      <c r="BI454" s="44">
        <f t="shared" si="446"/>
        <v>4.6661359515129433E-10</v>
      </c>
      <c r="BJ454" s="44">
        <f t="shared" si="447"/>
        <v>4.8228944899837209E-10</v>
      </c>
      <c r="BK454" s="44">
        <f t="shared" si="448"/>
        <v>2.0711307153287153E-10</v>
      </c>
      <c r="BL454" s="44">
        <f t="shared" si="449"/>
        <v>1.1188573962656174E-10</v>
      </c>
      <c r="BM454" s="44">
        <f t="shared" si="450"/>
        <v>2.8462425614872777E-10</v>
      </c>
      <c r="BN454" s="44">
        <f t="shared" si="451"/>
        <v>2.9603140869455693E-10</v>
      </c>
      <c r="BO454" s="44">
        <f t="shared" si="452"/>
        <v>1.3873155121693279E-10</v>
      </c>
      <c r="BP454" s="44">
        <f t="shared" si="453"/>
        <v>4.664817500004483E-10</v>
      </c>
      <c r="BQ454" s="44">
        <f t="shared" si="454"/>
        <v>1.2588411416877237E-10</v>
      </c>
      <c r="BR454" s="44">
        <f t="shared" si="455"/>
        <v>3.7189318534382281E-10</v>
      </c>
      <c r="BS454" s="44">
        <f t="shared" si="456"/>
        <v>2.0056692992082944E-10</v>
      </c>
      <c r="BT454" s="44">
        <f t="shared" si="457"/>
        <v>7.9370483079363665E-10</v>
      </c>
      <c r="BU454" s="44">
        <f t="shared" si="458"/>
        <v>7.5822694831976491E-10</v>
      </c>
      <c r="BV454" s="44">
        <f t="shared" si="459"/>
        <v>7.2817607577818686E-10</v>
      </c>
      <c r="BW454" s="44">
        <f t="shared" si="460"/>
        <v>4.7626722539219465E-10</v>
      </c>
      <c r="BX454" s="44">
        <f t="shared" si="461"/>
        <v>3.518575774630433E-10</v>
      </c>
      <c r="BY454" s="44">
        <f t="shared" si="462"/>
        <v>3.0211017168853127E-10</v>
      </c>
      <c r="CA454" s="44" t="str">
        <f t="shared" si="463"/>
        <v/>
      </c>
      <c r="CB454" s="44" t="str">
        <f t="shared" si="464"/>
        <v/>
      </c>
      <c r="CC454" s="44" t="str">
        <f t="shared" si="465"/>
        <v/>
      </c>
      <c r="CD454" s="44" t="str">
        <f t="shared" si="466"/>
        <v/>
      </c>
      <c r="CE454" s="44" t="str">
        <f t="shared" si="467"/>
        <v/>
      </c>
      <c r="CF454" s="44" t="str">
        <f t="shared" si="468"/>
        <v/>
      </c>
      <c r="CG454" s="44" t="str">
        <f t="shared" si="469"/>
        <v/>
      </c>
      <c r="CH454" s="44" t="str">
        <f t="shared" si="470"/>
        <v/>
      </c>
      <c r="CI454" s="44" t="str">
        <f t="shared" si="471"/>
        <v/>
      </c>
      <c r="CJ454" s="44" t="str">
        <f t="shared" si="472"/>
        <v/>
      </c>
      <c r="CK454" s="44" t="str">
        <f t="shared" si="473"/>
        <v/>
      </c>
      <c r="CL454" s="44" t="str">
        <f t="shared" si="474"/>
        <v/>
      </c>
      <c r="CM454" s="44" t="str">
        <f t="shared" si="475"/>
        <v/>
      </c>
      <c r="CN454" s="44" t="str">
        <f t="shared" si="476"/>
        <v/>
      </c>
      <c r="CO454" s="44" t="str">
        <f t="shared" si="477"/>
        <v/>
      </c>
      <c r="CP454" s="44" t="str">
        <f t="shared" si="478"/>
        <v/>
      </c>
      <c r="CQ454" s="44" t="str">
        <f t="shared" si="479"/>
        <v/>
      </c>
      <c r="CR454" s="44" t="str">
        <f t="shared" si="480"/>
        <v/>
      </c>
      <c r="CS454" s="44" t="str">
        <f t="shared" si="481"/>
        <v/>
      </c>
      <c r="CT454" s="44" t="str">
        <f t="shared" si="482"/>
        <v/>
      </c>
      <c r="CV454" s="44">
        <f t="shared" si="483"/>
        <v>0</v>
      </c>
    </row>
    <row r="455" spans="1:100" x14ac:dyDescent="0.25">
      <c r="A455" s="49"/>
      <c r="B455" s="50"/>
      <c r="C455" s="51" t="str" cm="1">
        <f t="array" ref="C455">IF(B455="","",INDEX(UWS!$B$10:$B$41,B455))</f>
        <v/>
      </c>
      <c r="D455" s="45" t="str">
        <f t="shared" si="440"/>
        <v/>
      </c>
      <c r="E455" s="70" t="str">
        <f t="shared" si="441"/>
        <v/>
      </c>
      <c r="F455" s="52" cm="1">
        <f t="array" ref="F455">0.1+IFERROR(INDEX($F$5:$F454,SUMPRODUCT(MAX(ROW($C$5:$C454)*($C455=$C$5:$C454))-ROW($A$4)))*0.9^($A455-INDEX($A$5:A454,SUMPRODUCT(MAX(ROW($C$5:$C454)*($C455=$C$5:$C454))-ROW($A$4)))),0)</f>
        <v>39.000000000000284</v>
      </c>
      <c r="G455" s="56" t="e">
        <f>INDEX(UWS!$AB$10:$AB$41,MATCH(C455,UWS!$B$10:$B$41,0))</f>
        <v>#N/A</v>
      </c>
      <c r="H455" s="52" t="e">
        <f>INDEX(UWS!$C$10:$C$41,MATCH(C455,UWS!$B$10:$B$41,0))</f>
        <v>#N/A</v>
      </c>
      <c r="I455" s="46">
        <f t="shared" si="442"/>
        <v>5</v>
      </c>
      <c r="J455" s="46" t="e">
        <f>INDEX(UWS!$E$10:$E$41,MATCH(C455,UWS!$B$10:$B$41,0))</f>
        <v>#N/A</v>
      </c>
      <c r="K455" s="46"/>
      <c r="L455" s="109" t="str" cm="1">
        <f t="array" ref="L455">IF(K455="","",INDEX(UWS!$B$10:$B$41,K455))</f>
        <v/>
      </c>
      <c r="M455" s="46"/>
      <c r="N455" s="109" t="str" cm="1">
        <f t="array" ref="N455">IF(M455="","",INDEX(UWS!$B$10:$B$41,M455))</f>
        <v/>
      </c>
      <c r="O455" s="47"/>
      <c r="P455" s="47">
        <f>IFERROR(INDEX(UWS!$G$10:$Z$41,MATCH($C455,UWS!$B$10:$B$41,0),MATCH(P$4,UWS!$G$3:$Z$3,0)),0)</f>
        <v>0</v>
      </c>
      <c r="Q455" s="47">
        <f>IFERROR(INDEX(UWS!$G$10:$Z$41,MATCH($C455,UWS!$B$10:$B$41,0),MATCH(Q$4,UWS!$G$3:$Z$3,0)),0)</f>
        <v>0</v>
      </c>
      <c r="R455" s="47">
        <f>IFERROR(INDEX(UWS!$G$10:$Z$41,MATCH($C455,UWS!$B$10:$B$41,0),MATCH(R$4,UWS!$G$3:$Z$3,0)),0)</f>
        <v>0</v>
      </c>
      <c r="S455" s="47">
        <f>IFERROR(INDEX(UWS!$G$10:$Z$41,MATCH($C455,UWS!$B$10:$B$41,0),MATCH(S$4,UWS!$G$3:$Z$3,0)),0)</f>
        <v>0</v>
      </c>
      <c r="T455" s="47">
        <f>IFERROR(INDEX(UWS!$G$10:$Z$41,MATCH($C455,UWS!$B$10:$B$41,0),MATCH(T$4,UWS!$G$3:$Z$3,0)),0)</f>
        <v>0</v>
      </c>
      <c r="U455" s="47">
        <f>IFERROR(INDEX(UWS!$G$10:$Z$41,MATCH($C455,UWS!$B$10:$B$41,0),MATCH(U$4,UWS!$G$3:$Z$3,0)),0)</f>
        <v>0</v>
      </c>
      <c r="V455" s="47">
        <f>IFERROR(INDEX(UWS!$G$10:$Z$41,MATCH($C455,UWS!$B$10:$B$41,0),MATCH(V$4,UWS!$G$3:$Z$3,0)),0)</f>
        <v>0</v>
      </c>
      <c r="W455" s="47">
        <f>IFERROR(INDEX(UWS!$G$10:$Z$41,MATCH($C455,UWS!$B$10:$B$41,0),MATCH(W$4,UWS!$G$3:$Z$3,0)),0)</f>
        <v>0</v>
      </c>
      <c r="X455" s="47">
        <f>IFERROR(INDEX(UWS!$G$10:$Z$41,MATCH($C455,UWS!$B$10:$B$41,0),MATCH(X$4,UWS!$G$3:$Z$3,0)),0)</f>
        <v>0</v>
      </c>
      <c r="Y455" s="47">
        <f>IFERROR(INDEX(UWS!$G$10:$Z$41,MATCH($C455,UWS!$B$10:$B$41,0),MATCH(Y$4,UWS!$G$3:$Z$3,0)),0)</f>
        <v>0</v>
      </c>
      <c r="Z455" s="47">
        <f>IFERROR(INDEX(UWS!$G$10:$Z$41,MATCH($C455,UWS!$B$10:$B$41,0),MATCH(Z$4,UWS!$G$3:$Z$3,0)),0)</f>
        <v>0</v>
      </c>
      <c r="AA455" s="47">
        <f>IFERROR(INDEX(UWS!$G$10:$Z$41,MATCH($C455,UWS!$B$10:$B$41,0),MATCH(AA$4,UWS!$G$3:$Z$3,0)),0)</f>
        <v>0</v>
      </c>
      <c r="AB455" s="47">
        <f>IFERROR(INDEX(UWS!$G$10:$Z$41,MATCH($C455,UWS!$B$10:$B$41,0),MATCH(AB$4,UWS!$G$3:$Z$3,0)),0)</f>
        <v>0</v>
      </c>
      <c r="AC455" s="47">
        <f>IFERROR(INDEX(UWS!$G$10:$Z$41,MATCH($C455,UWS!$B$10:$B$41,0),MATCH(AC$4,UWS!$G$3:$Z$3,0)),0)</f>
        <v>0</v>
      </c>
      <c r="AD455" s="47">
        <f>IFERROR(INDEX(UWS!$G$10:$Z$41,MATCH($C455,UWS!$B$10:$B$41,0),MATCH(AD$4,UWS!$G$3:$Z$3,0)),0)</f>
        <v>0</v>
      </c>
      <c r="AE455" s="47">
        <f>IFERROR(INDEX(UWS!$G$10:$Z$41,MATCH($C455,UWS!$B$10:$B$41,0),MATCH(AE$4,UWS!$G$3:$Z$3,0)),0)</f>
        <v>0</v>
      </c>
      <c r="AF455" s="47">
        <f>IFERROR(INDEX(UWS!$G$10:$Z$41,MATCH($C455,UWS!$B$10:$B$41,0),MATCH(AF$4,UWS!$G$3:$Z$3,0)),0)</f>
        <v>0</v>
      </c>
      <c r="AG455" s="47">
        <f>IFERROR(INDEX(UWS!$G$10:$Z$41,MATCH($C455,UWS!$B$10:$B$41,0),MATCH(AG$4,UWS!$G$3:$Z$3,0)),0)</f>
        <v>0</v>
      </c>
      <c r="AH455" s="47">
        <f>IFERROR(INDEX(UWS!$G$10:$Z$41,MATCH($C455,UWS!$B$10:$B$41,0),MATCH(AH$4,UWS!$G$3:$Z$3,0)),0)</f>
        <v>0</v>
      </c>
      <c r="AI455" s="47">
        <f>IFERROR(INDEX(UWS!$G$10:$Z$41,MATCH($C455,UWS!$B$10:$B$41,0),MATCH(AI$4,UWS!$G$3:$Z$3,0)),0)</f>
        <v>0</v>
      </c>
      <c r="AJ455" s="47"/>
      <c r="AK455" s="47" t="e">
        <f>IF(OR($J455=0,COUNTIFS($A$4:$A454,"&gt;="&amp;$A455-1,$A$4:$A454,"&lt;="&amp;$A455,$B$4:$B454,$B455)&gt;0,MIN(AK$1,IF($A455=$A454,AK454,1))-P455&lt;0),-1,MIN(1,IF($A455=$A454,AK454,1)-P455+$D$3))</f>
        <v>#N/A</v>
      </c>
      <c r="AL455" s="47" t="e">
        <f>IF(OR($J455=0,COUNTIFS($A$4:$A454,"&gt;="&amp;$A455-1,$A$4:$A454,"&lt;="&amp;$A455,$B$4:$B454,$B455)&gt;0,MIN(AL$1,IF($A455=$A454,AL454,1))-Q455&lt;0),-1,MIN(1,IF($A455=$A454,AL454,1)-Q455+$D$3))</f>
        <v>#N/A</v>
      </c>
      <c r="AM455" s="47" t="e">
        <f>IF(OR($J455=0,COUNTIFS($A$4:$A454,"&gt;="&amp;$A455-1,$A$4:$A454,"&lt;="&amp;$A455,$B$4:$B454,$B455)&gt;0,MIN(AM$1,IF($A455=$A454,AM454,1))-R455&lt;0),-1,MIN(1,IF($A455=$A454,AM454,1)-R455+$D$3))</f>
        <v>#N/A</v>
      </c>
      <c r="AN455" s="47" t="e">
        <f>IF(OR($J455=0,COUNTIFS($A$4:$A454,"&gt;="&amp;$A455-1,$A$4:$A454,"&lt;="&amp;$A455,$B$4:$B454,$B455)&gt;0,MIN(AN$1,IF($A455=$A454,AN454,1))-S455&lt;0),-1,MIN(1,IF($A455=$A454,AN454,1)-S455+$D$3))</f>
        <v>#N/A</v>
      </c>
      <c r="AO455" s="47" t="e">
        <f>IF(OR($J455=0,COUNTIFS($A$4:$A454,"&gt;="&amp;$A455-1,$A$4:$A454,"&lt;="&amp;$A455,$B$4:$B454,$B455)&gt;0,MIN(AO$1,IF($A455=$A454,AO454,1))-T455&lt;0),-1,MIN(1,IF($A455=$A454,AO454,1)-T455+$D$3))</f>
        <v>#N/A</v>
      </c>
      <c r="AP455" s="47" t="e">
        <f>IF(OR($J455=0,COUNTIFS($A$4:$A454,"&gt;="&amp;$A455-1,$A$4:$A454,"&lt;="&amp;$A455,$B$4:$B454,$B455)&gt;0,MIN(AP$1,IF($A455=$A454,AP454,1))-U455&lt;0),-1,MIN(1,IF($A455=$A454,AP454,1)-U455+$D$3))</f>
        <v>#N/A</v>
      </c>
      <c r="AQ455" s="47" t="e">
        <f>IF(OR($J455=0,COUNTIFS($A$4:$A454,"&gt;="&amp;$A455-1,$A$4:$A454,"&lt;="&amp;$A455,$B$4:$B454,$B455)&gt;0,MIN(AQ$1,IF($A455=$A454,AQ454,1))-V455&lt;0),-1,MIN(1,IF($A455=$A454,AQ454,1)-V455+$D$3))</f>
        <v>#N/A</v>
      </c>
      <c r="AR455" s="47" t="e">
        <f>IF(OR($J455=0,COUNTIFS($A$4:$A454,"&gt;="&amp;$A455-1,$A$4:$A454,"&lt;="&amp;$A455,$B$4:$B454,$B455)&gt;0,MIN(AR$1,IF($A455=$A454,AR454,1))-W455&lt;0),-1,MIN(1,IF($A455=$A454,AR454,1)-W455+$D$3))</f>
        <v>#N/A</v>
      </c>
      <c r="AS455" s="47" t="e">
        <f>IF(OR($J455=0,COUNTIFS($A$4:$A454,"&gt;="&amp;$A455-1,$A$4:$A454,"&lt;="&amp;$A455,$B$4:$B454,$B455)&gt;0,MIN(AS$1,IF($A455=$A454,AS454,1))-X455&lt;0),-1,MIN(1,IF($A455=$A454,AS454,1)-X455+$D$3))</f>
        <v>#N/A</v>
      </c>
      <c r="AT455" s="47" t="e">
        <f>IF(OR($J455=0,COUNTIFS($A$4:$A454,"&gt;="&amp;$A455-1,$A$4:$A454,"&lt;="&amp;$A455,$B$4:$B454,$B455)&gt;0,MIN(AT$1,IF($A455=$A454,AT454,1))-Y455&lt;0),-1,MIN(1,IF($A455=$A454,AT454,1)-Y455+$D$3))</f>
        <v>#N/A</v>
      </c>
      <c r="AU455" s="47" t="e">
        <f>IF(OR($J455=0,COUNTIFS($A$4:$A454,"&gt;="&amp;$A455-1,$A$4:$A454,"&lt;="&amp;$A455,$B$4:$B454,$B455)&gt;0,MIN(AU$1,IF($A455=$A454,AU454,1))-Z455&lt;0),-1,MIN(1,IF($A455=$A454,AU454,1)-Z455+$D$3))</f>
        <v>#N/A</v>
      </c>
      <c r="AV455" s="47" t="e">
        <f>IF(OR($J455=0,COUNTIFS($A$4:$A454,"&gt;="&amp;$A455-1,$A$4:$A454,"&lt;="&amp;$A455,$B$4:$B454,$B455)&gt;0,MIN(AV$1,IF($A455=$A454,AV454,1))-AA455&lt;0),-1,MIN(1,IF($A455=$A454,AV454,1)-AA455+$D$3))</f>
        <v>#N/A</v>
      </c>
      <c r="AW455" s="47" t="e">
        <f>IF(OR($J455=0,COUNTIFS($A$4:$A454,"&gt;="&amp;$A455-1,$A$4:$A454,"&lt;="&amp;$A455,$B$4:$B454,$B455)&gt;0,MIN(AW$1,IF($A455=$A454,AW454,1))-AB455&lt;0),-1,MIN(1,IF($A455=$A454,AW454,1)-AB455+$D$3))</f>
        <v>#N/A</v>
      </c>
      <c r="AX455" s="47" t="e">
        <f>IF(OR($J455=0,COUNTIFS($A$4:$A454,"&gt;="&amp;$A455-1,$A$4:$A454,"&lt;="&amp;$A455,$B$4:$B454,$B455)&gt;0,MIN(AX$1,IF($A455=$A454,AX454,1))-AC455&lt;0),-1,MIN(1,IF($A455=$A454,AX454,1)-AC455+$D$3))</f>
        <v>#N/A</v>
      </c>
      <c r="AY455" s="47" t="e">
        <f>IF(OR($J455=0,COUNTIFS($A$4:$A454,"&gt;="&amp;$A455-1,$A$4:$A454,"&lt;="&amp;$A455,$B$4:$B454,$B455)&gt;0,MIN(AY$1,IF($A455=$A454,AY454,1))-AD455&lt;0),-1,MIN(1,IF($A455=$A454,AY454,1)-AD455+$D$3))</f>
        <v>#N/A</v>
      </c>
      <c r="AZ455" s="47" t="e">
        <f>IF(OR($J455=0,COUNTIFS($A$4:$A454,"&gt;="&amp;$A455-1,$A$4:$A454,"&lt;="&amp;$A455,$B$4:$B454,$B455)&gt;0,MIN(AZ$1,IF($A455=$A454,AZ454,1))-AE455&lt;0),-1,MIN(1,IF($A455=$A454,AZ454,1)-AE455+$D$3))</f>
        <v>#N/A</v>
      </c>
      <c r="BA455" s="47" t="e">
        <f>IF(OR($J455=0,COUNTIFS($A$4:$A454,"&gt;="&amp;$A455-1,$A$4:$A454,"&lt;="&amp;$A455,$B$4:$B454,$B455)&gt;0,MIN(BA$1,IF($A455=$A454,BA454,1))-AF455&lt;0),-1,MIN(1,IF($A455=$A454,BA454,1)-AF455+$D$3))</f>
        <v>#N/A</v>
      </c>
      <c r="BB455" s="47" t="e">
        <f>IF(OR($J455=0,COUNTIFS($A$4:$A454,"&gt;="&amp;$A455-1,$A$4:$A454,"&lt;="&amp;$A455,$B$4:$B454,$B455)&gt;0,MIN(BB$1,IF($A455=$A454,BB454,1))-AG455&lt;0),-1,MIN(1,IF($A455=$A454,BB454,1)-AG455+$D$3))</f>
        <v>#N/A</v>
      </c>
      <c r="BC455" s="47" t="e">
        <f>IF(OR($J455=0,COUNTIFS($A$4:$A454,"&gt;="&amp;$A455-1,$A$4:$A454,"&lt;="&amp;$A455,$B$4:$B454,$B455)&gt;0,MIN(BC$1,IF($A455=$A454,BC454,1))-AH455&lt;0),-1,MIN(1,IF($A455=$A454,BC454,1)-AH455+$D$3))</f>
        <v>#N/A</v>
      </c>
      <c r="BD455" s="47" t="e">
        <f>IF(OR($J455=0,COUNTIFS($A$4:$A454,"&gt;="&amp;$A455-1,$A$4:$A454,"&lt;="&amp;$A455,$B$4:$B454,$B455)&gt;0,MIN(BD$1,IF($A455=$A454,BD454,1))-AI455&lt;0),-1,MIN(1,IF($A455=$A454,BD454,1)-AI455+$D$3))</f>
        <v>#N/A</v>
      </c>
      <c r="BE455" s="47"/>
      <c r="BF455" s="53">
        <f t="shared" si="443"/>
        <v>1.9039339542639052E-10</v>
      </c>
      <c r="BG455" s="53">
        <f t="shared" si="444"/>
        <v>4.6823108480197732E-10</v>
      </c>
      <c r="BH455" s="53">
        <f t="shared" si="445"/>
        <v>4.7988760883554279E-10</v>
      </c>
      <c r="BI455" s="53">
        <f t="shared" si="446"/>
        <v>4.432829153937296E-10</v>
      </c>
      <c r="BJ455" s="53">
        <f t="shared" si="447"/>
        <v>4.5817497654845348E-10</v>
      </c>
      <c r="BK455" s="53">
        <f t="shared" si="448"/>
        <v>1.9675741795622795E-10</v>
      </c>
      <c r="BL455" s="53">
        <f t="shared" si="449"/>
        <v>1.0629145264523364E-10</v>
      </c>
      <c r="BM455" s="53">
        <f t="shared" si="450"/>
        <v>2.7039304334129137E-10</v>
      </c>
      <c r="BN455" s="53">
        <f t="shared" si="451"/>
        <v>2.8122983825982905E-10</v>
      </c>
      <c r="BO455" s="53">
        <f t="shared" si="452"/>
        <v>1.3179497365608615E-10</v>
      </c>
      <c r="BP455" s="53">
        <f t="shared" si="453"/>
        <v>4.4315766250042587E-10</v>
      </c>
      <c r="BQ455" s="53">
        <f t="shared" si="454"/>
        <v>1.1958990846033374E-10</v>
      </c>
      <c r="BR455" s="53">
        <f t="shared" si="455"/>
        <v>3.5329852607663167E-10</v>
      </c>
      <c r="BS455" s="53">
        <f t="shared" si="456"/>
        <v>1.9053858342478796E-10</v>
      </c>
      <c r="BT455" s="53">
        <f t="shared" si="457"/>
        <v>7.5401958925395483E-10</v>
      </c>
      <c r="BU455" s="53">
        <f t="shared" si="458"/>
        <v>7.203156009037766E-10</v>
      </c>
      <c r="BV455" s="53">
        <f t="shared" si="459"/>
        <v>6.9176727198927747E-10</v>
      </c>
      <c r="BW455" s="53">
        <f t="shared" si="460"/>
        <v>4.5245386412258489E-10</v>
      </c>
      <c r="BX455" s="53">
        <f t="shared" si="461"/>
        <v>3.3426469858989114E-10</v>
      </c>
      <c r="BY455" s="53">
        <f t="shared" si="462"/>
        <v>2.8700466310410471E-10</v>
      </c>
      <c r="BZ455" s="47"/>
      <c r="CA455" s="53" t="str">
        <f t="shared" si="463"/>
        <v/>
      </c>
      <c r="CB455" s="53" t="str">
        <f t="shared" si="464"/>
        <v/>
      </c>
      <c r="CC455" s="53" t="str">
        <f t="shared" si="465"/>
        <v/>
      </c>
      <c r="CD455" s="53" t="str">
        <f t="shared" si="466"/>
        <v/>
      </c>
      <c r="CE455" s="53" t="str">
        <f t="shared" si="467"/>
        <v/>
      </c>
      <c r="CF455" s="53" t="str">
        <f t="shared" si="468"/>
        <v/>
      </c>
      <c r="CG455" s="53" t="str">
        <f t="shared" si="469"/>
        <v/>
      </c>
      <c r="CH455" s="53" t="str">
        <f t="shared" si="470"/>
        <v/>
      </c>
      <c r="CI455" s="53" t="str">
        <f t="shared" si="471"/>
        <v/>
      </c>
      <c r="CJ455" s="53" t="str">
        <f t="shared" si="472"/>
        <v/>
      </c>
      <c r="CK455" s="53" t="str">
        <f t="shared" si="473"/>
        <v/>
      </c>
      <c r="CL455" s="53" t="str">
        <f t="shared" si="474"/>
        <v/>
      </c>
      <c r="CM455" s="53" t="str">
        <f t="shared" si="475"/>
        <v/>
      </c>
      <c r="CN455" s="53" t="str">
        <f t="shared" si="476"/>
        <v/>
      </c>
      <c r="CO455" s="53" t="str">
        <f t="shared" si="477"/>
        <v/>
      </c>
      <c r="CP455" s="53" t="str">
        <f t="shared" si="478"/>
        <v/>
      </c>
      <c r="CQ455" s="53" t="str">
        <f t="shared" si="479"/>
        <v/>
      </c>
      <c r="CR455" s="53" t="str">
        <f t="shared" si="480"/>
        <v/>
      </c>
      <c r="CS455" s="53" t="str">
        <f t="shared" si="481"/>
        <v/>
      </c>
      <c r="CT455" s="53" t="str">
        <f t="shared" si="482"/>
        <v/>
      </c>
      <c r="CU455" s="47"/>
      <c r="CV455" s="53">
        <f t="shared" si="483"/>
        <v>0</v>
      </c>
    </row>
  </sheetData>
  <mergeCells count="20"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  <mergeCell ref="CL3:CN3"/>
    <mergeCell ref="CO3:CT3"/>
    <mergeCell ref="BN3:BP3"/>
    <mergeCell ref="BQ3:BS3"/>
    <mergeCell ref="BT3:BY3"/>
    <mergeCell ref="CB3:CE3"/>
    <mergeCell ref="CF3:CH3"/>
    <mergeCell ref="CI3:CK3"/>
  </mergeCells>
  <conditionalFormatting sqref="CA2:CT2">
    <cfRule type="colorScale" priority="9">
      <colorScale>
        <cfvo type="min"/>
        <cfvo type="max"/>
        <color rgb="FFFCFCFF"/>
        <color rgb="FF63BE7B"/>
      </colorScale>
    </cfRule>
  </conditionalFormatting>
  <conditionalFormatting sqref="CA2:CT2">
    <cfRule type="colorScale" priority="8">
      <colorScale>
        <cfvo type="min"/>
        <cfvo type="max"/>
        <color rgb="FFFCFCFF"/>
        <color rgb="FF63BE7B"/>
      </colorScale>
    </cfRule>
  </conditionalFormatting>
  <conditionalFormatting sqref="D5:D455">
    <cfRule type="cellIs" dxfId="0" priority="5" operator="lessThan">
      <formula>0</formula>
    </cfRule>
  </conditionalFormatting>
  <conditionalFormatting sqref="P5:AI455">
    <cfRule type="colorScale" priority="59">
      <colorScale>
        <cfvo type="min"/>
        <cfvo type="max"/>
        <color rgb="FFFCFCFF"/>
        <color rgb="FFF8696B"/>
      </colorScale>
    </cfRule>
  </conditionalFormatting>
  <conditionalFormatting sqref="BF5:BY455">
    <cfRule type="colorScale" priority="61">
      <colorScale>
        <cfvo type="min"/>
        <cfvo type="max"/>
        <color rgb="FFFCFCFF"/>
        <color rgb="FFF8696B"/>
      </colorScale>
    </cfRule>
  </conditionalFormatting>
  <conditionalFormatting sqref="AK5:BD455">
    <cfRule type="colorScale" priority="63">
      <colorScale>
        <cfvo type="min"/>
        <cfvo type="max"/>
        <color rgb="FFFCFCFF"/>
        <color rgb="FFF8696B"/>
      </colorScale>
    </cfRule>
  </conditionalFormatting>
  <conditionalFormatting sqref="E5:F45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H5:H455">
    <cfRule type="colorScale" priority="67">
      <colorScale>
        <cfvo type="min"/>
        <cfvo type="max"/>
        <color rgb="FFFCFCFF"/>
        <color rgb="FF63BE7B"/>
      </colorScale>
    </cfRule>
  </conditionalFormatting>
  <conditionalFormatting sqref="G5:G455">
    <cfRule type="colorScale" priority="69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3</xdr:row>
                    <xdr:rowOff>57150</xdr:rowOff>
                  </from>
                  <to>
                    <xdr:col>1</xdr:col>
                    <xdr:colOff>733425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3</xdr:row>
                    <xdr:rowOff>66675</xdr:rowOff>
                  </from>
                  <to>
                    <xdr:col>2</xdr:col>
                    <xdr:colOff>1190625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E5:F455</xm:sqref>
        </x14:conditionalFormatting>
        <x14:conditionalFormatting xmlns:xm="http://schemas.microsoft.com/office/excel/2006/main">
          <x14:cfRule type="iconSet" priority="71" id="{E0D0C26B-F592-4E58-8214-A06E1E041CF2}">
            <x14:iconSet iconSet="5Arrows" custom="1">
              <x14:cfvo type="percent">
                <xm:f>0</xm:f>
              </x14:cfvo>
              <x14:cfvo type="num">
                <xm:f>-0.5</xm:f>
              </x14:cfvo>
              <x14:cfvo type="num">
                <xm:f>-0.1</xm:f>
              </x14:cfvo>
              <x14:cfvo type="num">
                <xm:f>0.1</xm:f>
              </x14:cfvo>
              <x14:cfvo type="num">
                <xm:f>0.5</xm:f>
              </x14:cfvo>
              <x14:cfIcon iconSet="3Arrows" iconId="2"/>
              <x14:cfIcon iconSet="4Arrows" iconId="2"/>
              <x14:cfIcon iconSet="3Arrows" iconId="1"/>
              <x14:cfIcon iconSet="4Arrows" iconId="1"/>
              <x14:cfIcon iconSet="3Arrows" iconId="0"/>
            </x14:iconSet>
          </x14:cfRule>
          <xm:sqref>CA5:CT455 CV5:CV455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K23"/>
  <sheetViews>
    <sheetView workbookViewId="0">
      <selection activeCell="F25" sqref="F25"/>
    </sheetView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11" x14ac:dyDescent="0.25">
      <c r="B2" s="116" t="s">
        <v>141</v>
      </c>
      <c r="C2" s="118"/>
      <c r="D2" s="116" t="s">
        <v>140</v>
      </c>
      <c r="E2" s="117"/>
      <c r="F2" s="118"/>
    </row>
    <row r="3" spans="2:11" s="23" customFormat="1" x14ac:dyDescent="0.25">
      <c r="B3" s="100" t="s">
        <v>84</v>
      </c>
      <c r="C3" s="101" t="s">
        <v>85</v>
      </c>
      <c r="D3" s="100" t="s">
        <v>86</v>
      </c>
      <c r="E3" s="102" t="s">
        <v>2</v>
      </c>
      <c r="F3" s="101" t="s">
        <v>87</v>
      </c>
    </row>
    <row r="4" spans="2:11" x14ac:dyDescent="0.25">
      <c r="B4" s="20"/>
      <c r="C4" s="21"/>
      <c r="D4" s="20"/>
      <c r="F4" s="21"/>
    </row>
    <row r="5" spans="2:11" x14ac:dyDescent="0.25">
      <c r="B5" s="40" t="s">
        <v>93</v>
      </c>
      <c r="C5" s="71" t="s">
        <v>116</v>
      </c>
      <c r="D5" s="40" t="s">
        <v>129</v>
      </c>
      <c r="E5" s="27" t="s">
        <v>133</v>
      </c>
      <c r="F5" s="71" t="s">
        <v>136</v>
      </c>
      <c r="J5" t="s">
        <v>102</v>
      </c>
      <c r="K5" t="str">
        <f>RIGHT(J5,LEN(J5)-8)</f>
        <v>Neck Circles</v>
      </c>
    </row>
    <row r="6" spans="2:11" x14ac:dyDescent="0.25">
      <c r="B6" s="103" t="s">
        <v>94</v>
      </c>
      <c r="C6" s="71" t="s">
        <v>121</v>
      </c>
      <c r="D6" s="40" t="s">
        <v>130</v>
      </c>
      <c r="E6" s="27" t="s">
        <v>134</v>
      </c>
      <c r="F6" s="71" t="s">
        <v>137</v>
      </c>
      <c r="J6" t="s">
        <v>103</v>
      </c>
      <c r="K6" t="str">
        <f t="shared" ref="K6:K23" si="0">RIGHT(J6,LEN(J6)-8)</f>
        <v>Thoracic Circles</v>
      </c>
    </row>
    <row r="7" spans="2:11" x14ac:dyDescent="0.25">
      <c r="B7" s="103" t="s">
        <v>88</v>
      </c>
      <c r="C7" s="71" t="s">
        <v>117</v>
      </c>
      <c r="D7" s="40" t="s">
        <v>90</v>
      </c>
      <c r="E7" s="27" t="s">
        <v>135</v>
      </c>
      <c r="F7" s="71" t="s">
        <v>138</v>
      </c>
      <c r="J7" t="s">
        <v>104</v>
      </c>
      <c r="K7" t="str">
        <f t="shared" si="0"/>
        <v xml:space="preserve">Shoulder Circles </v>
      </c>
    </row>
    <row r="8" spans="2:11" x14ac:dyDescent="0.25">
      <c r="B8" s="103" t="s">
        <v>95</v>
      </c>
      <c r="C8" s="71" t="s">
        <v>122</v>
      </c>
      <c r="D8" s="40" t="s">
        <v>131</v>
      </c>
      <c r="E8" s="27"/>
      <c r="F8" s="71"/>
      <c r="J8" t="s">
        <v>105</v>
      </c>
      <c r="K8" t="str">
        <f t="shared" si="0"/>
        <v>Prone Shoulder Dislocates</v>
      </c>
    </row>
    <row r="9" spans="2:11" x14ac:dyDescent="0.25">
      <c r="B9" s="40" t="s">
        <v>96</v>
      </c>
      <c r="C9" s="71" t="s">
        <v>123</v>
      </c>
      <c r="D9" s="45" t="s">
        <v>132</v>
      </c>
      <c r="E9" s="46"/>
      <c r="F9" s="104"/>
      <c r="J9" t="s">
        <v>106</v>
      </c>
      <c r="K9" t="str">
        <f t="shared" si="0"/>
        <v>Prone or Kneeling Butchers Block</v>
      </c>
    </row>
    <row r="10" spans="2:11" x14ac:dyDescent="0.25">
      <c r="B10" s="40" t="s">
        <v>97</v>
      </c>
      <c r="C10" s="71" t="s">
        <v>124</v>
      </c>
      <c r="D10" s="27"/>
      <c r="E10" s="27"/>
      <c r="F10" s="27"/>
      <c r="J10" t="s">
        <v>107</v>
      </c>
      <c r="K10" t="str">
        <f t="shared" si="0"/>
        <v>Hindu Push Ups</v>
      </c>
    </row>
    <row r="11" spans="2:11" x14ac:dyDescent="0.25">
      <c r="B11" s="40" t="s">
        <v>98</v>
      </c>
      <c r="C11" s="71" t="s">
        <v>125</v>
      </c>
      <c r="D11" s="27"/>
      <c r="E11" s="27"/>
      <c r="F11" s="27"/>
      <c r="J11" t="s">
        <v>108</v>
      </c>
      <c r="K11" t="str">
        <f t="shared" si="0"/>
        <v>Quadraped Thoracic Rotation</v>
      </c>
    </row>
    <row r="12" spans="2:11" x14ac:dyDescent="0.25">
      <c r="B12" s="40" t="s">
        <v>89</v>
      </c>
      <c r="C12" s="71" t="s">
        <v>126</v>
      </c>
      <c r="D12" s="27"/>
      <c r="E12" s="27"/>
      <c r="F12" s="27"/>
      <c r="J12" t="s">
        <v>109</v>
      </c>
      <c r="K12" t="str">
        <f t="shared" si="0"/>
        <v>Squat to Figure 4 Position</v>
      </c>
    </row>
    <row r="13" spans="2:11" x14ac:dyDescent="0.25">
      <c r="B13" s="40" t="s">
        <v>99</v>
      </c>
      <c r="C13" s="71" t="s">
        <v>127</v>
      </c>
      <c r="D13" s="27"/>
      <c r="E13" s="27"/>
      <c r="F13" s="27"/>
      <c r="J13" t="s">
        <v>110</v>
      </c>
      <c r="K13" t="str">
        <f t="shared" si="0"/>
        <v>4 Position Lifts</v>
      </c>
    </row>
    <row r="14" spans="2:11" x14ac:dyDescent="0.25">
      <c r="B14" s="40" t="s">
        <v>90</v>
      </c>
      <c r="C14" s="71" t="s">
        <v>118</v>
      </c>
      <c r="D14" s="27"/>
      <c r="E14" s="27"/>
      <c r="F14" s="27"/>
      <c r="J14" t="s">
        <v>111</v>
      </c>
      <c r="K14" t="str">
        <f t="shared" si="0"/>
        <v>Cossack Squats</v>
      </c>
    </row>
    <row r="15" spans="2:11" x14ac:dyDescent="0.25">
      <c r="B15" s="103" t="s">
        <v>91</v>
      </c>
      <c r="C15" s="71" t="s">
        <v>128</v>
      </c>
      <c r="D15" s="27"/>
      <c r="E15" s="27"/>
      <c r="F15" s="27"/>
      <c r="J15" t="s">
        <v>112</v>
      </c>
      <c r="K15" t="str">
        <f t="shared" si="0"/>
        <v>Long Lunge Extensions</v>
      </c>
    </row>
    <row r="16" spans="2:11" x14ac:dyDescent="0.25">
      <c r="B16" s="40" t="s">
        <v>100</v>
      </c>
      <c r="C16" s="71" t="s">
        <v>119</v>
      </c>
      <c r="D16" s="27"/>
      <c r="E16" s="27"/>
      <c r="F16" s="27"/>
      <c r="J16" t="s">
        <v>113</v>
      </c>
      <c r="K16" t="str">
        <f t="shared" si="0"/>
        <v>Good Morning</v>
      </c>
    </row>
    <row r="17" spans="2:11" x14ac:dyDescent="0.25">
      <c r="B17" s="103" t="s">
        <v>101</v>
      </c>
      <c r="C17" s="71" t="s">
        <v>120</v>
      </c>
      <c r="D17" s="27"/>
      <c r="E17" s="27"/>
      <c r="F17" s="27"/>
      <c r="J17" t="s">
        <v>114</v>
      </c>
      <c r="K17" t="str">
        <f t="shared" si="0"/>
        <v>Pike Twists</v>
      </c>
    </row>
    <row r="18" spans="2:11" x14ac:dyDescent="0.25">
      <c r="B18" s="100" t="s">
        <v>92</v>
      </c>
      <c r="C18" s="104" t="s">
        <v>139</v>
      </c>
      <c r="D18" s="27"/>
      <c r="E18" s="27"/>
      <c r="F18" s="27"/>
      <c r="J18" t="s">
        <v>115</v>
      </c>
      <c r="K18" t="str">
        <f t="shared" si="0"/>
        <v>Squat and close</v>
      </c>
    </row>
    <row r="19" spans="2:11" x14ac:dyDescent="0.25">
      <c r="K19" t="e">
        <f t="shared" si="0"/>
        <v>#VALUE!</v>
      </c>
    </row>
    <row r="20" spans="2:11" x14ac:dyDescent="0.25">
      <c r="K20" t="e">
        <f t="shared" si="0"/>
        <v>#VALUE!</v>
      </c>
    </row>
    <row r="21" spans="2:11" x14ac:dyDescent="0.25">
      <c r="K21" t="e">
        <f t="shared" si="0"/>
        <v>#VALUE!</v>
      </c>
    </row>
    <row r="22" spans="2:11" x14ac:dyDescent="0.25">
      <c r="K22" t="e">
        <f t="shared" si="0"/>
        <v>#VALUE!</v>
      </c>
    </row>
    <row r="23" spans="2:11" x14ac:dyDescent="0.25">
      <c r="K23" t="e">
        <f t="shared" si="0"/>
        <v>#VALUE!</v>
      </c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UWS</vt:lpstr>
      <vt:lpstr>UWS2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dcterms:created xsi:type="dcterms:W3CDTF">2023-04-29T15:04:42Z</dcterms:created>
  <dcterms:modified xsi:type="dcterms:W3CDTF">2023-05-19T17:34:39Z</dcterms:modified>
</cp:coreProperties>
</file>